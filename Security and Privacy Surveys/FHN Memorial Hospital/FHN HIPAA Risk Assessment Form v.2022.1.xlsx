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autoCompressPictures="0"/>
  <mc:AlternateContent xmlns:mc="http://schemas.openxmlformats.org/markup-compatibility/2006">
    <mc:Choice Requires="x15">
      <x15ac:absPath xmlns:x15ac="http://schemas.microsoft.com/office/spreadsheetml/2010/11/ac" url="https://perigenlive-portal1.sharepoint.com/RFPs/Security and Privacy Surveys/FHN Memorial Hospital/"/>
    </mc:Choice>
  </mc:AlternateContent>
  <xr:revisionPtr revIDLastSave="11" documentId="8_{677C7B50-7153-4C64-A7F6-A4C23EE3776F}" xr6:coauthVersionLast="47" xr6:coauthVersionMax="47" xr10:uidLastSave="{98E04815-4F9F-49E1-9F53-668900DE793F}"/>
  <bookViews>
    <workbookView xWindow="-108" yWindow="-108" windowWidth="30936" windowHeight="16896" tabRatio="500" xr2:uid="{00000000-000D-0000-FFFF-FFFF00000000}"/>
  </bookViews>
  <sheets>
    <sheet name="Vendor Information" sheetId="4" r:id="rId1"/>
    <sheet name="HIPAA Compliance Questions" sheetId="1" r:id="rId2"/>
    <sheet name="Third-Party Service Provider" sheetId="3" r:id="rId3"/>
    <sheet name="Cloud Security Scorecard" sheetId="5" r:id="rId4"/>
    <sheet name="Audit and Recommendations" sheetId="2" r:id="rId5"/>
  </sheets>
  <definedNames>
    <definedName name="_xlnm.Print_Area" localSheetId="1">'HIPAA Compliance Questions'!$A$4:$F$56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5" i="5" l="1"/>
  <c r="D14" i="5"/>
  <c r="D13" i="5"/>
  <c r="D12" i="5"/>
  <c r="D11" i="5"/>
  <c r="D10" i="5"/>
  <c r="D9" i="5"/>
  <c r="D8" i="5"/>
  <c r="D7" i="5"/>
  <c r="D6" i="5"/>
  <c r="D16" i="5" s="1"/>
  <c r="D59" i="1" l="1"/>
  <c r="E59" i="1"/>
  <c r="G56" i="1"/>
  <c r="G54" i="1"/>
  <c r="G52" i="1"/>
  <c r="G51" i="1"/>
  <c r="G50" i="1"/>
  <c r="G49" i="1"/>
  <c r="G48" i="1"/>
  <c r="G47" i="1"/>
  <c r="G45" i="1"/>
  <c r="G44" i="1"/>
  <c r="G43" i="1"/>
  <c r="G42" i="1"/>
  <c r="G41" i="1"/>
  <c r="G38" i="1"/>
  <c r="G37" i="1"/>
  <c r="G36" i="1"/>
  <c r="G34" i="1"/>
  <c r="G33" i="1"/>
  <c r="G32" i="1"/>
  <c r="G31" i="1"/>
  <c r="G30" i="1"/>
  <c r="G29" i="1"/>
  <c r="G26" i="1"/>
  <c r="G25" i="1"/>
  <c r="G24" i="1"/>
  <c r="G23" i="1"/>
  <c r="G22" i="1"/>
  <c r="G20" i="1"/>
  <c r="G19" i="1"/>
  <c r="G17" i="1"/>
  <c r="G15" i="1"/>
  <c r="G14" i="1"/>
  <c r="G12" i="1"/>
  <c r="G10" i="1"/>
  <c r="G9" i="1"/>
  <c r="G8" i="1"/>
  <c r="G7" i="1"/>
  <c r="G59" i="1" l="1"/>
  <c r="A1" i="1"/>
  <c r="A1" i="3"/>
</calcChain>
</file>

<file path=xl/sharedStrings.xml><?xml version="1.0" encoding="utf-8"?>
<sst xmlns="http://schemas.openxmlformats.org/spreadsheetml/2006/main" count="356" uniqueCount="299">
  <si>
    <t>v2018.10.17</t>
  </si>
  <si>
    <t xml:space="preserve">Third-Party Information Security Risk Assessment </t>
  </si>
  <si>
    <t xml:space="preserve">This document defines the minimum security criteria based on HIPAA security measures that a third-party vendor must meet in order to be considered for use by FHN. Information Security will closely review the vendor responses, and will suggest remediation measures in any areas that fall short of the minimum security criteria. Information Security approval of any given hosted service provider resides largely on the vendor's response to this document.  This document can be provided to information technology vendors that are either being considered for use by FHN or have already been selected for use.   </t>
  </si>
  <si>
    <t>Important:  Each requested application must have an individual risk assessment form.  Forms that contain multiple applications or do not provide sufficient information will be rejected which could delay project implementation.</t>
  </si>
  <si>
    <t>For questions concerning this form please contact:</t>
  </si>
  <si>
    <t>Joe Granneman, jgranneman@tririvers.org, 779-235-0410</t>
  </si>
  <si>
    <t>Terry Bainter, tbainter@tririvers.org, 779-696-6871</t>
  </si>
  <si>
    <t>Lindsay Hill, lhill@tririvers.org, 779-696-6838</t>
  </si>
  <si>
    <t>Please send completed form to InfoSec@tririvers.org</t>
  </si>
  <si>
    <t>General Application and Vendor Information</t>
  </si>
  <si>
    <t>Internal Request Information</t>
  </si>
  <si>
    <t>Questions</t>
  </si>
  <si>
    <t>Staff Response</t>
  </si>
  <si>
    <t>This area of the form should be completed by the FHN staff member requesting the risk assessment.</t>
  </si>
  <si>
    <t>Date of assessment request</t>
  </si>
  <si>
    <t>Staff member name, title and contact information</t>
  </si>
  <si>
    <t>Reason for requesting new application</t>
  </si>
  <si>
    <t>Projected implementation date for new application being requested.</t>
  </si>
  <si>
    <t>Lansweeper Implementation PROJECT number if known</t>
  </si>
  <si>
    <t>Vendor Request Information</t>
  </si>
  <si>
    <t>Vendor Response</t>
  </si>
  <si>
    <t>The rest of this form should be completed by the vendor's representative.</t>
  </si>
  <si>
    <t>Vendor Name</t>
  </si>
  <si>
    <t>PeriGen, Inc.</t>
  </si>
  <si>
    <t>Address</t>
  </si>
  <si>
    <t xml:space="preserve">100 Regency Forest, Suite 200
Cary, NC 27518
</t>
  </si>
  <si>
    <t>Application name and version information</t>
  </si>
  <si>
    <t>Is the application, data or service hosted by the vendor or installed onsite?  (If the answser is "yes", please complete the Third-Party Service Provider tab as well.)</t>
  </si>
  <si>
    <t>Installed onsite</t>
  </si>
  <si>
    <t>Vendor representative name, title and contact information</t>
  </si>
  <si>
    <t>Jake Podraza
PeriGen | Client Executive
309-200-5658  (c)
Jake.podraza@perigen.com</t>
  </si>
  <si>
    <t>Vendor representative name, title and contact information responsible for completing this form.</t>
  </si>
  <si>
    <t>In the event of a security incident, please provide vendor contact information.                Is this contact available 24hrs/day x 7days/week?</t>
  </si>
  <si>
    <t xml:space="preserve">Yes, throught our customer support line: 
Support email: support@perigen.com
Support phone: 855.236.4353 or 984.208.7875
</t>
  </si>
  <si>
    <t>Date of Vendor submission of completed form.</t>
  </si>
  <si>
    <t>General Overview of application functionality</t>
  </si>
  <si>
    <t xml:space="preserve">PeriWatch Vigilance is an automated Early Warning System and Clinical Decision Support tool for obstetrics, designed to enhance clinical efficiency, timely intervention and standardization of care. </t>
  </si>
  <si>
    <t>Does the application store, process or transmit credit card data as defined by PCI-DSS?</t>
  </si>
  <si>
    <t>No</t>
  </si>
  <si>
    <t xml:space="preserve">Third-Party HIPAA Security Risk Assessment </t>
  </si>
  <si>
    <t>HIPAA Security Compliance Requirements</t>
  </si>
  <si>
    <t>HIPAA Specification Requirement</t>
  </si>
  <si>
    <t>Yes/No</t>
  </si>
  <si>
    <t>(Auditor Only) Impact Score
1-5</t>
  </si>
  <si>
    <t>(Auditor Only) Probability Score 1-5</t>
  </si>
  <si>
    <t>Vendor Comments (Required)</t>
  </si>
  <si>
    <t>(Auditor Only) Risk Score
 Max of 25</t>
  </si>
  <si>
    <t>Administrative Safeguards (164.308)</t>
  </si>
  <si>
    <t>Section:  Security Management Process</t>
  </si>
  <si>
    <t>Risk Analysis (Required)</t>
  </si>
  <si>
    <t>Does the application vendor perform information security risk analysis of the proposed solution from a hardware, software and network perspective?  Please give example of current risk analysis process.</t>
  </si>
  <si>
    <t>Yes</t>
  </si>
  <si>
    <t>An accurate and thorough assessment of the potential risks and vulnerabilities to an organization and/or the solutions and services will be provided to the customer.</t>
  </si>
  <si>
    <t>Risk Management (Required)</t>
  </si>
  <si>
    <t>Does the application vendor have a formal information security risk management program in place to address information security risks over the life of the product?  How is this program structured?</t>
  </si>
  <si>
    <t>IS Activity Review (Required)</t>
  </si>
  <si>
    <t>Does the application vendor support the periodic vulnerability testing of the proposed application?  Does the vendor ever perform this type of security testing on the proposed application?</t>
  </si>
  <si>
    <t>Using Veracode</t>
  </si>
  <si>
    <t>Assigned Security Responsibility (Required)</t>
  </si>
  <si>
    <t>Does the application vendor have a position that is primarily responsible for the security of the proposed software/hardware solution?  What is this position called and where does it report?</t>
  </si>
  <si>
    <t>Section:  Workforce Security</t>
  </si>
  <si>
    <t>Termination Procedures (Addressable)</t>
  </si>
  <si>
    <t>Does the application support the removal of user access credentials due to their change in employment status?</t>
  </si>
  <si>
    <t>User management is controlled via AD/LDAP(s)/AzureAD</t>
  </si>
  <si>
    <t>Information Access Management</t>
  </si>
  <si>
    <t>Access Authorization (Addressable)</t>
  </si>
  <si>
    <t>Define how credentials are created for the proposed application.  Does it integrate with Active Directory?  What is the process for user account creation?</t>
  </si>
  <si>
    <t>User management is controlled via AD/LDAP(s)/AzureAD, customer responsibility</t>
  </si>
  <si>
    <t>Access Establishment &amp; Modification (Addressable)</t>
  </si>
  <si>
    <t>Does the proposed application support role-based access controls or other methods to enforce minimum necessary rights?  Are there any available reports or other method to allow the periodic auditing of user permissions?</t>
  </si>
  <si>
    <t>Users &amp; Administators. Reporting is based on AD security group membership.</t>
  </si>
  <si>
    <t>Security Awareness &amp; Training</t>
  </si>
  <si>
    <t>Protection from Malicious Software (Addressable)</t>
  </si>
  <si>
    <t>Can the proposed application be run on workstations and servers that utilize antivirus protection?  Please describe antivirus exclusions required by the solution.</t>
  </si>
  <si>
    <t>Does the application vendor support periodic vendor-specific vulnerability patching (i.e. Java, Adobe Reader, Windows Updates)?  Please describe patch approval process.</t>
  </si>
  <si>
    <t>Log-In Monitoring (Addressable)</t>
  </si>
  <si>
    <t>Does the proposed application create logs that can be reviewed for log-in monitoring?  Please describe:</t>
  </si>
  <si>
    <t>All logged in the SQL DB</t>
  </si>
  <si>
    <t>Password Management (Addressable)</t>
  </si>
  <si>
    <t>Does the proposed application allow for the configuration of password requirements to meet complexity requirements?  (Upper case, lower case, special characters, length, etc.)</t>
  </si>
  <si>
    <t>Customer controlled via AD policies</t>
  </si>
  <si>
    <t>Contingency Plan</t>
  </si>
  <si>
    <t>Data Backup Plan (Required)</t>
  </si>
  <si>
    <t>What methods of backup and restore does the proposed application support?  Does it utilize onsite backup hardware/software or does it include specific backup/restoration procedures?</t>
  </si>
  <si>
    <t>Customer's choice of backup solution</t>
  </si>
  <si>
    <t>Disaster Recovery Plan (Required)</t>
  </si>
  <si>
    <t>Does the proposed application run on standard commodity server/workstation hardware and software?  If custom hardware or software is used, how long would it take to acquire replacements?</t>
  </si>
  <si>
    <t>Emergency Mode Operation Plan (Required)</t>
  </si>
  <si>
    <t>Does the proposed application support offline access to patient information to facilitate treatment even when the rest of the application is unavailable?  Please describe:</t>
  </si>
  <si>
    <t>Application and Criticality Analysis (Addressable)</t>
  </si>
  <si>
    <t>Please describe the type of data, business or clinical process that the proposed application will facilitate.  Does this application store patient information or provide automation for medical devices?</t>
  </si>
  <si>
    <t>BAC &amp; Other Arrangements (Required)</t>
  </si>
  <si>
    <t>Will the vendor support signing a Business Associate Agreement when required?</t>
  </si>
  <si>
    <t>Physical Safeguards (164.310)</t>
  </si>
  <si>
    <t>Facility Access Controls</t>
  </si>
  <si>
    <t>Contingency Operations (Addressable)</t>
  </si>
  <si>
    <t>Are there any special physical requirements for the proposed application that would need to be addressed if the primary site was unavailable?  If so, how long would it take to replicate the required physical environment?</t>
  </si>
  <si>
    <t>Facility Security Plan (Addressable)</t>
  </si>
  <si>
    <t>Does the proposed application require any changes to the physical environment in order to protect access to patient information?  These could include locking doors, privacy screens and other types of hardware locks.  If so, please describe:</t>
  </si>
  <si>
    <t>Access Control &amp; Validation Procedures (Addressable)</t>
  </si>
  <si>
    <t>Does the proposed application provide other equipment (cabinets, medical devices, etc.) that would require physical access control capabilities?  If yes, please describe physical access control and validation capabilities of the proposed application.</t>
  </si>
  <si>
    <t>Maintenance Records (Addressable)</t>
  </si>
  <si>
    <t xml:space="preserve">If the proposed application includes physical equipment changes as mentioned above, who will be maintaining the maintenance records of the vendor supplied hardware?  </t>
  </si>
  <si>
    <t>Workstation Use (Required)</t>
  </si>
  <si>
    <t>Does the application support running in a limited environment to enforce organizational use policies?  This would include running without workstation administrative privileges, or limited Internet access for example.  Please describe:</t>
  </si>
  <si>
    <t>Local client can be run with limitied user rights. The solution is hosted on-prem therefore it does not require internet access.</t>
  </si>
  <si>
    <t>Workstation Security (Required)</t>
  </si>
  <si>
    <t>If the proposed application includes additional physical equipment as mentioned above, what security mechanisms are used to prevent theft or unauthorized physical access to the equipment?</t>
  </si>
  <si>
    <t>Device &amp; Media Controls</t>
  </si>
  <si>
    <t>Disposal (Required)</t>
  </si>
  <si>
    <t>Can the proposed application support proper disposal of media per the organization's media disposal policy?  If not, please describe how media will be sanitized after use or at the end of the agreement.</t>
  </si>
  <si>
    <t>Media Re-use (Required)</t>
  </si>
  <si>
    <t>Is there any reuse of media involved with the application?  If so, how is the media sanitized between uses to prevent inadvertent access to patient records?  How will media be sanitized before being returned to the vendor for service?</t>
  </si>
  <si>
    <t>Accountability (Addressable)</t>
  </si>
  <si>
    <t>Who will be responsible for the media disposal and re-use?  Will it be the proposed application vendor or the organization?</t>
  </si>
  <si>
    <t>N/A</t>
  </si>
  <si>
    <t>Technical Safeguards (164.312)</t>
  </si>
  <si>
    <t>Access Control</t>
  </si>
  <si>
    <t>Unique User Identification (Required)</t>
  </si>
  <si>
    <t>Does the proposed application support the creation of unique user names for access to patient information?  Please describe:</t>
  </si>
  <si>
    <t>Automatic Logoff (Addressable)</t>
  </si>
  <si>
    <t>Does the proposed application allow for the configuration of technical controls to enforce an organization's timeout policy?  Please describe:</t>
  </si>
  <si>
    <t>Configurable within application</t>
  </si>
  <si>
    <t>Encryption &amp; Decryption (Addressable)</t>
  </si>
  <si>
    <t>Does the proposed application support the encryption of patient information when at rest? Please describe encryption use and FIPS-140-2 compliance.</t>
  </si>
  <si>
    <t>Using MS SQL TDE</t>
  </si>
  <si>
    <t>Audit Controls</t>
  </si>
  <si>
    <t>Does the proposed application support auditing capabilities to allow the organization to audit access to patient information?  Please describe these capabilities:</t>
  </si>
  <si>
    <t>Logs reside in dedicated tables in SQL. They can be exported using report writers, direct DB read or equivalent</t>
  </si>
  <si>
    <t>Integrity</t>
  </si>
  <si>
    <t xml:space="preserve">Does the proposed application or service utilize technology to maintain integrity of stored patient information?  Please describe:
</t>
  </si>
  <si>
    <t>Vendor Remote Support</t>
  </si>
  <si>
    <t>Remote Support Methodology</t>
  </si>
  <si>
    <t>Does the vendor utilize a remote access solution to support the application?  If so, please describe methodology, such as site-to-site VPN or web control product (i.e. WebEx, LogMeIn, GotoMyPC).</t>
  </si>
  <si>
    <t>Individual Remote Logins</t>
  </si>
  <si>
    <t>Does the remote access solution support individual employee vendor logins?</t>
  </si>
  <si>
    <t>Remote Access Logs</t>
  </si>
  <si>
    <t>Can the vendor provide audit logs for remote access sessions if requested?</t>
  </si>
  <si>
    <t>Dual Factor for Remote Access</t>
  </si>
  <si>
    <t>Does the remote access solution utilize dual factor authentication?</t>
  </si>
  <si>
    <t>Connection Status</t>
  </si>
  <si>
    <t>Can the remote access connection be disabled by default and manually enabled on an as-needed basis?</t>
  </si>
  <si>
    <t>Access Device Management</t>
  </si>
  <si>
    <t>Are the devices used for vendor remote access managed by the vendor's central security policy?</t>
  </si>
  <si>
    <t>Transmission Security</t>
  </si>
  <si>
    <t>Encryption &amp; Integrity (Addressable)</t>
  </si>
  <si>
    <t>What encryption algorithms are utilized to protect patient information from being intercepted or modified while in transit?  Are they FIPS-140-2 compliant?</t>
  </si>
  <si>
    <t>Policies and Procedures and Documentation Requirements (164.316)</t>
  </si>
  <si>
    <t>Time Limit (Required)</t>
  </si>
  <si>
    <t>Does the proposed application support a data retention policy enforcement for patient information according to organizational policy?</t>
  </si>
  <si>
    <t>Documentation</t>
  </si>
  <si>
    <t>Please attach technical documentation including specifications, version requirements, and associated network drawings to this form for submission.</t>
  </si>
  <si>
    <t>Auditor Only - Total HIPAA Risk Assessment Score</t>
  </si>
  <si>
    <t>Total Impact Score
(Max 190)</t>
  </si>
  <si>
    <t>Total Probability Score 
(Max 190)</t>
  </si>
  <si>
    <t>Auditor Comments</t>
  </si>
  <si>
    <t>HIPAA Risk Score
 (Max 380)</t>
  </si>
  <si>
    <t>Third-Party Service Provider Security Questionnaire</t>
  </si>
  <si>
    <t>Section:  General Audit Support</t>
  </si>
  <si>
    <t>Comments</t>
  </si>
  <si>
    <t xml:space="preserve">Do you produce audit assertions using a structured, industry accepted format?  If so, please provide evidence of this for your company and any third-party Hosting Vendor.  e.g. ISO 27001/ SSAE 16/SOC  </t>
  </si>
  <si>
    <t>Do you have staff dedicated\responsible for ensuring Data Security for your customers? </t>
  </si>
  <si>
    <t xml:space="preserve">What type of cyberliability insurance do you have?  Please describe the limits under the policy.  </t>
  </si>
  <si>
    <t>What security partners\vendors do you work with?   </t>
  </si>
  <si>
    <t xml:space="preserve">What internal/external software/hardware/infrastructure/security audits (penetration testing) do you perform ?  Will you provide these to FHN for review? </t>
  </si>
  <si>
    <t>What actions do you take upon locating a security issue?    </t>
  </si>
  <si>
    <t xml:space="preserve">Can FHN Information Security staff perform non-intrusive network audits of the provided service randomly, without prior notice?  Other network and physical audits can be conducted on site at a mutually agreed upon time.  </t>
  </si>
  <si>
    <t>What notice is required to do non­intrusive, intrusive scans, or other vulnerability assessments? </t>
  </si>
  <si>
    <t>Can the hosted service provider produce a document detailing the most recently completed third-party vulnerability assessment?</t>
  </si>
  <si>
    <t>Can the hosted service provider provide an architecture document that includes elements such as network diagrams, data flows, and other security technologies that are in use? Please attach to the questionnaire.</t>
  </si>
  <si>
    <t>How do you monitor outsourced (third-party) operations?  </t>
  </si>
  <si>
    <t>What provisions are in place with third parties to provide for the security and protection of information and assets?</t>
  </si>
  <si>
    <t xml:space="preserve">Do you perform annual review of third parties?  What does your annual review include?  Will you provide copies of this to FHN? </t>
  </si>
  <si>
    <t>Section:  Physical Security</t>
  </si>
  <si>
    <t>Is the equipment hosting the application located in a physically secure facility?</t>
  </si>
  <si>
    <t>Does the facility require badge access at a minimum?</t>
  </si>
  <si>
    <t>Is the infrastructure (hosts, network equipment, etc.) hosting the application located in a locked cage-type environment?</t>
  </si>
  <si>
    <t>Can the hosted service provider disclose who amongst their personnel will have access to the environment hosting the application for FHN?</t>
  </si>
  <si>
    <t>Will FHN have the final approval on who is authorized to have access to the physical environment?</t>
  </si>
  <si>
    <t>Does the hosted service provider perform criminal background check procedures for personnel that will have access to the physical environment?</t>
  </si>
  <si>
    <t>Does the data center which houses the hosted application environment meet TIA-942 Tier 3 standards or better?</t>
  </si>
  <si>
    <t>Section:  Network Security</t>
  </si>
  <si>
    <t xml:space="preserve">How does the hosted service provider keep data from FHN separate from other clients?  </t>
  </si>
  <si>
    <t>Describe any IDS/ IPS usage and configuration.</t>
  </si>
  <si>
    <t>How is communication between FHN and the hosted service provider secured?</t>
  </si>
  <si>
    <t>Does the application utilize TLS Data Encryption? (Yes/No)</t>
  </si>
  <si>
    <t>Does the application utilize IPSEC VPN Connectivity? (Yes/No)</t>
  </si>
  <si>
    <t>Does the application utilize private telecommunication circuits? (Yes/No)</t>
  </si>
  <si>
    <t>Do you share networks, VPNs, firewalls and load balancers between your dedicated and any public cloud environments?</t>
  </si>
  <si>
    <t>Does the application utilize any other systems or applications for remote access not already mentioned?  If yes, please describe.</t>
  </si>
  <si>
    <t>Section:  Host Security</t>
  </si>
  <si>
    <t>How are the hosted service provider’s hosts that will serve the application hardened from malicious attacks and information leaks?  Are servers hardened to a national standard (e.g. CIS ­Center Internet Security)?</t>
  </si>
  <si>
    <t xml:space="preserve">Can the hosted service provider provide a listing of current patches if requested for hosts, including host OS patches, web servers, databases, and any other material application?  </t>
  </si>
  <si>
    <t>How does the hosted service provider keep the environment current with security patches and updates?  Is this a formal process?</t>
  </si>
  <si>
    <t>What tools are used for staff to perform remote administration?</t>
  </si>
  <si>
    <t>How does the hosted service provider monitor the integrity and availability of the server hosting environment?</t>
  </si>
  <si>
    <t>What is the password policy for the hosted service provider server infrastructure, including minimum password length, password generation guidelines, and how often passwords are changed?</t>
  </si>
  <si>
    <t>Is the hosted service provider using existing FHN accounts for the purpose of single sign on?</t>
  </si>
  <si>
    <t>What controls do you have in place to protect from the unauthorized introduction of software into your systems? </t>
  </si>
  <si>
    <t>Section:  Web Security</t>
  </si>
  <si>
    <t>Can the hosted service provider disclose specific versions and general security configuration for any hosted service including databases or other middleware?</t>
  </si>
  <si>
    <t>Do developers receive training on security development and any potential threats and hazards?</t>
  </si>
  <si>
    <t xml:space="preserve">Please disclose whether the application uses Java, JavaScript, ActiveX, PHP, ASP or .NET technology.   </t>
  </si>
  <si>
    <t xml:space="preserve">What language is the application back-end written in? (C, C#, Perl, Java, J2EE, Python, VBScript, etc.) </t>
  </si>
  <si>
    <t>Please describe the process for performing quality assurance testing for the application.  For example, testing of authentication, authorization, and accounting functions, as well as any other activity designed to validate the security architecture.</t>
  </si>
  <si>
    <t>Describe the change control process for infrastructure, network, software.</t>
  </si>
  <si>
    <t>What protections are in place for the OWASP Top 10?</t>
  </si>
  <si>
    <t xml:space="preserve">Has the hosted service provider done web code review, including CGI, Java, etc, for the explicit purposes of finding and remediating security vulnerabilities?  </t>
  </si>
  <si>
    <t>Section:  Cryptography</t>
  </si>
  <si>
    <t>Please explain how you secure and protect:  Data in transit/in motion, Data at rest.</t>
  </si>
  <si>
    <t xml:space="preserve">Who is your SSL CA provider?    </t>
  </si>
  <si>
    <t xml:space="preserve">Can you provide assurances that their authentication practices are audited at least annually by a trusted third­party auditor? </t>
  </si>
  <si>
    <t>How are encryption keys for data managed?  Please describe the process for both data at rest and in transit and in motion.</t>
  </si>
  <si>
    <t>Do you have the ability to logically segment or encrypt customer data such that data may be produced for a single tenant only?  Can this be performed without inadvertently accessing another tenant's data?</t>
  </si>
  <si>
    <t>Does the hosted service provider utilize any encryption methods that were custom developed?</t>
  </si>
  <si>
    <t>Do encryption algorithms utilized by the host application service provider meet FIPS-140-2 standards?</t>
  </si>
  <si>
    <t>Can the hosted application service provider encrypt sensitive data which scaling from a single data element level to an entire database?</t>
  </si>
  <si>
    <t>Section:  Disaster Recovery/Business Continuity</t>
  </si>
  <si>
    <t>Can the hosted service provider produce documented evidence of disaster recovery/business continuity plan?</t>
  </si>
  <si>
    <t>Is this plan tested periodically to verify actual recovery timeframes and capabilities?</t>
  </si>
  <si>
    <t>How is your data stored in the cloud? Is it a SAN or S3 or Glacier? What are your backup and retrieval options?  </t>
  </si>
  <si>
    <t>How long are backups available?  Do you perform test restores?</t>
  </si>
  <si>
    <t>Explain any redundancy you have across multiple datacenters or repositories and if those  data repositories are within the US and controlled by your organization. </t>
  </si>
  <si>
    <t>Can the hosted service provider agree upon RPO and RTO timeframes that are appropriate to the business function being provided to FHN?</t>
  </si>
  <si>
    <t>Section:  Investigation Support</t>
  </si>
  <si>
    <t>Explain how the vendor monitors and reports upon notification of abuse or investigation. This might include regulatory violations, criminal or civil investigations and additional requests made by either an outside entity or internally.</t>
  </si>
  <si>
    <t>What events are logged and shared with FHN?</t>
  </si>
  <si>
    <t xml:space="preserve">Does the hosted service provider have a plan for notifying FHN immediately of any breach or unauthorized access including FHN hosted data, communications devices, servers or other infrastructure that directly or indirectly supports the hosted environment? </t>
  </si>
  <si>
    <t xml:space="preserve">Can the hosted service provider accommodate regular user account privilege access reviews involving FHN data? </t>
  </si>
  <si>
    <t>Will the hosted service provider agree to allow the FHN Incident Response Team to interface and facilitate any incident with law enforcement, e-discovery, or subpoenas relating to FHN data?</t>
  </si>
  <si>
    <t>Will the hosted service provider agree to provide all relevant logs and access to evidence in the case of a data breach to the FHN Incident Response team?</t>
  </si>
  <si>
    <t xml:space="preserve">Can the hosted service provider supply general location information about the location of hosted FHN data in order to comply with individual state information security legislation? </t>
  </si>
  <si>
    <t>Section:  Intellectual Property</t>
  </si>
  <si>
    <t xml:space="preserve">Will the hosted service provider agree to allow FHN to retain all rights and ownership of any data entered, stored or processed by the hosted service provider on behalf of FHN? </t>
  </si>
  <si>
    <t>How can we ensure that you do not use FHN customer data for any other purposes?  </t>
  </si>
  <si>
    <t xml:space="preserve">Will the hosted service provider agree to transfer all FHN data that was created/processed/stored throughout the duration of the contract period in a pre-agreed upon format and media at the termination of the agreement? </t>
  </si>
  <si>
    <t xml:space="preserve">Will the hosted service provider agree to expedite the transfer of all FHN data upon request in the event of any dispute arising between FHN and the hosted service provider? </t>
  </si>
  <si>
    <t>Will the hosted service provider agree to destroy or render unusable any information that was created and stored on behalf of FHN during the lifetime of the contract?</t>
  </si>
  <si>
    <t>Section:  Operational Security</t>
  </si>
  <si>
    <t>What are your internal mobile device access capabilities and any security controls for protecting lost or stolen mobile devices containing data? </t>
  </si>
  <si>
    <t>Explain your workforce hire, orientation and security training process and any data/customer confidentiality agreements you have in place.  Are all employees under NDA and does this extend to customer data?</t>
  </si>
  <si>
    <t>Please describe your provisioning/deprovisioning process and role management structure for all accounts including standard access, administrative access, and service accounts.</t>
  </si>
  <si>
    <t>Are all user accounts created with unique credentials?</t>
  </si>
  <si>
    <t>Do all users receive training on general security issues such as phishing, passwords, and malware?</t>
  </si>
  <si>
    <t>This portion of the form is for auditor information only. 
Do not enter any information into this sheet.</t>
  </si>
  <si>
    <t>Cloud Hosted Risk Assessment Metrics</t>
  </si>
  <si>
    <t>Audit Category</t>
  </si>
  <si>
    <t>Impact of Risk (1-5)</t>
  </si>
  <si>
    <t>Probability of Risk (1-5)</t>
  </si>
  <si>
    <t>Total Risk Score (25 Maximum)</t>
  </si>
  <si>
    <t>Technical Controls</t>
  </si>
  <si>
    <t>Audit Capabilities</t>
  </si>
  <si>
    <t>Technical Architecture</t>
  </si>
  <si>
    <t>Data Integrity Controls</t>
  </si>
  <si>
    <t>Data Encryption Support</t>
  </si>
  <si>
    <t>Hosting Security Practices</t>
  </si>
  <si>
    <t>Standardization of Security Procedures</t>
  </si>
  <si>
    <t>Reliance on Business Stability</t>
  </si>
  <si>
    <t>Contract Language Protection</t>
  </si>
  <si>
    <t>Intellectual Property Definitions</t>
  </si>
  <si>
    <t>Total Project Risk (out of 250)</t>
  </si>
  <si>
    <t>Summary</t>
  </si>
  <si>
    <t xml:space="preserve">Overall Risk Rating: </t>
  </si>
  <si>
    <t>This portion of the form is for auditor information only.  Do not enter any information into this sheet.</t>
  </si>
  <si>
    <t>Auditor Notes and Recommendations</t>
  </si>
  <si>
    <t>Potential Risks</t>
  </si>
  <si>
    <t>What are the reasonably anticipated risks and disclosures of electronic protected health information?</t>
  </si>
  <si>
    <t>Attack Vectors Considered</t>
  </si>
  <si>
    <t>What types of attacks were considered in the assessment of this system?</t>
  </si>
  <si>
    <t>Organizational Impact</t>
  </si>
  <si>
    <t>Could the compromise of this system impact other organizations outside of the organization requesting the Risk Assessment?</t>
  </si>
  <si>
    <t>Risk Mitigation Recommendations</t>
  </si>
  <si>
    <t>What are the recommended mitigations to reduce the potential of the risks identified in this assessment?</t>
  </si>
  <si>
    <t>Cost Factors</t>
  </si>
  <si>
    <t>Are the risk mitigation recommendations cost effective?</t>
  </si>
  <si>
    <t>Project Impact</t>
  </si>
  <si>
    <t>Will the risk mitigation recommendations cause a delay in the project implementation?  Is the delay going to impact the project negatively?</t>
  </si>
  <si>
    <t>PeriGen provides software solutions only that is hosted by the customer on-prem and relies on established IT policies controlled byt the customer. All aspects of security for the proposed software is reporting to the SVP Product Management.</t>
  </si>
  <si>
    <t>Customer controlled. We assume and rely on internal IT policies to be up to date with 3rd party components (Microsoft OS and application frameworks updates and similar)</t>
  </si>
  <si>
    <t>Standard HW/SW. PeriGen provides the customer with a system requirements document outlining the type and resource requirements for server</t>
  </si>
  <si>
    <t>Standard procedure with all our customers.</t>
  </si>
  <si>
    <t>The PeriWatch platform has been proven to work with all systems except Carbon Black. PeriGen will provide a list of ports that should be permitted for client-server communication.</t>
  </si>
  <si>
    <t>Partial</t>
  </si>
  <si>
    <t>It depends on the use case and the failure scenario. 
Example 1: Data acquisition router/switch is down, users can still access the application while data is being cached on the DAS data-acquistion device which get resynced once connectivity resumes.
Example 2: If the SQL server is unavailable, users will not be able to access the application.</t>
  </si>
  <si>
    <t>Fetal tracings, maternal OB data, Alerts and other early-warning data as well as long term archives. Data is accessible at the Point of Care or central station. PHI is stored in SQL DB, encrypted via MS TDE (customer choice).</t>
  </si>
  <si>
    <t>Staff is trained to go to "paper" if/when central surveillanc is not available.</t>
  </si>
  <si>
    <t>Standard customer security architecture applies. Since this is a software solution, the amin application security is governed by authentication and authorization techniques govened by IT policies (typicall AD authentication and group membership)</t>
  </si>
  <si>
    <t>The PeriGen solution includes one hardware components (DAS unit(s) and Wall-plates) which are provide and maintained by PeriGen. Those are using to centrally store and forward the tracing information from each room. These units are very reliable and require little to no maintenance. PeriGen has the tools to push any updates to the DAS unit(s) from the server.</t>
  </si>
  <si>
    <t>NA</t>
  </si>
  <si>
    <t>The PeriGen solution does not use any media. All data is saved to the SQL DB which is provided/managed by the customer. Any disposal task can be discussed and implemented according to customer needs.</t>
  </si>
  <si>
    <t>See details</t>
  </si>
  <si>
    <t>The PeriGen solution does not use any media.</t>
  </si>
  <si>
    <t>Transactional controls using MS SQL database.</t>
  </si>
  <si>
    <t>The PeriGen standard platform which most customers use is SecureLink. This is the preferred connectivity as it is integrated to our corporate Azure AD with MFA and provides the best reporting for customers. That said, PeriGen will comply with any customer mandated remote access tehcnology.</t>
  </si>
  <si>
    <t>Included with the SecureLink service.</t>
  </si>
  <si>
    <t>Using SSL certificates provided by the customer. Typically AES256 which is compliant.</t>
  </si>
  <si>
    <t xml:space="preserve">All data is kept by the PeriWatch platform for the duration the application is used by the customer. Data can also be offloaded as encrypted files for long term archiving. </t>
  </si>
  <si>
    <t xml:space="preserve">PeriWatch Surveillance and PeriWatch Vigilance </t>
  </si>
  <si>
    <t>Bruno Bendavid
SVP Product Management
514-978-0611
bruno.bendavid@perigen.com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</si>
</sst>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b/>
      <sz val="10"/>
      <name val="Arial"/>
      <family val="2"/>
    </font>
    <font>
      <sz val="10"/>
      <name val="Arial"/>
      <family val="2"/>
    </font>
    <font>
      <b/>
      <sz val="12"/>
      <color theme="0"/>
      <name val="Arial"/>
      <family val="2"/>
    </font>
    <font>
      <b/>
      <sz val="14"/>
      <color theme="0"/>
      <name val="Arial"/>
      <family val="2"/>
    </font>
    <font>
      <b/>
      <sz val="20"/>
      <name val="Arial"/>
      <family val="2"/>
    </font>
    <font>
      <sz val="16"/>
      <name val="Arial"/>
      <family val="2"/>
    </font>
    <font>
      <u/>
      <sz val="10"/>
      <color theme="10"/>
      <name val="Arial"/>
      <family val="2"/>
    </font>
    <font>
      <u/>
      <sz val="10"/>
      <color theme="11"/>
      <name val="Arial"/>
      <family val="2"/>
    </font>
    <font>
      <sz val="12"/>
      <name val="Arial"/>
      <family val="2"/>
    </font>
    <font>
      <sz val="8"/>
      <name val="Arial"/>
      <family val="2"/>
    </font>
    <font>
      <sz val="10"/>
      <color rgb="FF000000"/>
      <name val="Arial"/>
      <family val="2"/>
    </font>
    <font>
      <b/>
      <sz val="14"/>
      <color rgb="FFFFFFFF"/>
      <name val="Arial"/>
      <family val="2"/>
    </font>
    <font>
      <sz val="10"/>
      <color theme="3"/>
      <name val="Arial"/>
      <family val="2"/>
    </font>
    <font>
      <b/>
      <sz val="11"/>
      <color theme="0"/>
      <name val="Arial"/>
      <family val="2"/>
    </font>
    <font>
      <sz val="12"/>
      <color theme="0"/>
      <name val="Arial"/>
      <family val="2"/>
    </font>
    <font>
      <u/>
      <sz val="10"/>
      <color theme="10"/>
      <name val="Arial"/>
      <family val="2"/>
    </font>
    <font>
      <b/>
      <sz val="12"/>
      <name val="Arial"/>
      <family val="2"/>
    </font>
    <font>
      <sz val="11"/>
      <color theme="0"/>
      <name val="Arial"/>
      <family val="2"/>
    </font>
    <font>
      <sz val="12"/>
      <color rgb="FF000000"/>
      <name val="Arial"/>
      <family val="2"/>
    </font>
    <font>
      <b/>
      <sz val="16"/>
      <color rgb="FFFFFFFF"/>
      <name val="Arial"/>
      <family val="2"/>
    </font>
    <font>
      <b/>
      <sz val="12"/>
      <color rgb="FFFFFFFF"/>
      <name val="Arial"/>
      <family val="2"/>
    </font>
    <font>
      <b/>
      <sz val="11"/>
      <color rgb="FFFFC000"/>
      <name val="Arial"/>
      <family val="2"/>
    </font>
    <font>
      <sz val="10"/>
      <color rgb="FFFFC000"/>
      <name val="Arial"/>
      <family val="2"/>
    </font>
    <font>
      <sz val="14"/>
      <name val="Arial"/>
      <family val="2"/>
    </font>
    <font>
      <sz val="11"/>
      <name val="Arial"/>
      <family val="2"/>
    </font>
    <font>
      <b/>
      <sz val="16"/>
      <name val="Arial"/>
      <family val="2"/>
    </font>
    <font>
      <b/>
      <sz val="18"/>
      <color theme="0"/>
      <name val="Arial"/>
      <family val="2"/>
    </font>
    <font>
      <b/>
      <sz val="16"/>
      <color rgb="FFFF0000"/>
      <name val="Arial"/>
      <family val="2"/>
    </font>
  </fonts>
  <fills count="11">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0" tint="-0.14999847407452621"/>
        <bgColor indexed="64"/>
      </patternFill>
    </fill>
    <fill>
      <patternFill patternType="solid">
        <fgColor theme="3"/>
        <bgColor indexed="56"/>
      </patternFill>
    </fill>
    <fill>
      <patternFill patternType="solid">
        <fgColor theme="3"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rgb="FF7030A0"/>
        <bgColor indexed="64"/>
      </patternFill>
    </fill>
    <fill>
      <patternFill patternType="solid">
        <fgColor rgb="FF0070C0"/>
        <bgColor indexed="64"/>
      </patternFill>
    </fill>
  </fills>
  <borders count="5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diagonalDown="1">
      <left style="medium">
        <color rgb="FF333333"/>
      </left>
      <right style="thin">
        <color rgb="FF333333"/>
      </right>
      <top/>
      <bottom style="thin">
        <color rgb="FF333333"/>
      </bottom>
      <diagonal/>
    </border>
    <border diagonalDown="1">
      <left style="thin">
        <color rgb="FF333333"/>
      </left>
      <right style="thin">
        <color rgb="FF333333"/>
      </right>
      <top style="thin">
        <color rgb="FF333333"/>
      </top>
      <bottom style="thin">
        <color rgb="FF333333"/>
      </bottom>
      <diagonal/>
    </border>
    <border diagonalDown="1">
      <left style="medium">
        <color rgb="FF333333"/>
      </left>
      <right style="thin">
        <color rgb="FF333333"/>
      </right>
      <top style="thin">
        <color rgb="FF333333"/>
      </top>
      <bottom style="thin">
        <color rgb="FF333333"/>
      </bottom>
      <diagonal/>
    </border>
    <border diagonalDown="1">
      <left style="medium">
        <color rgb="FF333333"/>
      </left>
      <right style="thin">
        <color rgb="FF333333"/>
      </right>
      <top style="medium">
        <color rgb="FF333333"/>
      </top>
      <bottom style="thin">
        <color rgb="FF333333"/>
      </bottom>
      <diagonal/>
    </border>
    <border>
      <left/>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thin">
        <color auto="1"/>
      </top>
      <bottom style="thin">
        <color auto="1"/>
      </bottom>
      <diagonal/>
    </border>
    <border>
      <left style="medium">
        <color rgb="FF333333"/>
      </left>
      <right/>
      <top/>
      <bottom style="medium">
        <color rgb="FF333333"/>
      </bottom>
      <diagonal/>
    </border>
    <border>
      <left/>
      <right/>
      <top/>
      <bottom style="medium">
        <color rgb="FF333333"/>
      </bottom>
      <diagonal/>
    </border>
    <border>
      <left/>
      <right style="medium">
        <color rgb="FF333333"/>
      </right>
      <top/>
      <bottom style="medium">
        <color rgb="FF333333"/>
      </bottom>
      <diagonal/>
    </border>
    <border>
      <left style="thin">
        <color auto="1"/>
      </left>
      <right style="thin">
        <color auto="1"/>
      </right>
      <top style="thin">
        <color auto="1"/>
      </top>
      <bottom/>
      <diagonal/>
    </border>
    <border>
      <left/>
      <right style="medium">
        <color auto="1"/>
      </right>
      <top/>
      <bottom style="medium">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auto="1"/>
      </right>
      <top/>
      <bottom/>
      <diagonal/>
    </border>
    <border>
      <left style="medium">
        <color rgb="FF333333"/>
      </left>
      <right/>
      <top/>
      <bottom/>
      <diagonal/>
    </border>
    <border>
      <left/>
      <right style="medium">
        <color rgb="FF333333"/>
      </right>
      <top/>
      <bottom/>
      <diagonal/>
    </border>
    <border>
      <left style="thin">
        <color rgb="FF333333"/>
      </left>
      <right/>
      <top/>
      <bottom/>
      <diagonal/>
    </border>
    <border diagonalDown="1">
      <left style="thin">
        <color rgb="FF333333"/>
      </left>
      <right/>
      <top style="medium">
        <color rgb="FF333333"/>
      </top>
      <bottom style="thin">
        <color rgb="FF333333"/>
      </bottom>
      <diagonal/>
    </border>
    <border diagonalDown="1">
      <left style="thin">
        <color rgb="FF333333"/>
      </left>
      <right/>
      <top style="thin">
        <color rgb="FF333333"/>
      </top>
      <bottom style="thin">
        <color rgb="FF333333"/>
      </bottom>
      <diagonal/>
    </border>
    <border diagonalDown="1">
      <left style="thin">
        <color rgb="FF333333"/>
      </left>
      <right/>
      <top/>
      <bottom style="thin">
        <color rgb="FF333333"/>
      </bottom>
      <diagonal/>
    </border>
    <border diagonalDown="1">
      <left style="thin">
        <color indexed="64"/>
      </left>
      <right style="thin">
        <color indexed="64"/>
      </right>
      <top style="thin">
        <color indexed="64"/>
      </top>
      <bottom style="thin">
        <color indexed="64"/>
      </bottom>
      <diagonal/>
    </border>
    <border>
      <left style="medium">
        <color rgb="FF333333"/>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medium">
        <color auto="1"/>
      </top>
      <bottom style="thin">
        <color auto="1"/>
      </bottom>
      <diagonal/>
    </border>
    <border>
      <left/>
      <right/>
      <top style="thin">
        <color auto="1"/>
      </top>
      <bottom/>
      <diagonal/>
    </border>
    <border>
      <left/>
      <right/>
      <top style="thin">
        <color auto="1"/>
      </top>
      <bottom style="medium">
        <color auto="1"/>
      </bottom>
      <diagonal/>
    </border>
    <border>
      <left style="medium">
        <color auto="1"/>
      </left>
      <right style="thin">
        <color auto="1"/>
      </right>
      <top/>
      <bottom/>
      <diagonal/>
    </border>
    <border>
      <left style="thin">
        <color auto="1"/>
      </left>
      <right style="medium">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style="thin">
        <color indexed="64"/>
      </right>
      <top/>
      <bottom/>
      <diagonal/>
    </border>
    <border>
      <left style="medium">
        <color auto="1"/>
      </left>
      <right/>
      <top style="thin">
        <color auto="1"/>
      </top>
      <bottom/>
      <diagonal/>
    </border>
    <border>
      <left/>
      <right style="thin">
        <color indexed="64"/>
      </right>
      <top style="thin">
        <color auto="1"/>
      </top>
      <bottom/>
      <diagonal/>
    </border>
    <border>
      <left style="medium">
        <color auto="1"/>
      </left>
      <right/>
      <top/>
      <bottom style="thin">
        <color auto="1"/>
      </bottom>
      <diagonal/>
    </border>
    <border>
      <left/>
      <right style="thin">
        <color indexed="64"/>
      </right>
      <top/>
      <bottom style="thin">
        <color auto="1"/>
      </bottom>
      <diagonal/>
    </border>
    <border>
      <left style="thin">
        <color indexed="64"/>
      </left>
      <right/>
      <top style="thin">
        <color indexed="64"/>
      </top>
      <bottom/>
      <diagonal/>
    </border>
  </borders>
  <cellStyleXfs count="29">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11" fillId="0" borderId="0"/>
    <xf numFmtId="0" fontId="16" fillId="0" borderId="0" applyNumberFormat="0" applyFill="0" applyBorder="0" applyAlignment="0" applyProtection="0"/>
  </cellStyleXfs>
  <cellXfs count="187">
    <xf numFmtId="0" fontId="0" fillId="0" borderId="0" xfId="0"/>
    <xf numFmtId="0" fontId="0" fillId="0" borderId="0" xfId="0" applyAlignment="1">
      <alignment wrapText="1"/>
    </xf>
    <xf numFmtId="0" fontId="0" fillId="0" borderId="0" xfId="0" applyAlignment="1">
      <alignment horizontal="left" vertical="center" inden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xf>
    <xf numFmtId="0" fontId="4" fillId="2" borderId="5" xfId="0" applyFont="1" applyFill="1" applyBorder="1" applyAlignment="1">
      <alignment vertical="center" wrapText="1"/>
    </xf>
    <xf numFmtId="0" fontId="2" fillId="0" borderId="5" xfId="0" applyFont="1" applyBorder="1" applyAlignment="1">
      <alignment horizontal="left" vertical="center" wrapText="1" indent="2"/>
    </xf>
    <xf numFmtId="0" fontId="0" fillId="0" borderId="5" xfId="0" applyBorder="1" applyAlignment="1">
      <alignment horizontal="left" vertical="center" wrapText="1" indent="2"/>
    </xf>
    <xf numFmtId="0" fontId="1" fillId="0" borderId="5" xfId="0" applyFont="1" applyBorder="1" applyAlignment="1">
      <alignment horizontal="left" vertical="center" wrapText="1" indent="1"/>
    </xf>
    <xf numFmtId="0" fontId="9" fillId="0" borderId="0" xfId="0" applyFont="1" applyAlignment="1">
      <alignment horizontal="left" wrapText="1"/>
    </xf>
    <xf numFmtId="0" fontId="9" fillId="0" borderId="6" xfId="0" applyFont="1" applyBorder="1" applyAlignment="1">
      <alignment horizontal="left" wrapText="1"/>
    </xf>
    <xf numFmtId="0" fontId="9" fillId="0" borderId="15" xfId="0" applyFont="1" applyBorder="1" applyAlignment="1">
      <alignment horizontal="left" wrapText="1"/>
    </xf>
    <xf numFmtId="0" fontId="9" fillId="0" borderId="21" xfId="0" applyFont="1" applyBorder="1" applyAlignment="1">
      <alignment horizontal="left" wrapText="1"/>
    </xf>
    <xf numFmtId="0" fontId="9" fillId="0" borderId="4" xfId="0" applyFont="1" applyBorder="1" applyAlignment="1">
      <alignment horizontal="left" wrapText="1"/>
    </xf>
    <xf numFmtId="0" fontId="14" fillId="0" borderId="0" xfId="0" applyFont="1" applyAlignment="1">
      <alignment horizontal="left" wrapText="1"/>
    </xf>
    <xf numFmtId="0" fontId="15" fillId="0" borderId="0" xfId="0" applyFont="1" applyAlignment="1">
      <alignment horizontal="left" vertical="center" wrapText="1"/>
    </xf>
    <xf numFmtId="0" fontId="16" fillId="0" borderId="5" xfId="28" applyBorder="1" applyAlignment="1">
      <alignment vertical="center" wrapText="1"/>
    </xf>
    <xf numFmtId="0" fontId="11" fillId="0" borderId="0" xfId="27"/>
    <xf numFmtId="0" fontId="2" fillId="0" borderId="20" xfId="0" applyFont="1" applyBorder="1" applyAlignment="1">
      <alignment horizontal="left" vertical="center" wrapText="1" indent="1"/>
    </xf>
    <xf numFmtId="0" fontId="2" fillId="0" borderId="5" xfId="0" applyFont="1" applyBorder="1" applyAlignment="1">
      <alignment horizontal="left" vertical="center" wrapText="1" indent="1"/>
    </xf>
    <xf numFmtId="0" fontId="0" fillId="0" borderId="5" xfId="0" applyBorder="1" applyAlignment="1">
      <alignment horizontal="left" vertical="center" wrapText="1" indent="1"/>
    </xf>
    <xf numFmtId="0" fontId="0" fillId="0" borderId="20" xfId="0" applyBorder="1" applyAlignment="1">
      <alignment horizontal="left" vertical="center" wrapText="1" indent="1"/>
    </xf>
    <xf numFmtId="0" fontId="2" fillId="0" borderId="16" xfId="0" applyFont="1" applyBorder="1" applyAlignment="1">
      <alignment horizontal="left" vertical="center" wrapText="1" indent="1"/>
    </xf>
    <xf numFmtId="0" fontId="14" fillId="6" borderId="0" xfId="0" applyFont="1" applyFill="1" applyAlignment="1">
      <alignment horizontal="left" wrapText="1"/>
    </xf>
    <xf numFmtId="0" fontId="19" fillId="0" borderId="38" xfId="27" applyFont="1" applyBorder="1" applyAlignment="1">
      <alignment horizontal="center" vertical="center" wrapText="1"/>
    </xf>
    <xf numFmtId="0" fontId="3" fillId="3" borderId="38" xfId="27" applyFont="1" applyFill="1" applyBorder="1" applyAlignment="1">
      <alignment horizontal="left" vertical="center" indent="1"/>
    </xf>
    <xf numFmtId="0" fontId="0" fillId="0" borderId="7" xfId="0" applyBorder="1" applyAlignment="1">
      <alignment horizontal="left" vertical="center" wrapText="1" indent="1"/>
    </xf>
    <xf numFmtId="0" fontId="21" fillId="5" borderId="0" xfId="27" applyFont="1" applyFill="1" applyAlignment="1">
      <alignment horizontal="center" vertical="center"/>
    </xf>
    <xf numFmtId="0" fontId="21" fillId="5" borderId="32" xfId="27" applyFont="1" applyFill="1" applyBorder="1" applyAlignment="1">
      <alignment horizontal="left" vertical="center"/>
    </xf>
    <xf numFmtId="0" fontId="24" fillId="0" borderId="11" xfId="27" applyFont="1" applyBorder="1" applyAlignment="1">
      <alignment horizontal="left" vertical="center" indent="1"/>
    </xf>
    <xf numFmtId="0" fontId="9" fillId="0" borderId="20" xfId="0" applyFont="1" applyBorder="1" applyAlignment="1">
      <alignment vertical="center" wrapText="1"/>
    </xf>
    <xf numFmtId="0" fontId="18" fillId="6" borderId="0" xfId="0" applyFont="1" applyFill="1" applyAlignment="1">
      <alignment horizontal="left" wrapText="1"/>
    </xf>
    <xf numFmtId="0" fontId="9" fillId="0" borderId="5" xfId="0" applyFont="1" applyBorder="1" applyAlignment="1">
      <alignment vertical="center" wrapText="1"/>
    </xf>
    <xf numFmtId="0" fontId="1" fillId="7" borderId="0" xfId="0" applyFont="1" applyFill="1" applyAlignment="1">
      <alignment horizontal="left" wrapText="1"/>
    </xf>
    <xf numFmtId="0" fontId="17" fillId="7" borderId="0" xfId="0" applyFont="1" applyFill="1" applyAlignment="1">
      <alignment horizontal="left" wrapText="1"/>
    </xf>
    <xf numFmtId="0" fontId="9" fillId="0" borderId="0" xfId="0" applyFont="1"/>
    <xf numFmtId="0" fontId="9" fillId="0" borderId="0" xfId="0" applyFont="1" applyAlignment="1">
      <alignment wrapText="1"/>
    </xf>
    <xf numFmtId="0" fontId="2" fillId="0" borderId="1" xfId="0" applyFont="1" applyBorder="1" applyAlignment="1">
      <alignment vertical="center" wrapText="1"/>
    </xf>
    <xf numFmtId="0" fontId="25" fillId="0" borderId="5" xfId="0" applyFont="1" applyBorder="1" applyAlignment="1">
      <alignment vertical="center" wrapText="1"/>
    </xf>
    <xf numFmtId="0" fontId="9" fillId="0" borderId="6" xfId="0" applyFont="1" applyBorder="1" applyAlignment="1">
      <alignment vertical="center" wrapText="1"/>
    </xf>
    <xf numFmtId="0" fontId="0" fillId="0" borderId="14" xfId="0" applyBorder="1" applyAlignment="1">
      <alignment horizontal="left" vertical="center" wrapText="1" indent="1"/>
    </xf>
    <xf numFmtId="0" fontId="2" fillId="0" borderId="14" xfId="0" applyFont="1" applyBorder="1" applyAlignment="1">
      <alignment horizontal="left" vertical="center" wrapText="1" indent="1"/>
    </xf>
    <xf numFmtId="0" fontId="2" fillId="0" borderId="42" xfId="0" applyFont="1" applyBorder="1" applyAlignment="1">
      <alignment horizontal="left" vertical="center" wrapText="1" indent="1"/>
    </xf>
    <xf numFmtId="0" fontId="0" fillId="0" borderId="44" xfId="0" applyBorder="1" applyAlignment="1">
      <alignment horizontal="left" vertical="center" wrapText="1" indent="1"/>
    </xf>
    <xf numFmtId="0" fontId="2" fillId="0" borderId="44" xfId="0" applyFont="1" applyBorder="1" applyAlignment="1">
      <alignment horizontal="left" vertical="center" wrapText="1" indent="1"/>
    </xf>
    <xf numFmtId="0" fontId="0" fillId="0" borderId="45" xfId="0" applyBorder="1" applyAlignment="1">
      <alignment horizontal="left" vertical="center" wrapText="1" indent="1"/>
    </xf>
    <xf numFmtId="0" fontId="0" fillId="0" borderId="16" xfId="0" applyBorder="1" applyAlignment="1">
      <alignment horizontal="left" vertical="center" wrapText="1" indent="1"/>
    </xf>
    <xf numFmtId="0" fontId="0" fillId="0" borderId="42" xfId="0" applyBorder="1" applyAlignment="1">
      <alignment horizontal="left" vertical="center" wrapText="1" indent="1"/>
    </xf>
    <xf numFmtId="0" fontId="4" fillId="3" borderId="1" xfId="0" applyFont="1" applyFill="1" applyBorder="1" applyAlignment="1">
      <alignment vertic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2" xfId="0" applyFont="1" applyFill="1" applyBorder="1" applyAlignment="1">
      <alignment vertical="center"/>
    </xf>
    <xf numFmtId="0" fontId="4" fillId="3" borderId="43" xfId="0" applyFont="1" applyFill="1" applyBorder="1" applyAlignment="1">
      <alignment horizontal="center" vertical="center"/>
    </xf>
    <xf numFmtId="0" fontId="4" fillId="3" borderId="28" xfId="0" applyFont="1" applyFill="1" applyBorder="1" applyAlignment="1">
      <alignment vertical="center"/>
    </xf>
    <xf numFmtId="0" fontId="4" fillId="3" borderId="18" xfId="0" applyFont="1" applyFill="1" applyBorder="1" applyAlignment="1">
      <alignment horizontal="center" vertical="center"/>
    </xf>
    <xf numFmtId="0" fontId="2" fillId="0" borderId="1" xfId="0" applyFont="1" applyBorder="1" applyAlignment="1">
      <alignment horizontal="left" vertical="center" wrapText="1" indent="1"/>
    </xf>
    <xf numFmtId="0" fontId="0" fillId="0" borderId="40" xfId="0" applyBorder="1" applyAlignment="1">
      <alignment vertical="center" wrapText="1"/>
    </xf>
    <xf numFmtId="0" fontId="0" fillId="0" borderId="40" xfId="0" applyBorder="1" applyAlignment="1">
      <alignment horizontal="left" vertical="center" wrapText="1"/>
    </xf>
    <xf numFmtId="0" fontId="2" fillId="0" borderId="40" xfId="0" applyFont="1" applyBorder="1" applyAlignment="1">
      <alignment vertical="center" wrapText="1"/>
    </xf>
    <xf numFmtId="0" fontId="2" fillId="0" borderId="0" xfId="0" applyFont="1" applyAlignment="1">
      <alignment wrapText="1"/>
    </xf>
    <xf numFmtId="0" fontId="0" fillId="0" borderId="40" xfId="0" applyBorder="1" applyAlignment="1">
      <alignment horizontal="left" vertical="center" wrapText="1" indent="1"/>
    </xf>
    <xf numFmtId="0" fontId="0" fillId="4" borderId="40" xfId="0" applyFill="1" applyBorder="1" applyAlignment="1">
      <alignment vertical="center" wrapText="1"/>
    </xf>
    <xf numFmtId="0" fontId="0" fillId="4" borderId="1" xfId="0" applyFill="1" applyBorder="1" applyAlignment="1">
      <alignment vertical="center" wrapText="1"/>
    </xf>
    <xf numFmtId="0" fontId="0" fillId="4" borderId="40" xfId="0" applyFill="1" applyBorder="1" applyAlignment="1">
      <alignment horizontal="left" vertical="center" wrapText="1"/>
    </xf>
    <xf numFmtId="0" fontId="2" fillId="4" borderId="40" xfId="0" applyFont="1" applyFill="1" applyBorder="1" applyAlignment="1">
      <alignment vertical="center" wrapText="1"/>
    </xf>
    <xf numFmtId="0" fontId="26" fillId="4" borderId="1" xfId="0" applyFont="1" applyFill="1" applyBorder="1" applyAlignment="1">
      <alignment vertical="center" wrapText="1"/>
    </xf>
    <xf numFmtId="0" fontId="3" fillId="2" borderId="16" xfId="0" applyFont="1" applyFill="1" applyBorder="1" applyAlignment="1">
      <alignment vertical="center" wrapText="1"/>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4" fillId="9" borderId="14" xfId="0" applyFont="1" applyFill="1" applyBorder="1" applyAlignment="1">
      <alignment vertical="center" wrapText="1"/>
    </xf>
    <xf numFmtId="0" fontId="4" fillId="9" borderId="41" xfId="0" applyFont="1" applyFill="1" applyBorder="1" applyAlignment="1">
      <alignment horizontal="center" vertical="center" wrapText="1"/>
    </xf>
    <xf numFmtId="0" fontId="1" fillId="0" borderId="1" xfId="0" applyFont="1" applyBorder="1" applyAlignment="1">
      <alignment vertical="center" wrapText="1"/>
    </xf>
    <xf numFmtId="0" fontId="11" fillId="0" borderId="35" xfId="27" applyBorder="1" applyAlignment="1">
      <alignment vertical="center" wrapText="1"/>
    </xf>
    <xf numFmtId="0" fontId="11" fillId="0" borderId="36" xfId="27" applyBorder="1" applyAlignment="1">
      <alignment vertical="center" wrapText="1"/>
    </xf>
    <xf numFmtId="0" fontId="11" fillId="0" borderId="37" xfId="27" applyBorder="1" applyAlignment="1">
      <alignment vertical="center" wrapText="1"/>
    </xf>
    <xf numFmtId="0" fontId="3" fillId="10" borderId="13" xfId="27" applyFont="1" applyFill="1" applyBorder="1" applyAlignment="1">
      <alignment horizontal="left" vertical="center" indent="1"/>
    </xf>
    <xf numFmtId="0" fontId="3" fillId="10" borderId="12" xfId="27" applyFont="1" applyFill="1" applyBorder="1" applyAlignment="1">
      <alignment horizontal="left" vertical="center" indent="1"/>
    </xf>
    <xf numFmtId="0" fontId="3" fillId="10" borderId="11" xfId="27" applyFont="1" applyFill="1" applyBorder="1" applyAlignment="1">
      <alignment horizontal="left" vertical="center" indent="1"/>
    </xf>
    <xf numFmtId="0" fontId="3" fillId="10" borderId="10" xfId="27" applyFont="1" applyFill="1" applyBorder="1" applyAlignment="1">
      <alignment horizontal="left" vertical="center" indent="1"/>
    </xf>
    <xf numFmtId="0" fontId="9" fillId="0" borderId="16" xfId="0" applyFont="1" applyBorder="1" applyAlignment="1">
      <alignment vertical="center" wrapText="1"/>
    </xf>
    <xf numFmtId="0" fontId="9" fillId="0" borderId="2" xfId="0" applyFont="1" applyBorder="1" applyAlignment="1">
      <alignment vertical="center" wrapText="1"/>
    </xf>
    <xf numFmtId="0" fontId="2" fillId="4" borderId="1" xfId="0" applyFont="1" applyFill="1" applyBorder="1" applyAlignment="1">
      <alignment vertical="center" wrapText="1"/>
    </xf>
    <xf numFmtId="0" fontId="2" fillId="0" borderId="46" xfId="0" applyFont="1" applyBorder="1" applyAlignment="1">
      <alignment horizontal="left" vertical="center" wrapText="1" indent="1"/>
    </xf>
    <xf numFmtId="0" fontId="2" fillId="0" borderId="2" xfId="0" applyFont="1" applyBorder="1" applyAlignment="1">
      <alignment horizontal="left" vertical="center" wrapText="1" indent="1"/>
    </xf>
    <xf numFmtId="0" fontId="2" fillId="0" borderId="43" xfId="0" applyFont="1" applyBorder="1" applyAlignment="1">
      <alignment horizontal="left" vertical="center" wrapText="1" indent="1"/>
    </xf>
    <xf numFmtId="0" fontId="2" fillId="0" borderId="7" xfId="0" applyFont="1" applyBorder="1" applyAlignment="1">
      <alignment horizontal="left" vertical="center" wrapText="1" indent="1"/>
    </xf>
    <xf numFmtId="0" fontId="2" fillId="0" borderId="45" xfId="0" applyFont="1" applyBorder="1" applyAlignment="1">
      <alignment horizontal="left" vertical="center" wrapText="1" indent="1"/>
    </xf>
    <xf numFmtId="0" fontId="0" fillId="0" borderId="0" xfId="0" applyAlignment="1">
      <alignment wrapText="1"/>
    </xf>
    <xf numFmtId="0" fontId="22" fillId="6" borderId="0" xfId="0" applyFont="1" applyFill="1" applyAlignment="1">
      <alignment horizontal="left" wrapText="1"/>
    </xf>
    <xf numFmtId="0" fontId="23" fillId="0" borderId="0" xfId="0" applyFont="1" applyAlignment="1">
      <alignment horizontal="left" wrapText="1"/>
    </xf>
    <xf numFmtId="0" fontId="5" fillId="0" borderId="0" xfId="0" applyFont="1" applyAlignment="1">
      <alignment horizontal="center" wrapText="1"/>
    </xf>
    <xf numFmtId="0" fontId="9" fillId="0" borderId="0" xfId="0" applyFont="1" applyAlignment="1">
      <alignment horizontal="left" vertical="center" wrapText="1"/>
    </xf>
    <xf numFmtId="0" fontId="17" fillId="0" borderId="0" xfId="0" applyFont="1" applyAlignment="1">
      <alignment horizontal="center" wrapText="1"/>
    </xf>
    <xf numFmtId="0" fontId="18" fillId="6" borderId="0" xfId="0" applyFont="1" applyFill="1" applyAlignment="1">
      <alignment horizontal="left" wrapText="1"/>
    </xf>
    <xf numFmtId="0" fontId="0" fillId="0" borderId="0" xfId="0" applyAlignment="1">
      <alignment wrapText="1"/>
    </xf>
    <xf numFmtId="0" fontId="13" fillId="4" borderId="30" xfId="0" applyFont="1" applyFill="1" applyBorder="1" applyAlignment="1">
      <alignment horizontal="center" vertical="center" textRotation="45" wrapText="1"/>
    </xf>
    <xf numFmtId="0" fontId="13" fillId="4" borderId="31" xfId="0" applyFont="1" applyFill="1" applyBorder="1" applyAlignment="1">
      <alignment horizontal="center" vertical="center" textRotation="45" wrapText="1"/>
    </xf>
    <xf numFmtId="0" fontId="13" fillId="4" borderId="27" xfId="0" applyFont="1" applyFill="1" applyBorder="1" applyAlignment="1">
      <alignment horizontal="center" vertical="center" textRotation="45" wrapText="1"/>
    </xf>
    <xf numFmtId="0" fontId="4" fillId="2" borderId="17"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19"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13" fillId="4" borderId="0" xfId="0" applyFont="1" applyFill="1" applyAlignment="1">
      <alignment horizontal="left" vertical="center" textRotation="45" wrapText="1"/>
    </xf>
    <xf numFmtId="0" fontId="3" fillId="3" borderId="26"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4" fillId="3" borderId="22"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4" fillId="3" borderId="41" xfId="0" applyFont="1" applyFill="1" applyBorder="1" applyAlignment="1">
      <alignment horizontal="left" vertical="center" wrapText="1"/>
    </xf>
    <xf numFmtId="0" fontId="6" fillId="0" borderId="49" xfId="0" applyFont="1" applyBorder="1" applyAlignment="1">
      <alignment horizontal="center" wrapText="1"/>
    </xf>
    <xf numFmtId="0" fontId="0" fillId="0" borderId="42" xfId="0" applyBorder="1" applyAlignment="1">
      <alignment wrapText="1"/>
    </xf>
    <xf numFmtId="0" fontId="0" fillId="0" borderId="54" xfId="0" applyBorder="1" applyAlignment="1">
      <alignment wrapText="1"/>
    </xf>
    <xf numFmtId="0" fontId="5" fillId="0" borderId="55" xfId="0" applyFont="1" applyBorder="1" applyAlignment="1">
      <alignment horizontal="center" wrapText="1"/>
    </xf>
    <xf numFmtId="0" fontId="5" fillId="0" borderId="44" xfId="0" applyFont="1" applyBorder="1" applyAlignment="1">
      <alignment horizontal="center" wrapText="1"/>
    </xf>
    <xf numFmtId="0" fontId="5" fillId="0" borderId="52" xfId="0" applyFont="1" applyBorder="1" applyAlignment="1">
      <alignment horizontal="center" wrapText="1"/>
    </xf>
    <xf numFmtId="0" fontId="3" fillId="3" borderId="22" xfId="0" applyFont="1" applyFill="1" applyBorder="1" applyAlignment="1">
      <alignment horizontal="left" vertical="center" wrapText="1"/>
    </xf>
    <xf numFmtId="0" fontId="3" fillId="3" borderId="14" xfId="0" applyFont="1" applyFill="1" applyBorder="1" applyAlignment="1">
      <alignment horizontal="left" vertical="center" wrapText="1"/>
    </xf>
    <xf numFmtId="0" fontId="3" fillId="3" borderId="41" xfId="0" applyFont="1" applyFill="1" applyBorder="1" applyAlignment="1">
      <alignment horizontal="left" vertical="center" wrapText="1"/>
    </xf>
    <xf numFmtId="0" fontId="4" fillId="2" borderId="51" xfId="0" applyFont="1" applyFill="1" applyBorder="1" applyAlignment="1">
      <alignment horizontal="left" vertical="center" wrapText="1"/>
    </xf>
    <xf numFmtId="0" fontId="4" fillId="2" borderId="44" xfId="0" applyFont="1" applyFill="1" applyBorder="1" applyAlignment="1">
      <alignment horizontal="left" vertical="center" wrapText="1"/>
    </xf>
    <xf numFmtId="0" fontId="4" fillId="2" borderId="52" xfId="0" applyFont="1" applyFill="1" applyBorder="1" applyAlignment="1">
      <alignment horizontal="left" vertical="center" wrapText="1"/>
    </xf>
    <xf numFmtId="0" fontId="3" fillId="3" borderId="53" xfId="0" applyFont="1" applyFill="1" applyBorder="1" applyAlignment="1">
      <alignment horizontal="left" vertical="center" wrapText="1"/>
    </xf>
    <xf numFmtId="0" fontId="3" fillId="3" borderId="42" xfId="0" applyFont="1" applyFill="1" applyBorder="1" applyAlignment="1">
      <alignment horizontal="left" vertical="center" wrapText="1"/>
    </xf>
    <xf numFmtId="0" fontId="3" fillId="3" borderId="54" xfId="0" applyFont="1" applyFill="1" applyBorder="1" applyAlignment="1">
      <alignment horizontal="left" vertical="center" wrapText="1"/>
    </xf>
    <xf numFmtId="0" fontId="2" fillId="0" borderId="40"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1" xfId="0" applyFont="1" applyBorder="1" applyAlignment="1">
      <alignment horizontal="center" vertical="center" wrapText="1"/>
    </xf>
    <xf numFmtId="0" fontId="3" fillId="2" borderId="50"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3" borderId="22" xfId="0" applyFont="1" applyFill="1" applyBorder="1" applyAlignment="1">
      <alignment vertical="center" wrapText="1"/>
    </xf>
    <xf numFmtId="0" fontId="3" fillId="3" borderId="14" xfId="0" applyFont="1" applyFill="1" applyBorder="1" applyAlignment="1">
      <alignment vertical="center" wrapText="1"/>
    </xf>
    <xf numFmtId="0" fontId="3" fillId="2" borderId="1"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41" xfId="0" applyFont="1" applyFill="1" applyBorder="1" applyAlignment="1">
      <alignment horizontal="left" vertical="center" wrapText="1"/>
    </xf>
    <xf numFmtId="0" fontId="17" fillId="8" borderId="40" xfId="0" applyFont="1" applyFill="1" applyBorder="1" applyAlignment="1">
      <alignment horizontal="center" vertical="center" wrapText="1"/>
    </xf>
    <xf numFmtId="0" fontId="17" fillId="8" borderId="14" xfId="0" applyFont="1" applyFill="1" applyBorder="1" applyAlignment="1">
      <alignment horizontal="center" vertical="center" wrapText="1"/>
    </xf>
    <xf numFmtId="0" fontId="17" fillId="8" borderId="41" xfId="0" applyFont="1" applyFill="1" applyBorder="1" applyAlignment="1">
      <alignment horizontal="center" vertical="center" wrapText="1"/>
    </xf>
    <xf numFmtId="0" fontId="4" fillId="9" borderId="22" xfId="0" applyFont="1" applyFill="1" applyBorder="1" applyAlignment="1">
      <alignment horizontal="left" vertical="center" wrapText="1"/>
    </xf>
    <xf numFmtId="0" fontId="4" fillId="9" borderId="14" xfId="0" applyFont="1" applyFill="1" applyBorder="1" applyAlignment="1">
      <alignment horizontal="left" vertical="center" wrapText="1"/>
    </xf>
    <xf numFmtId="0" fontId="4" fillId="3" borderId="53" xfId="0" applyFont="1" applyFill="1" applyBorder="1" applyAlignment="1">
      <alignment horizontal="left" vertical="center" wrapText="1"/>
    </xf>
    <xf numFmtId="0" fontId="4" fillId="3" borderId="42" xfId="0" applyFont="1" applyFill="1" applyBorder="1" applyAlignment="1">
      <alignment horizontal="left" vertical="center" wrapText="1"/>
    </xf>
    <xf numFmtId="0" fontId="4" fillId="3" borderId="54" xfId="0" applyFont="1" applyFill="1" applyBorder="1" applyAlignment="1">
      <alignment horizontal="left" vertical="center" wrapText="1"/>
    </xf>
    <xf numFmtId="0" fontId="5" fillId="0" borderId="0" xfId="0" applyFont="1" applyAlignment="1">
      <alignment horizontal="center"/>
    </xf>
    <xf numFmtId="0" fontId="20" fillId="5" borderId="32" xfId="27" applyFont="1" applyFill="1" applyBorder="1" applyAlignment="1">
      <alignment horizontal="center" vertical="center"/>
    </xf>
    <xf numFmtId="0" fontId="20" fillId="5" borderId="0" xfId="27" applyFont="1" applyFill="1" applyAlignment="1">
      <alignment horizontal="center" vertical="center"/>
    </xf>
    <xf numFmtId="0" fontId="12" fillId="5" borderId="32" xfId="27" applyFont="1" applyFill="1" applyBorder="1" applyAlignment="1">
      <alignment horizontal="left" vertical="center"/>
    </xf>
    <xf numFmtId="0" fontId="12" fillId="5" borderId="0" xfId="27" applyFont="1" applyFill="1" applyAlignment="1">
      <alignment horizontal="left" vertical="center"/>
    </xf>
    <xf numFmtId="0" fontId="12" fillId="5" borderId="33" xfId="27" applyFont="1" applyFill="1" applyBorder="1" applyAlignment="1">
      <alignment horizontal="left" vertical="center"/>
    </xf>
    <xf numFmtId="0" fontId="12" fillId="5" borderId="23" xfId="27" applyFont="1" applyFill="1" applyBorder="1" applyAlignment="1">
      <alignment horizontal="left" vertical="center"/>
    </xf>
    <xf numFmtId="0" fontId="12" fillId="5" borderId="24" xfId="27" applyFont="1" applyFill="1" applyBorder="1" applyAlignment="1">
      <alignment horizontal="left" vertical="center"/>
    </xf>
    <xf numFmtId="0" fontId="12" fillId="5" borderId="25" xfId="27" applyFont="1" applyFill="1" applyBorder="1" applyAlignment="1">
      <alignment horizontal="left" vertical="center"/>
    </xf>
    <xf numFmtId="0" fontId="4" fillId="5" borderId="39" xfId="27" applyFont="1" applyFill="1" applyBorder="1" applyAlignment="1">
      <alignment horizontal="center" vertical="center"/>
    </xf>
    <xf numFmtId="0" fontId="4" fillId="5" borderId="23" xfId="27" applyFont="1" applyFill="1" applyBorder="1" applyAlignment="1">
      <alignment horizontal="center" vertical="center"/>
    </xf>
    <xf numFmtId="0" fontId="28" fillId="0" borderId="0" xfId="0" applyFont="1" applyAlignment="1">
      <alignment horizontal="center" wrapText="1"/>
    </xf>
    <xf numFmtId="0" fontId="28" fillId="0" borderId="0" xfId="0" applyFont="1" applyAlignment="1">
      <alignment horizontal="center"/>
    </xf>
    <xf numFmtId="0" fontId="11" fillId="0" borderId="1" xfId="27" applyBorder="1" applyAlignment="1">
      <alignment horizontal="left" vertical="center" wrapText="1"/>
    </xf>
    <xf numFmtId="0" fontId="27" fillId="2" borderId="32" xfId="27" applyFont="1" applyFill="1" applyBorder="1" applyAlignment="1">
      <alignment horizontal="center" vertical="center"/>
    </xf>
    <xf numFmtId="0" fontId="27" fillId="2" borderId="0" xfId="27" applyFont="1" applyFill="1" applyAlignment="1">
      <alignment horizontal="center" vertical="center"/>
    </xf>
    <xf numFmtId="0" fontId="9" fillId="0" borderId="34" xfId="27" applyFont="1" applyBorder="1" applyAlignment="1">
      <alignment horizontal="left" vertical="center" wrapText="1"/>
    </xf>
    <xf numFmtId="0" fontId="9" fillId="0" borderId="0" xfId="27" applyFont="1" applyAlignment="1">
      <alignment horizontal="left" vertical="center" wrapText="1"/>
    </xf>
    <xf numFmtId="0" fontId="20" fillId="2" borderId="32" xfId="27" applyFont="1" applyFill="1" applyBorder="1" applyAlignment="1">
      <alignment horizontal="center" vertical="center"/>
    </xf>
    <xf numFmtId="0" fontId="20" fillId="2" borderId="0" xfId="27" applyFont="1" applyFill="1" applyAlignment="1">
      <alignment horizontal="center" vertical="center"/>
    </xf>
    <xf numFmtId="0" fontId="4" fillId="3" borderId="1" xfId="0" applyFont="1" applyFill="1" applyBorder="1" applyAlignment="1">
      <alignment horizontal="center" vertical="center" wrapText="1"/>
    </xf>
    <xf numFmtId="0" fontId="0" fillId="0" borderId="15" xfId="0" applyBorder="1" applyAlignment="1">
      <alignment wrapText="1"/>
    </xf>
    <xf numFmtId="0" fontId="0" fillId="0" borderId="6" xfId="0" applyBorder="1" applyAlignment="1">
      <alignment wrapText="1"/>
    </xf>
    <xf numFmtId="0" fontId="0" fillId="0" borderId="47" xfId="0" applyBorder="1" applyAlignment="1">
      <alignment wrapText="1"/>
    </xf>
    <xf numFmtId="0" fontId="3" fillId="3" borderId="1" xfId="0" applyFont="1" applyFill="1" applyBorder="1" applyAlignment="1">
      <alignment horizontal="center" vertical="center" wrapText="1"/>
    </xf>
    <xf numFmtId="0" fontId="0" fillId="0" borderId="21" xfId="0" applyBorder="1" applyAlignment="1">
      <alignment wrapText="1"/>
    </xf>
    <xf numFmtId="0" fontId="4" fillId="3" borderId="4"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0" fillId="0" borderId="4" xfId="0" applyBorder="1" applyAlignment="1">
      <alignment wrapText="1"/>
    </xf>
    <xf numFmtId="0" fontId="0" fillId="0" borderId="9" xfId="0" applyBorder="1" applyAlignment="1">
      <alignment wrapText="1"/>
    </xf>
    <xf numFmtId="0" fontId="0" fillId="0" borderId="1" xfId="0" applyBorder="1" applyAlignment="1">
      <alignment wrapText="1"/>
    </xf>
    <xf numFmtId="0" fontId="11" fillId="0" borderId="0" xfId="27" applyAlignment="1">
      <alignment wrapText="1"/>
    </xf>
    <xf numFmtId="0" fontId="16" fillId="0" borderId="6" xfId="28" applyBorder="1" applyAlignment="1">
      <alignment wrapText="1"/>
    </xf>
    <xf numFmtId="0" fontId="2" fillId="0" borderId="14" xfId="0" applyFont="1" applyFill="1" applyBorder="1" applyAlignment="1">
      <alignment horizontal="left" vertical="center" wrapText="1" indent="1"/>
    </xf>
    <xf numFmtId="0" fontId="2" fillId="0" borderId="42" xfId="0" applyFont="1" applyFill="1" applyBorder="1" applyAlignment="1">
      <alignment horizontal="left" vertical="center" wrapText="1" indent="1"/>
    </xf>
    <xf numFmtId="0" fontId="2" fillId="0" borderId="0" xfId="0" applyFont="1" applyFill="1" applyAlignment="1">
      <alignment horizontal="left" vertical="center" wrapText="1" indent="1"/>
    </xf>
    <xf numFmtId="15" fontId="16" fillId="0" borderId="0" xfId="28" applyNumberFormat="1"/>
  </cellXfs>
  <cellStyles count="29">
    <cellStyle name="Followed Hyperlink" xfId="4" builtinId="9" hidden="1"/>
    <cellStyle name="Followed Hyperlink" xfId="2" builtinId="9" hidden="1"/>
    <cellStyle name="Followed Hyperlink" xfId="8" builtinId="9" hidden="1"/>
    <cellStyle name="Followed Hyperlink" xfId="12" builtinId="9" hidden="1"/>
    <cellStyle name="Followed Hyperlink" xfId="16" builtinId="9" hidden="1"/>
    <cellStyle name="Followed Hyperlink" xfId="20" builtinId="9" hidden="1"/>
    <cellStyle name="Followed Hyperlink" xfId="14" builtinId="9" hidden="1"/>
    <cellStyle name="Followed Hyperlink" xfId="6" builtinId="9" hidden="1"/>
    <cellStyle name="Followed Hyperlink" xfId="18" builtinId="9" hidden="1"/>
    <cellStyle name="Followed Hyperlink" xfId="22" builtinId="9" hidden="1"/>
    <cellStyle name="Followed Hyperlink" xfId="10" builtinId="9" hidden="1"/>
    <cellStyle name="Followed Hyperlink" xfId="26" builtinId="9" hidden="1"/>
    <cellStyle name="Followed Hyperlink" xfId="24" builtinId="9" hidden="1"/>
    <cellStyle name="Hyperlink" xfId="9" builtinId="8" hidden="1"/>
    <cellStyle name="Hyperlink" xfId="11" builtinId="8" hidden="1"/>
    <cellStyle name="Hyperlink" xfId="13" builtinId="8" hidden="1"/>
    <cellStyle name="Hyperlink" xfId="3" builtinId="8" hidden="1"/>
    <cellStyle name="Hyperlink" xfId="1" builtinId="8" hidden="1"/>
    <cellStyle name="Hyperlink" xfId="5" builtinId="8" hidden="1"/>
    <cellStyle name="Hyperlink" xfId="21" builtinId="8" hidden="1"/>
    <cellStyle name="Hyperlink" xfId="25" builtinId="8" hidden="1"/>
    <cellStyle name="Hyperlink" xfId="23" builtinId="8" hidden="1"/>
    <cellStyle name="Hyperlink" xfId="7" builtinId="8" hidden="1"/>
    <cellStyle name="Hyperlink" xfId="17" builtinId="8" hidden="1"/>
    <cellStyle name="Hyperlink" xfId="19" builtinId="8" hidden="1"/>
    <cellStyle name="Hyperlink" xfId="15" builtinId="8" hidden="1"/>
    <cellStyle name="Hyperlink" xfId="28" builtinId="8"/>
    <cellStyle name="Normal" xfId="0" builtinId="0"/>
    <cellStyle name="Normal 2" xfId="27" xr:uid="{00000000-0005-0000-0000-00001C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tabSelected="1" topLeftCell="A22" workbookViewId="0">
      <selection activeCell="D27" sqref="D27"/>
    </sheetView>
  </sheetViews>
  <sheetFormatPr defaultRowHeight="13.2" x14ac:dyDescent="0.25"/>
  <cols>
    <col min="1" max="1" width="68" customWidth="1"/>
    <col min="2" max="2" width="85.6640625" customWidth="1"/>
    <col min="3" max="3" width="59.109375" customWidth="1"/>
  </cols>
  <sheetData>
    <row r="1" spans="1:3" x14ac:dyDescent="0.25">
      <c r="A1" s="60" t="s">
        <v>0</v>
      </c>
      <c r="B1" s="1"/>
      <c r="C1" s="1"/>
    </row>
    <row r="2" spans="1:3" ht="24.6" x14ac:dyDescent="0.4">
      <c r="A2" s="91" t="s">
        <v>1</v>
      </c>
      <c r="B2" s="91"/>
      <c r="C2" s="91"/>
    </row>
    <row r="3" spans="1:3" s="5" customFormat="1" ht="71.25" customHeight="1" x14ac:dyDescent="0.25">
      <c r="A3" s="92" t="s">
        <v>2</v>
      </c>
      <c r="B3" s="92"/>
      <c r="C3" s="92"/>
    </row>
    <row r="4" spans="1:3" ht="32.25" customHeight="1" x14ac:dyDescent="0.3">
      <c r="A4" s="93" t="s">
        <v>3</v>
      </c>
      <c r="B4" s="93"/>
      <c r="C4" s="93"/>
    </row>
    <row r="5" spans="1:3" ht="13.8" x14ac:dyDescent="0.25">
      <c r="A5" s="24" t="s">
        <v>4</v>
      </c>
      <c r="B5" s="94" t="s">
        <v>5</v>
      </c>
      <c r="C5" s="95"/>
    </row>
    <row r="6" spans="1:3" ht="13.8" x14ac:dyDescent="0.25">
      <c r="A6" s="24"/>
      <c r="B6" s="32" t="s">
        <v>6</v>
      </c>
      <c r="C6" s="24"/>
    </row>
    <row r="7" spans="1:3" ht="13.8" x14ac:dyDescent="0.25">
      <c r="A7" s="24"/>
      <c r="B7" s="32" t="s">
        <v>7</v>
      </c>
      <c r="C7" s="32"/>
    </row>
    <row r="8" spans="1:3" ht="13.8" x14ac:dyDescent="0.25">
      <c r="A8" s="24"/>
      <c r="B8" s="89" t="s">
        <v>8</v>
      </c>
      <c r="C8" s="90"/>
    </row>
    <row r="9" spans="1:3" ht="15.6" thickBot="1" x14ac:dyDescent="0.3">
      <c r="A9" s="10"/>
      <c r="B9" s="10"/>
      <c r="C9" s="10"/>
    </row>
    <row r="10" spans="1:3" ht="18" thickBot="1" x14ac:dyDescent="0.3">
      <c r="A10" s="99" t="s">
        <v>9</v>
      </c>
      <c r="B10" s="100"/>
      <c r="C10" s="101"/>
    </row>
    <row r="11" spans="1:3" x14ac:dyDescent="0.25">
      <c r="A11" s="102" t="s">
        <v>10</v>
      </c>
      <c r="B11" s="104" t="s">
        <v>11</v>
      </c>
      <c r="C11" s="106" t="s">
        <v>12</v>
      </c>
    </row>
    <row r="12" spans="1:3" ht="13.8" thickBot="1" x14ac:dyDescent="0.3">
      <c r="A12" s="103"/>
      <c r="B12" s="105"/>
      <c r="C12" s="107"/>
    </row>
    <row r="13" spans="1:3" ht="72" customHeight="1" x14ac:dyDescent="0.25">
      <c r="A13" s="108" t="s">
        <v>13</v>
      </c>
      <c r="B13" s="80" t="s">
        <v>14</v>
      </c>
      <c r="C13" s="12"/>
    </row>
    <row r="14" spans="1:3" ht="72" customHeight="1" x14ac:dyDescent="0.25">
      <c r="A14" s="108"/>
      <c r="B14" s="33" t="s">
        <v>15</v>
      </c>
      <c r="C14" s="11"/>
    </row>
    <row r="15" spans="1:3" ht="72" customHeight="1" x14ac:dyDescent="0.25">
      <c r="A15" s="108"/>
      <c r="B15" s="33" t="s">
        <v>16</v>
      </c>
      <c r="C15" s="11"/>
    </row>
    <row r="16" spans="1:3" ht="72" customHeight="1" x14ac:dyDescent="0.25">
      <c r="A16" s="108"/>
      <c r="B16" s="31" t="s">
        <v>17</v>
      </c>
      <c r="C16" s="13"/>
    </row>
    <row r="17" spans="1:3" ht="72" customHeight="1" thickBot="1" x14ac:dyDescent="0.3">
      <c r="A17" s="108"/>
      <c r="B17" s="31" t="s">
        <v>18</v>
      </c>
      <c r="C17" s="13"/>
    </row>
    <row r="18" spans="1:3" x14ac:dyDescent="0.25">
      <c r="A18" s="102" t="s">
        <v>19</v>
      </c>
      <c r="B18" s="104" t="s">
        <v>11</v>
      </c>
      <c r="C18" s="106" t="s">
        <v>20</v>
      </c>
    </row>
    <row r="19" spans="1:3" ht="13.8" thickBot="1" x14ac:dyDescent="0.3">
      <c r="A19" s="103"/>
      <c r="B19" s="109"/>
      <c r="C19" s="110"/>
    </row>
    <row r="20" spans="1:3" ht="72" customHeight="1" x14ac:dyDescent="0.25">
      <c r="A20" s="96" t="s">
        <v>21</v>
      </c>
      <c r="B20" s="81" t="s">
        <v>22</v>
      </c>
      <c r="C20" s="14" t="s">
        <v>23</v>
      </c>
    </row>
    <row r="21" spans="1:3" ht="72" customHeight="1" x14ac:dyDescent="0.25">
      <c r="A21" s="97"/>
      <c r="B21" s="33" t="s">
        <v>24</v>
      </c>
      <c r="C21" s="11" t="s">
        <v>25</v>
      </c>
    </row>
    <row r="22" spans="1:3" ht="72" customHeight="1" x14ac:dyDescent="0.25">
      <c r="A22" s="97"/>
      <c r="B22" s="33" t="s">
        <v>26</v>
      </c>
      <c r="C22" s="40" t="s">
        <v>297</v>
      </c>
    </row>
    <row r="23" spans="1:3" ht="72" customHeight="1" x14ac:dyDescent="0.25">
      <c r="A23" s="97"/>
      <c r="B23" s="17" t="s">
        <v>27</v>
      </c>
      <c r="C23" s="40" t="s">
        <v>28</v>
      </c>
    </row>
    <row r="24" spans="1:3" ht="72" customHeight="1" x14ac:dyDescent="0.25">
      <c r="A24" s="97"/>
      <c r="B24" s="33" t="s">
        <v>29</v>
      </c>
      <c r="C24" s="11" t="s">
        <v>30</v>
      </c>
    </row>
    <row r="25" spans="1:3" ht="72" customHeight="1" x14ac:dyDescent="0.25">
      <c r="A25" s="97"/>
      <c r="B25" s="33" t="s">
        <v>31</v>
      </c>
      <c r="C25" s="11" t="s">
        <v>298</v>
      </c>
    </row>
    <row r="26" spans="1:3" ht="72" customHeight="1" x14ac:dyDescent="0.25">
      <c r="A26" s="97"/>
      <c r="B26" s="33" t="s">
        <v>32</v>
      </c>
      <c r="C26" s="11" t="s">
        <v>33</v>
      </c>
    </row>
    <row r="27" spans="1:3" ht="72" customHeight="1" x14ac:dyDescent="0.25">
      <c r="A27" s="97"/>
      <c r="B27" s="33" t="s">
        <v>34</v>
      </c>
      <c r="C27" s="186">
        <v>44774</v>
      </c>
    </row>
    <row r="28" spans="1:3" ht="72" customHeight="1" x14ac:dyDescent="0.25">
      <c r="A28" s="97"/>
      <c r="B28" s="33" t="s">
        <v>35</v>
      </c>
      <c r="C28" s="11" t="s">
        <v>36</v>
      </c>
    </row>
    <row r="29" spans="1:3" ht="72" customHeight="1" x14ac:dyDescent="0.25">
      <c r="A29" s="98"/>
      <c r="B29" s="39" t="s">
        <v>37</v>
      </c>
      <c r="C29" s="11" t="s">
        <v>38</v>
      </c>
    </row>
    <row r="30" spans="1:3" x14ac:dyDescent="0.25">
      <c r="A30" s="1"/>
      <c r="B30" s="1"/>
      <c r="C30" s="1"/>
    </row>
  </sheetData>
  <mergeCells count="14">
    <mergeCell ref="A20:A29"/>
    <mergeCell ref="A10:C10"/>
    <mergeCell ref="A11:A12"/>
    <mergeCell ref="B11:B12"/>
    <mergeCell ref="C11:C12"/>
    <mergeCell ref="A13:A17"/>
    <mergeCell ref="A18:A19"/>
    <mergeCell ref="B18:B19"/>
    <mergeCell ref="C18:C19"/>
    <mergeCell ref="B8:C8"/>
    <mergeCell ref="A2:C2"/>
    <mergeCell ref="A3:C3"/>
    <mergeCell ref="A4:C4"/>
    <mergeCell ref="B5:C5"/>
  </mergeCells>
  <hyperlinks>
    <hyperlink ref="B23" location="'Third-Party Service Provider'!A1" display="Is the application, data or service hosted by the vendor or installed onsite?  (If the answser is &quot;yes&quot;, please complete the Third-Party Service Provider tab as well.)" xr:uid="{00000000-0004-0000-0000-000000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9"/>
  <sheetViews>
    <sheetView zoomScaleNormal="100" workbookViewId="0">
      <pane ySplit="1" topLeftCell="A2" activePane="bottomLeft" state="frozen"/>
      <selection pane="bottomLeft" activeCell="A59" sqref="A59:C59"/>
    </sheetView>
  </sheetViews>
  <sheetFormatPr defaultColWidth="14.44140625" defaultRowHeight="15.75" customHeight="1" x14ac:dyDescent="0.25"/>
  <cols>
    <col min="1" max="1" width="54" style="1" customWidth="1"/>
    <col min="2" max="2" width="54.109375" style="1" customWidth="1"/>
    <col min="3" max="5" width="18.5546875" style="1" customWidth="1"/>
    <col min="6" max="6" width="96" style="1" customWidth="1"/>
    <col min="7" max="7" width="18.5546875" style="1" customWidth="1"/>
  </cols>
  <sheetData>
    <row r="1" spans="1:7" ht="15.75" customHeight="1" x14ac:dyDescent="0.3">
      <c r="A1" s="35" t="str">
        <f>CONCATENATE("Vendor Name: ",'Vendor Information'!C20)</f>
        <v>Vendor Name: PeriGen, Inc.</v>
      </c>
      <c r="B1" s="34"/>
      <c r="C1" s="34"/>
      <c r="D1" s="34"/>
      <c r="E1" s="34"/>
      <c r="G1" s="34"/>
    </row>
    <row r="2" spans="1:7" ht="24.9" customHeight="1" x14ac:dyDescent="0.4">
      <c r="A2" s="117" t="s">
        <v>39</v>
      </c>
      <c r="B2" s="118"/>
      <c r="C2" s="118"/>
      <c r="D2" s="118"/>
      <c r="E2" s="118"/>
      <c r="F2" s="118"/>
      <c r="G2" s="119"/>
    </row>
    <row r="3" spans="1:7" ht="27" customHeight="1" x14ac:dyDescent="0.35">
      <c r="A3" s="114" t="s">
        <v>40</v>
      </c>
      <c r="B3" s="115"/>
      <c r="C3" s="115"/>
      <c r="D3" s="115"/>
      <c r="E3" s="115"/>
      <c r="F3" s="115"/>
      <c r="G3" s="116"/>
    </row>
    <row r="4" spans="1:7" ht="24.9" customHeight="1" x14ac:dyDescent="0.25">
      <c r="A4" s="67" t="s">
        <v>41</v>
      </c>
      <c r="B4" s="133" t="s">
        <v>11</v>
      </c>
      <c r="C4" s="132" t="s">
        <v>42</v>
      </c>
      <c r="D4" s="132" t="s">
        <v>43</v>
      </c>
      <c r="E4" s="132" t="s">
        <v>44</v>
      </c>
      <c r="F4" s="137" t="s">
        <v>45</v>
      </c>
      <c r="G4" s="132" t="s">
        <v>46</v>
      </c>
    </row>
    <row r="5" spans="1:7" ht="72" customHeight="1" x14ac:dyDescent="0.25">
      <c r="A5" s="6" t="s">
        <v>47</v>
      </c>
      <c r="B5" s="136"/>
      <c r="C5" s="133"/>
      <c r="D5" s="133"/>
      <c r="E5" s="133"/>
      <c r="F5" s="138"/>
      <c r="G5" s="133"/>
    </row>
    <row r="6" spans="1:7" ht="72" customHeight="1" x14ac:dyDescent="0.25">
      <c r="A6" s="134" t="s">
        <v>48</v>
      </c>
      <c r="B6" s="135"/>
      <c r="C6" s="135"/>
      <c r="D6" s="135"/>
      <c r="E6" s="135"/>
      <c r="F6" s="135"/>
      <c r="G6" s="135"/>
    </row>
    <row r="7" spans="1:7" ht="72" customHeight="1" x14ac:dyDescent="0.25">
      <c r="A7" s="7" t="s">
        <v>49</v>
      </c>
      <c r="B7" s="3" t="s">
        <v>50</v>
      </c>
      <c r="C7" s="57" t="s">
        <v>51</v>
      </c>
      <c r="D7" s="62"/>
      <c r="E7" s="62"/>
      <c r="F7" s="57" t="s">
        <v>52</v>
      </c>
      <c r="G7" s="63">
        <f>D7*E7</f>
        <v>0</v>
      </c>
    </row>
    <row r="8" spans="1:7" ht="72" customHeight="1" x14ac:dyDescent="0.25">
      <c r="A8" s="7" t="s">
        <v>53</v>
      </c>
      <c r="B8" s="3" t="s">
        <v>54</v>
      </c>
      <c r="C8" s="57" t="s">
        <v>51</v>
      </c>
      <c r="D8" s="62"/>
      <c r="E8" s="62"/>
      <c r="F8" s="57"/>
      <c r="G8" s="63">
        <f t="shared" ref="G8:G26" si="0">D8*E8</f>
        <v>0</v>
      </c>
    </row>
    <row r="9" spans="1:7" ht="72" customHeight="1" x14ac:dyDescent="0.25">
      <c r="A9" s="8" t="s">
        <v>55</v>
      </c>
      <c r="B9" s="3" t="s">
        <v>56</v>
      </c>
      <c r="C9" s="57" t="s">
        <v>51</v>
      </c>
      <c r="D9" s="62"/>
      <c r="E9" s="62"/>
      <c r="F9" s="57" t="s">
        <v>57</v>
      </c>
      <c r="G9" s="63">
        <f t="shared" si="0"/>
        <v>0</v>
      </c>
    </row>
    <row r="10" spans="1:7" ht="72" customHeight="1" x14ac:dyDescent="0.25">
      <c r="A10" s="9" t="s">
        <v>58</v>
      </c>
      <c r="B10" s="3" t="s">
        <v>59</v>
      </c>
      <c r="C10" s="57" t="s">
        <v>51</v>
      </c>
      <c r="D10" s="62"/>
      <c r="E10" s="62"/>
      <c r="F10" s="57" t="s">
        <v>277</v>
      </c>
      <c r="G10" s="63">
        <f t="shared" si="0"/>
        <v>0</v>
      </c>
    </row>
    <row r="11" spans="1:7" ht="72" customHeight="1" x14ac:dyDescent="0.25">
      <c r="A11" s="120" t="s">
        <v>60</v>
      </c>
      <c r="B11" s="121"/>
      <c r="C11" s="121"/>
      <c r="D11" s="121"/>
      <c r="E11" s="121"/>
      <c r="F11" s="121"/>
      <c r="G11" s="121"/>
    </row>
    <row r="12" spans="1:7" s="2" customFormat="1" ht="72" customHeight="1" x14ac:dyDescent="0.25">
      <c r="A12" s="7" t="s">
        <v>61</v>
      </c>
      <c r="B12" s="3" t="s">
        <v>62</v>
      </c>
      <c r="C12" s="57" t="s">
        <v>51</v>
      </c>
      <c r="D12" s="62"/>
      <c r="E12" s="62"/>
      <c r="F12" s="57" t="s">
        <v>63</v>
      </c>
      <c r="G12" s="63">
        <f t="shared" si="0"/>
        <v>0</v>
      </c>
    </row>
    <row r="13" spans="1:7" s="2" customFormat="1" ht="72" customHeight="1" x14ac:dyDescent="0.25">
      <c r="A13" s="120" t="s">
        <v>64</v>
      </c>
      <c r="B13" s="121"/>
      <c r="C13" s="121"/>
      <c r="D13" s="121"/>
      <c r="E13" s="121"/>
      <c r="F13" s="121"/>
      <c r="G13" s="122"/>
    </row>
    <row r="14" spans="1:7" ht="72" customHeight="1" x14ac:dyDescent="0.25">
      <c r="A14" s="7" t="s">
        <v>65</v>
      </c>
      <c r="B14" s="4" t="s">
        <v>66</v>
      </c>
      <c r="C14" s="58" t="s">
        <v>51</v>
      </c>
      <c r="D14" s="64"/>
      <c r="E14" s="64"/>
      <c r="F14" s="57" t="s">
        <v>67</v>
      </c>
      <c r="G14" s="63">
        <f t="shared" si="0"/>
        <v>0</v>
      </c>
    </row>
    <row r="15" spans="1:7" ht="72" customHeight="1" x14ac:dyDescent="0.25">
      <c r="A15" s="7" t="s">
        <v>68</v>
      </c>
      <c r="B15" s="4" t="s">
        <v>69</v>
      </c>
      <c r="C15" s="58" t="s">
        <v>51</v>
      </c>
      <c r="D15" s="64"/>
      <c r="E15" s="64"/>
      <c r="F15" s="61" t="s">
        <v>70</v>
      </c>
      <c r="G15" s="63">
        <f t="shared" si="0"/>
        <v>0</v>
      </c>
    </row>
    <row r="16" spans="1:7" ht="72" customHeight="1" x14ac:dyDescent="0.25">
      <c r="A16" s="120" t="s">
        <v>71</v>
      </c>
      <c r="B16" s="121"/>
      <c r="C16" s="121"/>
      <c r="D16" s="121"/>
      <c r="E16" s="121"/>
      <c r="F16" s="121"/>
      <c r="G16" s="122"/>
    </row>
    <row r="17" spans="1:7" ht="72" customHeight="1" x14ac:dyDescent="0.25">
      <c r="A17" s="7" t="s">
        <v>72</v>
      </c>
      <c r="B17" s="38" t="s">
        <v>73</v>
      </c>
      <c r="C17" s="59" t="s">
        <v>51</v>
      </c>
      <c r="D17" s="65"/>
      <c r="E17" s="65"/>
      <c r="F17" s="57" t="s">
        <v>281</v>
      </c>
      <c r="G17" s="63">
        <f t="shared" si="0"/>
        <v>0</v>
      </c>
    </row>
    <row r="18" spans="1:7" ht="72" customHeight="1" x14ac:dyDescent="0.25">
      <c r="A18" s="7" t="s">
        <v>72</v>
      </c>
      <c r="B18" s="38" t="s">
        <v>74</v>
      </c>
      <c r="C18" s="59" t="s">
        <v>51</v>
      </c>
      <c r="D18" s="65"/>
      <c r="E18" s="65"/>
      <c r="F18" s="57" t="s">
        <v>278</v>
      </c>
      <c r="G18" s="63"/>
    </row>
    <row r="19" spans="1:7" ht="72" customHeight="1" x14ac:dyDescent="0.25">
      <c r="A19" s="7" t="s">
        <v>75</v>
      </c>
      <c r="B19" s="3" t="s">
        <v>76</v>
      </c>
      <c r="C19" s="57" t="s">
        <v>51</v>
      </c>
      <c r="D19" s="62"/>
      <c r="E19" s="62"/>
      <c r="F19" s="57" t="s">
        <v>77</v>
      </c>
      <c r="G19" s="63">
        <f t="shared" si="0"/>
        <v>0</v>
      </c>
    </row>
    <row r="20" spans="1:7" ht="72" customHeight="1" x14ac:dyDescent="0.25">
      <c r="A20" s="7" t="s">
        <v>78</v>
      </c>
      <c r="B20" s="38" t="s">
        <v>79</v>
      </c>
      <c r="C20" s="59" t="s">
        <v>51</v>
      </c>
      <c r="D20" s="65"/>
      <c r="E20" s="65"/>
      <c r="F20" s="57" t="s">
        <v>80</v>
      </c>
      <c r="G20" s="63">
        <f t="shared" si="0"/>
        <v>0</v>
      </c>
    </row>
    <row r="21" spans="1:7" ht="72" customHeight="1" x14ac:dyDescent="0.25">
      <c r="A21" s="120" t="s">
        <v>81</v>
      </c>
      <c r="B21" s="121"/>
      <c r="C21" s="121"/>
      <c r="D21" s="121"/>
      <c r="E21" s="121"/>
      <c r="F21" s="121"/>
      <c r="G21" s="122"/>
    </row>
    <row r="22" spans="1:7" ht="72" customHeight="1" x14ac:dyDescent="0.25">
      <c r="A22" s="7" t="s">
        <v>82</v>
      </c>
      <c r="B22" s="3" t="s">
        <v>83</v>
      </c>
      <c r="C22" s="57" t="s">
        <v>51</v>
      </c>
      <c r="D22" s="62"/>
      <c r="E22" s="62"/>
      <c r="F22" s="57" t="s">
        <v>84</v>
      </c>
      <c r="G22" s="63">
        <f t="shared" si="0"/>
        <v>0</v>
      </c>
    </row>
    <row r="23" spans="1:7" ht="72" customHeight="1" x14ac:dyDescent="0.25">
      <c r="A23" s="7" t="s">
        <v>85</v>
      </c>
      <c r="B23" s="3" t="s">
        <v>86</v>
      </c>
      <c r="C23" s="57" t="s">
        <v>51</v>
      </c>
      <c r="D23" s="62"/>
      <c r="E23" s="62"/>
      <c r="F23" s="57" t="s">
        <v>279</v>
      </c>
      <c r="G23" s="63">
        <f t="shared" si="0"/>
        <v>0</v>
      </c>
    </row>
    <row r="24" spans="1:7" ht="72" customHeight="1" x14ac:dyDescent="0.25">
      <c r="A24" s="7" t="s">
        <v>87</v>
      </c>
      <c r="B24" s="3" t="s">
        <v>88</v>
      </c>
      <c r="C24" s="57" t="s">
        <v>282</v>
      </c>
      <c r="D24" s="62"/>
      <c r="E24" s="62"/>
      <c r="F24" s="57" t="s">
        <v>283</v>
      </c>
      <c r="G24" s="63">
        <f t="shared" si="0"/>
        <v>0</v>
      </c>
    </row>
    <row r="25" spans="1:7" ht="72" customHeight="1" x14ac:dyDescent="0.25">
      <c r="A25" s="7" t="s">
        <v>89</v>
      </c>
      <c r="B25" s="3" t="s">
        <v>90</v>
      </c>
      <c r="C25" s="57" t="s">
        <v>51</v>
      </c>
      <c r="D25" s="62"/>
      <c r="E25" s="62"/>
      <c r="F25" s="57" t="s">
        <v>284</v>
      </c>
      <c r="G25" s="63">
        <f t="shared" si="0"/>
        <v>0</v>
      </c>
    </row>
    <row r="26" spans="1:7" ht="72" customHeight="1" x14ac:dyDescent="0.25">
      <c r="A26" s="9" t="s">
        <v>91</v>
      </c>
      <c r="B26" s="3" t="s">
        <v>92</v>
      </c>
      <c r="C26" s="57" t="s">
        <v>51</v>
      </c>
      <c r="D26" s="62"/>
      <c r="E26" s="62"/>
      <c r="F26" s="59" t="s">
        <v>280</v>
      </c>
      <c r="G26" s="63">
        <f t="shared" si="0"/>
        <v>0</v>
      </c>
    </row>
    <row r="27" spans="1:7" ht="72" customHeight="1" x14ac:dyDescent="0.25">
      <c r="A27" s="123" t="s">
        <v>93</v>
      </c>
      <c r="B27" s="124"/>
      <c r="C27" s="124"/>
      <c r="D27" s="124"/>
      <c r="E27" s="124"/>
      <c r="F27" s="124"/>
      <c r="G27" s="125"/>
    </row>
    <row r="28" spans="1:7" ht="72" customHeight="1" x14ac:dyDescent="0.25">
      <c r="A28" s="126" t="s">
        <v>94</v>
      </c>
      <c r="B28" s="127"/>
      <c r="C28" s="127"/>
      <c r="D28" s="127"/>
      <c r="E28" s="127"/>
      <c r="F28" s="127"/>
      <c r="G28" s="128"/>
    </row>
    <row r="29" spans="1:7" ht="72" customHeight="1" x14ac:dyDescent="0.25">
      <c r="A29" s="7" t="s">
        <v>95</v>
      </c>
      <c r="B29" s="3" t="s">
        <v>96</v>
      </c>
      <c r="C29" s="57" t="s">
        <v>38</v>
      </c>
      <c r="D29" s="62"/>
      <c r="E29" s="62"/>
      <c r="F29" s="57" t="s">
        <v>285</v>
      </c>
      <c r="G29" s="63">
        <f t="shared" ref="G29:G34" si="1">D29*E29</f>
        <v>0</v>
      </c>
    </row>
    <row r="30" spans="1:7" ht="72" customHeight="1" x14ac:dyDescent="0.25">
      <c r="A30" s="7" t="s">
        <v>97</v>
      </c>
      <c r="B30" s="3" t="s">
        <v>98</v>
      </c>
      <c r="C30" s="57" t="s">
        <v>38</v>
      </c>
      <c r="D30" s="62"/>
      <c r="E30" s="62"/>
      <c r="F30" s="57" t="s">
        <v>286</v>
      </c>
      <c r="G30" s="63">
        <f t="shared" si="1"/>
        <v>0</v>
      </c>
    </row>
    <row r="31" spans="1:7" ht="72" customHeight="1" x14ac:dyDescent="0.25">
      <c r="A31" s="7" t="s">
        <v>99</v>
      </c>
      <c r="B31" s="3" t="s">
        <v>100</v>
      </c>
      <c r="C31" s="57" t="s">
        <v>38</v>
      </c>
      <c r="D31" s="62"/>
      <c r="E31" s="62"/>
      <c r="F31" s="57"/>
      <c r="G31" s="63">
        <f t="shared" si="1"/>
        <v>0</v>
      </c>
    </row>
    <row r="32" spans="1:7" ht="72" customHeight="1" x14ac:dyDescent="0.25">
      <c r="A32" s="7" t="s">
        <v>101</v>
      </c>
      <c r="B32" s="3" t="s">
        <v>102</v>
      </c>
      <c r="C32" s="57" t="s">
        <v>51</v>
      </c>
      <c r="D32" s="62"/>
      <c r="E32" s="62"/>
      <c r="F32" s="57" t="s">
        <v>287</v>
      </c>
      <c r="G32" s="63">
        <f t="shared" si="1"/>
        <v>0</v>
      </c>
    </row>
    <row r="33" spans="1:7" ht="72" customHeight="1" x14ac:dyDescent="0.25">
      <c r="A33" s="9" t="s">
        <v>103</v>
      </c>
      <c r="B33" s="3" t="s">
        <v>104</v>
      </c>
      <c r="C33" s="57" t="s">
        <v>51</v>
      </c>
      <c r="D33" s="62"/>
      <c r="E33" s="62"/>
      <c r="F33" s="57" t="s">
        <v>105</v>
      </c>
      <c r="G33" s="63">
        <f t="shared" si="1"/>
        <v>0</v>
      </c>
    </row>
    <row r="34" spans="1:7" ht="72" customHeight="1" x14ac:dyDescent="0.25">
      <c r="A34" s="9" t="s">
        <v>106</v>
      </c>
      <c r="B34" s="3" t="s">
        <v>107</v>
      </c>
      <c r="C34" s="57" t="s">
        <v>38</v>
      </c>
      <c r="D34" s="62"/>
      <c r="E34" s="62"/>
      <c r="F34" s="57"/>
      <c r="G34" s="63">
        <f t="shared" si="1"/>
        <v>0</v>
      </c>
    </row>
    <row r="35" spans="1:7" ht="72" customHeight="1" x14ac:dyDescent="0.25">
      <c r="A35" s="111" t="s">
        <v>108</v>
      </c>
      <c r="B35" s="112"/>
      <c r="C35" s="112"/>
      <c r="D35" s="112"/>
      <c r="E35" s="112"/>
      <c r="F35" s="112"/>
      <c r="G35" s="113"/>
    </row>
    <row r="36" spans="1:7" ht="72" customHeight="1" x14ac:dyDescent="0.25">
      <c r="A36" s="7" t="s">
        <v>109</v>
      </c>
      <c r="B36" s="3" t="s">
        <v>110</v>
      </c>
      <c r="C36" s="57" t="s">
        <v>290</v>
      </c>
      <c r="D36" s="62"/>
      <c r="E36" s="62"/>
      <c r="F36" s="57" t="s">
        <v>289</v>
      </c>
      <c r="G36" s="63">
        <f t="shared" ref="G36:G38" si="2">D36*E36</f>
        <v>0</v>
      </c>
    </row>
    <row r="37" spans="1:7" ht="72" customHeight="1" x14ac:dyDescent="0.25">
      <c r="A37" s="7" t="s">
        <v>111</v>
      </c>
      <c r="B37" s="3" t="s">
        <v>112</v>
      </c>
      <c r="C37" s="57" t="s">
        <v>288</v>
      </c>
      <c r="D37" s="62"/>
      <c r="E37" s="62"/>
      <c r="F37" s="57" t="s">
        <v>291</v>
      </c>
      <c r="G37" s="63">
        <f t="shared" si="2"/>
        <v>0</v>
      </c>
    </row>
    <row r="38" spans="1:7" ht="72" customHeight="1" x14ac:dyDescent="0.25">
      <c r="A38" s="7" t="s">
        <v>113</v>
      </c>
      <c r="B38" s="3" t="s">
        <v>114</v>
      </c>
      <c r="C38" s="57" t="s">
        <v>115</v>
      </c>
      <c r="D38" s="62"/>
      <c r="E38" s="62"/>
      <c r="F38" s="57" t="s">
        <v>291</v>
      </c>
      <c r="G38" s="63">
        <f t="shared" si="2"/>
        <v>0</v>
      </c>
    </row>
    <row r="39" spans="1:7" ht="72" customHeight="1" x14ac:dyDescent="0.25">
      <c r="A39" s="123" t="s">
        <v>116</v>
      </c>
      <c r="B39" s="124"/>
      <c r="C39" s="124"/>
      <c r="D39" s="124"/>
      <c r="E39" s="124"/>
      <c r="F39" s="124"/>
      <c r="G39" s="125"/>
    </row>
    <row r="40" spans="1:7" ht="72" customHeight="1" x14ac:dyDescent="0.25">
      <c r="A40" s="147" t="s">
        <v>117</v>
      </c>
      <c r="B40" s="148"/>
      <c r="C40" s="148"/>
      <c r="D40" s="148"/>
      <c r="E40" s="148"/>
      <c r="F40" s="148"/>
      <c r="G40" s="149"/>
    </row>
    <row r="41" spans="1:7" ht="72" customHeight="1" x14ac:dyDescent="0.25">
      <c r="A41" s="7" t="s">
        <v>118</v>
      </c>
      <c r="B41" s="3" t="s">
        <v>119</v>
      </c>
      <c r="C41" s="57" t="s">
        <v>51</v>
      </c>
      <c r="D41" s="62"/>
      <c r="E41" s="62"/>
      <c r="F41" s="57" t="s">
        <v>67</v>
      </c>
      <c r="G41" s="63">
        <f t="shared" ref="G41:G45" si="3">D41*E41</f>
        <v>0</v>
      </c>
    </row>
    <row r="42" spans="1:7" ht="72" customHeight="1" x14ac:dyDescent="0.25">
      <c r="A42" s="9" t="s">
        <v>120</v>
      </c>
      <c r="B42" s="38" t="s">
        <v>121</v>
      </c>
      <c r="C42" s="59" t="s">
        <v>51</v>
      </c>
      <c r="D42" s="65"/>
      <c r="E42" s="65"/>
      <c r="F42" s="57" t="s">
        <v>122</v>
      </c>
      <c r="G42" s="63">
        <f t="shared" si="3"/>
        <v>0</v>
      </c>
    </row>
    <row r="43" spans="1:7" ht="72" customHeight="1" x14ac:dyDescent="0.25">
      <c r="A43" s="9" t="s">
        <v>123</v>
      </c>
      <c r="B43" s="38" t="s">
        <v>124</v>
      </c>
      <c r="C43" s="59" t="s">
        <v>51</v>
      </c>
      <c r="D43" s="65"/>
      <c r="E43" s="65"/>
      <c r="F43" s="57" t="s">
        <v>125</v>
      </c>
      <c r="G43" s="63">
        <f t="shared" si="3"/>
        <v>0</v>
      </c>
    </row>
    <row r="44" spans="1:7" ht="72" customHeight="1" x14ac:dyDescent="0.25">
      <c r="A44" s="9" t="s">
        <v>126</v>
      </c>
      <c r="B44" s="3" t="s">
        <v>127</v>
      </c>
      <c r="C44" s="57" t="s">
        <v>51</v>
      </c>
      <c r="D44" s="62"/>
      <c r="E44" s="62"/>
      <c r="F44" s="57" t="s">
        <v>128</v>
      </c>
      <c r="G44" s="63">
        <f t="shared" si="3"/>
        <v>0</v>
      </c>
    </row>
    <row r="45" spans="1:7" ht="72" customHeight="1" x14ac:dyDescent="0.25">
      <c r="A45" s="9" t="s">
        <v>129</v>
      </c>
      <c r="B45" s="38" t="s">
        <v>130</v>
      </c>
      <c r="C45" s="57" t="s">
        <v>51</v>
      </c>
      <c r="D45" s="62"/>
      <c r="E45" s="62"/>
      <c r="F45" s="57" t="s">
        <v>292</v>
      </c>
      <c r="G45" s="63">
        <f t="shared" si="3"/>
        <v>0</v>
      </c>
    </row>
    <row r="46" spans="1:7" ht="72" customHeight="1" x14ac:dyDescent="0.25">
      <c r="A46" s="111" t="s">
        <v>131</v>
      </c>
      <c r="B46" s="112"/>
      <c r="C46" s="112"/>
      <c r="D46" s="112"/>
      <c r="E46" s="112"/>
      <c r="F46" s="112"/>
      <c r="G46" s="113"/>
    </row>
    <row r="47" spans="1:7" ht="72" customHeight="1" x14ac:dyDescent="0.25">
      <c r="A47" s="9" t="s">
        <v>132</v>
      </c>
      <c r="B47" s="38" t="s">
        <v>133</v>
      </c>
      <c r="C47" s="59" t="s">
        <v>51</v>
      </c>
      <c r="D47" s="65"/>
      <c r="E47" s="65"/>
      <c r="F47" s="57" t="s">
        <v>293</v>
      </c>
      <c r="G47" s="63">
        <f t="shared" ref="G47:G52" si="4">D47*E47</f>
        <v>0</v>
      </c>
    </row>
    <row r="48" spans="1:7" ht="72" customHeight="1" x14ac:dyDescent="0.25">
      <c r="A48" s="9" t="s">
        <v>134</v>
      </c>
      <c r="B48" s="38" t="s">
        <v>135</v>
      </c>
      <c r="C48" s="59" t="s">
        <v>51</v>
      </c>
      <c r="D48" s="65"/>
      <c r="E48" s="65"/>
      <c r="F48" s="57"/>
      <c r="G48" s="63">
        <f t="shared" si="4"/>
        <v>0</v>
      </c>
    </row>
    <row r="49" spans="1:7" ht="72" customHeight="1" x14ac:dyDescent="0.25">
      <c r="A49" s="9" t="s">
        <v>136</v>
      </c>
      <c r="B49" s="38" t="s">
        <v>137</v>
      </c>
      <c r="C49" s="59" t="s">
        <v>51</v>
      </c>
      <c r="D49" s="65"/>
      <c r="E49" s="65"/>
      <c r="F49" s="57" t="s">
        <v>294</v>
      </c>
      <c r="G49" s="63">
        <f t="shared" si="4"/>
        <v>0</v>
      </c>
    </row>
    <row r="50" spans="1:7" ht="72" customHeight="1" x14ac:dyDescent="0.25">
      <c r="A50" s="9" t="s">
        <v>138</v>
      </c>
      <c r="B50" s="38" t="s">
        <v>139</v>
      </c>
      <c r="C50" s="59" t="s">
        <v>51</v>
      </c>
      <c r="D50" s="65"/>
      <c r="E50" s="65"/>
      <c r="F50" s="57"/>
      <c r="G50" s="63">
        <f t="shared" si="4"/>
        <v>0</v>
      </c>
    </row>
    <row r="51" spans="1:7" ht="72" customHeight="1" x14ac:dyDescent="0.25">
      <c r="A51" s="9" t="s">
        <v>140</v>
      </c>
      <c r="B51" s="38" t="s">
        <v>141</v>
      </c>
      <c r="C51" s="59" t="s">
        <v>51</v>
      </c>
      <c r="D51" s="65"/>
      <c r="E51" s="65"/>
      <c r="F51" s="57"/>
      <c r="G51" s="63">
        <f t="shared" si="4"/>
        <v>0</v>
      </c>
    </row>
    <row r="52" spans="1:7" ht="72" customHeight="1" x14ac:dyDescent="0.25">
      <c r="A52" s="9" t="s">
        <v>142</v>
      </c>
      <c r="B52" s="38" t="s">
        <v>143</v>
      </c>
      <c r="C52" s="59" t="s">
        <v>51</v>
      </c>
      <c r="D52" s="65"/>
      <c r="E52" s="65"/>
      <c r="F52" s="57"/>
      <c r="G52" s="63">
        <f t="shared" si="4"/>
        <v>0</v>
      </c>
    </row>
    <row r="53" spans="1:7" ht="72" customHeight="1" x14ac:dyDescent="0.25">
      <c r="A53" s="111" t="s">
        <v>144</v>
      </c>
      <c r="B53" s="112"/>
      <c r="C53" s="112"/>
      <c r="D53" s="112"/>
      <c r="E53" s="112"/>
      <c r="F53" s="112"/>
      <c r="G53" s="113"/>
    </row>
    <row r="54" spans="1:7" ht="72" customHeight="1" x14ac:dyDescent="0.25">
      <c r="A54" s="8" t="s">
        <v>145</v>
      </c>
      <c r="B54" s="38" t="s">
        <v>146</v>
      </c>
      <c r="C54" s="59" t="s">
        <v>51</v>
      </c>
      <c r="D54" s="65"/>
      <c r="E54" s="65"/>
      <c r="F54" s="57" t="s">
        <v>295</v>
      </c>
      <c r="G54" s="63">
        <f t="shared" ref="G54" si="5">D54*E54</f>
        <v>0</v>
      </c>
    </row>
    <row r="55" spans="1:7" ht="72" customHeight="1" x14ac:dyDescent="0.25">
      <c r="A55" s="139" t="s">
        <v>147</v>
      </c>
      <c r="B55" s="140"/>
      <c r="C55" s="140"/>
      <c r="D55" s="140"/>
      <c r="E55" s="140"/>
      <c r="F55" s="140"/>
      <c r="G55" s="141"/>
    </row>
    <row r="56" spans="1:7" ht="72" customHeight="1" x14ac:dyDescent="0.25">
      <c r="A56" s="72" t="s">
        <v>148</v>
      </c>
      <c r="B56" s="38" t="s">
        <v>149</v>
      </c>
      <c r="C56" s="38" t="s">
        <v>51</v>
      </c>
      <c r="D56" s="82"/>
      <c r="E56" s="82"/>
      <c r="F56" s="59" t="s">
        <v>296</v>
      </c>
      <c r="G56" s="63">
        <f t="shared" ref="G56" si="6">D56*E56</f>
        <v>0</v>
      </c>
    </row>
    <row r="57" spans="1:7" ht="72" customHeight="1" x14ac:dyDescent="0.25">
      <c r="A57" s="72" t="s">
        <v>150</v>
      </c>
      <c r="B57" s="142" t="s">
        <v>151</v>
      </c>
      <c r="C57" s="143"/>
      <c r="D57" s="143"/>
      <c r="E57" s="143"/>
      <c r="F57" s="143"/>
      <c r="G57" s="144"/>
    </row>
    <row r="58" spans="1:7" ht="72" customHeight="1" x14ac:dyDescent="0.25">
      <c r="A58" s="145" t="s">
        <v>152</v>
      </c>
      <c r="B58" s="146"/>
      <c r="C58" s="68"/>
      <c r="D58" s="69" t="s">
        <v>153</v>
      </c>
      <c r="E58" s="69" t="s">
        <v>154</v>
      </c>
      <c r="F58" s="70" t="s">
        <v>155</v>
      </c>
      <c r="G58" s="71" t="s">
        <v>156</v>
      </c>
    </row>
    <row r="59" spans="1:7" ht="72" customHeight="1" x14ac:dyDescent="0.25">
      <c r="A59" s="129"/>
      <c r="B59" s="130"/>
      <c r="C59" s="131"/>
      <c r="D59" s="66">
        <f>SUM(D7:D56)</f>
        <v>0</v>
      </c>
      <c r="E59" s="66">
        <f>SUM(E7:E56)</f>
        <v>0</v>
      </c>
      <c r="F59" s="59"/>
      <c r="G59" s="66">
        <f>SUM(G7:G56)</f>
        <v>0</v>
      </c>
    </row>
  </sheetData>
  <mergeCells count="24">
    <mergeCell ref="A59:C59"/>
    <mergeCell ref="D4:D5"/>
    <mergeCell ref="E4:E5"/>
    <mergeCell ref="A6:G6"/>
    <mergeCell ref="B4:B5"/>
    <mergeCell ref="F4:F5"/>
    <mergeCell ref="C4:C5"/>
    <mergeCell ref="G4:G5"/>
    <mergeCell ref="A11:G11"/>
    <mergeCell ref="A13:G13"/>
    <mergeCell ref="A55:G55"/>
    <mergeCell ref="A53:G53"/>
    <mergeCell ref="B57:G57"/>
    <mergeCell ref="A58:B58"/>
    <mergeCell ref="A39:G39"/>
    <mergeCell ref="A40:G40"/>
    <mergeCell ref="A46:G46"/>
    <mergeCell ref="A35:G35"/>
    <mergeCell ref="A3:G3"/>
    <mergeCell ref="A2:G2"/>
    <mergeCell ref="A16:G16"/>
    <mergeCell ref="A21:G21"/>
    <mergeCell ref="A27:G27"/>
    <mergeCell ref="A28:G28"/>
  </mergeCells>
  <phoneticPr fontId="10" type="noConversion"/>
  <dataValidations count="1">
    <dataValidation type="list" allowBlank="1" showInputMessage="1" showErrorMessage="1" sqref="C7:C10 C12 C14:C15 C17:C20" xr:uid="{00000000-0002-0000-0100-000000000000}">
      <formula1>"Yes,No"</formula1>
    </dataValidation>
  </dataValidations>
  <printOptions horizontalCentered="1"/>
  <pageMargins left="0.75" right="0.75" top="1" bottom="1" header="0.5" footer="0.5"/>
  <pageSetup scale="48" fitToHeight="3" orientation="landscape" horizontalDpi="4294967292" verticalDpi="4294967292" r:id="rId1"/>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4"/>
  <sheetViews>
    <sheetView workbookViewId="0">
      <pane ySplit="1" topLeftCell="A85" activePane="bottomLeft" state="frozen"/>
      <selection pane="bottomLeft" activeCell="B105" sqref="B105"/>
    </sheetView>
  </sheetViews>
  <sheetFormatPr defaultColWidth="11.44140625" defaultRowHeight="13.2" x14ac:dyDescent="0.25"/>
  <cols>
    <col min="1" max="1" width="96.5546875" customWidth="1"/>
    <col min="2" max="2" width="21.44140625" bestFit="1" customWidth="1"/>
    <col min="3" max="3" width="96.5546875" style="88" customWidth="1"/>
    <col min="4" max="4" width="33.88671875" bestFit="1" customWidth="1"/>
  </cols>
  <sheetData>
    <row r="1" spans="1:4" s="36" customFormat="1" ht="15.6" x14ac:dyDescent="0.3">
      <c r="A1" s="35" t="str">
        <f>CONCATENATE("Vendor Name: ",'Vendor Information'!C20)</f>
        <v>Vendor Name: PeriGen, Inc.</v>
      </c>
      <c r="B1" s="35"/>
      <c r="C1" s="37"/>
      <c r="D1" s="37"/>
    </row>
    <row r="2" spans="1:4" ht="15.75" customHeight="1" x14ac:dyDescent="0.25">
      <c r="A2" s="1"/>
      <c r="B2" s="1"/>
      <c r="D2" s="1"/>
    </row>
    <row r="3" spans="1:4" ht="24.6" x14ac:dyDescent="0.4">
      <c r="A3" s="150" t="s">
        <v>157</v>
      </c>
      <c r="B3" s="150"/>
      <c r="C3" s="150"/>
    </row>
    <row r="5" spans="1:4" ht="15.75" customHeight="1" x14ac:dyDescent="0.25">
      <c r="A5" s="15"/>
      <c r="B5" s="15"/>
      <c r="C5" s="16"/>
    </row>
    <row r="6" spans="1:4" ht="45" customHeight="1" x14ac:dyDescent="0.25">
      <c r="A6" s="49" t="s">
        <v>158</v>
      </c>
      <c r="B6" s="50" t="s">
        <v>42</v>
      </c>
      <c r="C6" s="170" t="s">
        <v>159</v>
      </c>
    </row>
    <row r="7" spans="1:4" ht="72" customHeight="1" x14ac:dyDescent="0.25">
      <c r="A7" s="47" t="s">
        <v>160</v>
      </c>
      <c r="B7" s="48"/>
      <c r="C7" s="171"/>
    </row>
    <row r="8" spans="1:4" ht="72" customHeight="1" x14ac:dyDescent="0.25">
      <c r="A8" s="21" t="s">
        <v>161</v>
      </c>
      <c r="B8" s="41"/>
      <c r="C8" s="172"/>
    </row>
    <row r="9" spans="1:4" ht="72" customHeight="1" x14ac:dyDescent="0.25">
      <c r="A9" s="20" t="s">
        <v>162</v>
      </c>
      <c r="B9" s="183"/>
      <c r="C9" s="172"/>
    </row>
    <row r="10" spans="1:4" ht="72" customHeight="1" x14ac:dyDescent="0.25">
      <c r="A10" s="20" t="s">
        <v>163</v>
      </c>
      <c r="B10" s="42"/>
      <c r="C10" s="182"/>
    </row>
    <row r="11" spans="1:4" ht="72" customHeight="1" x14ac:dyDescent="0.25">
      <c r="A11" s="21" t="s">
        <v>164</v>
      </c>
      <c r="B11" s="41"/>
      <c r="C11" s="172"/>
    </row>
    <row r="12" spans="1:4" ht="72" customHeight="1" x14ac:dyDescent="0.25">
      <c r="A12" s="23" t="s">
        <v>165</v>
      </c>
      <c r="B12" s="43"/>
      <c r="C12" s="171"/>
    </row>
    <row r="13" spans="1:4" ht="72" customHeight="1" x14ac:dyDescent="0.25">
      <c r="A13" s="21" t="s">
        <v>166</v>
      </c>
      <c r="B13" s="41"/>
      <c r="C13" s="172"/>
    </row>
    <row r="14" spans="1:4" ht="72" customHeight="1" x14ac:dyDescent="0.25">
      <c r="A14" s="23" t="s">
        <v>167</v>
      </c>
      <c r="B14" s="43"/>
      <c r="C14" s="171"/>
    </row>
    <row r="15" spans="1:4" ht="72" customHeight="1" x14ac:dyDescent="0.25">
      <c r="A15" s="21" t="s">
        <v>168</v>
      </c>
      <c r="B15" s="41"/>
      <c r="C15" s="172"/>
    </row>
    <row r="16" spans="1:4" ht="72" customHeight="1" x14ac:dyDescent="0.25">
      <c r="A16" s="21" t="s">
        <v>169</v>
      </c>
      <c r="B16" s="41"/>
      <c r="C16" s="172"/>
    </row>
    <row r="17" spans="1:3" ht="148.80000000000001" customHeight="1" x14ac:dyDescent="0.25">
      <c r="A17" s="23" t="s">
        <v>170</v>
      </c>
      <c r="B17" s="43"/>
      <c r="C17" s="171"/>
    </row>
    <row r="18" spans="1:3" ht="72" customHeight="1" x14ac:dyDescent="0.25">
      <c r="A18" s="23" t="s">
        <v>171</v>
      </c>
      <c r="B18" s="184"/>
      <c r="C18" s="171"/>
    </row>
    <row r="19" spans="1:3" ht="72" customHeight="1" x14ac:dyDescent="0.25">
      <c r="A19" s="83" t="s">
        <v>172</v>
      </c>
      <c r="B19" s="185"/>
      <c r="C19" s="173"/>
    </row>
    <row r="20" spans="1:3" ht="45" customHeight="1" x14ac:dyDescent="0.25">
      <c r="A20" s="49" t="s">
        <v>173</v>
      </c>
      <c r="B20" s="51" t="s">
        <v>42</v>
      </c>
      <c r="C20" s="174" t="s">
        <v>159</v>
      </c>
    </row>
    <row r="21" spans="1:3" ht="72" customHeight="1" x14ac:dyDescent="0.25">
      <c r="A21" s="47" t="s">
        <v>174</v>
      </c>
      <c r="B21" s="48"/>
      <c r="C21" s="171"/>
    </row>
    <row r="22" spans="1:3" ht="72" customHeight="1" x14ac:dyDescent="0.25">
      <c r="A22" s="21" t="s">
        <v>175</v>
      </c>
      <c r="B22" s="41"/>
      <c r="C22" s="172"/>
    </row>
    <row r="23" spans="1:3" ht="72" customHeight="1" x14ac:dyDescent="0.25">
      <c r="A23" s="21" t="s">
        <v>176</v>
      </c>
      <c r="B23" s="41"/>
      <c r="C23" s="171"/>
    </row>
    <row r="24" spans="1:3" ht="72" customHeight="1" x14ac:dyDescent="0.25">
      <c r="A24" s="21" t="s">
        <v>177</v>
      </c>
      <c r="B24" s="41"/>
      <c r="C24" s="171"/>
    </row>
    <row r="25" spans="1:3" ht="72" customHeight="1" x14ac:dyDescent="0.25">
      <c r="A25" s="21" t="s">
        <v>178</v>
      </c>
      <c r="B25" s="41"/>
      <c r="C25" s="172"/>
    </row>
    <row r="26" spans="1:3" ht="72" customHeight="1" x14ac:dyDescent="0.25">
      <c r="A26" s="20" t="s">
        <v>179</v>
      </c>
      <c r="B26" s="42"/>
      <c r="C26" s="172"/>
    </row>
    <row r="27" spans="1:3" ht="72" customHeight="1" thickBot="1" x14ac:dyDescent="0.3">
      <c r="A27" s="22" t="s">
        <v>180</v>
      </c>
      <c r="B27" s="44"/>
      <c r="C27" s="171"/>
    </row>
    <row r="28" spans="1:3" ht="45" customHeight="1" x14ac:dyDescent="0.25">
      <c r="A28" s="52" t="s">
        <v>181</v>
      </c>
      <c r="B28" s="53" t="s">
        <v>42</v>
      </c>
      <c r="C28" s="176" t="s">
        <v>159</v>
      </c>
    </row>
    <row r="29" spans="1:3" ht="72" customHeight="1" x14ac:dyDescent="0.25">
      <c r="A29" s="21" t="s">
        <v>182</v>
      </c>
      <c r="B29" s="41"/>
      <c r="C29" s="171"/>
    </row>
    <row r="30" spans="1:3" ht="72" customHeight="1" x14ac:dyDescent="0.25">
      <c r="A30" s="20" t="s">
        <v>183</v>
      </c>
      <c r="B30" s="41"/>
      <c r="C30" s="171"/>
    </row>
    <row r="31" spans="1:3" ht="72" customHeight="1" x14ac:dyDescent="0.25">
      <c r="A31" s="21" t="s">
        <v>184</v>
      </c>
      <c r="B31" s="41"/>
      <c r="C31" s="171"/>
    </row>
    <row r="32" spans="1:3" ht="72" customHeight="1" x14ac:dyDescent="0.25">
      <c r="A32" s="19" t="s">
        <v>185</v>
      </c>
      <c r="B32" s="45"/>
      <c r="C32" s="175"/>
    </row>
    <row r="33" spans="1:3" ht="72" customHeight="1" x14ac:dyDescent="0.25">
      <c r="A33" s="19" t="s">
        <v>186</v>
      </c>
      <c r="B33" s="45"/>
      <c r="C33" s="171"/>
    </row>
    <row r="34" spans="1:3" ht="72" customHeight="1" x14ac:dyDescent="0.25">
      <c r="A34" s="19" t="s">
        <v>187</v>
      </c>
      <c r="B34" s="45"/>
      <c r="C34" s="175"/>
    </row>
    <row r="35" spans="1:3" ht="72" customHeight="1" x14ac:dyDescent="0.25">
      <c r="A35" s="20" t="s">
        <v>188</v>
      </c>
      <c r="B35" s="45"/>
      <c r="C35" s="171"/>
    </row>
    <row r="36" spans="1:3" ht="72" customHeight="1" thickBot="1" x14ac:dyDescent="0.3">
      <c r="A36" s="19" t="s">
        <v>189</v>
      </c>
      <c r="B36" s="45"/>
      <c r="C36" s="175"/>
    </row>
    <row r="37" spans="1:3" ht="45" customHeight="1" thickBot="1" x14ac:dyDescent="0.3">
      <c r="A37" s="54" t="s">
        <v>190</v>
      </c>
      <c r="B37" s="55" t="s">
        <v>42</v>
      </c>
      <c r="C37" s="177" t="s">
        <v>159</v>
      </c>
    </row>
    <row r="38" spans="1:3" ht="72" customHeight="1" x14ac:dyDescent="0.25">
      <c r="A38" s="20" t="s">
        <v>191</v>
      </c>
      <c r="B38" s="42"/>
      <c r="C38" s="172"/>
    </row>
    <row r="39" spans="1:3" ht="72" customHeight="1" x14ac:dyDescent="0.25">
      <c r="A39" s="20" t="s">
        <v>192</v>
      </c>
      <c r="B39" s="42"/>
      <c r="C39" s="172"/>
    </row>
    <row r="40" spans="1:3" ht="72" customHeight="1" x14ac:dyDescent="0.25">
      <c r="A40" s="20" t="s">
        <v>193</v>
      </c>
      <c r="B40" s="42"/>
      <c r="C40" s="172"/>
    </row>
    <row r="41" spans="1:3" ht="72" customHeight="1" x14ac:dyDescent="0.25">
      <c r="A41" s="20" t="s">
        <v>194</v>
      </c>
      <c r="B41" s="42"/>
      <c r="C41" s="172"/>
    </row>
    <row r="42" spans="1:3" ht="72" customHeight="1" x14ac:dyDescent="0.25">
      <c r="A42" s="20" t="s">
        <v>195</v>
      </c>
      <c r="B42" s="42"/>
      <c r="C42" s="172"/>
    </row>
    <row r="43" spans="1:3" ht="72" customHeight="1" x14ac:dyDescent="0.25">
      <c r="A43" s="20" t="s">
        <v>196</v>
      </c>
      <c r="B43" s="42"/>
      <c r="C43" s="172"/>
    </row>
    <row r="44" spans="1:3" ht="72" customHeight="1" x14ac:dyDescent="0.25">
      <c r="A44" s="20" t="s">
        <v>197</v>
      </c>
      <c r="B44" s="42"/>
      <c r="C44" s="172"/>
    </row>
    <row r="45" spans="1:3" ht="72" customHeight="1" thickBot="1" x14ac:dyDescent="0.3">
      <c r="A45" s="20" t="s">
        <v>198</v>
      </c>
      <c r="B45" s="42"/>
      <c r="C45" s="172"/>
    </row>
    <row r="46" spans="1:3" ht="45" customHeight="1" thickBot="1" x14ac:dyDescent="0.3">
      <c r="A46" s="54" t="s">
        <v>199</v>
      </c>
      <c r="B46" s="55" t="s">
        <v>42</v>
      </c>
      <c r="C46" s="177" t="s">
        <v>159</v>
      </c>
    </row>
    <row r="47" spans="1:3" ht="72" customHeight="1" x14ac:dyDescent="0.25">
      <c r="A47" s="84" t="s">
        <v>200</v>
      </c>
      <c r="B47" s="85"/>
      <c r="C47" s="178"/>
    </row>
    <row r="48" spans="1:3" ht="72" customHeight="1" x14ac:dyDescent="0.25">
      <c r="A48" s="20" t="s">
        <v>201</v>
      </c>
      <c r="B48" s="42"/>
      <c r="C48" s="172"/>
    </row>
    <row r="49" spans="1:3" ht="72" customHeight="1" x14ac:dyDescent="0.25">
      <c r="A49" s="21" t="s">
        <v>202</v>
      </c>
      <c r="B49" s="41"/>
      <c r="C49" s="172"/>
    </row>
    <row r="50" spans="1:3" ht="72" customHeight="1" x14ac:dyDescent="0.25">
      <c r="A50" s="20" t="s">
        <v>203</v>
      </c>
      <c r="B50" s="42"/>
      <c r="C50" s="172"/>
    </row>
    <row r="51" spans="1:3" ht="72" customHeight="1" x14ac:dyDescent="0.25">
      <c r="A51" s="20" t="s">
        <v>204</v>
      </c>
      <c r="B51" s="42"/>
      <c r="C51" s="172"/>
    </row>
    <row r="52" spans="1:3" ht="72" customHeight="1" x14ac:dyDescent="0.25">
      <c r="A52" s="19" t="s">
        <v>205</v>
      </c>
      <c r="B52" s="45"/>
      <c r="C52" s="175"/>
    </row>
    <row r="53" spans="1:3" ht="72" customHeight="1" x14ac:dyDescent="0.25">
      <c r="A53" s="19" t="s">
        <v>206</v>
      </c>
      <c r="B53" s="45"/>
      <c r="C53" s="175"/>
    </row>
    <row r="54" spans="1:3" ht="72" customHeight="1" thickBot="1" x14ac:dyDescent="0.3">
      <c r="A54" s="86" t="s">
        <v>207</v>
      </c>
      <c r="B54" s="87"/>
      <c r="C54" s="179"/>
    </row>
    <row r="55" spans="1:3" ht="45" customHeight="1" thickBot="1" x14ac:dyDescent="0.3">
      <c r="A55" s="54" t="s">
        <v>208</v>
      </c>
      <c r="B55" s="55" t="s">
        <v>42</v>
      </c>
      <c r="C55" s="177" t="s">
        <v>159</v>
      </c>
    </row>
    <row r="56" spans="1:3" ht="45" customHeight="1" x14ac:dyDescent="0.25">
      <c r="A56" s="20" t="s">
        <v>209</v>
      </c>
      <c r="B56" s="42"/>
      <c r="C56" s="172"/>
    </row>
    <row r="57" spans="1:3" ht="45" customHeight="1" x14ac:dyDescent="0.25">
      <c r="A57" s="20" t="s">
        <v>210</v>
      </c>
      <c r="B57" s="42"/>
      <c r="C57" s="172"/>
    </row>
    <row r="58" spans="1:3" ht="45" customHeight="1" x14ac:dyDescent="0.25">
      <c r="A58" s="20" t="s">
        <v>211</v>
      </c>
      <c r="B58" s="42"/>
      <c r="C58" s="172"/>
    </row>
    <row r="59" spans="1:3" ht="45" customHeight="1" x14ac:dyDescent="0.25">
      <c r="A59" s="20" t="s">
        <v>212</v>
      </c>
      <c r="B59" s="42"/>
      <c r="C59" s="172"/>
    </row>
    <row r="60" spans="1:3" ht="45" customHeight="1" x14ac:dyDescent="0.25">
      <c r="A60" s="20" t="s">
        <v>213</v>
      </c>
      <c r="B60" s="42"/>
      <c r="C60" s="172"/>
    </row>
    <row r="61" spans="1:3" ht="72" customHeight="1" x14ac:dyDescent="0.25">
      <c r="A61" s="20" t="s">
        <v>214</v>
      </c>
      <c r="B61" s="42"/>
      <c r="C61" s="172"/>
    </row>
    <row r="62" spans="1:3" ht="72" customHeight="1" x14ac:dyDescent="0.25">
      <c r="A62" s="20" t="s">
        <v>215</v>
      </c>
      <c r="B62" s="42"/>
      <c r="C62" s="172"/>
    </row>
    <row r="63" spans="1:3" ht="72" customHeight="1" x14ac:dyDescent="0.25">
      <c r="A63" s="19" t="s">
        <v>216</v>
      </c>
      <c r="B63" s="45"/>
      <c r="C63" s="175"/>
    </row>
    <row r="64" spans="1:3" ht="45" customHeight="1" x14ac:dyDescent="0.25">
      <c r="A64" s="49" t="s">
        <v>217</v>
      </c>
      <c r="B64" s="50" t="s">
        <v>42</v>
      </c>
      <c r="C64" s="170" t="s">
        <v>159</v>
      </c>
    </row>
    <row r="65" spans="1:3" ht="72" customHeight="1" x14ac:dyDescent="0.25">
      <c r="A65" s="56" t="s">
        <v>218</v>
      </c>
      <c r="B65" s="56"/>
      <c r="C65" s="180"/>
    </row>
    <row r="66" spans="1:3" ht="72" customHeight="1" x14ac:dyDescent="0.25">
      <c r="A66" s="56" t="s">
        <v>219</v>
      </c>
      <c r="B66" s="56"/>
      <c r="C66" s="180"/>
    </row>
    <row r="67" spans="1:3" ht="72" customHeight="1" x14ac:dyDescent="0.25">
      <c r="A67" s="56" t="s">
        <v>220</v>
      </c>
      <c r="B67" s="56"/>
      <c r="C67" s="180"/>
    </row>
    <row r="68" spans="1:3" ht="72" customHeight="1" x14ac:dyDescent="0.25">
      <c r="A68" s="56" t="s">
        <v>221</v>
      </c>
      <c r="B68" s="56"/>
      <c r="C68" s="180"/>
    </row>
    <row r="69" spans="1:3" ht="72" customHeight="1" x14ac:dyDescent="0.25">
      <c r="A69" s="56" t="s">
        <v>222</v>
      </c>
      <c r="B69" s="56"/>
      <c r="C69" s="180"/>
    </row>
    <row r="70" spans="1:3" ht="72" customHeight="1" x14ac:dyDescent="0.25">
      <c r="A70" s="56" t="s">
        <v>223</v>
      </c>
      <c r="B70" s="56"/>
      <c r="C70" s="180"/>
    </row>
    <row r="71" spans="1:3" ht="45" customHeight="1" x14ac:dyDescent="0.25">
      <c r="A71" s="49" t="s">
        <v>224</v>
      </c>
      <c r="B71" s="50" t="s">
        <v>42</v>
      </c>
      <c r="C71" s="170" t="s">
        <v>159</v>
      </c>
    </row>
    <row r="72" spans="1:3" ht="72" customHeight="1" x14ac:dyDescent="0.25">
      <c r="A72" s="23" t="s">
        <v>225</v>
      </c>
      <c r="B72" s="43"/>
      <c r="C72" s="171"/>
    </row>
    <row r="73" spans="1:3" ht="72" customHeight="1" x14ac:dyDescent="0.25">
      <c r="A73" s="20" t="s">
        <v>226</v>
      </c>
      <c r="B73" s="42"/>
      <c r="C73" s="172"/>
    </row>
    <row r="74" spans="1:3" ht="72" customHeight="1" x14ac:dyDescent="0.25">
      <c r="A74" s="20" t="s">
        <v>227</v>
      </c>
      <c r="B74" s="42"/>
      <c r="C74" s="172"/>
    </row>
    <row r="75" spans="1:3" ht="72" customHeight="1" x14ac:dyDescent="0.25">
      <c r="A75" s="20" t="s">
        <v>228</v>
      </c>
      <c r="B75" s="42"/>
      <c r="C75" s="172"/>
    </row>
    <row r="76" spans="1:3" ht="72" customHeight="1" x14ac:dyDescent="0.25">
      <c r="A76" s="21" t="s">
        <v>229</v>
      </c>
      <c r="B76" s="41"/>
      <c r="C76" s="172"/>
    </row>
    <row r="77" spans="1:3" ht="72" customHeight="1" x14ac:dyDescent="0.25">
      <c r="A77" s="20" t="s">
        <v>230</v>
      </c>
      <c r="B77" s="42"/>
      <c r="C77" s="172"/>
    </row>
    <row r="78" spans="1:3" ht="72" customHeight="1" thickBot="1" x14ac:dyDescent="0.3">
      <c r="A78" s="27" t="s">
        <v>231</v>
      </c>
      <c r="B78" s="46"/>
      <c r="C78" s="179"/>
    </row>
    <row r="79" spans="1:3" ht="45" customHeight="1" thickBot="1" x14ac:dyDescent="0.3">
      <c r="A79" s="54" t="s">
        <v>232</v>
      </c>
      <c r="B79" s="55" t="s">
        <v>42</v>
      </c>
      <c r="C79" s="177" t="s">
        <v>159</v>
      </c>
    </row>
    <row r="80" spans="1:3" ht="72" customHeight="1" x14ac:dyDescent="0.25">
      <c r="A80" s="84" t="s">
        <v>233</v>
      </c>
      <c r="B80" s="85"/>
      <c r="C80" s="178"/>
    </row>
    <row r="81" spans="1:3" ht="72" customHeight="1" x14ac:dyDescent="0.25">
      <c r="A81" s="23" t="s">
        <v>234</v>
      </c>
      <c r="B81" s="43"/>
      <c r="C81" s="171"/>
    </row>
    <row r="82" spans="1:3" ht="72" customHeight="1" x14ac:dyDescent="0.25">
      <c r="A82" s="20" t="s">
        <v>235</v>
      </c>
      <c r="B82" s="42"/>
      <c r="C82" s="172"/>
    </row>
    <row r="83" spans="1:3" ht="72" customHeight="1" x14ac:dyDescent="0.25">
      <c r="A83" s="20" t="s">
        <v>236</v>
      </c>
      <c r="B83" s="42"/>
      <c r="C83" s="172"/>
    </row>
    <row r="84" spans="1:3" ht="72" customHeight="1" thickBot="1" x14ac:dyDescent="0.3">
      <c r="A84" s="86" t="s">
        <v>237</v>
      </c>
      <c r="B84" s="87"/>
      <c r="C84" s="179"/>
    </row>
    <row r="85" spans="1:3" ht="45" customHeight="1" thickBot="1" x14ac:dyDescent="0.3">
      <c r="A85" s="54" t="s">
        <v>238</v>
      </c>
      <c r="B85" s="55" t="s">
        <v>42</v>
      </c>
      <c r="C85" s="177" t="s">
        <v>159</v>
      </c>
    </row>
    <row r="86" spans="1:3" ht="72" customHeight="1" x14ac:dyDescent="0.25">
      <c r="A86" s="20" t="s">
        <v>239</v>
      </c>
      <c r="B86" s="42"/>
      <c r="C86" s="172"/>
    </row>
    <row r="87" spans="1:3" ht="72" customHeight="1" x14ac:dyDescent="0.25">
      <c r="A87" s="20" t="s">
        <v>240</v>
      </c>
      <c r="B87" s="42"/>
      <c r="C87" s="172"/>
    </row>
    <row r="88" spans="1:3" ht="72" customHeight="1" x14ac:dyDescent="0.25">
      <c r="A88" s="20" t="s">
        <v>241</v>
      </c>
      <c r="B88" s="42"/>
      <c r="C88" s="172"/>
    </row>
    <row r="89" spans="1:3" ht="72" customHeight="1" x14ac:dyDescent="0.25">
      <c r="A89" s="20" t="s">
        <v>242</v>
      </c>
      <c r="B89" s="42"/>
      <c r="C89" s="172"/>
    </row>
    <row r="90" spans="1:3" ht="72" customHeight="1" x14ac:dyDescent="0.25">
      <c r="A90" s="20" t="s">
        <v>243</v>
      </c>
      <c r="B90" s="42"/>
      <c r="C90" s="172"/>
    </row>
    <row r="93" spans="1:3" s="18" customFormat="1" ht="12.6" customHeight="1" x14ac:dyDescent="0.25">
      <c r="C93" s="181"/>
    </row>
    <row r="94" spans="1:3" s="18" customFormat="1" ht="12.9" customHeight="1" x14ac:dyDescent="0.25">
      <c r="C94" s="181"/>
    </row>
  </sheetData>
  <mergeCells count="1">
    <mergeCell ref="A3:C3"/>
  </mergeCells>
  <dataValidations count="1">
    <dataValidation type="list" allowBlank="1" showInputMessage="1" showErrorMessage="1" sqref="B7:B19 B21:B27 B65:B70 B38:B45 B47:B54 B56:B63 B72:B78 B80:B84 B86:B90 B29:B36" xr:uid="{00000000-0002-0000-0200-000000000000}">
      <formula1>"Yes,No"</formula1>
    </dataValidation>
  </dataValidations>
  <pageMargins left="0.75" right="0.75" top="1" bottom="1" header="0.5" footer="0.5"/>
  <pageSetup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
  <sheetViews>
    <sheetView workbookViewId="0">
      <selection activeCell="D11" sqref="D11"/>
    </sheetView>
  </sheetViews>
  <sheetFormatPr defaultRowHeight="13.2" x14ac:dyDescent="0.25"/>
  <cols>
    <col min="1" max="1" width="47.109375" bestFit="1" customWidth="1"/>
    <col min="2" max="2" width="22.44140625" bestFit="1" customWidth="1"/>
    <col min="3" max="3" width="27" bestFit="1" customWidth="1"/>
    <col min="4" max="4" width="35.5546875" bestFit="1" customWidth="1"/>
  </cols>
  <sheetData>
    <row r="1" spans="1:4" ht="54" customHeight="1" x14ac:dyDescent="0.4">
      <c r="A1" s="161" t="s">
        <v>244</v>
      </c>
      <c r="B1" s="162"/>
      <c r="C1" s="162"/>
      <c r="D1" s="162"/>
    </row>
    <row r="3" spans="1:4" x14ac:dyDescent="0.25">
      <c r="A3" s="151" t="s">
        <v>245</v>
      </c>
      <c r="B3" s="152"/>
      <c r="C3" s="152"/>
      <c r="D3" s="152"/>
    </row>
    <row r="4" spans="1:4" x14ac:dyDescent="0.25">
      <c r="A4" s="151"/>
      <c r="B4" s="152"/>
      <c r="C4" s="152"/>
      <c r="D4" s="152"/>
    </row>
    <row r="5" spans="1:4" ht="15.6" x14ac:dyDescent="0.25">
      <c r="A5" s="29" t="s">
        <v>246</v>
      </c>
      <c r="B5" s="28" t="s">
        <v>247</v>
      </c>
      <c r="C5" s="28" t="s">
        <v>248</v>
      </c>
      <c r="D5" s="28" t="s">
        <v>249</v>
      </c>
    </row>
    <row r="6" spans="1:4" ht="60" customHeight="1" x14ac:dyDescent="0.25">
      <c r="A6" s="26" t="s">
        <v>250</v>
      </c>
      <c r="B6" s="25"/>
      <c r="C6" s="25"/>
      <c r="D6" s="25">
        <f t="shared" ref="D6:D15" si="0">B6*C6</f>
        <v>0</v>
      </c>
    </row>
    <row r="7" spans="1:4" ht="60" customHeight="1" x14ac:dyDescent="0.25">
      <c r="A7" s="26" t="s">
        <v>251</v>
      </c>
      <c r="B7" s="25"/>
      <c r="C7" s="25"/>
      <c r="D7" s="25">
        <f t="shared" si="0"/>
        <v>0</v>
      </c>
    </row>
    <row r="8" spans="1:4" ht="60" customHeight="1" x14ac:dyDescent="0.25">
      <c r="A8" s="26" t="s">
        <v>252</v>
      </c>
      <c r="B8" s="25"/>
      <c r="C8" s="25"/>
      <c r="D8" s="25">
        <f t="shared" si="0"/>
        <v>0</v>
      </c>
    </row>
    <row r="9" spans="1:4" ht="60" customHeight="1" x14ac:dyDescent="0.25">
      <c r="A9" s="26" t="s">
        <v>253</v>
      </c>
      <c r="B9" s="25"/>
      <c r="C9" s="25"/>
      <c r="D9" s="25">
        <f t="shared" si="0"/>
        <v>0</v>
      </c>
    </row>
    <row r="10" spans="1:4" ht="60" customHeight="1" x14ac:dyDescent="0.25">
      <c r="A10" s="26" t="s">
        <v>254</v>
      </c>
      <c r="B10" s="25"/>
      <c r="C10" s="25"/>
      <c r="D10" s="25">
        <f t="shared" si="0"/>
        <v>0</v>
      </c>
    </row>
    <row r="11" spans="1:4" ht="60" customHeight="1" x14ac:dyDescent="0.25">
      <c r="A11" s="26" t="s">
        <v>255</v>
      </c>
      <c r="B11" s="25"/>
      <c r="C11" s="25"/>
      <c r="D11" s="25">
        <f t="shared" si="0"/>
        <v>0</v>
      </c>
    </row>
    <row r="12" spans="1:4" ht="60" customHeight="1" x14ac:dyDescent="0.25">
      <c r="A12" s="26" t="s">
        <v>256</v>
      </c>
      <c r="B12" s="25"/>
      <c r="C12" s="25"/>
      <c r="D12" s="25">
        <f t="shared" si="0"/>
        <v>0</v>
      </c>
    </row>
    <row r="13" spans="1:4" ht="60" customHeight="1" x14ac:dyDescent="0.25">
      <c r="A13" s="26" t="s">
        <v>257</v>
      </c>
      <c r="B13" s="25"/>
      <c r="C13" s="25"/>
      <c r="D13" s="25">
        <f t="shared" si="0"/>
        <v>0</v>
      </c>
    </row>
    <row r="14" spans="1:4" ht="60" customHeight="1" x14ac:dyDescent="0.25">
      <c r="A14" s="26" t="s">
        <v>258</v>
      </c>
      <c r="B14" s="25"/>
      <c r="C14" s="25"/>
      <c r="D14" s="25">
        <f t="shared" si="0"/>
        <v>0</v>
      </c>
    </row>
    <row r="15" spans="1:4" ht="60" customHeight="1" x14ac:dyDescent="0.25">
      <c r="A15" s="26" t="s">
        <v>259</v>
      </c>
      <c r="B15" s="25"/>
      <c r="C15" s="25"/>
      <c r="D15" s="25">
        <f t="shared" si="0"/>
        <v>0</v>
      </c>
    </row>
    <row r="16" spans="1:4" x14ac:dyDescent="0.25">
      <c r="A16" s="153" t="s">
        <v>260</v>
      </c>
      <c r="B16" s="154"/>
      <c r="C16" s="155"/>
      <c r="D16" s="159">
        <f>SUM(D6:D15)</f>
        <v>0</v>
      </c>
    </row>
    <row r="17" spans="1:4" ht="13.8" thickBot="1" x14ac:dyDescent="0.3">
      <c r="A17" s="156"/>
      <c r="B17" s="157"/>
      <c r="C17" s="158"/>
      <c r="D17" s="160"/>
    </row>
  </sheetData>
  <mergeCells count="4">
    <mergeCell ref="A3:D4"/>
    <mergeCell ref="A16:C17"/>
    <mergeCell ref="D16:D17"/>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pane ySplit="1" topLeftCell="A10" activePane="bottomLeft" state="frozen"/>
      <selection pane="bottomLeft" activeCell="A10" sqref="A10"/>
    </sheetView>
  </sheetViews>
  <sheetFormatPr defaultColWidth="11.44140625" defaultRowHeight="13.2" x14ac:dyDescent="0.25"/>
  <cols>
    <col min="1" max="1" width="44.6640625" style="18" customWidth="1"/>
    <col min="2" max="2" width="47.88671875" style="18" customWidth="1"/>
    <col min="3" max="4" width="56.33203125" style="18" customWidth="1"/>
    <col min="5" max="16384" width="11.44140625" style="18"/>
  </cols>
  <sheetData>
    <row r="1" spans="1:4" ht="30" customHeight="1" x14ac:dyDescent="0.25">
      <c r="A1" s="164" t="s">
        <v>261</v>
      </c>
      <c r="B1" s="165"/>
      <c r="C1" s="165"/>
      <c r="D1" s="165"/>
    </row>
    <row r="2" spans="1:4" ht="75.900000000000006" customHeight="1" x14ac:dyDescent="0.25">
      <c r="A2" s="30" t="s">
        <v>262</v>
      </c>
      <c r="B2" s="166" t="s">
        <v>263</v>
      </c>
      <c r="C2" s="167"/>
      <c r="D2" s="167"/>
    </row>
    <row r="3" spans="1:4" ht="18" customHeight="1" x14ac:dyDescent="0.25">
      <c r="A3" s="168" t="s">
        <v>264</v>
      </c>
      <c r="B3" s="169"/>
      <c r="C3" s="169"/>
      <c r="D3" s="169"/>
    </row>
    <row r="4" spans="1:4" ht="12.9" customHeight="1" thickBot="1" x14ac:dyDescent="0.3">
      <c r="A4" s="168"/>
      <c r="B4" s="169"/>
      <c r="C4" s="169"/>
      <c r="D4" s="169"/>
    </row>
    <row r="5" spans="1:4" ht="72" customHeight="1" x14ac:dyDescent="0.25">
      <c r="A5" s="76" t="s">
        <v>265</v>
      </c>
      <c r="B5" s="73" t="s">
        <v>266</v>
      </c>
      <c r="C5" s="163"/>
      <c r="D5" s="163"/>
    </row>
    <row r="6" spans="1:4" ht="72" customHeight="1" x14ac:dyDescent="0.25">
      <c r="A6" s="77" t="s">
        <v>267</v>
      </c>
      <c r="B6" s="74" t="s">
        <v>268</v>
      </c>
      <c r="C6" s="163"/>
      <c r="D6" s="163"/>
    </row>
    <row r="7" spans="1:4" ht="72" customHeight="1" x14ac:dyDescent="0.25">
      <c r="A7" s="77" t="s">
        <v>269</v>
      </c>
      <c r="B7" s="74" t="s">
        <v>270</v>
      </c>
      <c r="C7" s="163"/>
      <c r="D7" s="163"/>
    </row>
    <row r="8" spans="1:4" ht="72" customHeight="1" x14ac:dyDescent="0.25">
      <c r="A8" s="78" t="s">
        <v>271</v>
      </c>
      <c r="B8" s="74" t="s">
        <v>272</v>
      </c>
      <c r="C8" s="163"/>
      <c r="D8" s="163"/>
    </row>
    <row r="9" spans="1:4" ht="72" customHeight="1" x14ac:dyDescent="0.25">
      <c r="A9" s="79" t="s">
        <v>273</v>
      </c>
      <c r="B9" s="75" t="s">
        <v>274</v>
      </c>
      <c r="C9" s="163"/>
      <c r="D9" s="163"/>
    </row>
    <row r="10" spans="1:4" ht="72" customHeight="1" x14ac:dyDescent="0.25">
      <c r="A10" s="79" t="s">
        <v>275</v>
      </c>
      <c r="B10" s="75" t="s">
        <v>276</v>
      </c>
      <c r="C10" s="163"/>
      <c r="D10" s="163"/>
    </row>
  </sheetData>
  <sheetProtection selectLockedCells="1" selectUnlockedCells="1"/>
  <mergeCells count="9">
    <mergeCell ref="C7:D7"/>
    <mergeCell ref="C8:D8"/>
    <mergeCell ref="C9:D9"/>
    <mergeCell ref="C10:D10"/>
    <mergeCell ref="A1:D1"/>
    <mergeCell ref="B2:D2"/>
    <mergeCell ref="A3:D4"/>
    <mergeCell ref="C5:D5"/>
    <mergeCell ref="C6:D6"/>
  </mergeCells>
  <pageMargins left="0.74791666666666667" right="0.74791666666666667" top="0.98402777777777772" bottom="0.98402777777777772" header="0.51180555555555551" footer="0.51180555555555551"/>
  <pageSetup firstPageNumber="0"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E1A882-2EEF-4A85-AA6D-9FCA41D0954B}">
  <ds:schemaRefs>
    <ds:schemaRef ds:uri="http://schemas.microsoft.com/office/2006/metadata/properties"/>
    <ds:schemaRef ds:uri="http://schemas.microsoft.com/office/infopath/2007/PartnerControls"/>
    <ds:schemaRef ds:uri="http://schemas.microsoft.com/sharepoint/v3/fields"/>
  </ds:schemaRefs>
</ds:datastoreItem>
</file>

<file path=customXml/itemProps2.xml><?xml version="1.0" encoding="utf-8"?>
<ds:datastoreItem xmlns:ds="http://schemas.openxmlformats.org/officeDocument/2006/customXml" ds:itemID="{51B3B2B3-E447-4FF3-8A8B-9BC7D771F830}">
  <ds:schemaRefs>
    <ds:schemaRef ds:uri="http://schemas.microsoft.com/sharepoint/v3/contenttype/forms"/>
  </ds:schemaRefs>
</ds:datastoreItem>
</file>

<file path=customXml/itemProps3.xml><?xml version="1.0" encoding="utf-8"?>
<ds:datastoreItem xmlns:ds="http://schemas.openxmlformats.org/officeDocument/2006/customXml" ds:itemID="{FD9A727F-B988-42E9-882D-D1F58DB8B9A2}"/>
</file>

<file path=customXml/itemProps4.xml><?xml version="1.0" encoding="utf-8"?>
<ds:datastoreItem xmlns:ds="http://schemas.openxmlformats.org/officeDocument/2006/customXml" ds:itemID="{C2168336-8F7F-400E-9A1E-EED305A02391}"/>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Vendor Information</vt:lpstr>
      <vt:lpstr>HIPAA Compliance Questions</vt:lpstr>
      <vt:lpstr>Third-Party Service Provider</vt:lpstr>
      <vt:lpstr>Cloud Security Scorecard</vt:lpstr>
      <vt:lpstr>Audit and Recommendations</vt:lpstr>
      <vt:lpstr>'HIPAA Compliance Questions'!Print_Area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Granneman</dc:creator>
  <cp:keywords/>
  <dc:description/>
  <cp:lastModifiedBy>Bruno Bendavid</cp:lastModifiedBy>
  <cp:revision/>
  <dcterms:created xsi:type="dcterms:W3CDTF">2015-02-04T19:48:44Z</dcterms:created>
  <dcterms:modified xsi:type="dcterms:W3CDTF">2022-08-02T03:57:39Z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0x010100EF004842037BA44F801E7D78EFF2BDA7</vt:lpwstr>
  </property>
  <property fmtid="{D5CDD505-2E9C-101B-9397-08002B2CF9AE}" pid="4" name="_dlc_DocIdItemGuid">
    <vt:lpwstr>740b5901-9ac9-479b-95db-ee3fba50eada</vt:lpwstr>
  </property>
  <property fmtid="{D5CDD505-2E9C-101B-9397-08002B2CF9AE}" pid="5" name="Order">
    <vt:r8>96100</vt:r8>
  </property>
  <property fmtid="{D5CDD505-2E9C-101B-9397-08002B2CF9AE}" pid="6" name="_ExtendedDescription">
    <vt:lpwstr/>
  </property>
</Properties>
</file>