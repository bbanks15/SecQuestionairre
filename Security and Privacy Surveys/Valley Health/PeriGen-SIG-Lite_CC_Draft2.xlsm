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Bruno Bendavid\PeriGen\PeriGen Corporate Portal - RFPs &amp; Surveys\Security and Privacy Surveys\Valley Health\"/>
    </mc:Choice>
  </mc:AlternateContent>
  <xr:revisionPtr revIDLastSave="0" documentId="10_ncr:100000_{19329A9B-2D54-4C15-A49E-F643743C6201}" xr6:coauthVersionLast="41" xr6:coauthVersionMax="41" xr10:uidLastSave="{00000000-0000-0000-0000-000000000000}"/>
  <bookViews>
    <workbookView xWindow="-120" yWindow="-120" windowWidth="38640" windowHeight="21240" tabRatio="796" firstSheet="2" activeTab="6" xr2:uid="{00000000-000D-0000-FFFF-FFFF00000000}"/>
  </bookViews>
  <sheets>
    <sheet name="Copyright" sheetId="44" r:id="rId1"/>
    <sheet name="Terms of Use" sheetId="42" r:id="rId2"/>
    <sheet name="Instructions" sheetId="45" r:id="rId3"/>
    <sheet name="Dashboard" sheetId="25" r:id="rId4"/>
    <sheet name="Business Information" sheetId="4" r:id="rId5"/>
    <sheet name="Documentation" sheetId="5" r:id="rId6"/>
    <sheet name="Lite" sheetId="26" r:id="rId7"/>
    <sheet name="Z. Additional Questions" sheetId="29" r:id="rId8"/>
    <sheet name="Glossary" sheetId="23" r:id="rId9"/>
    <sheet name="Formula Notes" sheetId="28" r:id="rId10"/>
    <sheet name="Full Lite" sheetId="50" r:id="rId11"/>
    <sheet name="Drops" sheetId="49" state="hidden" r:id="rId12"/>
  </sheets>
  <definedNames>
    <definedName name="_xlnm._FilterDatabase" localSheetId="5" hidden="1">Documentation!$A$2:$D$32</definedName>
    <definedName name="_xlnm._FilterDatabase" localSheetId="10" hidden="1">'Full Lite'!$A$1:$S$152</definedName>
    <definedName name="_xlnm._FilterDatabase" localSheetId="8" hidden="1">Glossary!$B$1:$C$141</definedName>
    <definedName name="_xlnm._FilterDatabase" localSheetId="6" hidden="1">Lite!$X$4:$X$161</definedName>
    <definedName name="_xlnm._FilterDatabase" localSheetId="7" hidden="1">'Z. Additional Questions'!$A$1</definedName>
    <definedName name="Binary">Drops!$A$2:$A$5</definedName>
    <definedName name="BusInfoArray">'Business Information'!$A$4:$F$38</definedName>
    <definedName name="CloudMatCell">Drops!$G$1</definedName>
    <definedName name="DetailMatCell">Drops!$F$1</definedName>
    <definedName name="FullMap">#REF!</definedName>
    <definedName name="L1Responses">Lite!$A$6:$F$161</definedName>
    <definedName name="L2_Array">Lite!$A$5:$V$212</definedName>
    <definedName name="LiteMatCell">Drops!$E$1</definedName>
    <definedName name="Mapping">#REF!</definedName>
    <definedName name="Master">'Formula Notes'!$D$6</definedName>
    <definedName name="MasterDrop">Drops!$D$2:$D$3</definedName>
    <definedName name="_xlnm.Print_Area" localSheetId="4">'Business Information'!$B$1:$D$45</definedName>
    <definedName name="_xlnm.Print_Area" localSheetId="3">Dashboard!$A$1:$E$13</definedName>
    <definedName name="_xlnm.Print_Area" localSheetId="5">Documentation!$B$1:$D$32</definedName>
    <definedName name="_xlnm.Print_Area" localSheetId="9">'Formula Notes'!$A$1:$D$44</definedName>
    <definedName name="_xlnm.Print_Area" localSheetId="10">'Full Lite'!$E$1:$S$152</definedName>
    <definedName name="_xlnm.Print_Area" localSheetId="8">Glossary!$B$2:$C$142</definedName>
    <definedName name="_xlnm.Print_Area" localSheetId="6">Lite!$B$1:$AB$161</definedName>
    <definedName name="_xlnm.Print_Area" localSheetId="1">'Terms of Use'!$B$2:$B$14</definedName>
    <definedName name="_xlnm.Print_Area" localSheetId="7">'Z. Additional Questions'!$A$1:$G$51</definedName>
    <definedName name="_xlnm.Print_Titles" localSheetId="10">'Full Lite'!$1:$1</definedName>
    <definedName name="_xlnm.Print_Titles" localSheetId="8">Glossary!$5:$5</definedName>
    <definedName name="_xlnm.Print_Titles" localSheetId="6">Lite!$4:$4</definedName>
    <definedName name="_xlnm.Print_Titles" localSheetId="7">'Z. Additional Questions'!$5:$5</definedName>
    <definedName name="ResponseType">Dashboard!$C$12</definedName>
    <definedName name="ScaledLarge">Drops!$B$2:$B$8</definedName>
    <definedName name="SIG_Data">#REF!</definedName>
    <definedName name="TabAuto">Drops!$C$2:$C$3</definedName>
    <definedName name="VerText">Instructions!$B$11</definedName>
    <definedName name="WorksheetCount">GET.WORKBOOK(1)&amp;T(NOW())</definedName>
  </definedNames>
  <calcPr calcId="191029"/>
  <customWorkbookViews>
    <customWorkbookView name="o - Personal View" guid="{E1B3B869-9B15-4AFC-BA36-DA09F5711648}" mergeInterval="0" personalView="1" maximized="1" windowWidth="1020" windowHeight="616" tabRatio="712" activeSheetId="20"/>
    <customWorkbookView name="Josie Ollinger - Personal View" guid="{D7B51006-83AC-4A14-BAFD-CE844DFB8668}" mergeInterval="0" personalView="1" maximized="1" windowWidth="1020" windowHeight="562" tabRatio="712" activeSheetId="2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 i="25" l="1"/>
  <c r="A153" i="50"/>
  <c r="M5" i="26"/>
  <c r="M6" i="26" s="1"/>
  <c r="M7" i="26" s="1"/>
  <c r="M8" i="26" s="1"/>
  <c r="C153" i="50"/>
  <c r="S5" i="26"/>
  <c r="V5" i="26" s="1"/>
  <c r="R5" i="26"/>
  <c r="R6" i="26"/>
  <c r="Q6" i="26"/>
  <c r="U5" i="26"/>
  <c r="S7" i="26"/>
  <c r="R7" i="26"/>
  <c r="R8" i="26"/>
  <c r="Q8" i="26"/>
  <c r="R9" i="26"/>
  <c r="Q9" i="26"/>
  <c r="R10" i="26"/>
  <c r="Q10" i="26"/>
  <c r="S11" i="26"/>
  <c r="R11" i="26"/>
  <c r="R12" i="26"/>
  <c r="Q12" i="26"/>
  <c r="R13" i="26"/>
  <c r="Q13" i="26"/>
  <c r="S14" i="26"/>
  <c r="R14" i="26"/>
  <c r="R15" i="26"/>
  <c r="Q15" i="26"/>
  <c r="R16" i="26"/>
  <c r="Q16" i="26"/>
  <c r="S17" i="26"/>
  <c r="R17" i="26"/>
  <c r="R18" i="26"/>
  <c r="Q18" i="26"/>
  <c r="R19" i="26"/>
  <c r="Q19" i="26"/>
  <c r="R20" i="26"/>
  <c r="Q20" i="26"/>
  <c r="R21" i="26"/>
  <c r="Q21" i="26"/>
  <c r="R22" i="26"/>
  <c r="Q22" i="26"/>
  <c r="R23" i="26"/>
  <c r="Q23" i="26"/>
  <c r="S24" i="26"/>
  <c r="R24" i="26"/>
  <c r="R25" i="26"/>
  <c r="Q25" i="26"/>
  <c r="R26" i="26"/>
  <c r="Q26" i="26"/>
  <c r="R27" i="26"/>
  <c r="Q27" i="26"/>
  <c r="S28" i="26"/>
  <c r="R28" i="26"/>
  <c r="R29" i="26"/>
  <c r="Q29" i="26"/>
  <c r="R30" i="26"/>
  <c r="Q30" i="26"/>
  <c r="R31" i="26"/>
  <c r="Q31" i="26"/>
  <c r="R32" i="26"/>
  <c r="Q32" i="26"/>
  <c r="R33" i="26"/>
  <c r="Q33" i="26"/>
  <c r="R34" i="26"/>
  <c r="Q34" i="26"/>
  <c r="R35" i="26"/>
  <c r="Q35" i="26"/>
  <c r="R36" i="26"/>
  <c r="Q36" i="26"/>
  <c r="R37" i="26"/>
  <c r="Q37" i="26"/>
  <c r="R38" i="26"/>
  <c r="Q38" i="26"/>
  <c r="R39" i="26"/>
  <c r="Q39" i="26"/>
  <c r="R40" i="26"/>
  <c r="Q40" i="26"/>
  <c r="S41" i="26"/>
  <c r="R41" i="26"/>
  <c r="R42" i="26"/>
  <c r="Q42" i="26"/>
  <c r="R43" i="26"/>
  <c r="Q43" i="26"/>
  <c r="R44" i="26"/>
  <c r="Q44" i="26"/>
  <c r="R45" i="26"/>
  <c r="Q45" i="26"/>
  <c r="S46" i="26"/>
  <c r="R46" i="26"/>
  <c r="R47" i="26"/>
  <c r="Q47" i="26"/>
  <c r="R48" i="26"/>
  <c r="Q48" i="26"/>
  <c r="R49" i="26"/>
  <c r="Q49" i="26"/>
  <c r="R50" i="26"/>
  <c r="Q50" i="26"/>
  <c r="R51" i="26"/>
  <c r="Q51" i="26"/>
  <c r="R52" i="26"/>
  <c r="Q52" i="26"/>
  <c r="R53" i="26"/>
  <c r="Q53" i="26"/>
  <c r="S54" i="26"/>
  <c r="R54" i="26"/>
  <c r="R55" i="26"/>
  <c r="Q55" i="26"/>
  <c r="S56" i="26"/>
  <c r="R56" i="26"/>
  <c r="R57" i="26"/>
  <c r="Q57" i="26"/>
  <c r="R58" i="26"/>
  <c r="Q58" i="26"/>
  <c r="R59" i="26"/>
  <c r="Q59" i="26"/>
  <c r="R60" i="26"/>
  <c r="Q60" i="26"/>
  <c r="R61" i="26"/>
  <c r="Q61" i="26"/>
  <c r="R62" i="26"/>
  <c r="Q62" i="26"/>
  <c r="R63" i="26"/>
  <c r="Q63" i="26"/>
  <c r="R64" i="26"/>
  <c r="Q64" i="26"/>
  <c r="R65" i="26"/>
  <c r="Q65" i="26"/>
  <c r="R66" i="26"/>
  <c r="Q66" i="26"/>
  <c r="R67" i="26"/>
  <c r="Q67" i="26"/>
  <c r="S68" i="26"/>
  <c r="R68" i="26"/>
  <c r="R69" i="26"/>
  <c r="Q69" i="26"/>
  <c r="R70" i="26"/>
  <c r="Q70" i="26"/>
  <c r="R71" i="26"/>
  <c r="Q71" i="26"/>
  <c r="R72" i="26"/>
  <c r="Q72" i="26"/>
  <c r="R73" i="26"/>
  <c r="Q73" i="26"/>
  <c r="R74" i="26"/>
  <c r="Q74" i="26"/>
  <c r="R75" i="26"/>
  <c r="Q75" i="26"/>
  <c r="R76" i="26"/>
  <c r="Q76" i="26"/>
  <c r="R77" i="26"/>
  <c r="Q77" i="26"/>
  <c r="R78" i="26"/>
  <c r="Q78" i="26"/>
  <c r="S79" i="26"/>
  <c r="R79" i="26"/>
  <c r="R80" i="26"/>
  <c r="Q80" i="26"/>
  <c r="R81" i="26"/>
  <c r="Q81" i="26"/>
  <c r="R82" i="26"/>
  <c r="Q82" i="26"/>
  <c r="R83" i="26"/>
  <c r="Q83" i="26"/>
  <c r="R84" i="26"/>
  <c r="Q84" i="26"/>
  <c r="R85" i="26"/>
  <c r="Q85" i="26"/>
  <c r="S86" i="26"/>
  <c r="R86" i="26"/>
  <c r="R87" i="26"/>
  <c r="Q87" i="26"/>
  <c r="R88" i="26"/>
  <c r="Q88" i="26"/>
  <c r="R89" i="26"/>
  <c r="Q89" i="26"/>
  <c r="R90" i="26"/>
  <c r="Q90" i="26"/>
  <c r="R91" i="26"/>
  <c r="Q91" i="26"/>
  <c r="R92" i="26"/>
  <c r="Q92" i="26"/>
  <c r="R93" i="26"/>
  <c r="Q93" i="26"/>
  <c r="R94" i="26"/>
  <c r="Q94" i="26"/>
  <c r="R95" i="26"/>
  <c r="Q95" i="26"/>
  <c r="R96" i="26"/>
  <c r="Q96" i="26"/>
  <c r="R97" i="26"/>
  <c r="Q97" i="26"/>
  <c r="R98" i="26"/>
  <c r="Q98" i="26"/>
  <c r="R99" i="26"/>
  <c r="Q99" i="26"/>
  <c r="R100" i="26"/>
  <c r="Q100" i="26"/>
  <c r="R101" i="26"/>
  <c r="Q101" i="26"/>
  <c r="R102" i="26"/>
  <c r="Q102" i="26"/>
  <c r="R103" i="26"/>
  <c r="Q103" i="26"/>
  <c r="R104" i="26"/>
  <c r="Q104" i="26"/>
  <c r="R105" i="26"/>
  <c r="Q105" i="26"/>
  <c r="R106" i="26"/>
  <c r="Q106" i="26"/>
  <c r="R107" i="26"/>
  <c r="Q107" i="26"/>
  <c r="R108" i="26"/>
  <c r="Q108" i="26"/>
  <c r="S109" i="26"/>
  <c r="R109" i="26"/>
  <c r="R110" i="26"/>
  <c r="F29" i="4"/>
  <c r="Q110" i="26" s="1"/>
  <c r="S110" i="26" s="1"/>
  <c r="X110" i="26" s="1"/>
  <c r="R111" i="26"/>
  <c r="Q111" i="26"/>
  <c r="S112" i="26"/>
  <c r="R112" i="26"/>
  <c r="R113" i="26"/>
  <c r="Q113" i="26"/>
  <c r="R114" i="26"/>
  <c r="Q114" i="26"/>
  <c r="R115" i="26"/>
  <c r="Q115" i="26"/>
  <c r="R116" i="26"/>
  <c r="Q116" i="26"/>
  <c r="R117" i="26"/>
  <c r="Q117" i="26"/>
  <c r="R118" i="26"/>
  <c r="Q118" i="26"/>
  <c r="R119" i="26"/>
  <c r="Q119" i="26"/>
  <c r="R120" i="26"/>
  <c r="Q120" i="26"/>
  <c r="R121" i="26"/>
  <c r="Q121" i="26"/>
  <c r="R122" i="26"/>
  <c r="Q122" i="26"/>
  <c r="R123" i="26"/>
  <c r="Q123" i="26"/>
  <c r="R124" i="26"/>
  <c r="Q124" i="26"/>
  <c r="R125" i="26"/>
  <c r="Q125" i="26"/>
  <c r="R126" i="26"/>
  <c r="S126" i="26" s="1"/>
  <c r="Q126" i="26"/>
  <c r="R127" i="26"/>
  <c r="Q127" i="26"/>
  <c r="R128" i="26"/>
  <c r="Q128" i="26"/>
  <c r="R129" i="26"/>
  <c r="Q129" i="26"/>
  <c r="R130" i="26"/>
  <c r="Q130" i="26"/>
  <c r="R131" i="26"/>
  <c r="Q131" i="26"/>
  <c r="R132" i="26"/>
  <c r="Q132" i="26"/>
  <c r="R133" i="26"/>
  <c r="Q133" i="26"/>
  <c r="R134" i="26"/>
  <c r="Q134" i="26"/>
  <c r="R135" i="26"/>
  <c r="Q135" i="26"/>
  <c r="R136" i="26"/>
  <c r="Q136" i="26"/>
  <c r="R137" i="26"/>
  <c r="Q137" i="26"/>
  <c r="R138" i="26"/>
  <c r="Q138" i="26"/>
  <c r="R139" i="26"/>
  <c r="Q139" i="26"/>
  <c r="R140" i="26"/>
  <c r="Q140" i="26"/>
  <c r="R141" i="26"/>
  <c r="Q141" i="26"/>
  <c r="R142" i="26"/>
  <c r="Q142" i="26"/>
  <c r="R143" i="26"/>
  <c r="Q143" i="26"/>
  <c r="R144" i="26"/>
  <c r="Q144" i="26"/>
  <c r="R145" i="26"/>
  <c r="Q145" i="26"/>
  <c r="R146" i="26"/>
  <c r="Q146" i="26"/>
  <c r="R147" i="26"/>
  <c r="Q147" i="26"/>
  <c r="R148" i="26"/>
  <c r="Q148" i="26"/>
  <c r="R149" i="26"/>
  <c r="Q149" i="26"/>
  <c r="R150" i="26"/>
  <c r="Q150" i="26"/>
  <c r="R151" i="26"/>
  <c r="Q151" i="26"/>
  <c r="R152" i="26"/>
  <c r="Q152" i="26"/>
  <c r="R153" i="26"/>
  <c r="Q153" i="26"/>
  <c r="R154" i="26"/>
  <c r="Q154" i="26"/>
  <c r="R155" i="26"/>
  <c r="Q155" i="26"/>
  <c r="L6" i="26"/>
  <c r="B6" i="26" s="1"/>
  <c r="E4" i="50" s="1"/>
  <c r="F153" i="50"/>
  <c r="G153" i="50"/>
  <c r="H153" i="50"/>
  <c r="I153" i="50"/>
  <c r="J153" i="50"/>
  <c r="K153" i="50"/>
  <c r="L153" i="50"/>
  <c r="A154" i="50"/>
  <c r="C154" i="50"/>
  <c r="R156" i="26"/>
  <c r="Q156" i="26"/>
  <c r="F154" i="50"/>
  <c r="G154" i="50"/>
  <c r="H154" i="50"/>
  <c r="I154" i="50"/>
  <c r="J154" i="50"/>
  <c r="K154" i="50"/>
  <c r="L154" i="50"/>
  <c r="A155" i="50"/>
  <c r="C155" i="50"/>
  <c r="R157" i="26"/>
  <c r="Q157" i="26"/>
  <c r="F155" i="50"/>
  <c r="G155" i="50"/>
  <c r="H155" i="50"/>
  <c r="I155" i="50"/>
  <c r="J155" i="50"/>
  <c r="K155" i="50"/>
  <c r="L155" i="50"/>
  <c r="A156" i="50"/>
  <c r="C156" i="50"/>
  <c r="R158" i="26"/>
  <c r="Q158" i="26"/>
  <c r="F156" i="50"/>
  <c r="G156" i="50"/>
  <c r="H156" i="50"/>
  <c r="I156" i="50"/>
  <c r="J156" i="50"/>
  <c r="K156" i="50"/>
  <c r="L156" i="50"/>
  <c r="A157" i="50"/>
  <c r="C157" i="50"/>
  <c r="R159" i="26"/>
  <c r="Q159" i="26"/>
  <c r="F157" i="50"/>
  <c r="G157" i="50"/>
  <c r="H157" i="50"/>
  <c r="I157" i="50"/>
  <c r="J157" i="50"/>
  <c r="K157" i="50"/>
  <c r="L157" i="50"/>
  <c r="A158" i="50"/>
  <c r="C158" i="50"/>
  <c r="R160" i="26"/>
  <c r="Q160" i="26"/>
  <c r="F158" i="50"/>
  <c r="G158" i="50"/>
  <c r="H158" i="50"/>
  <c r="I158" i="50"/>
  <c r="J158" i="50"/>
  <c r="K158" i="50"/>
  <c r="L158" i="50"/>
  <c r="A159" i="50"/>
  <c r="C159" i="50"/>
  <c r="R161" i="26"/>
  <c r="Q161" i="26"/>
  <c r="F159" i="50"/>
  <c r="G159" i="50"/>
  <c r="H159" i="50"/>
  <c r="I159" i="50"/>
  <c r="J159" i="50"/>
  <c r="K159" i="50"/>
  <c r="L159" i="50"/>
  <c r="A160" i="50"/>
  <c r="B160" i="50"/>
  <c r="C160" i="50"/>
  <c r="D160" i="50"/>
  <c r="E160" i="50"/>
  <c r="F160" i="50"/>
  <c r="G160" i="50"/>
  <c r="H160" i="50"/>
  <c r="I160" i="50"/>
  <c r="J160" i="50"/>
  <c r="K160" i="50"/>
  <c r="L160" i="50"/>
  <c r="E2" i="50"/>
  <c r="A2" i="50"/>
  <c r="A4" i="50"/>
  <c r="C4" i="50"/>
  <c r="F4" i="50"/>
  <c r="G4" i="50"/>
  <c r="H4" i="50"/>
  <c r="I4" i="50"/>
  <c r="J4" i="50"/>
  <c r="K4" i="50"/>
  <c r="L4" i="50"/>
  <c r="A5" i="50"/>
  <c r="C5" i="50"/>
  <c r="B7" i="26"/>
  <c r="E5" i="50" s="1"/>
  <c r="F5" i="50"/>
  <c r="G5" i="50"/>
  <c r="H5" i="50"/>
  <c r="I5" i="50"/>
  <c r="J5" i="50"/>
  <c r="K5" i="50"/>
  <c r="L5" i="50"/>
  <c r="A6" i="50"/>
  <c r="C6" i="50"/>
  <c r="F6" i="50"/>
  <c r="G6" i="50"/>
  <c r="H6" i="50"/>
  <c r="I6" i="50"/>
  <c r="J6" i="50"/>
  <c r="K6" i="50"/>
  <c r="L6" i="50"/>
  <c r="A7" i="50"/>
  <c r="C7" i="50"/>
  <c r="F7" i="50"/>
  <c r="G7" i="50"/>
  <c r="H7" i="50"/>
  <c r="I7" i="50"/>
  <c r="J7" i="50"/>
  <c r="K7" i="50"/>
  <c r="L7" i="50"/>
  <c r="A8" i="50"/>
  <c r="C8" i="50"/>
  <c r="F8" i="50"/>
  <c r="G8" i="50"/>
  <c r="H8" i="50"/>
  <c r="I8" i="50"/>
  <c r="J8" i="50"/>
  <c r="K8" i="50"/>
  <c r="L8" i="50"/>
  <c r="A9" i="50"/>
  <c r="C9" i="50"/>
  <c r="B11" i="26"/>
  <c r="E9" i="50" s="1"/>
  <c r="F9" i="50"/>
  <c r="G9" i="50"/>
  <c r="H9" i="50"/>
  <c r="I9" i="50"/>
  <c r="J9" i="50"/>
  <c r="K9" i="50"/>
  <c r="L9" i="50"/>
  <c r="A10" i="50"/>
  <c r="C10" i="50"/>
  <c r="F10" i="50"/>
  <c r="G10" i="50"/>
  <c r="H10" i="50"/>
  <c r="I10" i="50"/>
  <c r="J10" i="50"/>
  <c r="K10" i="50"/>
  <c r="L10" i="50"/>
  <c r="A11" i="50"/>
  <c r="C11" i="50"/>
  <c r="F11" i="50"/>
  <c r="G11" i="50"/>
  <c r="H11" i="50"/>
  <c r="I11" i="50"/>
  <c r="J11" i="50"/>
  <c r="K11" i="50"/>
  <c r="L11" i="50"/>
  <c r="A12" i="50"/>
  <c r="C12" i="50"/>
  <c r="B14" i="26"/>
  <c r="E12" i="50" s="1"/>
  <c r="F12" i="50"/>
  <c r="G12" i="50"/>
  <c r="H12" i="50"/>
  <c r="I12" i="50"/>
  <c r="J12" i="50"/>
  <c r="K12" i="50"/>
  <c r="L12" i="50"/>
  <c r="A13" i="50"/>
  <c r="C13" i="50"/>
  <c r="F13" i="50"/>
  <c r="G13" i="50"/>
  <c r="H13" i="50"/>
  <c r="I13" i="50"/>
  <c r="J13" i="50"/>
  <c r="K13" i="50"/>
  <c r="L13" i="50"/>
  <c r="A14" i="50"/>
  <c r="C14" i="50"/>
  <c r="F14" i="50"/>
  <c r="G14" i="50"/>
  <c r="H14" i="50"/>
  <c r="I14" i="50"/>
  <c r="J14" i="50"/>
  <c r="K14" i="50"/>
  <c r="L14" i="50"/>
  <c r="A15" i="50"/>
  <c r="C15" i="50"/>
  <c r="B17" i="26"/>
  <c r="E15" i="50" s="1"/>
  <c r="F15" i="50"/>
  <c r="G15" i="50"/>
  <c r="H15" i="50"/>
  <c r="I15" i="50"/>
  <c r="J15" i="50"/>
  <c r="K15" i="50"/>
  <c r="L15" i="50"/>
  <c r="A16" i="50"/>
  <c r="C16" i="50"/>
  <c r="F16" i="50"/>
  <c r="G16" i="50"/>
  <c r="H16" i="50"/>
  <c r="I16" i="50"/>
  <c r="J16" i="50"/>
  <c r="K16" i="50"/>
  <c r="L16" i="50"/>
  <c r="A17" i="50"/>
  <c r="C17" i="50"/>
  <c r="F17" i="50"/>
  <c r="G17" i="50"/>
  <c r="H17" i="50"/>
  <c r="I17" i="50"/>
  <c r="J17" i="50"/>
  <c r="K17" i="50"/>
  <c r="L17" i="50"/>
  <c r="A18" i="50"/>
  <c r="C18" i="50"/>
  <c r="F18" i="50"/>
  <c r="G18" i="50"/>
  <c r="H18" i="50"/>
  <c r="I18" i="50"/>
  <c r="J18" i="50"/>
  <c r="K18" i="50"/>
  <c r="L18" i="50"/>
  <c r="A19" i="50"/>
  <c r="C19" i="50"/>
  <c r="F19" i="50"/>
  <c r="G19" i="50"/>
  <c r="H19" i="50"/>
  <c r="I19" i="50"/>
  <c r="J19" i="50"/>
  <c r="K19" i="50"/>
  <c r="L19" i="50"/>
  <c r="A20" i="50"/>
  <c r="C20" i="50"/>
  <c r="F20" i="50"/>
  <c r="G20" i="50"/>
  <c r="H20" i="50"/>
  <c r="I20" i="50"/>
  <c r="J20" i="50"/>
  <c r="K20" i="50"/>
  <c r="L20" i="50"/>
  <c r="A21" i="50"/>
  <c r="C21" i="50"/>
  <c r="F21" i="50"/>
  <c r="G21" i="50"/>
  <c r="H21" i="50"/>
  <c r="I21" i="50"/>
  <c r="J21" i="50"/>
  <c r="K21" i="50"/>
  <c r="L21" i="50"/>
  <c r="A22" i="50"/>
  <c r="C22" i="50"/>
  <c r="B24" i="26"/>
  <c r="E22" i="50" s="1"/>
  <c r="F22" i="50"/>
  <c r="G22" i="50"/>
  <c r="H22" i="50"/>
  <c r="I22" i="50"/>
  <c r="J22" i="50"/>
  <c r="K22" i="50"/>
  <c r="L22" i="50"/>
  <c r="A23" i="50"/>
  <c r="C23" i="50"/>
  <c r="F23" i="50"/>
  <c r="G23" i="50"/>
  <c r="H23" i="50"/>
  <c r="I23" i="50"/>
  <c r="J23" i="50"/>
  <c r="K23" i="50"/>
  <c r="L23" i="50"/>
  <c r="A24" i="50"/>
  <c r="C24" i="50"/>
  <c r="F24" i="50"/>
  <c r="G24" i="50"/>
  <c r="H24" i="50"/>
  <c r="I24" i="50"/>
  <c r="J24" i="50"/>
  <c r="K24" i="50"/>
  <c r="L24" i="50"/>
  <c r="A25" i="50"/>
  <c r="C25" i="50"/>
  <c r="F25" i="50"/>
  <c r="G25" i="50"/>
  <c r="H25" i="50"/>
  <c r="I25" i="50"/>
  <c r="J25" i="50"/>
  <c r="K25" i="50"/>
  <c r="L25" i="50"/>
  <c r="A26" i="50"/>
  <c r="C26" i="50"/>
  <c r="B28" i="26"/>
  <c r="E26" i="50" s="1"/>
  <c r="F26" i="50"/>
  <c r="G26" i="50"/>
  <c r="H26" i="50"/>
  <c r="I26" i="50"/>
  <c r="J26" i="50"/>
  <c r="K26" i="50"/>
  <c r="L26" i="50"/>
  <c r="A27" i="50"/>
  <c r="C27" i="50"/>
  <c r="F27" i="50"/>
  <c r="G27" i="50"/>
  <c r="H27" i="50"/>
  <c r="I27" i="50"/>
  <c r="J27" i="50"/>
  <c r="K27" i="50"/>
  <c r="L27" i="50"/>
  <c r="A28" i="50"/>
  <c r="C28" i="50"/>
  <c r="F28" i="50"/>
  <c r="G28" i="50"/>
  <c r="H28" i="50"/>
  <c r="I28" i="50"/>
  <c r="J28" i="50"/>
  <c r="K28" i="50"/>
  <c r="L28" i="50"/>
  <c r="A29" i="50"/>
  <c r="C29" i="50"/>
  <c r="F29" i="50"/>
  <c r="G29" i="50"/>
  <c r="H29" i="50"/>
  <c r="I29" i="50"/>
  <c r="J29" i="50"/>
  <c r="K29" i="50"/>
  <c r="L29" i="50"/>
  <c r="A30" i="50"/>
  <c r="C30" i="50"/>
  <c r="F30" i="50"/>
  <c r="G30" i="50"/>
  <c r="H30" i="50"/>
  <c r="I30" i="50"/>
  <c r="J30" i="50"/>
  <c r="K30" i="50"/>
  <c r="L30" i="50"/>
  <c r="A31" i="50"/>
  <c r="C31" i="50"/>
  <c r="F31" i="50"/>
  <c r="G31" i="50"/>
  <c r="H31" i="50"/>
  <c r="I31" i="50"/>
  <c r="J31" i="50"/>
  <c r="K31" i="50"/>
  <c r="L31" i="50"/>
  <c r="A32" i="50"/>
  <c r="C32" i="50"/>
  <c r="F32" i="50"/>
  <c r="G32" i="50"/>
  <c r="H32" i="50"/>
  <c r="I32" i="50"/>
  <c r="J32" i="50"/>
  <c r="K32" i="50"/>
  <c r="L32" i="50"/>
  <c r="A33" i="50"/>
  <c r="C33" i="50"/>
  <c r="F33" i="50"/>
  <c r="G33" i="50"/>
  <c r="H33" i="50"/>
  <c r="I33" i="50"/>
  <c r="J33" i="50"/>
  <c r="K33" i="50"/>
  <c r="L33" i="50"/>
  <c r="A34" i="50"/>
  <c r="C34" i="50"/>
  <c r="F34" i="50"/>
  <c r="G34" i="50"/>
  <c r="H34" i="50"/>
  <c r="I34" i="50"/>
  <c r="J34" i="50"/>
  <c r="K34" i="50"/>
  <c r="L34" i="50"/>
  <c r="A35" i="50"/>
  <c r="C35" i="50"/>
  <c r="F35" i="50"/>
  <c r="G35" i="50"/>
  <c r="H35" i="50"/>
  <c r="I35" i="50"/>
  <c r="J35" i="50"/>
  <c r="K35" i="50"/>
  <c r="L35" i="50"/>
  <c r="A36" i="50"/>
  <c r="C36" i="50"/>
  <c r="F36" i="50"/>
  <c r="G36" i="50"/>
  <c r="H36" i="50"/>
  <c r="I36" i="50"/>
  <c r="J36" i="50"/>
  <c r="K36" i="50"/>
  <c r="L36" i="50"/>
  <c r="A37" i="50"/>
  <c r="C37" i="50"/>
  <c r="F37" i="50"/>
  <c r="G37" i="50"/>
  <c r="H37" i="50"/>
  <c r="I37" i="50"/>
  <c r="J37" i="50"/>
  <c r="K37" i="50"/>
  <c r="L37" i="50"/>
  <c r="A38" i="50"/>
  <c r="C38" i="50"/>
  <c r="F38" i="50"/>
  <c r="G38" i="50"/>
  <c r="H38" i="50"/>
  <c r="I38" i="50"/>
  <c r="J38" i="50"/>
  <c r="K38" i="50"/>
  <c r="L38" i="50"/>
  <c r="A39" i="50"/>
  <c r="C39" i="50"/>
  <c r="B41" i="26"/>
  <c r="E39" i="50" s="1"/>
  <c r="F39" i="50"/>
  <c r="G39" i="50"/>
  <c r="H39" i="50"/>
  <c r="I39" i="50"/>
  <c r="J39" i="50"/>
  <c r="K39" i="50"/>
  <c r="L39" i="50"/>
  <c r="A40" i="50"/>
  <c r="C40" i="50"/>
  <c r="F40" i="50"/>
  <c r="G40" i="50"/>
  <c r="H40" i="50"/>
  <c r="I40" i="50"/>
  <c r="J40" i="50"/>
  <c r="K40" i="50"/>
  <c r="L40" i="50"/>
  <c r="A41" i="50"/>
  <c r="C41" i="50"/>
  <c r="F41" i="50"/>
  <c r="G41" i="50"/>
  <c r="H41" i="50"/>
  <c r="I41" i="50"/>
  <c r="J41" i="50"/>
  <c r="K41" i="50"/>
  <c r="L41" i="50"/>
  <c r="A42" i="50"/>
  <c r="C42" i="50"/>
  <c r="F42" i="50"/>
  <c r="G42" i="50"/>
  <c r="H42" i="50"/>
  <c r="I42" i="50"/>
  <c r="J42" i="50"/>
  <c r="K42" i="50"/>
  <c r="L42" i="50"/>
  <c r="A43" i="50"/>
  <c r="C43" i="50"/>
  <c r="F43" i="50"/>
  <c r="G43" i="50"/>
  <c r="H43" i="50"/>
  <c r="I43" i="50"/>
  <c r="J43" i="50"/>
  <c r="K43" i="50"/>
  <c r="L43" i="50"/>
  <c r="A44" i="50"/>
  <c r="C44" i="50"/>
  <c r="B46" i="26"/>
  <c r="E44" i="50" s="1"/>
  <c r="F44" i="50"/>
  <c r="G44" i="50"/>
  <c r="H44" i="50"/>
  <c r="I44" i="50"/>
  <c r="J44" i="50"/>
  <c r="K44" i="50"/>
  <c r="L44" i="50"/>
  <c r="A45" i="50"/>
  <c r="C45" i="50"/>
  <c r="F45" i="50"/>
  <c r="G45" i="50"/>
  <c r="H45" i="50"/>
  <c r="I45" i="50"/>
  <c r="J45" i="50"/>
  <c r="K45" i="50"/>
  <c r="L45" i="50"/>
  <c r="A46" i="50"/>
  <c r="C46" i="50"/>
  <c r="F46" i="50"/>
  <c r="G46" i="50"/>
  <c r="H46" i="50"/>
  <c r="I46" i="50"/>
  <c r="J46" i="50"/>
  <c r="K46" i="50"/>
  <c r="L46" i="50"/>
  <c r="A47" i="50"/>
  <c r="C47" i="50"/>
  <c r="F47" i="50"/>
  <c r="G47" i="50"/>
  <c r="H47" i="50"/>
  <c r="I47" i="50"/>
  <c r="J47" i="50"/>
  <c r="K47" i="50"/>
  <c r="L47" i="50"/>
  <c r="A48" i="50"/>
  <c r="C48" i="50"/>
  <c r="F48" i="50"/>
  <c r="G48" i="50"/>
  <c r="H48" i="50"/>
  <c r="I48" i="50"/>
  <c r="J48" i="50"/>
  <c r="K48" i="50"/>
  <c r="L48" i="50"/>
  <c r="A49" i="50"/>
  <c r="C49" i="50"/>
  <c r="F49" i="50"/>
  <c r="G49" i="50"/>
  <c r="H49" i="50"/>
  <c r="I49" i="50"/>
  <c r="J49" i="50"/>
  <c r="K49" i="50"/>
  <c r="L49" i="50"/>
  <c r="A50" i="50"/>
  <c r="C50" i="50"/>
  <c r="F50" i="50"/>
  <c r="G50" i="50"/>
  <c r="H50" i="50"/>
  <c r="I50" i="50"/>
  <c r="J50" i="50"/>
  <c r="K50" i="50"/>
  <c r="L50" i="50"/>
  <c r="A51" i="50"/>
  <c r="C51" i="50"/>
  <c r="F51" i="50"/>
  <c r="G51" i="50"/>
  <c r="H51" i="50"/>
  <c r="I51" i="50"/>
  <c r="J51" i="50"/>
  <c r="K51" i="50"/>
  <c r="L51" i="50"/>
  <c r="A52" i="50"/>
  <c r="C52" i="50"/>
  <c r="B54" i="26"/>
  <c r="E52" i="50" s="1"/>
  <c r="F52" i="50"/>
  <c r="G52" i="50"/>
  <c r="H52" i="50"/>
  <c r="I52" i="50"/>
  <c r="J52" i="50"/>
  <c r="K52" i="50"/>
  <c r="L52" i="50"/>
  <c r="A53" i="50"/>
  <c r="C53" i="50"/>
  <c r="F53" i="50"/>
  <c r="G53" i="50"/>
  <c r="H53" i="50"/>
  <c r="I53" i="50"/>
  <c r="J53" i="50"/>
  <c r="K53" i="50"/>
  <c r="L53" i="50"/>
  <c r="A54" i="50"/>
  <c r="C54" i="50"/>
  <c r="B56" i="26"/>
  <c r="E54" i="50" s="1"/>
  <c r="F54" i="50"/>
  <c r="G54" i="50"/>
  <c r="H54" i="50"/>
  <c r="I54" i="50"/>
  <c r="J54" i="50"/>
  <c r="K54" i="50"/>
  <c r="A55" i="50"/>
  <c r="C55" i="50"/>
  <c r="F55" i="50"/>
  <c r="G55" i="50"/>
  <c r="H55" i="50"/>
  <c r="I55" i="50"/>
  <c r="J55" i="50"/>
  <c r="K55" i="50"/>
  <c r="L55" i="50"/>
  <c r="A56" i="50"/>
  <c r="C56" i="50"/>
  <c r="F56" i="50"/>
  <c r="G56" i="50"/>
  <c r="H56" i="50"/>
  <c r="I56" i="50"/>
  <c r="J56" i="50"/>
  <c r="K56" i="50"/>
  <c r="L56" i="50"/>
  <c r="A57" i="50"/>
  <c r="C57" i="50"/>
  <c r="F57" i="50"/>
  <c r="G57" i="50"/>
  <c r="H57" i="50"/>
  <c r="I57" i="50"/>
  <c r="J57" i="50"/>
  <c r="K57" i="50"/>
  <c r="L57" i="50"/>
  <c r="A58" i="50"/>
  <c r="C58" i="50"/>
  <c r="F58" i="50"/>
  <c r="G58" i="50"/>
  <c r="H58" i="50"/>
  <c r="I58" i="50"/>
  <c r="J58" i="50"/>
  <c r="K58" i="50"/>
  <c r="L58" i="50"/>
  <c r="A59" i="50"/>
  <c r="C59" i="50"/>
  <c r="F59" i="50"/>
  <c r="G59" i="50"/>
  <c r="H59" i="50"/>
  <c r="I59" i="50"/>
  <c r="J59" i="50"/>
  <c r="K59" i="50"/>
  <c r="L59" i="50"/>
  <c r="A60" i="50"/>
  <c r="C60" i="50"/>
  <c r="F60" i="50"/>
  <c r="G60" i="50"/>
  <c r="H60" i="50"/>
  <c r="I60" i="50"/>
  <c r="J60" i="50"/>
  <c r="K60" i="50"/>
  <c r="L60" i="50"/>
  <c r="A61" i="50"/>
  <c r="C61" i="50"/>
  <c r="F61" i="50"/>
  <c r="G61" i="50"/>
  <c r="H61" i="50"/>
  <c r="I61" i="50"/>
  <c r="J61" i="50"/>
  <c r="K61" i="50"/>
  <c r="L61" i="50"/>
  <c r="A62" i="50"/>
  <c r="C62" i="50"/>
  <c r="F62" i="50"/>
  <c r="G62" i="50"/>
  <c r="H62" i="50"/>
  <c r="I62" i="50"/>
  <c r="J62" i="50"/>
  <c r="K62" i="50"/>
  <c r="L62" i="50"/>
  <c r="A63" i="50"/>
  <c r="C63" i="50"/>
  <c r="F63" i="50"/>
  <c r="G63" i="50"/>
  <c r="H63" i="50"/>
  <c r="I63" i="50"/>
  <c r="J63" i="50"/>
  <c r="K63" i="50"/>
  <c r="L63" i="50"/>
  <c r="A64" i="50"/>
  <c r="C64" i="50"/>
  <c r="F64" i="50"/>
  <c r="G64" i="50"/>
  <c r="H64" i="50"/>
  <c r="I64" i="50"/>
  <c r="J64" i="50"/>
  <c r="K64" i="50"/>
  <c r="L64" i="50"/>
  <c r="A65" i="50"/>
  <c r="C65" i="50"/>
  <c r="F65" i="50"/>
  <c r="G65" i="50"/>
  <c r="H65" i="50"/>
  <c r="I65" i="50"/>
  <c r="J65" i="50"/>
  <c r="K65" i="50"/>
  <c r="L65" i="50"/>
  <c r="A66" i="50"/>
  <c r="C66" i="50"/>
  <c r="B68" i="26"/>
  <c r="E66" i="50" s="1"/>
  <c r="F66" i="50"/>
  <c r="G66" i="50"/>
  <c r="H66" i="50"/>
  <c r="I66" i="50"/>
  <c r="J66" i="50"/>
  <c r="K66" i="50"/>
  <c r="L66" i="50"/>
  <c r="A67" i="50"/>
  <c r="C67" i="50"/>
  <c r="F67" i="50"/>
  <c r="G67" i="50"/>
  <c r="H67" i="50"/>
  <c r="I67" i="50"/>
  <c r="J67" i="50"/>
  <c r="K67" i="50"/>
  <c r="L67" i="50"/>
  <c r="A68" i="50"/>
  <c r="C68" i="50"/>
  <c r="F68" i="50"/>
  <c r="G68" i="50"/>
  <c r="H68" i="50"/>
  <c r="I68" i="50"/>
  <c r="J68" i="50"/>
  <c r="K68" i="50"/>
  <c r="L68" i="50"/>
  <c r="A69" i="50"/>
  <c r="C69" i="50"/>
  <c r="F69" i="50"/>
  <c r="G69" i="50"/>
  <c r="H69" i="50"/>
  <c r="I69" i="50"/>
  <c r="J69" i="50"/>
  <c r="K69" i="50"/>
  <c r="L69" i="50"/>
  <c r="A70" i="50"/>
  <c r="C70" i="50"/>
  <c r="F70" i="50"/>
  <c r="G70" i="50"/>
  <c r="H70" i="50"/>
  <c r="I70" i="50"/>
  <c r="J70" i="50"/>
  <c r="K70" i="50"/>
  <c r="L70" i="50"/>
  <c r="A71" i="50"/>
  <c r="C71" i="50"/>
  <c r="F71" i="50"/>
  <c r="G71" i="50"/>
  <c r="H71" i="50"/>
  <c r="I71" i="50"/>
  <c r="J71" i="50"/>
  <c r="K71" i="50"/>
  <c r="L71" i="50"/>
  <c r="A72" i="50"/>
  <c r="C72" i="50"/>
  <c r="F72" i="50"/>
  <c r="G72" i="50"/>
  <c r="H72" i="50"/>
  <c r="I72" i="50"/>
  <c r="J72" i="50"/>
  <c r="K72" i="50"/>
  <c r="L72" i="50"/>
  <c r="A73" i="50"/>
  <c r="C73" i="50"/>
  <c r="F73" i="50"/>
  <c r="G73" i="50"/>
  <c r="H73" i="50"/>
  <c r="I73" i="50"/>
  <c r="J73" i="50"/>
  <c r="K73" i="50"/>
  <c r="L73" i="50"/>
  <c r="A74" i="50"/>
  <c r="C74" i="50"/>
  <c r="F74" i="50"/>
  <c r="G74" i="50"/>
  <c r="H74" i="50"/>
  <c r="I74" i="50"/>
  <c r="J74" i="50"/>
  <c r="K74" i="50"/>
  <c r="L74" i="50"/>
  <c r="A75" i="50"/>
  <c r="C75" i="50"/>
  <c r="F75" i="50"/>
  <c r="G75" i="50"/>
  <c r="H75" i="50"/>
  <c r="I75" i="50"/>
  <c r="J75" i="50"/>
  <c r="K75" i="50"/>
  <c r="L75" i="50"/>
  <c r="A76" i="50"/>
  <c r="C76" i="50"/>
  <c r="F76" i="50"/>
  <c r="G76" i="50"/>
  <c r="H76" i="50"/>
  <c r="I76" i="50"/>
  <c r="J76" i="50"/>
  <c r="K76" i="50"/>
  <c r="L76" i="50"/>
  <c r="A77" i="50"/>
  <c r="C77" i="50"/>
  <c r="B79" i="26"/>
  <c r="E77" i="50" s="1"/>
  <c r="F77" i="50"/>
  <c r="G77" i="50"/>
  <c r="H77" i="50"/>
  <c r="I77" i="50"/>
  <c r="J77" i="50"/>
  <c r="K77" i="50"/>
  <c r="L77" i="50"/>
  <c r="A78" i="50"/>
  <c r="C78" i="50"/>
  <c r="F78" i="50"/>
  <c r="G78" i="50"/>
  <c r="H78" i="50"/>
  <c r="I78" i="50"/>
  <c r="J78" i="50"/>
  <c r="K78" i="50"/>
  <c r="L78" i="50"/>
  <c r="A79" i="50"/>
  <c r="C79" i="50"/>
  <c r="F79" i="50"/>
  <c r="G79" i="50"/>
  <c r="H79" i="50"/>
  <c r="I79" i="50"/>
  <c r="J79" i="50"/>
  <c r="K79" i="50"/>
  <c r="L79" i="50"/>
  <c r="A80" i="50"/>
  <c r="C80" i="50"/>
  <c r="F80" i="50"/>
  <c r="G80" i="50"/>
  <c r="H80" i="50"/>
  <c r="I80" i="50"/>
  <c r="J80" i="50"/>
  <c r="K80" i="50"/>
  <c r="L80" i="50"/>
  <c r="A81" i="50"/>
  <c r="C81" i="50"/>
  <c r="F81" i="50"/>
  <c r="G81" i="50"/>
  <c r="H81" i="50"/>
  <c r="I81" i="50"/>
  <c r="J81" i="50"/>
  <c r="K81" i="50"/>
  <c r="L81" i="50"/>
  <c r="A82" i="50"/>
  <c r="C82" i="50"/>
  <c r="F82" i="50"/>
  <c r="G82" i="50"/>
  <c r="H82" i="50"/>
  <c r="I82" i="50"/>
  <c r="J82" i="50"/>
  <c r="K82" i="50"/>
  <c r="L82" i="50"/>
  <c r="A83" i="50"/>
  <c r="C83" i="50"/>
  <c r="F83" i="50"/>
  <c r="G83" i="50"/>
  <c r="H83" i="50"/>
  <c r="I83" i="50"/>
  <c r="J83" i="50"/>
  <c r="K83" i="50"/>
  <c r="L83" i="50"/>
  <c r="A84" i="50"/>
  <c r="C84" i="50"/>
  <c r="B86" i="26"/>
  <c r="E84" i="50" s="1"/>
  <c r="F84" i="50"/>
  <c r="G84" i="50"/>
  <c r="H84" i="50"/>
  <c r="I84" i="50"/>
  <c r="J84" i="50"/>
  <c r="K84" i="50"/>
  <c r="L84" i="50"/>
  <c r="A85" i="50"/>
  <c r="C85" i="50"/>
  <c r="F85" i="50"/>
  <c r="G85" i="50"/>
  <c r="H85" i="50"/>
  <c r="I85" i="50"/>
  <c r="J85" i="50"/>
  <c r="K85" i="50"/>
  <c r="L85" i="50"/>
  <c r="A86" i="50"/>
  <c r="C86" i="50"/>
  <c r="F86" i="50"/>
  <c r="G86" i="50"/>
  <c r="H86" i="50"/>
  <c r="I86" i="50"/>
  <c r="J86" i="50"/>
  <c r="K86" i="50"/>
  <c r="L86" i="50"/>
  <c r="A87" i="50"/>
  <c r="C87" i="50"/>
  <c r="F87" i="50"/>
  <c r="G87" i="50"/>
  <c r="H87" i="50"/>
  <c r="I87" i="50"/>
  <c r="J87" i="50"/>
  <c r="K87" i="50"/>
  <c r="L87" i="50"/>
  <c r="A88" i="50"/>
  <c r="C88" i="50"/>
  <c r="F88" i="50"/>
  <c r="G88" i="50"/>
  <c r="H88" i="50"/>
  <c r="I88" i="50"/>
  <c r="J88" i="50"/>
  <c r="K88" i="50"/>
  <c r="L88" i="50"/>
  <c r="A89" i="50"/>
  <c r="C89" i="50"/>
  <c r="F89" i="50"/>
  <c r="G89" i="50"/>
  <c r="H89" i="50"/>
  <c r="I89" i="50"/>
  <c r="J89" i="50"/>
  <c r="K89" i="50"/>
  <c r="L89" i="50"/>
  <c r="A90" i="50"/>
  <c r="C90" i="50"/>
  <c r="F90" i="50"/>
  <c r="G90" i="50"/>
  <c r="H90" i="50"/>
  <c r="I90" i="50"/>
  <c r="J90" i="50"/>
  <c r="K90" i="50"/>
  <c r="L90" i="50"/>
  <c r="A91" i="50"/>
  <c r="C91" i="50"/>
  <c r="F91" i="50"/>
  <c r="G91" i="50"/>
  <c r="H91" i="50"/>
  <c r="I91" i="50"/>
  <c r="J91" i="50"/>
  <c r="K91" i="50"/>
  <c r="L91" i="50"/>
  <c r="A92" i="50"/>
  <c r="C92" i="50"/>
  <c r="F92" i="50"/>
  <c r="G92" i="50"/>
  <c r="H92" i="50"/>
  <c r="I92" i="50"/>
  <c r="J92" i="50"/>
  <c r="K92" i="50"/>
  <c r="L92" i="50"/>
  <c r="A93" i="50"/>
  <c r="C93" i="50"/>
  <c r="F93" i="50"/>
  <c r="G93" i="50"/>
  <c r="H93" i="50"/>
  <c r="I93" i="50"/>
  <c r="J93" i="50"/>
  <c r="K93" i="50"/>
  <c r="L93" i="50"/>
  <c r="A94" i="50"/>
  <c r="C94" i="50"/>
  <c r="F94" i="50"/>
  <c r="G94" i="50"/>
  <c r="H94" i="50"/>
  <c r="I94" i="50"/>
  <c r="J94" i="50"/>
  <c r="K94" i="50"/>
  <c r="L94" i="50"/>
  <c r="A95" i="50"/>
  <c r="C95" i="50"/>
  <c r="F95" i="50"/>
  <c r="G95" i="50"/>
  <c r="H95" i="50"/>
  <c r="I95" i="50"/>
  <c r="J95" i="50"/>
  <c r="K95" i="50"/>
  <c r="L95" i="50"/>
  <c r="A96" i="50"/>
  <c r="C96" i="50"/>
  <c r="F96" i="50"/>
  <c r="G96" i="50"/>
  <c r="H96" i="50"/>
  <c r="I96" i="50"/>
  <c r="J96" i="50"/>
  <c r="K96" i="50"/>
  <c r="L96" i="50"/>
  <c r="A97" i="50"/>
  <c r="C97" i="50"/>
  <c r="F97" i="50"/>
  <c r="G97" i="50"/>
  <c r="H97" i="50"/>
  <c r="I97" i="50"/>
  <c r="J97" i="50"/>
  <c r="K97" i="50"/>
  <c r="L97" i="50"/>
  <c r="A98" i="50"/>
  <c r="C98" i="50"/>
  <c r="F98" i="50"/>
  <c r="G98" i="50"/>
  <c r="H98" i="50"/>
  <c r="I98" i="50"/>
  <c r="J98" i="50"/>
  <c r="K98" i="50"/>
  <c r="L98" i="50"/>
  <c r="A99" i="50"/>
  <c r="C99" i="50"/>
  <c r="F99" i="50"/>
  <c r="G99" i="50"/>
  <c r="H99" i="50"/>
  <c r="I99" i="50"/>
  <c r="J99" i="50"/>
  <c r="K99" i="50"/>
  <c r="L99" i="50"/>
  <c r="A100" i="50"/>
  <c r="C100" i="50"/>
  <c r="F100" i="50"/>
  <c r="G100" i="50"/>
  <c r="H100" i="50"/>
  <c r="I100" i="50"/>
  <c r="J100" i="50"/>
  <c r="K100" i="50"/>
  <c r="L100" i="50"/>
  <c r="A101" i="50"/>
  <c r="C101" i="50"/>
  <c r="F101" i="50"/>
  <c r="G101" i="50"/>
  <c r="H101" i="50"/>
  <c r="I101" i="50"/>
  <c r="J101" i="50"/>
  <c r="K101" i="50"/>
  <c r="L101" i="50"/>
  <c r="A102" i="50"/>
  <c r="C102" i="50"/>
  <c r="F102" i="50"/>
  <c r="G102" i="50"/>
  <c r="H102" i="50"/>
  <c r="I102" i="50"/>
  <c r="J102" i="50"/>
  <c r="K102" i="50"/>
  <c r="L102" i="50"/>
  <c r="A103" i="50"/>
  <c r="C103" i="50"/>
  <c r="F103" i="50"/>
  <c r="G103" i="50"/>
  <c r="H103" i="50"/>
  <c r="I103" i="50"/>
  <c r="J103" i="50"/>
  <c r="K103" i="50"/>
  <c r="L103" i="50"/>
  <c r="A104" i="50"/>
  <c r="C104" i="50"/>
  <c r="F104" i="50"/>
  <c r="G104" i="50"/>
  <c r="H104" i="50"/>
  <c r="I104" i="50"/>
  <c r="J104" i="50"/>
  <c r="K104" i="50"/>
  <c r="L104" i="50"/>
  <c r="A105" i="50"/>
  <c r="C105" i="50"/>
  <c r="F105" i="50"/>
  <c r="G105" i="50"/>
  <c r="H105" i="50"/>
  <c r="I105" i="50"/>
  <c r="J105" i="50"/>
  <c r="K105" i="50"/>
  <c r="L105" i="50"/>
  <c r="A106" i="50"/>
  <c r="C106" i="50"/>
  <c r="F106" i="50"/>
  <c r="G106" i="50"/>
  <c r="H106" i="50"/>
  <c r="I106" i="50"/>
  <c r="J106" i="50"/>
  <c r="K106" i="50"/>
  <c r="L106" i="50"/>
  <c r="A107" i="50"/>
  <c r="C107" i="50"/>
  <c r="B109" i="26"/>
  <c r="E107" i="50" s="1"/>
  <c r="F107" i="50"/>
  <c r="G107" i="50"/>
  <c r="H107" i="50"/>
  <c r="I107" i="50"/>
  <c r="J107" i="50"/>
  <c r="K107" i="50"/>
  <c r="L107" i="50"/>
  <c r="A108" i="50"/>
  <c r="C108" i="50"/>
  <c r="F108" i="50"/>
  <c r="G108" i="50"/>
  <c r="H108" i="50"/>
  <c r="I108" i="50"/>
  <c r="J108" i="50"/>
  <c r="K108" i="50"/>
  <c r="L108" i="50"/>
  <c r="A109" i="50"/>
  <c r="C109" i="50"/>
  <c r="F109" i="50"/>
  <c r="G109" i="50"/>
  <c r="H109" i="50"/>
  <c r="I109" i="50"/>
  <c r="J109" i="50"/>
  <c r="K109" i="50"/>
  <c r="L109" i="50"/>
  <c r="A110" i="50"/>
  <c r="C110" i="50"/>
  <c r="B112" i="26"/>
  <c r="E110" i="50" s="1"/>
  <c r="F110" i="50"/>
  <c r="G110" i="50"/>
  <c r="H110" i="50"/>
  <c r="I110" i="50"/>
  <c r="J110" i="50"/>
  <c r="K110" i="50"/>
  <c r="L110" i="50"/>
  <c r="A111" i="50"/>
  <c r="C111" i="50"/>
  <c r="F111" i="50"/>
  <c r="G111" i="50"/>
  <c r="H111" i="50"/>
  <c r="I111" i="50"/>
  <c r="J111" i="50"/>
  <c r="K111" i="50"/>
  <c r="L111" i="50"/>
  <c r="A112" i="50"/>
  <c r="C112" i="50"/>
  <c r="F112" i="50"/>
  <c r="G112" i="50"/>
  <c r="H112" i="50"/>
  <c r="I112" i="50"/>
  <c r="J112" i="50"/>
  <c r="K112" i="50"/>
  <c r="L112" i="50"/>
  <c r="A113" i="50"/>
  <c r="C113" i="50"/>
  <c r="F113" i="50"/>
  <c r="G113" i="50"/>
  <c r="H113" i="50"/>
  <c r="I113" i="50"/>
  <c r="J113" i="50"/>
  <c r="K113" i="50"/>
  <c r="L113" i="50"/>
  <c r="A114" i="50"/>
  <c r="C114" i="50"/>
  <c r="F114" i="50"/>
  <c r="G114" i="50"/>
  <c r="H114" i="50"/>
  <c r="I114" i="50"/>
  <c r="J114" i="50"/>
  <c r="K114" i="50"/>
  <c r="L114" i="50"/>
  <c r="A115" i="50"/>
  <c r="C115" i="50"/>
  <c r="F115" i="50"/>
  <c r="G115" i="50"/>
  <c r="H115" i="50"/>
  <c r="I115" i="50"/>
  <c r="J115" i="50"/>
  <c r="K115" i="50"/>
  <c r="L115" i="50"/>
  <c r="A116" i="50"/>
  <c r="C116" i="50"/>
  <c r="F116" i="50"/>
  <c r="G116" i="50"/>
  <c r="H116" i="50"/>
  <c r="I116" i="50"/>
  <c r="J116" i="50"/>
  <c r="K116" i="50"/>
  <c r="L116" i="50"/>
  <c r="A117" i="50"/>
  <c r="C117" i="50"/>
  <c r="F117" i="50"/>
  <c r="G117" i="50"/>
  <c r="H117" i="50"/>
  <c r="I117" i="50"/>
  <c r="J117" i="50"/>
  <c r="K117" i="50"/>
  <c r="L117" i="50"/>
  <c r="A118" i="50"/>
  <c r="C118" i="50"/>
  <c r="F118" i="50"/>
  <c r="G118" i="50"/>
  <c r="H118" i="50"/>
  <c r="I118" i="50"/>
  <c r="J118" i="50"/>
  <c r="K118" i="50"/>
  <c r="L118" i="50"/>
  <c r="A119" i="50"/>
  <c r="C119" i="50"/>
  <c r="F119" i="50"/>
  <c r="G119" i="50"/>
  <c r="H119" i="50"/>
  <c r="I119" i="50"/>
  <c r="J119" i="50"/>
  <c r="K119" i="50"/>
  <c r="L119" i="50"/>
  <c r="A120" i="50"/>
  <c r="C120" i="50"/>
  <c r="F120" i="50"/>
  <c r="G120" i="50"/>
  <c r="H120" i="50"/>
  <c r="I120" i="50"/>
  <c r="J120" i="50"/>
  <c r="K120" i="50"/>
  <c r="L120" i="50"/>
  <c r="A121" i="50"/>
  <c r="C121" i="50"/>
  <c r="F121" i="50"/>
  <c r="G121" i="50"/>
  <c r="H121" i="50"/>
  <c r="I121" i="50"/>
  <c r="J121" i="50"/>
  <c r="K121" i="50"/>
  <c r="L121" i="50"/>
  <c r="A122" i="50"/>
  <c r="C122" i="50"/>
  <c r="F122" i="50"/>
  <c r="G122" i="50"/>
  <c r="H122" i="50"/>
  <c r="I122" i="50"/>
  <c r="J122" i="50"/>
  <c r="K122" i="50"/>
  <c r="L122" i="50"/>
  <c r="A123" i="50"/>
  <c r="C123" i="50"/>
  <c r="F123" i="50"/>
  <c r="G123" i="50"/>
  <c r="H123" i="50"/>
  <c r="I123" i="50"/>
  <c r="J123" i="50"/>
  <c r="K123" i="50"/>
  <c r="L123" i="50"/>
  <c r="A124" i="50"/>
  <c r="C124" i="50"/>
  <c r="F124" i="50"/>
  <c r="G124" i="50"/>
  <c r="H124" i="50"/>
  <c r="I124" i="50"/>
  <c r="J124" i="50"/>
  <c r="K124" i="50"/>
  <c r="L124" i="50"/>
  <c r="A125" i="50"/>
  <c r="C125" i="50"/>
  <c r="F125" i="50"/>
  <c r="G125" i="50"/>
  <c r="H125" i="50"/>
  <c r="I125" i="50"/>
  <c r="J125" i="50"/>
  <c r="K125" i="50"/>
  <c r="L125" i="50"/>
  <c r="A126" i="50"/>
  <c r="C126" i="50"/>
  <c r="F126" i="50"/>
  <c r="G126" i="50"/>
  <c r="H126" i="50"/>
  <c r="I126" i="50"/>
  <c r="J126" i="50"/>
  <c r="K126" i="50"/>
  <c r="L126" i="50"/>
  <c r="A127" i="50"/>
  <c r="C127" i="50"/>
  <c r="F127" i="50"/>
  <c r="G127" i="50"/>
  <c r="H127" i="50"/>
  <c r="I127" i="50"/>
  <c r="J127" i="50"/>
  <c r="K127" i="50"/>
  <c r="L127" i="50"/>
  <c r="A128" i="50"/>
  <c r="C128" i="50"/>
  <c r="F128" i="50"/>
  <c r="G128" i="50"/>
  <c r="H128" i="50"/>
  <c r="I128" i="50"/>
  <c r="J128" i="50"/>
  <c r="K128" i="50"/>
  <c r="L128" i="50"/>
  <c r="A129" i="50"/>
  <c r="C129" i="50"/>
  <c r="F129" i="50"/>
  <c r="G129" i="50"/>
  <c r="H129" i="50"/>
  <c r="I129" i="50"/>
  <c r="J129" i="50"/>
  <c r="K129" i="50"/>
  <c r="L129" i="50"/>
  <c r="A130" i="50"/>
  <c r="C130" i="50"/>
  <c r="F130" i="50"/>
  <c r="G130" i="50"/>
  <c r="H130" i="50"/>
  <c r="I130" i="50"/>
  <c r="J130" i="50"/>
  <c r="K130" i="50"/>
  <c r="L130" i="50"/>
  <c r="A131" i="50"/>
  <c r="C131" i="50"/>
  <c r="F131" i="50"/>
  <c r="G131" i="50"/>
  <c r="H131" i="50"/>
  <c r="I131" i="50"/>
  <c r="J131" i="50"/>
  <c r="K131" i="50"/>
  <c r="L131" i="50"/>
  <c r="A132" i="50"/>
  <c r="C132" i="50"/>
  <c r="F132" i="50"/>
  <c r="G132" i="50"/>
  <c r="H132" i="50"/>
  <c r="I132" i="50"/>
  <c r="J132" i="50"/>
  <c r="K132" i="50"/>
  <c r="L132" i="50"/>
  <c r="A133" i="50"/>
  <c r="C133" i="50"/>
  <c r="F133" i="50"/>
  <c r="G133" i="50"/>
  <c r="H133" i="50"/>
  <c r="I133" i="50"/>
  <c r="J133" i="50"/>
  <c r="K133" i="50"/>
  <c r="L133" i="50"/>
  <c r="A134" i="50"/>
  <c r="C134" i="50"/>
  <c r="F134" i="50"/>
  <c r="G134" i="50"/>
  <c r="H134" i="50"/>
  <c r="I134" i="50"/>
  <c r="J134" i="50"/>
  <c r="K134" i="50"/>
  <c r="L134" i="50"/>
  <c r="A135" i="50"/>
  <c r="C135" i="50"/>
  <c r="F135" i="50"/>
  <c r="G135" i="50"/>
  <c r="H135" i="50"/>
  <c r="I135" i="50"/>
  <c r="J135" i="50"/>
  <c r="K135" i="50"/>
  <c r="L135" i="50"/>
  <c r="A136" i="50"/>
  <c r="C136" i="50"/>
  <c r="F136" i="50"/>
  <c r="G136" i="50"/>
  <c r="H136" i="50"/>
  <c r="I136" i="50"/>
  <c r="J136" i="50"/>
  <c r="K136" i="50"/>
  <c r="L136" i="50"/>
  <c r="A137" i="50"/>
  <c r="C137" i="50"/>
  <c r="F137" i="50"/>
  <c r="G137" i="50"/>
  <c r="H137" i="50"/>
  <c r="I137" i="50"/>
  <c r="J137" i="50"/>
  <c r="K137" i="50"/>
  <c r="L137" i="50"/>
  <c r="A138" i="50"/>
  <c r="C138" i="50"/>
  <c r="F138" i="50"/>
  <c r="G138" i="50"/>
  <c r="H138" i="50"/>
  <c r="I138" i="50"/>
  <c r="J138" i="50"/>
  <c r="K138" i="50"/>
  <c r="L138" i="50"/>
  <c r="A139" i="50"/>
  <c r="C139" i="50"/>
  <c r="F139" i="50"/>
  <c r="G139" i="50"/>
  <c r="H139" i="50"/>
  <c r="I139" i="50"/>
  <c r="J139" i="50"/>
  <c r="K139" i="50"/>
  <c r="L139" i="50"/>
  <c r="A140" i="50"/>
  <c r="C140" i="50"/>
  <c r="F140" i="50"/>
  <c r="G140" i="50"/>
  <c r="H140" i="50"/>
  <c r="I140" i="50"/>
  <c r="J140" i="50"/>
  <c r="K140" i="50"/>
  <c r="L140" i="50"/>
  <c r="A141" i="50"/>
  <c r="C141" i="50"/>
  <c r="F141" i="50"/>
  <c r="G141" i="50"/>
  <c r="H141" i="50"/>
  <c r="I141" i="50"/>
  <c r="J141" i="50"/>
  <c r="K141" i="50"/>
  <c r="L141" i="50"/>
  <c r="A142" i="50"/>
  <c r="C142" i="50"/>
  <c r="F142" i="50"/>
  <c r="G142" i="50"/>
  <c r="H142" i="50"/>
  <c r="I142" i="50"/>
  <c r="J142" i="50"/>
  <c r="K142" i="50"/>
  <c r="L142" i="50"/>
  <c r="A143" i="50"/>
  <c r="C143" i="50"/>
  <c r="F143" i="50"/>
  <c r="G143" i="50"/>
  <c r="H143" i="50"/>
  <c r="I143" i="50"/>
  <c r="J143" i="50"/>
  <c r="K143" i="50"/>
  <c r="L143" i="50"/>
  <c r="A144" i="50"/>
  <c r="C144" i="50"/>
  <c r="F144" i="50"/>
  <c r="G144" i="50"/>
  <c r="H144" i="50"/>
  <c r="I144" i="50"/>
  <c r="J144" i="50"/>
  <c r="K144" i="50"/>
  <c r="L144" i="50"/>
  <c r="A145" i="50"/>
  <c r="C145" i="50"/>
  <c r="F145" i="50"/>
  <c r="G145" i="50"/>
  <c r="H145" i="50"/>
  <c r="I145" i="50"/>
  <c r="J145" i="50"/>
  <c r="K145" i="50"/>
  <c r="L145" i="50"/>
  <c r="A146" i="50"/>
  <c r="C146" i="50"/>
  <c r="F146" i="50"/>
  <c r="G146" i="50"/>
  <c r="H146" i="50"/>
  <c r="I146" i="50"/>
  <c r="J146" i="50"/>
  <c r="K146" i="50"/>
  <c r="L146" i="50"/>
  <c r="A147" i="50"/>
  <c r="C147" i="50"/>
  <c r="F147" i="50"/>
  <c r="G147" i="50"/>
  <c r="H147" i="50"/>
  <c r="I147" i="50"/>
  <c r="J147" i="50"/>
  <c r="K147" i="50"/>
  <c r="L147" i="50"/>
  <c r="A148" i="50"/>
  <c r="C148" i="50"/>
  <c r="F148" i="50"/>
  <c r="G148" i="50"/>
  <c r="H148" i="50"/>
  <c r="I148" i="50"/>
  <c r="J148" i="50"/>
  <c r="K148" i="50"/>
  <c r="L148" i="50"/>
  <c r="A149" i="50"/>
  <c r="C149" i="50"/>
  <c r="F149" i="50"/>
  <c r="G149" i="50"/>
  <c r="H149" i="50"/>
  <c r="I149" i="50"/>
  <c r="J149" i="50"/>
  <c r="K149" i="50"/>
  <c r="L149" i="50"/>
  <c r="A150" i="50"/>
  <c r="C150" i="50"/>
  <c r="F150" i="50"/>
  <c r="G150" i="50"/>
  <c r="H150" i="50"/>
  <c r="I150" i="50"/>
  <c r="J150" i="50"/>
  <c r="K150" i="50"/>
  <c r="L150" i="50"/>
  <c r="A151" i="50"/>
  <c r="C151" i="50"/>
  <c r="F151" i="50"/>
  <c r="G151" i="50"/>
  <c r="H151" i="50"/>
  <c r="I151" i="50"/>
  <c r="J151" i="50"/>
  <c r="K151" i="50"/>
  <c r="L151" i="50"/>
  <c r="A152" i="50"/>
  <c r="C152" i="50"/>
  <c r="F152" i="50"/>
  <c r="G152" i="50"/>
  <c r="H152" i="50"/>
  <c r="I152" i="50"/>
  <c r="J152" i="50"/>
  <c r="K152" i="50"/>
  <c r="L152" i="50"/>
  <c r="F3" i="50"/>
  <c r="G3" i="50"/>
  <c r="H3" i="50"/>
  <c r="I3" i="50"/>
  <c r="J3" i="50"/>
  <c r="K3" i="50"/>
  <c r="L3" i="50"/>
  <c r="E3" i="50"/>
  <c r="D3" i="50"/>
  <c r="C3" i="50"/>
  <c r="A3" i="50"/>
  <c r="Q7" i="26"/>
  <c r="Q11" i="26"/>
  <c r="Q14" i="26"/>
  <c r="Q17" i="26"/>
  <c r="Q24" i="26"/>
  <c r="Q28" i="26"/>
  <c r="Q41" i="26"/>
  <c r="Q46" i="26"/>
  <c r="Q54" i="26"/>
  <c r="Q56" i="26"/>
  <c r="Q68" i="26"/>
  <c r="Q79" i="26"/>
  <c r="Q86" i="26"/>
  <c r="Q109" i="26"/>
  <c r="Q112" i="26"/>
  <c r="AD17" i="26"/>
  <c r="A4" i="26"/>
  <c r="AH13" i="26"/>
  <c r="AH15" i="26"/>
  <c r="E37" i="4"/>
  <c r="F37" i="4"/>
  <c r="E22" i="4"/>
  <c r="E21" i="4"/>
  <c r="E20" i="4"/>
  <c r="E19" i="4"/>
  <c r="F19" i="4"/>
  <c r="F20" i="4"/>
  <c r="F21" i="4"/>
  <c r="F22" i="4"/>
  <c r="D1" i="4"/>
  <c r="I1" i="26"/>
  <c r="AH6" i="26"/>
  <c r="Q5" i="26"/>
  <c r="E34" i="4"/>
  <c r="E35" i="4"/>
  <c r="E36" i="4"/>
  <c r="E38" i="4"/>
  <c r="E33" i="4"/>
  <c r="F5" i="4"/>
  <c r="F6" i="4"/>
  <c r="F7" i="4"/>
  <c r="F8" i="4"/>
  <c r="F9" i="4"/>
  <c r="F10" i="4"/>
  <c r="F11" i="4"/>
  <c r="F12" i="4"/>
  <c r="F13" i="4"/>
  <c r="F14" i="4"/>
  <c r="F15" i="4"/>
  <c r="F16" i="4"/>
  <c r="F17" i="4"/>
  <c r="F18" i="4"/>
  <c r="F23" i="4"/>
  <c r="F24" i="4"/>
  <c r="F25" i="4"/>
  <c r="F26" i="4"/>
  <c r="F27" i="4"/>
  <c r="F28" i="4"/>
  <c r="F30" i="4"/>
  <c r="F31" i="4"/>
  <c r="F32" i="4"/>
  <c r="F33" i="4"/>
  <c r="F34" i="4"/>
  <c r="F35" i="4"/>
  <c r="F36" i="4"/>
  <c r="F38" i="4"/>
  <c r="F4" i="4"/>
  <c r="E28" i="4"/>
  <c r="E31" i="4"/>
  <c r="E30" i="4"/>
  <c r="E29" i="4"/>
  <c r="AD19" i="26"/>
  <c r="AH19" i="26"/>
  <c r="E7" i="4"/>
  <c r="AH17" i="26"/>
  <c r="AD6" i="26"/>
  <c r="AD7" i="26"/>
  <c r="AD8" i="26"/>
  <c r="AD9" i="26"/>
  <c r="AD10" i="26"/>
  <c r="AD11" i="26"/>
  <c r="AD12" i="26"/>
  <c r="AD13" i="26"/>
  <c r="AD14" i="26"/>
  <c r="AD15" i="26"/>
  <c r="AD16" i="26"/>
  <c r="AD18" i="26"/>
  <c r="AD20" i="26"/>
  <c r="AD5" i="26"/>
  <c r="AH18" i="26"/>
  <c r="AH20" i="26"/>
  <c r="AH16" i="26"/>
  <c r="AH14" i="26"/>
  <c r="AH12" i="26"/>
  <c r="AH11" i="26"/>
  <c r="AH10" i="26"/>
  <c r="AH9" i="26"/>
  <c r="AH8" i="26"/>
  <c r="AH7" i="26"/>
  <c r="AH5" i="26"/>
  <c r="D1" i="5"/>
  <c r="A3" i="4"/>
  <c r="E4" i="4"/>
  <c r="E5" i="4"/>
  <c r="E6" i="4"/>
  <c r="E8" i="4"/>
  <c r="E10" i="4"/>
  <c r="E11" i="4"/>
  <c r="E12" i="4"/>
  <c r="E13" i="4"/>
  <c r="E14" i="4"/>
  <c r="E15" i="4"/>
  <c r="E16" i="4"/>
  <c r="E17" i="4"/>
  <c r="E18" i="4"/>
  <c r="E24" i="4"/>
  <c r="E25" i="4"/>
  <c r="E26" i="4"/>
  <c r="E27" i="4"/>
  <c r="A2" i="5"/>
  <c r="S136" i="26"/>
  <c r="S118" i="26"/>
  <c r="AF18" i="26"/>
  <c r="AF16" i="26"/>
  <c r="AF15" i="26"/>
  <c r="AF13" i="26"/>
  <c r="AF8" i="26"/>
  <c r="AF7" i="26"/>
  <c r="C22" i="28"/>
  <c r="AF6" i="26"/>
  <c r="AF5" i="26"/>
  <c r="AH21" i="26"/>
  <c r="S114" i="26"/>
  <c r="S154" i="26"/>
  <c r="S124" i="26"/>
  <c r="S142" i="26"/>
  <c r="AF12" i="26"/>
  <c r="AF19" i="26"/>
  <c r="AF17" i="26"/>
  <c r="AF14" i="26"/>
  <c r="AF11" i="26"/>
  <c r="AF10" i="26"/>
  <c r="AF9" i="26"/>
  <c r="AF20" i="26"/>
  <c r="AF21" i="26"/>
  <c r="AG5" i="26"/>
  <c r="AG8" i="26"/>
  <c r="AG9" i="26"/>
  <c r="AG7" i="26"/>
  <c r="AG6" i="26"/>
  <c r="AG14" i="26"/>
  <c r="AG16" i="26"/>
  <c r="AG12" i="26"/>
  <c r="AG17" i="26"/>
  <c r="AG18" i="26"/>
  <c r="AG13" i="26"/>
  <c r="AG19" i="26"/>
  <c r="AG10" i="26"/>
  <c r="AG15" i="26"/>
  <c r="AG11" i="26"/>
  <c r="AG20" i="26"/>
  <c r="AG21" i="26"/>
  <c r="AI22" i="26"/>
  <c r="S150" i="26" l="1"/>
  <c r="S144" i="26"/>
  <c r="E3" i="4"/>
  <c r="E2" i="4"/>
  <c r="L7" i="26"/>
  <c r="L8" i="26" s="1"/>
  <c r="L9" i="26" s="1"/>
  <c r="S130" i="26"/>
  <c r="S120" i="26"/>
  <c r="S128" i="26"/>
  <c r="S6" i="26"/>
  <c r="U6" i="26" s="1"/>
  <c r="U7" i="26" s="1"/>
  <c r="X5" i="26"/>
  <c r="B3" i="50"/>
  <c r="S106" i="26"/>
  <c r="S102" i="26"/>
  <c r="S100" i="26"/>
  <c r="S98" i="26"/>
  <c r="S96" i="26"/>
  <c r="S94" i="26"/>
  <c r="S92" i="26"/>
  <c r="S90" i="26"/>
  <c r="S84" i="26"/>
  <c r="S80" i="26"/>
  <c r="S76" i="26"/>
  <c r="S72" i="26"/>
  <c r="S66" i="26"/>
  <c r="S64" i="26"/>
  <c r="S62" i="26"/>
  <c r="S60" i="26"/>
  <c r="S58" i="26"/>
  <c r="S52" i="26"/>
  <c r="S50" i="26"/>
  <c r="S48" i="26"/>
  <c r="S44" i="26"/>
  <c r="S42" i="26"/>
  <c r="S40" i="26"/>
  <c r="S38" i="26"/>
  <c r="S36" i="26"/>
  <c r="S34" i="26"/>
  <c r="S32" i="26"/>
  <c r="S30" i="26"/>
  <c r="S26" i="26"/>
  <c r="S22" i="26"/>
  <c r="S20" i="26"/>
  <c r="S18" i="26"/>
  <c r="S16" i="26"/>
  <c r="S12" i="26"/>
  <c r="S10" i="26"/>
  <c r="S8" i="26"/>
  <c r="S107" i="26"/>
  <c r="S105" i="26"/>
  <c r="S103" i="26"/>
  <c r="S101" i="26"/>
  <c r="S99" i="26"/>
  <c r="S97" i="26"/>
  <c r="S95" i="26"/>
  <c r="S93" i="26"/>
  <c r="S91" i="26"/>
  <c r="S89" i="26"/>
  <c r="S87" i="26"/>
  <c r="S85" i="26"/>
  <c r="S83" i="26"/>
  <c r="S81" i="26"/>
  <c r="S77" i="26"/>
  <c r="S75" i="26"/>
  <c r="S73" i="26"/>
  <c r="S146" i="26"/>
  <c r="S145" i="26"/>
  <c r="S160" i="26"/>
  <c r="S155" i="26"/>
  <c r="S153" i="26"/>
  <c r="S149" i="26"/>
  <c r="S143" i="26"/>
  <c r="S141" i="26"/>
  <c r="S139" i="26"/>
  <c r="S135" i="26"/>
  <c r="S131" i="26"/>
  <c r="S129" i="26"/>
  <c r="S125" i="26"/>
  <c r="S121" i="26"/>
  <c r="S117" i="26"/>
  <c r="S115" i="26"/>
  <c r="S111" i="26"/>
  <c r="S108" i="26"/>
  <c r="S104" i="26"/>
  <c r="S88" i="26"/>
  <c r="S82" i="26"/>
  <c r="S78" i="26"/>
  <c r="S74" i="26"/>
  <c r="S70" i="26"/>
  <c r="S161" i="26"/>
  <c r="S157" i="26"/>
  <c r="S71" i="26"/>
  <c r="S69" i="26"/>
  <c r="S67" i="26"/>
  <c r="S65" i="26"/>
  <c r="S63" i="26"/>
  <c r="S61" i="26"/>
  <c r="S59" i="26"/>
  <c r="S57" i="26"/>
  <c r="S55" i="26"/>
  <c r="S53" i="26"/>
  <c r="S51" i="26"/>
  <c r="S49" i="26"/>
  <c r="S47" i="26"/>
  <c r="S45" i="26"/>
  <c r="S43" i="26"/>
  <c r="S39" i="26"/>
  <c r="S37" i="26"/>
  <c r="S35" i="26"/>
  <c r="S33" i="26"/>
  <c r="S31" i="26"/>
  <c r="S29" i="26"/>
  <c r="S27" i="26"/>
  <c r="S25" i="26"/>
  <c r="S23" i="26"/>
  <c r="S21" i="26"/>
  <c r="S19" i="26"/>
  <c r="S15" i="26"/>
  <c r="S13" i="26"/>
  <c r="S9" i="26"/>
  <c r="S159" i="26"/>
  <c r="B4" i="50"/>
  <c r="AI21" i="26"/>
  <c r="AD21" i="26"/>
  <c r="B6" i="50"/>
  <c r="M9" i="26"/>
  <c r="B5" i="50"/>
  <c r="S158" i="26"/>
  <c r="S152" i="26"/>
  <c r="S148" i="26"/>
  <c r="S140" i="26"/>
  <c r="S138" i="26"/>
  <c r="S134" i="26"/>
  <c r="S132" i="26"/>
  <c r="S122" i="26"/>
  <c r="S116" i="26"/>
  <c r="S156" i="26"/>
  <c r="S151" i="26"/>
  <c r="S147" i="26"/>
  <c r="S137" i="26"/>
  <c r="S133" i="26"/>
  <c r="S127" i="26"/>
  <c r="S123" i="26"/>
  <c r="S119" i="26"/>
  <c r="S113" i="26"/>
  <c r="C2" i="4" l="1"/>
  <c r="B5" i="25" s="1"/>
  <c r="B8" i="26"/>
  <c r="E6" i="50" s="1"/>
  <c r="V6" i="26"/>
  <c r="V7" i="26" s="1"/>
  <c r="Y7" i="26" s="1"/>
  <c r="D5" i="50" s="1"/>
  <c r="X6" i="26"/>
  <c r="U8" i="26"/>
  <c r="U9" i="26" s="1"/>
  <c r="U10" i="26" s="1"/>
  <c r="U11" i="26" s="1"/>
  <c r="U12" i="26" s="1"/>
  <c r="U13" i="26" s="1"/>
  <c r="U14" i="26" s="1"/>
  <c r="U15" i="26" s="1"/>
  <c r="U16" i="26" s="1"/>
  <c r="U17" i="26" s="1"/>
  <c r="U18" i="26" s="1"/>
  <c r="U19" i="26" s="1"/>
  <c r="U20" i="26" s="1"/>
  <c r="U21" i="26" s="1"/>
  <c r="U22" i="26" s="1"/>
  <c r="U23" i="26" s="1"/>
  <c r="U24" i="26" s="1"/>
  <c r="U25" i="26" s="1"/>
  <c r="U26" i="26" s="1"/>
  <c r="U27" i="26" s="1"/>
  <c r="U28" i="26" s="1"/>
  <c r="U29" i="26" s="1"/>
  <c r="U30" i="26" s="1"/>
  <c r="U31" i="26" s="1"/>
  <c r="U32" i="26" s="1"/>
  <c r="U33" i="26" s="1"/>
  <c r="U34" i="26" s="1"/>
  <c r="U35" i="26" s="1"/>
  <c r="U36" i="26" s="1"/>
  <c r="U37" i="26" s="1"/>
  <c r="U38" i="26" s="1"/>
  <c r="U39" i="26" s="1"/>
  <c r="U40" i="26" s="1"/>
  <c r="U41" i="26" s="1"/>
  <c r="U42" i="26" s="1"/>
  <c r="U43" i="26" s="1"/>
  <c r="U44" i="26" s="1"/>
  <c r="U45" i="26" s="1"/>
  <c r="U46" i="26" s="1"/>
  <c r="U47" i="26" s="1"/>
  <c r="U48" i="26" s="1"/>
  <c r="U49" i="26" s="1"/>
  <c r="U50" i="26" s="1"/>
  <c r="U51" i="26" s="1"/>
  <c r="U52" i="26" s="1"/>
  <c r="U53" i="26" s="1"/>
  <c r="U54" i="26" s="1"/>
  <c r="U55" i="26" s="1"/>
  <c r="U56" i="26" s="1"/>
  <c r="U57" i="26" s="1"/>
  <c r="U58" i="26" s="1"/>
  <c r="U59" i="26" s="1"/>
  <c r="U60" i="26" s="1"/>
  <c r="U61" i="26" s="1"/>
  <c r="U62" i="26" s="1"/>
  <c r="U63" i="26" s="1"/>
  <c r="U64" i="26" s="1"/>
  <c r="U65" i="26" s="1"/>
  <c r="U66" i="26" s="1"/>
  <c r="U67" i="26" s="1"/>
  <c r="U68" i="26" s="1"/>
  <c r="U69" i="26" s="1"/>
  <c r="U70" i="26" s="1"/>
  <c r="U71" i="26" s="1"/>
  <c r="U72" i="26" s="1"/>
  <c r="U73" i="26" s="1"/>
  <c r="U74" i="26" s="1"/>
  <c r="U75" i="26" s="1"/>
  <c r="U76" i="26" s="1"/>
  <c r="U77" i="26" s="1"/>
  <c r="U78" i="26" s="1"/>
  <c r="U79" i="26" s="1"/>
  <c r="U80" i="26" s="1"/>
  <c r="U81" i="26" s="1"/>
  <c r="U82" i="26" s="1"/>
  <c r="U83" i="26" s="1"/>
  <c r="U84" i="26" s="1"/>
  <c r="U85" i="26" s="1"/>
  <c r="U86" i="26" s="1"/>
  <c r="U87" i="26" s="1"/>
  <c r="U88" i="26" s="1"/>
  <c r="U89" i="26" s="1"/>
  <c r="U90" i="26" s="1"/>
  <c r="U91" i="26" s="1"/>
  <c r="U92" i="26" s="1"/>
  <c r="U93" i="26" s="1"/>
  <c r="U94" i="26" s="1"/>
  <c r="U95" i="26" s="1"/>
  <c r="U96" i="26" s="1"/>
  <c r="U97" i="26" s="1"/>
  <c r="U98" i="26" s="1"/>
  <c r="U99" i="26" s="1"/>
  <c r="U100" i="26" s="1"/>
  <c r="U101" i="26" s="1"/>
  <c r="U102" i="26" s="1"/>
  <c r="U103" i="26" s="1"/>
  <c r="U104" i="26" s="1"/>
  <c r="U105" i="26" s="1"/>
  <c r="U106" i="26" s="1"/>
  <c r="U107" i="26" s="1"/>
  <c r="U108" i="26" s="1"/>
  <c r="U109" i="26" s="1"/>
  <c r="U110" i="26" s="1"/>
  <c r="U111" i="26" s="1"/>
  <c r="U112" i="26" s="1"/>
  <c r="U113" i="26" s="1"/>
  <c r="U114" i="26" s="1"/>
  <c r="U115" i="26" s="1"/>
  <c r="U116" i="26" s="1"/>
  <c r="U117" i="26" s="1"/>
  <c r="U118" i="26" s="1"/>
  <c r="U119" i="26" s="1"/>
  <c r="U120" i="26" s="1"/>
  <c r="U121" i="26" s="1"/>
  <c r="U122" i="26" s="1"/>
  <c r="U123" i="26" s="1"/>
  <c r="U124" i="26" s="1"/>
  <c r="U125" i="26" s="1"/>
  <c r="U126" i="26" s="1"/>
  <c r="U127" i="26" s="1"/>
  <c r="U128" i="26" s="1"/>
  <c r="U129" i="26" s="1"/>
  <c r="U130" i="26" s="1"/>
  <c r="U131" i="26" s="1"/>
  <c r="U132" i="26" s="1"/>
  <c r="U133" i="26" s="1"/>
  <c r="U134" i="26" s="1"/>
  <c r="U135" i="26" s="1"/>
  <c r="U136" i="26" s="1"/>
  <c r="U137" i="26" s="1"/>
  <c r="U138" i="26" s="1"/>
  <c r="U139" i="26" s="1"/>
  <c r="U140" i="26" s="1"/>
  <c r="U141" i="26" s="1"/>
  <c r="U142" i="26" s="1"/>
  <c r="U143" i="26" s="1"/>
  <c r="U144" i="26" s="1"/>
  <c r="U145" i="26" s="1"/>
  <c r="U146" i="26" s="1"/>
  <c r="U147" i="26" s="1"/>
  <c r="U148" i="26" s="1"/>
  <c r="U149" i="26" s="1"/>
  <c r="U150" i="26" s="1"/>
  <c r="U151" i="26" s="1"/>
  <c r="U152" i="26" s="1"/>
  <c r="U153" i="26" s="1"/>
  <c r="U154" i="26" s="1"/>
  <c r="U155" i="26" s="1"/>
  <c r="U156" i="26" s="1"/>
  <c r="U157" i="26" s="1"/>
  <c r="U158" i="26" s="1"/>
  <c r="U159" i="26" s="1"/>
  <c r="U160" i="26" s="1"/>
  <c r="U161" i="26" s="1"/>
  <c r="X8" i="26"/>
  <c r="M10" i="26"/>
  <c r="B7" i="50"/>
  <c r="B9" i="26"/>
  <c r="E7" i="50" s="1"/>
  <c r="L10" i="26"/>
  <c r="Y6" i="26" l="1"/>
  <c r="D4" i="50" s="1"/>
  <c r="X7" i="26"/>
  <c r="V8" i="26"/>
  <c r="Y8" i="26" s="1"/>
  <c r="D6" i="50" s="1"/>
  <c r="X9" i="26"/>
  <c r="L11" i="26"/>
  <c r="L12" i="26" s="1"/>
  <c r="B10" i="26"/>
  <c r="E8" i="50" s="1"/>
  <c r="B8" i="50"/>
  <c r="M11" i="26"/>
  <c r="V9" i="26" l="1"/>
  <c r="V10" i="26" s="1"/>
  <c r="V11" i="26" s="1"/>
  <c r="Y11" i="26" s="1"/>
  <c r="M12" i="26"/>
  <c r="B9" i="50"/>
  <c r="L13" i="26"/>
  <c r="B12" i="26"/>
  <c r="E10" i="50" s="1"/>
  <c r="Y10" i="26" l="1"/>
  <c r="D8" i="50" s="1"/>
  <c r="X10" i="26"/>
  <c r="X11" i="26" s="1"/>
  <c r="Y9" i="26"/>
  <c r="D7" i="50" s="1"/>
  <c r="X12" i="26"/>
  <c r="V12" i="26"/>
  <c r="V13" i="26" s="1"/>
  <c r="M13" i="26"/>
  <c r="B10" i="50"/>
  <c r="B13" i="26"/>
  <c r="E11" i="50" s="1"/>
  <c r="L14" i="26"/>
  <c r="L15" i="26" s="1"/>
  <c r="D9" i="50"/>
  <c r="Y12" i="26" l="1"/>
  <c r="D10" i="50" s="1"/>
  <c r="X13" i="26"/>
  <c r="B15" i="26"/>
  <c r="E13" i="50" s="1"/>
  <c r="L16" i="26"/>
  <c r="M14" i="26"/>
  <c r="B11" i="50"/>
  <c r="V14" i="26"/>
  <c r="Y13" i="26"/>
  <c r="D11" i="50" s="1"/>
  <c r="X14" i="26" l="1"/>
  <c r="L17" i="26"/>
  <c r="L18" i="26" s="1"/>
  <c r="B16" i="26"/>
  <c r="E14" i="50" s="1"/>
  <c r="M15" i="26"/>
  <c r="B12" i="50"/>
  <c r="Y14" i="26"/>
  <c r="V15" i="26"/>
  <c r="X15" i="26" l="1"/>
  <c r="B18" i="26"/>
  <c r="E16" i="50" s="1"/>
  <c r="L19" i="26"/>
  <c r="M16" i="26"/>
  <c r="B13" i="50"/>
  <c r="Y15" i="26"/>
  <c r="D13" i="50" s="1"/>
  <c r="V16" i="26"/>
  <c r="D12" i="50"/>
  <c r="X16" i="26" l="1"/>
  <c r="B14" i="50"/>
  <c r="M17" i="26"/>
  <c r="L20" i="26"/>
  <c r="B19" i="26"/>
  <c r="E17" i="50" s="1"/>
  <c r="V17" i="26"/>
  <c r="Y16" i="26"/>
  <c r="D14" i="50" s="1"/>
  <c r="X17" i="26" l="1"/>
  <c r="L21" i="26"/>
  <c r="B20" i="26"/>
  <c r="E18" i="50" s="1"/>
  <c r="M18" i="26"/>
  <c r="B15" i="50"/>
  <c r="Y17" i="26"/>
  <c r="D15" i="50" s="1"/>
  <c r="V18" i="26"/>
  <c r="X18" i="26" l="1"/>
  <c r="B21" i="26"/>
  <c r="E19" i="50" s="1"/>
  <c r="L22" i="26"/>
  <c r="B16" i="50"/>
  <c r="M19" i="26"/>
  <c r="V19" i="26"/>
  <c r="Y18" i="26"/>
  <c r="D16" i="50" s="1"/>
  <c r="B17" i="50" l="1"/>
  <c r="M20" i="26"/>
  <c r="X19" i="26"/>
  <c r="L23" i="26"/>
  <c r="B22" i="26"/>
  <c r="E20" i="50" s="1"/>
  <c r="V20" i="26"/>
  <c r="Y19" i="26"/>
  <c r="D17" i="50" s="1"/>
  <c r="X20" i="26" l="1"/>
  <c r="B23" i="26"/>
  <c r="E21" i="50" s="1"/>
  <c r="L24" i="26"/>
  <c r="L25" i="26" s="1"/>
  <c r="B18" i="50"/>
  <c r="M21" i="26"/>
  <c r="Y20" i="26"/>
  <c r="D18" i="50" s="1"/>
  <c r="V21" i="26"/>
  <c r="X21" i="26" l="1"/>
  <c r="M22" i="26"/>
  <c r="B19" i="50"/>
  <c r="B25" i="26"/>
  <c r="E23" i="50" s="1"/>
  <c r="L26" i="26"/>
  <c r="Y21" i="26"/>
  <c r="D19" i="50" s="1"/>
  <c r="V22" i="26"/>
  <c r="X22" i="26" l="1"/>
  <c r="L27" i="26"/>
  <c r="B26" i="26"/>
  <c r="E24" i="50" s="1"/>
  <c r="B20" i="50"/>
  <c r="M23" i="26"/>
  <c r="V23" i="26"/>
  <c r="Y22" i="26"/>
  <c r="D20" i="50" s="1"/>
  <c r="X23" i="26" l="1"/>
  <c r="B21" i="50"/>
  <c r="M24" i="26"/>
  <c r="B27" i="26"/>
  <c r="E25" i="50" s="1"/>
  <c r="L28" i="26"/>
  <c r="L29" i="26" s="1"/>
  <c r="V24" i="26"/>
  <c r="Y23" i="26"/>
  <c r="D21" i="50" s="1"/>
  <c r="X24" i="26" l="1"/>
  <c r="B29" i="26"/>
  <c r="E27" i="50" s="1"/>
  <c r="L30" i="26"/>
  <c r="M25" i="26"/>
  <c r="B22" i="50"/>
  <c r="V25" i="26"/>
  <c r="Y24" i="26"/>
  <c r="D22" i="50" s="1"/>
  <c r="X25" i="26" l="1"/>
  <c r="B23" i="50"/>
  <c r="M26" i="26"/>
  <c r="L31" i="26"/>
  <c r="B30" i="26"/>
  <c r="E28" i="50" s="1"/>
  <c r="V26" i="26"/>
  <c r="Y25" i="26"/>
  <c r="D23" i="50" s="1"/>
  <c r="B24" i="50" l="1"/>
  <c r="M27" i="26"/>
  <c r="X26" i="26"/>
  <c r="L32" i="26"/>
  <c r="B31" i="26"/>
  <c r="E29" i="50" s="1"/>
  <c r="V27" i="26"/>
  <c r="Y26" i="26"/>
  <c r="D24" i="50" s="1"/>
  <c r="X27" i="26" l="1"/>
  <c r="L33" i="26"/>
  <c r="B32" i="26"/>
  <c r="E30" i="50" s="1"/>
  <c r="M28" i="26"/>
  <c r="B25" i="50"/>
  <c r="Y27" i="26"/>
  <c r="D25" i="50" s="1"/>
  <c r="V28" i="26"/>
  <c r="X28" i="26" l="1"/>
  <c r="M29" i="26"/>
  <c r="B26" i="50"/>
  <c r="B33" i="26"/>
  <c r="E31" i="50" s="1"/>
  <c r="L34" i="26"/>
  <c r="V29" i="26"/>
  <c r="Y28" i="26"/>
  <c r="D26" i="50" s="1"/>
  <c r="X29" i="26" l="1"/>
  <c r="L35" i="26"/>
  <c r="B34" i="26"/>
  <c r="E32" i="50" s="1"/>
  <c r="B27" i="50"/>
  <c r="M30" i="26"/>
  <c r="V30" i="26"/>
  <c r="Y29" i="26"/>
  <c r="D27" i="50" s="1"/>
  <c r="X30" i="26" l="1"/>
  <c r="L36" i="26"/>
  <c r="B35" i="26"/>
  <c r="E33" i="50" s="1"/>
  <c r="B28" i="50"/>
  <c r="M31" i="26"/>
  <c r="Y30" i="26"/>
  <c r="D28" i="50" s="1"/>
  <c r="V31" i="26"/>
  <c r="X31" i="26" l="1"/>
  <c r="B36" i="26"/>
  <c r="E34" i="50" s="1"/>
  <c r="L37" i="26"/>
  <c r="M32" i="26"/>
  <c r="B29" i="50"/>
  <c r="Y31" i="26"/>
  <c r="D29" i="50" s="1"/>
  <c r="V32" i="26"/>
  <c r="X32" i="26" l="1"/>
  <c r="B37" i="26"/>
  <c r="E35" i="50" s="1"/>
  <c r="L38" i="26"/>
  <c r="M33" i="26"/>
  <c r="B30" i="50"/>
  <c r="Y32" i="26"/>
  <c r="D30" i="50" s="1"/>
  <c r="V33" i="26"/>
  <c r="X33" i="26" l="1"/>
  <c r="M34" i="26"/>
  <c r="B31" i="50"/>
  <c r="L39" i="26"/>
  <c r="B38" i="26"/>
  <c r="E36" i="50" s="1"/>
  <c r="Y33" i="26"/>
  <c r="D31" i="50" s="1"/>
  <c r="V34" i="26"/>
  <c r="X34" i="26" l="1"/>
  <c r="L40" i="26"/>
  <c r="B39" i="26"/>
  <c r="E37" i="50" s="1"/>
  <c r="M35" i="26"/>
  <c r="B32" i="50"/>
  <c r="V35" i="26"/>
  <c r="Y34" i="26"/>
  <c r="D32" i="50" s="1"/>
  <c r="X35" i="26" l="1"/>
  <c r="M36" i="26"/>
  <c r="B33" i="50"/>
  <c r="L41" i="26"/>
  <c r="L42" i="26" s="1"/>
  <c r="B40" i="26"/>
  <c r="E38" i="50" s="1"/>
  <c r="V36" i="26"/>
  <c r="Y35" i="26"/>
  <c r="D33" i="50" s="1"/>
  <c r="X36" i="26" l="1"/>
  <c r="L43" i="26"/>
  <c r="B42" i="26"/>
  <c r="E40" i="50" s="1"/>
  <c r="B34" i="50"/>
  <c r="M37" i="26"/>
  <c r="V37" i="26"/>
  <c r="Y36" i="26"/>
  <c r="D34" i="50" s="1"/>
  <c r="X37" i="26" l="1"/>
  <c r="B35" i="50"/>
  <c r="M38" i="26"/>
  <c r="L44" i="26"/>
  <c r="B43" i="26"/>
  <c r="E41" i="50" s="1"/>
  <c r="Y37" i="26"/>
  <c r="D35" i="50" s="1"/>
  <c r="V38" i="26"/>
  <c r="X38" i="26" l="1"/>
  <c r="B44" i="26"/>
  <c r="E42" i="50" s="1"/>
  <c r="L45" i="26"/>
  <c r="M39" i="26"/>
  <c r="B36" i="50"/>
  <c r="V39" i="26"/>
  <c r="Y38" i="26"/>
  <c r="D36" i="50" s="1"/>
  <c r="X39" i="26" l="1"/>
  <c r="B37" i="50"/>
  <c r="M40" i="26"/>
  <c r="L46" i="26"/>
  <c r="L47" i="26" s="1"/>
  <c r="B45" i="26"/>
  <c r="E43" i="50" s="1"/>
  <c r="V40" i="26"/>
  <c r="Y39" i="26"/>
  <c r="D37" i="50" s="1"/>
  <c r="X40" i="26" l="1"/>
  <c r="L48" i="26"/>
  <c r="B47" i="26"/>
  <c r="E45" i="50" s="1"/>
  <c r="M41" i="26"/>
  <c r="B38" i="50"/>
  <c r="Y40" i="26"/>
  <c r="D38" i="50" s="1"/>
  <c r="V41" i="26"/>
  <c r="X41" i="26" l="1"/>
  <c r="L49" i="26"/>
  <c r="B48" i="26"/>
  <c r="E46" i="50" s="1"/>
  <c r="B39" i="50"/>
  <c r="M42" i="26"/>
  <c r="V42" i="26"/>
  <c r="Y41" i="26"/>
  <c r="D39" i="50" s="1"/>
  <c r="X42" i="26" l="1"/>
  <c r="B40" i="50"/>
  <c r="M43" i="26"/>
  <c r="L50" i="26"/>
  <c r="B49" i="26"/>
  <c r="E47" i="50" s="1"/>
  <c r="V43" i="26"/>
  <c r="Y42" i="26"/>
  <c r="D40" i="50" s="1"/>
  <c r="X43" i="26" l="1"/>
  <c r="B50" i="26"/>
  <c r="E48" i="50" s="1"/>
  <c r="L51" i="26"/>
  <c r="B41" i="50"/>
  <c r="M44" i="26"/>
  <c r="V44" i="26"/>
  <c r="Y43" i="26"/>
  <c r="D41" i="50" s="1"/>
  <c r="X44" i="26" l="1"/>
  <c r="B42" i="50"/>
  <c r="M45" i="26"/>
  <c r="L52" i="26"/>
  <c r="B51" i="26"/>
  <c r="E49" i="50" s="1"/>
  <c r="V45" i="26"/>
  <c r="Y44" i="26"/>
  <c r="D42" i="50" s="1"/>
  <c r="B43" i="50" l="1"/>
  <c r="M46" i="26"/>
  <c r="B52" i="26"/>
  <c r="E50" i="50" s="1"/>
  <c r="L53" i="26"/>
  <c r="X45" i="26"/>
  <c r="Y45" i="26"/>
  <c r="D43" i="50" s="1"/>
  <c r="V46" i="26"/>
  <c r="X46" i="26" l="1"/>
  <c r="B53" i="26"/>
  <c r="E51" i="50" s="1"/>
  <c r="L54" i="26"/>
  <c r="L55" i="26" s="1"/>
  <c r="M47" i="26"/>
  <c r="B44" i="50"/>
  <c r="V47" i="26"/>
  <c r="Y46" i="26"/>
  <c r="D44" i="50" s="1"/>
  <c r="X47" i="26" l="1"/>
  <c r="M48" i="26"/>
  <c r="B45" i="50"/>
  <c r="B55" i="26"/>
  <c r="E53" i="50" s="1"/>
  <c r="L56" i="26"/>
  <c r="L57" i="26" s="1"/>
  <c r="V48" i="26"/>
  <c r="Y47" i="26"/>
  <c r="D45" i="50" s="1"/>
  <c r="X48" i="26" l="1"/>
  <c r="L58" i="26"/>
  <c r="B57" i="26"/>
  <c r="E55" i="50" s="1"/>
  <c r="M49" i="26"/>
  <c r="B46" i="50"/>
  <c r="Y48" i="26"/>
  <c r="D46" i="50" s="1"/>
  <c r="V49" i="26"/>
  <c r="M50" i="26" l="1"/>
  <c r="B47" i="50"/>
  <c r="X49" i="26"/>
  <c r="B58" i="26"/>
  <c r="E56" i="50" s="1"/>
  <c r="L59" i="26"/>
  <c r="Y49" i="26"/>
  <c r="D47" i="50" s="1"/>
  <c r="V50" i="26"/>
  <c r="X50" i="26" l="1"/>
  <c r="L60" i="26"/>
  <c r="B59" i="26"/>
  <c r="E57" i="50" s="1"/>
  <c r="M51" i="26"/>
  <c r="B48" i="50"/>
  <c r="V51" i="26"/>
  <c r="Y50" i="26"/>
  <c r="D48" i="50" s="1"/>
  <c r="X51" i="26" l="1"/>
  <c r="B49" i="50"/>
  <c r="M52" i="26"/>
  <c r="B60" i="26"/>
  <c r="E58" i="50" s="1"/>
  <c r="L61" i="26"/>
  <c r="Y51" i="26"/>
  <c r="D49" i="50" s="1"/>
  <c r="V52" i="26"/>
  <c r="L62" i="26" l="1"/>
  <c r="B61" i="26"/>
  <c r="E59" i="50" s="1"/>
  <c r="B50" i="50"/>
  <c r="M53" i="26"/>
  <c r="X52" i="26"/>
  <c r="Y52" i="26"/>
  <c r="D50" i="50" s="1"/>
  <c r="V53" i="26"/>
  <c r="X53" i="26" l="1"/>
  <c r="M54" i="26"/>
  <c r="B51" i="50"/>
  <c r="B62" i="26"/>
  <c r="E60" i="50" s="1"/>
  <c r="L63" i="26"/>
  <c r="Y53" i="26"/>
  <c r="D51" i="50" s="1"/>
  <c r="V54" i="26"/>
  <c r="X54" i="26" l="1"/>
  <c r="L64" i="26"/>
  <c r="B63" i="26"/>
  <c r="E61" i="50" s="1"/>
  <c r="M55" i="26"/>
  <c r="B52" i="50"/>
  <c r="V55" i="26"/>
  <c r="Y54" i="26"/>
  <c r="D52" i="50" s="1"/>
  <c r="M56" i="26" l="1"/>
  <c r="B53" i="50"/>
  <c r="X55" i="26"/>
  <c r="L65" i="26"/>
  <c r="B64" i="26"/>
  <c r="E62" i="50" s="1"/>
  <c r="Y55" i="26"/>
  <c r="D53" i="50" s="1"/>
  <c r="V56" i="26"/>
  <c r="X56" i="26" l="1"/>
  <c r="L66" i="26"/>
  <c r="B65" i="26"/>
  <c r="E63" i="50" s="1"/>
  <c r="B54" i="50"/>
  <c r="M57" i="26"/>
  <c r="X57" i="26" s="1"/>
  <c r="Y56" i="26"/>
  <c r="D54" i="50" s="1"/>
  <c r="V57" i="26"/>
  <c r="M58" i="26" l="1"/>
  <c r="X58" i="26" s="1"/>
  <c r="B55" i="50"/>
  <c r="B66" i="26"/>
  <c r="E64" i="50" s="1"/>
  <c r="L67" i="26"/>
  <c r="Y57" i="26"/>
  <c r="D55" i="50" s="1"/>
  <c r="V58" i="26"/>
  <c r="L68" i="26" l="1"/>
  <c r="L69" i="26" s="1"/>
  <c r="B67" i="26"/>
  <c r="E65" i="50" s="1"/>
  <c r="M59" i="26"/>
  <c r="X59" i="26" s="1"/>
  <c r="B56" i="50"/>
  <c r="V59" i="26"/>
  <c r="Y58" i="26"/>
  <c r="D56" i="50" s="1"/>
  <c r="B57" i="50" l="1"/>
  <c r="M60" i="26"/>
  <c r="X60" i="26" s="1"/>
  <c r="B69" i="26"/>
  <c r="E67" i="50" s="1"/>
  <c r="L70" i="26"/>
  <c r="V60" i="26"/>
  <c r="Y59" i="26"/>
  <c r="D57" i="50" s="1"/>
  <c r="M61" i="26" l="1"/>
  <c r="X61" i="26" s="1"/>
  <c r="B58" i="50"/>
  <c r="L71" i="26"/>
  <c r="B70" i="26"/>
  <c r="E68" i="50" s="1"/>
  <c r="V61" i="26"/>
  <c r="Y60" i="26"/>
  <c r="D58" i="50" s="1"/>
  <c r="L72" i="26" l="1"/>
  <c r="B71" i="26"/>
  <c r="E69" i="50" s="1"/>
  <c r="B59" i="50"/>
  <c r="M62" i="26"/>
  <c r="X62" i="26" s="1"/>
  <c r="Y61" i="26"/>
  <c r="D59" i="50" s="1"/>
  <c r="V62" i="26"/>
  <c r="B60" i="50" l="1"/>
  <c r="M63" i="26"/>
  <c r="X63" i="26" s="1"/>
  <c r="L73" i="26"/>
  <c r="B72" i="26"/>
  <c r="E70" i="50" s="1"/>
  <c r="Y62" i="26"/>
  <c r="D60" i="50" s="1"/>
  <c r="V63" i="26"/>
  <c r="B73" i="26" l="1"/>
  <c r="E71" i="50" s="1"/>
  <c r="L74" i="26"/>
  <c r="M64" i="26"/>
  <c r="X64" i="26" s="1"/>
  <c r="B61" i="50"/>
  <c r="V64" i="26"/>
  <c r="Y63" i="26"/>
  <c r="D61" i="50" s="1"/>
  <c r="M65" i="26" l="1"/>
  <c r="X65" i="26" s="1"/>
  <c r="B62" i="50"/>
  <c r="L75" i="26"/>
  <c r="B74" i="26"/>
  <c r="E72" i="50" s="1"/>
  <c r="V65" i="26"/>
  <c r="Y64" i="26"/>
  <c r="D62" i="50" s="1"/>
  <c r="B75" i="26" l="1"/>
  <c r="E73" i="50" s="1"/>
  <c r="L76" i="26"/>
  <c r="B63" i="50"/>
  <c r="M66" i="26"/>
  <c r="X66" i="26" s="1"/>
  <c r="Y65" i="26"/>
  <c r="D63" i="50" s="1"/>
  <c r="V66" i="26"/>
  <c r="L77" i="26" l="1"/>
  <c r="B76" i="26"/>
  <c r="E74" i="50" s="1"/>
  <c r="M67" i="26"/>
  <c r="X67" i="26" s="1"/>
  <c r="B64" i="50"/>
  <c r="V67" i="26"/>
  <c r="Y66" i="26"/>
  <c r="D64" i="50" s="1"/>
  <c r="B65" i="50" l="1"/>
  <c r="M68" i="26"/>
  <c r="X68" i="26" s="1"/>
  <c r="L78" i="26"/>
  <c r="B77" i="26"/>
  <c r="E75" i="50" s="1"/>
  <c r="V68" i="26"/>
  <c r="Y67" i="26"/>
  <c r="D65" i="50" s="1"/>
  <c r="L79" i="26" l="1"/>
  <c r="L80" i="26" s="1"/>
  <c r="B78" i="26"/>
  <c r="E76" i="50" s="1"/>
  <c r="M69" i="26"/>
  <c r="X69" i="26" s="1"/>
  <c r="B66" i="50"/>
  <c r="V69" i="26"/>
  <c r="Y68" i="26"/>
  <c r="D66" i="50" s="1"/>
  <c r="M70" i="26" l="1"/>
  <c r="X70" i="26" s="1"/>
  <c r="B67" i="50"/>
  <c r="L81" i="26"/>
  <c r="B80" i="26"/>
  <c r="E78" i="50" s="1"/>
  <c r="V70" i="26"/>
  <c r="Y69" i="26"/>
  <c r="D67" i="50" s="1"/>
  <c r="L82" i="26" l="1"/>
  <c r="B81" i="26"/>
  <c r="E79" i="50" s="1"/>
  <c r="M71" i="26"/>
  <c r="X71" i="26" s="1"/>
  <c r="B68" i="50"/>
  <c r="V71" i="26"/>
  <c r="Y70" i="26"/>
  <c r="D68" i="50" s="1"/>
  <c r="M72" i="26" l="1"/>
  <c r="X72" i="26" s="1"/>
  <c r="B69" i="50"/>
  <c r="L83" i="26"/>
  <c r="B82" i="26"/>
  <c r="E80" i="50" s="1"/>
  <c r="Y71" i="26"/>
  <c r="D69" i="50" s="1"/>
  <c r="V72" i="26"/>
  <c r="L84" i="26" l="1"/>
  <c r="B83" i="26"/>
  <c r="E81" i="50" s="1"/>
  <c r="B70" i="50"/>
  <c r="M73" i="26"/>
  <c r="X73" i="26" s="1"/>
  <c r="Y72" i="26"/>
  <c r="D70" i="50" s="1"/>
  <c r="V73" i="26"/>
  <c r="M74" i="26" l="1"/>
  <c r="X74" i="26" s="1"/>
  <c r="B71" i="50"/>
  <c r="L85" i="26"/>
  <c r="B84" i="26"/>
  <c r="E82" i="50" s="1"/>
  <c r="V74" i="26"/>
  <c r="Y73" i="26"/>
  <c r="D71" i="50" s="1"/>
  <c r="B85" i="26" l="1"/>
  <c r="E83" i="50" s="1"/>
  <c r="L86" i="26"/>
  <c r="L87" i="26" s="1"/>
  <c r="M75" i="26"/>
  <c r="X75" i="26" s="1"/>
  <c r="B72" i="50"/>
  <c r="V75" i="26"/>
  <c r="Y74" i="26"/>
  <c r="D72" i="50" s="1"/>
  <c r="B73" i="50" l="1"/>
  <c r="M76" i="26"/>
  <c r="X76" i="26" s="1"/>
  <c r="B87" i="26"/>
  <c r="E85" i="50" s="1"/>
  <c r="L88" i="26"/>
  <c r="V76" i="26"/>
  <c r="Y75" i="26"/>
  <c r="D73" i="50" s="1"/>
  <c r="L89" i="26" l="1"/>
  <c r="B88" i="26"/>
  <c r="E86" i="50" s="1"/>
  <c r="M77" i="26"/>
  <c r="X77" i="26" s="1"/>
  <c r="B74" i="50"/>
  <c r="V77" i="26"/>
  <c r="Y76" i="26"/>
  <c r="D74" i="50" s="1"/>
  <c r="B75" i="50" l="1"/>
  <c r="M78" i="26"/>
  <c r="X78" i="26" s="1"/>
  <c r="L90" i="26"/>
  <c r="B89" i="26"/>
  <c r="E87" i="50" s="1"/>
  <c r="V78" i="26"/>
  <c r="Y77" i="26"/>
  <c r="D75" i="50" s="1"/>
  <c r="L91" i="26" l="1"/>
  <c r="B90" i="26"/>
  <c r="E88" i="50" s="1"/>
  <c r="B76" i="50"/>
  <c r="M79" i="26"/>
  <c r="X79" i="26" s="1"/>
  <c r="Y78" i="26"/>
  <c r="D76" i="50" s="1"/>
  <c r="V79" i="26"/>
  <c r="B77" i="50" l="1"/>
  <c r="M80" i="26"/>
  <c r="X80" i="26" s="1"/>
  <c r="L92" i="26"/>
  <c r="B91" i="26"/>
  <c r="E89" i="50" s="1"/>
  <c r="Y79" i="26"/>
  <c r="D77" i="50" s="1"/>
  <c r="V80" i="26"/>
  <c r="B92" i="26" l="1"/>
  <c r="E90" i="50" s="1"/>
  <c r="L93" i="26"/>
  <c r="M81" i="26"/>
  <c r="X81" i="26" s="1"/>
  <c r="B78" i="50"/>
  <c r="V81" i="26"/>
  <c r="Y80" i="26"/>
  <c r="D78" i="50" s="1"/>
  <c r="M82" i="26" l="1"/>
  <c r="X82" i="26" s="1"/>
  <c r="B79" i="50"/>
  <c r="L94" i="26"/>
  <c r="B93" i="26"/>
  <c r="E91" i="50" s="1"/>
  <c r="V82" i="26"/>
  <c r="Y81" i="26"/>
  <c r="D79" i="50" s="1"/>
  <c r="L95" i="26" l="1"/>
  <c r="B94" i="26"/>
  <c r="E92" i="50" s="1"/>
  <c r="B80" i="50"/>
  <c r="M83" i="26"/>
  <c r="X83" i="26" s="1"/>
  <c r="Y82" i="26"/>
  <c r="D80" i="50" s="1"/>
  <c r="V83" i="26"/>
  <c r="M84" i="26" l="1"/>
  <c r="X84" i="26" s="1"/>
  <c r="B81" i="50"/>
  <c r="L96" i="26"/>
  <c r="B95" i="26"/>
  <c r="E93" i="50" s="1"/>
  <c r="Y83" i="26"/>
  <c r="D81" i="50" s="1"/>
  <c r="V84" i="26"/>
  <c r="L97" i="26" l="1"/>
  <c r="B96" i="26"/>
  <c r="E94" i="50" s="1"/>
  <c r="M85" i="26"/>
  <c r="X85" i="26" s="1"/>
  <c r="B82" i="50"/>
  <c r="Y84" i="26"/>
  <c r="D82" i="50" s="1"/>
  <c r="V85" i="26"/>
  <c r="B83" i="50" l="1"/>
  <c r="M86" i="26"/>
  <c r="X86" i="26" s="1"/>
  <c r="L98" i="26"/>
  <c r="B97" i="26"/>
  <c r="E95" i="50" s="1"/>
  <c r="V86" i="26"/>
  <c r="Y85" i="26"/>
  <c r="D83" i="50" s="1"/>
  <c r="B98" i="26" l="1"/>
  <c r="E96" i="50" s="1"/>
  <c r="L99" i="26"/>
  <c r="B84" i="50"/>
  <c r="M87" i="26"/>
  <c r="X87" i="26" s="1"/>
  <c r="V87" i="26"/>
  <c r="Y86" i="26"/>
  <c r="D84" i="50" s="1"/>
  <c r="M88" i="26" l="1"/>
  <c r="X88" i="26" s="1"/>
  <c r="B85" i="50"/>
  <c r="L100" i="26"/>
  <c r="B99" i="26"/>
  <c r="E97" i="50" s="1"/>
  <c r="Y87" i="26"/>
  <c r="D85" i="50" s="1"/>
  <c r="V88" i="26"/>
  <c r="B100" i="26" l="1"/>
  <c r="E98" i="50" s="1"/>
  <c r="L101" i="26"/>
  <c r="M89" i="26"/>
  <c r="B86" i="50"/>
  <c r="V89" i="26"/>
  <c r="Y88" i="26"/>
  <c r="D86" i="50" s="1"/>
  <c r="M90" i="26" l="1"/>
  <c r="B87" i="50"/>
  <c r="L102" i="26"/>
  <c r="B101" i="26"/>
  <c r="E99" i="50" s="1"/>
  <c r="X89" i="26"/>
  <c r="Y89" i="26"/>
  <c r="D87" i="50" s="1"/>
  <c r="V90" i="26"/>
  <c r="X90" i="26" l="1"/>
  <c r="B102" i="26"/>
  <c r="E100" i="50" s="1"/>
  <c r="L103" i="26"/>
  <c r="M91" i="26"/>
  <c r="B88" i="50"/>
  <c r="V91" i="26"/>
  <c r="Y90" i="26"/>
  <c r="D88" i="50" s="1"/>
  <c r="X91" i="26" l="1"/>
  <c r="M92" i="26"/>
  <c r="B89" i="50"/>
  <c r="L104" i="26"/>
  <c r="B103" i="26"/>
  <c r="E101" i="50" s="1"/>
  <c r="V92" i="26"/>
  <c r="Y91" i="26"/>
  <c r="D89" i="50" s="1"/>
  <c r="X92" i="26" l="1"/>
  <c r="L105" i="26"/>
  <c r="B104" i="26"/>
  <c r="E102" i="50" s="1"/>
  <c r="M93" i="26"/>
  <c r="B90" i="50"/>
  <c r="Y92" i="26"/>
  <c r="D90" i="50" s="1"/>
  <c r="V93" i="26"/>
  <c r="X93" i="26" l="1"/>
  <c r="M94" i="26"/>
  <c r="B91" i="50"/>
  <c r="L106" i="26"/>
  <c r="B105" i="26"/>
  <c r="E103" i="50" s="1"/>
  <c r="V94" i="26"/>
  <c r="Y93" i="26"/>
  <c r="D91" i="50" s="1"/>
  <c r="X94" i="26" l="1"/>
  <c r="B106" i="26"/>
  <c r="E104" i="50" s="1"/>
  <c r="L107" i="26"/>
  <c r="M95" i="26"/>
  <c r="B92" i="50"/>
  <c r="Y94" i="26"/>
  <c r="D92" i="50" s="1"/>
  <c r="V95" i="26"/>
  <c r="X95" i="26" l="1"/>
  <c r="M96" i="26"/>
  <c r="B93" i="50"/>
  <c r="L108" i="26"/>
  <c r="B107" i="26"/>
  <c r="E105" i="50" s="1"/>
  <c r="V96" i="26"/>
  <c r="Y95" i="26"/>
  <c r="D93" i="50" s="1"/>
  <c r="X96" i="26" l="1"/>
  <c r="L109" i="26"/>
  <c r="L110" i="26" s="1"/>
  <c r="B108" i="26"/>
  <c r="E106" i="50" s="1"/>
  <c r="M97" i="26"/>
  <c r="B94" i="50"/>
  <c r="V97" i="26"/>
  <c r="Y96" i="26"/>
  <c r="D94" i="50" s="1"/>
  <c r="X97" i="26" l="1"/>
  <c r="L111" i="26"/>
  <c r="B110" i="26"/>
  <c r="E108" i="50" s="1"/>
  <c r="B95" i="50"/>
  <c r="M98" i="26"/>
  <c r="Y97" i="26"/>
  <c r="D95" i="50" s="1"/>
  <c r="V98" i="26"/>
  <c r="M99" i="26" l="1"/>
  <c r="B96" i="50"/>
  <c r="X98" i="26"/>
  <c r="L112" i="26"/>
  <c r="L113" i="26" s="1"/>
  <c r="B111" i="26"/>
  <c r="E109" i="50" s="1"/>
  <c r="V99" i="26"/>
  <c r="Y98" i="26"/>
  <c r="D96" i="50" s="1"/>
  <c r="X99" i="26" l="1"/>
  <c r="L114" i="26"/>
  <c r="B113" i="26"/>
  <c r="E111" i="50" s="1"/>
  <c r="M100" i="26"/>
  <c r="B97" i="50"/>
  <c r="V100" i="26"/>
  <c r="Y99" i="26"/>
  <c r="D97" i="50" s="1"/>
  <c r="X100" i="26" l="1"/>
  <c r="L115" i="26"/>
  <c r="B114" i="26"/>
  <c r="E112" i="50" s="1"/>
  <c r="M101" i="26"/>
  <c r="B98" i="50"/>
  <c r="V101" i="26"/>
  <c r="Y100" i="26"/>
  <c r="D98" i="50" s="1"/>
  <c r="X101" i="26" l="1"/>
  <c r="M102" i="26"/>
  <c r="B99" i="50"/>
  <c r="L116" i="26"/>
  <c r="B115" i="26"/>
  <c r="E113" i="50" s="1"/>
  <c r="Y101" i="26"/>
  <c r="D99" i="50" s="1"/>
  <c r="V102" i="26"/>
  <c r="X102" i="26" l="1"/>
  <c r="L117" i="26"/>
  <c r="B116" i="26"/>
  <c r="E114" i="50" s="1"/>
  <c r="M103" i="26"/>
  <c r="B100" i="50"/>
  <c r="V103" i="26"/>
  <c r="Y102" i="26"/>
  <c r="D100" i="50" s="1"/>
  <c r="X103" i="26" l="1"/>
  <c r="L118" i="26"/>
  <c r="B117" i="26"/>
  <c r="E115" i="50" s="1"/>
  <c r="B101" i="50"/>
  <c r="M104" i="26"/>
  <c r="V104" i="26"/>
  <c r="Y103" i="26"/>
  <c r="D101" i="50" s="1"/>
  <c r="X104" i="26" l="1"/>
  <c r="B118" i="26"/>
  <c r="E116" i="50" s="1"/>
  <c r="L119" i="26"/>
  <c r="M105" i="26"/>
  <c r="B102" i="50"/>
  <c r="Y104" i="26"/>
  <c r="D102" i="50" s="1"/>
  <c r="V105" i="26"/>
  <c r="X105" i="26" l="1"/>
  <c r="M106" i="26"/>
  <c r="B103" i="50"/>
  <c r="L120" i="26"/>
  <c r="B119" i="26"/>
  <c r="E117" i="50" s="1"/>
  <c r="V106" i="26"/>
  <c r="Y105" i="26"/>
  <c r="D103" i="50" s="1"/>
  <c r="X106" i="26" l="1"/>
  <c r="B120" i="26"/>
  <c r="E118" i="50" s="1"/>
  <c r="L121" i="26"/>
  <c r="M107" i="26"/>
  <c r="B104" i="50"/>
  <c r="V107" i="26"/>
  <c r="Y106" i="26"/>
  <c r="D104" i="50" s="1"/>
  <c r="X107" i="26" l="1"/>
  <c r="M108" i="26"/>
  <c r="B105" i="50"/>
  <c r="B121" i="26"/>
  <c r="E119" i="50" s="1"/>
  <c r="L122" i="26"/>
  <c r="V108" i="26"/>
  <c r="Y107" i="26"/>
  <c r="D105" i="50" s="1"/>
  <c r="X108" i="26" l="1"/>
  <c r="B122" i="26"/>
  <c r="E120" i="50" s="1"/>
  <c r="L123" i="26"/>
  <c r="B106" i="50"/>
  <c r="M109" i="26"/>
  <c r="V109" i="26"/>
  <c r="Y108" i="26"/>
  <c r="D106" i="50" s="1"/>
  <c r="X109" i="26" l="1"/>
  <c r="M110" i="26"/>
  <c r="B107" i="50"/>
  <c r="L124" i="26"/>
  <c r="B123" i="26"/>
  <c r="E121" i="50" s="1"/>
  <c r="Y109" i="26"/>
  <c r="D107" i="50" s="1"/>
  <c r="V110" i="26"/>
  <c r="L125" i="26" l="1"/>
  <c r="B124" i="26"/>
  <c r="E122" i="50" s="1"/>
  <c r="M111" i="26"/>
  <c r="X111" i="26" s="1"/>
  <c r="B108" i="50"/>
  <c r="Y110" i="26"/>
  <c r="D108" i="50" s="1"/>
  <c r="V111" i="26"/>
  <c r="B109" i="50" l="1"/>
  <c r="M112" i="26"/>
  <c r="X112" i="26" s="1"/>
  <c r="L126" i="26"/>
  <c r="B125" i="26"/>
  <c r="E123" i="50" s="1"/>
  <c r="V112" i="26"/>
  <c r="Y111" i="26"/>
  <c r="D109" i="50" s="1"/>
  <c r="L127" i="26" l="1"/>
  <c r="B126" i="26"/>
  <c r="E124" i="50" s="1"/>
  <c r="M113" i="26"/>
  <c r="X113" i="26" s="1"/>
  <c r="B110" i="50"/>
  <c r="V113" i="26"/>
  <c r="Y112" i="26"/>
  <c r="D110" i="50" s="1"/>
  <c r="M114" i="26" l="1"/>
  <c r="X114" i="26" s="1"/>
  <c r="B111" i="50"/>
  <c r="B127" i="26"/>
  <c r="E125" i="50" s="1"/>
  <c r="L128" i="26"/>
  <c r="Y113" i="26"/>
  <c r="D111" i="50" s="1"/>
  <c r="V114" i="26"/>
  <c r="L129" i="26" l="1"/>
  <c r="B128" i="26"/>
  <c r="E126" i="50" s="1"/>
  <c r="M115" i="26"/>
  <c r="B112" i="50"/>
  <c r="V115" i="26"/>
  <c r="Y114" i="26"/>
  <c r="D112" i="50" s="1"/>
  <c r="M116" i="26" l="1"/>
  <c r="B113" i="50"/>
  <c r="X115" i="26"/>
  <c r="L130" i="26"/>
  <c r="B129" i="26"/>
  <c r="E127" i="50" s="1"/>
  <c r="V116" i="26"/>
  <c r="Y115" i="26"/>
  <c r="D113" i="50" s="1"/>
  <c r="X116" i="26" l="1"/>
  <c r="L131" i="26"/>
  <c r="B130" i="26"/>
  <c r="E128" i="50" s="1"/>
  <c r="M117" i="26"/>
  <c r="B114" i="50"/>
  <c r="V117" i="26"/>
  <c r="Y116" i="26"/>
  <c r="D114" i="50" s="1"/>
  <c r="X117" i="26" l="1"/>
  <c r="B115" i="50"/>
  <c r="M118" i="26"/>
  <c r="L132" i="26"/>
  <c r="B131" i="26"/>
  <c r="E129" i="50" s="1"/>
  <c r="V118" i="26"/>
  <c r="Y117" i="26"/>
  <c r="D115" i="50" s="1"/>
  <c r="X118" i="26" l="1"/>
  <c r="L133" i="26"/>
  <c r="B132" i="26"/>
  <c r="E130" i="50" s="1"/>
  <c r="B116" i="50"/>
  <c r="M119" i="26"/>
  <c r="V119" i="26"/>
  <c r="Y118" i="26"/>
  <c r="D116" i="50" s="1"/>
  <c r="X119" i="26" l="1"/>
  <c r="B117" i="50"/>
  <c r="M120" i="26"/>
  <c r="L134" i="26"/>
  <c r="B133" i="26"/>
  <c r="E131" i="50" s="1"/>
  <c r="V120" i="26"/>
  <c r="Y119" i="26"/>
  <c r="D117" i="50" s="1"/>
  <c r="X120" i="26" l="1"/>
  <c r="L135" i="26"/>
  <c r="B134" i="26"/>
  <c r="E132" i="50" s="1"/>
  <c r="M121" i="26"/>
  <c r="B118" i="50"/>
  <c r="V121" i="26"/>
  <c r="Y120" i="26"/>
  <c r="D118" i="50" s="1"/>
  <c r="X121" i="26" l="1"/>
  <c r="B119" i="50"/>
  <c r="M122" i="26"/>
  <c r="L136" i="26"/>
  <c r="B135" i="26"/>
  <c r="E133" i="50" s="1"/>
  <c r="Y121" i="26"/>
  <c r="D119" i="50" s="1"/>
  <c r="V122" i="26"/>
  <c r="X122" i="26" l="1"/>
  <c r="L137" i="26"/>
  <c r="B136" i="26"/>
  <c r="E134" i="50" s="1"/>
  <c r="B120" i="50"/>
  <c r="M123" i="26"/>
  <c r="V123" i="26"/>
  <c r="Y122" i="26"/>
  <c r="D120" i="50" s="1"/>
  <c r="X123" i="26" l="1"/>
  <c r="M124" i="26"/>
  <c r="B121" i="50"/>
  <c r="B137" i="26"/>
  <c r="E135" i="50" s="1"/>
  <c r="L138" i="26"/>
  <c r="Y123" i="26"/>
  <c r="D121" i="50" s="1"/>
  <c r="V124" i="26"/>
  <c r="X124" i="26" l="1"/>
  <c r="B122" i="50"/>
  <c r="M125" i="26"/>
  <c r="B138" i="26"/>
  <c r="E136" i="50" s="1"/>
  <c r="L139" i="26"/>
  <c r="V125" i="26"/>
  <c r="Y124" i="26"/>
  <c r="D122" i="50" s="1"/>
  <c r="X125" i="26" l="1"/>
  <c r="B139" i="26"/>
  <c r="E137" i="50" s="1"/>
  <c r="L140" i="26"/>
  <c r="M126" i="26"/>
  <c r="B123" i="50"/>
  <c r="V126" i="26"/>
  <c r="Y125" i="26"/>
  <c r="D123" i="50" s="1"/>
  <c r="X126" i="26" l="1"/>
  <c r="M127" i="26"/>
  <c r="B124" i="50"/>
  <c r="L141" i="26"/>
  <c r="B140" i="26"/>
  <c r="E138" i="50" s="1"/>
  <c r="V127" i="26"/>
  <c r="Y126" i="26"/>
  <c r="D124" i="50" s="1"/>
  <c r="X127" i="26" l="1"/>
  <c r="L142" i="26"/>
  <c r="B141" i="26"/>
  <c r="E139" i="50" s="1"/>
  <c r="M128" i="26"/>
  <c r="B125" i="50"/>
  <c r="Y127" i="26"/>
  <c r="D125" i="50" s="1"/>
  <c r="V128" i="26"/>
  <c r="X128" i="26" l="1"/>
  <c r="M129" i="26"/>
  <c r="B126" i="50"/>
  <c r="L143" i="26"/>
  <c r="B142" i="26"/>
  <c r="E140" i="50" s="1"/>
  <c r="Y128" i="26"/>
  <c r="D126" i="50" s="1"/>
  <c r="V129" i="26"/>
  <c r="X129" i="26" l="1"/>
  <c r="L144" i="26"/>
  <c r="B143" i="26"/>
  <c r="E141" i="50" s="1"/>
  <c r="M130" i="26"/>
  <c r="B127" i="50"/>
  <c r="Y129" i="26"/>
  <c r="D127" i="50" s="1"/>
  <c r="V130" i="26"/>
  <c r="X130" i="26" l="1"/>
  <c r="B128" i="50"/>
  <c r="M131" i="26"/>
  <c r="B144" i="26"/>
  <c r="E142" i="50" s="1"/>
  <c r="L145" i="26"/>
  <c r="V131" i="26"/>
  <c r="Y130" i="26"/>
  <c r="D128" i="50" s="1"/>
  <c r="X131" i="26" l="1"/>
  <c r="L146" i="26"/>
  <c r="B145" i="26"/>
  <c r="E143" i="50" s="1"/>
  <c r="M132" i="26"/>
  <c r="B129" i="50"/>
  <c r="Y131" i="26"/>
  <c r="D129" i="50" s="1"/>
  <c r="V132" i="26"/>
  <c r="X132" i="26" l="1"/>
  <c r="M133" i="26"/>
  <c r="B130" i="50"/>
  <c r="L147" i="26"/>
  <c r="B146" i="26"/>
  <c r="E144" i="50" s="1"/>
  <c r="V133" i="26"/>
  <c r="Y132" i="26"/>
  <c r="D130" i="50" s="1"/>
  <c r="X133" i="26" l="1"/>
  <c r="L148" i="26"/>
  <c r="B147" i="26"/>
  <c r="E145" i="50" s="1"/>
  <c r="B131" i="50"/>
  <c r="M134" i="26"/>
  <c r="Y133" i="26"/>
  <c r="D131" i="50" s="1"/>
  <c r="V134" i="26"/>
  <c r="X134" i="26" l="1"/>
  <c r="M135" i="26"/>
  <c r="B132" i="50"/>
  <c r="B148" i="26"/>
  <c r="E146" i="50" s="1"/>
  <c r="L149" i="26"/>
  <c r="Y134" i="26"/>
  <c r="D132" i="50" s="1"/>
  <c r="V135" i="26"/>
  <c r="X135" i="26" l="1"/>
  <c r="L150" i="26"/>
  <c r="B149" i="26"/>
  <c r="E147" i="50" s="1"/>
  <c r="B133" i="50"/>
  <c r="M136" i="26"/>
  <c r="V136" i="26"/>
  <c r="Y135" i="26"/>
  <c r="D133" i="50" s="1"/>
  <c r="X136" i="26" l="1"/>
  <c r="M137" i="26"/>
  <c r="B134" i="50"/>
  <c r="L151" i="26"/>
  <c r="B150" i="26"/>
  <c r="E148" i="50" s="1"/>
  <c r="V137" i="26"/>
  <c r="Y136" i="26"/>
  <c r="D134" i="50" s="1"/>
  <c r="X137" i="26" l="1"/>
  <c r="L152" i="26"/>
  <c r="B151" i="26"/>
  <c r="E149" i="50" s="1"/>
  <c r="B135" i="50"/>
  <c r="M138" i="26"/>
  <c r="V138" i="26"/>
  <c r="Y137" i="26"/>
  <c r="D135" i="50" s="1"/>
  <c r="X138" i="26" l="1"/>
  <c r="M139" i="26"/>
  <c r="B136" i="50"/>
  <c r="B152" i="26"/>
  <c r="E150" i="50" s="1"/>
  <c r="L153" i="26"/>
  <c r="V139" i="26"/>
  <c r="Y138" i="26"/>
  <c r="D136" i="50" s="1"/>
  <c r="X139" i="26" l="1"/>
  <c r="L154" i="26"/>
  <c r="B153" i="26"/>
  <c r="E151" i="50" s="1"/>
  <c r="M140" i="26"/>
  <c r="B137" i="50"/>
  <c r="V140" i="26"/>
  <c r="Y139" i="26"/>
  <c r="D137" i="50" s="1"/>
  <c r="M141" i="26" l="1"/>
  <c r="B138" i="50"/>
  <c r="X140" i="26"/>
  <c r="L155" i="26"/>
  <c r="B154" i="26"/>
  <c r="E152" i="50" s="1"/>
  <c r="Y140" i="26"/>
  <c r="D138" i="50" s="1"/>
  <c r="V141" i="26"/>
  <c r="X141" i="26" l="1"/>
  <c r="L156" i="26"/>
  <c r="B155" i="26"/>
  <c r="E153" i="50" s="1"/>
  <c r="B139" i="50"/>
  <c r="M142" i="26"/>
  <c r="Y141" i="26"/>
  <c r="D139" i="50" s="1"/>
  <c r="V142" i="26"/>
  <c r="X142" i="26" l="1"/>
  <c r="M143" i="26"/>
  <c r="B140" i="50"/>
  <c r="L157" i="26"/>
  <c r="B156" i="26"/>
  <c r="E154" i="50" s="1"/>
  <c r="Y142" i="26"/>
  <c r="D140" i="50" s="1"/>
  <c r="V143" i="26"/>
  <c r="X143" i="26" l="1"/>
  <c r="L158" i="26"/>
  <c r="B157" i="26"/>
  <c r="E155" i="50" s="1"/>
  <c r="M144" i="26"/>
  <c r="B141" i="50"/>
  <c r="V144" i="26"/>
  <c r="Y143" i="26"/>
  <c r="D141" i="50" s="1"/>
  <c r="M145" i="26" l="1"/>
  <c r="B142" i="50"/>
  <c r="X144" i="26"/>
  <c r="L159" i="26"/>
  <c r="B158" i="26"/>
  <c r="E156" i="50" s="1"/>
  <c r="Y144" i="26"/>
  <c r="D142" i="50" s="1"/>
  <c r="V145" i="26"/>
  <c r="X145" i="26" l="1"/>
  <c r="L160" i="26"/>
  <c r="B159" i="26"/>
  <c r="E157" i="50" s="1"/>
  <c r="M146" i="26"/>
  <c r="B143" i="50"/>
  <c r="Y145" i="26"/>
  <c r="D143" i="50" s="1"/>
  <c r="V146" i="26"/>
  <c r="X146" i="26" l="1"/>
  <c r="M147" i="26"/>
  <c r="B144" i="50"/>
  <c r="L161" i="26"/>
  <c r="B161" i="26" s="1"/>
  <c r="E159" i="50" s="1"/>
  <c r="B160" i="26"/>
  <c r="E158" i="50" s="1"/>
  <c r="Y146" i="26"/>
  <c r="D144" i="50" s="1"/>
  <c r="V147" i="26"/>
  <c r="X147" i="26" l="1"/>
  <c r="M148" i="26"/>
  <c r="B145" i="50"/>
  <c r="Y147" i="26"/>
  <c r="D145" i="50" s="1"/>
  <c r="V148" i="26"/>
  <c r="X148" i="26" l="1"/>
  <c r="M149" i="26"/>
  <c r="B146" i="50"/>
  <c r="V149" i="26"/>
  <c r="Y148" i="26"/>
  <c r="D146" i="50" s="1"/>
  <c r="X149" i="26" l="1"/>
  <c r="B147" i="50"/>
  <c r="M150" i="26"/>
  <c r="V150" i="26"/>
  <c r="Y149" i="26"/>
  <c r="D147" i="50" s="1"/>
  <c r="X150" i="26" l="1"/>
  <c r="M151" i="26"/>
  <c r="B148" i="50"/>
  <c r="Y150" i="26"/>
  <c r="D148" i="50" s="1"/>
  <c r="V151" i="26"/>
  <c r="X151" i="26" l="1"/>
  <c r="M152" i="26"/>
  <c r="B149" i="50"/>
  <c r="V152" i="26"/>
  <c r="Y151" i="26"/>
  <c r="D149" i="50" s="1"/>
  <c r="X152" i="26" l="1"/>
  <c r="M153" i="26"/>
  <c r="B150" i="50"/>
  <c r="Y152" i="26"/>
  <c r="D150" i="50" s="1"/>
  <c r="V153" i="26"/>
  <c r="X153" i="26" l="1"/>
  <c r="B151" i="50"/>
  <c r="M154" i="26"/>
  <c r="Y153" i="26"/>
  <c r="D151" i="50" s="1"/>
  <c r="V154" i="26"/>
  <c r="X154" i="26" l="1"/>
  <c r="M155" i="26"/>
  <c r="B152" i="50"/>
  <c r="V155" i="26"/>
  <c r="Y154" i="26"/>
  <c r="D152" i="50" s="1"/>
  <c r="X155" i="26" l="1"/>
  <c r="B153" i="50"/>
  <c r="M156" i="26"/>
  <c r="Y155" i="26"/>
  <c r="D153" i="50" s="1"/>
  <c r="V156" i="26"/>
  <c r="X156" i="26" l="1"/>
  <c r="B154" i="50"/>
  <c r="M157" i="26"/>
  <c r="V157" i="26"/>
  <c r="Y156" i="26"/>
  <c r="D154" i="50" s="1"/>
  <c r="X157" i="26" l="1"/>
  <c r="B155" i="50"/>
  <c r="M158" i="26"/>
  <c r="V158" i="26"/>
  <c r="Y157" i="26"/>
  <c r="D155" i="50" s="1"/>
  <c r="X158" i="26" l="1"/>
  <c r="B156" i="50"/>
  <c r="M159" i="26"/>
  <c r="Y158" i="26"/>
  <c r="D156" i="50" s="1"/>
  <c r="V159" i="26"/>
  <c r="X159" i="26" l="1"/>
  <c r="B157" i="50"/>
  <c r="M160" i="26"/>
  <c r="V160" i="26"/>
  <c r="Y159" i="26"/>
  <c r="D157" i="50" s="1"/>
  <c r="X160" i="26" l="1"/>
  <c r="M161" i="26"/>
  <c r="B159" i="50" s="1"/>
  <c r="B158" i="50"/>
  <c r="V161" i="26"/>
  <c r="Y161" i="26" s="1"/>
  <c r="Y160" i="26"/>
  <c r="D158" i="50" s="1"/>
  <c r="X161" i="26" l="1"/>
  <c r="D159" i="50"/>
  <c r="AE20" i="26"/>
  <c r="AE5" i="26"/>
  <c r="AE8" i="26"/>
  <c r="AE18" i="26"/>
  <c r="AE19" i="26"/>
  <c r="AE6" i="26"/>
  <c r="AE13" i="26"/>
  <c r="AE16" i="26"/>
  <c r="AE11" i="26"/>
  <c r="AE15" i="26"/>
  <c r="AE9" i="26"/>
  <c r="AE10" i="26"/>
  <c r="AE12" i="26"/>
  <c r="AE14" i="26"/>
  <c r="AE17" i="26"/>
  <c r="AE7" i="26"/>
  <c r="AE21" i="26" l="1"/>
  <c r="D2" i="26"/>
  <c r="B13" i="25"/>
  <c r="B7"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Hout</author>
  </authors>
  <commentList>
    <comment ref="A3" authorId="0" shapeId="0" xr:uid="{00000000-0006-0000-0600-000001000000}">
      <text>
        <r>
          <rPr>
            <b/>
            <sz val="9"/>
            <color indexed="81"/>
            <rFont val="Tahoma"/>
            <family val="2"/>
          </rPr>
          <t>Andrew Hout:</t>
        </r>
        <r>
          <rPr>
            <sz val="9"/>
            <color indexed="81"/>
            <rFont val="Tahoma"/>
            <family val="2"/>
          </rPr>
          <t xml:space="preserve">
Duplicate the detail question serial numbers on this tab for proper operation.</t>
        </r>
      </text>
    </comment>
  </commentList>
</comments>
</file>

<file path=xl/sharedStrings.xml><?xml version="1.0" encoding="utf-8"?>
<sst xmlns="http://schemas.openxmlformats.org/spreadsheetml/2006/main" count="1772" uniqueCount="1122">
  <si>
    <t xml:space="preserve">Copyright </t>
  </si>
  <si>
    <t>© 2015 Shared Assessments</t>
  </si>
  <si>
    <t>Documents created under the Shared Assessments Program may be downloaded from the official Shared Assessments Program website at www.sharedassessments.org.</t>
  </si>
  <si>
    <t>While retaining copyrights, the Shared Assessments Program makes specific documents available to members and purchasers for the purpose of conducting self-assessments and third party security assessments. Licenses for other uses are available from Shared Assessments. Individuals and organizations should review the terms of use prior to downloading, copying, using or modifying Shared Assessment Program documents.</t>
  </si>
  <si>
    <t>This notice must be included on any copy of the Shared Assessments Program documents, excluding assessors or consultants' reports.</t>
  </si>
  <si>
    <t xml:space="preserve">The Shared Assessments Program is administered by The Santa Fe Group (www.santa-fe-group.com). Questions about this document and the program should be directed to info@sharedassessments.org. </t>
  </si>
  <si>
    <t>Terms of Use</t>
  </si>
  <si>
    <t>2016 SHARED ASSESSMENTS STANDARDIZED INFORMATION GATHERING (SIG) QUESTIONNAIRE LITE (2016 SIG Lite)</t>
  </si>
  <si>
    <t>The Shared Assessments Program ("Program") maintains, promotes and facilitates the use of the Standardized Information Gathering ("SIG") questionnaire documents.</t>
  </si>
  <si>
    <t>The Shared Assessments Program attaches the following conditions to individuals and organizations downloading, copying and/or using the Program Documents:</t>
  </si>
  <si>
    <r>
      <t>·</t>
    </r>
    <r>
      <rPr>
        <sz val="7"/>
        <rFont val="Times New Roman"/>
        <family val="1"/>
      </rPr>
      <t>        </t>
    </r>
    <r>
      <rPr>
        <sz val="10"/>
        <rFont val="Arial"/>
        <family val="2"/>
      </rPr>
      <t>No modifications may be made to the Program documents without the express written permission of the Shared Assessments Program and The Santa Fe Group.</t>
    </r>
  </si>
  <si>
    <r>
      <t>·</t>
    </r>
    <r>
      <rPr>
        <sz val="7"/>
        <rFont val="Times New Roman"/>
        <family val="1"/>
      </rPr>
      <t xml:space="preserve">        </t>
    </r>
    <r>
      <rPr>
        <sz val="10"/>
        <rFont val="Arial"/>
        <family val="2"/>
      </rPr>
      <t xml:space="preserve">Organizations must notify The Santa Fe Group at sharedassessments@santa-fe-group.com of their reasons for the modifications and make the modifications available to for </t>
    </r>
  </si>
  <si>
    <t xml:space="preserve">review and approval as additions and/or modifications to the current version of the documents.  </t>
  </si>
  <si>
    <r>
      <t>·</t>
    </r>
    <r>
      <rPr>
        <sz val="7"/>
        <rFont val="Times New Roman"/>
        <family val="1"/>
      </rPr>
      <t>        </t>
    </r>
    <r>
      <rPr>
        <sz val="10"/>
        <rFont val="Arial"/>
        <family val="2"/>
      </rPr>
      <t xml:space="preserve">Copyright and all other intellectual property or proprietary rights in any modifications to the Shared Assessments Program documents shall belong to the Shared Assessments </t>
    </r>
  </si>
  <si>
    <t>Program and The Santa Fe Group.</t>
  </si>
  <si>
    <r>
      <t>·</t>
    </r>
    <r>
      <rPr>
        <sz val="7"/>
        <rFont val="Times New Roman"/>
        <family val="1"/>
      </rPr>
      <t>        </t>
    </r>
    <r>
      <rPr>
        <sz val="10"/>
        <rFont val="Arial"/>
        <family val="2"/>
      </rPr>
      <t xml:space="preserve">Persons downloading the Program documents who wish to incorporate the AUP and/or SIG into a software product offered for license or sale must first obtain a separate </t>
    </r>
  </si>
  <si>
    <t>license from the Shared Assessments Program.</t>
  </si>
  <si>
    <t>The Program documents have been developed as tools for information security, privacy and business continuity compliance. They are based on general information security and privacy laws, regulation, principles, frameworks, audit programs, seal programs and regulatory guidance from various jurisdictions and do not constitute legal advice or an exhaustive list of questions or procedures covering all the information security or privacy laws in the US, or rest of the world, that may apply to a service provider. Each user should consult counsel on a case-by-case basis to ensure compliance with all applicable information security and privacy laws, regulations, policies and standards.</t>
  </si>
  <si>
    <t>THE SHARED ASSESSMENTS PROGRAM DOCUMENTS ARE PROVIDED "AS IS" AND ANY EXPRESSED OR IMPLIED WARRANTIES, INCLUDING, BUT NOT LIMITED TO, THE IMPLIED WARRANTIES OF MERCHANTABILITY AND FITNESS FOR A PARTICULAR PURPOSE, ARE DISCLAIMED. IN NO EVENT SHALL THE SANTA FE GROUP, OR THE SHARED ASSESSMENTS PROGRAM, ITS SPONSORS OR PROGRAM MEMBERS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SHARED ASSESSMENTS PROGRAM DOCUMENTS, EVEN IF ADVISED OF THE POSSIBILITY OF SUCH DAMAGE.</t>
  </si>
  <si>
    <t>Respondent Instructions</t>
  </si>
  <si>
    <t>Issuer Instructions</t>
  </si>
  <si>
    <t xml:space="preserve">Review the request provided by your client/customer which should provide you with </t>
  </si>
  <si>
    <t>We recommend that prior to issuing the SIG you review which sections of the SIG your</t>
  </si>
  <si>
    <t>instructions on how to answer the SIG and detail the sections of the SIG you are</t>
  </si>
  <si>
    <t>vendor should answer based on the type of service(s) they provide. We recommend</t>
  </si>
  <si>
    <t>required to complete. In addition, your client/customer should provide you with the</t>
  </si>
  <si>
    <t>that along with the SIG, you notify them of the sections they are required to complete</t>
  </si>
  <si>
    <t>scope of services for which to provide responses. If you did not receive</t>
  </si>
  <si>
    <t>and any other information required to accurately complete the SIG (additional</t>
  </si>
  <si>
    <t>instructions or scope from your client we recommend you contact them and seek</t>
  </si>
  <si>
    <t>questions, documents, etc.).</t>
  </si>
  <si>
    <t>guidance on how they need the SIG answered and the sections they require you to</t>
  </si>
  <si>
    <t>2016 SHARED ASSESSMENTS STANDARDIZED INFORMATION</t>
  </si>
  <si>
    <t xml:space="preserve">complete. </t>
  </si>
  <si>
    <t>Detailed instructions on how to use the SIG are contained in the How To Guide</t>
  </si>
  <si>
    <t>GATHERING (SIG) QUESTIONNAIRE (2016 SIG)</t>
  </si>
  <si>
    <t>which also includes a Respondent Guide you may want to provide along with the SIG.</t>
  </si>
  <si>
    <t>Version 2016</t>
  </si>
  <si>
    <t>Primary or parent questions are followed by numbered sub or child questions.</t>
  </si>
  <si>
    <t>Released: December 2016</t>
  </si>
  <si>
    <t>The SIG has built in automation. Based on your responses, cells will change color</t>
  </si>
  <si>
    <t>SIG Management Tool (SMT)</t>
  </si>
  <si>
    <t>or if Excel macros are enabled child questions may not be displayed. This will reduce</t>
  </si>
  <si>
    <t>A macros-enabled spreadsheet is provided to Issuers of the SIG to help with</t>
  </si>
  <si>
    <t>http://www.sharedassessments.org</t>
  </si>
  <si>
    <t>the number of questions you are required to complete. When you answer 'No' or 'N/A'</t>
  </si>
  <si>
    <t>processing service provider responses and managing the transfer of responses</t>
  </si>
  <si>
    <t>sharedassessments@santa-fe-group.com</t>
  </si>
  <si>
    <t>to question the cell, and all of its related sub-questions will either be hidden and/or</t>
  </si>
  <si>
    <t>from previous versions of the SIG. If a master SIG is created, the SMT allows for</t>
  </si>
  <si>
    <t>the response field will change color identifying that question has been answered.</t>
  </si>
  <si>
    <t>comparisons of all responses in the master SIG to the SIG offered by a service</t>
  </si>
  <si>
    <t>Initiator Information</t>
  </si>
  <si>
    <t>The issuer will see only the No or N/A response for the parent and all of its child</t>
  </si>
  <si>
    <t>provider. The SMT will also transfer responses and the "Additional Information"</t>
  </si>
  <si>
    <t>questions. If your client/customer requests a maturity response, for all Yes responses</t>
  </si>
  <si>
    <t>field from previous versions of the SIG. For a full list of functions, please refer</t>
  </si>
  <si>
    <t>you must provide a maturity value for that question in the Maturity column. The maturity levels</t>
  </si>
  <si>
    <t>to the SMT Functionality tab.</t>
  </si>
  <si>
    <t>are provided when the cell is selected.</t>
  </si>
  <si>
    <r>
      <rPr>
        <b/>
        <sz val="11"/>
        <rFont val="Arial"/>
        <family val="2"/>
      </rPr>
      <t xml:space="preserve">Note: </t>
    </r>
    <r>
      <rPr>
        <sz val="11"/>
        <rFont val="Arial"/>
        <family val="2"/>
      </rPr>
      <t>Detailed instructions for the use of the SMT are included in the How To Guide.</t>
    </r>
  </si>
  <si>
    <t>There are two parts to this questionnaire:</t>
  </si>
  <si>
    <t xml:space="preserve">        - SIG Lite</t>
  </si>
  <si>
    <t xml:space="preserve">        - Detail tabs (A through V)</t>
  </si>
  <si>
    <t xml:space="preserve">The instructions below will help you in the completion of the SIG Lite or full SIG. </t>
  </si>
  <si>
    <t xml:space="preserve"> </t>
  </si>
  <si>
    <t>Full SIG</t>
  </si>
  <si>
    <t>1) Complete the "Business Information" tab.</t>
  </si>
  <si>
    <t>2) Compile the documentation requested on the "Documentation" tab.</t>
  </si>
  <si>
    <t>3) Use the "Additional Information" field to provide any pertinent information.</t>
  </si>
  <si>
    <t xml:space="preserve">    (An explanation is required for "N/A" responses.)</t>
  </si>
  <si>
    <t>4) Answer the questions in the tab(s) as instructed by the Requestor by selecting</t>
  </si>
  <si>
    <t xml:space="preserve">    Yes, No or N/A from the drop-down menu.</t>
  </si>
  <si>
    <t>SIG Lite Only</t>
  </si>
  <si>
    <t>3) Answer all of the questions on the "SIG Lite" tab by selecting Yes, No or N/A</t>
  </si>
  <si>
    <t>from the drop-down menu.</t>
  </si>
  <si>
    <t>4) Use the "Additional Information" field to provide any pertinent information.</t>
  </si>
  <si>
    <t xml:space="preserve"> (An explanation is required for "N/A" responses.)</t>
  </si>
  <si>
    <t>5) Answer questions on the "Additional Questions" tab (tab Z) only if additional</t>
  </si>
  <si>
    <t xml:space="preserve"> questions have been inserted.</t>
  </si>
  <si>
    <r>
      <rPr>
        <b/>
        <sz val="11"/>
        <rFont val="Arial"/>
        <family val="2"/>
      </rPr>
      <t>Note:</t>
    </r>
    <r>
      <rPr>
        <sz val="11"/>
        <rFont val="Arial"/>
        <family val="2"/>
      </rPr>
      <t xml:space="preserve"> Answers provided in the Lite tab are automatically transferred to the </t>
    </r>
  </si>
  <si>
    <t>corresponding tab in the full SIG avoiding the need to answer those questions again.</t>
  </si>
  <si>
    <t>Dashboard</t>
  </si>
  <si>
    <t>The Dashboard provides you with a quick and easy reference to determine if the required sections of the SIG have been completed. As questions are answered, either directly or by being pre-filled, the Dashboard will track the completion percentage of each section.</t>
  </si>
  <si>
    <t>Tabs</t>
  </si>
  <si>
    <t>% Comp</t>
  </si>
  <si>
    <t>Response Cell Background Color Coding (All tabs)</t>
  </si>
  <si>
    <t>Resp</t>
  </si>
  <si>
    <t>Terms Of Use</t>
  </si>
  <si>
    <t>N/A</t>
  </si>
  <si>
    <t>Response Required (all cells with a blue background are editable)</t>
  </si>
  <si>
    <t>Business Information</t>
  </si>
  <si>
    <t>Yes Response</t>
  </si>
  <si>
    <t>Yes</t>
  </si>
  <si>
    <t>Documentation Request List</t>
  </si>
  <si>
    <t>No Response</t>
  </si>
  <si>
    <t>No</t>
  </si>
  <si>
    <t>SIG Lite</t>
  </si>
  <si>
    <t>N/A Response</t>
  </si>
  <si>
    <t>Z. Additional Questions</t>
  </si>
  <si>
    <t>Top of table (no response required)</t>
  </si>
  <si>
    <t>Glossary</t>
  </si>
  <si>
    <t>Formula Notes</t>
  </si>
  <si>
    <t>Full</t>
  </si>
  <si>
    <t>Response Type</t>
  </si>
  <si>
    <t>Full Lite</t>
  </si>
  <si>
    <t>Binary</t>
  </si>
  <si>
    <t>SIG Total</t>
  </si>
  <si>
    <t>Count</t>
  </si>
  <si>
    <t>Serial No</t>
  </si>
  <si>
    <t>Percent Complete</t>
  </si>
  <si>
    <t>Question/Request</t>
  </si>
  <si>
    <t>Response</t>
  </si>
  <si>
    <t>Responder Name</t>
  </si>
  <si>
    <t>Cate Chace</t>
  </si>
  <si>
    <t>Responder Job Title</t>
  </si>
  <si>
    <t>Client Executive</t>
  </si>
  <si>
    <t>Responder Contact Information</t>
  </si>
  <si>
    <t>802.343.0571 / cate.chace@perigen.com</t>
  </si>
  <si>
    <t>Names and titles/functions of individuals who contributed to this questionnaire</t>
  </si>
  <si>
    <t>Date of Response</t>
  </si>
  <si>
    <t>Company Profile</t>
  </si>
  <si>
    <t>Name of the holding or parent company</t>
  </si>
  <si>
    <t>E&amp;C Medical</t>
  </si>
  <si>
    <t>Company/business name</t>
  </si>
  <si>
    <t>PeriGen Inc</t>
  </si>
  <si>
    <t>Publicly or privately held company</t>
  </si>
  <si>
    <t>Privately held</t>
  </si>
  <si>
    <t>If public, what is the name of the Exchange</t>
  </si>
  <si>
    <t>If public, what is the trading symbol</t>
  </si>
  <si>
    <t>Type of legal entity and state of incorporation</t>
  </si>
  <si>
    <t>How long has the company been in business</t>
  </si>
  <si>
    <t>Are there any material claims or judgments against the company</t>
  </si>
  <si>
    <t>If yes, describe the impact it may have on the services in scope of this document</t>
  </si>
  <si>
    <t>Has your company suffered a data loss or security breach within the last 3 years?</t>
  </si>
  <si>
    <t>If yes, please describe the loss or breach.</t>
  </si>
  <si>
    <t>Has any of your Third Party Vendors suffered a data loss or security breach within the last 3 years?</t>
  </si>
  <si>
    <r>
      <rPr>
        <b/>
        <i/>
        <sz val="11"/>
        <rFont val="Arial"/>
        <family val="2"/>
      </rPr>
      <t>Scope</t>
    </r>
    <r>
      <rPr>
        <i/>
        <sz val="11"/>
        <rFont val="Arial"/>
        <family val="2"/>
      </rPr>
      <t xml:space="preserve">
Please provide the below responses to establish the scope of the SIG</t>
    </r>
  </si>
  <si>
    <t>Are the answers in this questionnaire for only one facility or geographic location? If yes, provide description of physical location (address, city, state, country).</t>
  </si>
  <si>
    <t>Yes, 100 Regency Forest Drive, Suite 200, Cary, NC, 27518</t>
  </si>
  <si>
    <t>Backup site physical address</t>
  </si>
  <si>
    <t>Any additional locations where Scoped Systems and Data is stored</t>
  </si>
  <si>
    <t>If yes, provide each location (address, city, state, country).</t>
  </si>
  <si>
    <t>Are the answers to this questionnaire for only one specific type of service? If yes, describe the service.</t>
  </si>
  <si>
    <t>Shouler Screen software tool</t>
  </si>
  <si>
    <t>Are software applications provided?</t>
  </si>
  <si>
    <t>List the applications provided that are in scope.</t>
  </si>
  <si>
    <t>Shoulder Screen web based software tool</t>
  </si>
  <si>
    <t>Identify the applications which are covered by the secure software development lifecycle.</t>
  </si>
  <si>
    <t>What type of software is being provided, select all that apply?</t>
  </si>
  <si>
    <t>Commercial Off-The-Shelf (COTS)</t>
  </si>
  <si>
    <t>Custom Developed</t>
  </si>
  <si>
    <t>Cloud</t>
  </si>
  <si>
    <t>Mobile</t>
  </si>
  <si>
    <t>Open Source Software</t>
  </si>
  <si>
    <t>Other</t>
  </si>
  <si>
    <r>
      <t xml:space="preserve">Documentation*
</t>
    </r>
    <r>
      <rPr>
        <sz val="11"/>
        <rFont val="Arial"/>
        <family val="2"/>
      </rPr>
      <t>Use this section to request any specific documentation you want the Respondent to provide along with the SIG</t>
    </r>
  </si>
  <si>
    <t>Document Request</t>
  </si>
  <si>
    <t>Question Reference</t>
  </si>
  <si>
    <t>Name and/or type of information provided (e.g., document, summary, table of contents)</t>
  </si>
  <si>
    <t>* Information Security policies and procedures. This should include the following (if not, provide the individual documents as necessary):
a) Hiring policies and practices and employment application
b) User Account administration policy and procedures for all supported platforms where Scoped Systems and Data are processed and network/LAN access
c) Supporting documentation to indicate completion of User Entitlement reviews
d) Employee Non-disclosure agreement document
e) Information Security Incident Report policy and procedures, including all contract information
f) Copy of Visitor policy and procedures
g) Security Log Review policies and procedures
h) Copy of third party risk management policies and procedures</t>
  </si>
  <si>
    <t>* Copy of internal or external information security audit report</t>
  </si>
  <si>
    <r>
      <t xml:space="preserve">Information technology and security organization charts (including where Respondent information security resides and the composition of any information security steering committees).
</t>
    </r>
    <r>
      <rPr>
        <b/>
        <sz val="11"/>
        <rFont val="Arial"/>
        <family val="2"/>
      </rPr>
      <t>Note:</t>
    </r>
    <r>
      <rPr>
        <sz val="11"/>
        <rFont val="Arial"/>
        <family val="2"/>
      </rPr>
      <t xml:space="preserve"> Actual names of employees are not required</t>
    </r>
  </si>
  <si>
    <t>* Physical Security policy and procedures (building and / or restricted access)</t>
  </si>
  <si>
    <t xml:space="preserve">* Third party security reviews/assessments/penetration tests </t>
  </si>
  <si>
    <t>Legal clauses and confidentiality templates for third parties</t>
  </si>
  <si>
    <t>Topics covered in the security training program</t>
  </si>
  <si>
    <t>* Security incident handling and reporting process</t>
  </si>
  <si>
    <r>
      <t xml:space="preserve">Network configuration diagrams for internal and external networks defined in scope. </t>
    </r>
    <r>
      <rPr>
        <b/>
        <sz val="11"/>
        <rFont val="Arial"/>
        <family val="2"/>
      </rPr>
      <t>Note:</t>
    </r>
    <r>
      <rPr>
        <sz val="11"/>
        <rFont val="Arial"/>
        <family val="2"/>
      </rPr>
      <t xml:space="preserve"> Sanitized versions of the network diagram are acceptable</t>
    </r>
  </si>
  <si>
    <t>* System and network configuration standards</t>
  </si>
  <si>
    <t>* System backup policy and procedures</t>
  </si>
  <si>
    <t>* Offsite storage policy and procedures</t>
  </si>
  <si>
    <t>* Vulnerability and threat management scan policy and procedures</t>
  </si>
  <si>
    <t>* Application security policy</t>
  </si>
  <si>
    <t>* Change control policy/procedures</t>
  </si>
  <si>
    <t>* Problem management policy/procedures</t>
  </si>
  <si>
    <t>* Certification of proprietary encryption algorithms</t>
  </si>
  <si>
    <t>* Internal vulnerability assessments of systems, applications, and networks</t>
  </si>
  <si>
    <t>* Software development and lifecycle (SDLC) process document</t>
  </si>
  <si>
    <t>* Business Resiliency (continuity plan) (BCP) and/or Disaster Recovery Plan</t>
  </si>
  <si>
    <t>* Most recent BCP/DR test dates and results</t>
  </si>
  <si>
    <t>* Most recent AUP/SSAE16/SOC2 audit report(s)</t>
  </si>
  <si>
    <t>* Privacy Policies (internal, external, web)</t>
  </si>
  <si>
    <t>* Executive Summary of certificates held (e.g. PCI, HIPAA, ISO)</t>
  </si>
  <si>
    <t>* Performance Reports against contracted SLAs</t>
  </si>
  <si>
    <t>*If the Respondent policy prohibits the distribution of any of these documents, please provide the document title, the table of contents, the executive summary, revision history, and evidence of approval.</t>
  </si>
  <si>
    <t>SL</t>
  </si>
  <si>
    <t>Tab Automation:</t>
  </si>
  <si>
    <t>Enable</t>
  </si>
  <si>
    <t>Detail SN</t>
  </si>
  <si>
    <r>
      <t xml:space="preserve">Questionnaire Instructions:
</t>
    </r>
    <r>
      <rPr>
        <sz val="11"/>
        <rFont val="Arial"/>
        <family val="2"/>
      </rPr>
      <t xml:space="preserve">     - For each question choose either Yes, No or N/A from the drop-down menu provided. If N/A is chosen, an explanation is mandatory. Use the Additional Information Field in column F to provide.
     - To display the entire contents of the tab and disable the transfer of responses from the Lite tab, select the word "Disable" in the Tab Automation field at the top of the page.
     - Use the Maturity column to identify the maturity of the question. See the How To Guide for instructions on filling out this field.</t>
    </r>
  </si>
  <si>
    <t>Q depth</t>
  </si>
  <si>
    <t>Detail Letter</t>
  </si>
  <si>
    <t>Q # Calc</t>
  </si>
  <si>
    <t>Sec Num</t>
  </si>
  <si>
    <t>HL Ans</t>
  </si>
  <si>
    <t>Loc Ans</t>
  </si>
  <si>
    <t>Comb Ans</t>
  </si>
  <si>
    <t>Table Calc (Tot Q#)</t>
  </si>
  <si>
    <t>Q Carry Dn</t>
  </si>
  <si>
    <t>Resp Calc</t>
  </si>
  <si>
    <t>Filter</t>
  </si>
  <si>
    <t>Sec Calc</t>
  </si>
  <si>
    <t>Optional
Scoring</t>
  </si>
  <si>
    <t>Section</t>
  </si>
  <si>
    <t>Q per Sec</t>
  </si>
  <si>
    <t>1 &amp; 2 count</t>
  </si>
  <si>
    <t>Total Ques</t>
  </si>
  <si>
    <t>Quest ans</t>
  </si>
  <si>
    <t>Elements</t>
  </si>
  <si>
    <t>Max Rows</t>
  </si>
  <si>
    <t>Maturity N/A</t>
  </si>
  <si>
    <t>Ques Num</t>
  </si>
  <si>
    <t xml:space="preserve"> Question/Request</t>
  </si>
  <si>
    <t>Maturity</t>
  </si>
  <si>
    <t>Additional Information</t>
  </si>
  <si>
    <t>AUP Reference</t>
  </si>
  <si>
    <t>ISO 27002:2013 Relevance</t>
  </si>
  <si>
    <t>A. Risk Assessment and Treatment</t>
  </si>
  <si>
    <t>A</t>
  </si>
  <si>
    <t>Is there a risk assessment program that has been approved by management, communicated to appropriate constituents and an owner to maintain and review the program?</t>
  </si>
  <si>
    <t>A.1 IT &amp; Infrastructure Risk Governance and Context</t>
  </si>
  <si>
    <t>5.1                                            6.1.2</t>
  </si>
  <si>
    <t>Leadership &amp; Commitment,                Information Security Risk Assessment</t>
  </si>
  <si>
    <t>B</t>
  </si>
  <si>
    <t>B. Security Policy</t>
  </si>
  <si>
    <t>C</t>
  </si>
  <si>
    <t>Is there an information security policy that has been approved by management, communicated to appropriate constituents and an owner to maintain and review the policy?</t>
  </si>
  <si>
    <t>B.1 Information Security Policy Content &amp; Maintenance</t>
  </si>
  <si>
    <t>5.1.1</t>
  </si>
  <si>
    <t>Policies for information security</t>
  </si>
  <si>
    <t>D</t>
  </si>
  <si>
    <t>Have the policies been reviewed in the last 12 months?</t>
  </si>
  <si>
    <t>B.1 Procedure: d</t>
  </si>
  <si>
    <t>5.1.2</t>
  </si>
  <si>
    <t>Review of the policies for information security</t>
  </si>
  <si>
    <t>E</t>
  </si>
  <si>
    <t>Is there a vendor management program?</t>
  </si>
  <si>
    <t>F</t>
  </si>
  <si>
    <t>C. Organizational Security</t>
  </si>
  <si>
    <t>G</t>
  </si>
  <si>
    <t>Is there a respondent information security function responsible for security initiatives?</t>
  </si>
  <si>
    <t>C.2 Security Organization Roles / Responsibilities</t>
  </si>
  <si>
    <t>6.1.1</t>
  </si>
  <si>
    <t>Information Security Roles and Responsibilities</t>
  </si>
  <si>
    <t>H</t>
  </si>
  <si>
    <t>Do external parties have access to Scoped Systems and Data or processing facilities?</t>
  </si>
  <si>
    <t>Supplier relationships</t>
  </si>
  <si>
    <t>I</t>
  </si>
  <si>
    <t>D. Asset Management</t>
  </si>
  <si>
    <t>J</t>
  </si>
  <si>
    <r>
      <t>Is there an asset management</t>
    </r>
    <r>
      <rPr>
        <sz val="11"/>
        <rFont val="Arial"/>
        <family val="2"/>
      </rPr>
      <t xml:space="preserve"> program that has been approved by management, communicated to appropriate constituents and an owner to maintain and review the policy?</t>
    </r>
  </si>
  <si>
    <t>D. Assessment Management</t>
  </si>
  <si>
    <t>Responsibility For Assets</t>
  </si>
  <si>
    <t>K</t>
  </si>
  <si>
    <t>Are information assets classified?</t>
  </si>
  <si>
    <t>D.1 Procedure: e.1</t>
  </si>
  <si>
    <t>8.2.1</t>
  </si>
  <si>
    <t>Classification of Information</t>
  </si>
  <si>
    <t>L</t>
  </si>
  <si>
    <t>E. Human Resource Security</t>
  </si>
  <si>
    <t>M</t>
  </si>
  <si>
    <t>Are security roles and responsibilities of constituents defined and documented in accordance with the respondent’s information security policy?</t>
  </si>
  <si>
    <t>C.2 Security Organization Roles/Responsibilities</t>
  </si>
  <si>
    <t>Information security roles and responsibilities</t>
  </si>
  <si>
    <t>P</t>
  </si>
  <si>
    <t>Is a background screening performed prior to allowing constituent access to Scoped Systems and Data?</t>
  </si>
  <si>
    <t>E.3 Background Investigation Policy Content</t>
  </si>
  <si>
    <t>7.1.1</t>
  </si>
  <si>
    <t>Screening</t>
  </si>
  <si>
    <t>Q</t>
  </si>
  <si>
    <t>Are new hires required to sign any agreements upon hire?</t>
  </si>
  <si>
    <t>7.1.2</t>
  </si>
  <si>
    <t>Terms and conditions of employment</t>
  </si>
  <si>
    <t>V</t>
  </si>
  <si>
    <t>Is there a security awareness training program?</t>
  </si>
  <si>
    <t>E.1 Security Awareness Training Program Maintenance</t>
  </si>
  <si>
    <t>7.2.2</t>
  </si>
  <si>
    <t>Information security awareness, education, and training</t>
  </si>
  <si>
    <t>Is there a disciplinarily process for non-compliance with information security policies?</t>
  </si>
  <si>
    <t>7.2.3</t>
  </si>
  <si>
    <t>Disciplinary process</t>
  </si>
  <si>
    <t>Is there a constituent termination or change of status process?</t>
  </si>
  <si>
    <t>H.2 Revoke System and Physical Access</t>
  </si>
  <si>
    <t>Termination responsibilities</t>
  </si>
  <si>
    <t>F. Physical and Environmental Security</t>
  </si>
  <si>
    <t>Is there a physical security program?</t>
  </si>
  <si>
    <t>Are reasonable physical security and environmental controls present in the building/data center that contains Scoped Systems and Data?</t>
  </si>
  <si>
    <t>Secure areas</t>
  </si>
  <si>
    <t>Are visitors permitted in the facility?</t>
  </si>
  <si>
    <t xml:space="preserve">11.1.2 </t>
  </si>
  <si>
    <t>Physical entry controls</t>
  </si>
  <si>
    <t>G. Communications and Operations Management</t>
  </si>
  <si>
    <t>Are Management approved operating procedures utilized?</t>
  </si>
  <si>
    <t>12.1.1</t>
  </si>
  <si>
    <t>Documented Operating Procedure</t>
  </si>
  <si>
    <t>Is there an operational change management / change control policy or program that has been approved by management, communicated to appropriate constituents and an owner to maintain and review the policy?</t>
  </si>
  <si>
    <t>G.21 Change Control</t>
  </si>
  <si>
    <t>12.1.2</t>
  </si>
  <si>
    <t>Change Management</t>
  </si>
  <si>
    <t>Do third party vendors have access to Scoped Systems and Data? (backup vendors, service providers, equipment support maintenance, software maintenance vendors, data recovery vendors, etc.)?</t>
  </si>
  <si>
    <t>Is there an anti-virus / malware policy or program (workstations, servers, mobile devices) that has been approved by management, communicated to appropriate constituents and an owner to maintain and review the policy?</t>
  </si>
  <si>
    <t>G.7 Virus Protection (Servers), G.8 Virus Protection (Workstations)</t>
  </si>
  <si>
    <t>12.2.1</t>
  </si>
  <si>
    <t>Controls Against Malware</t>
  </si>
  <si>
    <t>Are system backups of Scoped Systems and Data performed?</t>
  </si>
  <si>
    <t>G.20 Backup Media Restoration</t>
  </si>
  <si>
    <t>12.3.1</t>
  </si>
  <si>
    <t>Information Back-Up</t>
  </si>
  <si>
    <t>Are firewalls in use for both internal and external connections?</t>
  </si>
  <si>
    <t>G.2 Network Security – Firewall(s)</t>
  </si>
  <si>
    <t>13.1.3</t>
  </si>
  <si>
    <t>Segregation in networks</t>
  </si>
  <si>
    <t>Are vulnerability assessments, scans or penetration tests performed on internal or external networks?</t>
  </si>
  <si>
    <t>L.2 Technical Compliance Checking – Vulnerability Testing and Remediation</t>
  </si>
  <si>
    <t>12.6.1</t>
  </si>
  <si>
    <t>Control of technical vulnerabilities</t>
  </si>
  <si>
    <t>Are there external network connections (Internet, intranet, extranet, etc.)?</t>
  </si>
  <si>
    <t>13.1.1</t>
  </si>
  <si>
    <t>Network Controls</t>
  </si>
  <si>
    <t>Is wireless networking technology used?</t>
  </si>
  <si>
    <t>G.17 Unapproved Wireless Networks</t>
  </si>
  <si>
    <t>13.1.1.c</t>
  </si>
  <si>
    <t>Is there a removable media policy or program (CDs, DVDs, tapes, disk drives) that has been approved by management, communicated to appropriate constituents, and an owner to maintain and review the policy?</t>
  </si>
  <si>
    <t>G.15 Physical Media Tracking</t>
  </si>
  <si>
    <t>8.3.1</t>
  </si>
  <si>
    <t>Management of Removable Media</t>
  </si>
  <si>
    <t>Is Scoped Data sent or received electronically or via physical media?</t>
  </si>
  <si>
    <t>G.4 Network Management – Encrypted Authentication Credentials</t>
  </si>
  <si>
    <t>8.3.3</t>
  </si>
  <si>
    <t>Physical media in transit</t>
  </si>
  <si>
    <t>Are Web services provided?</t>
  </si>
  <si>
    <t/>
  </si>
  <si>
    <t>H. Access Control</t>
  </si>
  <si>
    <t>Are electronic systems used to transmit, process or store Scoped Systems and Data?</t>
  </si>
  <si>
    <t>Are unique user IDs used for access?</t>
  </si>
  <si>
    <t>H.1 Password Controls</t>
  </si>
  <si>
    <t>9.2.1.a</t>
  </si>
  <si>
    <t>User registration and de-registration</t>
  </si>
  <si>
    <t>Are passwords required to access systems transmitting, processing or storing Scoped Systems and Data?</t>
  </si>
  <si>
    <t>9.4.3</t>
  </si>
  <si>
    <t>Password Management System</t>
  </si>
  <si>
    <t>Is remote access permitted?</t>
  </si>
  <si>
    <t>H.7 Restrictions and Multifactor Authentication for Remote Access</t>
  </si>
  <si>
    <t>Mobile devices and teleworking</t>
  </si>
  <si>
    <t>I. Information Systems Acquisition Development &amp; Maintenance</t>
  </si>
  <si>
    <t>Are business information systems used to transmit, process or store Scoped Systems and Data?</t>
  </si>
  <si>
    <t>Security requirements of information systems</t>
  </si>
  <si>
    <t>Is application development performed?</t>
  </si>
  <si>
    <t>14.2.1</t>
  </si>
  <si>
    <t>Secure development policy</t>
  </si>
  <si>
    <t>Is there a formal Software Development Life Cycle (SDLC) process?</t>
  </si>
  <si>
    <t>I.7 Application Security SDLC Phases</t>
  </si>
  <si>
    <t xml:space="preserve">14.2.1 </t>
  </si>
  <si>
    <t>Are systems and applications patched?</t>
  </si>
  <si>
    <t>I.4 System Patching</t>
  </si>
  <si>
    <t xml:space="preserve">12.6.1 </t>
  </si>
  <si>
    <t>Management of technical vulnerabilities</t>
  </si>
  <si>
    <t>Is a web site supported, hosted or maintained that has access to Scoped Systems and Data?</t>
  </si>
  <si>
    <t>Are vulnerability tests (internal/external) performed on all applications at least annually?</t>
  </si>
  <si>
    <t>I.1 Application Vulnerability Assessments / Ethical Hacking</t>
  </si>
  <si>
    <t>18.2.3</t>
  </si>
  <si>
    <t>Technical compliance review</t>
  </si>
  <si>
    <t>Are encryption tools managed and maintained for Scoped Data?</t>
  </si>
  <si>
    <t>G.22 Data Security Policy - Encryption</t>
  </si>
  <si>
    <t>Cryptographic controls</t>
  </si>
  <si>
    <t>J. Incident Event and Communications Management</t>
  </si>
  <si>
    <t>Is there an Incident Management program?</t>
  </si>
  <si>
    <t>J.1 Information Security Incident Management
P.8 Privacy Incident and Response Management</t>
  </si>
  <si>
    <t>Information security incident management</t>
  </si>
  <si>
    <t>K. Business Resiliency</t>
  </si>
  <si>
    <t>ISO 22301:2012 Relevance</t>
  </si>
  <si>
    <t>Is there an established Business Resiliency program that has been approved by management and communicated to appropriate constituents?</t>
  </si>
  <si>
    <t>K.1 Business Resiliency Governance</t>
  </si>
  <si>
    <t>Management Commitment</t>
  </si>
  <si>
    <t>Has a Business Impact Analysis been conducted?</t>
  </si>
  <si>
    <t>K.2 Business Impact Analysis</t>
  </si>
  <si>
    <t>8.2.2</t>
  </si>
  <si>
    <t>Business impact analysis</t>
  </si>
  <si>
    <t>Is there a formal process focused on identifying and addressing risks of disruptive incidents to the organization?</t>
  </si>
  <si>
    <t>K.3 Risk Assessment</t>
  </si>
  <si>
    <t>8.2.3</t>
  </si>
  <si>
    <t>Risk assessment</t>
  </si>
  <si>
    <t>Are specific response and recovery strategies defined for the prioritized activities?</t>
  </si>
  <si>
    <t>K.4 Response and Recovery Strategy</t>
  </si>
  <si>
    <t>Determination and selection</t>
  </si>
  <si>
    <t>Are formal business continuity procedures developed and documented?</t>
  </si>
  <si>
    <t>K.5 Business Activity Level Recovery Planning</t>
  </si>
  <si>
    <t>Establish and implement business continuity procedures</t>
  </si>
  <si>
    <t>Has senior management assigned the responsibility for the overall management of the response and recovery efforts?</t>
  </si>
  <si>
    <t>Is there a periodic (at least annual) review of your Business Resiliency Program?</t>
  </si>
  <si>
    <t>K.7 Exercising</t>
  </si>
  <si>
    <t>8.4.1</t>
  </si>
  <si>
    <t>Are there any dependencies on critical third party service providers?</t>
  </si>
  <si>
    <t>8.1
8.3
8.3.1
8.44</t>
  </si>
  <si>
    <t>Operational Planning and Control_x000D_
Business continuity strategy_x000D_
Determination and selection_x000D_
Business continuity plans</t>
  </si>
  <si>
    <t>Is there a formal, documented exercise and testing program in place?</t>
  </si>
  <si>
    <t>Exercising and testing</t>
  </si>
  <si>
    <t>Is there an Influenza Pandemic / Infectious Disease Outbreak Plan?</t>
  </si>
  <si>
    <t>K.8 Infectious Disease Planning</t>
  </si>
  <si>
    <t>Is there insurance coverage for business interruptions or general services interruption?</t>
  </si>
  <si>
    <t>K.9 Business Insurance</t>
  </si>
  <si>
    <t>L. Compliance</t>
  </si>
  <si>
    <t>Is there an internal audit, risk management, or compliance department, or other management oversight unit with responsibility for identifying and tracking resolution of outstanding regulatory issues?</t>
  </si>
  <si>
    <t>L.3 Monitoring and Reporting - Compliance Reporting
L.4 Monitoring and Reporting - Compliance</t>
  </si>
  <si>
    <t xml:space="preserve">18.1.1 </t>
  </si>
  <si>
    <t>Identification of applicable legislation and contractual requirements</t>
  </si>
  <si>
    <t>Are there policies and procedures to ensure compliance with applicable legislative, regulatory and contractual requirements to address intellectual property rights on business processes or information technology software products?</t>
  </si>
  <si>
    <t>NA</t>
  </si>
  <si>
    <t>Is there a records retention policy covering paper &amp; electronic records, including email in support of applicable regulations, standards and contractual requirements?</t>
  </si>
  <si>
    <t>D.1 Asset Accounting and Inventory</t>
  </si>
  <si>
    <t xml:space="preserve">18.1.3 </t>
  </si>
  <si>
    <t>Protection of records</t>
  </si>
  <si>
    <t>Is licensing maintained in all jurisdictions where the business is or where licensing is required?</t>
  </si>
  <si>
    <t>Is there an internal compliance and ethics program to ensure professional ethics and business practices are implemented?</t>
  </si>
  <si>
    <t>A.4 Professional Ethics and Business Practices</t>
  </si>
  <si>
    <t>Are marketing or selling activities conducted directly to client's customers?</t>
  </si>
  <si>
    <t>Are there direct interactions with your client's customers?</t>
  </si>
  <si>
    <t xml:space="preserve">Are policies and procedures maintained for enabling compliance with applicable legal, regulatory, statutory, or contractual obligations related to any information security requirements? </t>
  </si>
  <si>
    <t>A.3 Legal, Regulatory, and Standards Compliance</t>
  </si>
  <si>
    <t>Is there a formalized governance process to identify and assess changes that could significantly affect the system of internal controls for security, confidentiality and availability?</t>
  </si>
  <si>
    <t>G.21 Change Control
L.3 Procedure b.3.i</t>
  </si>
  <si>
    <t>Are accounts opened, transactions initiated or other account initiation activity applying payments, taking payments, transferring funds, etc. through either electronic, telephonic, written or in-person requests made on behalf of your client's?</t>
  </si>
  <si>
    <t>M. Mobile</t>
  </si>
  <si>
    <t>Are constituents allowed to utilize mobile devices to within your environment? If yes, which of the following functions are allowed:</t>
  </si>
  <si>
    <t>View Scoped Data?</t>
  </si>
  <si>
    <t>Process Scoped Data?</t>
  </si>
  <si>
    <t>Delete Scoped Data?</t>
  </si>
  <si>
    <t>Store Scoped Data?</t>
  </si>
  <si>
    <t>Is there a mobile device management program in place that has been approved by management and communicated to appropriate constituents?</t>
  </si>
  <si>
    <t>P. Privacy</t>
  </si>
  <si>
    <t>Is Scoped Data transmitted, processed, or stored that can be classified as non-public information (NPI), personally identifiable information (PII), or sensitive customer financial information? If yes, describe and list types of data.</t>
  </si>
  <si>
    <t>P.1 Scoped Privacy Data Inventory and Flows</t>
  </si>
  <si>
    <t>Is Scoped Data transmitted, processed, or stored that can be classified as protected health information, electronic health records, or personal health records? If yes, identify the classifications.</t>
  </si>
  <si>
    <t>For Scoped Data, is personal information about individuals transmitted to or received from countries outside the United States? If yes, identify the countries.</t>
  </si>
  <si>
    <t>For Scoped Data is there a dedicated person (or group) responsible for privacy compliance. If yes, describe. If no, explain reason</t>
  </si>
  <si>
    <t>P.3 Privacy Organization and Program Maintenance</t>
  </si>
  <si>
    <t xml:space="preserve">16.1.1.b.3 </t>
  </si>
  <si>
    <t>Responsibilities and procedures</t>
  </si>
  <si>
    <t>For Scoped Data, is there a documented privacy policy or procedures to protect confidential information?</t>
  </si>
  <si>
    <t>P.2 Privacy Policy and Privacy Notices</t>
  </si>
  <si>
    <t>15.1.1</t>
  </si>
  <si>
    <t>Information security policy for supplier relationships</t>
  </si>
  <si>
    <t>For Scoped Data are there regular privacy risk assessments conducted? If yes, provide frequency and scope. If no, explain reason.</t>
  </si>
  <si>
    <t xml:space="preserve">15.1.3.i </t>
  </si>
  <si>
    <t>Information and communication technology supply chain</t>
  </si>
  <si>
    <t>Is there formal privacy awareness training for employees, contractors, and third-party users to ensure confidentiality and privacy of Scoped Data?</t>
  </si>
  <si>
    <t>P.7 Privacy Awareness</t>
  </si>
  <si>
    <t xml:space="preserve">7.2.2 </t>
  </si>
  <si>
    <t>Information security awareness, education and training</t>
  </si>
  <si>
    <t>Is there a formal process for reporting and responding to privacy complaints or privacy incidents for Scoped Data? If yes, describe. If no, explain reason.</t>
  </si>
  <si>
    <t>P.8 Privacy Event Notification and Response Management</t>
  </si>
  <si>
    <t xml:space="preserve">16.1.1 </t>
  </si>
  <si>
    <t>Is there a data classification and retention program for Scoped Data that identifies the data types that require additional management and governance?</t>
  </si>
  <si>
    <t>Information Classification</t>
  </si>
  <si>
    <t>Is there a documented response program to address privacy incidents, unauthorized disclosure, unauthorized access or breach of Scoped Data?</t>
  </si>
  <si>
    <t>Is Scoped Data disclosed to third parties? If yes, describe</t>
  </si>
  <si>
    <t>Is Scoped Data disclosed to third parties outside of the U.S.? If yes, describe.</t>
  </si>
  <si>
    <t>Are there contractual controls to ensure that Scoped Data shared with third parties is limited to defined parameters for access, use and disclosure? If yes, describe the controls, If no, explain reason.</t>
  </si>
  <si>
    <t>P.4 Privacy Third Party Agreements</t>
  </si>
  <si>
    <t xml:space="preserve">15.1.2 </t>
  </si>
  <si>
    <t>Addressing security within supplier agreements</t>
  </si>
  <si>
    <t>Is there a business associate contract in place to address obligations for the privacy and security requirements of the services provided?</t>
  </si>
  <si>
    <t>Is there a documented privacy program with administrative, technical, and physical safeguards for the protection of Scoped Data?</t>
  </si>
  <si>
    <t>Is there a process for ensuring the accuracy of Scoped Data at the direction of the client? If yes, describe. If no, explain reason.</t>
  </si>
  <si>
    <t>P.6 Management of Client Scoped Privacy Data</t>
  </si>
  <si>
    <t>Handling of assets</t>
  </si>
  <si>
    <t>Is there a process to ensure that the personal information provided by an individual is limited for the purposes described in the respondent's privacy notice? If yes, describe. If no, explain reason.</t>
  </si>
  <si>
    <t>8.2.4</t>
  </si>
  <si>
    <t>Are constituents regularly monitored for privacy compliance? If yes, describe. If no, explain reason.</t>
  </si>
  <si>
    <t>Are there documented policies, procedures, and controls to limit access based on need to know or minimum necessary for constituents? If yes, describe.</t>
  </si>
  <si>
    <t>9.1.1.b</t>
  </si>
  <si>
    <t>Access control policy</t>
  </si>
  <si>
    <t>Are enforcement mechanisms applied to constituents who violate privacy policies or confidentiality requirements?</t>
  </si>
  <si>
    <t>Are transactions for covered accounts accessed, modified, or processed, including address changes and discrepancies? If yes, describe.</t>
  </si>
  <si>
    <t>Is customer data accessed, transmitted, processed, or stored that can be classified as consumer report information provided by a consumer reporting agency?</t>
  </si>
  <si>
    <t>Q. Software Application Security</t>
  </si>
  <si>
    <t xml:space="preserve">Is software provided?  </t>
  </si>
  <si>
    <t xml:space="preserve">Is there a secure software development lifecycle policy that has been approved by management, communicated to appropriate constituents and an owner to maintain and review the policy? </t>
  </si>
  <si>
    <t>Q.1 Secure SDLC Policies, Standards and Procedures</t>
  </si>
  <si>
    <t>V. Cloud Security</t>
  </si>
  <si>
    <t>Are Cloud Services provided? If yes, what service model and deployment model is provided (select all that apply):</t>
  </si>
  <si>
    <t>V.1 Service and Deployment Models</t>
  </si>
  <si>
    <t>Determining the scope of the information management system</t>
  </si>
  <si>
    <t>Software as a Service (SaaS)</t>
  </si>
  <si>
    <t>Platform as a Service (PaaS)</t>
  </si>
  <si>
    <t>Infrastructure as a Service (IaaS)</t>
  </si>
  <si>
    <t>Private cloud</t>
  </si>
  <si>
    <t>Public cloud</t>
  </si>
  <si>
    <t>Community cloud</t>
  </si>
  <si>
    <t>Hybrid cloud</t>
  </si>
  <si>
    <t>Can clients define the legal jurisdictions where their data can be transmitted, processed or stored?</t>
  </si>
  <si>
    <t>15.1.2</t>
  </si>
  <si>
    <t>Is data segmentation and separation capability between clients provided? If yes, describe.</t>
  </si>
  <si>
    <t>11.2.6, 9.1.1</t>
  </si>
  <si>
    <t>Security of equipment and assets off-premises, Access Control Policy</t>
  </si>
  <si>
    <t>Is Scoped Data encrypted?</t>
  </si>
  <si>
    <t>Cryptographic Controls</t>
  </si>
  <si>
    <t>Are clients provided with the ability to generate a unique encryption key?</t>
  </si>
  <si>
    <t>10.1.2</t>
  </si>
  <si>
    <t>Key Management</t>
  </si>
  <si>
    <t>Are clients provided with the ability to rotate their encryption key on a scheduled basis?</t>
  </si>
  <si>
    <t>Is standards based federated ID capability available to clients (e.g., SAML, OpenID)?</t>
  </si>
  <si>
    <t>9.2.4</t>
  </si>
  <si>
    <t>Management of secret authentication information of users.</t>
  </si>
  <si>
    <t>Are application self service features or an Internet accessible self-service portal available to clients? If yes, describe.</t>
  </si>
  <si>
    <t>Is there a management approved process to ensure that image snapshots containing Scoped Data are authorized prior to being snapped?</t>
  </si>
  <si>
    <t>Is there a cloud audit program to address client audit and assessment requirements? If yes, describe.</t>
  </si>
  <si>
    <t>V.3 Cloud Audit Program</t>
  </si>
  <si>
    <t>Is an agile development methodology in operation?</t>
  </si>
  <si>
    <t>I.2 Secure Systems Development Lifecycle Code Reviews
Q.5 Secure Code Review</t>
  </si>
  <si>
    <t>Control Of Operational Software</t>
  </si>
  <si>
    <t>Is there a formal process to ensure clients are notified prior to changes being made which may impact their service? If yes, describe.</t>
  </si>
  <si>
    <t>12.1.2, 14.2.2</t>
  </si>
  <si>
    <t>Change Management, System change control procedures</t>
  </si>
  <si>
    <t>Is there a scheduled maintenance window? If yes, what is the frequency?</t>
  </si>
  <si>
    <t>V.4 Security Review of Hypervisor Configuration</t>
  </si>
  <si>
    <t>Is there a scheduled maintenance window which results in client downtime, If yes, what is the period of the downtime?</t>
  </si>
  <si>
    <t>Is there an online incident response status portal which outlines planned and unplanned outages? If yes, how long after an unplanned outage is this updated?</t>
  </si>
  <si>
    <t>Is there a 24x7x365 staffed phone number available to clients to report security incidents?</t>
  </si>
  <si>
    <t>Are applications created and released into production? If yes, what is the release frequency?</t>
  </si>
  <si>
    <t>Is there an automated secure source code review? If yes, what is the frequency?</t>
  </si>
  <si>
    <t>Is source code security reviewed manually? If yes, what is the frequency?</t>
  </si>
  <si>
    <t>12.2.1, 12.5</t>
  </si>
  <si>
    <t>Control against malware, Control Of Operational Software</t>
  </si>
  <si>
    <t>Are automated penetration tests performed? If yes, what is the frequency?</t>
  </si>
  <si>
    <t>I.1 Application Vulnerability Assessments/Ethical Hacking</t>
  </si>
  <si>
    <t>Technical vulnerability management</t>
  </si>
  <si>
    <t>Are clients provided with the ability to specify where their data will be stored? If yes, describe at what level (e.g., data center, country)?</t>
  </si>
  <si>
    <t>P.6 Management of Client Target Privacy Data</t>
  </si>
  <si>
    <t>8.2.3, 11.1, 15.1.2</t>
  </si>
  <si>
    <t>Handling of assets,
Secure areas,
Addressing security within supplier agreements</t>
  </si>
  <si>
    <t xml:space="preserve">Does the ability exist to legally demonstrate sufficient data segmentation, in the event of a client subpoena or a forensics incident, so as not to impact other client's data? If using resource pooling? </t>
  </si>
  <si>
    <t>Management of information security incidents and improvements</t>
  </si>
  <si>
    <t>Is there a self-service portal or API call available to clients which provides the ability to place a "Legal hold" on client data which may be subject to a legal action, without impacting other clients data retention or destruction schedules?</t>
  </si>
  <si>
    <t>8.2.3, 11.1, 15.1.2, 18.1.2</t>
  </si>
  <si>
    <t>Handling of assets,
Secure areas,
Addressing security within supplier agreements, Intellectual property rights</t>
  </si>
  <si>
    <t>Is a Cloud API available to clients?</t>
  </si>
  <si>
    <t>H.3 Logical Access Authorization</t>
  </si>
  <si>
    <t>Is there a client management portal which allows distributed business accounts (business units/departments) to be managed under a single central corporate account?</t>
  </si>
  <si>
    <t>Are staff required to use two factor authentication to remotely access the production cloud environment containing Scoped Data?</t>
  </si>
  <si>
    <t>I.6 Application Security Vulnerability Assessments and Remediation</t>
  </si>
  <si>
    <t>9.3.1, 9.4.2, 9.4.3</t>
  </si>
  <si>
    <t>Use of secret authentication information, Secure log-on procedures, Password management system</t>
  </si>
  <si>
    <t>Are staff able to access client Scoped Data in an unencrypted state?</t>
  </si>
  <si>
    <t>9.4.1</t>
  </si>
  <si>
    <t>Information access restriction</t>
  </si>
  <si>
    <t>Are staff able to access client's encryption key?</t>
  </si>
  <si>
    <t>Is there a process which allows the client to specifically list who from the cloud provider, will have access to their Scoped Systems and Data? If yes, describe.</t>
  </si>
  <si>
    <t>9.1.1, 9.4.1</t>
  </si>
  <si>
    <t xml:space="preserve">	Access Control Policy
Information access restriction</t>
  </si>
  <si>
    <t xml:space="preserve">Are staff technically prevented from accessing the cloud environment via non-managed private devices? </t>
  </si>
  <si>
    <t>Are there controls to prevent one client attempting to compromise another client in a resource pooled environment? If yes, describe.</t>
  </si>
  <si>
    <t>Is a default hardened base virtual image available to clients?</t>
  </si>
  <si>
    <t>I.3 Secure Systems Hardening Standards</t>
  </si>
  <si>
    <t>Can clients run their own security services within their own cloud environment? If yes, describe.</t>
  </si>
  <si>
    <t>Is there a specific Recovery Time Objective(s) (RTO)? If yes, specify the RTO for the scoped services.</t>
  </si>
  <si>
    <t>Information security continuity</t>
  </si>
  <si>
    <t>Are the failover sites for the underlying infrastructure running on different vendor physical systems?</t>
  </si>
  <si>
    <t>Is the critical infrastructure running active/active at two or more sites?</t>
  </si>
  <si>
    <t>Are sites failed over as part of normal operation or as part of a test? If yes, what is the frequency?</t>
  </si>
  <si>
    <t>Are all suppliers of critical hardware, network services and facility services involved in annual continuity and recovery tests?</t>
  </si>
  <si>
    <t>Are all critical technology service providers described on an architecture diagram that includes physical systems and facilities?</t>
  </si>
  <si>
    <t>Is there sufficient redundancy capacity to ensure services are not impacted in multi-tenancy environments during peak usage and above?</t>
  </si>
  <si>
    <t>Redundancies</t>
  </si>
  <si>
    <t xml:space="preserve">Do contracts include a penalty or remediation clause for breach of availability and continuity SLAs? </t>
  </si>
  <si>
    <t>15.1.2, 15.2.1</t>
  </si>
  <si>
    <t>Addressing security within supplier agreements, Monitoring and review of supplier services</t>
  </si>
  <si>
    <t>Is a Hypervisor used to manage systems used to transmit, process or store Scoped Data? If yes, describe the controls used to protect the hypervisor and the managed Guest Operating Systems.</t>
  </si>
  <si>
    <t>This tab is used to supply any additional questions not covered by this SIG. Questions on this tab will not be analyzed by the SIG Management Tool.</t>
  </si>
  <si>
    <t>ISO Ref Num</t>
  </si>
  <si>
    <t>ISO Ref Text</t>
  </si>
  <si>
    <t>Acceptable Use Policy</t>
  </si>
  <si>
    <t>Part of the information security framework that defines what users are and are not allowed to do with the IT systems of the respondent. It should contain a subset of the information security policy and refer users to the full security policy when relevant. It should also clearly define the sanctions applied if a user violates the policy.</t>
  </si>
  <si>
    <t>Term</t>
  </si>
  <si>
    <t>Definition</t>
  </si>
  <si>
    <t>Acknowledgement of Acceptable Use</t>
  </si>
  <si>
    <t>A written attestation from a user of an information system indicating the user's acceptance and willingness to comply with the relevant information systems control policies.</t>
  </si>
  <si>
    <t>Anti-Tailgating / Anti-Piggybacking Mechanism</t>
  </si>
  <si>
    <t>Two sets of doors whereby access to the second is not granted until the individual has passed through (and closed) the first, often referred to as a "man trap." A controlled turnstile is also considered an anti-tailgating/piggybacking mechanism.</t>
  </si>
  <si>
    <t>Asset Classification</t>
  </si>
  <si>
    <t>The category or type assigned to an asset, which is derived from the asset classification policy. Asset classifications frequently vary from company to company.</t>
  </si>
  <si>
    <t>Asset Control Tag</t>
  </si>
  <si>
    <t>A unique identification number assigned to all inventoried assets.</t>
  </si>
  <si>
    <t>Asset Management Program</t>
  </si>
  <si>
    <t xml:space="preserve">A program for managing an organization's assets which includes formalized governance, policies, and procedures. </t>
  </si>
  <si>
    <t>Attribute</t>
  </si>
  <si>
    <t>A property or field of a particular object.</t>
  </si>
  <si>
    <t>Baseline</t>
  </si>
  <si>
    <t>A benchmark by which subsequent items are measured.</t>
  </si>
  <si>
    <t>Battery</t>
  </si>
  <si>
    <t>An electrochemical cell (or enclosed and protected material) that can be charged electrically to provide a static potential for power or released electrical charge when needed.</t>
  </si>
  <si>
    <t>Biometric Reader</t>
  </si>
  <si>
    <t>A device that uses measurable biological characteristics such as fingerprints or iris patterns to assist in authenticating a person to an electronic system.</t>
  </si>
  <si>
    <t>Business Continuity</t>
  </si>
  <si>
    <t>A set of planning, preparatory and related activities which are intended to ensure an organization's critical business functions will either continue to operate despite serious incidents or disasters that might otherwise have interrupted them, or will be recovered to an operational state within a reasonably short period.</t>
  </si>
  <si>
    <t>Business Impact Analysis (BIA)</t>
  </si>
  <si>
    <t>This term is applicable across Technology Risk Management, in both information security and business continuity planning domains. An impact analysis results in the differentiation between critical and non-critical business functions. A function may be considered critical if there is an unacceptable impact to stakeholders from damage to the function. The perception of the acceptability of disruption may be modified by the cost of establishing and maintaining appropriate business or technical recovery solutions. A function may also be considered critical if dictated by law.</t>
  </si>
  <si>
    <t>Business Process</t>
  </si>
  <si>
    <t>An end-to-end service made available to internal or external parties that usually corresponds to standard service products that the Service Provider offers to clients.</t>
  </si>
  <si>
    <t>Business Resiliency</t>
  </si>
  <si>
    <t>The ability an organization has to quickly adapt to disruptions while maintaining continuous business operations and safeguarding people, assets and overall brand equity. Business resilience is more than disaster recovery, it includes post-disaster strategies to avoid costly downtime, the identification and resolution of vulnerabilities and the ability to maintain business operations in the face of additional, unexpected breaches.</t>
  </si>
  <si>
    <t>Business Resiliency Procedure</t>
  </si>
  <si>
    <t>A process that defines exactly how, for which applications, and for how long a business plans to continue functioning after a disruptive event. The business resiliency procedure is usually an overarching procedure that includes both operational and technology-related tasks.</t>
  </si>
  <si>
    <t>Change Initiation Request (CIR)</t>
  </si>
  <si>
    <t>A document (physical or electronic) used to track change requests, including new features, enhancement requests, defects, and changed requirements. The change initiation request document must contain:
 - The name of the person initiating the change
 - The system affected by the change
 - A description of the change, including the file name(s) and file location(s)
 - The date the change will occur
 - An approval signature by someone other than the person initiating the change
 - An approval date</t>
  </si>
  <si>
    <t>Clean Room</t>
  </si>
  <si>
    <t>A network segment or subnet where data is sanitized for mobile devices access only.</t>
  </si>
  <si>
    <t>Climate Control System</t>
  </si>
  <si>
    <t>A combination of sensors and equipment that monitors the temperature and humidity in a sensitive environment (such as a data center) and that automatically heats/cools/dehumidifies as needed to keep the atmosphere within acceptable tolerances.</t>
  </si>
  <si>
    <t>Cloud Computing - NIST Definition</t>
  </si>
  <si>
    <t>Cloud Computing is a model for enabling ubiquitous, convenient, on-demand network access to a shared pool of configurable computing resources (e.g., networks, servers, storage, applications, and services) that can be rapidly provisioned and released with minimal management effort or service provider  interaction.  This Cloud model promotes availability and is composed of five essential characteristics, three service models, and four deployment models.</t>
  </si>
  <si>
    <t>Cloud Computing – NIST Definition of Deployment Models - Community Cloud</t>
  </si>
  <si>
    <t>The Cloud infrastructure is shared by several respondents and supports a specific community that has shared concerns (e.g., mission, security requirements, policy, and compliance considerations). It may be managed by the respondent or subcontractor and may exist on premise or off premise.</t>
  </si>
  <si>
    <t>Cloud Computing – NIST Definition of Deployment Models - Hybrid Cloud</t>
  </si>
  <si>
    <t>The Cloud infrastructure is a composition of two or more Clouds (private, community, or public) that remain unique entities but are bound together by standardized or proprietary technology that enables data and application portability (e.g., Cloud bursting for load balancing between Clouds).</t>
  </si>
  <si>
    <t>Cloud Computing – NIST Definition of Deployment Models - Private Cloud</t>
  </si>
  <si>
    <t>The Cloud infrastructure is operated solely for the respondent. It may be managed by the organization or a third party and may exist on premise or off premise.</t>
  </si>
  <si>
    <t>Cloud Computing – NIST Definition of Deployment Models - Public Cloud</t>
  </si>
  <si>
    <t>The Cloud infrastructure is made available to the general public or a large industry group and is owned by the Respondent selling Cloud services.</t>
  </si>
  <si>
    <t>Cloud Computing - NIST Definition of Essential Characteristics - Broad Access Network</t>
  </si>
  <si>
    <t>Capabilities are available over the network and accessed through standard mechanisms that promote use by heterogeneous thin or thick client platforms (e.g., mobile phones, laptops, and PDAs).</t>
  </si>
  <si>
    <t>Cloud Computing - NIST Definition of Essential Characteristics - Measured Service</t>
  </si>
  <si>
    <t>Cloud systems automatically control and optimize resource use by leveraging a metering capability at some level of abstraction appropriate to the type of service (e.g., storage, processing, bandwidth, and active user accounts). Resource usage can be monitored, controlled, and reported, providing transparency for both the provider and consumer of the utilized service.</t>
  </si>
  <si>
    <t>Cloud Computing - NIST Definition of Essential Characteristics - On-Demand Self-Service</t>
  </si>
  <si>
    <t>A consumer can unilaterally provision computing capabilities, such as server time and network storage, as needed automatically without requiring human interaction with each service’s provider.</t>
  </si>
  <si>
    <t>Cloud Computing - NIST Definition of Essential Characteristics - Rapid Elasticity</t>
  </si>
  <si>
    <t>Capabilities can be rapidly and elastically provisioned, in some cases automatically, to quickly scale out and rapidly released to quickly scale in. To the consumer, the capabilities available for provisioning often appear to be unlimited and can be purchased in any quantity at any time.</t>
  </si>
  <si>
    <t>Cloud Computing - NIST Definition of Essential Characteristics - Resource Pooling</t>
  </si>
  <si>
    <t xml:space="preserve">The provider’s computing resources are pooled to serve multiple consumers using a multi-tenant model, with different physical and virtual resources dynamically assigned and reassigned according to consumer demand. There is a sense of location independence in that the customer generally has no control or knowledge over the exact location of the provided resources but may be able to specify location at a higher level of abstraction (e.g., country, state, or datacenter). Examples of resources include storage, processing, memory, network bandwidth, and virtual machines. </t>
  </si>
  <si>
    <t>Cloud Computing – NIST Definition of Service Models - Cloud Infrastructure as a Service (IaaS)</t>
  </si>
  <si>
    <t xml:space="preserve"> The capability provided to the consumer is to provision processing, storage, networks, and other fundamental computing resources where the consumer is able to deploy and run arbitrary software, which can include operating systems and applications. The consumer does not manage or control the underlying Cloud infrastructure but has control over operating systems, storage, deployed applications, and possibly limited control of select networking components (e.g., host firewalls).</t>
  </si>
  <si>
    <t>Cloud Computing – NIST Definition of Service Models - Cloud Platform as a Service (PaaS)</t>
  </si>
  <si>
    <t xml:space="preserve"> The capability provided to the consumer is to deploy onto the Cloud infrastructure consumer-created or acquired applications created using programming languages and tools supported by the provider. The consumer does not manage or control the underlying Cloud infrastructure including network, servers, operating systems, or storage, but has control over the deployed applications and possibly application hosting environment configurations.</t>
  </si>
  <si>
    <t>Cloud Computing – NIST Definition of Service Models - Cloud Software as a Service (SaaS)</t>
  </si>
  <si>
    <t>The capability provided to the consumer is to use the provider’s applications running on a Cloud infrastructure. The applications are accessible from various client devices through a thin client interface such as a web browser (e.g., web-based email). The consumer does not manage or control the underlying Cloud infrastructure including network, servers, operating systems, storage, or even individual application capabilities, with the possible exception of limited user-specific application.</t>
  </si>
  <si>
    <t>Cold Site</t>
  </si>
  <si>
    <t>A remote facility that provides the equipment necessary for data and process restoration.</t>
  </si>
  <si>
    <t>Communications Plan</t>
  </si>
  <si>
    <t>A tool for communicating information on the considerations and implications of respondent business continuity to improve decision making.</t>
  </si>
  <si>
    <t>Confidentiality</t>
  </si>
  <si>
    <t>The protection of sensitive information from unauthorized disclosure and sensitive facilities due to physical, technical, or electronic penetration or exploitation.</t>
  </si>
  <si>
    <t>Constituent</t>
  </si>
  <si>
    <t>An active employee or contractor.</t>
  </si>
  <si>
    <t>Contractor</t>
  </si>
  <si>
    <t>A contracted professional with expertise in a particular domain or area.</t>
  </si>
  <si>
    <t>Covered Entity</t>
  </si>
  <si>
    <t>(As defined by the HIPAA Rules requirement) A covered entity can be an Individual, a business and/or an agency who must comply with HIPAA rules to protect the privacy and security of health information and must provide individuals with certain rights related to their health information (i.e. Doctors, Health Insurance Companies, healthcare clearing house).</t>
  </si>
  <si>
    <t>Demilitarized Zone (DMZ)</t>
  </si>
  <si>
    <t>A controlled network space, delimited by firewalls or other policy-enforcing devices, which is neither inside an organization's network nor directly part of the Internet. A DMZ is typically used to isolate the respondent's most highly secured information assets while allowing predefined access to those assets that must provide or receive data outside of the respondent. The access and services provided should be restricted to the absolute minimum required.</t>
  </si>
  <si>
    <t>Disaster Recovery</t>
  </si>
  <si>
    <t>The process, policies and procedures related to preparing for recovery or continuation of technology infrastructure critical to the respondent after a natural or human-induced disaster. Disaster recovery is a subset of business continuity</t>
  </si>
  <si>
    <t>Enclosed</t>
  </si>
  <si>
    <t>Closed in, surrounded, or included within.</t>
  </si>
  <si>
    <t>Exception</t>
  </si>
  <si>
    <t>A result that deviates from the norm or expectation.</t>
  </si>
  <si>
    <t>Exclusion</t>
  </si>
  <si>
    <t>An item not fully covered by the question.</t>
  </si>
  <si>
    <t>External Vulnerability Scan</t>
  </si>
  <si>
    <t>A systematic review process executed from a network address outside of the Scoped Systems and Data network that uses software tools designed to search for and map systems for weaknesses in an application, computer or network. The intent is to determine if there are points of weakness in the security control system that can be exploited from outside the network.</t>
  </si>
  <si>
    <t>Externally Facing</t>
  </si>
  <si>
    <t>The network entry point that receives inbound traffic.</t>
  </si>
  <si>
    <t>Extranet</t>
  </si>
  <si>
    <t>An intranet that is partially accessible to authorized outsiders.</t>
  </si>
  <si>
    <t>Facility</t>
  </si>
  <si>
    <t>A structure or building, or multiple structures or buildings, in which operations are conducted for the services provided. These operations include handling, processing and storage of information, data or systems, as well as personnel that support the operations.</t>
  </si>
  <si>
    <t>Fire Suppression System</t>
  </si>
  <si>
    <t>A combination of sensors and equipment designed to detect the presence of heat/smoke/fire and actuate a fire retardant or fire extinguishing system.</t>
  </si>
  <si>
    <t>Firewall</t>
  </si>
  <si>
    <t>A set of related programs, located at a network gateway server, that protects the resources of private networks from other networks. Firewalls may be application/proxy, packet-filtering, or stateful-based. Examples of firewalls are Cisco PIX, Check Point Firewall, Juniper NetScreen and Cyberguard. (Though they contain some firewall functionality, routers are not included in this definition.)</t>
  </si>
  <si>
    <t>Firewall Rule</t>
  </si>
  <si>
    <t>Information added to the firewall configuration to define the respondent's security policy through conditional statements that tell the firewall how to react in a particular situation.</t>
  </si>
  <si>
    <t>Fluid Sensor</t>
  </si>
  <si>
    <t>A mechanical device that is sensitive to the presence of water or moisture that transmits a signal to a measuring or control instrument.</t>
  </si>
  <si>
    <t>Gateway</t>
  </si>
  <si>
    <t>A node on a network that facilitates the communication of information between two or more nodes.</t>
  </si>
  <si>
    <t>General Perimeter</t>
  </si>
  <si>
    <t>An area with fully enclosed walls that extend from floor to ceiling (beyond raised floors and ceilings) surrounding the secure perimeter. This may be the same floor as the secure perimeter, if shared by other tenants in the facility, or the facility itself.</t>
  </si>
  <si>
    <t>Generator</t>
  </si>
  <si>
    <t>A device that converts mechanical energy to electrical energy via an engine (usually fuel-powered) that provides electrical current as input to a power source.</t>
  </si>
  <si>
    <t>Hardware Systems</t>
  </si>
  <si>
    <t>Includes servers and network devices.</t>
  </si>
  <si>
    <t>Heat Detector</t>
  </si>
  <si>
    <t>A mechanical device that is sensitive to temperature and transmits a signal to a measuring or control instrument.</t>
  </si>
  <si>
    <t>Hot Site</t>
  </si>
  <si>
    <t>A duplicate of the respondent’s original site, with full computer systems and near-complete backups of user data.</t>
  </si>
  <si>
    <t>Immediate Perimeter</t>
  </si>
  <si>
    <t>A rack or cage that houses the Scoped Systems and Data.</t>
  </si>
  <si>
    <t>Incident</t>
  </si>
  <si>
    <t>Events outside normal operations that disrupt normal operational processes. An incident can be a relatively minor event, such as running out of disk space on a server, or a major disruption, such as a breach of database security and the loss of private and confidential customer information.</t>
  </si>
  <si>
    <t>Incident Severity</t>
  </si>
  <si>
    <t>A ranking of an event’s significance that uses, at a minimum, a three-point scale: minor, moderately severe, and severe. For each level of severity, the respondent's IT department should define acceptable resolution times, escalation procedures, and reporting procedures.</t>
  </si>
  <si>
    <t>Intermediate Distribution Frame IDF</t>
  </si>
  <si>
    <t>A free-standing or wall-mounted rack for managing and interconnecting the telecommunications cable between end user devices and a main distribution frame (MDF).</t>
  </si>
  <si>
    <t>Internal Vulnerability Scan</t>
  </si>
  <si>
    <t>A systematic review process using software tools designed to search for and map systems for weaknesses in an application, computer or network, executed from a network address within the Scoped Systems and Data network. Internal vulnerability scans are used to determine whether points of weakness in the security control system exist that could be exploited by a user with access to the internal network.</t>
  </si>
  <si>
    <t>Internet</t>
  </si>
  <si>
    <t>A global network connecting millions of computers. More than 100 countries are linked into exchanges of data, news and opinions.</t>
  </si>
  <si>
    <t>Internet Protocol (IP)</t>
  </si>
  <si>
    <t>A networking standard that allows messages to be sent back and forth over the Internet or other IP networks.</t>
  </si>
  <si>
    <t>Intranet</t>
  </si>
  <si>
    <t>An IP network that resides behind a firewall and is accessible only to people who are members of the same organization.</t>
  </si>
  <si>
    <t>Intrusion Detection Systems (IDS)</t>
  </si>
  <si>
    <t>A security inspection system for computers and networks that can allow for the inspection of systems activity and inbound/outbound network activity. The IDS key function identifies suspicious activity or patterns that may indicate a network or system attack.</t>
  </si>
  <si>
    <t>Intrusion Protection System (IPS)</t>
  </si>
  <si>
    <t>A more sophisticated Intrusion Detection System (IDS) that allows administrators to configure predefined actions to be taken if suspicious activity is detected.</t>
  </si>
  <si>
    <t>Inventory</t>
  </si>
  <si>
    <t>An itemized list of current assets.</t>
  </si>
  <si>
    <t>Local Backup</t>
  </si>
  <si>
    <t>A method for backing up data on the local system. For example, an attached tape or storage device.</t>
  </si>
  <si>
    <t>Main Distribution Frame</t>
  </si>
  <si>
    <t>A wiring rack that connects outside lines with internal lines. Main distribution frames are used to connect public or private lines entering the building to the respondent’s internal networks</t>
  </si>
  <si>
    <t>Map of Dependencies</t>
  </si>
  <si>
    <t>A diagram that illustrates how a business process relates to its supporting capabilities. (“Supporting capabilities” include: people involved in the delivery of the business process, application software, middleware software, servers, storage, networking, physical facilities, and people involved in the IT and physical infrastructure management.)</t>
  </si>
  <si>
    <t>Master Change Log</t>
  </si>
  <si>
    <t>A document or database that contains a report of each change initiation request (CIR) (approved or rejected). The document or database must contain:
 - Reference to a CIR
 - Date submitted
 - Date of change
 - Name of affected system
 - Approval status (approved or rejected)</t>
  </si>
  <si>
    <t>MD5</t>
  </si>
  <si>
    <t>A one-way cryptographic hash algorithm that produces a unique 128-bit alphanumeric fingerprint of its input.</t>
  </si>
  <si>
    <t>Mobile Code</t>
  </si>
  <si>
    <t>Software code that is transferred from one computer to another and that executes automatically. Examples of mobile code include scripts (JavaScript, VBScript), Java applets, ActiveX controls, Flash animations, Shockwave movies (and Xtras), and macros embedded in Microsoft Office documents.</t>
  </si>
  <si>
    <t>Mobile Device Management Solution</t>
  </si>
  <si>
    <t>Mobile device management (MDM) is an industry term for the administration of mobile devices, such as smartphones, tablet computers, laptops and desktop computers. MDM is usually implemented with the use of a third party product that has management features for particular vendors of mobile devices. It can incorporate safeguards related to but not limited to password controls, remote wipe, remote lock, detection of jailbreak devices, encryption validation.</t>
  </si>
  <si>
    <t>Mobile Device Policy</t>
  </si>
  <si>
    <t>Policy implemented which governs the use of Mobile devices whether they be BYOD or corporate issued. This policy can incorporate details related to Security training, Terms of Use, constituent responsibilities, data handling and access controls.</t>
  </si>
  <si>
    <t>Modem</t>
  </si>
  <si>
    <t>A device that allows a computer or terminal to transmit data over an analog telephone line.</t>
  </si>
  <si>
    <t>Network Address Translation (NAT)</t>
  </si>
  <si>
    <t>A process of rewriting the source and/or destination addresses of IP packets as they pass through a network device.</t>
  </si>
  <si>
    <t>Network Devices</t>
  </si>
  <si>
    <t>Units that mediate data in a computer network. Computer networking devices are also called network equipment, Intermediate Systems (IS) or InterWorking Unit (IWU).</t>
  </si>
  <si>
    <t>Network Segment</t>
  </si>
  <si>
    <t>A portion of a computer network that is separated from the remainder of the network by a device such as a repeater, hub, bridge, switch or router. Each segment may contain one or multiple computers or other hosts. Network segments are typically established for throughput and/or security reasons.</t>
  </si>
  <si>
    <t>Network time protocol (NTP)</t>
  </si>
  <si>
    <t>A protocol designed to synchronize the clocks of computers over a network.</t>
  </si>
  <si>
    <t>Node</t>
  </si>
  <si>
    <t>Any physical device with a unique network address.</t>
  </si>
  <si>
    <t>Non-Employees</t>
  </si>
  <si>
    <t>Auditors, consultants, contractors, and vendors.</t>
  </si>
  <si>
    <t>Owner</t>
  </si>
  <si>
    <t>An individual or entity that has approved management responsibility for controlling the production, development, maintenance, use and security of the assets. Ownership is not an indication of property rights to the asset.</t>
  </si>
  <si>
    <t>Ownership</t>
  </si>
  <si>
    <t>A formally assigned responsibility for a given asset.</t>
  </si>
  <si>
    <t>Penetration Testing</t>
  </si>
  <si>
    <t>A conventional security control and the one most widely used by software vendors.</t>
  </si>
  <si>
    <t>Personal Identification Number (PIN)</t>
  </si>
  <si>
    <t>A secret shared between a user and a system that can be used to authenticate the user to the system.</t>
  </si>
  <si>
    <t>Physical Media</t>
  </si>
  <si>
    <t>Any portable device or substance (e.g., paper) used to store data for specific and legitimate purposes. Examples of physical media include:
 - Magnetic tapes and disks
 - Cartridges, including 9-track, DAT, and VHS
 - Optical disks in CD and DVD format
 - Microfilm/fiche
 - Paper (e.g., computer-generated reports and other printouts)
 - Static memory devices, such as USB memory sticks</t>
  </si>
  <si>
    <t>Port Scan</t>
  </si>
  <si>
    <t>A systematic scan of a computer's ports that identifies open doors. Used in managing networks, port scanning also can be used maliciously to find a weakened access point from which to break into computer.</t>
  </si>
  <si>
    <t>Post-Deployment Test Document</t>
  </si>
  <si>
    <t>A document that provides evidence that the change was tested and approved in the production environment. The document must contain:
 - Reference to a CIR
 - Identified deployment resources
 - Deployment start date
 - Deployment end date
 - Expected results
 - Actual results
 - Approval signature
 - Approval date</t>
  </si>
  <si>
    <t>Power Redundancy</t>
  </si>
  <si>
    <t>Any type of power delivery mechanism that provides continuous power to connected systems in the event of a failure in the main delivery mechanism for electricity. Such mechanisms include multiple electric feeds, automatic failover generators, and uninterruptible power supplies.</t>
  </si>
  <si>
    <t>Pre-Deployment Test Document</t>
  </si>
  <si>
    <t>A document (electronic or paper) that provides evidence that the requested changes were tested prior to deployment in the production environment. A pre-deployment test document is inspected for:
 - Reference to a CIR
 - Identified testing resources
 - Testing start date
 - Testing end date
 - Expected test results
 - Actual test results</t>
  </si>
  <si>
    <t>Protocol</t>
  </si>
  <si>
    <t>A set of rules and formats that enable the proper exchange of information between different systems.</t>
  </si>
  <si>
    <t>Publicly Accessible</t>
  </si>
  <si>
    <t>In networking terms, able to accept a connection originating from the public domain, e.g., the Internet.</t>
  </si>
  <si>
    <t>Quality Analysis and User Acceptance Testing (QA UAT)</t>
  </si>
  <si>
    <t>Testing the quality of a software product and can be done by user acceptance testing. In functional testing and system testing, a company would perform all tests with an attitude to break it. In your UAT, the user would run through real-life examples being focused on how the user would actually utilize the product.</t>
  </si>
  <si>
    <t>Raised Floor</t>
  </si>
  <si>
    <t>Used in data center construction, a raised floor above the "true" floor allows air conditioning flow and wiring to pass freely under equipment. The space between the true and raised floors is accessed by removable floor tiles.</t>
  </si>
  <si>
    <t>Receiver Company</t>
  </si>
  <si>
    <t>The organization that has contracted with a service provider for a specific service.</t>
  </si>
  <si>
    <t>Residual Risk Rating Scoring Method</t>
  </si>
  <si>
    <t>A calculation of the risk that remains after security controls have been applied.</t>
  </si>
  <si>
    <t>Risk Prioritization Scoring Method</t>
  </si>
  <si>
    <t>A systematic approach that quantifies risk in terms of loss potential, then sequences individual risks to determine the order in which compensating controls should be implemented.</t>
  </si>
  <si>
    <t>Sanctions Check</t>
  </si>
  <si>
    <t>In most countries, organizations are prohibited by law from doing business with drugs and arms merchants and terrorist organizations.  Sanctions lists ranging from OFAC to the EU Consolidated Lists to the Interpol Most Wanted to the Hong Kong and Singapore Monetary Authority exist.  Part of due diligence in vendor selection should include screening of the third party against sanctions lists.</t>
  </si>
  <si>
    <t>Scoped Systems and Data</t>
  </si>
  <si>
    <t>Computer hardware, software and/or Non-Public Personal Information that is stored, transmitted, or processed by the service provider in scope for the engagement.</t>
  </si>
  <si>
    <t>Scoping Meeting</t>
  </si>
  <si>
    <t>A meeting held prior to commencement of a Shared Assessments engagement, to determine the Scoped Systems and Data to be included in a company's Standardized Information Gathering Questionnaire (SIG) and Agreed Upon Procedures (AUP) assessment.</t>
  </si>
  <si>
    <t>Secure Code Review</t>
  </si>
  <si>
    <t>The process of identifying whether software code meets the respondent's security requirements.</t>
  </si>
  <si>
    <t>Secure Perimeter</t>
  </si>
  <si>
    <t>A space fully enclosed by walls that surround the immediate perimeter and that extend from floor to ceiling (beyond raised floors and ceilings), which is contained, and whose points of entry are secured.</t>
  </si>
  <si>
    <t>Secure Socket Layer (SSL)</t>
  </si>
  <si>
    <t>A protocol developed by Netscape for transmitting private documents via the Internet. SSL uses a cryptographic system with two keys to encrypt data: a public key known to everyone and a private or secret key known only to the recipient of the message.</t>
  </si>
  <si>
    <t>Secure Workspace</t>
  </si>
  <si>
    <t>An environment from where people work from their desks with the purpose of accessing, editing or inputting Scoped Systems and Data on a computer, telephone or physical media, e.g., a BPO or call center environment.</t>
  </si>
  <si>
    <t>Secure Workspace Perimeter</t>
  </si>
  <si>
    <t>A space fully enclosed by walls that surround the Secure Workspace which is contained, and whose points of entry and exit are secured.</t>
  </si>
  <si>
    <t>Security Architecture Risk Analysis</t>
  </si>
  <si>
    <t>Defines concepts, methods, and techniques for analyzing the architecture and design of software systems for security flaws.</t>
  </si>
  <si>
    <t>Security Policy</t>
  </si>
  <si>
    <t>A published document or set of documents defining requirements for one or more aspects of information security.</t>
  </si>
  <si>
    <t>Server</t>
  </si>
  <si>
    <t>A computer that makes services, such as access to data files, programs, and peripheral devices, available to workstations on a network.</t>
  </si>
  <si>
    <t>Service Provider</t>
  </si>
  <si>
    <t>An subcontractor that provides outsourced services, such as data processing, business operations, applications, systems or staffing.</t>
  </si>
  <si>
    <t>Service Set Identifier (SSID)</t>
  </si>
  <si>
    <t>A 32-character unique identifier attached to the header of packets sent over a wide area network to identify each packet as part of that network.</t>
  </si>
  <si>
    <t>Simple Mail Transfer Protocol (SMTP)</t>
  </si>
  <si>
    <t>The de facto standard for email transmissions across the Internet.</t>
  </si>
  <si>
    <t>Smoke Detector</t>
  </si>
  <si>
    <t>A mechanical device that is sensitive to the presence of smoke or particulate material in the air that transmits a signal to a measuring or control instrument.</t>
  </si>
  <si>
    <t>Software</t>
  </si>
  <si>
    <t>Vendor developed software code used for custom or commercial-off-the-shelf purposes.</t>
  </si>
  <si>
    <t>Software Architecture</t>
  </si>
  <si>
    <t>The process of defining a structured software solution that meets all of the technical and operational requirements, while optimizing common quality attributes such as performance, security, and manageability.</t>
  </si>
  <si>
    <t>Software Development Life Cycle (SDLC)</t>
  </si>
  <si>
    <t>A series of processes which provide a model for the development and lifecycle management of Software Applications.</t>
  </si>
  <si>
    <t>Software Security Group</t>
  </si>
  <si>
    <t>A group whose charter is to assist in the design, review and implementation of software that protects the information and resources contained in and controlled by that software.</t>
  </si>
  <si>
    <t>Status Change</t>
  </si>
  <si>
    <t>Change to employment status that is recorded by human resources, such as promotions, demotions or departmental changes.</t>
  </si>
  <si>
    <t>Stewardship</t>
  </si>
  <si>
    <t>The act of managing and maintaining a given asset.</t>
  </si>
  <si>
    <t>Strong Password</t>
  </si>
  <si>
    <t>Password length must be a minimum of seven (7) characters, must not to contain a common usage word or a word found in the English dictionary, may not contain user name, any part of a full name or access level of the user and must contain characters from at least three (3) of the following four (4) classes of characters:
 • Upper case letters (A, B, C, ….Z)
 • Lower case letters (a, b, c, ….z)
 • Numbers (0,1, 2, …9)
 • Non-alphanumeric ("special characters") such as punctuation symbols</t>
  </si>
  <si>
    <t>Subcontractor</t>
  </si>
  <si>
    <t xml:space="preserve"> is a business or an individual that signs a contract to perform part or all of the obligations of another's contract.</t>
  </si>
  <si>
    <t>System Owner</t>
  </si>
  <si>
    <t>The business unit that retains financial ownership or decision rights for the business use of the asset.</t>
  </si>
  <si>
    <t>System Steward</t>
  </si>
  <si>
    <t>The primary assigned administrator responsible for maintenance and day-to-day tasks that support the business.</t>
  </si>
  <si>
    <t>Third Party</t>
  </si>
  <si>
    <t>All entities or persons that work on behalf of the organization but are not its employees, including consultants, contingent workers, clients, business partners, service providers, subcontractors, vendors, suppliers, affiliates and any other person or entity that accesses Scoped Systems and Data.</t>
  </si>
  <si>
    <t>Threat Impact Calculation Method</t>
  </si>
  <si>
    <t>A systematic method of determining the loss potential of a particular threat, based on the value of assets affected.</t>
  </si>
  <si>
    <t>Threat Modeling</t>
  </si>
  <si>
    <t>Threat modeling allows you to systematically identify and rate the threats that are most likely to affect your system. By identifying and rating threats based on a solid understanding of the architecture and implementation of your application, you can address threats with appropriate countermeasures in a logical order, starting with the threats that present the greatest risk.
Threat modeling has a structured approach that is far more cost efficient and effective than applying security features in a haphazard manner without knowing precisely what threats each feature is supposed to address.</t>
  </si>
  <si>
    <t>Threat Probability Calculation Method</t>
  </si>
  <si>
    <t>A systematic method of determining the potential for a particular threat to occur, based on the likelihood of the occurrence collected from internal staff, past records, and official security records.
 Threats x Vulnerability x Asset Value = Total Risk
 (Threats x Vulnerability x Asset Value) x Controls Gap = Residual Risk</t>
  </si>
  <si>
    <t>Token</t>
  </si>
  <si>
    <t>A unique identifier generated on both a host and small, user-held device that allows the user to authenticate to the host.</t>
  </si>
  <si>
    <t>True Ceiling</t>
  </si>
  <si>
    <t>The permanent overhead interior surface of a room, constructed of solid building materials offering resistance to and evidence of unauthorized entry.</t>
  </si>
  <si>
    <t>True Floor</t>
  </si>
  <si>
    <t>The permanent bottom interior surface of a room, constructed of solid building materials offering resistance to and evidence of unauthorized entry.</t>
  </si>
  <si>
    <t>Unapproved</t>
  </si>
  <si>
    <t>Operating without consent.</t>
  </si>
  <si>
    <t>Unidentified</t>
  </si>
  <si>
    <t>Being or having an unknown or unnamed source.</t>
  </si>
  <si>
    <t>Uninterruptible Power Supply (UPS)</t>
  </si>
  <si>
    <t>A power supply consisting of a bank of batteries, which is continually charged. When power fails, the UPS becomes the source of electrical current for computer equipment until the batteries are discharged. A UPS is often connected to a generator that can provide electrical power indefinitely.</t>
  </si>
  <si>
    <t>Vibration Alarm Sensor</t>
  </si>
  <si>
    <t>An alarm that responds to vibrations in the surface onto which it is mounted. A normally closed switch momentarily opens when the sensor is subjected to a vibration of sufficiently large amplitude.</t>
  </si>
  <si>
    <t>Virtual Private Network (VPN)</t>
  </si>
  <si>
    <t>A communication tunnel running through a shared network, such as the Internet, which uses encryption and other security mechanisms to ensure the data cannot be intercepted and that the data senders and receivers are authenticated.</t>
  </si>
  <si>
    <t>Volumetric Alarm Sensor</t>
  </si>
  <si>
    <t>An alarm sensor designed and employed to detect an unauthorized person in a confined space when the space is normally unoccupied. Such alarms include ultrasonic, microwave, and infrared sensors.</t>
  </si>
  <si>
    <t>War Walk</t>
  </si>
  <si>
    <t>Also known as "war drive," using a laptop to "sniff" for wireless access points. War walking may be used to locate a public access point for personal use or as a controls assessment to identify access points that are inadequately secured and may indicate an elevated risk of breach.</t>
  </si>
  <si>
    <t>Warm Site</t>
  </si>
  <si>
    <t>A remote facility which replicates production data in set intervals.</t>
  </si>
  <si>
    <t>Water Sensor</t>
  </si>
  <si>
    <t>A mechanical device sensitive to the presence of water or moisture that transmits a signal to a measuring or control instrument.</t>
  </si>
  <si>
    <t>Workstation</t>
  </si>
  <si>
    <t>(1) Single-user computers typically linked together to form a local area network, that can also be used as standalone systems. (2) In networking, any computer connected to a local area network, including a workstation or personal computer.</t>
  </si>
  <si>
    <t>Column</t>
  </si>
  <si>
    <t>Description</t>
  </si>
  <si>
    <r>
      <t>A
&lt;</t>
    </r>
    <r>
      <rPr>
        <b/>
        <i/>
        <sz val="11"/>
        <rFont val="Arial"/>
        <family val="2"/>
      </rPr>
      <t>Serial No</t>
    </r>
    <r>
      <rPr>
        <b/>
        <sz val="11"/>
        <rFont val="Arial"/>
        <family val="2"/>
      </rPr>
      <t>&gt;</t>
    </r>
  </si>
  <si>
    <t>This is a unique record for a question. This value is sequential starting with one on Tab A to the end of questions on last tab. Any row that is not a question will not have a number. The highest value used as a unique identifier is located on this tab in cell C22 (below).</t>
  </si>
  <si>
    <t>A4</t>
  </si>
  <si>
    <t>Calculates the highest serial number on the tab. This tab cell C22 identifies the highest serial number used so new question serial numbers can be used. Retired serial numbers are never re-used.</t>
  </si>
  <si>
    <r>
      <t>D
Conditional Formatting
&lt;</t>
    </r>
    <r>
      <rPr>
        <b/>
        <i/>
        <sz val="11"/>
        <rFont val="Arial"/>
        <family val="2"/>
      </rPr>
      <t>Response</t>
    </r>
    <r>
      <rPr>
        <b/>
        <sz val="11"/>
        <rFont val="Arial"/>
        <family val="2"/>
      </rPr>
      <t>&gt;</t>
    </r>
  </si>
  <si>
    <t>The conditional formatting looks in column J and U to determine the background of the cell. If the value in column J =1, conditional formatting sets the background to a hash (no response required) to indicated the top of a table question. If the value in column U = 1 the background will be green indicating a "Yes" response. If the value in column U = 2 than the background will turn orange indicating a "No" response. If the value in column U = 3 the background turns violet to indicate an N/A response. The default background is light blue.</t>
  </si>
  <si>
    <t>If this SIG will be a Master SIG to be used with the SMT, select Master below. If this SIG will be distributed leave blank.</t>
  </si>
  <si>
    <r>
      <t>E
Conditional Formatting
&lt;</t>
    </r>
    <r>
      <rPr>
        <b/>
        <i/>
        <sz val="11"/>
        <rFont val="Arial"/>
        <family val="2"/>
      </rPr>
      <t>Additional Information</t>
    </r>
    <r>
      <rPr>
        <b/>
        <sz val="11"/>
        <rFont val="Arial"/>
        <family val="2"/>
      </rPr>
      <t>&gt;</t>
    </r>
  </si>
  <si>
    <t>The conditional formatting looks in column J. If the value in column J =1, conditional formatting sets the background to a hash (no response required) to indicated the top of a table question.</t>
  </si>
  <si>
    <r>
      <t>I
&lt;</t>
    </r>
    <r>
      <rPr>
        <b/>
        <i/>
        <sz val="11"/>
        <rFont val="Arial"/>
        <family val="2"/>
      </rPr>
      <t>Q Depth</t>
    </r>
    <r>
      <rPr>
        <b/>
        <sz val="11"/>
        <rFont val="Arial"/>
        <family val="2"/>
      </rPr>
      <t>&gt;</t>
    </r>
  </si>
  <si>
    <t>Values in this column indicate the depth (number of decimal places) the question has.</t>
  </si>
  <si>
    <r>
      <t>J
&lt;</t>
    </r>
    <r>
      <rPr>
        <b/>
        <i/>
        <sz val="11"/>
        <rFont val="Arial"/>
        <family val="2"/>
      </rPr>
      <t>Table ID</t>
    </r>
    <r>
      <rPr>
        <b/>
        <sz val="11"/>
        <rFont val="Arial"/>
        <family val="2"/>
      </rPr>
      <t>&gt;</t>
    </r>
  </si>
  <si>
    <t>A value of "1" in this cell indicate the top of a table.</t>
  </si>
  <si>
    <r>
      <t>K
&lt;</t>
    </r>
    <r>
      <rPr>
        <b/>
        <i/>
        <sz val="11"/>
        <rFont val="Arial"/>
        <family val="2"/>
      </rPr>
      <t>1</t>
    </r>
    <r>
      <rPr>
        <b/>
        <sz val="11"/>
        <rFont val="Arial"/>
        <family val="2"/>
      </rPr>
      <t>&gt;</t>
    </r>
  </si>
  <si>
    <t>This formula is used to calculate the first digit of the question number. It looks to see if there is a value in the cell above, if not it assumes the value should be a 1. Next it looks to see if the depth is 1, If so, it will increment by one, if not it pulls down the value from the cell above.</t>
  </si>
  <si>
    <r>
      <t>L - O
&lt;</t>
    </r>
    <r>
      <rPr>
        <b/>
        <i/>
        <sz val="11"/>
        <rFont val="Arial"/>
        <family val="2"/>
      </rPr>
      <t>2 - 5</t>
    </r>
    <r>
      <rPr>
        <b/>
        <sz val="11"/>
        <rFont val="Arial"/>
        <family val="2"/>
      </rPr>
      <t>&gt;</t>
    </r>
  </si>
  <si>
    <t>This formula is used to calculate the second through fifth digits of the question number. It first looks at the cell above and if blank it assumes a 0. If not blank, it looks at it's next highest neighbor above to see if there is a transition, it there is a transition then it resets to 0, Lastly it looks at the question depth to see if it is the same depth as above. If so it increments, if not it will pull down the value from above.</t>
  </si>
  <si>
    <r>
      <t>P
&lt;</t>
    </r>
    <r>
      <rPr>
        <b/>
        <i/>
        <sz val="11"/>
        <rFont val="Arial"/>
        <family val="2"/>
      </rPr>
      <t>HL Ans</t>
    </r>
    <r>
      <rPr>
        <b/>
        <sz val="11"/>
        <rFont val="Arial"/>
        <family val="2"/>
      </rPr>
      <t>&gt;</t>
    </r>
  </si>
  <si>
    <t>This formula is used to carry over and convert the answer from the Lite tab to a number on the detail tabs. The VLOOKUP will search the L2_Array named field to find the question serial number and bring back the answer number in that array. For proper SMT operation, if Master (this tab, D6) is selected then high level responses are ignored.</t>
  </si>
  <si>
    <r>
      <t>Q
&lt;</t>
    </r>
    <r>
      <rPr>
        <b/>
        <i/>
        <sz val="11"/>
        <rFont val="Arial"/>
        <family val="2"/>
      </rPr>
      <t>Loc Ans</t>
    </r>
    <r>
      <rPr>
        <b/>
        <sz val="11"/>
        <rFont val="Arial"/>
        <family val="2"/>
      </rPr>
      <t>&gt;</t>
    </r>
  </si>
  <si>
    <t>This formula converts the local answer to a number. It first checks to see if the depth is not blank. If it is then assumes the answer should be blank. If the depth field is not blank the formula converts the local answer to a number. 0 = No answer, 1 = "Yes", 2 = "No" and 3 = "N/A".</t>
  </si>
  <si>
    <r>
      <t>R
&lt;</t>
    </r>
    <r>
      <rPr>
        <b/>
        <i/>
        <sz val="11"/>
        <rFont val="Arial"/>
        <family val="2"/>
      </rPr>
      <t>Comb Ans</t>
    </r>
    <r>
      <rPr>
        <b/>
        <sz val="11"/>
        <rFont val="Arial"/>
        <family val="2"/>
      </rPr>
      <t>&gt;</t>
    </r>
  </si>
  <si>
    <t>This formula is used to combine the high level answer and the local answer. If the question depth is blank a blank is assumed. Responses are evaluated in the following order 1st - Lite, 2nd - local response.</t>
  </si>
  <si>
    <r>
      <t>S
&lt;</t>
    </r>
    <r>
      <rPr>
        <b/>
        <i/>
        <sz val="11"/>
        <rFont val="Arial"/>
        <family val="2"/>
      </rPr>
      <t>Table Calc (Tot Q#)</t>
    </r>
    <r>
      <rPr>
        <b/>
        <sz val="11"/>
        <rFont val="Arial"/>
        <family val="2"/>
      </rPr>
      <t>&gt;</t>
    </r>
  </si>
  <si>
    <t>The value in this cell determines if the question is actually a question or if it is part of a response list for a question. The logic looks above, below and in column H to make the determination.</t>
  </si>
  <si>
    <r>
      <t>T
&lt;</t>
    </r>
    <r>
      <rPr>
        <b/>
        <i/>
        <sz val="11"/>
        <rFont val="Arial"/>
        <family val="2"/>
      </rPr>
      <t>Q Carry Dn</t>
    </r>
    <r>
      <rPr>
        <b/>
        <sz val="11"/>
        <rFont val="Arial"/>
        <family val="2"/>
      </rPr>
      <t>&gt;</t>
    </r>
  </si>
  <si>
    <t>This formula carries parent responses down to it's children. It first looks for a blank in the question depth and if blank will carry down the value from above. If the question has been answered it will bring over the question depth. If the questions not answered it will compare the local question depth to the previous value if the depth is greater the previous value will be carried down, if not it will turn to 0.</t>
  </si>
  <si>
    <r>
      <t>U
&lt;</t>
    </r>
    <r>
      <rPr>
        <b/>
        <i/>
        <sz val="11"/>
        <rFont val="Arial"/>
        <family val="2"/>
      </rPr>
      <t>Resp Calc</t>
    </r>
    <r>
      <rPr>
        <b/>
        <sz val="11"/>
        <rFont val="Arial"/>
        <family val="2"/>
      </rPr>
      <t>&gt;</t>
    </r>
  </si>
  <si>
    <t>This formula works with the Q Carry Dn formula to carry the value of the response down. If response is No or N/A those responses values are carried down to the next parent question. For proper SMT operation, if Master is selected (this tab, D6) response carry down is disabled.</t>
  </si>
  <si>
    <r>
      <t>V
&lt;</t>
    </r>
    <r>
      <rPr>
        <b/>
        <i/>
        <sz val="11"/>
        <rFont val="Arial"/>
        <family val="2"/>
      </rPr>
      <t>T Carry Dn</t>
    </r>
    <r>
      <rPr>
        <b/>
        <sz val="11"/>
        <rFont val="Arial"/>
        <family val="2"/>
      </rPr>
      <t>&gt;</t>
    </r>
  </si>
  <si>
    <t>The value in this cell identifies if a question in a table has been answered. If any value in a response list is answered the result will be rolled up the next cell until it reaches the list identifier.</t>
  </si>
  <si>
    <r>
      <t>W
&lt;</t>
    </r>
    <r>
      <rPr>
        <b/>
        <i/>
        <sz val="11"/>
        <rFont val="Arial"/>
        <family val="2"/>
      </rPr>
      <t>Final Ans</t>
    </r>
    <r>
      <rPr>
        <b/>
        <sz val="11"/>
        <rFont val="Arial"/>
        <family val="2"/>
      </rPr>
      <t>&gt;</t>
    </r>
  </si>
  <si>
    <t>The result in this cell determines if a question has been answered and is used to count the actual questions answered not answers as part of a response list. This is a simple AND function to combine the values in columns T, S and V.</t>
  </si>
  <si>
    <t>X
&lt;HL Chk&gt;</t>
  </si>
  <si>
    <t>Identifies if the question is duplicated on the Lite tab</t>
  </si>
  <si>
    <t>Column (Cell)</t>
  </si>
  <si>
    <t>Formula</t>
  </si>
  <si>
    <t>Highest Ser #</t>
  </si>
  <si>
    <t>Hard coded, unique serial number (Rows without questions have no serial numbers)</t>
  </si>
  <si>
    <t>A4 (some tabs location is different)</t>
  </si>
  <si>
    <t>MAX(An:An)</t>
  </si>
  <si>
    <t>D Conditional Formatting</t>
  </si>
  <si>
    <t>E Conditional Formatting</t>
  </si>
  <si>
    <t>Manually entered question depth value (0 - 5)</t>
  </si>
  <si>
    <t>Manually entered table top identifier (if 1 than table top)</t>
  </si>
  <si>
    <t>IF(Kn-1="",1,IF(In=1,Kn-1+1,Kn-1))</t>
  </si>
  <si>
    <t xml:space="preserve">L (M - O) are similar </t>
  </si>
  <si>
    <t>IF(Ln-1="",0,IF(Kn-1&lt;&gt;Kn,0,IF($In=2,Ln-1+1,Ln-1)))</t>
  </si>
  <si>
    <t>IF(OR(Master="Master",In=0,Jn=1),0,IF(ISNA(VLOOKUP(An,L2_Array,21,FALSE)),0,VLOOKUP(An,L2_Array,21,FALSE)))</t>
  </si>
  <si>
    <t>IF(In="","",IF(Dn="Yes",1,IF(Dn="No",2,IF(Dn="N/A",3,0))))</t>
  </si>
  <si>
    <t>R</t>
  </si>
  <si>
    <t>IF(In="","",IF(Pn&gt;0,Pn,IF(Qn&gt;0,Qn,0)))</t>
  </si>
  <si>
    <t>S</t>
  </si>
  <si>
    <t>IF(OR(In="",In=0),"",IF(OR(In=1,Sn-1=""),1,IF(OR(AND(Jn-1=1,(In-In-2&lt;&gt;0)),AND(Sn-1=0,In-1=I5),AND(Jn-1=1,In=In-2)),0,1)))</t>
  </si>
  <si>
    <t>T</t>
  </si>
  <si>
    <t>IF(In="",Tn-1,IF(AND(Rn&gt;1,OR(Tn-1="",Tn-1=0,Tn-1&gt;=In)),In,IF(In&gt;Tn-1,Tn-1,0)))</t>
  </si>
  <si>
    <t>U</t>
  </si>
  <si>
    <t>IF(Master="Master",Qn,IF(Un-1="",Rn,IF(OR(AND(Tn&gt;0,Rn&lt;Un-1),AND(Tn=1,Rn&lt;=Un-1)),Un-1,Rn)))</t>
  </si>
  <si>
    <t>IF(In="","",IF(OR(AND(Sn-1=1,Tn=1),Rn&gt;0,AND(Sn+1=0,Vn+1=1)),1,0))</t>
  </si>
  <si>
    <t>W</t>
  </si>
  <si>
    <t>IF(In="","",IF(OR(AND(Tn&gt;0,Sn=1),AND(Sn=1,Vn=1)),1,0))</t>
  </si>
  <si>
    <t>X</t>
  </si>
  <si>
    <t>IF(ISNA(VLOOKUP(An,L2_Array,1,FALSE)),"",1)</t>
  </si>
  <si>
    <t>Named Range</t>
  </si>
  <si>
    <t>Master</t>
  </si>
  <si>
    <t>Formula Notes'!$D$5</t>
  </si>
  <si>
    <t>L2_Array</t>
  </si>
  <si>
    <t>Lv2_Questions!$A$4:$U$568</t>
  </si>
  <si>
    <t>SIG_Data</t>
  </si>
  <si>
    <t>Full!$E$3:$H$951</t>
  </si>
  <si>
    <t>Sheet Protection</t>
  </si>
  <si>
    <t>E87qVQ4E</t>
  </si>
  <si>
    <t>Ser No.</t>
  </si>
  <si>
    <t>Depth</t>
  </si>
  <si>
    <t>Table</t>
  </si>
  <si>
    <t>SL ID</t>
  </si>
  <si>
    <t>SIG Question Text</t>
  </si>
  <si>
    <t>AUP 2015 Relevance</t>
  </si>
  <si>
    <t>Appendix J Section and  Line Reference</t>
  </si>
  <si>
    <t>COBIT 4.0 Relevance</t>
  </si>
  <si>
    <t>PCI 3.0</t>
  </si>
  <si>
    <t>FFIEC</t>
  </si>
  <si>
    <t>COBIT 4.1 Relevance</t>
  </si>
  <si>
    <t>Shared Assessments Program Cloud Computing White Paper Description</t>
  </si>
  <si>
    <t>IS.1.3.1 BCP.1.2.1 BCP.1.3.5 MGMT.1.6.1.1 OPS.1.3</t>
  </si>
  <si>
    <t>PO9.4</t>
  </si>
  <si>
    <t>PO6.1</t>
  </si>
  <si>
    <t>IT policy and control environment</t>
  </si>
  <si>
    <t>5.4, 12.1</t>
  </si>
  <si>
    <t>IS.1.4.1</t>
  </si>
  <si>
    <t>PO6.1, PO6.2, PO6.3, PO6.5, DS5.2, DS5.3, ME2.1</t>
  </si>
  <si>
    <t>PO3.1</t>
  </si>
  <si>
    <t>Technological direction planning</t>
  </si>
  <si>
    <t>12.2.b</t>
  </si>
  <si>
    <t>IS.1.4.2.7</t>
  </si>
  <si>
    <t>PO3.1, PO5.3, PO5.4, PO6.3, PO9.4, DS5.2, DS5.3, ME2.2, ME2.5, ME2.7, ME4.7</t>
  </si>
  <si>
    <t>PO3.3</t>
  </si>
  <si>
    <t>Monitoring of future trends and regulations</t>
  </si>
  <si>
    <t>IS.1.7.4 MGMT.1.6.1.6</t>
  </si>
  <si>
    <t>PO3.3, PO3.5, PO4.3, PO4.4, PO4.5, PO4.8, PO6.3, PO6.4, PO6.5, DS5.1</t>
  </si>
  <si>
    <t>PO6.4, DS5.5, ME2.2, ME2.5, ME4.7</t>
  </si>
  <si>
    <t>PO4.14, PO6.4, PO8.3, AI5.2, DS2.2, DS2.3, DS2.4, DS5.1, ME2.6</t>
  </si>
  <si>
    <t>PO2.3</t>
  </si>
  <si>
    <t>Data classification scheme</t>
  </si>
  <si>
    <t>9.6.1</t>
  </si>
  <si>
    <t>PO2, AI2, DS9</t>
  </si>
  <si>
    <t>PO4.6</t>
  </si>
  <si>
    <t>Roles and responsibilities</t>
  </si>
  <si>
    <t>IS.2.M.15.1 MGMT.1.6.1.2 WPS.2.2.1.3.1</t>
  </si>
  <si>
    <t>PO4.6, PO4.8, PO6.3, PO7.1, PO7.2, PO7.3, DS5.4</t>
  </si>
  <si>
    <t>IS.2.F.1</t>
  </si>
  <si>
    <t>12.6.2</t>
  </si>
  <si>
    <t>IS.2.A.8.1 IS.2.F.4 IS.2.F.2</t>
  </si>
  <si>
    <t>PO4.6, PO7.1, PO7.3, DS2.3</t>
  </si>
  <si>
    <t>IS.1.7.2 E-BANK.1.4.2.11 E-BANK.1.4.2.12</t>
  </si>
  <si>
    <t>PO4.6, PO6.2, PO6.4, PO7.2, PO7.4, PO7.7, AI1.1, AI7.1, DS5.1, DS5.2, DS5.3, DS7.1, DS7.2</t>
  </si>
  <si>
    <t>PO4.8</t>
  </si>
  <si>
    <t>Responsibility for risk, security and compliance</t>
  </si>
  <si>
    <t>IS.1.7.6</t>
  </si>
  <si>
    <t>PO4.8, PO7.8, DS5.6</t>
  </si>
  <si>
    <t>PO7.8</t>
  </si>
  <si>
    <t>Job change and termination</t>
  </si>
  <si>
    <t>OPS.1.5.3.5</t>
  </si>
  <si>
    <t>IS.2.E.1 OPS.1.5.1.6 OPS.1.5.1.8 WPS.2.2.1.3.5 AUDIT.2.D.1.10 E-BANK.1.4.2.8 E-BANK.1.5.4 RPS.1.2.2.2</t>
  </si>
  <si>
    <t>DS12.2</t>
  </si>
  <si>
    <t>Physical security measures</t>
  </si>
  <si>
    <t>OPS.2.12.E.9 WPS.2.9.1.2</t>
  </si>
  <si>
    <t>DS12.2, DS12.3</t>
  </si>
  <si>
    <t>AI1.1</t>
  </si>
  <si>
    <t>Definition and maintenance of business functional and technical requirements</t>
  </si>
  <si>
    <t>MGMT.1.6.1.4 OPS.1.5 WPS.2.2.1.3.2 AUDIT.2.D.1.11</t>
  </si>
  <si>
    <t>AI1.1, AI4.4, DS13.1</t>
  </si>
  <si>
    <t>AI6.1</t>
  </si>
  <si>
    <t>Change standards and procedures</t>
  </si>
  <si>
    <t>IS.1.7.8 OPS.1.5.1.3</t>
  </si>
  <si>
    <t>AI6.1, AI6.2, AI6.3, AI6.4, AI6.5</t>
  </si>
  <si>
    <t>DS1.1</t>
  </si>
  <si>
    <t>Service level management framework</t>
  </si>
  <si>
    <t>IS.1.4.1.11 IS.1.5.1 O.1.3.1.1 O.1.3.3</t>
  </si>
  <si>
    <t>DS1.1, DS1.2, DS1.3, DS2.4</t>
  </si>
  <si>
    <t>PO4.11</t>
  </si>
  <si>
    <t>Segregation of duties</t>
  </si>
  <si>
    <t>IS.2.B.9.4 IS.2.M.5</t>
  </si>
  <si>
    <t>PO4.1, DS5.9, DS5.11</t>
  </si>
  <si>
    <t>9.6.2</t>
  </si>
  <si>
    <t>IS.2.B.9.6</t>
  </si>
  <si>
    <t>PO6.2</t>
  </si>
  <si>
    <t>Enterprise IT risk and internal control framework</t>
  </si>
  <si>
    <t>PO6.2, DS5.2, DS5.3, DS5.7</t>
  </si>
  <si>
    <t>DS5.10</t>
  </si>
  <si>
    <t>Network security</t>
  </si>
  <si>
    <t>DS5.9, DS5.11</t>
  </si>
  <si>
    <t>10.5.4</t>
  </si>
  <si>
    <t>DS5.7, DS5.9, DS5.11</t>
  </si>
  <si>
    <t>IS.2.M.6</t>
  </si>
  <si>
    <t>DS5.5, DS5.7</t>
  </si>
  <si>
    <t>DS5.3</t>
  </si>
  <si>
    <t>Identity management</t>
  </si>
  <si>
    <t>9.7.1</t>
  </si>
  <si>
    <t>DS5.4, DS5.7</t>
  </si>
  <si>
    <t>DS5.5</t>
  </si>
  <si>
    <t>Security testing, surveillance and monitoring</t>
  </si>
  <si>
    <t>IS.2.C.2</t>
  </si>
  <si>
    <t>AI6.3, DS5.7</t>
  </si>
  <si>
    <t>DS5.4</t>
  </si>
  <si>
    <t>User account management</t>
  </si>
  <si>
    <t>8.1.1</t>
  </si>
  <si>
    <t>IS.2.A.2.1 IS.2.A.2.3 IS.2.A.4.7&amp;" "&amp;</t>
  </si>
  <si>
    <t>AI1.2, AI2.4, DS5.7, DS5.10, DS5.11</t>
  </si>
  <si>
    <t>AI1.2</t>
  </si>
  <si>
    <t>Risk analysis report</t>
  </si>
  <si>
    <t>AI1.2, AI2.4, AI3.2</t>
  </si>
  <si>
    <t>AI2.4, AI7.4, AI7.6, DS11.3, DS11.6</t>
  </si>
  <si>
    <t>IS.1.4.1.8 MGMT.1.6.1.3</t>
  </si>
  <si>
    <t>AI3.3</t>
  </si>
  <si>
    <t>Infrastructure maintenance</t>
  </si>
  <si>
    <t>D&amp;A.1.11</t>
  </si>
  <si>
    <t>AI3.3, AI6.2, AI6.3, DS5.5, DS5.7, DS9.2</t>
  </si>
  <si>
    <t>IS.2.M.10.3 E-BANK.1.2.5.2 E-BANK.1.1.1.8.3</t>
  </si>
  <si>
    <t>DS5.5, DS5.7, ME2.5</t>
  </si>
  <si>
    <t>WPS.2.5</t>
  </si>
  <si>
    <t>IS.2.M.13 OPS.1.5.1.9 OPS.1.10</t>
  </si>
  <si>
    <t>AUDIT.2.F.2.3</t>
  </si>
  <si>
    <t>BCP.1.10.3 BCP.1.10.2 BCP.2.2.1 BCP.2.2.1.7 WPS.2.10.1.2 RPS.2.E.1.6 RPS.2.L.1</t>
  </si>
  <si>
    <t>PO3.1, DS4.4, DS4.5, DS4.6, DS4.7, DS4.10</t>
  </si>
  <si>
    <t>PO9.1</t>
  </si>
  <si>
    <t>IT and business risk management alignment management process</t>
  </si>
  <si>
    <t>BCP.1.8.1</t>
  </si>
  <si>
    <t>PO9.1, PO9.2, PO9.4, DS4.1, DS4.3</t>
  </si>
  <si>
    <t>BCP.1.3</t>
  </si>
  <si>
    <t>BCP.1.4.3.10 MGMT.1.3.8</t>
  </si>
  <si>
    <t>PO3.1, PO9.1, PO9.2, DS4.1, DS4.3, DS4.8, DS8.3</t>
  </si>
  <si>
    <t>PO4.4</t>
  </si>
  <si>
    <t>Organisational placement of the IT function</t>
  </si>
  <si>
    <t>MGMT.1.2.1.15.2 RPS.1.4.3</t>
  </si>
  <si>
    <t>PO4.4, PO4.5, PO4.6, PO4.8, PO4.10, PO6.5, DS5.1, DS5.2, DS5.3</t>
  </si>
  <si>
    <t>WP.1.A.1, WP.1.A.2</t>
  </si>
  <si>
    <t>WP.1.E.1</t>
  </si>
  <si>
    <t>WP.1.G.3</t>
  </si>
  <si>
    <t>WP.1.A.1</t>
  </si>
  <si>
    <t>3.5, 3.6</t>
  </si>
  <si>
    <t>WP.1.A.1, WP.1.A.5, WP.1.A.6, WP.1.A.7, WP.1.G.9</t>
  </si>
  <si>
    <t>3.6.1</t>
  </si>
  <si>
    <t>WP.1.A.6</t>
  </si>
  <si>
    <t>3.6.4</t>
  </si>
  <si>
    <t>WP.1.A.6, WP.1.A.7</t>
  </si>
  <si>
    <t>WP.1.H.2, WP.1.H.4</t>
  </si>
  <si>
    <t>WP.1.D.2</t>
  </si>
  <si>
    <t>WP.1.K.6, WP.1.C.1, WP.1.C.2, WP.1.C.3</t>
  </si>
  <si>
    <t>WP.1.F.6, WP.1.E.3</t>
  </si>
  <si>
    <t>11.3.1, 11.3.2</t>
  </si>
  <si>
    <t>WP.1.K.6, WP.1.K.7, WP.1.K.8</t>
  </si>
  <si>
    <t>WP.1.E.3, WP.1.G.10</t>
  </si>
  <si>
    <t>WP.1.I.3, WP.1.I.5, WP.1.I.6, WP.1.I.7</t>
  </si>
  <si>
    <t>WP.1.I.3, WP.1.I.5, WP.1.I.6, WP.1.I.7, WP.1.A.10</t>
  </si>
  <si>
    <t>WP.1.E.4, WP.1.G.2, WP.1.G.3</t>
  </si>
  <si>
    <t>WP.1.L.2, WP.1.G.5</t>
  </si>
  <si>
    <t>WP.1.K.4</t>
  </si>
  <si>
    <t>WP.1.J.1, WP.1.J.7, WP.1.A.3, WP.1.A.6, WP.1.A.8, WP.1.A.9, WP.1.H.6, WP.1.H.10</t>
  </si>
  <si>
    <t>WP.1.H.6, WP.1.I.4, WP.1.I.7</t>
  </si>
  <si>
    <t>WP.1.A.1, WP.1.A.5, WP.1.A.6, WP.1.D.2, WP.1.E.2, WP.1.E.3, WP.1.G.1, WP.1.G.2, WP.1.H.6, WP.1.H.8, WP.1.H.9, WP.1.K.1</t>
  </si>
  <si>
    <t>WP.1.E.2, WP.1.H.6</t>
  </si>
  <si>
    <t>WP.1.A.1, WP.1.A.2, WP.1.A.5, WP.1.A.6, WP.1.A.8, WP.1.A.9, WP.1.E.2, WP.1.I.2</t>
  </si>
  <si>
    <t>WP.1.A.1, WP.1.D.1, WP.1.D.2, WP.1.I.4</t>
  </si>
  <si>
    <t>5.1, 5.2</t>
  </si>
  <si>
    <t>WP.1.F.4, WP.1.F.5, WP.1.H.1, WP.1.H.9, WP.1.J.4, WP.1.J.5, WP.1.J.6, WP.1.J.7, WP.1.K.6</t>
  </si>
  <si>
    <t>WP.1.K.10</t>
  </si>
  <si>
    <t>WP.1.K.12</t>
  </si>
  <si>
    <t>WP.1.K.11</t>
  </si>
  <si>
    <t>WP.1.D.1</t>
  </si>
  <si>
    <t>ScaledLarge</t>
  </si>
  <si>
    <t>TabAuto</t>
  </si>
  <si>
    <t>LiteMatCell</t>
  </si>
  <si>
    <t>DetailMatCell</t>
  </si>
  <si>
    <t>CloudMatCell</t>
  </si>
  <si>
    <t>Disable</t>
  </si>
  <si>
    <t>Secure areas (such as server rooms) are locked under combination or smart card access control</t>
  </si>
  <si>
    <t>Very rarely and only as part of support/investigation process and only when the information is necessary to the resolution of a customer problem</t>
  </si>
  <si>
    <t>Applicable only to SecureLink (secure customer remote access vendor)</t>
  </si>
  <si>
    <t>Not applicable to the type of service provided (software)</t>
  </si>
  <si>
    <t xml:space="preserve">Authorized users are limited to enter a  minimal dataset required to run the Shoulder Screen tool as per software business contract. There is not further ability to enter more data than required </t>
  </si>
  <si>
    <t>Authorized users have access to document as many visits as needed as part of their facility/organization configuration based on their credentials</t>
  </si>
  <si>
    <t>Each user account is associated to a facility/organization to which they have access. A fundamental design of the software does not allow the same user to access data not associated to their pre-configured facility.</t>
  </si>
  <si>
    <t>This is perfromed only when it is required as opposed to a set frequency</t>
  </si>
  <si>
    <t>This is rare but when it happens it is below 2 hours.</t>
  </si>
  <si>
    <t>There are few customers on this platfrom that require such a system. Customers are notified directly or a notice is reflected on the portal login main page</t>
  </si>
  <si>
    <t>Release schedule vary but once a year is typical</t>
  </si>
  <si>
    <t>This is not automated but is done as part of every version release by the PeriGen development team</t>
  </si>
  <si>
    <t>Data is stored at the defined hosting site selected by PeriGen in the US</t>
  </si>
  <si>
    <t>Each user account is associated to a facility/organization to which they have access. A fundamental design of the software does not allow the same user to access data not associated to their pre-configured facility as well as seggregate any other data not part of the facility they are associated with</t>
  </si>
  <si>
    <t>Not being a critical system, the described advanced capabilities were not part of the offering</t>
  </si>
  <si>
    <t>Locked down to only allow access by IP address range of our office</t>
  </si>
  <si>
    <t>The URL and traffic is always encrypted using SSL. Once authenticated, providers from your facility are able to see previous visits for the site (in clear form). The answer "No" was answered in context of site access.</t>
  </si>
  <si>
    <t>Each user account is associated to a facility/organization to which they have access. A fundamental design of the software does not allow the same user to access data not associated to their pre-configured facility. There is no low level architectural segmentation. The best way to achive that is for the customer to host their own server which is an option.</t>
  </si>
  <si>
    <t xml:space="preserve">There is no restriction on how access is done as long as the browser supports https. The view and interaction was designed for desktop style </t>
  </si>
  <si>
    <t>Only for records associated to the facility the user belongs to</t>
  </si>
  <si>
    <t>See attached: PERIGEN HIPAA PRIVACY AND SECURITY POLICY AND PROCEDURES MANUAL.PDF</t>
  </si>
  <si>
    <t>Upload</t>
  </si>
  <si>
    <t>Not available</t>
  </si>
  <si>
    <t>See attached master policy/procedures</t>
  </si>
  <si>
    <t>Exist but propriatary/confidential</t>
  </si>
  <si>
    <t>Not applicable. No contracted SLA</t>
  </si>
  <si>
    <t>See attached</t>
  </si>
  <si>
    <t>19 years</t>
  </si>
  <si>
    <t>Bruno Bendavid</t>
  </si>
  <si>
    <t>Althought security is part of the development process of the Shoulder Screen tool, there is no formal process defined yet. This is in progress for early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</si>
</sst>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26" x14ac:knownFonts="1">
    <font>
      <sz val="10"/>
      <name val="Arial"/>
      <family val="2"/>
    </font>
    <font>
      <sz val="10"/>
      <name val="Arial"/>
      <family val="2"/>
    </font>
    <font>
      <u/>
      <sz val="10"/>
      <color indexed="12"/>
      <name val="Arial"/>
      <family val="2"/>
    </font>
    <font>
      <b/>
      <sz val="10"/>
      <name val="Arial"/>
      <family val="2"/>
    </font>
    <font>
      <sz val="10"/>
      <name val="Arial"/>
      <family val="2"/>
    </font>
    <font>
      <b/>
      <sz val="11"/>
      <name val="Arial"/>
      <family val="2"/>
    </font>
    <font>
      <sz val="11"/>
      <name val="Arial"/>
      <family val="2"/>
    </font>
    <font>
      <sz val="18"/>
      <name val="Arial"/>
      <family val="2"/>
    </font>
    <font>
      <b/>
      <sz val="18"/>
      <name val="Arial"/>
      <family val="2"/>
    </font>
    <font>
      <u/>
      <sz val="11"/>
      <color indexed="12"/>
      <name val="Arial"/>
      <family val="2"/>
    </font>
    <font>
      <b/>
      <i/>
      <sz val="11"/>
      <name val="Arial"/>
      <family val="2"/>
    </font>
    <font>
      <b/>
      <sz val="14"/>
      <name val="Arial"/>
      <family val="2"/>
    </font>
    <font>
      <i/>
      <sz val="11"/>
      <name val="Arial"/>
      <family val="2"/>
    </font>
    <font>
      <b/>
      <sz val="10"/>
      <color indexed="9"/>
      <name val="Arial"/>
      <family val="2"/>
    </font>
    <font>
      <sz val="12"/>
      <name val="Times New Roman"/>
      <family val="1"/>
    </font>
    <font>
      <sz val="10"/>
      <name val="Symbol"/>
      <family val="1"/>
    </font>
    <font>
      <sz val="12"/>
      <name val="Arial"/>
      <family val="2"/>
    </font>
    <font>
      <sz val="7"/>
      <name val="Times New Roman"/>
      <family val="1"/>
    </font>
    <font>
      <sz val="8"/>
      <name val="Verdana"/>
      <family val="2"/>
    </font>
    <font>
      <sz val="10"/>
      <name val="Arial"/>
      <family val="2"/>
    </font>
    <font>
      <sz val="6"/>
      <name val="Arial"/>
      <family val="2"/>
    </font>
    <font>
      <sz val="9"/>
      <color indexed="81"/>
      <name val="Tahoma"/>
      <family val="2"/>
    </font>
    <font>
      <b/>
      <sz val="9"/>
      <color indexed="81"/>
      <name val="Tahoma"/>
      <family val="2"/>
    </font>
    <font>
      <sz val="8"/>
      <name val="Arial"/>
      <family val="2"/>
    </font>
    <font>
      <sz val="10"/>
      <color theme="0"/>
      <name val="Arial"/>
      <family val="2"/>
    </font>
    <font>
      <b/>
      <sz val="10"/>
      <color theme="0"/>
      <name val="Arial"/>
      <family val="2"/>
    </font>
  </fonts>
  <fills count="9">
    <fill>
      <patternFill patternType="none"/>
    </fill>
    <fill>
      <patternFill patternType="gray125"/>
    </fill>
    <fill>
      <patternFill patternType="mediumGray">
        <fgColor indexed="22"/>
      </patternFill>
    </fill>
    <fill>
      <patternFill patternType="lightGrid">
        <fgColor indexed="23"/>
      </patternFill>
    </fill>
    <fill>
      <patternFill patternType="solid">
        <fgColor indexed="41"/>
        <bgColor indexed="64"/>
      </patternFill>
    </fill>
    <fill>
      <patternFill patternType="solid">
        <fgColor indexed="27"/>
        <bgColor indexed="64"/>
      </patternFill>
    </fill>
    <fill>
      <patternFill patternType="solid">
        <fgColor rgb="FFCCFFFF"/>
        <bgColor indexed="64"/>
      </patternFill>
    </fill>
    <fill>
      <patternFill patternType="lightGrid">
        <fgColor theme="0" tint="-0.499984740745262"/>
        <bgColor auto="1"/>
      </patternFill>
    </fill>
    <fill>
      <patternFill patternType="mediumGray">
        <fgColor theme="0" tint="-0.24994659260841701"/>
        <bgColor indexed="65"/>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s>
  <cellStyleXfs count="15">
    <xf numFmtId="0" fontId="0" fillId="0" borderId="0"/>
    <xf numFmtId="0" fontId="2" fillId="0" borderId="0" applyNumberFormat="0" applyFill="0" applyBorder="0" applyAlignment="0" applyProtection="0">
      <alignment vertical="top"/>
      <protection locked="0"/>
    </xf>
    <xf numFmtId="0" fontId="4" fillId="0" borderId="0"/>
    <xf numFmtId="0" fontId="19" fillId="0" borderId="0"/>
    <xf numFmtId="0" fontId="4" fillId="0" borderId="0">
      <alignment vertical="center"/>
    </xf>
    <xf numFmtId="0" fontId="19" fillId="0" borderId="0">
      <alignment vertical="center"/>
    </xf>
    <xf numFmtId="0" fontId="19" fillId="0" borderId="0"/>
    <xf numFmtId="9" fontId="1" fillId="0" borderId="0" applyFont="0" applyFill="0" applyBorder="0" applyAlignment="0" applyProtection="0"/>
    <xf numFmtId="9" fontId="19" fillId="0" borderId="0" applyFont="0" applyFill="0" applyBorder="0" applyAlignment="0" applyProtection="0"/>
    <xf numFmtId="0" fontId="1" fillId="0" borderId="0"/>
    <xf numFmtId="0" fontId="1" fillId="0" borderId="0"/>
    <xf numFmtId="0" fontId="1" fillId="0" borderId="0">
      <alignment vertical="center"/>
    </xf>
    <xf numFmtId="0" fontId="1" fillId="0" borderId="0">
      <alignment vertical="center"/>
    </xf>
    <xf numFmtId="0" fontId="1" fillId="0" borderId="0"/>
    <xf numFmtId="9" fontId="1" fillId="0" borderId="0" applyFont="0" applyFill="0" applyBorder="0" applyAlignment="0" applyProtection="0"/>
  </cellStyleXfs>
  <cellXfs count="178">
    <xf numFmtId="0" fontId="0" fillId="0" borderId="0" xfId="0"/>
    <xf numFmtId="0" fontId="5" fillId="2" borderId="1" xfId="0" applyFont="1" applyFill="1" applyBorder="1" applyAlignment="1">
      <alignment horizontal="center" wrapText="1"/>
    </xf>
    <xf numFmtId="0" fontId="5" fillId="0" borderId="1" xfId="0" applyFont="1" applyBorder="1" applyAlignment="1" applyProtection="1">
      <alignment wrapText="1"/>
      <protection locked="0"/>
    </xf>
    <xf numFmtId="0" fontId="9" fillId="0" borderId="2" xfId="1" applyFont="1" applyBorder="1" applyAlignment="1" applyProtection="1"/>
    <xf numFmtId="0" fontId="6" fillId="0" borderId="1" xfId="0" applyFont="1" applyBorder="1" applyAlignment="1" applyProtection="1">
      <alignment wrapText="1"/>
      <protection locked="0"/>
    </xf>
    <xf numFmtId="0" fontId="7" fillId="0" borderId="3" xfId="0" applyFont="1" applyBorder="1"/>
    <xf numFmtId="9" fontId="3" fillId="0" borderId="4" xfId="7" applyFont="1" applyBorder="1" applyAlignment="1">
      <alignment horizontal="right"/>
    </xf>
    <xf numFmtId="0" fontId="6" fillId="0" borderId="0" xfId="0" applyFont="1"/>
    <xf numFmtId="0" fontId="3" fillId="0" borderId="6" xfId="0" applyFont="1" applyBorder="1" applyAlignment="1">
      <alignment horizontal="right"/>
    </xf>
    <xf numFmtId="0" fontId="5" fillId="0" borderId="7" xfId="0" applyFont="1" applyBorder="1" applyAlignment="1">
      <alignment horizontal="right"/>
    </xf>
    <xf numFmtId="0" fontId="6" fillId="0" borderId="1" xfId="0" applyFont="1" applyBorder="1" applyAlignment="1">
      <alignment wrapText="1"/>
    </xf>
    <xf numFmtId="0" fontId="6" fillId="0" borderId="1" xfId="0" applyFont="1" applyBorder="1"/>
    <xf numFmtId="0" fontId="0" fillId="0" borderId="0" xfId="0" applyAlignment="1">
      <alignment textRotation="90"/>
    </xf>
    <xf numFmtId="0" fontId="5" fillId="0" borderId="8" xfId="0" applyFont="1" applyBorder="1"/>
    <xf numFmtId="0" fontId="5" fillId="2" borderId="1" xfId="0" applyFont="1" applyFill="1" applyBorder="1" applyAlignment="1">
      <alignment horizontal="center" vertical="top"/>
    </xf>
    <xf numFmtId="0" fontId="5" fillId="0" borderId="11" xfId="0" applyFont="1" applyBorder="1"/>
    <xf numFmtId="0" fontId="5" fillId="0" borderId="11" xfId="0" applyFont="1" applyBorder="1" applyAlignment="1">
      <alignment horizontal="centerContinuous"/>
    </xf>
    <xf numFmtId="0" fontId="6" fillId="5" borderId="12" xfId="1" applyFont="1" applyFill="1" applyBorder="1" applyAlignment="1">
      <protection locked="0"/>
    </xf>
    <xf numFmtId="0" fontId="6" fillId="5" borderId="9" xfId="1" applyFont="1" applyFill="1" applyBorder="1" applyAlignment="1">
      <protection locked="0"/>
    </xf>
    <xf numFmtId="0" fontId="6" fillId="5" borderId="9" xfId="0" applyFont="1" applyFill="1" applyBorder="1" applyProtection="1">
      <protection locked="0"/>
    </xf>
    <xf numFmtId="0" fontId="5" fillId="5" borderId="9" xfId="0" applyFont="1" applyFill="1" applyBorder="1" applyProtection="1">
      <protection locked="0"/>
    </xf>
    <xf numFmtId="0" fontId="6" fillId="5" borderId="1" xfId="0" applyFont="1" applyFill="1" applyBorder="1" applyAlignment="1" applyProtection="1">
      <alignment wrapText="1"/>
      <protection locked="0"/>
    </xf>
    <xf numFmtId="0" fontId="0" fillId="0" borderId="2" xfId="0" applyBorder="1"/>
    <xf numFmtId="0" fontId="7" fillId="0" borderId="13" xfId="0" applyFont="1" applyBorder="1"/>
    <xf numFmtId="0" fontId="5" fillId="0" borderId="9" xfId="0" applyFont="1" applyBorder="1"/>
    <xf numFmtId="0" fontId="6" fillId="0" borderId="9" xfId="0" applyFont="1" applyBorder="1"/>
    <xf numFmtId="0" fontId="5" fillId="2" borderId="1" xfId="0" applyFont="1" applyFill="1" applyBorder="1"/>
    <xf numFmtId="0" fontId="5" fillId="0" borderId="1" xfId="0" applyFont="1" applyBorder="1"/>
    <xf numFmtId="0" fontId="8" fillId="0" borderId="3" xfId="0" applyFont="1" applyBorder="1" applyAlignment="1">
      <alignment wrapText="1"/>
    </xf>
    <xf numFmtId="0" fontId="5" fillId="2" borderId="7" xfId="0" applyFont="1" applyFill="1" applyBorder="1" applyAlignment="1">
      <alignment horizontal="centerContinuous" wrapText="1"/>
    </xf>
    <xf numFmtId="0" fontId="6" fillId="0" borderId="8" xfId="0" applyFont="1" applyBorder="1" applyAlignment="1">
      <alignment horizontal="left" vertical="top" wrapText="1"/>
    </xf>
    <xf numFmtId="0" fontId="11" fillId="0" borderId="3" xfId="0" applyFont="1" applyBorder="1" applyAlignment="1">
      <alignment horizontal="center" vertical="center"/>
    </xf>
    <xf numFmtId="0" fontId="3" fillId="0" borderId="4" xfId="0" applyFont="1" applyBorder="1"/>
    <xf numFmtId="0" fontId="5" fillId="0" borderId="11" xfId="0" applyFont="1" applyBorder="1" applyAlignment="1">
      <alignment horizontal="center"/>
    </xf>
    <xf numFmtId="0" fontId="5" fillId="0" borderId="1" xfId="0" applyFont="1" applyBorder="1" applyAlignment="1">
      <alignment wrapText="1"/>
    </xf>
    <xf numFmtId="0" fontId="8" fillId="2" borderId="15" xfId="0" applyFont="1" applyFill="1" applyBorder="1"/>
    <xf numFmtId="0" fontId="5" fillId="2" borderId="13" xfId="0" applyFont="1" applyFill="1" applyBorder="1" applyAlignment="1">
      <alignment wrapText="1"/>
    </xf>
    <xf numFmtId="0" fontId="5" fillId="2" borderId="6" xfId="0" applyFont="1" applyFill="1" applyBorder="1"/>
    <xf numFmtId="0" fontId="5" fillId="2" borderId="5" xfId="0" applyFont="1" applyFill="1" applyBorder="1" applyAlignment="1">
      <alignment wrapText="1"/>
    </xf>
    <xf numFmtId="0" fontId="5" fillId="2" borderId="1" xfId="0" applyFont="1" applyFill="1" applyBorder="1" applyAlignment="1">
      <alignment wrapText="1"/>
    </xf>
    <xf numFmtId="0" fontId="6" fillId="0" borderId="11" xfId="0" applyFont="1" applyBorder="1" applyAlignment="1">
      <alignment wrapText="1"/>
    </xf>
    <xf numFmtId="0" fontId="6" fillId="0" borderId="1" xfId="0" quotePrefix="1" applyFont="1" applyBorder="1" applyAlignment="1">
      <alignment wrapText="1"/>
    </xf>
    <xf numFmtId="0" fontId="6" fillId="0" borderId="0" xfId="0" applyFont="1" applyAlignment="1">
      <alignment wrapText="1"/>
    </xf>
    <xf numFmtId="0" fontId="8" fillId="0" borderId="15" xfId="0" applyFont="1" applyBorder="1"/>
    <xf numFmtId="0" fontId="3" fillId="0" borderId="3" xfId="0" applyFont="1" applyBorder="1"/>
    <xf numFmtId="0" fontId="3" fillId="0" borderId="5" xfId="0" applyFont="1" applyBorder="1"/>
    <xf numFmtId="0" fontId="5" fillId="0" borderId="8" xfId="0" applyFont="1" applyBorder="1" applyAlignment="1">
      <alignment horizontal="center"/>
    </xf>
    <xf numFmtId="0" fontId="0" fillId="0" borderId="0" xfId="0" applyProtection="1">
      <protection locked="0"/>
    </xf>
    <xf numFmtId="0" fontId="5" fillId="0" borderId="1" xfId="0" applyFont="1" applyBorder="1" applyProtection="1">
      <protection locked="0"/>
    </xf>
    <xf numFmtId="0" fontId="0" fillId="0" borderId="12" xfId="0" applyBorder="1"/>
    <xf numFmtId="0" fontId="0" fillId="0" borderId="9" xfId="0" applyBorder="1"/>
    <xf numFmtId="0" fontId="0" fillId="0" borderId="9" xfId="0" applyBorder="1" applyAlignment="1">
      <alignment wrapText="1"/>
    </xf>
    <xf numFmtId="0" fontId="3" fillId="0" borderId="9" xfId="0" applyFont="1" applyBorder="1" applyAlignment="1">
      <alignment wrapText="1"/>
    </xf>
    <xf numFmtId="0" fontId="14" fillId="0" borderId="9" xfId="0" applyFont="1" applyBorder="1" applyAlignment="1">
      <alignment wrapText="1"/>
    </xf>
    <xf numFmtId="0" fontId="16" fillId="0" borderId="9" xfId="0" applyFont="1" applyBorder="1" applyAlignment="1">
      <alignment wrapText="1"/>
    </xf>
    <xf numFmtId="0" fontId="8" fillId="2" borderId="1" xfId="0" applyFont="1" applyFill="1" applyBorder="1"/>
    <xf numFmtId="0" fontId="8" fillId="2" borderId="12" xfId="0" applyFont="1" applyFill="1" applyBorder="1"/>
    <xf numFmtId="0" fontId="12" fillId="2" borderId="6" xfId="0" applyFont="1" applyFill="1" applyBorder="1" applyAlignment="1">
      <alignment horizontal="center" wrapText="1"/>
    </xf>
    <xf numFmtId="0" fontId="0" fillId="0" borderId="10" xfId="0" applyBorder="1"/>
    <xf numFmtId="0" fontId="8" fillId="2" borderId="15" xfId="0" applyFont="1" applyFill="1" applyBorder="1" applyAlignment="1">
      <alignment horizontal="left"/>
    </xf>
    <xf numFmtId="0" fontId="8" fillId="2" borderId="13" xfId="0" applyFont="1" applyFill="1" applyBorder="1" applyAlignment="1">
      <alignment horizontal="left" wrapText="1"/>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2" borderId="6" xfId="0" applyFont="1" applyFill="1" applyBorder="1" applyAlignment="1">
      <alignment wrapText="1"/>
    </xf>
    <xf numFmtId="9" fontId="5" fillId="0" borderId="0" xfId="0" applyNumberFormat="1" applyFont="1" applyAlignment="1">
      <alignment horizontal="right" wrapText="1"/>
    </xf>
    <xf numFmtId="9" fontId="5" fillId="0" borderId="14" xfId="7" applyFont="1" applyBorder="1" applyAlignment="1">
      <alignment wrapText="1"/>
    </xf>
    <xf numFmtId="0" fontId="6" fillId="5" borderId="1" xfId="0" applyFont="1" applyFill="1" applyBorder="1" applyProtection="1">
      <protection locked="0"/>
    </xf>
    <xf numFmtId="0" fontId="6" fillId="0" borderId="0" xfId="0" quotePrefix="1" applyFont="1" applyAlignment="1">
      <alignment vertical="top" wrapText="1"/>
    </xf>
    <xf numFmtId="164" fontId="5" fillId="0" borderId="1" xfId="0" applyNumberFormat="1" applyFont="1" applyBorder="1" applyAlignment="1" applyProtection="1">
      <alignment wrapText="1"/>
      <protection locked="0"/>
    </xf>
    <xf numFmtId="0" fontId="0" fillId="0" borderId="0" xfId="0" quotePrefix="1"/>
    <xf numFmtId="0" fontId="6" fillId="0" borderId="9" xfId="0" applyFont="1" applyBorder="1" applyAlignment="1">
      <alignment wrapText="1"/>
    </xf>
    <xf numFmtId="0" fontId="6" fillId="0" borderId="12" xfId="0" applyFont="1" applyBorder="1" applyAlignment="1">
      <alignment wrapText="1"/>
    </xf>
    <xf numFmtId="0" fontId="5" fillId="0" borderId="9" xfId="0" applyFont="1" applyBorder="1" applyAlignment="1">
      <alignment wrapText="1"/>
    </xf>
    <xf numFmtId="0" fontId="5" fillId="2" borderId="8" xfId="0" applyFont="1" applyFill="1" applyBorder="1" applyAlignment="1">
      <alignment horizontal="centerContinuous" wrapText="1"/>
    </xf>
    <xf numFmtId="0" fontId="11" fillId="0" borderId="13" xfId="0" applyFont="1" applyBorder="1" applyAlignment="1">
      <alignment horizontal="center"/>
    </xf>
    <xf numFmtId="0" fontId="6" fillId="6" borderId="9" xfId="0" applyFont="1" applyFill="1" applyBorder="1"/>
    <xf numFmtId="0" fontId="0" fillId="6" borderId="9" xfId="0" applyFill="1" applyBorder="1"/>
    <xf numFmtId="0" fontId="6" fillId="6" borderId="2" xfId="0" applyFont="1" applyFill="1" applyBorder="1"/>
    <xf numFmtId="0" fontId="8" fillId="2" borderId="15" xfId="0" applyFont="1" applyFill="1" applyBorder="1" applyAlignment="1">
      <alignment wrapText="1"/>
    </xf>
    <xf numFmtId="49" fontId="6" fillId="5" borderId="9" xfId="0" quotePrefix="1" applyNumberFormat="1" applyFont="1" applyFill="1" applyBorder="1" applyProtection="1">
      <protection locked="0"/>
    </xf>
    <xf numFmtId="0" fontId="6" fillId="5" borderId="9" xfId="1" quotePrefix="1" applyFont="1" applyFill="1" applyBorder="1" applyAlignment="1">
      <protection locked="0"/>
    </xf>
    <xf numFmtId="0" fontId="6" fillId="5" borderId="9" xfId="0" applyFont="1" applyFill="1" applyBorder="1" applyAlignment="1" applyProtection="1">
      <alignment horizontal="left" indent="1"/>
      <protection locked="0"/>
    </xf>
    <xf numFmtId="0" fontId="6" fillId="5" borderId="2" xfId="0" applyFont="1" applyFill="1" applyBorder="1" applyAlignment="1" applyProtection="1">
      <alignment horizontal="left" indent="1"/>
      <protection locked="0"/>
    </xf>
    <xf numFmtId="0" fontId="5" fillId="2" borderId="1" xfId="0" applyFont="1" applyFill="1" applyBorder="1" applyAlignment="1">
      <alignment horizontal="center"/>
    </xf>
    <xf numFmtId="0" fontId="5" fillId="4" borderId="1" xfId="0" applyFont="1" applyFill="1" applyBorder="1" applyAlignment="1">
      <alignment horizontal="right"/>
    </xf>
    <xf numFmtId="0" fontId="5" fillId="3" borderId="1" xfId="0" applyFont="1" applyFill="1" applyBorder="1"/>
    <xf numFmtId="0" fontId="5" fillId="0" borderId="10" xfId="0" applyFont="1" applyBorder="1"/>
    <xf numFmtId="0" fontId="6" fillId="0" borderId="7" xfId="0" applyFont="1" applyBorder="1" applyAlignment="1">
      <alignment wrapText="1"/>
    </xf>
    <xf numFmtId="0" fontId="20" fillId="0" borderId="0" xfId="0" applyFont="1" applyAlignment="1">
      <alignment textRotation="90"/>
    </xf>
    <xf numFmtId="0" fontId="6" fillId="0" borderId="8" xfId="0" applyFont="1" applyBorder="1" applyAlignment="1">
      <alignment wrapText="1"/>
    </xf>
    <xf numFmtId="0" fontId="5" fillId="2" borderId="11" xfId="0" applyFont="1" applyFill="1" applyBorder="1" applyAlignment="1">
      <alignment horizontal="centerContinuous" wrapText="1"/>
    </xf>
    <xf numFmtId="0" fontId="6" fillId="2" borderId="8" xfId="0" applyFont="1" applyFill="1" applyBorder="1" applyAlignment="1" applyProtection="1">
      <alignment wrapText="1"/>
      <protection locked="0"/>
    </xf>
    <xf numFmtId="0" fontId="5" fillId="2" borderId="4" xfId="0" applyFont="1" applyFill="1" applyBorder="1" applyAlignment="1">
      <alignment horizontal="centerContinuous" wrapText="1"/>
    </xf>
    <xf numFmtId="0" fontId="6" fillId="2" borderId="5" xfId="0" applyFont="1" applyFill="1" applyBorder="1" applyAlignment="1" applyProtection="1">
      <alignment wrapText="1"/>
      <protection locked="0"/>
    </xf>
    <xf numFmtId="0" fontId="6" fillId="7" borderId="5" xfId="0" applyFont="1" applyFill="1" applyBorder="1" applyAlignment="1" applyProtection="1">
      <alignment wrapText="1"/>
      <protection locked="0"/>
    </xf>
    <xf numFmtId="0" fontId="6" fillId="5" borderId="7" xfId="0" applyFont="1" applyFill="1" applyBorder="1" applyAlignment="1" applyProtection="1">
      <alignment wrapText="1"/>
      <protection locked="0"/>
    </xf>
    <xf numFmtId="0" fontId="6" fillId="5" borderId="8" xfId="0" applyFont="1" applyFill="1" applyBorder="1" applyAlignment="1" applyProtection="1">
      <alignment wrapText="1"/>
      <protection locked="0"/>
    </xf>
    <xf numFmtId="0" fontId="6" fillId="0" borderId="1" xfId="0" quotePrefix="1" applyFont="1" applyBorder="1" applyAlignment="1">
      <alignment horizontal="left" wrapText="1" indent="2"/>
    </xf>
    <xf numFmtId="0" fontId="6" fillId="0" borderId="0" xfId="0" quotePrefix="1" applyFont="1" applyAlignment="1">
      <alignment wrapText="1"/>
    </xf>
    <xf numFmtId="0" fontId="0" fillId="0" borderId="3" xfId="0" applyBorder="1"/>
    <xf numFmtId="0" fontId="6" fillId="2" borderId="3" xfId="0" applyFont="1" applyFill="1" applyBorder="1" applyAlignment="1">
      <alignment vertical="top"/>
    </xf>
    <xf numFmtId="0" fontId="6" fillId="2" borderId="13" xfId="0" applyFont="1" applyFill="1" applyBorder="1" applyAlignment="1">
      <alignment vertical="top"/>
    </xf>
    <xf numFmtId="0" fontId="6" fillId="2" borderId="4"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5" fillId="2" borderId="1" xfId="0" applyFont="1" applyFill="1" applyBorder="1" applyAlignment="1">
      <alignment horizontal="centerContinuous" wrapText="1"/>
    </xf>
    <xf numFmtId="0" fontId="23" fillId="0" borderId="0" xfId="0" applyFont="1"/>
    <xf numFmtId="0" fontId="23" fillId="0" borderId="0" xfId="0" applyFont="1" applyAlignment="1">
      <alignment wrapText="1"/>
    </xf>
    <xf numFmtId="0" fontId="5" fillId="5" borderId="9" xfId="0" applyFont="1" applyFill="1" applyBorder="1" applyAlignment="1" applyProtection="1">
      <alignment horizontal="left" indent="1"/>
      <protection locked="0"/>
    </xf>
    <xf numFmtId="0" fontId="6" fillId="0" borderId="0" xfId="0" applyFont="1" applyAlignment="1">
      <alignment horizontal="left"/>
    </xf>
    <xf numFmtId="0" fontId="6" fillId="0" borderId="1" xfId="0" applyFont="1" applyBorder="1" applyAlignment="1">
      <alignment horizontal="center" wrapText="1"/>
    </xf>
    <xf numFmtId="0" fontId="6" fillId="0" borderId="1" xfId="0" applyFont="1" applyBorder="1" applyAlignment="1">
      <alignment horizontal="left"/>
    </xf>
    <xf numFmtId="0" fontId="6" fillId="0" borderId="1" xfId="0" applyFont="1" applyBorder="1" applyAlignment="1">
      <alignment vertical="top" wrapText="1"/>
    </xf>
    <xf numFmtId="0" fontId="6" fillId="0" borderId="1" xfId="0" applyFont="1" applyBorder="1" applyAlignment="1">
      <alignment horizontal="left" wrapText="1" indent="1"/>
    </xf>
    <xf numFmtId="0" fontId="5" fillId="0" borderId="11" xfId="0" applyFont="1" applyBorder="1" applyAlignment="1" applyProtection="1">
      <alignment horizontal="centerContinuous"/>
      <protection locked="0"/>
    </xf>
    <xf numFmtId="0" fontId="5" fillId="0" borderId="1" xfId="0" applyFont="1" applyBorder="1" applyAlignment="1">
      <alignment vertical="top" wrapText="1"/>
    </xf>
    <xf numFmtId="0" fontId="5" fillId="0" borderId="12" xfId="0" applyFont="1" applyBorder="1" applyAlignment="1">
      <alignment vertical="top" wrapText="1"/>
    </xf>
    <xf numFmtId="0" fontId="6" fillId="0" borderId="12" xfId="0" applyFont="1" applyBorder="1" applyAlignment="1">
      <alignment vertical="top" wrapText="1"/>
    </xf>
    <xf numFmtId="0" fontId="5" fillId="2" borderId="3" xfId="0" applyFont="1" applyFill="1" applyBorder="1"/>
    <xf numFmtId="0" fontId="5" fillId="0" borderId="13" xfId="0" applyFont="1" applyBorder="1" applyAlignment="1">
      <alignment horizontal="center"/>
    </xf>
    <xf numFmtId="0" fontId="6" fillId="4" borderId="1" xfId="0" applyFont="1" applyFill="1" applyBorder="1" applyAlignment="1" applyProtection="1">
      <alignment wrapText="1"/>
      <protection locked="0"/>
    </xf>
    <xf numFmtId="0" fontId="5" fillId="0" borderId="0" xfId="0" applyFont="1"/>
    <xf numFmtId="0" fontId="5" fillId="2" borderId="4" xfId="0" applyFont="1" applyFill="1" applyBorder="1" applyAlignment="1">
      <alignment horizontal="center" wrapText="1"/>
    </xf>
    <xf numFmtId="0" fontId="25" fillId="0" borderId="0" xfId="0" applyFont="1" applyAlignment="1">
      <alignment horizontal="center"/>
    </xf>
    <xf numFmtId="0" fontId="24" fillId="0" borderId="0" xfId="0" applyFont="1" applyProtection="1">
      <protection locked="0"/>
    </xf>
    <xf numFmtId="0" fontId="3" fillId="0" borderId="3" xfId="0" applyFont="1" applyBorder="1" applyAlignment="1">
      <alignment horizontal="right"/>
    </xf>
    <xf numFmtId="0" fontId="3" fillId="0" borderId="1" xfId="0" applyFont="1" applyBorder="1" applyAlignment="1">
      <alignment horizontal="right"/>
    </xf>
    <xf numFmtId="0" fontId="3" fillId="6" borderId="8" xfId="0" applyFont="1" applyFill="1" applyBorder="1" applyProtection="1">
      <protection locked="0"/>
    </xf>
    <xf numFmtId="9" fontId="6" fillId="0" borderId="1" xfId="0" applyNumberFormat="1" applyFont="1" applyBorder="1" applyAlignment="1">
      <alignment horizontal="right" vertical="center"/>
    </xf>
    <xf numFmtId="0" fontId="6" fillId="2" borderId="1" xfId="0" applyFont="1" applyFill="1" applyBorder="1" applyAlignment="1">
      <alignment horizontal="right" vertical="center"/>
    </xf>
    <xf numFmtId="0" fontId="9" fillId="0" borderId="1" xfId="1" applyFont="1" applyBorder="1" applyAlignment="1" applyProtection="1">
      <alignment vertical="center"/>
    </xf>
    <xf numFmtId="0" fontId="5" fillId="0" borderId="1" xfId="0" applyFont="1" applyBorder="1" applyAlignment="1">
      <alignment vertical="center"/>
    </xf>
    <xf numFmtId="0" fontId="13" fillId="0" borderId="0" xfId="0" applyFont="1" applyAlignment="1">
      <alignment horizontal="center" textRotation="90" wrapText="1"/>
    </xf>
    <xf numFmtId="0" fontId="5" fillId="0" borderId="0" xfId="0" applyFont="1" applyAlignment="1">
      <alignment vertical="top" wrapText="1"/>
    </xf>
    <xf numFmtId="0" fontId="6" fillId="0" borderId="0" xfId="0" applyFont="1" applyAlignment="1">
      <alignment vertical="top" wrapText="1"/>
    </xf>
    <xf numFmtId="0" fontId="6" fillId="6" borderId="12" xfId="0" applyFont="1" applyFill="1" applyBorder="1" applyProtection="1">
      <protection locked="0"/>
    </xf>
    <xf numFmtId="0" fontId="6" fillId="6" borderId="9" xfId="0" applyFont="1" applyFill="1" applyBorder="1" applyProtection="1">
      <protection locked="0"/>
    </xf>
    <xf numFmtId="0" fontId="5" fillId="6" borderId="9" xfId="0" applyFont="1" applyFill="1" applyBorder="1" applyProtection="1">
      <protection locked="0"/>
    </xf>
    <xf numFmtId="0" fontId="9" fillId="6" borderId="9" xfId="1" applyFont="1" applyFill="1" applyBorder="1" applyAlignment="1">
      <protection locked="0"/>
    </xf>
    <xf numFmtId="0" fontId="9" fillId="6" borderId="2" xfId="1" applyFont="1" applyFill="1" applyBorder="1" applyAlignment="1">
      <protection locked="0"/>
    </xf>
    <xf numFmtId="0" fontId="5" fillId="2" borderId="8" xfId="0" applyFont="1" applyFill="1" applyBorder="1" applyAlignment="1">
      <alignment horizontal="centerContinuous" vertical="center" wrapText="1"/>
    </xf>
    <xf numFmtId="0" fontId="5" fillId="0" borderId="8" xfId="0" applyFont="1" applyBorder="1" applyAlignment="1">
      <alignment horizontal="centerContinuous"/>
    </xf>
    <xf numFmtId="0" fontId="6" fillId="0" borderId="11" xfId="0" applyFont="1" applyBorder="1" applyAlignment="1" applyProtection="1">
      <alignment horizontal="centerContinuous"/>
      <protection locked="0"/>
    </xf>
    <xf numFmtId="0" fontId="5" fillId="2" borderId="7" xfId="0" applyFont="1" applyFill="1" applyBorder="1"/>
    <xf numFmtId="0" fontId="5" fillId="2" borderId="11" xfId="0" applyFont="1" applyFill="1" applyBorder="1"/>
    <xf numFmtId="0" fontId="5" fillId="2" borderId="11" xfId="0" applyFont="1" applyFill="1" applyBorder="1" applyAlignment="1">
      <alignment wrapText="1"/>
    </xf>
    <xf numFmtId="0" fontId="5" fillId="2" borderId="8" xfId="0" applyFont="1" applyFill="1" applyBorder="1"/>
    <xf numFmtId="0" fontId="6" fillId="0" borderId="2" xfId="0" applyFont="1" applyBorder="1" applyAlignment="1">
      <alignment wrapText="1"/>
    </xf>
    <xf numFmtId="0" fontId="2" fillId="0" borderId="1" xfId="1" applyBorder="1" applyAlignment="1" applyProtection="1">
      <alignment vertical="center"/>
    </xf>
    <xf numFmtId="0" fontId="0" fillId="8" borderId="3" xfId="0" applyFill="1" applyBorder="1"/>
    <xf numFmtId="0" fontId="0" fillId="8" borderId="13" xfId="0" applyFill="1" applyBorder="1"/>
    <xf numFmtId="0" fontId="5" fillId="2" borderId="2" xfId="0" applyFont="1" applyFill="1" applyBorder="1" applyAlignment="1">
      <alignment horizontal="center" vertical="center"/>
    </xf>
    <xf numFmtId="0" fontId="5" fillId="2" borderId="2" xfId="0" applyFont="1" applyFill="1" applyBorder="1" applyAlignment="1">
      <alignment horizontal="right"/>
    </xf>
    <xf numFmtId="0" fontId="11" fillId="0" borderId="12" xfId="0" applyFont="1" applyBorder="1"/>
    <xf numFmtId="0" fontId="6" fillId="0" borderId="1" xfId="0" applyFont="1" applyBorder="1" applyAlignment="1">
      <alignment horizontal="center" vertical="top" wrapText="1"/>
    </xf>
    <xf numFmtId="0" fontId="6" fillId="0" borderId="9" xfId="0" applyFont="1" applyBorder="1" applyAlignment="1">
      <alignment vertical="top" wrapText="1"/>
    </xf>
    <xf numFmtId="0" fontId="15" fillId="0" borderId="9" xfId="0" applyFont="1" applyBorder="1" applyAlignment="1">
      <alignment horizontal="left" wrapText="1" indent="4"/>
    </xf>
    <xf numFmtId="0" fontId="0" fillId="0" borderId="9" xfId="0" applyBorder="1" applyAlignment="1">
      <alignment horizontal="left" wrapText="1" indent="6"/>
    </xf>
    <xf numFmtId="0" fontId="6" fillId="0" borderId="7" xfId="0" applyFont="1" applyBorder="1" applyAlignment="1">
      <alignment horizontal="left" wrapText="1" indent="1"/>
    </xf>
    <xf numFmtId="0" fontId="6" fillId="0" borderId="7" xfId="0" applyFont="1" applyBorder="1" applyAlignment="1">
      <alignment horizontal="left" wrapText="1"/>
    </xf>
    <xf numFmtId="0" fontId="6" fillId="0" borderId="7" xfId="0" applyFont="1" applyBorder="1" applyAlignment="1">
      <alignment horizontal="left" wrapText="1" indent="2"/>
    </xf>
    <xf numFmtId="0" fontId="9" fillId="0" borderId="9" xfId="1" applyFont="1" applyBorder="1" applyAlignment="1" applyProtection="1"/>
    <xf numFmtId="0" fontId="1" fillId="0" borderId="0" xfId="0" applyFont="1"/>
    <xf numFmtId="0" fontId="1" fillId="0" borderId="3" xfId="0" applyFont="1" applyBorder="1"/>
    <xf numFmtId="0" fontId="1" fillId="0" borderId="4" xfId="0" applyFont="1" applyBorder="1"/>
    <xf numFmtId="0" fontId="1" fillId="0" borderId="0" xfId="0" applyFont="1" applyAlignment="1">
      <alignment textRotation="90"/>
    </xf>
    <xf numFmtId="0" fontId="1" fillId="0" borderId="0" xfId="0" applyFont="1" applyAlignment="1">
      <alignment horizontal="left" textRotation="90"/>
    </xf>
    <xf numFmtId="0" fontId="1" fillId="0" borderId="0" xfId="0" applyFont="1" applyAlignment="1">
      <alignment horizontal="left"/>
    </xf>
    <xf numFmtId="0" fontId="1" fillId="0" borderId="0" xfId="7" applyNumberFormat="1"/>
    <xf numFmtId="0" fontId="6" fillId="8" borderId="6" xfId="0" applyFont="1" applyFill="1" applyBorder="1" applyAlignment="1">
      <alignment wrapText="1"/>
    </xf>
    <xf numFmtId="0" fontId="0" fillId="0" borderId="4" xfId="0" applyBorder="1" applyAlignment="1"/>
    <xf numFmtId="0" fontId="0" fillId="0" borderId="5" xfId="0" applyBorder="1" applyAlignment="1"/>
    <xf numFmtId="0" fontId="5" fillId="0" borderId="11" xfId="0" applyFont="1" applyBorder="1" applyAlignment="1">
      <alignment vertical="top" wrapText="1"/>
    </xf>
    <xf numFmtId="0" fontId="0" fillId="0" borderId="11" xfId="0" applyBorder="1" applyAlignment="1">
      <alignment vertical="top" wrapText="1"/>
    </xf>
    <xf numFmtId="0" fontId="6" fillId="0" borderId="11" xfId="0" applyFont="1" applyBorder="1" applyAlignment="1">
      <alignment vertical="top" wrapText="1"/>
    </xf>
    <xf numFmtId="0" fontId="0" fillId="0" borderId="11" xfId="0" applyBorder="1" applyAlignment="1">
      <alignment wrapText="1"/>
    </xf>
    <xf numFmtId="0" fontId="5" fillId="2" borderId="7" xfId="0" applyFont="1" applyFill="1" applyBorder="1" applyAlignment="1">
      <alignment horizontal="center" wrapText="1"/>
    </xf>
    <xf numFmtId="0" fontId="5" fillId="2" borderId="11" xfId="0" applyFont="1" applyFill="1" applyBorder="1" applyAlignment="1">
      <alignment horizontal="center" wrapText="1"/>
    </xf>
  </cellXfs>
  <cellStyles count="15">
    <cellStyle name="Hyperlink" xfId="1" builtinId="8"/>
    <cellStyle name="Normal" xfId="0" builtinId="0"/>
    <cellStyle name="Normal 2" xfId="2" xr:uid="{00000000-0005-0000-0000-000002000000}"/>
    <cellStyle name="Normal 2 2" xfId="3" xr:uid="{00000000-0005-0000-0000-000003000000}"/>
    <cellStyle name="Normal 2 2 2" xfId="10" xr:uid="{00000000-0005-0000-0000-000004000000}"/>
    <cellStyle name="Normal 2 3" xfId="9" xr:uid="{00000000-0005-0000-0000-000005000000}"/>
    <cellStyle name="Normal 3" xfId="4" xr:uid="{00000000-0005-0000-0000-000006000000}"/>
    <cellStyle name="Normal 3 2" xfId="5" xr:uid="{00000000-0005-0000-0000-000007000000}"/>
    <cellStyle name="Normal 3 2 2" xfId="12" xr:uid="{00000000-0005-0000-0000-000008000000}"/>
    <cellStyle name="Normal 3 3" xfId="11" xr:uid="{00000000-0005-0000-0000-000009000000}"/>
    <cellStyle name="Normal 4" xfId="6" xr:uid="{00000000-0005-0000-0000-00000A000000}"/>
    <cellStyle name="Normal 4 2" xfId="13" xr:uid="{00000000-0005-0000-0000-00000B000000}"/>
    <cellStyle name="Percent" xfId="7" builtinId="5"/>
    <cellStyle name="Percent 2" xfId="8" xr:uid="{00000000-0005-0000-0000-00000D000000}"/>
    <cellStyle name="Percent 2 2" xfId="14" xr:uid="{00000000-0005-0000-0000-00000E000000}"/>
  </cellStyles>
  <dxfs count="200">
    <dxf>
      <fill>
        <patternFill patternType="lightGrid">
          <fgColor theme="0" tint="-0.499984740745262"/>
        </patternFill>
      </fill>
    </dxf>
    <dxf>
      <fill>
        <patternFill patternType="lightGrid">
          <fgColor indexed="23"/>
        </patternFill>
      </fill>
      <border>
        <left style="thin">
          <color indexed="64"/>
        </left>
        <right style="thin">
          <color indexed="64"/>
        </right>
        <top style="thin">
          <color indexed="64"/>
        </top>
        <bottom style="thin">
          <color indexed="64"/>
        </bottom>
      </border>
    </dxf>
    <dxf>
      <fill>
        <patternFill patternType="lightGrid">
          <fgColor theme="0" tint="-0.499984740745262"/>
        </patternFill>
      </fill>
    </dxf>
    <dxf>
      <fill>
        <patternFill patternType="lightGrid">
          <fgColor indexed="23"/>
        </patternFill>
      </fill>
      <border>
        <left style="thin">
          <color indexed="64"/>
        </left>
        <right style="thin">
          <color indexed="64"/>
        </right>
        <top style="thin">
          <color indexed="64"/>
        </top>
        <bottom style="thin">
          <color indexed="64"/>
        </bottom>
      </border>
    </dxf>
    <dxf>
      <fill>
        <patternFill patternType="lightGrid">
          <fgColor theme="0" tint="-0.499984740745262"/>
        </patternFill>
      </fill>
    </dxf>
    <dxf>
      <font>
        <b/>
        <i val="0"/>
      </font>
      <fill>
        <patternFill patternType="mediumGray">
          <fgColor theme="0" tint="-0.24994659260841701"/>
        </patternFill>
      </fill>
    </dxf>
    <dxf>
      <fill>
        <patternFill>
          <bgColor rgb="FFFF0000"/>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patternType="lightGrid">
          <fgColor theme="0" tint="-0.499984740745262"/>
        </patternFill>
      </fill>
    </dxf>
    <dxf>
      <fill>
        <patternFill>
          <bgColor theme="9" tint="0.59996337778862885"/>
        </patternFill>
      </fill>
    </dxf>
    <dxf>
      <fill>
        <patternFill patternType="solid">
          <fgColor indexed="22"/>
          <bgColor indexed="46"/>
        </patternFill>
      </fill>
    </dxf>
    <dxf>
      <fill>
        <patternFill>
          <bgColor indexed="50"/>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rgb="FF1FB714"/>
        </patternFill>
      </fill>
    </dxf>
    <dxf>
      <fill>
        <patternFill patternType="mediumGray">
          <fgColor indexed="43"/>
        </patternFill>
      </fill>
    </dxf>
    <dxf>
      <fill>
        <patternFill patternType="mediumGray">
          <fgColor rgb="FF1FB714"/>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43"/>
        </patternFill>
      </fill>
    </dxf>
    <dxf>
      <fill>
        <patternFill patternType="mediumGray">
          <fgColor indexed="11"/>
        </patternFill>
      </fill>
    </dxf>
    <dxf>
      <fill>
        <patternFill patternType="mediumGray">
          <fgColor indexed="11"/>
        </patternFill>
      </fill>
    </dxf>
    <dxf>
      <fill>
        <patternFill patternType="mediumGray">
          <fgColor indexed="43"/>
        </patternFill>
      </fill>
    </dxf>
    <dxf>
      <border>
        <left style="thin">
          <color indexed="64"/>
        </left>
        <right style="thin">
          <color indexed="64"/>
        </right>
        <top style="thin">
          <color indexed="64"/>
        </top>
        <bottom style="thin">
          <color indexed="64"/>
        </bottom>
      </border>
    </dxf>
    <dxf>
      <fill>
        <patternFill>
          <bgColor indexed="24"/>
        </patternFill>
      </fill>
    </dxf>
    <dxf>
      <fill>
        <patternFill>
          <bgColor rgb="FFFF0000"/>
        </patternFill>
      </fill>
    </dxf>
    <dxf>
      <fill>
        <patternFill>
          <bgColor indexed="10"/>
        </patternFill>
      </fill>
      <border>
        <left style="thin">
          <color indexed="64"/>
        </left>
        <right style="thin">
          <color indexed="64"/>
        </right>
        <top/>
        <bottom style="thin">
          <color indexed="64"/>
        </bottom>
      </border>
    </dxf>
    <dxf>
      <fill>
        <patternFill>
          <bgColor indexed="10"/>
        </patternFill>
      </fill>
      <border>
        <left style="thin">
          <color indexed="64"/>
        </left>
        <right style="thin">
          <color indexed="64"/>
        </right>
        <top/>
        <bottom/>
      </border>
    </dxf>
    <dxf>
      <fill>
        <patternFill>
          <bgColor indexed="10"/>
        </patternFill>
      </fill>
      <border>
        <left style="thin">
          <color indexed="64"/>
        </left>
        <right style="thin">
          <color indexed="64"/>
        </right>
        <top style="thin">
          <color indexed="64"/>
        </top>
        <bottom/>
      </border>
    </dxf>
    <dxf>
      <font>
        <condense val="0"/>
        <extend val="0"/>
        <color indexed="9"/>
      </font>
      <fill>
        <patternFill patternType="solid">
          <fgColor indexed="43"/>
          <bgColor indexed="10"/>
        </patternFill>
      </fill>
    </dxf>
    <dxf>
      <font>
        <b/>
        <i val="0"/>
      </font>
    </dxf>
    <dxf>
      <fill>
        <patternFill>
          <bgColor indexed="24"/>
        </patternFill>
      </fill>
    </dxf>
    <dxf>
      <font>
        <color theme="0"/>
      </font>
      <fill>
        <patternFill>
          <bgColor rgb="FFDD0806"/>
        </patternFill>
      </fill>
    </dxf>
    <dxf>
      <fill>
        <patternFill patternType="mediumGray">
          <fgColor rgb="FFC0C0C0"/>
        </patternFill>
      </fill>
    </dxf>
    <dxf>
      <fill>
        <patternFill>
          <bgColor rgb="FFCCFFFF"/>
        </patternFill>
      </fill>
    </dxf>
    <dxf>
      <fill>
        <patternFill patternType="mediumGray">
          <fgColor theme="0" tint="-0.24994659260841701"/>
        </patternFill>
      </fill>
    </dxf>
    <dxf>
      <fill>
        <patternFill>
          <bgColor rgb="FFCCFFFF"/>
        </patternFill>
      </fill>
    </dxf>
    <dxf>
      <fill>
        <patternFill patternType="mediumGray">
          <fgColor theme="0" tint="-0.24994659260841701"/>
        </patternFill>
      </fill>
    </dxf>
    <dxf>
      <fill>
        <patternFill>
          <bgColor indexed="24"/>
        </patternFill>
      </fill>
    </dxf>
    <dxf>
      <fill>
        <patternFill>
          <bgColor indexed="41"/>
        </patternFill>
      </fill>
    </dxf>
    <dxf>
      <fill>
        <patternFill patternType="mediumGray">
          <fgColor indexed="22"/>
        </patternFill>
      </fill>
    </dxf>
    <dxf>
      <fill>
        <patternFill patternType="mediumGray">
          <fgColor indexed="11"/>
        </patternFill>
      </fill>
    </dxf>
    <dxf>
      <fill>
        <patternFill patternType="mediumGray">
          <fgColor indexed="43"/>
        </patternFill>
      </fill>
    </dxf>
    <dxf>
      <fill>
        <patternFill>
          <bgColor indexed="24"/>
        </patternFill>
      </fill>
    </dxf>
    <dxf>
      <fill>
        <patternFill patternType="mediumGray">
          <fgColor indexed="11"/>
        </patternFill>
      </fill>
    </dxf>
    <dxf>
      <fill>
        <patternFill patternType="mediumGray">
          <fgColor indexed="43"/>
        </patternFill>
      </fill>
    </dxf>
    <dxf>
      <font>
        <color theme="0"/>
      </font>
      <fill>
        <patternFill>
          <bgColor rgb="FFDD0806"/>
        </patternFill>
      </fill>
    </dxf>
    <dxf>
      <fill>
        <patternFill>
          <bgColor indexed="24"/>
        </patternFill>
      </fill>
    </dxf>
    <dxf>
      <fill>
        <patternFill>
          <bgColor indexed="24"/>
        </patternFill>
      </fill>
    </dxf>
    <dxf>
      <font>
        <color theme="0"/>
      </font>
      <fill>
        <patternFill>
          <bgColor rgb="FFDD0806"/>
        </patternFill>
      </fill>
      <border>
        <left style="thin">
          <color indexed="64"/>
        </left>
        <right style="thin">
          <color indexed="64"/>
        </right>
        <top style="thin">
          <color indexed="64"/>
        </top>
        <bottom style="thin">
          <color indexed="64"/>
        </bottom>
      </border>
    </dxf>
    <dxf>
      <fill>
        <patternFill patternType="mediumGray">
          <fgColor theme="0" tint="-0.24994659260841701"/>
        </patternFill>
      </fill>
    </dxf>
    <dxf>
      <fill>
        <patternFill patternType="solid">
          <fgColor indexed="22"/>
          <bgColor theme="9" tint="0.59996337778862885"/>
        </patternFill>
      </fill>
    </dxf>
    <dxf>
      <fill>
        <patternFill>
          <bgColor rgb="FFCC99FF"/>
        </patternFill>
      </fill>
    </dxf>
    <dxf>
      <fill>
        <patternFill>
          <bgColor rgb="FF99CC00"/>
        </patternFill>
      </fill>
    </dxf>
    <dxf>
      <fill>
        <patternFill patternType="mediumGray">
          <fgColor indexed="11"/>
        </patternFill>
      </fill>
    </dxf>
    <dxf>
      <fill>
        <patternFill patternType="mediumGray">
          <fgColor indexed="4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FF"/>
      <color rgb="FFCDFFFF"/>
      <color rgb="FFE0DDEF"/>
      <color rgb="FFDD0806"/>
      <color rgb="FF99CC00"/>
      <color rgb="FFCC99FF"/>
      <color rgb="FF1FB7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7620</xdr:colOff>
      <xdr:row>1</xdr:row>
      <xdr:rowOff>22860</xdr:rowOff>
    </xdr:from>
    <xdr:to>
      <xdr:col>1</xdr:col>
      <xdr:colOff>2369820</xdr:colOff>
      <xdr:row>6</xdr:row>
      <xdr:rowOff>91441</xdr:rowOff>
    </xdr:to>
    <xdr:pic>
      <xdr:nvPicPr>
        <xdr:cNvPr id="39937" name="Picture 1" descr="SA-logo-Sans-BITS.jpg">
          <a:extLst>
            <a:ext uri="{FF2B5EF4-FFF2-40B4-BE49-F238E27FC236}">
              <a16:creationId xmlns:a16="http://schemas.microsoft.com/office/drawing/2014/main" id="{00000000-0008-0000-0200-0000019C0000}"/>
            </a:ext>
          </a:extLst>
        </xdr:cNvPr>
        <xdr:cNvPicPr>
          <a:picLocks noChangeAspect="1"/>
        </xdr:cNvPicPr>
      </xdr:nvPicPr>
      <xdr:blipFill>
        <a:blip xmlns:r="http://schemas.openxmlformats.org/officeDocument/2006/relationships" r:embed="rId1" cstate="print"/>
        <a:srcRect/>
        <a:stretch>
          <a:fillRect/>
        </a:stretch>
      </xdr:blipFill>
      <xdr:spPr bwMode="auto">
        <a:xfrm>
          <a:off x="76200" y="83820"/>
          <a:ext cx="2362200" cy="94488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B1:B13"/>
  <sheetViews>
    <sheetView showGridLines="0" zoomScale="85" zoomScaleNormal="85" workbookViewId="0">
      <selection activeCell="B9" sqref="B9"/>
    </sheetView>
  </sheetViews>
  <sheetFormatPr defaultColWidth="9.140625" defaultRowHeight="12.75" x14ac:dyDescent="0.2"/>
  <cols>
    <col min="1" max="1" width="1" customWidth="1"/>
    <col min="2" max="2" width="108.85546875" customWidth="1"/>
  </cols>
  <sheetData>
    <row r="1" spans="2:2" ht="3.75" customHeight="1" x14ac:dyDescent="0.2"/>
    <row r="2" spans="2:2" ht="23.25" x14ac:dyDescent="0.35">
      <c r="B2" s="55" t="s">
        <v>0</v>
      </c>
    </row>
    <row r="3" spans="2:2" ht="14.25" x14ac:dyDescent="0.2">
      <c r="B3" s="71"/>
    </row>
    <row r="4" spans="2:2" ht="15" x14ac:dyDescent="0.25">
      <c r="B4" s="72" t="s">
        <v>1</v>
      </c>
    </row>
    <row r="5" spans="2:2" ht="14.25" x14ac:dyDescent="0.2">
      <c r="B5" s="70"/>
    </row>
    <row r="6" spans="2:2" ht="28.5" x14ac:dyDescent="0.2">
      <c r="B6" s="70" t="s">
        <v>2</v>
      </c>
    </row>
    <row r="7" spans="2:2" ht="14.25" x14ac:dyDescent="0.2">
      <c r="B7" s="70"/>
    </row>
    <row r="8" spans="2:2" ht="57" x14ac:dyDescent="0.2">
      <c r="B8" s="70" t="s">
        <v>3</v>
      </c>
    </row>
    <row r="9" spans="2:2" ht="14.25" x14ac:dyDescent="0.2">
      <c r="B9" s="70"/>
    </row>
    <row r="10" spans="2:2" ht="28.5" x14ac:dyDescent="0.2">
      <c r="B10" s="155" t="s">
        <v>4</v>
      </c>
    </row>
    <row r="11" spans="2:2" ht="12.75" customHeight="1" x14ac:dyDescent="0.2">
      <c r="B11" s="70"/>
    </row>
    <row r="12" spans="2:2" ht="34.5" customHeight="1" x14ac:dyDescent="0.2">
      <c r="B12" s="155" t="s">
        <v>5</v>
      </c>
    </row>
    <row r="13" spans="2:2" ht="14.25" x14ac:dyDescent="0.2">
      <c r="B13" s="147"/>
    </row>
  </sheetData>
  <sheetProtection algorithmName="SHA-512" hashValue="+/46i/NeRURX8+Jl/W8ixr1SpPD6bFcIWYU/scpfPijmZF/vtAbkJ8v/V+Y8r3aUrHX5ZTK7W9EHjtIq8CiiFw==" saltValue="h7MBQt/acuQw0V7UBe2LOA==" spinCount="100000" sheet="1" objects="1" scenarios="1"/>
  <pageMargins left="0.7" right="0.7" top="0.75" bottom="0.75" header="0.3" footer="0.3"/>
  <pageSetup fitToHeight="0" orientation="landscape" horizontalDpi="1200" verticalDpi="1200" r:id="rId1"/>
  <headerFooter>
    <oddHeader>&amp;LShared Assessments Program&amp;CStandardized Information Gathering (SIG) Questionnaire&amp;R&amp;R Version 2016</oddHeader>
    <oddFooter>&amp;L&amp;A&amp;CPage &amp;P of &amp;N Page(s)</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pageSetUpPr fitToPage="1"/>
  </sheetPr>
  <dimension ref="B1:B17"/>
  <sheetViews>
    <sheetView showGridLines="0" zoomScale="85" zoomScaleNormal="85" workbookViewId="0"/>
  </sheetViews>
  <sheetFormatPr defaultRowHeight="12.75" x14ac:dyDescent="0.2"/>
  <cols>
    <col min="1" max="1" width="1" customWidth="1"/>
    <col min="2" max="2" width="154" customWidth="1"/>
  </cols>
  <sheetData>
    <row r="1" spans="2:2" ht="3.75" customHeight="1" x14ac:dyDescent="0.2"/>
    <row r="2" spans="2:2" ht="23.25" x14ac:dyDescent="0.35">
      <c r="B2" s="56" t="s">
        <v>6</v>
      </c>
    </row>
    <row r="3" spans="2:2" ht="18" x14ac:dyDescent="0.25">
      <c r="B3" s="153" t="s">
        <v>7</v>
      </c>
    </row>
    <row r="4" spans="2:2" x14ac:dyDescent="0.2">
      <c r="B4" s="51" t="s">
        <v>8</v>
      </c>
    </row>
    <row r="5" spans="2:2" x14ac:dyDescent="0.2">
      <c r="B5" s="51"/>
    </row>
    <row r="6" spans="2:2" ht="19.5" customHeight="1" x14ac:dyDescent="0.2">
      <c r="B6" s="52" t="s">
        <v>9</v>
      </c>
    </row>
    <row r="7" spans="2:2" ht="7.5" customHeight="1" x14ac:dyDescent="0.25">
      <c r="B7" s="53"/>
    </row>
    <row r="8" spans="2:2" x14ac:dyDescent="0.2">
      <c r="B8" s="156" t="s">
        <v>10</v>
      </c>
    </row>
    <row r="9" spans="2:2" ht="15" customHeight="1" x14ac:dyDescent="0.2">
      <c r="B9" s="156" t="s">
        <v>11</v>
      </c>
    </row>
    <row r="10" spans="2:2" x14ac:dyDescent="0.2">
      <c r="B10" s="157" t="s">
        <v>12</v>
      </c>
    </row>
    <row r="11" spans="2:2" ht="16.5" customHeight="1" x14ac:dyDescent="0.2">
      <c r="B11" s="156" t="s">
        <v>13</v>
      </c>
    </row>
    <row r="12" spans="2:2" x14ac:dyDescent="0.2">
      <c r="B12" s="157" t="s">
        <v>14</v>
      </c>
    </row>
    <row r="13" spans="2:2" ht="15" customHeight="1" x14ac:dyDescent="0.2">
      <c r="B13" s="156" t="s">
        <v>15</v>
      </c>
    </row>
    <row r="14" spans="2:2" x14ac:dyDescent="0.2">
      <c r="B14" s="157" t="s">
        <v>16</v>
      </c>
    </row>
    <row r="15" spans="2:2" ht="61.5" customHeight="1" x14ac:dyDescent="0.2">
      <c r="B15" s="51" t="s">
        <v>17</v>
      </c>
    </row>
    <row r="16" spans="2:2" ht="132" customHeight="1" x14ac:dyDescent="0.2">
      <c r="B16" s="54" t="s">
        <v>18</v>
      </c>
    </row>
    <row r="17" spans="2:2" x14ac:dyDescent="0.2">
      <c r="B17" s="22"/>
    </row>
  </sheetData>
  <sheetProtection algorithmName="SHA-512" hashValue="vU92GOWXvKMMCqxw/aoZxCIBXbkjNFZy/eMu5y2PajlcKY97TVkE3DEanomBBAl07vnPw6l7G8ky1znDCX3mkg==" saltValue="soaNUUbswFM4hq4nsdeBUg==" spinCount="100000" sheet="1" objects="1" scenarios="1"/>
  <phoneticPr fontId="18" type="noConversion"/>
  <pageMargins left="0.75" right="0.75" top="1" bottom="1" header="0.5" footer="0.5"/>
  <pageSetup scale="99" orientation="landscape" horizontalDpi="1200" verticalDpi="1200" r:id="rId1"/>
  <headerFooter>
    <oddHeader>&amp;LShared Assessments Program&amp;CStandardized Information Gathering (SIG) Questionnaire&amp;R&amp;R Version 2016</oddHeader>
    <oddFooter>&amp;L&amp;A&amp;CPage &amp;P of &amp;N Page(s)</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B1:F46"/>
  <sheetViews>
    <sheetView showGridLines="0" topLeftCell="B1" zoomScale="91" zoomScaleNormal="130" workbookViewId="0">
      <selection activeCell="D18" sqref="D18"/>
    </sheetView>
  </sheetViews>
  <sheetFormatPr defaultRowHeight="12.75" x14ac:dyDescent="0.2"/>
  <cols>
    <col min="1" max="1" width="1" customWidth="1"/>
    <col min="2" max="2" width="61.42578125" customWidth="1"/>
    <col min="3" max="3" width="1" customWidth="1"/>
    <col min="4" max="4" width="85" customWidth="1"/>
    <col min="5" max="5" width="1" customWidth="1"/>
    <col min="6" max="6" width="93.42578125" bestFit="1" customWidth="1"/>
  </cols>
  <sheetData>
    <row r="1" spans="2:6" ht="3.75" customHeight="1" x14ac:dyDescent="0.2"/>
    <row r="2" spans="2:6" ht="15" x14ac:dyDescent="0.25">
      <c r="B2" s="49"/>
      <c r="D2" s="26" t="s">
        <v>19</v>
      </c>
      <c r="F2" s="26" t="s">
        <v>20</v>
      </c>
    </row>
    <row r="3" spans="2:6" ht="14.25" customHeight="1" x14ac:dyDescent="0.2">
      <c r="B3" s="50"/>
      <c r="D3" s="17" t="s">
        <v>21</v>
      </c>
      <c r="F3" s="18" t="s">
        <v>22</v>
      </c>
    </row>
    <row r="4" spans="2:6" ht="14.25" x14ac:dyDescent="0.2">
      <c r="B4" s="50"/>
      <c r="D4" s="18" t="s">
        <v>23</v>
      </c>
      <c r="F4" s="18" t="s">
        <v>24</v>
      </c>
    </row>
    <row r="5" spans="2:6" ht="14.25" x14ac:dyDescent="0.2">
      <c r="B5" s="50"/>
      <c r="D5" s="18" t="s">
        <v>25</v>
      </c>
      <c r="F5" s="18" t="s">
        <v>26</v>
      </c>
    </row>
    <row r="6" spans="2:6" ht="14.25" x14ac:dyDescent="0.2">
      <c r="B6" s="50"/>
      <c r="D6" s="18" t="s">
        <v>27</v>
      </c>
      <c r="F6" s="18" t="s">
        <v>28</v>
      </c>
    </row>
    <row r="7" spans="2:6" ht="14.25" x14ac:dyDescent="0.2">
      <c r="B7" s="50"/>
      <c r="D7" s="18" t="s">
        <v>29</v>
      </c>
      <c r="F7" s="18" t="s">
        <v>30</v>
      </c>
    </row>
    <row r="8" spans="2:6" ht="14.25" x14ac:dyDescent="0.2">
      <c r="B8" s="50"/>
      <c r="D8" s="18" t="s">
        <v>31</v>
      </c>
      <c r="F8" s="18"/>
    </row>
    <row r="9" spans="2:6" ht="15" x14ac:dyDescent="0.25">
      <c r="B9" s="24" t="s">
        <v>32</v>
      </c>
      <c r="D9" s="18" t="s">
        <v>33</v>
      </c>
      <c r="F9" s="18" t="s">
        <v>34</v>
      </c>
    </row>
    <row r="10" spans="2:6" ht="15" customHeight="1" x14ac:dyDescent="0.25">
      <c r="B10" s="24" t="s">
        <v>35</v>
      </c>
      <c r="D10" s="18"/>
      <c r="F10" s="75" t="s">
        <v>36</v>
      </c>
    </row>
    <row r="11" spans="2:6" ht="15" x14ac:dyDescent="0.25">
      <c r="B11" s="24" t="s">
        <v>37</v>
      </c>
      <c r="D11" s="18" t="s">
        <v>38</v>
      </c>
      <c r="F11" s="18"/>
    </row>
    <row r="12" spans="2:6" ht="15" x14ac:dyDescent="0.25">
      <c r="B12" s="24" t="s">
        <v>39</v>
      </c>
      <c r="D12" s="18" t="s">
        <v>40</v>
      </c>
      <c r="F12" s="20" t="s">
        <v>41</v>
      </c>
    </row>
    <row r="13" spans="2:6" ht="14.25" x14ac:dyDescent="0.2">
      <c r="B13" s="25"/>
      <c r="D13" s="18" t="s">
        <v>42</v>
      </c>
      <c r="F13" s="19" t="s">
        <v>43</v>
      </c>
    </row>
    <row r="14" spans="2:6" ht="14.25" x14ac:dyDescent="0.2">
      <c r="B14" s="161" t="s">
        <v>44</v>
      </c>
      <c r="D14" s="18" t="s">
        <v>45</v>
      </c>
      <c r="F14" s="19" t="s">
        <v>46</v>
      </c>
    </row>
    <row r="15" spans="2:6" ht="14.25" x14ac:dyDescent="0.2">
      <c r="B15" s="3" t="s">
        <v>47</v>
      </c>
      <c r="D15" s="18" t="s">
        <v>48</v>
      </c>
      <c r="F15" s="19" t="s">
        <v>49</v>
      </c>
    </row>
    <row r="16" spans="2:6" ht="14.25" x14ac:dyDescent="0.2">
      <c r="B16" s="7"/>
      <c r="D16" s="80" t="s">
        <v>50</v>
      </c>
      <c r="F16" s="19" t="s">
        <v>51</v>
      </c>
    </row>
    <row r="17" spans="2:6" ht="14.25" x14ac:dyDescent="0.2">
      <c r="B17" s="135" t="s">
        <v>52</v>
      </c>
      <c r="D17" s="79" t="s">
        <v>53</v>
      </c>
      <c r="F17" s="19" t="s">
        <v>54</v>
      </c>
    </row>
    <row r="18" spans="2:6" ht="14.25" x14ac:dyDescent="0.2">
      <c r="B18" s="136"/>
      <c r="D18" s="80" t="s">
        <v>55</v>
      </c>
      <c r="F18" s="19" t="s">
        <v>56</v>
      </c>
    </row>
    <row r="19" spans="2:6" ht="14.25" x14ac:dyDescent="0.2">
      <c r="B19" s="136"/>
      <c r="D19" s="80" t="s">
        <v>57</v>
      </c>
      <c r="F19" s="19" t="s">
        <v>58</v>
      </c>
    </row>
    <row r="20" spans="2:6" ht="14.25" x14ac:dyDescent="0.2">
      <c r="B20" s="136"/>
      <c r="D20" s="80" t="s">
        <v>59</v>
      </c>
      <c r="F20" s="76"/>
    </row>
    <row r="21" spans="2:6" ht="15" x14ac:dyDescent="0.25">
      <c r="B21" s="136"/>
      <c r="D21" s="18"/>
      <c r="F21" s="75" t="s">
        <v>60</v>
      </c>
    </row>
    <row r="22" spans="2:6" ht="14.25" x14ac:dyDescent="0.2">
      <c r="B22" s="136"/>
      <c r="D22" s="19" t="s">
        <v>61</v>
      </c>
      <c r="F22" s="77"/>
    </row>
    <row r="23" spans="2:6" ht="14.25" x14ac:dyDescent="0.2">
      <c r="B23" s="136"/>
      <c r="D23" s="19" t="s">
        <v>62</v>
      </c>
    </row>
    <row r="24" spans="2:6" ht="15" x14ac:dyDescent="0.25">
      <c r="B24" s="137"/>
      <c r="D24" s="19" t="s">
        <v>63</v>
      </c>
      <c r="F24" s="121"/>
    </row>
    <row r="25" spans="2:6" ht="15" x14ac:dyDescent="0.25">
      <c r="B25" s="137"/>
      <c r="D25" s="19" t="s">
        <v>64</v>
      </c>
      <c r="F25" s="7"/>
    </row>
    <row r="26" spans="2:6" ht="15" x14ac:dyDescent="0.25">
      <c r="B26" s="137"/>
      <c r="D26" s="81" t="s">
        <v>65</v>
      </c>
      <c r="F26" s="7"/>
    </row>
    <row r="27" spans="2:6" ht="15" x14ac:dyDescent="0.25">
      <c r="B27" s="137"/>
      <c r="D27" s="108" t="s">
        <v>66</v>
      </c>
      <c r="F27" s="7"/>
    </row>
    <row r="28" spans="2:6" ht="14.25" x14ac:dyDescent="0.2">
      <c r="B28" s="136"/>
      <c r="D28" s="81" t="s">
        <v>67</v>
      </c>
      <c r="F28" s="7"/>
    </row>
    <row r="29" spans="2:6" ht="14.25" x14ac:dyDescent="0.2">
      <c r="B29" s="138"/>
      <c r="D29" s="81" t="s">
        <v>68</v>
      </c>
      <c r="F29" s="7"/>
    </row>
    <row r="30" spans="2:6" ht="14.25" x14ac:dyDescent="0.2">
      <c r="B30" s="139"/>
      <c r="D30" s="81" t="s">
        <v>69</v>
      </c>
      <c r="F30" s="7"/>
    </row>
    <row r="31" spans="2:6" ht="14.25" x14ac:dyDescent="0.2">
      <c r="D31" s="19" t="s">
        <v>70</v>
      </c>
    </row>
    <row r="32" spans="2:6" ht="14.25" x14ac:dyDescent="0.2">
      <c r="D32" s="81" t="s">
        <v>71</v>
      </c>
    </row>
    <row r="33" spans="4:4" ht="14.25" x14ac:dyDescent="0.2">
      <c r="D33" s="19" t="s">
        <v>72</v>
      </c>
    </row>
    <row r="34" spans="4:4" ht="14.25" x14ac:dyDescent="0.2">
      <c r="D34" s="81"/>
    </row>
    <row r="35" spans="4:4" ht="15" x14ac:dyDescent="0.25">
      <c r="D35" s="108" t="s">
        <v>73</v>
      </c>
    </row>
    <row r="36" spans="4:4" ht="14.25" x14ac:dyDescent="0.2">
      <c r="D36" s="81" t="s">
        <v>67</v>
      </c>
    </row>
    <row r="37" spans="4:4" ht="14.25" x14ac:dyDescent="0.2">
      <c r="D37" s="81" t="s">
        <v>68</v>
      </c>
    </row>
    <row r="38" spans="4:4" ht="14.25" x14ac:dyDescent="0.2">
      <c r="D38" s="81" t="s">
        <v>74</v>
      </c>
    </row>
    <row r="39" spans="4:4" ht="14.25" x14ac:dyDescent="0.2">
      <c r="D39" s="81" t="s">
        <v>75</v>
      </c>
    </row>
    <row r="40" spans="4:4" ht="14.25" x14ac:dyDescent="0.2">
      <c r="D40" s="81" t="s">
        <v>76</v>
      </c>
    </row>
    <row r="41" spans="4:4" ht="14.25" x14ac:dyDescent="0.2">
      <c r="D41" s="81" t="s">
        <v>77</v>
      </c>
    </row>
    <row r="42" spans="4:4" ht="14.25" x14ac:dyDescent="0.2">
      <c r="D42" s="81" t="s">
        <v>78</v>
      </c>
    </row>
    <row r="43" spans="4:4" ht="14.25" x14ac:dyDescent="0.2">
      <c r="D43" s="81" t="s">
        <v>79</v>
      </c>
    </row>
    <row r="44" spans="4:4" ht="14.25" x14ac:dyDescent="0.2">
      <c r="D44" s="81"/>
    </row>
    <row r="45" spans="4:4" ht="15" x14ac:dyDescent="0.25">
      <c r="D45" s="81" t="s">
        <v>80</v>
      </c>
    </row>
    <row r="46" spans="4:4" ht="14.25" x14ac:dyDescent="0.2">
      <c r="D46" s="82" t="s">
        <v>81</v>
      </c>
    </row>
  </sheetData>
  <sheetProtection algorithmName="SHA-512" hashValue="uGiO8ZkCzEjNiWQhZ0KfPOrrofwNZ1x451QGSwjF6G2KeYmLHIAdOI/qdRVikCzEIi6MSMI66+SttCaSuDTdxg==" saltValue="E3eEkvFYz1z+pg1k1m6hRQ==" spinCount="100000" sheet="1" objects="1" scenarios="1"/>
  <hyperlinks>
    <hyperlink ref="B14" location="'Business Information'!D4" display="Business InformationMaster" xr:uid="{00000000-0004-0000-0200-000000000000}"/>
    <hyperlink ref="B15" location="'M. Additional Questions'!A6" display="M. Additional Questions" xr:uid="{00000000-0004-0000-0200-000001000000}"/>
  </hyperlinks>
  <pageMargins left="0.7" right="0.7" top="0.75" bottom="0.75" header="0.3" footer="0.3"/>
  <pageSetup scale="50" orientation="landscape" r:id="rId1"/>
  <headerFooter>
    <oddHeader>&amp;LShared Assessments Program&amp;CStandardized Information Gathering (SIG) Questionnaire&amp;R&amp;R Version 2016</oddHeader>
    <oddFooter>&amp;L&amp;A&amp;CPage &amp;P of &amp;N Page(s)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pageSetUpPr fitToPage="1"/>
  </sheetPr>
  <dimension ref="A1:E40"/>
  <sheetViews>
    <sheetView showGridLines="0" zoomScale="85" zoomScaleNormal="85" workbookViewId="0">
      <selection activeCell="C3" sqref="C3"/>
    </sheetView>
  </sheetViews>
  <sheetFormatPr defaultColWidth="9.140625" defaultRowHeight="12.75" x14ac:dyDescent="0.2"/>
  <cols>
    <col min="1" max="1" width="61.7109375" customWidth="1"/>
    <col min="2" max="2" width="9.7109375" bestFit="1" customWidth="1"/>
    <col min="3" max="3" width="0.7109375" customWidth="1"/>
    <col min="4" max="4" width="64.7109375" customWidth="1"/>
  </cols>
  <sheetData>
    <row r="1" spans="1:5" ht="23.25" x14ac:dyDescent="0.35">
      <c r="A1" s="35" t="s">
        <v>82</v>
      </c>
      <c r="B1" s="149"/>
      <c r="C1" s="149"/>
      <c r="D1" s="31" t="str">
        <f>IF(Master&lt;&gt;"Master","",Master)</f>
        <v/>
      </c>
      <c r="E1" s="150"/>
    </row>
    <row r="2" spans="1:5" ht="28.5" customHeight="1" x14ac:dyDescent="0.2">
      <c r="A2" s="169" t="s">
        <v>83</v>
      </c>
      <c r="B2" s="170"/>
      <c r="C2" s="170"/>
      <c r="D2" s="170"/>
      <c r="E2" s="171"/>
    </row>
    <row r="3" spans="1:5" ht="15" x14ac:dyDescent="0.25">
      <c r="A3" s="37" t="s">
        <v>84</v>
      </c>
      <c r="B3" s="151" t="s">
        <v>85</v>
      </c>
      <c r="D3" s="37" t="s">
        <v>86</v>
      </c>
      <c r="E3" s="152" t="s">
        <v>87</v>
      </c>
    </row>
    <row r="4" spans="1:5" ht="15" x14ac:dyDescent="0.25">
      <c r="A4" s="130" t="s">
        <v>88</v>
      </c>
      <c r="B4" s="129" t="s">
        <v>89</v>
      </c>
      <c r="D4" s="11" t="s">
        <v>90</v>
      </c>
      <c r="E4" s="84"/>
    </row>
    <row r="5" spans="1:5" ht="15" x14ac:dyDescent="0.25">
      <c r="A5" s="130" t="s">
        <v>91</v>
      </c>
      <c r="B5" s="128">
        <f>'Business Information'!C2</f>
        <v>1</v>
      </c>
      <c r="D5" s="11" t="s">
        <v>92</v>
      </c>
      <c r="E5" s="84" t="s">
        <v>93</v>
      </c>
    </row>
    <row r="6" spans="1:5" ht="15" x14ac:dyDescent="0.25">
      <c r="A6" s="130" t="s">
        <v>94</v>
      </c>
      <c r="B6" s="129" t="s">
        <v>89</v>
      </c>
      <c r="D6" s="11" t="s">
        <v>95</v>
      </c>
      <c r="E6" s="84" t="s">
        <v>96</v>
      </c>
    </row>
    <row r="7" spans="1:5" ht="15" x14ac:dyDescent="0.25">
      <c r="A7" s="130" t="s">
        <v>97</v>
      </c>
      <c r="B7" s="128">
        <f>Lite!D2</f>
        <v>1</v>
      </c>
      <c r="D7" s="11" t="s">
        <v>98</v>
      </c>
      <c r="E7" s="84" t="s">
        <v>89</v>
      </c>
    </row>
    <row r="8" spans="1:5" ht="15" x14ac:dyDescent="0.25">
      <c r="A8" s="130" t="s">
        <v>99</v>
      </c>
      <c r="B8" s="129" t="s">
        <v>89</v>
      </c>
      <c r="D8" s="11" t="s">
        <v>100</v>
      </c>
      <c r="E8" s="85"/>
    </row>
    <row r="9" spans="1:5" ht="14.25" x14ac:dyDescent="0.2">
      <c r="A9" s="130" t="s">
        <v>101</v>
      </c>
      <c r="B9" s="129" t="s">
        <v>89</v>
      </c>
    </row>
    <row r="10" spans="1:5" ht="14.25" x14ac:dyDescent="0.2">
      <c r="A10" s="130" t="s">
        <v>102</v>
      </c>
      <c r="B10" s="129" t="s">
        <v>89</v>
      </c>
    </row>
    <row r="11" spans="1:5" ht="14.25" customHeight="1" x14ac:dyDescent="0.2">
      <c r="A11" s="130" t="s">
        <v>103</v>
      </c>
      <c r="B11" s="129" t="s">
        <v>89</v>
      </c>
      <c r="C11" s="123" t="s">
        <v>104</v>
      </c>
    </row>
    <row r="12" spans="1:5" ht="14.25" x14ac:dyDescent="0.2">
      <c r="A12" s="148" t="s">
        <v>105</v>
      </c>
      <c r="B12" s="129" t="s">
        <v>89</v>
      </c>
      <c r="C12" s="124" t="s">
        <v>106</v>
      </c>
    </row>
    <row r="13" spans="1:5" ht="15" x14ac:dyDescent="0.2">
      <c r="A13" s="131" t="s">
        <v>107</v>
      </c>
      <c r="B13" s="128">
        <f ca="1">IF(COUNTA(INDEX(WorksheetCount,0))&gt;15,Lite!AI21,Lite!D2)</f>
        <v>1</v>
      </c>
      <c r="C13" s="7"/>
      <c r="D13" s="7"/>
    </row>
    <row r="14" spans="1:5" ht="14.25" x14ac:dyDescent="0.2">
      <c r="A14" s="7"/>
      <c r="B14" s="7"/>
      <c r="C14" s="7"/>
      <c r="D14" s="7"/>
    </row>
    <row r="15" spans="1:5" ht="14.25" x14ac:dyDescent="0.2">
      <c r="A15" s="7"/>
      <c r="B15" s="7"/>
      <c r="C15" s="7"/>
      <c r="D15" s="7"/>
    </row>
    <row r="16" spans="1:5" ht="14.25" x14ac:dyDescent="0.2">
      <c r="A16" s="7"/>
      <c r="B16" s="7"/>
      <c r="C16" s="7"/>
      <c r="D16" s="7"/>
    </row>
    <row r="17" spans="1:4" ht="14.25" x14ac:dyDescent="0.2">
      <c r="A17" s="7"/>
      <c r="B17" s="7"/>
      <c r="C17" s="7"/>
      <c r="D17" s="7"/>
    </row>
    <row r="18" spans="1:4" ht="14.25" x14ac:dyDescent="0.2">
      <c r="A18" s="7"/>
      <c r="B18" s="7"/>
      <c r="C18" s="7"/>
      <c r="D18" s="7"/>
    </row>
    <row r="19" spans="1:4" ht="14.25" x14ac:dyDescent="0.2">
      <c r="A19" s="7"/>
      <c r="B19" s="7"/>
      <c r="C19" s="7"/>
      <c r="D19" s="7"/>
    </row>
    <row r="20" spans="1:4" ht="14.25" x14ac:dyDescent="0.2">
      <c r="A20" s="7"/>
      <c r="B20" s="7"/>
      <c r="C20" s="7"/>
      <c r="D20" s="7"/>
    </row>
    <row r="21" spans="1:4" ht="14.25" x14ac:dyDescent="0.2">
      <c r="A21" s="7"/>
      <c r="B21" s="7"/>
      <c r="C21" s="7"/>
      <c r="D21" s="7"/>
    </row>
    <row r="22" spans="1:4" ht="14.25" x14ac:dyDescent="0.2">
      <c r="A22" s="7"/>
      <c r="B22" s="7"/>
      <c r="C22" s="7"/>
      <c r="D22" s="7"/>
    </row>
    <row r="23" spans="1:4" ht="14.25" x14ac:dyDescent="0.2">
      <c r="A23" s="7"/>
      <c r="B23" s="7"/>
      <c r="C23" s="7"/>
      <c r="D23" s="7"/>
    </row>
    <row r="24" spans="1:4" ht="14.25" x14ac:dyDescent="0.2">
      <c r="A24" s="7"/>
      <c r="B24" s="7"/>
      <c r="C24" s="7"/>
      <c r="D24" s="7"/>
    </row>
    <row r="25" spans="1:4" ht="14.25" x14ac:dyDescent="0.2">
      <c r="C25" s="7"/>
      <c r="D25" s="7"/>
    </row>
    <row r="26" spans="1:4" ht="14.25" x14ac:dyDescent="0.2">
      <c r="C26" s="7"/>
      <c r="D26" s="7"/>
    </row>
    <row r="27" spans="1:4" ht="14.25" x14ac:dyDescent="0.2">
      <c r="C27" s="7"/>
      <c r="D27" s="7"/>
    </row>
    <row r="28" spans="1:4" ht="14.25" x14ac:dyDescent="0.2">
      <c r="C28" s="7"/>
      <c r="D28" s="7"/>
    </row>
    <row r="29" spans="1:4" ht="14.25" x14ac:dyDescent="0.2">
      <c r="C29" s="7"/>
      <c r="D29" s="7"/>
    </row>
    <row r="30" spans="1:4" ht="14.25" x14ac:dyDescent="0.2">
      <c r="C30" s="7"/>
      <c r="D30" s="7"/>
    </row>
    <row r="31" spans="1:4" ht="14.25" x14ac:dyDescent="0.2">
      <c r="C31" s="7"/>
      <c r="D31" s="7"/>
    </row>
    <row r="32" spans="1:4" ht="14.25" x14ac:dyDescent="0.2">
      <c r="C32" s="7"/>
      <c r="D32" s="7"/>
    </row>
    <row r="33" spans="3:4" ht="14.25" x14ac:dyDescent="0.2">
      <c r="C33" s="7"/>
      <c r="D33" s="7"/>
    </row>
    <row r="34" spans="3:4" ht="14.25" x14ac:dyDescent="0.2">
      <c r="C34" s="7"/>
      <c r="D34" s="7"/>
    </row>
    <row r="35" spans="3:4" ht="14.25" x14ac:dyDescent="0.2">
      <c r="C35" s="7"/>
      <c r="D35" s="7"/>
    </row>
    <row r="36" spans="3:4" ht="14.25" x14ac:dyDescent="0.2">
      <c r="C36" s="7"/>
      <c r="D36" s="7"/>
    </row>
    <row r="37" spans="3:4" ht="14.25" x14ac:dyDescent="0.2">
      <c r="C37" s="7"/>
      <c r="D37" s="7"/>
    </row>
    <row r="38" spans="3:4" ht="14.25" x14ac:dyDescent="0.2">
      <c r="C38" s="7"/>
      <c r="D38" s="7"/>
    </row>
    <row r="39" spans="3:4" ht="14.25" x14ac:dyDescent="0.2">
      <c r="C39" s="7"/>
      <c r="D39" s="7"/>
    </row>
    <row r="40" spans="3:4" ht="14.25" x14ac:dyDescent="0.2">
      <c r="C40" s="7"/>
      <c r="D40" s="7"/>
    </row>
  </sheetData>
  <sheetProtection algorithmName="SHA-512" hashValue="0NKUgAlxnv7wLQgSFOkYB3lLjoc0dheu50518nl6saHyBfpbabTCzV/1eai+suKdbSskNLwNLDmuGHpGoiaW7A==" saltValue="0zzNlB3RqjzprasKWeznWQ==" spinCount="100000" sheet="1" objects="1" scenarios="1"/>
  <mergeCells count="1">
    <mergeCell ref="A2:E2"/>
  </mergeCells>
  <phoneticPr fontId="0" type="noConversion"/>
  <conditionalFormatting sqref="B13 B5 B7">
    <cfRule type="expression" dxfId="199" priority="19" stopIfTrue="1">
      <formula>OR(B5&lt;1,B5="0%")</formula>
    </cfRule>
    <cfRule type="expression" dxfId="198" priority="20" stopIfTrue="1">
      <formula>OR(B5=1,B5="N/A")</formula>
    </cfRule>
  </conditionalFormatting>
  <conditionalFormatting sqref="E4:E8">
    <cfRule type="expression" dxfId="197" priority="7" stopIfTrue="1">
      <formula>E4="Yes"</formula>
    </cfRule>
    <cfRule type="expression" dxfId="196" priority="17" stopIfTrue="1">
      <formula>E4="N/A"</formula>
    </cfRule>
    <cfRule type="expression" dxfId="195" priority="18" stopIfTrue="1">
      <formula>E4="No"</formula>
    </cfRule>
  </conditionalFormatting>
  <conditionalFormatting sqref="D1">
    <cfRule type="expression" dxfId="194" priority="1">
      <formula>Master &lt;&gt;"Master"</formula>
    </cfRule>
    <cfRule type="expression" dxfId="193" priority="2" stopIfTrue="1">
      <formula>Master="Master"</formula>
    </cfRule>
  </conditionalFormatting>
  <dataValidations count="3">
    <dataValidation type="list" allowBlank="1" showInputMessage="1" showErrorMessage="1" errorTitle="INVALID ANSWER!!" error="Please answer only Yes, No or N/A in this field.  Any additional information should be provided in the &quot;SP-Additional Information&quot; cell to the right." promptTitle="Select Yes, No or N/A" prompt="If N/A is chosen additional information MUST be provided in the &quot;SP- Additional Information&quot; cell to the right." sqref="E4:E7" xr:uid="{00000000-0002-0000-0300-000000000000}">
      <formula1>"Yes,No,N/A"</formula1>
    </dataValidation>
    <dataValidation allowBlank="1" showErrorMessage="1" errorTitle="INVALID ANSWER!!" error="Please answer only Yes, No or N/A in this field.  Any additional information should be provided in the &quot;SP-Additional Information&quot; cell to the right." promptTitle="Select Yes, No or N/A" prompt="If N/A is chosen additional information MUST be provided in the &quot;SP- Additional Information&quot; cell to the right." sqref="E8" xr:uid="{00000000-0002-0000-0300-000001000000}"/>
    <dataValidation type="list" allowBlank="1" showInputMessage="1" showErrorMessage="1" sqref="E12" xr:uid="{00000000-0002-0000-0300-000002000000}">
      <formula1>ScaledSmall</formula1>
    </dataValidation>
  </dataValidations>
  <hyperlinks>
    <hyperlink ref="A5" location="'Business Information'!D4" display="Business InformationMaster" xr:uid="{00000000-0004-0000-0300-000000000000}"/>
    <hyperlink ref="A9" location="Glossary!A1" display="Glossary" xr:uid="{00000000-0004-0000-0300-000001000000}"/>
    <hyperlink ref="A10" location="'Formula Notes'!D6" display="Formula Notes" xr:uid="{00000000-0004-0000-0300-000002000000}"/>
    <hyperlink ref="A7" location="Lite!D6" display="SIG Lite" xr:uid="{00000000-0004-0000-0300-000003000000}"/>
    <hyperlink ref="A6" location="Documentation!C3" display="Documentation Request List" xr:uid="{00000000-0004-0000-0300-000004000000}"/>
    <hyperlink ref="A4" location="'Terms of Use'!A1" display="Terms of Ues" xr:uid="{00000000-0004-0000-0300-000005000000}"/>
    <hyperlink ref="A11" location="Full!E1" display="Full" xr:uid="{00000000-0004-0000-0300-000006000000}"/>
    <hyperlink ref="A8" location="'Z. Additional Questions'!A6" display="Z. Additional Questions" xr:uid="{00000000-0004-0000-0300-000007000000}"/>
    <hyperlink ref="A12" location="'Full Lite'!E1" display="Full Lite" xr:uid="{00000000-0004-0000-0300-000008000000}"/>
  </hyperlinks>
  <pageMargins left="0.75" right="0.75" top="1" bottom="1" header="0.5" footer="0.5"/>
  <pageSetup scale="83"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pageSetUpPr fitToPage="1"/>
  </sheetPr>
  <dimension ref="A1:G45"/>
  <sheetViews>
    <sheetView showGridLines="0" showZeros="0" topLeftCell="B1" zoomScale="130" zoomScaleNormal="130" workbookViewId="0">
      <pane ySplit="3" topLeftCell="A4" activePane="bottomLeft" state="frozen"/>
      <selection activeCell="A2" sqref="A2"/>
      <selection pane="bottomLeft" activeCell="D31" sqref="D31"/>
    </sheetView>
  </sheetViews>
  <sheetFormatPr defaultRowHeight="12.75" x14ac:dyDescent="0.2"/>
  <cols>
    <col min="1" max="1" width="8.42578125" hidden="1" customWidth="1"/>
    <col min="2" max="2" width="76.7109375" customWidth="1"/>
    <col min="3" max="3" width="6.28515625" bestFit="1" customWidth="1"/>
    <col min="4" max="4" width="49" customWidth="1"/>
    <col min="5" max="5" width="3.140625" hidden="1" customWidth="1"/>
    <col min="6" max="6" width="2.42578125" hidden="1" customWidth="1"/>
    <col min="7" max="7" width="16.85546875" hidden="1" customWidth="1"/>
    <col min="8" max="8" width="16.7109375" customWidth="1"/>
    <col min="9" max="9" width="17.7109375" customWidth="1"/>
  </cols>
  <sheetData>
    <row r="1" spans="1:6" ht="23.25" x14ac:dyDescent="0.35">
      <c r="B1" s="43" t="s">
        <v>91</v>
      </c>
      <c r="C1" s="28"/>
      <c r="D1" s="74" t="str">
        <f>IF(Master&lt;&gt;"Master","",Master)</f>
        <v/>
      </c>
      <c r="E1" s="88" t="s">
        <v>108</v>
      </c>
      <c r="F1" s="88" t="s">
        <v>87</v>
      </c>
    </row>
    <row r="2" spans="1:6" ht="15" x14ac:dyDescent="0.25">
      <c r="A2" t="s">
        <v>109</v>
      </c>
      <c r="B2" s="86"/>
      <c r="C2" s="64">
        <f>IF(E3=0,"0%",E3/E2)</f>
        <v>1</v>
      </c>
      <c r="D2" s="65" t="s">
        <v>110</v>
      </c>
      <c r="E2" s="106">
        <f>COUNTA(E4:E45)</f>
        <v>32</v>
      </c>
    </row>
    <row r="3" spans="1:6" ht="15" x14ac:dyDescent="0.25">
      <c r="A3">
        <f>MAX(A4:A38)</f>
        <v>4004</v>
      </c>
      <c r="B3" s="29" t="s">
        <v>111</v>
      </c>
      <c r="C3" s="29"/>
      <c r="D3" s="105" t="s">
        <v>112</v>
      </c>
      <c r="E3" s="107">
        <f>COUNTIF(E4:E45,1)</f>
        <v>32</v>
      </c>
    </row>
    <row r="4" spans="1:6" ht="15" x14ac:dyDescent="0.25">
      <c r="A4" s="162">
        <v>2891</v>
      </c>
      <c r="B4" s="87" t="s">
        <v>113</v>
      </c>
      <c r="C4" s="89"/>
      <c r="D4" s="2" t="s">
        <v>114</v>
      </c>
      <c r="E4" s="162">
        <f>COUNTA(D4)</f>
        <v>1</v>
      </c>
      <c r="F4">
        <f>IF(D4="Yes",1,IF(D4="No",2,IF(D4="N/A",3,0)))</f>
        <v>0</v>
      </c>
    </row>
    <row r="5" spans="1:6" ht="15" x14ac:dyDescent="0.25">
      <c r="A5" s="162">
        <v>2892</v>
      </c>
      <c r="B5" s="87" t="s">
        <v>115</v>
      </c>
      <c r="C5" s="89"/>
      <c r="D5" s="2" t="s">
        <v>116</v>
      </c>
      <c r="E5" s="162">
        <f>COUNTA(D5)</f>
        <v>1</v>
      </c>
      <c r="F5">
        <f t="shared" ref="F5:F38" si="0">IF(D5="Yes",1,IF(D5="No",2,IF(D5="N/A",3,0)))</f>
        <v>0</v>
      </c>
    </row>
    <row r="6" spans="1:6" ht="15" x14ac:dyDescent="0.25">
      <c r="A6" s="162">
        <v>2893</v>
      </c>
      <c r="B6" s="87" t="s">
        <v>117</v>
      </c>
      <c r="C6" s="89"/>
      <c r="D6" s="2" t="s">
        <v>118</v>
      </c>
      <c r="E6" s="162">
        <f>COUNTA(D6)</f>
        <v>1</v>
      </c>
      <c r="F6">
        <f t="shared" si="0"/>
        <v>0</v>
      </c>
    </row>
    <row r="7" spans="1:6" ht="15" x14ac:dyDescent="0.25">
      <c r="A7">
        <v>3749</v>
      </c>
      <c r="B7" s="87" t="s">
        <v>119</v>
      </c>
      <c r="C7" s="89"/>
      <c r="D7" s="2" t="s">
        <v>1120</v>
      </c>
      <c r="E7" s="162">
        <f>COUNTA(D7)</f>
        <v>1</v>
      </c>
      <c r="F7">
        <f t="shared" si="0"/>
        <v>0</v>
      </c>
    </row>
    <row r="8" spans="1:6" ht="15" x14ac:dyDescent="0.25">
      <c r="A8" s="162">
        <v>2894</v>
      </c>
      <c r="B8" s="87" t="s">
        <v>120</v>
      </c>
      <c r="C8" s="89"/>
      <c r="D8" s="68">
        <v>43395</v>
      </c>
      <c r="E8" s="162">
        <f>COUNTA(D8)</f>
        <v>1</v>
      </c>
      <c r="F8">
        <f t="shared" si="0"/>
        <v>0</v>
      </c>
    </row>
    <row r="9" spans="1:6" ht="15" x14ac:dyDescent="0.25">
      <c r="A9" s="162"/>
      <c r="B9" s="29" t="s">
        <v>121</v>
      </c>
      <c r="C9" s="90"/>
      <c r="D9" s="91"/>
      <c r="E9" s="162"/>
      <c r="F9">
        <f t="shared" si="0"/>
        <v>0</v>
      </c>
    </row>
    <row r="10" spans="1:6" ht="15" customHeight="1" x14ac:dyDescent="0.25">
      <c r="A10" s="162">
        <v>2896</v>
      </c>
      <c r="B10" s="87" t="s">
        <v>122</v>
      </c>
      <c r="C10" s="30"/>
      <c r="D10" s="2" t="s">
        <v>123</v>
      </c>
      <c r="E10" s="162">
        <f t="shared" ref="E10:E21" si="1">COUNTA(D10)</f>
        <v>1</v>
      </c>
      <c r="F10">
        <f t="shared" si="0"/>
        <v>0</v>
      </c>
    </row>
    <row r="11" spans="1:6" ht="15" customHeight="1" x14ac:dyDescent="0.25">
      <c r="A11" s="162">
        <v>2897</v>
      </c>
      <c r="B11" s="87" t="s">
        <v>124</v>
      </c>
      <c r="C11" s="30"/>
      <c r="D11" s="2" t="s">
        <v>125</v>
      </c>
      <c r="E11" s="162">
        <f t="shared" si="1"/>
        <v>1</v>
      </c>
      <c r="F11">
        <f t="shared" si="0"/>
        <v>0</v>
      </c>
    </row>
    <row r="12" spans="1:6" ht="15" customHeight="1" x14ac:dyDescent="0.25">
      <c r="A12" s="162">
        <v>2898</v>
      </c>
      <c r="B12" s="87" t="s">
        <v>126</v>
      </c>
      <c r="C12" s="30"/>
      <c r="D12" s="2" t="s">
        <v>127</v>
      </c>
      <c r="E12" s="162">
        <f t="shared" si="1"/>
        <v>1</v>
      </c>
      <c r="F12">
        <f t="shared" si="0"/>
        <v>0</v>
      </c>
    </row>
    <row r="13" spans="1:6" ht="15" customHeight="1" x14ac:dyDescent="0.25">
      <c r="A13" s="162">
        <v>2899</v>
      </c>
      <c r="B13" s="158" t="s">
        <v>128</v>
      </c>
      <c r="C13" s="30"/>
      <c r="D13" s="2"/>
      <c r="E13" s="162">
        <f>IF(D12="Privately held",1,COUNTA(D13))</f>
        <v>1</v>
      </c>
      <c r="F13">
        <f t="shared" si="0"/>
        <v>0</v>
      </c>
    </row>
    <row r="14" spans="1:6" ht="15" customHeight="1" x14ac:dyDescent="0.25">
      <c r="A14" s="162">
        <v>2900</v>
      </c>
      <c r="B14" s="158" t="s">
        <v>129</v>
      </c>
      <c r="C14" s="30"/>
      <c r="D14" s="2"/>
      <c r="E14" s="162">
        <f>IF(D12="Privately held",1,COUNTA(D14))</f>
        <v>1</v>
      </c>
      <c r="F14">
        <f t="shared" si="0"/>
        <v>0</v>
      </c>
    </row>
    <row r="15" spans="1:6" ht="15" customHeight="1" x14ac:dyDescent="0.25">
      <c r="A15" s="162">
        <v>2901</v>
      </c>
      <c r="B15" s="87" t="s">
        <v>130</v>
      </c>
      <c r="C15" s="30"/>
      <c r="D15" s="2" t="s">
        <v>127</v>
      </c>
      <c r="E15" s="162">
        <f t="shared" si="1"/>
        <v>1</v>
      </c>
      <c r="F15">
        <f t="shared" si="0"/>
        <v>0</v>
      </c>
    </row>
    <row r="16" spans="1:6" ht="15" customHeight="1" x14ac:dyDescent="0.25">
      <c r="A16" s="162">
        <v>2902</v>
      </c>
      <c r="B16" s="87" t="s">
        <v>131</v>
      </c>
      <c r="C16" s="30"/>
      <c r="D16" s="2" t="s">
        <v>1119</v>
      </c>
      <c r="E16" s="162">
        <f t="shared" si="1"/>
        <v>1</v>
      </c>
      <c r="F16">
        <f t="shared" si="0"/>
        <v>0</v>
      </c>
    </row>
    <row r="17" spans="1:6" ht="15" customHeight="1" x14ac:dyDescent="0.25">
      <c r="A17" s="162">
        <v>2903</v>
      </c>
      <c r="B17" s="87" t="s">
        <v>132</v>
      </c>
      <c r="C17" s="30"/>
      <c r="D17" s="2" t="s">
        <v>96</v>
      </c>
      <c r="E17" s="162">
        <f t="shared" si="1"/>
        <v>1</v>
      </c>
      <c r="F17">
        <f t="shared" si="0"/>
        <v>2</v>
      </c>
    </row>
    <row r="18" spans="1:6" ht="15" customHeight="1" x14ac:dyDescent="0.25">
      <c r="A18" s="162">
        <v>2904</v>
      </c>
      <c r="B18" s="158" t="s">
        <v>133</v>
      </c>
      <c r="C18" s="30"/>
      <c r="D18" s="2"/>
      <c r="E18" s="162">
        <f>IF(D17="No",1,COUNTA(D18))</f>
        <v>1</v>
      </c>
      <c r="F18">
        <f t="shared" si="0"/>
        <v>0</v>
      </c>
    </row>
    <row r="19" spans="1:6" ht="15" customHeight="1" x14ac:dyDescent="0.25">
      <c r="A19">
        <v>4000</v>
      </c>
      <c r="B19" s="87" t="s">
        <v>134</v>
      </c>
      <c r="C19" s="30"/>
      <c r="D19" s="2" t="s">
        <v>96</v>
      </c>
      <c r="E19" s="162">
        <f t="shared" si="1"/>
        <v>1</v>
      </c>
      <c r="F19">
        <f t="shared" si="0"/>
        <v>2</v>
      </c>
    </row>
    <row r="20" spans="1:6" ht="15" customHeight="1" x14ac:dyDescent="0.25">
      <c r="A20">
        <v>4001</v>
      </c>
      <c r="B20" s="158" t="s">
        <v>135</v>
      </c>
      <c r="C20" s="30"/>
      <c r="D20" s="2"/>
      <c r="E20" s="162">
        <f>IF(D19="No",1,COUNTA(D20))</f>
        <v>1</v>
      </c>
      <c r="F20">
        <f t="shared" si="0"/>
        <v>0</v>
      </c>
    </row>
    <row r="21" spans="1:6" ht="29.25" x14ac:dyDescent="0.25">
      <c r="A21">
        <v>4002</v>
      </c>
      <c r="B21" s="159" t="s">
        <v>136</v>
      </c>
      <c r="C21" s="30"/>
      <c r="D21" s="2" t="s">
        <v>96</v>
      </c>
      <c r="E21" s="162">
        <f t="shared" si="1"/>
        <v>1</v>
      </c>
      <c r="F21">
        <f t="shared" si="0"/>
        <v>2</v>
      </c>
    </row>
    <row r="22" spans="1:6" ht="15" x14ac:dyDescent="0.25">
      <c r="A22">
        <v>4003</v>
      </c>
      <c r="B22" s="158" t="s">
        <v>135</v>
      </c>
      <c r="C22" s="30"/>
      <c r="D22" s="2"/>
      <c r="E22" s="162">
        <f>IF(D21="No",1,COUNTA(D22))</f>
        <v>1</v>
      </c>
      <c r="F22">
        <f t="shared" si="0"/>
        <v>0</v>
      </c>
    </row>
    <row r="23" spans="1:6" ht="29.25" x14ac:dyDescent="0.25">
      <c r="A23" s="162"/>
      <c r="B23" s="57" t="s">
        <v>137</v>
      </c>
      <c r="C23" s="92"/>
      <c r="D23" s="93"/>
      <c r="F23">
        <f t="shared" si="0"/>
        <v>0</v>
      </c>
    </row>
    <row r="24" spans="1:6" ht="29.25" customHeight="1" x14ac:dyDescent="0.25">
      <c r="A24" s="162">
        <v>2911</v>
      </c>
      <c r="B24" s="87" t="s">
        <v>138</v>
      </c>
      <c r="C24" s="30"/>
      <c r="D24" s="2" t="s">
        <v>139</v>
      </c>
      <c r="E24" s="162">
        <f>COUNTA(D24)</f>
        <v>1</v>
      </c>
      <c r="F24">
        <f t="shared" si="0"/>
        <v>0</v>
      </c>
    </row>
    <row r="25" spans="1:6" ht="15" customHeight="1" x14ac:dyDescent="0.25">
      <c r="A25" s="162">
        <v>2912</v>
      </c>
      <c r="B25" s="87" t="s">
        <v>140</v>
      </c>
      <c r="C25" s="30"/>
      <c r="D25" s="2" t="s">
        <v>408</v>
      </c>
      <c r="E25" s="162">
        <f>COUNTA(D25)</f>
        <v>1</v>
      </c>
      <c r="F25">
        <f t="shared" si="0"/>
        <v>0</v>
      </c>
    </row>
    <row r="26" spans="1:6" ht="15" customHeight="1" x14ac:dyDescent="0.25">
      <c r="A26" s="162">
        <v>2913</v>
      </c>
      <c r="B26" s="87" t="s">
        <v>141</v>
      </c>
      <c r="C26" s="30"/>
      <c r="D26" s="2" t="s">
        <v>96</v>
      </c>
      <c r="E26" s="162">
        <f>COUNTA(D26)</f>
        <v>1</v>
      </c>
      <c r="F26">
        <f t="shared" si="0"/>
        <v>2</v>
      </c>
    </row>
    <row r="27" spans="1:6" ht="15" customHeight="1" x14ac:dyDescent="0.25">
      <c r="A27" s="162">
        <v>2914</v>
      </c>
      <c r="B27" s="158" t="s">
        <v>142</v>
      </c>
      <c r="C27" s="30"/>
      <c r="D27" s="2"/>
      <c r="E27" s="162">
        <f>IF(D26="No",1,COUNTA(D27))</f>
        <v>1</v>
      </c>
      <c r="F27">
        <f t="shared" si="0"/>
        <v>0</v>
      </c>
    </row>
    <row r="28" spans="1:6" ht="29.25" customHeight="1" x14ac:dyDescent="0.25">
      <c r="A28" s="162">
        <v>2973</v>
      </c>
      <c r="B28" s="87" t="s">
        <v>143</v>
      </c>
      <c r="C28" s="30"/>
      <c r="D28" s="2" t="s">
        <v>144</v>
      </c>
      <c r="E28" s="162">
        <f>COUNTA(D28)</f>
        <v>1</v>
      </c>
      <c r="F28">
        <f t="shared" si="0"/>
        <v>0</v>
      </c>
    </row>
    <row r="29" spans="1:6" ht="15" customHeight="1" x14ac:dyDescent="0.25">
      <c r="A29">
        <v>3919</v>
      </c>
      <c r="B29" s="87" t="s">
        <v>145</v>
      </c>
      <c r="C29" s="30"/>
      <c r="D29" s="2" t="s">
        <v>93</v>
      </c>
      <c r="E29" s="162">
        <f>COUNTA(D29)</f>
        <v>1</v>
      </c>
      <c r="F29">
        <f t="shared" si="0"/>
        <v>1</v>
      </c>
    </row>
    <row r="30" spans="1:6" ht="15" customHeight="1" x14ac:dyDescent="0.25">
      <c r="A30">
        <v>3992</v>
      </c>
      <c r="B30" s="158" t="s">
        <v>146</v>
      </c>
      <c r="C30" s="30"/>
      <c r="D30" s="2" t="s">
        <v>147</v>
      </c>
      <c r="E30" s="162">
        <f>IF($D$29="No",1,COUNTA(D30))</f>
        <v>1</v>
      </c>
      <c r="F30">
        <f t="shared" si="0"/>
        <v>0</v>
      </c>
    </row>
    <row r="31" spans="1:6" ht="29.25" customHeight="1" x14ac:dyDescent="0.25">
      <c r="A31">
        <v>3993</v>
      </c>
      <c r="B31" s="158" t="s">
        <v>148</v>
      </c>
      <c r="C31" s="30"/>
      <c r="D31" s="2" t="s">
        <v>1121</v>
      </c>
      <c r="E31" s="162">
        <f>IF($D$29="No",1,COUNTA(D31))</f>
        <v>1</v>
      </c>
      <c r="F31">
        <f t="shared" si="0"/>
        <v>0</v>
      </c>
    </row>
    <row r="32" spans="1:6" ht="15" customHeight="1" x14ac:dyDescent="0.2">
      <c r="A32">
        <v>3994</v>
      </c>
      <c r="B32" s="158" t="s">
        <v>149</v>
      </c>
      <c r="C32" s="30"/>
      <c r="D32" s="94"/>
      <c r="E32" s="162"/>
      <c r="F32">
        <f t="shared" si="0"/>
        <v>0</v>
      </c>
    </row>
    <row r="33" spans="1:6" ht="15" customHeight="1" x14ac:dyDescent="0.25">
      <c r="A33">
        <v>3995</v>
      </c>
      <c r="B33" s="160" t="s">
        <v>150</v>
      </c>
      <c r="C33" s="30"/>
      <c r="D33" s="2" t="s">
        <v>96</v>
      </c>
      <c r="E33" s="162">
        <f t="shared" ref="E33:E38" si="2">IF($D$29="No",1,COUNTA(D33))</f>
        <v>1</v>
      </c>
      <c r="F33">
        <f t="shared" si="0"/>
        <v>2</v>
      </c>
    </row>
    <row r="34" spans="1:6" ht="15" customHeight="1" x14ac:dyDescent="0.25">
      <c r="A34">
        <v>3996</v>
      </c>
      <c r="B34" s="160" t="s">
        <v>151</v>
      </c>
      <c r="C34" s="30"/>
      <c r="D34" s="2" t="s">
        <v>93</v>
      </c>
      <c r="E34" s="162">
        <f t="shared" si="2"/>
        <v>1</v>
      </c>
      <c r="F34">
        <f t="shared" si="0"/>
        <v>1</v>
      </c>
    </row>
    <row r="35" spans="1:6" ht="15" customHeight="1" x14ac:dyDescent="0.25">
      <c r="A35">
        <v>3997</v>
      </c>
      <c r="B35" s="160" t="s">
        <v>152</v>
      </c>
      <c r="C35" s="30"/>
      <c r="D35" s="2" t="s">
        <v>147</v>
      </c>
      <c r="E35" s="162">
        <f t="shared" si="2"/>
        <v>1</v>
      </c>
      <c r="F35">
        <f t="shared" si="0"/>
        <v>0</v>
      </c>
    </row>
    <row r="36" spans="1:6" ht="15" customHeight="1" x14ac:dyDescent="0.25">
      <c r="A36">
        <v>3998</v>
      </c>
      <c r="B36" s="160" t="s">
        <v>153</v>
      </c>
      <c r="C36" s="30"/>
      <c r="D36" s="2" t="s">
        <v>96</v>
      </c>
      <c r="E36" s="162">
        <f t="shared" si="2"/>
        <v>1</v>
      </c>
      <c r="F36">
        <f t="shared" si="0"/>
        <v>2</v>
      </c>
    </row>
    <row r="37" spans="1:6" ht="15" customHeight="1" x14ac:dyDescent="0.25">
      <c r="A37">
        <v>4004</v>
      </c>
      <c r="B37" s="160" t="s">
        <v>154</v>
      </c>
      <c r="C37" s="30"/>
      <c r="D37" s="2" t="s">
        <v>96</v>
      </c>
      <c r="E37" s="162">
        <f t="shared" si="2"/>
        <v>1</v>
      </c>
      <c r="F37">
        <f t="shared" ref="F37" si="3">IF(D37="Yes",1,IF(D37="No",2,IF(D37="N/A",3,0)))</f>
        <v>2</v>
      </c>
    </row>
    <row r="38" spans="1:6" ht="15" customHeight="1" x14ac:dyDescent="0.25">
      <c r="A38">
        <v>3999</v>
      </c>
      <c r="B38" s="160" t="s">
        <v>155</v>
      </c>
      <c r="C38" s="30"/>
      <c r="D38" s="2" t="s">
        <v>96</v>
      </c>
      <c r="E38" s="162">
        <f t="shared" si="2"/>
        <v>1</v>
      </c>
      <c r="F38">
        <f t="shared" si="0"/>
        <v>2</v>
      </c>
    </row>
    <row r="39" spans="1:6" ht="14.25" x14ac:dyDescent="0.2">
      <c r="B39" s="95"/>
      <c r="C39" s="96"/>
      <c r="D39" s="21"/>
    </row>
    <row r="40" spans="1:6" ht="14.25" x14ac:dyDescent="0.2">
      <c r="B40" s="95"/>
      <c r="C40" s="96"/>
      <c r="D40" s="21"/>
    </row>
    <row r="41" spans="1:6" ht="14.25" x14ac:dyDescent="0.2">
      <c r="B41" s="95"/>
      <c r="C41" s="96"/>
      <c r="D41" s="21"/>
    </row>
    <row r="42" spans="1:6" ht="14.25" x14ac:dyDescent="0.2">
      <c r="B42" s="95"/>
      <c r="C42" s="96"/>
      <c r="D42" s="21"/>
    </row>
    <row r="43" spans="1:6" ht="14.25" x14ac:dyDescent="0.2">
      <c r="B43" s="95"/>
      <c r="C43" s="96"/>
      <c r="D43" s="21"/>
    </row>
    <row r="44" spans="1:6" ht="14.25" x14ac:dyDescent="0.2">
      <c r="B44" s="95"/>
      <c r="C44" s="96"/>
      <c r="D44" s="21"/>
    </row>
    <row r="45" spans="1:6" ht="14.25" x14ac:dyDescent="0.2">
      <c r="B45" s="95"/>
      <c r="C45" s="96"/>
      <c r="D45" s="21"/>
    </row>
  </sheetData>
  <sheetProtection algorithmName="SHA-512" hashValue="GuOwJ1IasDyA6DItZbRrsfWU64+x0CpCL+xDfZ4E/WOEVovX8geIophYDNXmOWxmY+bQoBMcCemeCpgDpBlMKg==" saltValue="7Ey+VF3xUbjPMYpurUSpPQ==" spinCount="100000" sheet="1" objects="1" scenarios="1"/>
  <customSheetViews>
    <customSheetView guid="{E1B3B869-9B15-4AFC-BA36-DA09F5711648}" showRuler="0">
      <pageMargins left="0" right="0" top="0" bottom="0" header="0" footer="0"/>
      <pageSetup orientation="portrait"/>
      <headerFooter alignWithMargins="0"/>
    </customSheetView>
    <customSheetView guid="{D7B51006-83AC-4A14-BAFD-CE844DFB8668}" showRuler="0">
      <pageMargins left="0" right="0" top="0" bottom="0" header="0" footer="0"/>
      <pageSetup orientation="portrait"/>
      <headerFooter alignWithMargins="0"/>
    </customSheetView>
  </customSheetViews>
  <phoneticPr fontId="0" type="noConversion"/>
  <conditionalFormatting sqref="A24:A27 A29:A38 A4:A22">
    <cfRule type="expression" dxfId="192" priority="27" stopIfTrue="1">
      <formula>A4=""</formula>
    </cfRule>
  </conditionalFormatting>
  <conditionalFormatting sqref="A23">
    <cfRule type="expression" dxfId="191" priority="11" stopIfTrue="1">
      <formula>A23=""</formula>
    </cfRule>
  </conditionalFormatting>
  <conditionalFormatting sqref="D1">
    <cfRule type="expression" dxfId="190" priority="2" stopIfTrue="1">
      <formula>Master="Master"</formula>
    </cfRule>
    <cfRule type="expression" dxfId="189" priority="6" stopIfTrue="1">
      <formula>OR($C$2&lt;1,$C$2="0%")</formula>
    </cfRule>
    <cfRule type="expression" dxfId="188" priority="7" stopIfTrue="1">
      <formula>$C$2=1</formula>
    </cfRule>
  </conditionalFormatting>
  <conditionalFormatting sqref="A28">
    <cfRule type="expression" dxfId="187" priority="1" stopIfTrue="1">
      <formula>A28=""</formula>
    </cfRule>
  </conditionalFormatting>
  <conditionalFormatting sqref="B1:D2">
    <cfRule type="expression" dxfId="186" priority="4" stopIfTrue="1">
      <formula>OR($C$2&lt;1,$C$2="0%")</formula>
    </cfRule>
    <cfRule type="expression" dxfId="185" priority="5" stopIfTrue="1">
      <formula>$C$2=1</formula>
    </cfRule>
  </conditionalFormatting>
  <conditionalFormatting sqref="D4:D8 D33:D38 D10:D22 D24:D31">
    <cfRule type="expression" dxfId="184" priority="630" stopIfTrue="1">
      <formula>E4=1</formula>
    </cfRule>
    <cfRule type="expression" dxfId="183" priority="631" stopIfTrue="1">
      <formula>E4&lt;&gt;1</formula>
    </cfRule>
  </conditionalFormatting>
  <dataValidations count="2">
    <dataValidation type="list" allowBlank="1" showInputMessage="1" showErrorMessage="1" sqref="D17 D26 D29 D21 D19 D33:D38" xr:uid="{00000000-0002-0000-0400-000000000000}">
      <formula1>"Yes,No"</formula1>
    </dataValidation>
    <dataValidation type="list" allowBlank="1" showInputMessage="1" showErrorMessage="1" sqref="D12" xr:uid="{00000000-0002-0000-0400-000001000000}">
      <formula1>"Publicly held, Privately held"</formula1>
    </dataValidation>
  </dataValidations>
  <pageMargins left="0.75" right="0.75" top="1" bottom="1" header="0.5" footer="0.5"/>
  <pageSetup scale="94"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pageSetUpPr fitToPage="1"/>
  </sheetPr>
  <dimension ref="A1:D32"/>
  <sheetViews>
    <sheetView showGridLines="0" showZeros="0" zoomScale="115" zoomScaleNormal="115" workbookViewId="0">
      <pane ySplit="2" topLeftCell="A3" activePane="bottomLeft" state="frozen"/>
      <selection activeCell="D4" sqref="D4"/>
      <selection pane="bottomLeft" activeCell="D7" sqref="D7"/>
    </sheetView>
  </sheetViews>
  <sheetFormatPr defaultRowHeight="12.75" x14ac:dyDescent="0.2"/>
  <cols>
    <col min="1" max="1" width="8.42578125" hidden="1" customWidth="1"/>
    <col min="2" max="2" width="83" customWidth="1"/>
    <col min="3" max="3" width="11.7109375" bestFit="1" customWidth="1"/>
    <col min="4" max="4" width="49" customWidth="1"/>
  </cols>
  <sheetData>
    <row r="1" spans="1:4" ht="52.5" x14ac:dyDescent="0.25">
      <c r="A1" t="s">
        <v>109</v>
      </c>
      <c r="B1" s="78" t="s">
        <v>156</v>
      </c>
      <c r="C1" s="118"/>
      <c r="D1" s="119">
        <f>Master</f>
        <v>0</v>
      </c>
    </row>
    <row r="2" spans="1:4" ht="30" customHeight="1" x14ac:dyDescent="0.25">
      <c r="A2">
        <f>MAX(A3:A32)</f>
        <v>4006</v>
      </c>
      <c r="B2" s="63" t="s">
        <v>157</v>
      </c>
      <c r="C2" s="122" t="s">
        <v>158</v>
      </c>
      <c r="D2" s="38" t="s">
        <v>159</v>
      </c>
    </row>
    <row r="3" spans="1:4" ht="172.9" customHeight="1" x14ac:dyDescent="0.25">
      <c r="A3" s="162">
        <v>2922</v>
      </c>
      <c r="B3" s="97" t="s">
        <v>160</v>
      </c>
      <c r="C3" s="2"/>
      <c r="D3" s="2" t="s">
        <v>1112</v>
      </c>
    </row>
    <row r="4" spans="1:4" ht="17.45" customHeight="1" x14ac:dyDescent="0.25">
      <c r="A4" s="162">
        <v>2923</v>
      </c>
      <c r="B4" s="97" t="s">
        <v>161</v>
      </c>
      <c r="C4" s="2"/>
      <c r="D4" s="2" t="s">
        <v>1118</v>
      </c>
    </row>
    <row r="5" spans="1:4" ht="58.9" customHeight="1" x14ac:dyDescent="0.25">
      <c r="A5" s="162">
        <v>2924</v>
      </c>
      <c r="B5" s="97" t="s">
        <v>162</v>
      </c>
      <c r="C5" s="2"/>
      <c r="D5" s="2" t="s">
        <v>1113</v>
      </c>
    </row>
    <row r="6" spans="1:4" ht="15" x14ac:dyDescent="0.25">
      <c r="A6" s="162">
        <v>2925</v>
      </c>
      <c r="B6" s="97" t="s">
        <v>163</v>
      </c>
      <c r="C6" s="2"/>
      <c r="D6" s="2" t="s">
        <v>1114</v>
      </c>
    </row>
    <row r="7" spans="1:4" ht="15" x14ac:dyDescent="0.25">
      <c r="A7" s="162">
        <v>2926</v>
      </c>
      <c r="B7" s="97" t="s">
        <v>164</v>
      </c>
      <c r="C7" s="2"/>
      <c r="D7" s="2" t="s">
        <v>1114</v>
      </c>
    </row>
    <row r="8" spans="1:4" ht="15" x14ac:dyDescent="0.25">
      <c r="A8" s="162">
        <v>2927</v>
      </c>
      <c r="B8" s="97" t="s">
        <v>165</v>
      </c>
      <c r="C8" s="2"/>
      <c r="D8" s="2" t="s">
        <v>1114</v>
      </c>
    </row>
    <row r="9" spans="1:4" ht="15" x14ac:dyDescent="0.25">
      <c r="A9" s="162">
        <v>2928</v>
      </c>
      <c r="B9" s="97" t="s">
        <v>166</v>
      </c>
      <c r="C9" s="2"/>
      <c r="D9" s="2" t="s">
        <v>1114</v>
      </c>
    </row>
    <row r="10" spans="1:4" ht="15" x14ac:dyDescent="0.25">
      <c r="A10" s="162">
        <v>2929</v>
      </c>
      <c r="B10" s="97" t="s">
        <v>167</v>
      </c>
      <c r="C10" s="2"/>
      <c r="D10" s="2" t="s">
        <v>1115</v>
      </c>
    </row>
    <row r="11" spans="1:4" ht="29.25" x14ac:dyDescent="0.25">
      <c r="A11" s="162">
        <v>2930</v>
      </c>
      <c r="B11" s="97" t="s">
        <v>168</v>
      </c>
      <c r="C11" s="2"/>
      <c r="D11" s="2" t="s">
        <v>1114</v>
      </c>
    </row>
    <row r="12" spans="1:4" ht="15" x14ac:dyDescent="0.25">
      <c r="A12" s="162">
        <v>2931</v>
      </c>
      <c r="B12" s="97" t="s">
        <v>169</v>
      </c>
      <c r="C12" s="2"/>
      <c r="D12" s="2" t="s">
        <v>1114</v>
      </c>
    </row>
    <row r="13" spans="1:4" ht="15" x14ac:dyDescent="0.25">
      <c r="A13" s="162">
        <v>2932</v>
      </c>
      <c r="B13" s="97" t="s">
        <v>170</v>
      </c>
      <c r="C13" s="2"/>
      <c r="D13" s="2" t="s">
        <v>1115</v>
      </c>
    </row>
    <row r="14" spans="1:4" ht="15" x14ac:dyDescent="0.25">
      <c r="A14" s="162">
        <v>2933</v>
      </c>
      <c r="B14" s="97" t="s">
        <v>171</v>
      </c>
      <c r="C14" s="2"/>
      <c r="D14" s="2" t="s">
        <v>1115</v>
      </c>
    </row>
    <row r="15" spans="1:4" ht="15" x14ac:dyDescent="0.25">
      <c r="A15" s="162">
        <v>2934</v>
      </c>
      <c r="B15" s="97" t="s">
        <v>172</v>
      </c>
      <c r="C15" s="2"/>
      <c r="D15" s="2" t="s">
        <v>1115</v>
      </c>
    </row>
    <row r="16" spans="1:4" ht="15" x14ac:dyDescent="0.25">
      <c r="A16" s="162">
        <v>2935</v>
      </c>
      <c r="B16" s="97" t="s">
        <v>173</v>
      </c>
      <c r="C16" s="2"/>
      <c r="D16" s="2" t="s">
        <v>1114</v>
      </c>
    </row>
    <row r="17" spans="1:4" ht="15" x14ac:dyDescent="0.25">
      <c r="A17" s="162">
        <v>2936</v>
      </c>
      <c r="B17" s="97" t="s">
        <v>174</v>
      </c>
      <c r="C17" s="2"/>
      <c r="D17" s="2" t="s">
        <v>1115</v>
      </c>
    </row>
    <row r="18" spans="1:4" ht="15" x14ac:dyDescent="0.25">
      <c r="A18" s="162">
        <v>2937</v>
      </c>
      <c r="B18" s="97" t="s">
        <v>175</v>
      </c>
      <c r="C18" s="2"/>
      <c r="D18" s="2" t="s">
        <v>1115</v>
      </c>
    </row>
    <row r="19" spans="1:4" ht="15" x14ac:dyDescent="0.25">
      <c r="A19" s="162">
        <v>2938</v>
      </c>
      <c r="B19" s="97" t="s">
        <v>176</v>
      </c>
      <c r="C19" s="2"/>
      <c r="D19" s="2" t="s">
        <v>1114</v>
      </c>
    </row>
    <row r="20" spans="1:4" ht="15" x14ac:dyDescent="0.25">
      <c r="A20" s="162">
        <v>2939</v>
      </c>
      <c r="B20" s="97" t="s">
        <v>177</v>
      </c>
      <c r="C20" s="2"/>
      <c r="D20" s="2" t="s">
        <v>1114</v>
      </c>
    </row>
    <row r="21" spans="1:4" ht="15" x14ac:dyDescent="0.25">
      <c r="A21" s="162">
        <v>2940</v>
      </c>
      <c r="B21" s="97" t="s">
        <v>178</v>
      </c>
      <c r="C21" s="2"/>
      <c r="D21" s="2" t="s">
        <v>1116</v>
      </c>
    </row>
    <row r="22" spans="1:4" ht="15" x14ac:dyDescent="0.25">
      <c r="A22" s="162">
        <v>2941</v>
      </c>
      <c r="B22" s="97" t="s">
        <v>179</v>
      </c>
      <c r="C22" s="2"/>
      <c r="D22" s="2" t="s">
        <v>1115</v>
      </c>
    </row>
    <row r="23" spans="1:4" ht="15" x14ac:dyDescent="0.25">
      <c r="A23" s="162">
        <v>2942</v>
      </c>
      <c r="B23" s="97" t="s">
        <v>180</v>
      </c>
      <c r="C23" s="2"/>
      <c r="D23" s="2" t="s">
        <v>1114</v>
      </c>
    </row>
    <row r="24" spans="1:4" ht="15" x14ac:dyDescent="0.25">
      <c r="A24" s="162">
        <v>2943</v>
      </c>
      <c r="B24" s="97" t="s">
        <v>181</v>
      </c>
      <c r="C24" s="2"/>
      <c r="D24" s="2" t="s">
        <v>1114</v>
      </c>
    </row>
    <row r="25" spans="1:4" ht="15" x14ac:dyDescent="0.25">
      <c r="A25" s="162">
        <v>3301</v>
      </c>
      <c r="B25" s="97" t="s">
        <v>182</v>
      </c>
      <c r="C25" s="2"/>
      <c r="D25" s="2" t="s">
        <v>1115</v>
      </c>
    </row>
    <row r="26" spans="1:4" ht="15" x14ac:dyDescent="0.25">
      <c r="A26">
        <v>4005</v>
      </c>
      <c r="B26" s="97" t="s">
        <v>183</v>
      </c>
      <c r="C26" s="66"/>
      <c r="D26" s="2" t="s">
        <v>1114</v>
      </c>
    </row>
    <row r="27" spans="1:4" ht="15" x14ac:dyDescent="0.25">
      <c r="A27">
        <v>4006</v>
      </c>
      <c r="B27" s="97" t="s">
        <v>184</v>
      </c>
      <c r="C27" s="66"/>
      <c r="D27" s="2" t="s">
        <v>1117</v>
      </c>
    </row>
    <row r="28" spans="1:4" ht="15" x14ac:dyDescent="0.25">
      <c r="B28" s="66"/>
      <c r="C28" s="66"/>
      <c r="D28" s="2"/>
    </row>
    <row r="29" spans="1:4" ht="15" x14ac:dyDescent="0.25">
      <c r="B29" s="66"/>
      <c r="C29" s="66"/>
      <c r="D29" s="2"/>
    </row>
    <row r="30" spans="1:4" ht="15" x14ac:dyDescent="0.25">
      <c r="B30" s="66"/>
      <c r="C30" s="66"/>
      <c r="D30" s="2"/>
    </row>
    <row r="31" spans="1:4" ht="15" x14ac:dyDescent="0.25">
      <c r="B31" s="66"/>
      <c r="C31" s="66"/>
      <c r="D31" s="2"/>
    </row>
    <row r="32" spans="1:4" ht="42.75" x14ac:dyDescent="0.2">
      <c r="B32" s="98" t="s">
        <v>185</v>
      </c>
      <c r="C32" s="67"/>
    </row>
  </sheetData>
  <sheetProtection algorithmName="SHA-512" hashValue="06Vawvj/TYYU/PWqlwdEVFvM3P+fLJMvavSB6Bbkl44GTjDfgJAZfQNbC9eCQI3CUOwvkG0pea3Q5T71K2Ewtg==" saltValue="XD2D/DaFXFnLVNJcjyzkhA==" spinCount="100000" sheet="1" objects="1" scenarios="1"/>
  <customSheetViews>
    <customSheetView guid="{E1B3B869-9B15-4AFC-BA36-DA09F5711648}" showRuler="0" topLeftCell="A14">
      <selection activeCell="A18" sqref="A18:IV18"/>
      <pageMargins left="0" right="0" top="0" bottom="0" header="0" footer="0"/>
      <headerFooter alignWithMargins="0"/>
    </customSheetView>
    <customSheetView guid="{D7B51006-83AC-4A14-BAFD-CE844DFB8668}" showRuler="0" topLeftCell="A14">
      <selection activeCell="A18" sqref="A18:IV18"/>
      <pageMargins left="0" right="0" top="0" bottom="0" header="0" footer="0"/>
      <headerFooter alignWithMargins="0"/>
    </customSheetView>
  </customSheetViews>
  <phoneticPr fontId="0" type="noConversion"/>
  <conditionalFormatting sqref="A3:A25">
    <cfRule type="expression" dxfId="182" priority="77" stopIfTrue="1">
      <formula>A3=""</formula>
    </cfRule>
  </conditionalFormatting>
  <conditionalFormatting sqref="D3:D31">
    <cfRule type="expression" dxfId="181" priority="9" stopIfTrue="1">
      <formula>D3&lt;&gt;""</formula>
    </cfRule>
    <cfRule type="expression" dxfId="180" priority="10" stopIfTrue="1">
      <formula>D3=""</formula>
    </cfRule>
  </conditionalFormatting>
  <conditionalFormatting sqref="C3:C25">
    <cfRule type="expression" dxfId="179" priority="4" stopIfTrue="1">
      <formula>C3&lt;&gt;""</formula>
    </cfRule>
    <cfRule type="expression" dxfId="178" priority="5" stopIfTrue="1">
      <formula>C3=""</formula>
    </cfRule>
  </conditionalFormatting>
  <conditionalFormatting sqref="D1">
    <cfRule type="expression" dxfId="177" priority="2" stopIfTrue="1">
      <formula>Master&lt;&gt;"Master"</formula>
    </cfRule>
    <cfRule type="expression" dxfId="176" priority="3" stopIfTrue="1">
      <formula>Master="Master"</formula>
    </cfRule>
  </conditionalFormatting>
  <conditionalFormatting sqref="A26:A27">
    <cfRule type="expression" dxfId="175" priority="1" stopIfTrue="1">
      <formula>A26=""</formula>
    </cfRule>
  </conditionalFormatting>
  <pageMargins left="0.75" right="0.75" top="1" bottom="1" header="0.5" footer="0.5"/>
  <pageSetup scale="85"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filterMode="1">
    <pageSetUpPr fitToPage="1"/>
  </sheetPr>
  <dimension ref="A1:AJ161"/>
  <sheetViews>
    <sheetView showGridLines="0" tabSelected="1" topLeftCell="B1" zoomScale="145" zoomScaleNormal="145" workbookViewId="0">
      <pane ySplit="4" topLeftCell="A98" activePane="bottomLeft" state="frozen"/>
      <selection pane="bottomLeft" activeCell="D158" sqref="D158"/>
    </sheetView>
  </sheetViews>
  <sheetFormatPr defaultColWidth="9.140625" defaultRowHeight="12.75" x14ac:dyDescent="0.2"/>
  <cols>
    <col min="1" max="1" width="5.140625" hidden="1" customWidth="1"/>
    <col min="2" max="2" width="13.42578125" customWidth="1"/>
    <col min="3" max="3" width="67" customWidth="1"/>
    <col min="4" max="4" width="11.42578125" bestFit="1" customWidth="1"/>
    <col min="5" max="5" width="11.42578125" customWidth="1"/>
    <col min="6" max="6" width="40.7109375" customWidth="1"/>
    <col min="7" max="7" width="27.85546875" customWidth="1"/>
    <col min="8" max="8" width="10.28515625" customWidth="1"/>
    <col min="9" max="9" width="28.140625" customWidth="1"/>
    <col min="10" max="11" width="3.85546875" hidden="1" customWidth="1"/>
    <col min="12" max="12" width="4.7109375" hidden="1" customWidth="1"/>
    <col min="13" max="15" width="3.85546875" hidden="1" customWidth="1"/>
    <col min="16" max="16" width="4.140625" hidden="1" customWidth="1"/>
    <col min="17" max="17" width="5.140625" hidden="1" customWidth="1"/>
    <col min="18" max="18" width="4.140625" hidden="1" customWidth="1"/>
    <col min="19" max="19" width="5.140625" hidden="1" customWidth="1"/>
    <col min="20" max="20" width="3.85546875" hidden="1" customWidth="1"/>
    <col min="21" max="24" width="3.140625" hidden="1" customWidth="1"/>
    <col min="25" max="25" width="3.85546875" hidden="1" customWidth="1"/>
    <col min="26" max="26" width="14.140625" hidden="1" customWidth="1"/>
    <col min="27" max="27" width="28.140625" hidden="1" customWidth="1"/>
    <col min="28" max="28" width="8.85546875" customWidth="1"/>
    <col min="29" max="29" width="3.85546875" hidden="1" customWidth="1"/>
    <col min="30" max="30" width="6.140625" hidden="1" customWidth="1"/>
    <col min="31" max="33" width="5.140625" hidden="1" customWidth="1"/>
    <col min="34" max="34" width="4.85546875" hidden="1" customWidth="1"/>
    <col min="35" max="35" width="9.140625" hidden="1" customWidth="1"/>
    <col min="36" max="36" width="3.85546875" hidden="1" customWidth="1"/>
  </cols>
  <sheetData>
    <row r="1" spans="1:36" ht="23.25" x14ac:dyDescent="0.35">
      <c r="A1">
        <v>11</v>
      </c>
      <c r="B1" s="43" t="s">
        <v>97</v>
      </c>
      <c r="C1" s="5"/>
      <c r="D1" s="5"/>
      <c r="E1" s="5"/>
      <c r="F1" s="44"/>
      <c r="G1" s="125"/>
      <c r="H1" s="99"/>
      <c r="I1" s="31" t="str">
        <f>IF(Master&lt;&gt;"Master","",Master)</f>
        <v/>
      </c>
      <c r="J1" s="163"/>
      <c r="K1" s="163"/>
      <c r="L1" s="163" t="s">
        <v>106</v>
      </c>
      <c r="M1" s="163" t="s">
        <v>106</v>
      </c>
      <c r="N1" s="163"/>
      <c r="O1" s="163"/>
      <c r="P1" s="163"/>
      <c r="Q1" s="163" t="s">
        <v>186</v>
      </c>
      <c r="R1" s="163"/>
      <c r="S1" s="163"/>
      <c r="T1" s="163"/>
      <c r="U1" s="163"/>
      <c r="V1" s="163"/>
      <c r="W1" s="163"/>
      <c r="X1" s="163"/>
      <c r="Y1" s="163"/>
      <c r="Z1" s="5"/>
      <c r="AA1" s="23"/>
      <c r="AB1" s="58"/>
    </row>
    <row r="2" spans="1:36" x14ac:dyDescent="0.2">
      <c r="B2" s="8"/>
      <c r="C2" s="32"/>
      <c r="D2" s="6">
        <f>IF(SUM(AE5:AE20)/SUM(AD5:AD20)=0,"0%",SUM(AE5:AE20)/SUM(AD5:AD20))</f>
        <v>1</v>
      </c>
      <c r="E2" s="32" t="s">
        <v>110</v>
      </c>
      <c r="F2" s="32"/>
      <c r="G2" s="126" t="s">
        <v>187</v>
      </c>
      <c r="H2" s="127" t="s">
        <v>188</v>
      </c>
      <c r="I2" s="32"/>
      <c r="J2" s="164"/>
      <c r="K2" s="164"/>
      <c r="L2" s="164"/>
      <c r="M2" s="164"/>
      <c r="N2" s="164"/>
      <c r="O2" s="164"/>
      <c r="P2" s="164"/>
      <c r="Q2" s="164"/>
      <c r="R2" s="164"/>
      <c r="S2" s="164"/>
      <c r="T2" s="32"/>
      <c r="U2" s="164"/>
      <c r="V2" s="164"/>
      <c r="W2" s="164"/>
      <c r="X2" s="164"/>
      <c r="Y2" s="164"/>
      <c r="Z2" s="32"/>
      <c r="AA2" s="45"/>
      <c r="AB2" s="58"/>
    </row>
    <row r="3" spans="1:36" ht="62.25" customHeight="1" x14ac:dyDescent="0.2">
      <c r="A3" s="12" t="s">
        <v>189</v>
      </c>
      <c r="B3" s="172" t="s">
        <v>190</v>
      </c>
      <c r="C3" s="172"/>
      <c r="D3" s="172"/>
      <c r="E3" s="172"/>
      <c r="F3" s="172"/>
      <c r="G3" s="173"/>
      <c r="H3" s="173"/>
      <c r="I3" s="173"/>
      <c r="J3" s="165" t="s">
        <v>191</v>
      </c>
      <c r="K3" s="12" t="s">
        <v>192</v>
      </c>
      <c r="L3" s="12" t="s">
        <v>193</v>
      </c>
      <c r="M3" s="12" t="s">
        <v>194</v>
      </c>
      <c r="N3" s="165"/>
      <c r="O3" s="165"/>
      <c r="P3" s="165"/>
      <c r="Q3" s="165" t="s">
        <v>195</v>
      </c>
      <c r="R3" s="165" t="s">
        <v>196</v>
      </c>
      <c r="S3" s="165" t="s">
        <v>197</v>
      </c>
      <c r="T3" s="165" t="s">
        <v>198</v>
      </c>
      <c r="U3" s="165" t="s">
        <v>199</v>
      </c>
      <c r="V3" s="166" t="s">
        <v>200</v>
      </c>
      <c r="W3" s="162"/>
      <c r="X3" s="12" t="s">
        <v>201</v>
      </c>
      <c r="Y3" s="166" t="s">
        <v>202</v>
      </c>
      <c r="AB3" s="132" t="s">
        <v>203</v>
      </c>
      <c r="AC3" s="165" t="s">
        <v>204</v>
      </c>
      <c r="AD3" s="165" t="s">
        <v>205</v>
      </c>
      <c r="AE3" s="165" t="s">
        <v>206</v>
      </c>
      <c r="AF3" s="165" t="s">
        <v>207</v>
      </c>
      <c r="AG3" s="165" t="s">
        <v>208</v>
      </c>
      <c r="AH3" s="165" t="s">
        <v>209</v>
      </c>
      <c r="AI3" s="165" t="s">
        <v>210</v>
      </c>
      <c r="AJ3" s="12" t="s">
        <v>211</v>
      </c>
    </row>
    <row r="4" spans="1:36" ht="15" x14ac:dyDescent="0.25">
      <c r="A4" s="162">
        <f>MAX(A5:A161)</f>
        <v>4154</v>
      </c>
      <c r="B4" s="83" t="s">
        <v>212</v>
      </c>
      <c r="C4" s="83" t="s">
        <v>213</v>
      </c>
      <c r="D4" s="83" t="s">
        <v>112</v>
      </c>
      <c r="E4" s="83" t="s">
        <v>214</v>
      </c>
      <c r="F4" s="83" t="s">
        <v>215</v>
      </c>
      <c r="G4" s="83" t="s">
        <v>216</v>
      </c>
      <c r="H4" s="29" t="s">
        <v>217</v>
      </c>
      <c r="I4" s="140"/>
      <c r="J4" s="167"/>
      <c r="K4" s="167"/>
      <c r="L4" s="167"/>
      <c r="N4" s="167"/>
      <c r="O4" s="167"/>
      <c r="P4" s="162"/>
      <c r="Q4" s="162"/>
      <c r="R4" s="162"/>
      <c r="S4" s="162"/>
      <c r="T4" s="162"/>
      <c r="U4" s="162"/>
      <c r="V4" s="162"/>
      <c r="W4" s="162"/>
      <c r="X4" s="162"/>
      <c r="Z4" s="1"/>
      <c r="AA4" s="1"/>
      <c r="AC4" s="162"/>
      <c r="AD4" s="162"/>
      <c r="AE4" s="162"/>
      <c r="AF4" s="162"/>
      <c r="AG4" s="162"/>
      <c r="AH4" s="162"/>
      <c r="AI4" s="162"/>
    </row>
    <row r="5" spans="1:36" ht="15" x14ac:dyDescent="0.25">
      <c r="B5" s="9"/>
      <c r="C5" s="16" t="s">
        <v>218</v>
      </c>
      <c r="D5" s="114"/>
      <c r="E5" s="114"/>
      <c r="F5" s="16"/>
      <c r="G5" s="15"/>
      <c r="H5" s="15"/>
      <c r="I5" s="13"/>
      <c r="J5" s="111"/>
      <c r="K5" s="111">
        <v>1</v>
      </c>
      <c r="L5" s="109"/>
      <c r="M5">
        <f>IF(J5="",M4+1,M4)</f>
        <v>1</v>
      </c>
      <c r="N5" s="109"/>
      <c r="P5" s="162"/>
      <c r="Q5" s="162">
        <f t="shared" ref="Q5:Q6" si="0">IF(ISNA(VLOOKUP(A5,BusInfoArray,6,FALSE)),0,VLOOKUP(A5,BusInfoArray,6,FALSE))</f>
        <v>0</v>
      </c>
      <c r="R5" s="162" t="str">
        <f>IF(J5="","",IF(D5="",0,IF(D5="N/A",3,IF(OR(AND($M$1="Binary",D5="Yes"),AND($M$1="Scaled",D5&gt;Dashboard!$D$12)),1,IF(OR(AND($M$1="Binary",D5="No"),AND($M$1="Scaled",D5&lt;=Dashboard!$D$12)),2,"Oops there is an error")))))</f>
        <v/>
      </c>
      <c r="S5" s="162" t="str">
        <f>IF(J5="","",IF(Q5&gt;0,Q5,IF(R5&gt;0,R5,0)))</f>
        <v/>
      </c>
      <c r="T5" s="162"/>
      <c r="U5" s="162">
        <f>IF(J5="",U4,IF(AND(S5&gt;1,OR(U4="",U4=0,U4&gt;=J5)),J5,IF(J5&gt;U4,U4,0)))</f>
        <v>0</v>
      </c>
      <c r="V5" s="162" t="str">
        <f t="shared" ref="V5:V6" si="1">IF(Master="Master",R5,IF(V4="",S5,IF(OR(AND(U5&gt;0,S5&lt;V4),AND(U5=1,S5&lt;=V4)),V4,S5)))</f>
        <v/>
      </c>
      <c r="X5">
        <f t="shared" ref="X5:X6" si="2">IF(AND(J5=1,S5=1),2,IF(AND(V4=1,M5=M4),2,IF(AND(X4=2,M5=M4),2,IF(OR(J5=1,J5=""),1,""))))</f>
        <v>1</v>
      </c>
      <c r="Z5" s="15"/>
      <c r="AA5" s="13"/>
      <c r="AC5" t="s">
        <v>219</v>
      </c>
      <c r="AD5">
        <f t="shared" ref="AD5:AD20" si="3">COUNTIF($K$5:$K$161,AC5)</f>
        <v>1</v>
      </c>
      <c r="AE5">
        <f t="shared" ref="AE5:AE20" si="4">SUMPRODUCT(($Y$5:$Y$161)*($K$5:$K$161=AC5))</f>
        <v>1</v>
      </c>
      <c r="AF5" t="e">
        <f>#REF!</f>
        <v>#REF!</v>
      </c>
      <c r="AG5" t="e">
        <f>#REF!</f>
        <v>#REF!</v>
      </c>
      <c r="AH5" t="e">
        <f>#REF!</f>
        <v>#REF!</v>
      </c>
      <c r="AI5" s="168">
        <v>50</v>
      </c>
      <c r="AJ5" s="47"/>
    </row>
    <row r="6" spans="1:36" ht="42.75" x14ac:dyDescent="0.2">
      <c r="A6" s="162">
        <v>3198</v>
      </c>
      <c r="B6" s="11" t="str">
        <f t="shared" ref="B6:B91" si="5">IF(A6="","",$Q$1&amp;"."&amp;L6)</f>
        <v>SL.1</v>
      </c>
      <c r="C6" s="10" t="s">
        <v>220</v>
      </c>
      <c r="D6" s="120" t="s">
        <v>93</v>
      </c>
      <c r="E6" s="120"/>
      <c r="F6" s="21"/>
      <c r="G6" s="10" t="s">
        <v>221</v>
      </c>
      <c r="H6" s="110" t="s">
        <v>222</v>
      </c>
      <c r="I6" s="10" t="s">
        <v>223</v>
      </c>
      <c r="J6" s="111">
        <v>1</v>
      </c>
      <c r="K6" s="111" t="s">
        <v>219</v>
      </c>
      <c r="L6" s="109">
        <f>IF(A6="",L5,L5+1)</f>
        <v>1</v>
      </c>
      <c r="M6">
        <f t="shared" ref="M6" si="6">IF(J6="",M5+1,M5)</f>
        <v>1</v>
      </c>
      <c r="N6" s="109"/>
      <c r="P6" s="162"/>
      <c r="Q6" s="162">
        <f t="shared" si="0"/>
        <v>0</v>
      </c>
      <c r="R6" s="162">
        <f>IF(J6="","",IF(D6="",0,IF(D6="N/A",3,IF(OR(AND($M$1="Binary",D6="Yes"),AND($M$1="Scaled",D6&gt;Dashboard!$D$12)),1,IF(OR(AND($M$1="Binary",D6="No"),AND($M$1="Scaled",D6&lt;=Dashboard!$D$12)),2,"Oops there is an error")))))</f>
        <v>1</v>
      </c>
      <c r="S6" s="162">
        <f>IF(J6="","",IF(Q6&gt;0,Q6,IF(R6&gt;0,R6,0)))</f>
        <v>1</v>
      </c>
      <c r="T6" s="162"/>
      <c r="U6" s="162">
        <f>IF(J6="",U5,IF(AND(S6&gt;1,OR(U5="",U5=0,U5&gt;=J6)),J6,IF(J6&gt;U5,U5,0)))</f>
        <v>0</v>
      </c>
      <c r="V6" s="162">
        <f t="shared" si="1"/>
        <v>1</v>
      </c>
      <c r="X6">
        <f t="shared" si="2"/>
        <v>2</v>
      </c>
      <c r="Y6">
        <f>IF(V6&gt;0,1,0)</f>
        <v>1</v>
      </c>
      <c r="Z6" s="110"/>
      <c r="AA6" s="10"/>
      <c r="AB6" s="47"/>
      <c r="AC6" t="s">
        <v>224</v>
      </c>
      <c r="AD6">
        <f t="shared" si="3"/>
        <v>3</v>
      </c>
      <c r="AE6">
        <f t="shared" si="4"/>
        <v>3</v>
      </c>
      <c r="AF6" t="e">
        <f>#REF!</f>
        <v>#REF!</v>
      </c>
      <c r="AG6" t="e">
        <f>#REF!</f>
        <v>#REF!</v>
      </c>
      <c r="AH6" t="e">
        <f>#REF!</f>
        <v>#REF!</v>
      </c>
      <c r="AI6" s="162">
        <v>75</v>
      </c>
      <c r="AJ6" s="47"/>
    </row>
    <row r="7" spans="1:36" ht="15" x14ac:dyDescent="0.25">
      <c r="A7" s="162"/>
      <c r="B7" s="9" t="str">
        <f t="shared" si="5"/>
        <v/>
      </c>
      <c r="C7" s="16" t="s">
        <v>225</v>
      </c>
      <c r="D7" s="142"/>
      <c r="E7" s="142"/>
      <c r="F7" s="142"/>
      <c r="G7" s="15"/>
      <c r="H7" s="33"/>
      <c r="I7" s="13"/>
      <c r="J7" s="111"/>
      <c r="K7" s="111">
        <v>1</v>
      </c>
      <c r="L7" s="109">
        <f t="shared" ref="L7:L70" si="7">IF(A7="",L6,L6+1)</f>
        <v>1</v>
      </c>
      <c r="M7">
        <f t="shared" ref="M7:M70" si="8">IF(J7="",M6+1,M6)</f>
        <v>2</v>
      </c>
      <c r="N7" s="109"/>
      <c r="P7" s="162"/>
      <c r="Q7" s="162">
        <f t="shared" ref="Q7:Q70" si="9">IF(ISNA(VLOOKUP(A7,BusInfoArray,6,FALSE)),0,VLOOKUP(A7,BusInfoArray,6,FALSE))</f>
        <v>0</v>
      </c>
      <c r="R7" s="162" t="str">
        <f>IF(J7="","",IF(D7="",0,IF(D7="N/A",3,IF(OR(AND($M$1="Binary",D7="Yes"),AND($M$1="Scaled",D7&gt;Dashboard!$D$12)),1,IF(OR(AND($M$1="Binary",D7="No"),AND($M$1="Scaled",D7&lt;=Dashboard!$D$12)),2,"Oops there is an error")))))</f>
        <v/>
      </c>
      <c r="S7" s="162" t="str">
        <f t="shared" ref="S7:S70" si="10">IF(J7="","",IF(Q7&gt;0,Q7,IF(R7&gt;0,R7,0)))</f>
        <v/>
      </c>
      <c r="T7" s="162"/>
      <c r="U7" s="162">
        <f t="shared" ref="U7:U70" si="11">IF(J7="",U6,IF(AND(S7&gt;1,OR(U6="",U6=0,U6&gt;=J7)),J7,IF(J7&gt;U6,U6,0)))</f>
        <v>0</v>
      </c>
      <c r="V7" s="162" t="str">
        <f t="shared" ref="V7:V70" si="12">IF(Master="Master",R7,IF(V6="",S7,IF(OR(AND(U7&gt;0,S7&lt;V6),AND(U7=1,S7&lt;=V6)),V6,S7)))</f>
        <v/>
      </c>
      <c r="X7">
        <f t="shared" ref="X7:X70" si="13">IF(AND(J7=1,S7=1),2,IF(AND(V6=1,M7=M6),2,IF(AND(X6=2,M7=M6),2,IF(OR(J7=1,J7=""),1,""))))</f>
        <v>1</v>
      </c>
      <c r="Y7">
        <f t="shared" ref="Y7:Y70" si="14">IF(V7&gt;0,1,0)</f>
        <v>1</v>
      </c>
      <c r="Z7" s="33"/>
      <c r="AA7" s="13"/>
      <c r="AC7" t="s">
        <v>226</v>
      </c>
      <c r="AD7">
        <f t="shared" si="3"/>
        <v>2</v>
      </c>
      <c r="AE7">
        <f t="shared" si="4"/>
        <v>2</v>
      </c>
      <c r="AF7" t="e">
        <f>#REF!</f>
        <v>#REF!</v>
      </c>
      <c r="AG7" t="e">
        <f>#REF!</f>
        <v>#REF!</v>
      </c>
      <c r="AH7" t="e">
        <f>#REF!</f>
        <v>#REF!</v>
      </c>
      <c r="AI7" s="162">
        <v>75</v>
      </c>
      <c r="AJ7" s="47"/>
    </row>
    <row r="8" spans="1:36" ht="42.75" x14ac:dyDescent="0.2">
      <c r="A8" s="162">
        <v>3199</v>
      </c>
      <c r="B8" s="11" t="str">
        <f t="shared" si="5"/>
        <v>SL.2</v>
      </c>
      <c r="C8" s="10" t="s">
        <v>227</v>
      </c>
      <c r="D8" s="120" t="s">
        <v>93</v>
      </c>
      <c r="E8" s="120"/>
      <c r="F8" s="21"/>
      <c r="G8" s="10" t="s">
        <v>228</v>
      </c>
      <c r="H8" s="110" t="s">
        <v>229</v>
      </c>
      <c r="I8" s="10" t="s">
        <v>230</v>
      </c>
      <c r="J8" s="111">
        <v>1</v>
      </c>
      <c r="K8" s="111" t="s">
        <v>224</v>
      </c>
      <c r="L8" s="109">
        <f t="shared" si="7"/>
        <v>2</v>
      </c>
      <c r="M8">
        <f t="shared" si="8"/>
        <v>2</v>
      </c>
      <c r="N8" s="109"/>
      <c r="P8" s="162"/>
      <c r="Q8" s="162">
        <f t="shared" si="9"/>
        <v>0</v>
      </c>
      <c r="R8" s="162">
        <f>IF(J8="","",IF(D8="",0,IF(D8="N/A",3,IF(OR(AND($M$1="Binary",D8="Yes"),AND($M$1="Scaled",D8&gt;Dashboard!$D$12)),1,IF(OR(AND($M$1="Binary",D8="No"),AND($M$1="Scaled",D8&lt;=Dashboard!$D$12)),2,"Oops there is an error")))))</f>
        <v>1</v>
      </c>
      <c r="S8" s="162">
        <f t="shared" si="10"/>
        <v>1</v>
      </c>
      <c r="T8" s="162"/>
      <c r="U8" s="162">
        <f t="shared" si="11"/>
        <v>0</v>
      </c>
      <c r="V8" s="162">
        <f t="shared" si="12"/>
        <v>1</v>
      </c>
      <c r="X8">
        <f t="shared" si="13"/>
        <v>2</v>
      </c>
      <c r="Y8">
        <f t="shared" si="14"/>
        <v>1</v>
      </c>
      <c r="Z8" s="110"/>
      <c r="AA8" s="10"/>
      <c r="AB8" s="47"/>
      <c r="AC8" t="s">
        <v>231</v>
      </c>
      <c r="AD8">
        <f t="shared" si="3"/>
        <v>2</v>
      </c>
      <c r="AE8">
        <f t="shared" si="4"/>
        <v>2</v>
      </c>
      <c r="AF8" s="69" t="e">
        <f>#REF!</f>
        <v>#REF!</v>
      </c>
      <c r="AG8" s="69" t="e">
        <f>#REF!</f>
        <v>#REF!</v>
      </c>
      <c r="AH8" s="69" t="e">
        <f>#REF!</f>
        <v>#REF!</v>
      </c>
      <c r="AI8" s="162">
        <v>50</v>
      </c>
      <c r="AJ8" s="47"/>
    </row>
    <row r="9" spans="1:36" ht="28.5" x14ac:dyDescent="0.2">
      <c r="A9" s="162">
        <v>2471</v>
      </c>
      <c r="B9" s="11" t="str">
        <f t="shared" si="5"/>
        <v>SL.3</v>
      </c>
      <c r="C9" s="10" t="s">
        <v>232</v>
      </c>
      <c r="D9" s="120" t="s">
        <v>93</v>
      </c>
      <c r="E9" s="4"/>
      <c r="F9" s="21"/>
      <c r="G9" s="10" t="s">
        <v>233</v>
      </c>
      <c r="H9" s="110" t="s">
        <v>234</v>
      </c>
      <c r="I9" s="10" t="s">
        <v>235</v>
      </c>
      <c r="J9" s="111">
        <v>1</v>
      </c>
      <c r="K9" s="111" t="s">
        <v>224</v>
      </c>
      <c r="L9" s="109">
        <f t="shared" si="7"/>
        <v>3</v>
      </c>
      <c r="M9">
        <f t="shared" si="8"/>
        <v>2</v>
      </c>
      <c r="N9" s="109"/>
      <c r="P9" s="162"/>
      <c r="Q9" s="162">
        <f t="shared" si="9"/>
        <v>0</v>
      </c>
      <c r="R9" s="162">
        <f>IF(J9="","",IF(D9="",0,IF(D9="N/A",3,IF(OR(AND($M$1="Binary",D9="Yes"),AND($M$1="Scaled",D9&gt;Dashboard!$D$12)),1,IF(OR(AND($M$1="Binary",D9="No"),AND($M$1="Scaled",D9&lt;=Dashboard!$D$12)),2,"Oops there is an error")))))</f>
        <v>1</v>
      </c>
      <c r="S9" s="162">
        <f t="shared" si="10"/>
        <v>1</v>
      </c>
      <c r="T9" s="162"/>
      <c r="U9" s="162">
        <f t="shared" si="11"/>
        <v>0</v>
      </c>
      <c r="V9" s="162">
        <f t="shared" si="12"/>
        <v>1</v>
      </c>
      <c r="X9">
        <f t="shared" si="13"/>
        <v>2</v>
      </c>
      <c r="Y9">
        <f t="shared" si="14"/>
        <v>1</v>
      </c>
      <c r="Z9" s="110"/>
      <c r="AA9" s="10"/>
      <c r="AB9" s="47"/>
      <c r="AC9" t="s">
        <v>236</v>
      </c>
      <c r="AD9">
        <f t="shared" si="3"/>
        <v>6</v>
      </c>
      <c r="AE9">
        <f t="shared" si="4"/>
        <v>6</v>
      </c>
      <c r="AF9" s="69" t="e">
        <f>#REF!</f>
        <v>#REF!</v>
      </c>
      <c r="AG9" s="69" t="e">
        <f>#REF!</f>
        <v>#REF!</v>
      </c>
      <c r="AH9" s="69" t="e">
        <f>#REF!</f>
        <v>#REF!</v>
      </c>
      <c r="AI9" s="162">
        <v>75</v>
      </c>
      <c r="AJ9" s="47">
        <v>1</v>
      </c>
    </row>
    <row r="10" spans="1:36" ht="14.25" x14ac:dyDescent="0.2">
      <c r="A10">
        <v>3886</v>
      </c>
      <c r="B10" s="11" t="str">
        <f t="shared" si="5"/>
        <v>SL.4</v>
      </c>
      <c r="C10" s="10" t="s">
        <v>237</v>
      </c>
      <c r="D10" s="120" t="s">
        <v>96</v>
      </c>
      <c r="E10" s="120"/>
      <c r="F10" s="21"/>
      <c r="G10" s="10"/>
      <c r="H10" s="110"/>
      <c r="I10" s="10"/>
      <c r="J10" s="111">
        <v>1</v>
      </c>
      <c r="K10" s="111" t="s">
        <v>224</v>
      </c>
      <c r="L10" s="109">
        <f t="shared" si="7"/>
        <v>4</v>
      </c>
      <c r="M10">
        <f t="shared" si="8"/>
        <v>2</v>
      </c>
      <c r="N10" s="109"/>
      <c r="P10" s="162"/>
      <c r="Q10" s="162">
        <f t="shared" si="9"/>
        <v>0</v>
      </c>
      <c r="R10" s="162">
        <f>IF(J10="","",IF(D10="",0,IF(D10="N/A",3,IF(OR(AND($M$1="Binary",D10="Yes"),AND($M$1="Scaled",D10&gt;Dashboard!$D$12)),1,IF(OR(AND($M$1="Binary",D10="No"),AND($M$1="Scaled",D10&lt;=Dashboard!$D$12)),2,"Oops there is an error")))))</f>
        <v>2</v>
      </c>
      <c r="S10" s="162">
        <f t="shared" si="10"/>
        <v>2</v>
      </c>
      <c r="T10" s="162"/>
      <c r="U10" s="162">
        <f t="shared" si="11"/>
        <v>1</v>
      </c>
      <c r="V10" s="162">
        <f t="shared" si="12"/>
        <v>2</v>
      </c>
      <c r="X10">
        <f t="shared" si="13"/>
        <v>2</v>
      </c>
      <c r="Y10">
        <f t="shared" si="14"/>
        <v>1</v>
      </c>
      <c r="Z10" s="110"/>
      <c r="AA10" s="10"/>
      <c r="AB10" s="47"/>
      <c r="AC10" t="s">
        <v>238</v>
      </c>
      <c r="AD10">
        <f t="shared" si="3"/>
        <v>3</v>
      </c>
      <c r="AE10">
        <f t="shared" si="4"/>
        <v>3</v>
      </c>
      <c r="AF10" s="69" t="e">
        <f>#REF!</f>
        <v>#REF!</v>
      </c>
      <c r="AG10" s="69" t="e">
        <f>#REF!</f>
        <v>#REF!</v>
      </c>
      <c r="AH10" s="69" t="e">
        <f>#REF!</f>
        <v>#REF!</v>
      </c>
      <c r="AI10" s="162">
        <v>150</v>
      </c>
      <c r="AJ10" s="47">
        <v>2</v>
      </c>
    </row>
    <row r="11" spans="1:36" ht="15" x14ac:dyDescent="0.25">
      <c r="A11" s="162"/>
      <c r="B11" s="9" t="str">
        <f t="shared" si="5"/>
        <v/>
      </c>
      <c r="C11" s="16" t="s">
        <v>239</v>
      </c>
      <c r="D11" s="142"/>
      <c r="E11" s="142"/>
      <c r="F11" s="142"/>
      <c r="G11" s="15"/>
      <c r="H11" s="33"/>
      <c r="I11" s="13"/>
      <c r="J11" s="111"/>
      <c r="K11" s="111">
        <v>1</v>
      </c>
      <c r="L11" s="109">
        <f t="shared" si="7"/>
        <v>4</v>
      </c>
      <c r="M11">
        <f t="shared" si="8"/>
        <v>3</v>
      </c>
      <c r="N11" s="109"/>
      <c r="P11" s="162"/>
      <c r="Q11" s="162">
        <f t="shared" si="9"/>
        <v>0</v>
      </c>
      <c r="R11" s="162" t="str">
        <f>IF(J11="","",IF(D11="",0,IF(D11="N/A",3,IF(OR(AND($M$1="Binary",D11="Yes"),AND($M$1="Scaled",D11&gt;Dashboard!$D$12)),1,IF(OR(AND($M$1="Binary",D11="No"),AND($M$1="Scaled",D11&lt;=Dashboard!$D$12)),2,"Oops there is an error")))))</f>
        <v/>
      </c>
      <c r="S11" s="162" t="str">
        <f t="shared" si="10"/>
        <v/>
      </c>
      <c r="T11" s="162"/>
      <c r="U11" s="162">
        <f t="shared" si="11"/>
        <v>1</v>
      </c>
      <c r="V11" s="162" t="str">
        <f t="shared" si="12"/>
        <v/>
      </c>
      <c r="X11">
        <f t="shared" si="13"/>
        <v>1</v>
      </c>
      <c r="Y11">
        <f t="shared" si="14"/>
        <v>1</v>
      </c>
      <c r="Z11" s="33"/>
      <c r="AA11" s="13"/>
      <c r="AC11" t="s">
        <v>240</v>
      </c>
      <c r="AD11">
        <f t="shared" si="3"/>
        <v>12</v>
      </c>
      <c r="AE11">
        <f t="shared" si="4"/>
        <v>12</v>
      </c>
      <c r="AF11" s="69" t="e">
        <f>#REF!</f>
        <v>#REF!</v>
      </c>
      <c r="AG11" s="69" t="e">
        <f>#REF!</f>
        <v>#REF!</v>
      </c>
      <c r="AH11" s="69" t="e">
        <f>#REF!</f>
        <v>#REF!</v>
      </c>
      <c r="AI11" s="162">
        <v>325</v>
      </c>
      <c r="AJ11" s="47"/>
    </row>
    <row r="12" spans="1:36" ht="28.5" x14ac:dyDescent="0.2">
      <c r="A12" s="162">
        <v>58</v>
      </c>
      <c r="B12" s="11" t="str">
        <f t="shared" si="5"/>
        <v>SL.5</v>
      </c>
      <c r="C12" s="10" t="s">
        <v>241</v>
      </c>
      <c r="D12" s="120" t="s">
        <v>93</v>
      </c>
      <c r="E12" s="120"/>
      <c r="F12" s="21"/>
      <c r="G12" s="10" t="s">
        <v>242</v>
      </c>
      <c r="H12" s="110" t="s">
        <v>243</v>
      </c>
      <c r="I12" s="10" t="s">
        <v>244</v>
      </c>
      <c r="J12" s="111">
        <v>1</v>
      </c>
      <c r="K12" s="111" t="s">
        <v>226</v>
      </c>
      <c r="L12" s="109">
        <f t="shared" si="7"/>
        <v>5</v>
      </c>
      <c r="M12">
        <f t="shared" si="8"/>
        <v>3</v>
      </c>
      <c r="N12" s="109"/>
      <c r="P12" s="162"/>
      <c r="Q12" s="162">
        <f t="shared" si="9"/>
        <v>0</v>
      </c>
      <c r="R12" s="162">
        <f>IF(J12="","",IF(D12="",0,IF(D12="N/A",3,IF(OR(AND($M$1="Binary",D12="Yes"),AND($M$1="Scaled",D12&gt;Dashboard!$D$12)),1,IF(OR(AND($M$1="Binary",D12="No"),AND($M$1="Scaled",D12&lt;=Dashboard!$D$12)),2,"Oops there is an error")))))</f>
        <v>1</v>
      </c>
      <c r="S12" s="162">
        <f t="shared" si="10"/>
        <v>1</v>
      </c>
      <c r="T12" s="162"/>
      <c r="U12" s="162">
        <f t="shared" si="11"/>
        <v>0</v>
      </c>
      <c r="V12" s="162">
        <f t="shared" si="12"/>
        <v>1</v>
      </c>
      <c r="X12">
        <f t="shared" si="13"/>
        <v>2</v>
      </c>
      <c r="Y12">
        <f t="shared" si="14"/>
        <v>1</v>
      </c>
      <c r="Z12" s="110"/>
      <c r="AA12" s="10"/>
      <c r="AB12" s="47"/>
      <c r="AC12" t="s">
        <v>245</v>
      </c>
      <c r="AD12">
        <f t="shared" si="3"/>
        <v>4</v>
      </c>
      <c r="AE12">
        <f t="shared" si="4"/>
        <v>4</v>
      </c>
      <c r="AF12" s="69" t="e">
        <f>#REF!</f>
        <v>#REF!</v>
      </c>
      <c r="AG12" s="69" t="e">
        <f>#REF!</f>
        <v>#REF!</v>
      </c>
      <c r="AH12" s="69" t="e">
        <f>#REF!</f>
        <v>#REF!</v>
      </c>
      <c r="AI12" s="162">
        <v>75</v>
      </c>
      <c r="AJ12" s="47"/>
    </row>
    <row r="13" spans="1:36" ht="28.5" x14ac:dyDescent="0.2">
      <c r="A13" s="162">
        <v>71</v>
      </c>
      <c r="B13" s="11" t="str">
        <f t="shared" si="5"/>
        <v>SL.6</v>
      </c>
      <c r="C13" s="10" t="s">
        <v>246</v>
      </c>
      <c r="D13" s="120" t="s">
        <v>96</v>
      </c>
      <c r="E13" s="4"/>
      <c r="F13" s="21"/>
      <c r="G13" s="10"/>
      <c r="H13" s="110">
        <v>15</v>
      </c>
      <c r="I13" s="10" t="s">
        <v>247</v>
      </c>
      <c r="J13" s="111">
        <v>1</v>
      </c>
      <c r="K13" s="111" t="s">
        <v>226</v>
      </c>
      <c r="L13" s="109">
        <f t="shared" si="7"/>
        <v>6</v>
      </c>
      <c r="M13">
        <f t="shared" si="8"/>
        <v>3</v>
      </c>
      <c r="N13" s="109"/>
      <c r="P13" s="162"/>
      <c r="Q13" s="162">
        <f t="shared" si="9"/>
        <v>0</v>
      </c>
      <c r="R13" s="162">
        <f>IF(J13="","",IF(D13="",0,IF(D13="N/A",3,IF(OR(AND($M$1="Binary",D13="Yes"),AND($M$1="Scaled",D13&gt;Dashboard!$D$12)),1,IF(OR(AND($M$1="Binary",D13="No"),AND($M$1="Scaled",D13&lt;=Dashboard!$D$12)),2,"Oops there is an error")))))</f>
        <v>2</v>
      </c>
      <c r="S13" s="162">
        <f t="shared" si="10"/>
        <v>2</v>
      </c>
      <c r="T13" s="162"/>
      <c r="U13" s="162">
        <f t="shared" si="11"/>
        <v>1</v>
      </c>
      <c r="V13" s="162">
        <f t="shared" si="12"/>
        <v>2</v>
      </c>
      <c r="X13">
        <f t="shared" si="13"/>
        <v>2</v>
      </c>
      <c r="Y13">
        <f t="shared" si="14"/>
        <v>1</v>
      </c>
      <c r="Z13" s="110"/>
      <c r="AA13" s="10"/>
      <c r="AB13" s="47"/>
      <c r="AC13" t="s">
        <v>248</v>
      </c>
      <c r="AD13">
        <f t="shared" si="3"/>
        <v>7</v>
      </c>
      <c r="AE13">
        <f t="shared" si="4"/>
        <v>7</v>
      </c>
      <c r="AF13" s="69" t="e">
        <f>#REF!</f>
        <v>#REF!</v>
      </c>
      <c r="AG13" s="69" t="e">
        <f>#REF!</f>
        <v>#REF!</v>
      </c>
      <c r="AH13" s="69" t="e">
        <f>#REF!</f>
        <v>#REF!</v>
      </c>
      <c r="AI13" s="162">
        <v>100</v>
      </c>
      <c r="AJ13" s="47">
        <v>1</v>
      </c>
    </row>
    <row r="14" spans="1:36" ht="15" x14ac:dyDescent="0.25">
      <c r="A14" s="162"/>
      <c r="B14" s="9" t="str">
        <f t="shared" si="5"/>
        <v/>
      </c>
      <c r="C14" s="16" t="s">
        <v>249</v>
      </c>
      <c r="D14" s="142"/>
      <c r="E14" s="142"/>
      <c r="F14" s="142"/>
      <c r="G14" s="15"/>
      <c r="H14" s="33"/>
      <c r="I14" s="13"/>
      <c r="J14" s="111"/>
      <c r="K14" s="111">
        <v>1</v>
      </c>
      <c r="L14" s="109">
        <f t="shared" si="7"/>
        <v>6</v>
      </c>
      <c r="M14">
        <f t="shared" si="8"/>
        <v>4</v>
      </c>
      <c r="N14" s="109"/>
      <c r="P14" s="162"/>
      <c r="Q14" s="162">
        <f t="shared" si="9"/>
        <v>0</v>
      </c>
      <c r="R14" s="162" t="str">
        <f>IF(J14="","",IF(D14="",0,IF(D14="N/A",3,IF(OR(AND($M$1="Binary",D14="Yes"),AND($M$1="Scaled",D14&gt;Dashboard!$D$12)),1,IF(OR(AND($M$1="Binary",D14="No"),AND($M$1="Scaled",D14&lt;=Dashboard!$D$12)),2,"Oops there is an error")))))</f>
        <v/>
      </c>
      <c r="S14" s="162" t="str">
        <f t="shared" si="10"/>
        <v/>
      </c>
      <c r="T14" s="162"/>
      <c r="U14" s="162">
        <f t="shared" si="11"/>
        <v>1</v>
      </c>
      <c r="V14" s="162" t="str">
        <f t="shared" si="12"/>
        <v/>
      </c>
      <c r="X14">
        <f t="shared" si="13"/>
        <v>1</v>
      </c>
      <c r="Y14">
        <f t="shared" si="14"/>
        <v>1</v>
      </c>
      <c r="Z14" s="33"/>
      <c r="AA14" s="13"/>
      <c r="AC14" t="s">
        <v>250</v>
      </c>
      <c r="AD14">
        <f t="shared" si="3"/>
        <v>1</v>
      </c>
      <c r="AE14">
        <f t="shared" si="4"/>
        <v>1</v>
      </c>
      <c r="AF14" s="69" t="e">
        <f>#REF!</f>
        <v>#REF!</v>
      </c>
      <c r="AG14" s="69" t="e">
        <f>#REF!</f>
        <v>#REF!</v>
      </c>
      <c r="AH14" s="69" t="e">
        <f>#REF!</f>
        <v>#REF!</v>
      </c>
      <c r="AI14" s="162">
        <v>75</v>
      </c>
      <c r="AJ14" s="47"/>
    </row>
    <row r="15" spans="1:36" ht="42.75" x14ac:dyDescent="0.2">
      <c r="A15" s="162">
        <v>3200</v>
      </c>
      <c r="B15" s="11" t="str">
        <f t="shared" si="5"/>
        <v>SL.7</v>
      </c>
      <c r="C15" s="10" t="s">
        <v>251</v>
      </c>
      <c r="D15" s="120" t="s">
        <v>93</v>
      </c>
      <c r="E15" s="120"/>
      <c r="F15" s="21"/>
      <c r="G15" s="10" t="s">
        <v>252</v>
      </c>
      <c r="H15" s="110">
        <v>8.1</v>
      </c>
      <c r="I15" s="10" t="s">
        <v>253</v>
      </c>
      <c r="J15" s="111">
        <v>1</v>
      </c>
      <c r="K15" s="111" t="s">
        <v>231</v>
      </c>
      <c r="L15" s="109">
        <f t="shared" si="7"/>
        <v>7</v>
      </c>
      <c r="M15">
        <f t="shared" si="8"/>
        <v>4</v>
      </c>
      <c r="N15" s="109"/>
      <c r="P15" s="162"/>
      <c r="Q15" s="162">
        <f t="shared" si="9"/>
        <v>0</v>
      </c>
      <c r="R15" s="162">
        <f>IF(J15="","",IF(D15="",0,IF(D15="N/A",3,IF(OR(AND($M$1="Binary",D15="Yes"),AND($M$1="Scaled",D15&gt;Dashboard!$D$12)),1,IF(OR(AND($M$1="Binary",D15="No"),AND($M$1="Scaled",D15&lt;=Dashboard!$D$12)),2,"Oops there is an error")))))</f>
        <v>1</v>
      </c>
      <c r="S15" s="162">
        <f t="shared" si="10"/>
        <v>1</v>
      </c>
      <c r="T15" s="162"/>
      <c r="U15" s="162">
        <f t="shared" si="11"/>
        <v>0</v>
      </c>
      <c r="V15" s="162">
        <f t="shared" si="12"/>
        <v>1</v>
      </c>
      <c r="X15">
        <f t="shared" si="13"/>
        <v>2</v>
      </c>
      <c r="Y15">
        <f t="shared" si="14"/>
        <v>1</v>
      </c>
      <c r="Z15" s="110"/>
      <c r="AA15" s="10"/>
      <c r="AB15" s="47"/>
      <c r="AC15" t="s">
        <v>254</v>
      </c>
      <c r="AD15">
        <f t="shared" si="3"/>
        <v>11</v>
      </c>
      <c r="AE15">
        <f t="shared" si="4"/>
        <v>11</v>
      </c>
      <c r="AF15" s="69" t="e">
        <f>#REF!</f>
        <v>#REF!</v>
      </c>
      <c r="AG15" s="69" t="e">
        <f>#REF!</f>
        <v>#REF!</v>
      </c>
      <c r="AH15" s="69" t="e">
        <f>#REF!</f>
        <v>#REF!</v>
      </c>
      <c r="AI15" s="162">
        <v>75</v>
      </c>
      <c r="AJ15" s="47"/>
    </row>
    <row r="16" spans="1:36" ht="14.25" x14ac:dyDescent="0.2">
      <c r="A16" s="162">
        <v>2532</v>
      </c>
      <c r="B16" s="11" t="str">
        <f t="shared" si="5"/>
        <v>SL.8</v>
      </c>
      <c r="C16" s="10" t="s">
        <v>255</v>
      </c>
      <c r="D16" s="120" t="s">
        <v>93</v>
      </c>
      <c r="E16" s="4"/>
      <c r="F16" s="21"/>
      <c r="G16" s="10" t="s">
        <v>256</v>
      </c>
      <c r="H16" s="110" t="s">
        <v>257</v>
      </c>
      <c r="I16" s="10" t="s">
        <v>258</v>
      </c>
      <c r="J16" s="111">
        <v>1</v>
      </c>
      <c r="K16" s="111" t="s">
        <v>231</v>
      </c>
      <c r="L16" s="109">
        <f t="shared" si="7"/>
        <v>8</v>
      </c>
      <c r="M16">
        <f t="shared" si="8"/>
        <v>4</v>
      </c>
      <c r="N16" s="109"/>
      <c r="P16" s="162"/>
      <c r="Q16" s="162">
        <f t="shared" si="9"/>
        <v>0</v>
      </c>
      <c r="R16" s="162">
        <f>IF(J16="","",IF(D16="",0,IF(D16="N/A",3,IF(OR(AND($M$1="Binary",D16="Yes"),AND($M$1="Scaled",D16&gt;Dashboard!$D$12)),1,IF(OR(AND($M$1="Binary",D16="No"),AND($M$1="Scaled",D16&lt;=Dashboard!$D$12)),2,"Oops there is an error")))))</f>
        <v>1</v>
      </c>
      <c r="S16" s="162">
        <f t="shared" si="10"/>
        <v>1</v>
      </c>
      <c r="T16" s="162"/>
      <c r="U16" s="162">
        <f t="shared" si="11"/>
        <v>0</v>
      </c>
      <c r="V16" s="162">
        <f t="shared" si="12"/>
        <v>1</v>
      </c>
      <c r="X16">
        <f t="shared" si="13"/>
        <v>2</v>
      </c>
      <c r="Y16">
        <f t="shared" si="14"/>
        <v>1</v>
      </c>
      <c r="Z16" s="110"/>
      <c r="AA16" s="10"/>
      <c r="AB16" s="47"/>
      <c r="AC16" t="s">
        <v>259</v>
      </c>
      <c r="AD16">
        <f t="shared" si="3"/>
        <v>10</v>
      </c>
      <c r="AE16">
        <f t="shared" si="4"/>
        <v>10</v>
      </c>
      <c r="AF16" s="69" t="e">
        <f>#REF!</f>
        <v>#REF!</v>
      </c>
      <c r="AG16" s="69" t="e">
        <f>#REF!</f>
        <v>#REF!</v>
      </c>
      <c r="AH16" s="69" t="e">
        <f>#REF!</f>
        <v>#REF!</v>
      </c>
      <c r="AI16" s="162">
        <v>25</v>
      </c>
      <c r="AJ16" s="47">
        <v>1</v>
      </c>
    </row>
    <row r="17" spans="1:36" ht="15" x14ac:dyDescent="0.25">
      <c r="A17" s="162"/>
      <c r="B17" s="9" t="str">
        <f t="shared" si="5"/>
        <v/>
      </c>
      <c r="C17" s="16" t="s">
        <v>260</v>
      </c>
      <c r="D17" s="142"/>
      <c r="E17" s="142"/>
      <c r="F17" s="142"/>
      <c r="G17" s="15"/>
      <c r="H17" s="33"/>
      <c r="I17" s="13"/>
      <c r="J17" s="111"/>
      <c r="K17" s="111">
        <v>1</v>
      </c>
      <c r="L17" s="109">
        <f t="shared" si="7"/>
        <v>8</v>
      </c>
      <c r="M17">
        <f t="shared" si="8"/>
        <v>5</v>
      </c>
      <c r="N17" s="109"/>
      <c r="P17" s="162"/>
      <c r="Q17" s="162">
        <f t="shared" si="9"/>
        <v>0</v>
      </c>
      <c r="R17" s="162" t="str">
        <f>IF(J17="","",IF(D17="",0,IF(D17="N/A",3,IF(OR(AND($M$1="Binary",D17="Yes"),AND($M$1="Scaled",D17&gt;Dashboard!$D$12)),1,IF(OR(AND($M$1="Binary",D17="No"),AND($M$1="Scaled",D17&lt;=Dashboard!$D$12)),2,"Oops there is an error")))))</f>
        <v/>
      </c>
      <c r="S17" s="162" t="str">
        <f t="shared" si="10"/>
        <v/>
      </c>
      <c r="T17" s="162"/>
      <c r="U17" s="162">
        <f t="shared" si="11"/>
        <v>0</v>
      </c>
      <c r="V17" s="162" t="str">
        <f t="shared" si="12"/>
        <v/>
      </c>
      <c r="X17">
        <f t="shared" si="13"/>
        <v>1</v>
      </c>
      <c r="Y17">
        <f t="shared" si="14"/>
        <v>1</v>
      </c>
      <c r="Z17" s="33"/>
      <c r="AA17" s="13"/>
      <c r="AC17" t="s">
        <v>261</v>
      </c>
      <c r="AD17">
        <f t="shared" si="3"/>
        <v>6</v>
      </c>
      <c r="AE17">
        <f t="shared" si="4"/>
        <v>6</v>
      </c>
      <c r="AF17" s="69" t="e">
        <f>#REF!</f>
        <v>#REF!</v>
      </c>
      <c r="AG17" s="69" t="e">
        <f>#REF!</f>
        <v>#REF!</v>
      </c>
      <c r="AH17" s="69" t="e">
        <f>#REF!</f>
        <v>#REF!</v>
      </c>
      <c r="AI17" s="162">
        <v>25</v>
      </c>
      <c r="AJ17" s="47"/>
    </row>
    <row r="18" spans="1:36" ht="42.75" x14ac:dyDescent="0.2">
      <c r="A18" s="162">
        <v>2536</v>
      </c>
      <c r="B18" s="11" t="str">
        <f t="shared" si="5"/>
        <v>SL.9</v>
      </c>
      <c r="C18" s="10" t="s">
        <v>262</v>
      </c>
      <c r="D18" s="120" t="s">
        <v>93</v>
      </c>
      <c r="E18" s="120"/>
      <c r="F18" s="21"/>
      <c r="G18" s="10" t="s">
        <v>263</v>
      </c>
      <c r="H18" s="110" t="s">
        <v>243</v>
      </c>
      <c r="I18" s="10" t="s">
        <v>264</v>
      </c>
      <c r="J18" s="111">
        <v>1</v>
      </c>
      <c r="K18" s="111" t="s">
        <v>236</v>
      </c>
      <c r="L18" s="109">
        <f t="shared" si="7"/>
        <v>9</v>
      </c>
      <c r="M18">
        <f t="shared" si="8"/>
        <v>5</v>
      </c>
      <c r="N18" s="109"/>
      <c r="P18" s="162"/>
      <c r="Q18" s="162">
        <f t="shared" si="9"/>
        <v>0</v>
      </c>
      <c r="R18" s="162">
        <f>IF(J18="","",IF(D18="",0,IF(D18="N/A",3,IF(OR(AND($M$1="Binary",D18="Yes"),AND($M$1="Scaled",D18&gt;Dashboard!$D$12)),1,IF(OR(AND($M$1="Binary",D18="No"),AND($M$1="Scaled",D18&lt;=Dashboard!$D$12)),2,"Oops there is an error")))))</f>
        <v>1</v>
      </c>
      <c r="S18" s="162">
        <f t="shared" si="10"/>
        <v>1</v>
      </c>
      <c r="T18" s="162"/>
      <c r="U18" s="162">
        <f t="shared" si="11"/>
        <v>0</v>
      </c>
      <c r="V18" s="162">
        <f t="shared" si="12"/>
        <v>1</v>
      </c>
      <c r="X18">
        <f t="shared" si="13"/>
        <v>2</v>
      </c>
      <c r="Y18">
        <f t="shared" si="14"/>
        <v>1</v>
      </c>
      <c r="Z18" s="110"/>
      <c r="AA18" s="10"/>
      <c r="AB18" s="47"/>
      <c r="AC18" s="162" t="s">
        <v>265</v>
      </c>
      <c r="AD18">
        <f t="shared" si="3"/>
        <v>22</v>
      </c>
      <c r="AE18">
        <f t="shared" si="4"/>
        <v>22</v>
      </c>
      <c r="AF18" s="69" t="e">
        <f>#REF!</f>
        <v>#REF!</v>
      </c>
      <c r="AG18" s="69" t="e">
        <f>#REF!</f>
        <v>#REF!</v>
      </c>
      <c r="AH18" s="69" t="e">
        <f>#REF!</f>
        <v>#REF!</v>
      </c>
      <c r="AI18" s="162">
        <v>75</v>
      </c>
      <c r="AJ18" s="47"/>
    </row>
    <row r="19" spans="1:36" ht="28.5" x14ac:dyDescent="0.2">
      <c r="A19" s="162">
        <v>2538</v>
      </c>
      <c r="B19" s="11" t="str">
        <f t="shared" si="5"/>
        <v>SL.10</v>
      </c>
      <c r="C19" s="10" t="s">
        <v>266</v>
      </c>
      <c r="D19" s="120" t="s">
        <v>93</v>
      </c>
      <c r="E19" s="120"/>
      <c r="F19" s="21"/>
      <c r="G19" s="10" t="s">
        <v>267</v>
      </c>
      <c r="H19" s="110" t="s">
        <v>268</v>
      </c>
      <c r="I19" s="10" t="s">
        <v>269</v>
      </c>
      <c r="J19" s="111">
        <v>1</v>
      </c>
      <c r="K19" s="111" t="s">
        <v>236</v>
      </c>
      <c r="L19" s="109">
        <f t="shared" si="7"/>
        <v>10</v>
      </c>
      <c r="M19">
        <f t="shared" si="8"/>
        <v>5</v>
      </c>
      <c r="N19" s="109"/>
      <c r="P19" s="162"/>
      <c r="Q19" s="162">
        <f t="shared" si="9"/>
        <v>0</v>
      </c>
      <c r="R19" s="162">
        <f>IF(J19="","",IF(D19="",0,IF(D19="N/A",3,IF(OR(AND($M$1="Binary",D19="Yes"),AND($M$1="Scaled",D19&gt;Dashboard!$D$12)),1,IF(OR(AND($M$1="Binary",D19="No"),AND($M$1="Scaled",D19&lt;=Dashboard!$D$12)),2,"Oops there is an error")))))</f>
        <v>1</v>
      </c>
      <c r="S19" s="162">
        <f t="shared" si="10"/>
        <v>1</v>
      </c>
      <c r="T19" s="162"/>
      <c r="U19" s="162">
        <f t="shared" si="11"/>
        <v>0</v>
      </c>
      <c r="V19" s="162">
        <f t="shared" si="12"/>
        <v>1</v>
      </c>
      <c r="X19">
        <f t="shared" si="13"/>
        <v>2</v>
      </c>
      <c r="Y19">
        <f t="shared" si="14"/>
        <v>1</v>
      </c>
      <c r="Z19" s="110"/>
      <c r="AA19" s="10"/>
      <c r="AB19" s="47"/>
      <c r="AC19" t="s">
        <v>270</v>
      </c>
      <c r="AD19">
        <f t="shared" si="3"/>
        <v>2</v>
      </c>
      <c r="AE19">
        <f t="shared" si="4"/>
        <v>2</v>
      </c>
      <c r="AF19" t="e">
        <f>#REF!</f>
        <v>#REF!</v>
      </c>
      <c r="AG19" t="e">
        <f>#REF!</f>
        <v>#REF!</v>
      </c>
      <c r="AH19" t="e">
        <f>#REF!</f>
        <v>#REF!</v>
      </c>
      <c r="AJ19" s="47"/>
    </row>
    <row r="20" spans="1:36" ht="28.5" x14ac:dyDescent="0.2">
      <c r="A20" s="162">
        <v>183</v>
      </c>
      <c r="B20" s="11" t="str">
        <f t="shared" si="5"/>
        <v>SL.11</v>
      </c>
      <c r="C20" s="10" t="s">
        <v>271</v>
      </c>
      <c r="D20" s="120" t="s">
        <v>93</v>
      </c>
      <c r="E20" s="4"/>
      <c r="F20" s="21"/>
      <c r="G20" s="10"/>
      <c r="H20" s="110" t="s">
        <v>272</v>
      </c>
      <c r="I20" s="10" t="s">
        <v>273</v>
      </c>
      <c r="J20" s="111">
        <v>1</v>
      </c>
      <c r="K20" s="111" t="s">
        <v>236</v>
      </c>
      <c r="L20" s="109">
        <f t="shared" si="7"/>
        <v>11</v>
      </c>
      <c r="M20">
        <f t="shared" si="8"/>
        <v>5</v>
      </c>
      <c r="N20" s="109"/>
      <c r="P20" s="162"/>
      <c r="Q20" s="162">
        <f t="shared" si="9"/>
        <v>0</v>
      </c>
      <c r="R20" s="162">
        <f>IF(J20="","",IF(D20="",0,IF(D20="N/A",3,IF(OR(AND($M$1="Binary",D20="Yes"),AND($M$1="Scaled",D20&gt;Dashboard!$D$12)),1,IF(OR(AND($M$1="Binary",D20="No"),AND($M$1="Scaled",D20&lt;=Dashboard!$D$12)),2,"Oops there is an error")))))</f>
        <v>1</v>
      </c>
      <c r="S20" s="162">
        <f t="shared" si="10"/>
        <v>1</v>
      </c>
      <c r="T20" s="162"/>
      <c r="U20" s="162">
        <f t="shared" si="11"/>
        <v>0</v>
      </c>
      <c r="V20" s="162">
        <f t="shared" si="12"/>
        <v>1</v>
      </c>
      <c r="X20">
        <f t="shared" si="13"/>
        <v>2</v>
      </c>
      <c r="Y20">
        <f t="shared" si="14"/>
        <v>1</v>
      </c>
      <c r="Z20" s="110"/>
      <c r="AA20" s="10"/>
      <c r="AB20" s="47"/>
      <c r="AC20" s="162" t="s">
        <v>274</v>
      </c>
      <c r="AD20">
        <f t="shared" si="3"/>
        <v>49</v>
      </c>
      <c r="AE20">
        <f t="shared" si="4"/>
        <v>49</v>
      </c>
      <c r="AF20" s="69" t="e">
        <f>#REF!</f>
        <v>#REF!</v>
      </c>
      <c r="AG20" s="69" t="e">
        <f>#REF!</f>
        <v>#REF!</v>
      </c>
      <c r="AH20" s="69" t="e">
        <f>#REF!</f>
        <v>#REF!</v>
      </c>
      <c r="AI20" s="162">
        <v>450</v>
      </c>
      <c r="AJ20" s="47">
        <v>1</v>
      </c>
    </row>
    <row r="21" spans="1:36" ht="42.75" x14ac:dyDescent="0.2">
      <c r="A21" s="162">
        <v>212</v>
      </c>
      <c r="B21" s="11" t="str">
        <f t="shared" si="5"/>
        <v>SL.12</v>
      </c>
      <c r="C21" s="10" t="s">
        <v>275</v>
      </c>
      <c r="D21" s="120" t="s">
        <v>93</v>
      </c>
      <c r="E21" s="120"/>
      <c r="F21" s="21"/>
      <c r="G21" s="10" t="s">
        <v>276</v>
      </c>
      <c r="H21" s="110" t="s">
        <v>277</v>
      </c>
      <c r="I21" s="10" t="s">
        <v>278</v>
      </c>
      <c r="J21" s="111">
        <v>1</v>
      </c>
      <c r="K21" s="111" t="s">
        <v>236</v>
      </c>
      <c r="L21" s="109">
        <f t="shared" si="7"/>
        <v>12</v>
      </c>
      <c r="M21">
        <f t="shared" si="8"/>
        <v>5</v>
      </c>
      <c r="N21" s="109"/>
      <c r="P21" s="162"/>
      <c r="Q21" s="162">
        <f t="shared" si="9"/>
        <v>0</v>
      </c>
      <c r="R21" s="162">
        <f>IF(J21="","",IF(D21="",0,IF(D21="N/A",3,IF(OR(AND($M$1="Binary",D21="Yes"),AND($M$1="Scaled",D21&gt;Dashboard!$D$12)),1,IF(OR(AND($M$1="Binary",D21="No"),AND($M$1="Scaled",D21&lt;=Dashboard!$D$12)),2,"Oops there is an error")))))</f>
        <v>1</v>
      </c>
      <c r="S21" s="162">
        <f t="shared" si="10"/>
        <v>1</v>
      </c>
      <c r="T21" s="162"/>
      <c r="U21" s="162">
        <f t="shared" si="11"/>
        <v>0</v>
      </c>
      <c r="V21" s="162">
        <f t="shared" si="12"/>
        <v>1</v>
      </c>
      <c r="X21">
        <f t="shared" si="13"/>
        <v>2</v>
      </c>
      <c r="Y21">
        <f t="shared" si="14"/>
        <v>1</v>
      </c>
      <c r="Z21" s="110"/>
      <c r="AA21" s="10"/>
      <c r="AB21" s="47"/>
      <c r="AD21" s="162">
        <f t="shared" ref="AD21:AE21" si="15">SUM(AD5:AD20)</f>
        <v>141</v>
      </c>
      <c r="AE21" s="162">
        <f t="shared" si="15"/>
        <v>141</v>
      </c>
      <c r="AF21" s="162" t="e">
        <f>SUM(AF5:AF20)</f>
        <v>#REF!</v>
      </c>
      <c r="AG21" s="162" t="e">
        <f>SUM(AG5:AG20)</f>
        <v>#REF!</v>
      </c>
      <c r="AH21" s="162" t="e">
        <f>SUM(AH5:AH20)</f>
        <v>#REF!</v>
      </c>
      <c r="AI21" t="e">
        <f>IF(AG21/AF21=0,"0%",AG21/AF21)</f>
        <v>#REF!</v>
      </c>
      <c r="AJ21" s="47"/>
    </row>
    <row r="22" spans="1:36" ht="28.5" x14ac:dyDescent="0.2">
      <c r="A22" s="162">
        <v>293</v>
      </c>
      <c r="B22" s="11" t="str">
        <f t="shared" si="5"/>
        <v>SL.13</v>
      </c>
      <c r="C22" s="10" t="s">
        <v>279</v>
      </c>
      <c r="D22" s="120" t="s">
        <v>93</v>
      </c>
      <c r="E22" s="120"/>
      <c r="F22" s="21"/>
      <c r="G22" s="10"/>
      <c r="H22" s="110" t="s">
        <v>280</v>
      </c>
      <c r="I22" s="10" t="s">
        <v>281</v>
      </c>
      <c r="J22" s="111">
        <v>1</v>
      </c>
      <c r="K22" s="111" t="s">
        <v>236</v>
      </c>
      <c r="L22" s="109">
        <f t="shared" si="7"/>
        <v>13</v>
      </c>
      <c r="M22">
        <f t="shared" si="8"/>
        <v>5</v>
      </c>
      <c r="N22" s="109"/>
      <c r="P22" s="162"/>
      <c r="Q22" s="162">
        <f t="shared" si="9"/>
        <v>0</v>
      </c>
      <c r="R22" s="162">
        <f>IF(J22="","",IF(D22="",0,IF(D22="N/A",3,IF(OR(AND($M$1="Binary",D22="Yes"),AND($M$1="Scaled",D22&gt;Dashboard!$D$12)),1,IF(OR(AND($M$1="Binary",D22="No"),AND($M$1="Scaled",D22&lt;=Dashboard!$D$12)),2,"Oops there is an error")))))</f>
        <v>1</v>
      </c>
      <c r="S22" s="162">
        <f t="shared" si="10"/>
        <v>1</v>
      </c>
      <c r="T22" s="162"/>
      <c r="U22" s="162">
        <f t="shared" si="11"/>
        <v>0</v>
      </c>
      <c r="V22" s="162">
        <f t="shared" si="12"/>
        <v>1</v>
      </c>
      <c r="X22">
        <f t="shared" si="13"/>
        <v>2</v>
      </c>
      <c r="Y22">
        <f t="shared" si="14"/>
        <v>1</v>
      </c>
      <c r="Z22" s="110"/>
      <c r="AA22" s="10"/>
      <c r="AB22" s="47"/>
      <c r="AI22">
        <f ca="1">COUNTA(INDEX(WorksheetCount,0))</f>
        <v>1</v>
      </c>
      <c r="AJ22" s="47"/>
    </row>
    <row r="23" spans="1:36" ht="28.5" x14ac:dyDescent="0.2">
      <c r="A23" s="162">
        <v>2557</v>
      </c>
      <c r="B23" s="11" t="str">
        <f t="shared" si="5"/>
        <v>SL.14</v>
      </c>
      <c r="C23" s="10" t="s">
        <v>282</v>
      </c>
      <c r="D23" s="120" t="s">
        <v>93</v>
      </c>
      <c r="E23" s="120"/>
      <c r="F23" s="21"/>
      <c r="G23" s="10" t="s">
        <v>283</v>
      </c>
      <c r="H23" s="110">
        <v>7.3</v>
      </c>
      <c r="I23" s="10" t="s">
        <v>284</v>
      </c>
      <c r="J23" s="111">
        <v>1</v>
      </c>
      <c r="K23" s="111" t="s">
        <v>236</v>
      </c>
      <c r="L23" s="109">
        <f t="shared" si="7"/>
        <v>14</v>
      </c>
      <c r="M23">
        <f t="shared" si="8"/>
        <v>5</v>
      </c>
      <c r="N23" s="109"/>
      <c r="P23" s="162"/>
      <c r="Q23" s="162">
        <f t="shared" si="9"/>
        <v>0</v>
      </c>
      <c r="R23" s="162">
        <f>IF(J23="","",IF(D23="",0,IF(D23="N/A",3,IF(OR(AND($M$1="Binary",D23="Yes"),AND($M$1="Scaled",D23&gt;Dashboard!$D$12)),1,IF(OR(AND($M$1="Binary",D23="No"),AND($M$1="Scaled",D23&lt;=Dashboard!$D$12)),2,"Oops there is an error")))))</f>
        <v>1</v>
      </c>
      <c r="S23" s="162">
        <f t="shared" si="10"/>
        <v>1</v>
      </c>
      <c r="T23" s="162"/>
      <c r="U23" s="162">
        <f t="shared" si="11"/>
        <v>0</v>
      </c>
      <c r="V23" s="162">
        <f t="shared" si="12"/>
        <v>1</v>
      </c>
      <c r="X23">
        <f t="shared" si="13"/>
        <v>2</v>
      </c>
      <c r="Y23">
        <f t="shared" si="14"/>
        <v>1</v>
      </c>
      <c r="Z23" s="110"/>
      <c r="AA23" s="10"/>
      <c r="AB23" s="47"/>
      <c r="AJ23" s="47"/>
    </row>
    <row r="24" spans="1:36" ht="15" x14ac:dyDescent="0.25">
      <c r="A24" s="162"/>
      <c r="B24" s="9" t="str">
        <f t="shared" si="5"/>
        <v/>
      </c>
      <c r="C24" s="16" t="s">
        <v>285</v>
      </c>
      <c r="D24" s="142"/>
      <c r="E24" s="142"/>
      <c r="F24" s="142"/>
      <c r="G24" s="15"/>
      <c r="H24" s="33"/>
      <c r="I24" s="13"/>
      <c r="J24" s="111"/>
      <c r="K24" s="111">
        <v>1</v>
      </c>
      <c r="L24" s="109">
        <f t="shared" si="7"/>
        <v>14</v>
      </c>
      <c r="M24">
        <f t="shared" si="8"/>
        <v>6</v>
      </c>
      <c r="N24" s="109"/>
      <c r="P24" s="162"/>
      <c r="Q24" s="162">
        <f t="shared" si="9"/>
        <v>0</v>
      </c>
      <c r="R24" s="162" t="str">
        <f>IF(J24="","",IF(D24="",0,IF(D24="N/A",3,IF(OR(AND($M$1="Binary",D24="Yes"),AND($M$1="Scaled",D24&gt;Dashboard!$D$12)),1,IF(OR(AND($M$1="Binary",D24="No"),AND($M$1="Scaled",D24&lt;=Dashboard!$D$12)),2,"Oops there is an error")))))</f>
        <v/>
      </c>
      <c r="S24" s="162" t="str">
        <f t="shared" si="10"/>
        <v/>
      </c>
      <c r="T24" s="162"/>
      <c r="U24" s="162">
        <f t="shared" si="11"/>
        <v>0</v>
      </c>
      <c r="V24" s="162" t="str">
        <f t="shared" si="12"/>
        <v/>
      </c>
      <c r="X24">
        <f t="shared" si="13"/>
        <v>1</v>
      </c>
      <c r="Y24">
        <f t="shared" si="14"/>
        <v>1</v>
      </c>
      <c r="Z24" s="33"/>
      <c r="AA24" s="13"/>
      <c r="AJ24" s="47"/>
    </row>
    <row r="25" spans="1:36" ht="28.5" x14ac:dyDescent="0.2">
      <c r="A25" s="162">
        <v>2559</v>
      </c>
      <c r="B25" s="11" t="str">
        <f t="shared" si="5"/>
        <v>SL.15</v>
      </c>
      <c r="C25" s="10" t="s">
        <v>286</v>
      </c>
      <c r="D25" s="120" t="s">
        <v>93</v>
      </c>
      <c r="E25" s="120"/>
      <c r="F25" s="21"/>
      <c r="G25" s="10"/>
      <c r="H25" s="110" t="s">
        <v>229</v>
      </c>
      <c r="I25" s="10" t="s">
        <v>230</v>
      </c>
      <c r="J25" s="111">
        <v>1</v>
      </c>
      <c r="K25" s="111" t="s">
        <v>238</v>
      </c>
      <c r="L25" s="109">
        <f t="shared" si="7"/>
        <v>15</v>
      </c>
      <c r="M25">
        <f t="shared" si="8"/>
        <v>6</v>
      </c>
      <c r="N25" s="109"/>
      <c r="P25" s="162"/>
      <c r="Q25" s="162">
        <f t="shared" si="9"/>
        <v>0</v>
      </c>
      <c r="R25" s="162">
        <f>IF(J25="","",IF(D25="",0,IF(D25="N/A",3,IF(OR(AND($M$1="Binary",D25="Yes"),AND($M$1="Scaled",D25&gt;Dashboard!$D$12)),1,IF(OR(AND($M$1="Binary",D25="No"),AND($M$1="Scaled",D25&lt;=Dashboard!$D$12)),2,"Oops there is an error")))))</f>
        <v>1</v>
      </c>
      <c r="S25" s="162">
        <f t="shared" si="10"/>
        <v>1</v>
      </c>
      <c r="T25" s="162"/>
      <c r="U25" s="162">
        <f t="shared" si="11"/>
        <v>0</v>
      </c>
      <c r="V25" s="162">
        <f t="shared" si="12"/>
        <v>1</v>
      </c>
      <c r="X25">
        <f t="shared" si="13"/>
        <v>2</v>
      </c>
      <c r="Y25">
        <f t="shared" si="14"/>
        <v>1</v>
      </c>
      <c r="Z25" s="110"/>
      <c r="AA25" s="10"/>
      <c r="AB25" s="47"/>
      <c r="AJ25" s="47"/>
    </row>
    <row r="26" spans="1:36" ht="28.5" x14ac:dyDescent="0.2">
      <c r="A26" s="162">
        <v>2560</v>
      </c>
      <c r="B26" s="11" t="str">
        <f t="shared" si="5"/>
        <v>SL.16</v>
      </c>
      <c r="C26" s="10" t="s">
        <v>287</v>
      </c>
      <c r="D26" s="120" t="s">
        <v>93</v>
      </c>
      <c r="E26" s="120"/>
      <c r="F26" s="21"/>
      <c r="G26" s="10" t="s">
        <v>285</v>
      </c>
      <c r="H26" s="110">
        <v>11.1</v>
      </c>
      <c r="I26" s="10" t="s">
        <v>288</v>
      </c>
      <c r="J26" s="111">
        <v>1</v>
      </c>
      <c r="K26" s="111" t="s">
        <v>238</v>
      </c>
      <c r="L26" s="109">
        <f t="shared" si="7"/>
        <v>16</v>
      </c>
      <c r="M26">
        <f t="shared" si="8"/>
        <v>6</v>
      </c>
      <c r="N26" s="109"/>
      <c r="P26" s="162"/>
      <c r="Q26" s="162">
        <f t="shared" si="9"/>
        <v>0</v>
      </c>
      <c r="R26" s="162">
        <f>IF(J26="","",IF(D26="",0,IF(D26="N/A",3,IF(OR(AND($M$1="Binary",D26="Yes"),AND($M$1="Scaled",D26&gt;Dashboard!$D$12)),1,IF(OR(AND($M$1="Binary",D26="No"),AND($M$1="Scaled",D26&lt;=Dashboard!$D$12)),2,"Oops there is an error")))))</f>
        <v>1</v>
      </c>
      <c r="S26" s="162">
        <f t="shared" si="10"/>
        <v>1</v>
      </c>
      <c r="T26" s="162"/>
      <c r="U26" s="162">
        <f t="shared" si="11"/>
        <v>0</v>
      </c>
      <c r="V26" s="162">
        <f t="shared" si="12"/>
        <v>1</v>
      </c>
      <c r="X26">
        <f t="shared" si="13"/>
        <v>2</v>
      </c>
      <c r="Y26">
        <f t="shared" si="14"/>
        <v>1</v>
      </c>
      <c r="Z26" s="110"/>
      <c r="AA26" s="10"/>
      <c r="AB26" s="47"/>
      <c r="AJ26" s="47"/>
    </row>
    <row r="27" spans="1:36" ht="42.75" x14ac:dyDescent="0.2">
      <c r="A27" s="162">
        <v>396</v>
      </c>
      <c r="B27" s="11" t="str">
        <f t="shared" si="5"/>
        <v>SL.17</v>
      </c>
      <c r="C27" s="10" t="s">
        <v>289</v>
      </c>
      <c r="D27" s="120" t="s">
        <v>93</v>
      </c>
      <c r="E27" s="120"/>
      <c r="F27" s="21" t="s">
        <v>1092</v>
      </c>
      <c r="G27" s="10"/>
      <c r="H27" s="110" t="s">
        <v>290</v>
      </c>
      <c r="I27" s="10" t="s">
        <v>291</v>
      </c>
      <c r="J27" s="111">
        <v>1</v>
      </c>
      <c r="K27" s="111" t="s">
        <v>238</v>
      </c>
      <c r="L27" s="109">
        <f t="shared" si="7"/>
        <v>17</v>
      </c>
      <c r="M27">
        <f t="shared" si="8"/>
        <v>6</v>
      </c>
      <c r="N27" s="109"/>
      <c r="P27" s="162"/>
      <c r="Q27" s="162">
        <f t="shared" si="9"/>
        <v>0</v>
      </c>
      <c r="R27" s="162">
        <f>IF(J27="","",IF(D27="",0,IF(D27="N/A",3,IF(OR(AND($M$1="Binary",D27="Yes"),AND($M$1="Scaled",D27&gt;Dashboard!$D$12)),1,IF(OR(AND($M$1="Binary",D27="No"),AND($M$1="Scaled",D27&lt;=Dashboard!$D$12)),2,"Oops there is an error")))))</f>
        <v>1</v>
      </c>
      <c r="S27" s="162">
        <f t="shared" si="10"/>
        <v>1</v>
      </c>
      <c r="T27" s="162"/>
      <c r="U27" s="162">
        <f t="shared" si="11"/>
        <v>0</v>
      </c>
      <c r="V27" s="162">
        <f t="shared" si="12"/>
        <v>1</v>
      </c>
      <c r="X27">
        <f t="shared" si="13"/>
        <v>2</v>
      </c>
      <c r="Y27">
        <f t="shared" si="14"/>
        <v>1</v>
      </c>
      <c r="Z27" s="110"/>
      <c r="AA27" s="10"/>
      <c r="AB27" s="47"/>
      <c r="AJ27" s="47"/>
    </row>
    <row r="28" spans="1:36" ht="15" x14ac:dyDescent="0.25">
      <c r="A28" s="162"/>
      <c r="B28" s="9" t="str">
        <f t="shared" si="5"/>
        <v/>
      </c>
      <c r="C28" s="16" t="s">
        <v>292</v>
      </c>
      <c r="D28" s="142"/>
      <c r="E28" s="142"/>
      <c r="F28" s="142"/>
      <c r="G28" s="15"/>
      <c r="H28" s="33"/>
      <c r="I28" s="13"/>
      <c r="J28" s="111"/>
      <c r="K28" s="111">
        <v>1</v>
      </c>
      <c r="L28" s="109">
        <f t="shared" si="7"/>
        <v>17</v>
      </c>
      <c r="M28">
        <f t="shared" si="8"/>
        <v>7</v>
      </c>
      <c r="N28" s="109"/>
      <c r="P28" s="162"/>
      <c r="Q28" s="162">
        <f t="shared" si="9"/>
        <v>0</v>
      </c>
      <c r="R28" s="162" t="str">
        <f>IF(J28="","",IF(D28="",0,IF(D28="N/A",3,IF(OR(AND($M$1="Binary",D28="Yes"),AND($M$1="Scaled",D28&gt;Dashboard!$D$12)),1,IF(OR(AND($M$1="Binary",D28="No"),AND($M$1="Scaled",D28&lt;=Dashboard!$D$12)),2,"Oops there is an error")))))</f>
        <v/>
      </c>
      <c r="S28" s="162" t="str">
        <f t="shared" si="10"/>
        <v/>
      </c>
      <c r="T28" s="162"/>
      <c r="U28" s="162">
        <f t="shared" si="11"/>
        <v>0</v>
      </c>
      <c r="V28" s="162" t="str">
        <f t="shared" si="12"/>
        <v/>
      </c>
      <c r="X28">
        <f t="shared" si="13"/>
        <v>1</v>
      </c>
      <c r="Y28">
        <f t="shared" si="14"/>
        <v>1</v>
      </c>
      <c r="Z28" s="33"/>
      <c r="AA28" s="13"/>
      <c r="AJ28" s="47"/>
    </row>
    <row r="29" spans="1:36" ht="28.5" x14ac:dyDescent="0.2">
      <c r="A29" s="162">
        <v>2582</v>
      </c>
      <c r="B29" s="11" t="str">
        <f t="shared" si="5"/>
        <v>SL.18</v>
      </c>
      <c r="C29" s="10" t="s">
        <v>293</v>
      </c>
      <c r="D29" s="120" t="s">
        <v>93</v>
      </c>
      <c r="E29" s="120"/>
      <c r="F29" s="21"/>
      <c r="G29" s="10" t="s">
        <v>292</v>
      </c>
      <c r="H29" s="110" t="s">
        <v>294</v>
      </c>
      <c r="I29" s="10" t="s">
        <v>295</v>
      </c>
      <c r="J29" s="111">
        <v>1</v>
      </c>
      <c r="K29" s="111" t="s">
        <v>240</v>
      </c>
      <c r="L29" s="109">
        <f t="shared" si="7"/>
        <v>18</v>
      </c>
      <c r="M29">
        <f t="shared" si="8"/>
        <v>7</v>
      </c>
      <c r="N29" s="109"/>
      <c r="P29" s="162"/>
      <c r="Q29" s="162">
        <f t="shared" si="9"/>
        <v>0</v>
      </c>
      <c r="R29" s="162">
        <f>IF(J29="","",IF(D29="",0,IF(D29="N/A",3,IF(OR(AND($M$1="Binary",D29="Yes"),AND($M$1="Scaled",D29&gt;Dashboard!$D$12)),1,IF(OR(AND($M$1="Binary",D29="No"),AND($M$1="Scaled",D29&lt;=Dashboard!$D$12)),2,"Oops there is an error")))))</f>
        <v>1</v>
      </c>
      <c r="S29" s="162">
        <f t="shared" si="10"/>
        <v>1</v>
      </c>
      <c r="T29" s="162"/>
      <c r="U29" s="162">
        <f t="shared" si="11"/>
        <v>0</v>
      </c>
      <c r="V29" s="162">
        <f t="shared" si="12"/>
        <v>1</v>
      </c>
      <c r="X29">
        <f t="shared" si="13"/>
        <v>2</v>
      </c>
      <c r="Y29">
        <f t="shared" si="14"/>
        <v>1</v>
      </c>
      <c r="Z29" s="110"/>
      <c r="AA29" s="10"/>
      <c r="AB29" s="47"/>
      <c r="AJ29" s="47"/>
    </row>
    <row r="30" spans="1:36" ht="57" x14ac:dyDescent="0.2">
      <c r="A30" s="162">
        <v>816</v>
      </c>
      <c r="B30" s="11" t="str">
        <f t="shared" si="5"/>
        <v>SL.19</v>
      </c>
      <c r="C30" s="10" t="s">
        <v>296</v>
      </c>
      <c r="D30" s="120" t="s">
        <v>93</v>
      </c>
      <c r="E30" s="120"/>
      <c r="F30" s="21"/>
      <c r="G30" s="10" t="s">
        <v>297</v>
      </c>
      <c r="H30" s="110" t="s">
        <v>298</v>
      </c>
      <c r="I30" s="10" t="s">
        <v>299</v>
      </c>
      <c r="J30" s="111">
        <v>1</v>
      </c>
      <c r="K30" s="111" t="s">
        <v>240</v>
      </c>
      <c r="L30" s="109">
        <f t="shared" si="7"/>
        <v>19</v>
      </c>
      <c r="M30">
        <f t="shared" si="8"/>
        <v>7</v>
      </c>
      <c r="N30" s="109"/>
      <c r="P30" s="162"/>
      <c r="Q30" s="162">
        <f t="shared" si="9"/>
        <v>0</v>
      </c>
      <c r="R30" s="162">
        <f>IF(J30="","",IF(D30="",0,IF(D30="N/A",3,IF(OR(AND($M$1="Binary",D30="Yes"),AND($M$1="Scaled",D30&gt;Dashboard!$D$12)),1,IF(OR(AND($M$1="Binary",D30="No"),AND($M$1="Scaled",D30&lt;=Dashboard!$D$12)),2,"Oops there is an error")))))</f>
        <v>1</v>
      </c>
      <c r="S30" s="162">
        <f t="shared" si="10"/>
        <v>1</v>
      </c>
      <c r="T30" s="162"/>
      <c r="U30" s="162">
        <f t="shared" si="11"/>
        <v>0</v>
      </c>
      <c r="V30" s="162">
        <f t="shared" si="12"/>
        <v>1</v>
      </c>
      <c r="X30">
        <f t="shared" si="13"/>
        <v>2</v>
      </c>
      <c r="Y30">
        <f t="shared" si="14"/>
        <v>1</v>
      </c>
      <c r="Z30" s="110"/>
      <c r="AA30" s="10"/>
      <c r="AB30" s="47"/>
      <c r="AJ30" s="47"/>
    </row>
    <row r="31" spans="1:36" ht="42.75" x14ac:dyDescent="0.2">
      <c r="A31" s="162">
        <v>853</v>
      </c>
      <c r="B31" s="11" t="str">
        <f t="shared" si="5"/>
        <v>SL.20</v>
      </c>
      <c r="C31" s="10" t="s">
        <v>300</v>
      </c>
      <c r="D31" s="120" t="s">
        <v>93</v>
      </c>
      <c r="E31" s="120"/>
      <c r="F31" s="21"/>
      <c r="G31" s="10"/>
      <c r="H31" s="110">
        <v>15</v>
      </c>
      <c r="I31" s="10" t="s">
        <v>247</v>
      </c>
      <c r="J31" s="111">
        <v>1</v>
      </c>
      <c r="K31" s="111" t="s">
        <v>240</v>
      </c>
      <c r="L31" s="109">
        <f t="shared" si="7"/>
        <v>20</v>
      </c>
      <c r="M31">
        <f t="shared" si="8"/>
        <v>7</v>
      </c>
      <c r="N31" s="109"/>
      <c r="P31" s="162"/>
      <c r="Q31" s="162">
        <f t="shared" si="9"/>
        <v>0</v>
      </c>
      <c r="R31" s="162">
        <f>IF(J31="","",IF(D31="",0,IF(D31="N/A",3,IF(OR(AND($M$1="Binary",D31="Yes"),AND($M$1="Scaled",D31&gt;Dashboard!$D$12)),1,IF(OR(AND($M$1="Binary",D31="No"),AND($M$1="Scaled",D31&lt;=Dashboard!$D$12)),2,"Oops there is an error")))))</f>
        <v>1</v>
      </c>
      <c r="S31" s="162">
        <f t="shared" si="10"/>
        <v>1</v>
      </c>
      <c r="T31" s="162"/>
      <c r="U31" s="162">
        <f t="shared" si="11"/>
        <v>0</v>
      </c>
      <c r="V31" s="162">
        <f t="shared" si="12"/>
        <v>1</v>
      </c>
      <c r="X31">
        <f t="shared" si="13"/>
        <v>2</v>
      </c>
      <c r="Y31">
        <f t="shared" si="14"/>
        <v>1</v>
      </c>
      <c r="Z31" s="110"/>
      <c r="AA31" s="10"/>
      <c r="AB31" s="47"/>
      <c r="AJ31" s="47"/>
    </row>
    <row r="32" spans="1:36" ht="57" x14ac:dyDescent="0.2">
      <c r="A32" s="162">
        <v>895</v>
      </c>
      <c r="B32" s="11" t="str">
        <f t="shared" si="5"/>
        <v>SL.21</v>
      </c>
      <c r="C32" s="10" t="s">
        <v>301</v>
      </c>
      <c r="D32" s="120" t="s">
        <v>93</v>
      </c>
      <c r="E32" s="120"/>
      <c r="F32" s="21"/>
      <c r="G32" s="10" t="s">
        <v>302</v>
      </c>
      <c r="H32" s="110" t="s">
        <v>303</v>
      </c>
      <c r="I32" s="10" t="s">
        <v>304</v>
      </c>
      <c r="J32" s="111">
        <v>1</v>
      </c>
      <c r="K32" s="111" t="s">
        <v>240</v>
      </c>
      <c r="L32" s="109">
        <f t="shared" si="7"/>
        <v>21</v>
      </c>
      <c r="M32">
        <f t="shared" si="8"/>
        <v>7</v>
      </c>
      <c r="N32" s="109"/>
      <c r="P32" s="162"/>
      <c r="Q32" s="162">
        <f t="shared" si="9"/>
        <v>0</v>
      </c>
      <c r="R32" s="162">
        <f>IF(J32="","",IF(D32="",0,IF(D32="N/A",3,IF(OR(AND($M$1="Binary",D32="Yes"),AND($M$1="Scaled",D32&gt;Dashboard!$D$12)),1,IF(OR(AND($M$1="Binary",D32="No"),AND($M$1="Scaled",D32&lt;=Dashboard!$D$12)),2,"Oops there is an error")))))</f>
        <v>1</v>
      </c>
      <c r="S32" s="162">
        <f t="shared" si="10"/>
        <v>1</v>
      </c>
      <c r="T32" s="162"/>
      <c r="U32" s="162">
        <f t="shared" si="11"/>
        <v>0</v>
      </c>
      <c r="V32" s="162">
        <f t="shared" si="12"/>
        <v>1</v>
      </c>
      <c r="X32">
        <f t="shared" si="13"/>
        <v>2</v>
      </c>
      <c r="Y32">
        <f t="shared" si="14"/>
        <v>1</v>
      </c>
      <c r="Z32" s="110"/>
      <c r="AA32" s="10"/>
      <c r="AB32" s="47"/>
      <c r="AJ32" s="47"/>
    </row>
    <row r="33" spans="1:36" ht="28.5" x14ac:dyDescent="0.2">
      <c r="A33" s="162">
        <v>922</v>
      </c>
      <c r="B33" s="11" t="str">
        <f t="shared" si="5"/>
        <v>SL.22</v>
      </c>
      <c r="C33" s="10" t="s">
        <v>305</v>
      </c>
      <c r="D33" s="120" t="s">
        <v>93</v>
      </c>
      <c r="E33" s="120"/>
      <c r="F33" s="21"/>
      <c r="G33" s="10" t="s">
        <v>306</v>
      </c>
      <c r="H33" s="110" t="s">
        <v>307</v>
      </c>
      <c r="I33" s="10" t="s">
        <v>308</v>
      </c>
      <c r="J33" s="111">
        <v>1</v>
      </c>
      <c r="K33" s="111" t="s">
        <v>240</v>
      </c>
      <c r="L33" s="109">
        <f t="shared" si="7"/>
        <v>22</v>
      </c>
      <c r="M33">
        <f t="shared" si="8"/>
        <v>7</v>
      </c>
      <c r="N33" s="109"/>
      <c r="P33" s="162"/>
      <c r="Q33" s="162">
        <f t="shared" si="9"/>
        <v>0</v>
      </c>
      <c r="R33" s="162">
        <f>IF(J33="","",IF(D33="",0,IF(D33="N/A",3,IF(OR(AND($M$1="Binary",D33="Yes"),AND($M$1="Scaled",D33&gt;Dashboard!$D$12)),1,IF(OR(AND($M$1="Binary",D33="No"),AND($M$1="Scaled",D33&lt;=Dashboard!$D$12)),2,"Oops there is an error")))))</f>
        <v>1</v>
      </c>
      <c r="S33" s="162">
        <f t="shared" si="10"/>
        <v>1</v>
      </c>
      <c r="T33" s="162"/>
      <c r="U33" s="162">
        <f t="shared" si="11"/>
        <v>0</v>
      </c>
      <c r="V33" s="162">
        <f t="shared" si="12"/>
        <v>1</v>
      </c>
      <c r="X33">
        <f t="shared" si="13"/>
        <v>2</v>
      </c>
      <c r="Y33">
        <f t="shared" si="14"/>
        <v>1</v>
      </c>
      <c r="Z33" s="110"/>
      <c r="AA33" s="10"/>
      <c r="AB33" s="47"/>
      <c r="AJ33" s="47"/>
    </row>
    <row r="34" spans="1:36" ht="28.5" x14ac:dyDescent="0.2">
      <c r="A34" s="162">
        <v>3688</v>
      </c>
      <c r="B34" s="11" t="str">
        <f t="shared" si="5"/>
        <v>SL.23</v>
      </c>
      <c r="C34" s="10" t="s">
        <v>309</v>
      </c>
      <c r="D34" s="120" t="s">
        <v>93</v>
      </c>
      <c r="E34" s="120"/>
      <c r="F34" s="21"/>
      <c r="G34" s="10" t="s">
        <v>310</v>
      </c>
      <c r="H34" s="110" t="s">
        <v>311</v>
      </c>
      <c r="I34" s="10" t="s">
        <v>312</v>
      </c>
      <c r="J34" s="111">
        <v>1</v>
      </c>
      <c r="K34" s="111" t="s">
        <v>240</v>
      </c>
      <c r="L34" s="109">
        <f t="shared" si="7"/>
        <v>23</v>
      </c>
      <c r="M34">
        <f t="shared" si="8"/>
        <v>7</v>
      </c>
      <c r="N34" s="109"/>
      <c r="P34" s="162"/>
      <c r="Q34" s="162">
        <f t="shared" si="9"/>
        <v>0</v>
      </c>
      <c r="R34" s="162">
        <f>IF(J34="","",IF(D34="",0,IF(D34="N/A",3,IF(OR(AND($M$1="Binary",D34="Yes"),AND($M$1="Scaled",D34&gt;Dashboard!$D$12)),1,IF(OR(AND($M$1="Binary",D34="No"),AND($M$1="Scaled",D34&lt;=Dashboard!$D$12)),2,"Oops there is an error")))))</f>
        <v>1</v>
      </c>
      <c r="S34" s="162">
        <f t="shared" si="10"/>
        <v>1</v>
      </c>
      <c r="T34" s="162"/>
      <c r="U34" s="162">
        <f t="shared" si="11"/>
        <v>0</v>
      </c>
      <c r="V34" s="162">
        <f t="shared" si="12"/>
        <v>1</v>
      </c>
      <c r="X34">
        <f t="shared" si="13"/>
        <v>2</v>
      </c>
      <c r="Y34">
        <f t="shared" si="14"/>
        <v>1</v>
      </c>
      <c r="Z34" s="110"/>
      <c r="AA34" s="10"/>
      <c r="AB34" s="47"/>
      <c r="AJ34" s="47"/>
    </row>
    <row r="35" spans="1:36" ht="42.75" x14ac:dyDescent="0.2">
      <c r="A35" s="162">
        <v>3706</v>
      </c>
      <c r="B35" s="11" t="str">
        <f t="shared" si="5"/>
        <v>SL.24</v>
      </c>
      <c r="C35" s="10" t="s">
        <v>313</v>
      </c>
      <c r="D35" s="120" t="s">
        <v>93</v>
      </c>
      <c r="E35" s="120"/>
      <c r="F35" s="21"/>
      <c r="G35" s="10" t="s">
        <v>314</v>
      </c>
      <c r="H35" s="110" t="s">
        <v>315</v>
      </c>
      <c r="I35" s="10" t="s">
        <v>316</v>
      </c>
      <c r="J35" s="111">
        <v>1</v>
      </c>
      <c r="K35" s="111" t="s">
        <v>240</v>
      </c>
      <c r="L35" s="109">
        <f t="shared" si="7"/>
        <v>24</v>
      </c>
      <c r="M35">
        <f t="shared" si="8"/>
        <v>7</v>
      </c>
      <c r="N35" s="109"/>
      <c r="P35" s="162"/>
      <c r="Q35" s="162">
        <f t="shared" si="9"/>
        <v>0</v>
      </c>
      <c r="R35" s="162">
        <f>IF(J35="","",IF(D35="",0,IF(D35="N/A",3,IF(OR(AND($M$1="Binary",D35="Yes"),AND($M$1="Scaled",D35&gt;Dashboard!$D$12)),1,IF(OR(AND($M$1="Binary",D35="No"),AND($M$1="Scaled",D35&lt;=Dashboard!$D$12)),2,"Oops there is an error")))))</f>
        <v>1</v>
      </c>
      <c r="S35" s="162">
        <f t="shared" si="10"/>
        <v>1</v>
      </c>
      <c r="T35" s="162"/>
      <c r="U35" s="162">
        <f t="shared" si="11"/>
        <v>0</v>
      </c>
      <c r="V35" s="162">
        <f t="shared" si="12"/>
        <v>1</v>
      </c>
      <c r="X35">
        <f t="shared" si="13"/>
        <v>2</v>
      </c>
      <c r="Y35">
        <f t="shared" si="14"/>
        <v>1</v>
      </c>
      <c r="Z35" s="110"/>
      <c r="AA35" s="10"/>
      <c r="AB35" s="47"/>
      <c r="AJ35" s="47"/>
    </row>
    <row r="36" spans="1:36" ht="28.5" x14ac:dyDescent="0.2">
      <c r="A36" s="162">
        <v>975</v>
      </c>
      <c r="B36" s="11" t="str">
        <f t="shared" si="5"/>
        <v>SL.25</v>
      </c>
      <c r="C36" s="10" t="s">
        <v>317</v>
      </c>
      <c r="D36" s="120" t="s">
        <v>93</v>
      </c>
      <c r="E36" s="120"/>
      <c r="F36" s="21"/>
      <c r="G36" s="10"/>
      <c r="H36" s="110" t="s">
        <v>318</v>
      </c>
      <c r="I36" s="10" t="s">
        <v>319</v>
      </c>
      <c r="J36" s="111">
        <v>1</v>
      </c>
      <c r="K36" s="111" t="s">
        <v>240</v>
      </c>
      <c r="L36" s="109">
        <f t="shared" si="7"/>
        <v>25</v>
      </c>
      <c r="M36">
        <f t="shared" si="8"/>
        <v>7</v>
      </c>
      <c r="N36" s="109"/>
      <c r="P36" s="162"/>
      <c r="Q36" s="162">
        <f t="shared" si="9"/>
        <v>0</v>
      </c>
      <c r="R36" s="162">
        <f>IF(J36="","",IF(D36="",0,IF(D36="N/A",3,IF(OR(AND($M$1="Binary",D36="Yes"),AND($M$1="Scaled",D36&gt;Dashboard!$D$12)),1,IF(OR(AND($M$1="Binary",D36="No"),AND($M$1="Scaled",D36&lt;=Dashboard!$D$12)),2,"Oops there is an error")))))</f>
        <v>1</v>
      </c>
      <c r="S36" s="162">
        <f t="shared" si="10"/>
        <v>1</v>
      </c>
      <c r="T36" s="162"/>
      <c r="U36" s="162">
        <f t="shared" si="11"/>
        <v>0</v>
      </c>
      <c r="V36" s="162">
        <f t="shared" si="12"/>
        <v>1</v>
      </c>
      <c r="X36">
        <f t="shared" si="13"/>
        <v>2</v>
      </c>
      <c r="Y36">
        <f t="shared" si="14"/>
        <v>1</v>
      </c>
      <c r="Z36" s="110"/>
      <c r="AA36" s="10"/>
      <c r="AB36" s="47"/>
      <c r="AJ36" s="47"/>
    </row>
    <row r="37" spans="1:36" ht="28.5" x14ac:dyDescent="0.2">
      <c r="A37" s="162">
        <v>1095</v>
      </c>
      <c r="B37" s="11" t="str">
        <f t="shared" si="5"/>
        <v>SL.26</v>
      </c>
      <c r="C37" s="10" t="s">
        <v>320</v>
      </c>
      <c r="D37" s="120" t="s">
        <v>93</v>
      </c>
      <c r="E37" s="120"/>
      <c r="F37" s="21"/>
      <c r="G37" s="10" t="s">
        <v>321</v>
      </c>
      <c r="H37" s="110" t="s">
        <v>322</v>
      </c>
      <c r="I37" s="10" t="s">
        <v>319</v>
      </c>
      <c r="J37" s="111">
        <v>1</v>
      </c>
      <c r="K37" s="111" t="s">
        <v>240</v>
      </c>
      <c r="L37" s="109">
        <f t="shared" si="7"/>
        <v>26</v>
      </c>
      <c r="M37">
        <f t="shared" si="8"/>
        <v>7</v>
      </c>
      <c r="N37" s="109"/>
      <c r="P37" s="162"/>
      <c r="Q37" s="162">
        <f t="shared" si="9"/>
        <v>0</v>
      </c>
      <c r="R37" s="162">
        <f>IF(J37="","",IF(D37="",0,IF(D37="N/A",3,IF(OR(AND($M$1="Binary",D37="Yes"),AND($M$1="Scaled",D37&gt;Dashboard!$D$12)),1,IF(OR(AND($M$1="Binary",D37="No"),AND($M$1="Scaled",D37&lt;=Dashboard!$D$12)),2,"Oops there is an error")))))</f>
        <v>1</v>
      </c>
      <c r="S37" s="162">
        <f t="shared" si="10"/>
        <v>1</v>
      </c>
      <c r="T37" s="162"/>
      <c r="U37" s="162">
        <f t="shared" si="11"/>
        <v>0</v>
      </c>
      <c r="V37" s="162">
        <f t="shared" si="12"/>
        <v>1</v>
      </c>
      <c r="X37">
        <f t="shared" si="13"/>
        <v>2</v>
      </c>
      <c r="Y37">
        <f t="shared" si="14"/>
        <v>1</v>
      </c>
      <c r="Z37" s="110"/>
      <c r="AA37" s="10"/>
      <c r="AB37" s="47"/>
      <c r="AJ37" s="47"/>
    </row>
    <row r="38" spans="1:36" ht="57" x14ac:dyDescent="0.2">
      <c r="A38" s="162">
        <v>3295</v>
      </c>
      <c r="B38" s="11" t="str">
        <f t="shared" si="5"/>
        <v>SL.27</v>
      </c>
      <c r="C38" s="10" t="s">
        <v>323</v>
      </c>
      <c r="D38" s="120" t="s">
        <v>93</v>
      </c>
      <c r="E38" s="120"/>
      <c r="F38" s="21"/>
      <c r="G38" s="10" t="s">
        <v>324</v>
      </c>
      <c r="H38" s="110" t="s">
        <v>325</v>
      </c>
      <c r="I38" s="10" t="s">
        <v>326</v>
      </c>
      <c r="J38" s="111">
        <v>1</v>
      </c>
      <c r="K38" s="111" t="s">
        <v>240</v>
      </c>
      <c r="L38" s="109">
        <f t="shared" si="7"/>
        <v>27</v>
      </c>
      <c r="M38">
        <f t="shared" si="8"/>
        <v>7</v>
      </c>
      <c r="N38" s="109"/>
      <c r="P38" s="162"/>
      <c r="Q38" s="162">
        <f t="shared" si="9"/>
        <v>0</v>
      </c>
      <c r="R38" s="162">
        <f>IF(J38="","",IF(D38="",0,IF(D38="N/A",3,IF(OR(AND($M$1="Binary",D38="Yes"),AND($M$1="Scaled",D38&gt;Dashboard!$D$12)),1,IF(OR(AND($M$1="Binary",D38="No"),AND($M$1="Scaled",D38&lt;=Dashboard!$D$12)),2,"Oops there is an error")))))</f>
        <v>1</v>
      </c>
      <c r="S38" s="162">
        <f t="shared" si="10"/>
        <v>1</v>
      </c>
      <c r="T38" s="162"/>
      <c r="U38" s="162">
        <f t="shared" si="11"/>
        <v>0</v>
      </c>
      <c r="V38" s="162">
        <f t="shared" si="12"/>
        <v>1</v>
      </c>
      <c r="X38">
        <f t="shared" si="13"/>
        <v>2</v>
      </c>
      <c r="Y38">
        <f t="shared" si="14"/>
        <v>1</v>
      </c>
      <c r="Z38" s="110"/>
      <c r="AA38" s="10"/>
      <c r="AB38" s="47"/>
      <c r="AJ38" s="47"/>
    </row>
    <row r="39" spans="1:36" ht="57" x14ac:dyDescent="0.2">
      <c r="A39" s="162">
        <v>1208</v>
      </c>
      <c r="B39" s="11" t="str">
        <f t="shared" si="5"/>
        <v>SL.28</v>
      </c>
      <c r="C39" s="10" t="s">
        <v>327</v>
      </c>
      <c r="D39" s="120" t="s">
        <v>93</v>
      </c>
      <c r="E39" s="120"/>
      <c r="F39" s="21" t="s">
        <v>1093</v>
      </c>
      <c r="G39" s="10" t="s">
        <v>328</v>
      </c>
      <c r="H39" s="110" t="s">
        <v>329</v>
      </c>
      <c r="I39" s="10" t="s">
        <v>330</v>
      </c>
      <c r="J39" s="111">
        <v>1</v>
      </c>
      <c r="K39" s="111" t="s">
        <v>240</v>
      </c>
      <c r="L39" s="109">
        <f t="shared" si="7"/>
        <v>28</v>
      </c>
      <c r="M39">
        <f t="shared" si="8"/>
        <v>7</v>
      </c>
      <c r="N39" s="109"/>
      <c r="P39" s="162"/>
      <c r="Q39" s="162">
        <f t="shared" si="9"/>
        <v>0</v>
      </c>
      <c r="R39" s="162">
        <f>IF(J39="","",IF(D39="",0,IF(D39="N/A",3,IF(OR(AND($M$1="Binary",D39="Yes"),AND($M$1="Scaled",D39&gt;Dashboard!$D$12)),1,IF(OR(AND($M$1="Binary",D39="No"),AND($M$1="Scaled",D39&lt;=Dashboard!$D$12)),2,"Oops there is an error")))))</f>
        <v>1</v>
      </c>
      <c r="S39" s="162">
        <f t="shared" si="10"/>
        <v>1</v>
      </c>
      <c r="T39" s="162"/>
      <c r="U39" s="162">
        <f t="shared" si="11"/>
        <v>0</v>
      </c>
      <c r="V39" s="162">
        <f t="shared" si="12"/>
        <v>1</v>
      </c>
      <c r="X39">
        <f t="shared" si="13"/>
        <v>2</v>
      </c>
      <c r="Y39">
        <f t="shared" si="14"/>
        <v>1</v>
      </c>
      <c r="Z39" s="110"/>
      <c r="AA39" s="10"/>
      <c r="AB39" s="47"/>
      <c r="AJ39" s="47"/>
    </row>
    <row r="40" spans="1:36" ht="14.25" x14ac:dyDescent="0.2">
      <c r="A40" s="162">
        <v>1770</v>
      </c>
      <c r="B40" s="11" t="str">
        <f t="shared" si="5"/>
        <v>SL.29</v>
      </c>
      <c r="C40" s="10" t="s">
        <v>331</v>
      </c>
      <c r="D40" s="120" t="s">
        <v>96</v>
      </c>
      <c r="E40" s="4"/>
      <c r="F40" s="21"/>
      <c r="G40" s="10"/>
      <c r="H40" s="110" t="s">
        <v>89</v>
      </c>
      <c r="I40" s="10" t="s">
        <v>332</v>
      </c>
      <c r="J40" s="111">
        <v>1</v>
      </c>
      <c r="K40" s="111" t="s">
        <v>240</v>
      </c>
      <c r="L40" s="109">
        <f t="shared" si="7"/>
        <v>29</v>
      </c>
      <c r="M40">
        <f t="shared" si="8"/>
        <v>7</v>
      </c>
      <c r="N40" s="109"/>
      <c r="P40" s="162"/>
      <c r="Q40" s="162">
        <f t="shared" si="9"/>
        <v>0</v>
      </c>
      <c r="R40" s="162">
        <f>IF(J40="","",IF(D40="",0,IF(D40="N/A",3,IF(OR(AND($M$1="Binary",D40="Yes"),AND($M$1="Scaled",D40&gt;Dashboard!$D$12)),1,IF(OR(AND($M$1="Binary",D40="No"),AND($M$1="Scaled",D40&lt;=Dashboard!$D$12)),2,"Oops there is an error")))))</f>
        <v>2</v>
      </c>
      <c r="S40" s="162">
        <f t="shared" si="10"/>
        <v>2</v>
      </c>
      <c r="T40" s="162"/>
      <c r="U40" s="162">
        <f t="shared" si="11"/>
        <v>1</v>
      </c>
      <c r="V40" s="162">
        <f t="shared" si="12"/>
        <v>2</v>
      </c>
      <c r="X40">
        <f t="shared" si="13"/>
        <v>2</v>
      </c>
      <c r="Y40">
        <f t="shared" si="14"/>
        <v>1</v>
      </c>
      <c r="Z40" s="110"/>
      <c r="AA40" s="10"/>
      <c r="AB40" s="47"/>
      <c r="AJ40" s="47">
        <v>1</v>
      </c>
    </row>
    <row r="41" spans="1:36" ht="15" x14ac:dyDescent="0.25">
      <c r="A41" s="162"/>
      <c r="B41" s="9" t="str">
        <f t="shared" si="5"/>
        <v/>
      </c>
      <c r="C41" s="16" t="s">
        <v>333</v>
      </c>
      <c r="D41" s="142"/>
      <c r="E41" s="142"/>
      <c r="F41" s="142"/>
      <c r="G41" s="15"/>
      <c r="H41" s="33"/>
      <c r="I41" s="13"/>
      <c r="J41" s="111"/>
      <c r="K41" s="111">
        <v>1</v>
      </c>
      <c r="L41" s="109">
        <f t="shared" si="7"/>
        <v>29</v>
      </c>
      <c r="M41">
        <f t="shared" si="8"/>
        <v>8</v>
      </c>
      <c r="N41" s="109"/>
      <c r="P41" s="162"/>
      <c r="Q41" s="162">
        <f t="shared" si="9"/>
        <v>0</v>
      </c>
      <c r="R41" s="162" t="str">
        <f>IF(J41="","",IF(D41="",0,IF(D41="N/A",3,IF(OR(AND($M$1="Binary",D41="Yes"),AND($M$1="Scaled",D41&gt;Dashboard!$D$12)),1,IF(OR(AND($M$1="Binary",D41="No"),AND($M$1="Scaled",D41&lt;=Dashboard!$D$12)),2,"Oops there is an error")))))</f>
        <v/>
      </c>
      <c r="S41" s="162" t="str">
        <f t="shared" si="10"/>
        <v/>
      </c>
      <c r="T41" s="162"/>
      <c r="U41" s="162">
        <f t="shared" si="11"/>
        <v>1</v>
      </c>
      <c r="V41" s="162" t="str">
        <f t="shared" si="12"/>
        <v/>
      </c>
      <c r="X41">
        <f t="shared" si="13"/>
        <v>1</v>
      </c>
      <c r="Y41">
        <f t="shared" si="14"/>
        <v>1</v>
      </c>
      <c r="Z41" s="33"/>
      <c r="AA41" s="13"/>
      <c r="AJ41" s="47"/>
    </row>
    <row r="42" spans="1:36" ht="57" x14ac:dyDescent="0.2">
      <c r="A42" s="162">
        <v>1998</v>
      </c>
      <c r="B42" s="11" t="str">
        <f t="shared" si="5"/>
        <v>SL.30</v>
      </c>
      <c r="C42" s="10" t="s">
        <v>334</v>
      </c>
      <c r="D42" s="120" t="s">
        <v>93</v>
      </c>
      <c r="E42" s="120"/>
      <c r="F42" s="21" t="s">
        <v>1093</v>
      </c>
      <c r="G42" s="10"/>
      <c r="H42" s="110" t="s">
        <v>89</v>
      </c>
      <c r="I42" s="10" t="s">
        <v>332</v>
      </c>
      <c r="J42" s="111">
        <v>1</v>
      </c>
      <c r="K42" s="111" t="s">
        <v>245</v>
      </c>
      <c r="L42" s="109">
        <f t="shared" si="7"/>
        <v>30</v>
      </c>
      <c r="M42">
        <f t="shared" si="8"/>
        <v>8</v>
      </c>
      <c r="N42" s="109"/>
      <c r="P42" s="162"/>
      <c r="Q42" s="162">
        <f t="shared" si="9"/>
        <v>0</v>
      </c>
      <c r="R42" s="162">
        <f>IF(J42="","",IF(D42="",0,IF(D42="N/A",3,IF(OR(AND($M$1="Binary",D42="Yes"),AND($M$1="Scaled",D42&gt;Dashboard!$D$12)),1,IF(OR(AND($M$1="Binary",D42="No"),AND($M$1="Scaled",D42&lt;=Dashboard!$D$12)),2,"Oops there is an error")))))</f>
        <v>1</v>
      </c>
      <c r="S42" s="162">
        <f t="shared" si="10"/>
        <v>1</v>
      </c>
      <c r="T42" s="162"/>
      <c r="U42" s="162">
        <f t="shared" si="11"/>
        <v>0</v>
      </c>
      <c r="V42" s="162">
        <f t="shared" si="12"/>
        <v>1</v>
      </c>
      <c r="X42">
        <f t="shared" si="13"/>
        <v>2</v>
      </c>
      <c r="Y42">
        <f t="shared" si="14"/>
        <v>1</v>
      </c>
      <c r="Z42" s="110"/>
      <c r="AA42" s="10"/>
      <c r="AB42" s="47"/>
      <c r="AJ42" s="47"/>
    </row>
    <row r="43" spans="1:36" ht="28.5" x14ac:dyDescent="0.2">
      <c r="A43" s="162">
        <v>1911</v>
      </c>
      <c r="B43" s="11" t="str">
        <f t="shared" si="5"/>
        <v>SL.31</v>
      </c>
      <c r="C43" s="10" t="s">
        <v>335</v>
      </c>
      <c r="D43" s="120" t="s">
        <v>93</v>
      </c>
      <c r="E43" s="120"/>
      <c r="F43" s="21"/>
      <c r="G43" s="10" t="s">
        <v>336</v>
      </c>
      <c r="H43" s="110" t="s">
        <v>337</v>
      </c>
      <c r="I43" s="10" t="s">
        <v>338</v>
      </c>
      <c r="J43" s="111">
        <v>1</v>
      </c>
      <c r="K43" s="111" t="s">
        <v>245</v>
      </c>
      <c r="L43" s="109">
        <f t="shared" si="7"/>
        <v>31</v>
      </c>
      <c r="M43">
        <f t="shared" si="8"/>
        <v>8</v>
      </c>
      <c r="N43" s="109"/>
      <c r="P43" s="162"/>
      <c r="Q43" s="162">
        <f t="shared" si="9"/>
        <v>0</v>
      </c>
      <c r="R43" s="162">
        <f>IF(J43="","",IF(D43="",0,IF(D43="N/A",3,IF(OR(AND($M$1="Binary",D43="Yes"),AND($M$1="Scaled",D43&gt;Dashboard!$D$12)),1,IF(OR(AND($M$1="Binary",D43="No"),AND($M$1="Scaled",D43&lt;=Dashboard!$D$12)),2,"Oops there is an error")))))</f>
        <v>1</v>
      </c>
      <c r="S43" s="162">
        <f t="shared" si="10"/>
        <v>1</v>
      </c>
      <c r="T43" s="162"/>
      <c r="U43" s="162">
        <f t="shared" si="11"/>
        <v>0</v>
      </c>
      <c r="V43" s="162">
        <f t="shared" si="12"/>
        <v>1</v>
      </c>
      <c r="X43">
        <f t="shared" si="13"/>
        <v>2</v>
      </c>
      <c r="Y43">
        <f t="shared" si="14"/>
        <v>1</v>
      </c>
      <c r="Z43" s="110"/>
      <c r="AA43" s="10"/>
      <c r="AB43" s="47"/>
      <c r="AJ43" s="47"/>
    </row>
    <row r="44" spans="1:36" ht="28.5" x14ac:dyDescent="0.2">
      <c r="A44" s="162">
        <v>1948</v>
      </c>
      <c r="B44" s="11" t="str">
        <f t="shared" si="5"/>
        <v>SL.32</v>
      </c>
      <c r="C44" s="10" t="s">
        <v>339</v>
      </c>
      <c r="D44" s="120" t="s">
        <v>93</v>
      </c>
      <c r="E44" s="120"/>
      <c r="F44" s="21"/>
      <c r="G44" s="10" t="s">
        <v>336</v>
      </c>
      <c r="H44" s="110" t="s">
        <v>340</v>
      </c>
      <c r="I44" s="10" t="s">
        <v>341</v>
      </c>
      <c r="J44" s="111">
        <v>1</v>
      </c>
      <c r="K44" s="111" t="s">
        <v>245</v>
      </c>
      <c r="L44" s="109">
        <f t="shared" si="7"/>
        <v>32</v>
      </c>
      <c r="M44">
        <f t="shared" si="8"/>
        <v>8</v>
      </c>
      <c r="N44" s="109"/>
      <c r="P44" s="162"/>
      <c r="Q44" s="162">
        <f t="shared" si="9"/>
        <v>0</v>
      </c>
      <c r="R44" s="162">
        <f>IF(J44="","",IF(D44="",0,IF(D44="N/A",3,IF(OR(AND($M$1="Binary",D44="Yes"),AND($M$1="Scaled",D44&gt;Dashboard!$D$12)),1,IF(OR(AND($M$1="Binary",D44="No"),AND($M$1="Scaled",D44&lt;=Dashboard!$D$12)),2,"Oops there is an error")))))</f>
        <v>1</v>
      </c>
      <c r="S44" s="162">
        <f t="shared" si="10"/>
        <v>1</v>
      </c>
      <c r="T44" s="162"/>
      <c r="U44" s="162">
        <f t="shared" si="11"/>
        <v>0</v>
      </c>
      <c r="V44" s="162">
        <f t="shared" si="12"/>
        <v>1</v>
      </c>
      <c r="X44">
        <f t="shared" si="13"/>
        <v>2</v>
      </c>
      <c r="Y44">
        <f t="shared" si="14"/>
        <v>1</v>
      </c>
      <c r="Z44" s="110"/>
      <c r="AA44" s="10"/>
      <c r="AB44" s="47"/>
      <c r="AJ44" s="47"/>
    </row>
    <row r="45" spans="1:36" ht="42.75" x14ac:dyDescent="0.2">
      <c r="A45" s="162">
        <v>2028</v>
      </c>
      <c r="B45" s="11" t="str">
        <f t="shared" si="5"/>
        <v>SL.33</v>
      </c>
      <c r="C45" s="10" t="s">
        <v>342</v>
      </c>
      <c r="D45" s="120" t="s">
        <v>93</v>
      </c>
      <c r="E45" s="120"/>
      <c r="F45" s="21" t="s">
        <v>1107</v>
      </c>
      <c r="G45" s="10" t="s">
        <v>343</v>
      </c>
      <c r="H45" s="110">
        <v>6.2</v>
      </c>
      <c r="I45" s="10" t="s">
        <v>344</v>
      </c>
      <c r="J45" s="111">
        <v>1</v>
      </c>
      <c r="K45" s="111" t="s">
        <v>245</v>
      </c>
      <c r="L45" s="109">
        <f t="shared" si="7"/>
        <v>33</v>
      </c>
      <c r="M45">
        <f t="shared" si="8"/>
        <v>8</v>
      </c>
      <c r="N45" s="109"/>
      <c r="P45" s="162"/>
      <c r="Q45" s="162">
        <f t="shared" si="9"/>
        <v>0</v>
      </c>
      <c r="R45" s="162">
        <f>IF(J45="","",IF(D45="",0,IF(D45="N/A",3,IF(OR(AND($M$1="Binary",D45="Yes"),AND($M$1="Scaled",D45&gt;Dashboard!$D$12)),1,IF(OR(AND($M$1="Binary",D45="No"),AND($M$1="Scaled",D45&lt;=Dashboard!$D$12)),2,"Oops there is an error")))))</f>
        <v>1</v>
      </c>
      <c r="S45" s="162">
        <f t="shared" si="10"/>
        <v>1</v>
      </c>
      <c r="T45" s="162"/>
      <c r="U45" s="162">
        <f t="shared" si="11"/>
        <v>0</v>
      </c>
      <c r="V45" s="162">
        <f t="shared" si="12"/>
        <v>1</v>
      </c>
      <c r="X45">
        <f t="shared" si="13"/>
        <v>2</v>
      </c>
      <c r="Y45">
        <f t="shared" si="14"/>
        <v>1</v>
      </c>
      <c r="Z45" s="110"/>
      <c r="AA45" s="10"/>
      <c r="AB45" s="47"/>
      <c r="AJ45" s="47"/>
    </row>
    <row r="46" spans="1:36" ht="15" x14ac:dyDescent="0.25">
      <c r="A46" s="162"/>
      <c r="B46" s="9" t="str">
        <f t="shared" si="5"/>
        <v/>
      </c>
      <c r="C46" s="16" t="s">
        <v>345</v>
      </c>
      <c r="D46" s="142"/>
      <c r="E46" s="142"/>
      <c r="F46" s="142"/>
      <c r="G46" s="15"/>
      <c r="H46" s="33"/>
      <c r="I46" s="13"/>
      <c r="J46" s="111"/>
      <c r="K46" s="111">
        <v>1</v>
      </c>
      <c r="L46" s="109">
        <f t="shared" si="7"/>
        <v>33</v>
      </c>
      <c r="M46">
        <f t="shared" si="8"/>
        <v>9</v>
      </c>
      <c r="N46" s="109"/>
      <c r="P46" s="162"/>
      <c r="Q46" s="162">
        <f t="shared" si="9"/>
        <v>0</v>
      </c>
      <c r="R46" s="162" t="str">
        <f>IF(J46="","",IF(D46="",0,IF(D46="N/A",3,IF(OR(AND($M$1="Binary",D46="Yes"),AND($M$1="Scaled",D46&gt;Dashboard!$D$12)),1,IF(OR(AND($M$1="Binary",D46="No"),AND($M$1="Scaled",D46&lt;=Dashboard!$D$12)),2,"Oops there is an error")))))</f>
        <v/>
      </c>
      <c r="S46" s="162" t="str">
        <f t="shared" si="10"/>
        <v/>
      </c>
      <c r="T46" s="162"/>
      <c r="U46" s="162">
        <f t="shared" si="11"/>
        <v>0</v>
      </c>
      <c r="V46" s="162" t="str">
        <f t="shared" si="12"/>
        <v/>
      </c>
      <c r="X46">
        <f t="shared" si="13"/>
        <v>1</v>
      </c>
      <c r="Y46">
        <f t="shared" si="14"/>
        <v>1</v>
      </c>
      <c r="Z46" s="46"/>
      <c r="AA46" s="27"/>
      <c r="AJ46" s="47"/>
    </row>
    <row r="47" spans="1:36" ht="28.5" x14ac:dyDescent="0.2">
      <c r="A47" s="162">
        <v>2665</v>
      </c>
      <c r="B47" s="11" t="str">
        <f t="shared" si="5"/>
        <v>SL.34</v>
      </c>
      <c r="C47" s="10" t="s">
        <v>346</v>
      </c>
      <c r="D47" s="120" t="s">
        <v>96</v>
      </c>
      <c r="E47" s="120"/>
      <c r="F47" s="21"/>
      <c r="G47" s="10"/>
      <c r="H47" s="110">
        <v>14.1</v>
      </c>
      <c r="I47" s="10" t="s">
        <v>347</v>
      </c>
      <c r="J47" s="111">
        <v>1</v>
      </c>
      <c r="K47" s="111" t="s">
        <v>248</v>
      </c>
      <c r="L47" s="109">
        <f t="shared" si="7"/>
        <v>34</v>
      </c>
      <c r="M47">
        <f t="shared" si="8"/>
        <v>9</v>
      </c>
      <c r="N47" s="109"/>
      <c r="P47" s="162"/>
      <c r="Q47" s="162">
        <f t="shared" si="9"/>
        <v>0</v>
      </c>
      <c r="R47" s="162">
        <f>IF(J47="","",IF(D47="",0,IF(D47="N/A",3,IF(OR(AND($M$1="Binary",D47="Yes"),AND($M$1="Scaled",D47&gt;Dashboard!$D$12)),1,IF(OR(AND($M$1="Binary",D47="No"),AND($M$1="Scaled",D47&lt;=Dashboard!$D$12)),2,"Oops there is an error")))))</f>
        <v>2</v>
      </c>
      <c r="S47" s="162">
        <f t="shared" si="10"/>
        <v>2</v>
      </c>
      <c r="T47" s="162"/>
      <c r="U47" s="162">
        <f t="shared" si="11"/>
        <v>1</v>
      </c>
      <c r="V47" s="162">
        <f t="shared" si="12"/>
        <v>2</v>
      </c>
      <c r="X47">
        <f t="shared" si="13"/>
        <v>1</v>
      </c>
      <c r="Y47">
        <f t="shared" si="14"/>
        <v>1</v>
      </c>
      <c r="Z47" s="110"/>
      <c r="AA47" s="10"/>
      <c r="AB47" s="47"/>
      <c r="AJ47" s="47">
        <v>2</v>
      </c>
    </row>
    <row r="48" spans="1:36" ht="14.25" x14ac:dyDescent="0.2">
      <c r="A48" s="162">
        <v>2058</v>
      </c>
      <c r="B48" s="11" t="str">
        <f t="shared" si="5"/>
        <v>SL.35</v>
      </c>
      <c r="C48" s="10" t="s">
        <v>348</v>
      </c>
      <c r="D48" s="120" t="s">
        <v>93</v>
      </c>
      <c r="E48" s="4"/>
      <c r="F48" s="21"/>
      <c r="G48" s="10"/>
      <c r="H48" s="110" t="s">
        <v>349</v>
      </c>
      <c r="I48" s="10" t="s">
        <v>350</v>
      </c>
      <c r="J48" s="111">
        <v>1</v>
      </c>
      <c r="K48" s="111" t="s">
        <v>248</v>
      </c>
      <c r="L48" s="109">
        <f t="shared" si="7"/>
        <v>35</v>
      </c>
      <c r="M48">
        <f t="shared" si="8"/>
        <v>9</v>
      </c>
      <c r="N48" s="109"/>
      <c r="P48" s="162"/>
      <c r="Q48" s="162">
        <f t="shared" si="9"/>
        <v>0</v>
      </c>
      <c r="R48" s="162">
        <f>IF(J48="","",IF(D48="",0,IF(D48="N/A",3,IF(OR(AND($M$1="Binary",D48="Yes"),AND($M$1="Scaled",D48&gt;Dashboard!$D$12)),1,IF(OR(AND($M$1="Binary",D48="No"),AND($M$1="Scaled",D48&lt;=Dashboard!$D$12)),2,"Oops there is an error")))))</f>
        <v>1</v>
      </c>
      <c r="S48" s="162">
        <f t="shared" si="10"/>
        <v>1</v>
      </c>
      <c r="T48" s="162"/>
      <c r="U48" s="162">
        <f t="shared" si="11"/>
        <v>0</v>
      </c>
      <c r="V48" s="162">
        <f t="shared" si="12"/>
        <v>1</v>
      </c>
      <c r="X48">
        <f t="shared" si="13"/>
        <v>2</v>
      </c>
      <c r="Y48">
        <f t="shared" si="14"/>
        <v>1</v>
      </c>
      <c r="Z48" s="110"/>
      <c r="AA48" s="10"/>
      <c r="AB48" s="47"/>
      <c r="AJ48" s="47">
        <v>1</v>
      </c>
    </row>
    <row r="49" spans="1:36" ht="28.5" x14ac:dyDescent="0.2">
      <c r="A49" s="162">
        <v>2059</v>
      </c>
      <c r="B49" s="11" t="str">
        <f t="shared" si="5"/>
        <v>SL.36</v>
      </c>
      <c r="C49" s="10" t="s">
        <v>351</v>
      </c>
      <c r="D49" s="120" t="s">
        <v>93</v>
      </c>
      <c r="E49" s="120"/>
      <c r="F49" s="21"/>
      <c r="G49" s="10" t="s">
        <v>352</v>
      </c>
      <c r="H49" s="110" t="s">
        <v>353</v>
      </c>
      <c r="I49" s="10" t="s">
        <v>350</v>
      </c>
      <c r="J49" s="111">
        <v>1</v>
      </c>
      <c r="K49" s="111" t="s">
        <v>248</v>
      </c>
      <c r="L49" s="109">
        <f t="shared" si="7"/>
        <v>36</v>
      </c>
      <c r="M49">
        <f t="shared" si="8"/>
        <v>9</v>
      </c>
      <c r="N49" s="109"/>
      <c r="P49" s="162"/>
      <c r="Q49" s="162">
        <f t="shared" si="9"/>
        <v>0</v>
      </c>
      <c r="R49" s="162">
        <f>IF(J49="","",IF(D49="",0,IF(D49="N/A",3,IF(OR(AND($M$1="Binary",D49="Yes"),AND($M$1="Scaled",D49&gt;Dashboard!$D$12)),1,IF(OR(AND($M$1="Binary",D49="No"),AND($M$1="Scaled",D49&lt;=Dashboard!$D$12)),2,"Oops there is an error")))))</f>
        <v>1</v>
      </c>
      <c r="S49" s="162">
        <f t="shared" si="10"/>
        <v>1</v>
      </c>
      <c r="T49" s="162"/>
      <c r="U49" s="162">
        <f t="shared" si="11"/>
        <v>0</v>
      </c>
      <c r="V49" s="162">
        <f t="shared" si="12"/>
        <v>1</v>
      </c>
      <c r="X49">
        <f t="shared" si="13"/>
        <v>2</v>
      </c>
      <c r="Y49">
        <f t="shared" si="14"/>
        <v>1</v>
      </c>
      <c r="Z49" s="110"/>
      <c r="AA49" s="10"/>
      <c r="AB49" s="47"/>
      <c r="AJ49" s="47"/>
    </row>
    <row r="50" spans="1:36" ht="28.5" x14ac:dyDescent="0.2">
      <c r="A50" s="162">
        <v>2213</v>
      </c>
      <c r="B50" s="11" t="str">
        <f t="shared" si="5"/>
        <v>SL.37</v>
      </c>
      <c r="C50" s="10" t="s">
        <v>354</v>
      </c>
      <c r="D50" s="120" t="s">
        <v>93</v>
      </c>
      <c r="E50" s="120"/>
      <c r="F50" s="21"/>
      <c r="G50" s="10" t="s">
        <v>355</v>
      </c>
      <c r="H50" s="110" t="s">
        <v>356</v>
      </c>
      <c r="I50" s="10" t="s">
        <v>357</v>
      </c>
      <c r="J50" s="111">
        <v>1</v>
      </c>
      <c r="K50" s="111" t="s">
        <v>248</v>
      </c>
      <c r="L50" s="109">
        <f t="shared" si="7"/>
        <v>37</v>
      </c>
      <c r="M50">
        <f t="shared" si="8"/>
        <v>9</v>
      </c>
      <c r="N50" s="109"/>
      <c r="P50" s="162"/>
      <c r="Q50" s="162">
        <f t="shared" si="9"/>
        <v>0</v>
      </c>
      <c r="R50" s="162">
        <f>IF(J50="","",IF(D50="",0,IF(D50="N/A",3,IF(OR(AND($M$1="Binary",D50="Yes"),AND($M$1="Scaled",D50&gt;Dashboard!$D$12)),1,IF(OR(AND($M$1="Binary",D50="No"),AND($M$1="Scaled",D50&lt;=Dashboard!$D$12)),2,"Oops there is an error")))))</f>
        <v>1</v>
      </c>
      <c r="S50" s="162">
        <f t="shared" si="10"/>
        <v>1</v>
      </c>
      <c r="T50" s="162"/>
      <c r="U50" s="162">
        <f t="shared" si="11"/>
        <v>0</v>
      </c>
      <c r="V50" s="162">
        <f t="shared" si="12"/>
        <v>1</v>
      </c>
      <c r="X50">
        <f t="shared" si="13"/>
        <v>2</v>
      </c>
      <c r="Y50">
        <f t="shared" si="14"/>
        <v>1</v>
      </c>
      <c r="Z50" s="110"/>
      <c r="AA50" s="10"/>
      <c r="AB50" s="47"/>
      <c r="AJ50" s="47"/>
    </row>
    <row r="51" spans="1:36" ht="28.5" x14ac:dyDescent="0.2">
      <c r="A51" s="162">
        <v>2230</v>
      </c>
      <c r="B51" s="11" t="str">
        <f t="shared" si="5"/>
        <v>SL.38</v>
      </c>
      <c r="C51" s="10" t="s">
        <v>358</v>
      </c>
      <c r="D51" s="120" t="s">
        <v>93</v>
      </c>
      <c r="E51" s="4"/>
      <c r="F51" s="21"/>
      <c r="G51" s="10"/>
      <c r="H51" s="110" t="s">
        <v>89</v>
      </c>
      <c r="I51" s="10"/>
      <c r="J51" s="111">
        <v>1</v>
      </c>
      <c r="K51" s="111" t="s">
        <v>248</v>
      </c>
      <c r="L51" s="109">
        <f t="shared" si="7"/>
        <v>38</v>
      </c>
      <c r="M51">
        <f t="shared" si="8"/>
        <v>9</v>
      </c>
      <c r="N51" s="109"/>
      <c r="P51" s="162"/>
      <c r="Q51" s="162">
        <f t="shared" si="9"/>
        <v>0</v>
      </c>
      <c r="R51" s="162">
        <f>IF(J51="","",IF(D51="",0,IF(D51="N/A",3,IF(OR(AND($M$1="Binary",D51="Yes"),AND($M$1="Scaled",D51&gt;Dashboard!$D$12)),1,IF(OR(AND($M$1="Binary",D51="No"),AND($M$1="Scaled",D51&lt;=Dashboard!$D$12)),2,"Oops there is an error")))))</f>
        <v>1</v>
      </c>
      <c r="S51" s="162">
        <f t="shared" si="10"/>
        <v>1</v>
      </c>
      <c r="T51" s="162"/>
      <c r="U51" s="162">
        <f t="shared" si="11"/>
        <v>0</v>
      </c>
      <c r="V51" s="162">
        <f t="shared" si="12"/>
        <v>1</v>
      </c>
      <c r="X51">
        <f t="shared" si="13"/>
        <v>2</v>
      </c>
      <c r="Y51">
        <f t="shared" si="14"/>
        <v>1</v>
      </c>
      <c r="Z51" s="110"/>
      <c r="AA51" s="10"/>
      <c r="AB51" s="47"/>
      <c r="AJ51" s="47">
        <v>1</v>
      </c>
    </row>
    <row r="52" spans="1:36" ht="42.75" x14ac:dyDescent="0.2">
      <c r="A52" s="162">
        <v>2225</v>
      </c>
      <c r="B52" s="11" t="str">
        <f t="shared" si="5"/>
        <v>SL.39</v>
      </c>
      <c r="C52" s="10" t="s">
        <v>359</v>
      </c>
      <c r="D52" s="120" t="s">
        <v>96</v>
      </c>
      <c r="E52" s="120"/>
      <c r="F52" s="21"/>
      <c r="G52" s="10" t="s">
        <v>360</v>
      </c>
      <c r="H52" s="110" t="s">
        <v>361</v>
      </c>
      <c r="I52" s="10" t="s">
        <v>362</v>
      </c>
      <c r="J52" s="111">
        <v>1</v>
      </c>
      <c r="K52" s="111" t="s">
        <v>248</v>
      </c>
      <c r="L52" s="109">
        <f t="shared" si="7"/>
        <v>39</v>
      </c>
      <c r="M52">
        <f t="shared" si="8"/>
        <v>9</v>
      </c>
      <c r="N52" s="109"/>
      <c r="P52" s="162"/>
      <c r="Q52" s="162">
        <f t="shared" si="9"/>
        <v>0</v>
      </c>
      <c r="R52" s="162">
        <f>IF(J52="","",IF(D52="",0,IF(D52="N/A",3,IF(OR(AND($M$1="Binary",D52="Yes"),AND($M$1="Scaled",D52&gt;Dashboard!$D$12)),1,IF(OR(AND($M$1="Binary",D52="No"),AND($M$1="Scaled",D52&lt;=Dashboard!$D$12)),2,"Oops there is an error")))))</f>
        <v>2</v>
      </c>
      <c r="S52" s="162">
        <f t="shared" si="10"/>
        <v>2</v>
      </c>
      <c r="T52" s="162"/>
      <c r="U52" s="162">
        <f t="shared" si="11"/>
        <v>1</v>
      </c>
      <c r="V52" s="162">
        <f t="shared" si="12"/>
        <v>2</v>
      </c>
      <c r="X52">
        <f t="shared" si="13"/>
        <v>2</v>
      </c>
      <c r="Y52">
        <f t="shared" si="14"/>
        <v>1</v>
      </c>
      <c r="Z52" s="110"/>
      <c r="AA52" s="10"/>
      <c r="AB52" s="47"/>
      <c r="AJ52" s="47">
        <v>2</v>
      </c>
    </row>
    <row r="53" spans="1:36" ht="28.5" x14ac:dyDescent="0.2">
      <c r="A53" s="162">
        <v>1806</v>
      </c>
      <c r="B53" s="11" t="str">
        <f t="shared" si="5"/>
        <v>SL.40</v>
      </c>
      <c r="C53" s="10" t="s">
        <v>363</v>
      </c>
      <c r="D53" s="120" t="s">
        <v>93</v>
      </c>
      <c r="E53" s="120"/>
      <c r="F53" s="21"/>
      <c r="G53" s="10" t="s">
        <v>364</v>
      </c>
      <c r="H53" s="110">
        <v>10.1</v>
      </c>
      <c r="I53" s="10" t="s">
        <v>365</v>
      </c>
      <c r="J53" s="111">
        <v>1</v>
      </c>
      <c r="K53" s="111" t="s">
        <v>248</v>
      </c>
      <c r="L53" s="109">
        <f t="shared" si="7"/>
        <v>40</v>
      </c>
      <c r="M53">
        <f t="shared" si="8"/>
        <v>9</v>
      </c>
      <c r="N53" s="109"/>
      <c r="P53" s="162"/>
      <c r="Q53" s="162">
        <f t="shared" si="9"/>
        <v>0</v>
      </c>
      <c r="R53" s="162">
        <f>IF(J53="","",IF(D53="",0,IF(D53="N/A",3,IF(OR(AND($M$1="Binary",D53="Yes"),AND($M$1="Scaled",D53&gt;Dashboard!$D$12)),1,IF(OR(AND($M$1="Binary",D53="No"),AND($M$1="Scaled",D53&lt;=Dashboard!$D$12)),2,"Oops there is an error")))))</f>
        <v>1</v>
      </c>
      <c r="S53" s="162">
        <f t="shared" si="10"/>
        <v>1</v>
      </c>
      <c r="T53" s="162"/>
      <c r="U53" s="162">
        <f t="shared" si="11"/>
        <v>0</v>
      </c>
      <c r="V53" s="162">
        <f t="shared" si="12"/>
        <v>1</v>
      </c>
      <c r="X53">
        <f t="shared" si="13"/>
        <v>2</v>
      </c>
      <c r="Y53">
        <f t="shared" si="14"/>
        <v>1</v>
      </c>
      <c r="Z53" s="110"/>
      <c r="AA53" s="10"/>
      <c r="AB53" s="47"/>
      <c r="AJ53" s="47"/>
    </row>
    <row r="54" spans="1:36" ht="15" x14ac:dyDescent="0.25">
      <c r="A54" s="162"/>
      <c r="B54" s="9" t="str">
        <f t="shared" si="5"/>
        <v/>
      </c>
      <c r="C54" s="16" t="s">
        <v>366</v>
      </c>
      <c r="D54" s="142"/>
      <c r="E54" s="142"/>
      <c r="F54" s="142"/>
      <c r="G54" s="15"/>
      <c r="H54" s="33"/>
      <c r="I54" s="13"/>
      <c r="J54" s="111"/>
      <c r="K54" s="111">
        <v>1</v>
      </c>
      <c r="L54" s="109">
        <f t="shared" si="7"/>
        <v>40</v>
      </c>
      <c r="M54">
        <f t="shared" si="8"/>
        <v>10</v>
      </c>
      <c r="N54" s="109"/>
      <c r="P54" s="162"/>
      <c r="Q54" s="162">
        <f t="shared" si="9"/>
        <v>0</v>
      </c>
      <c r="R54" s="162" t="str">
        <f>IF(J54="","",IF(D54="",0,IF(D54="N/A",3,IF(OR(AND($M$1="Binary",D54="Yes"),AND($M$1="Scaled",D54&gt;Dashboard!$D$12)),1,IF(OR(AND($M$1="Binary",D54="No"),AND($M$1="Scaled",D54&lt;=Dashboard!$D$12)),2,"Oops there is an error")))))</f>
        <v/>
      </c>
      <c r="S54" s="162" t="str">
        <f t="shared" si="10"/>
        <v/>
      </c>
      <c r="T54" s="162"/>
      <c r="U54" s="162">
        <f t="shared" si="11"/>
        <v>0</v>
      </c>
      <c r="V54" s="162" t="str">
        <f t="shared" si="12"/>
        <v/>
      </c>
      <c r="X54">
        <f t="shared" si="13"/>
        <v>1</v>
      </c>
      <c r="Y54">
        <f t="shared" si="14"/>
        <v>1</v>
      </c>
      <c r="Z54" s="33"/>
      <c r="AA54" s="13"/>
      <c r="AJ54" s="47"/>
    </row>
    <row r="55" spans="1:36" ht="57" x14ac:dyDescent="0.2">
      <c r="A55" s="162">
        <v>2241</v>
      </c>
      <c r="B55" s="11" t="str">
        <f t="shared" si="5"/>
        <v>SL.41</v>
      </c>
      <c r="C55" s="10" t="s">
        <v>367</v>
      </c>
      <c r="D55" s="120" t="s">
        <v>93</v>
      </c>
      <c r="E55" s="120"/>
      <c r="F55" s="21"/>
      <c r="G55" s="10" t="s">
        <v>368</v>
      </c>
      <c r="H55" s="110">
        <v>16</v>
      </c>
      <c r="I55" s="10" t="s">
        <v>369</v>
      </c>
      <c r="J55" s="111">
        <v>1</v>
      </c>
      <c r="K55" s="111" t="s">
        <v>250</v>
      </c>
      <c r="L55" s="109">
        <f t="shared" si="7"/>
        <v>41</v>
      </c>
      <c r="M55">
        <f t="shared" si="8"/>
        <v>10</v>
      </c>
      <c r="N55" s="109"/>
      <c r="P55" s="162"/>
      <c r="Q55" s="162">
        <f t="shared" si="9"/>
        <v>0</v>
      </c>
      <c r="R55" s="162">
        <f>IF(J55="","",IF(D55="",0,IF(D55="N/A",3,IF(OR(AND($M$1="Binary",D55="Yes"),AND($M$1="Scaled",D55&gt;Dashboard!$D$12)),1,IF(OR(AND($M$1="Binary",D55="No"),AND($M$1="Scaled",D55&lt;=Dashboard!$D$12)),2,"Oops there is an error")))))</f>
        <v>1</v>
      </c>
      <c r="S55" s="162">
        <f t="shared" si="10"/>
        <v>1</v>
      </c>
      <c r="T55" s="162"/>
      <c r="U55" s="162">
        <f t="shared" si="11"/>
        <v>0</v>
      </c>
      <c r="V55" s="162">
        <f t="shared" si="12"/>
        <v>1</v>
      </c>
      <c r="X55">
        <f t="shared" si="13"/>
        <v>2</v>
      </c>
      <c r="Y55">
        <f t="shared" si="14"/>
        <v>1</v>
      </c>
      <c r="Z55" s="110"/>
      <c r="AA55" s="10"/>
      <c r="AB55" s="47"/>
      <c r="AJ55" s="47"/>
    </row>
    <row r="56" spans="1:36" ht="15" x14ac:dyDescent="0.25">
      <c r="A56" s="162"/>
      <c r="B56" s="9" t="str">
        <f t="shared" si="5"/>
        <v/>
      </c>
      <c r="C56" s="16" t="s">
        <v>370</v>
      </c>
      <c r="D56" s="142"/>
      <c r="E56" s="142"/>
      <c r="F56" s="142"/>
      <c r="G56" s="15"/>
      <c r="H56" s="16" t="s">
        <v>371</v>
      </c>
      <c r="I56" s="141"/>
      <c r="J56" s="111"/>
      <c r="K56" s="111">
        <v>1</v>
      </c>
      <c r="L56" s="109">
        <f t="shared" si="7"/>
        <v>41</v>
      </c>
      <c r="M56">
        <f t="shared" si="8"/>
        <v>11</v>
      </c>
      <c r="N56" s="109"/>
      <c r="P56" s="162"/>
      <c r="Q56" s="162">
        <f t="shared" si="9"/>
        <v>0</v>
      </c>
      <c r="R56" s="162" t="str">
        <f>IF(J56="","",IF(D56="",0,IF(D56="N/A",3,IF(OR(AND($M$1="Binary",D56="Yes"),AND($M$1="Scaled",D56&gt;Dashboard!$D$12)),1,IF(OR(AND($M$1="Binary",D56="No"),AND($M$1="Scaled",D56&lt;=Dashboard!$D$12)),2,"Oops there is an error")))))</f>
        <v/>
      </c>
      <c r="S56" s="162" t="str">
        <f t="shared" si="10"/>
        <v/>
      </c>
      <c r="T56" s="162"/>
      <c r="U56" s="162">
        <f t="shared" si="11"/>
        <v>0</v>
      </c>
      <c r="V56" s="162" t="str">
        <f t="shared" si="12"/>
        <v/>
      </c>
      <c r="X56">
        <f t="shared" si="13"/>
        <v>1</v>
      </c>
      <c r="Y56">
        <f t="shared" si="14"/>
        <v>1</v>
      </c>
      <c r="Z56" s="33"/>
      <c r="AA56" s="13"/>
      <c r="AJ56" s="47"/>
    </row>
    <row r="57" spans="1:36" ht="42.75" x14ac:dyDescent="0.2">
      <c r="A57" s="162">
        <v>2719</v>
      </c>
      <c r="B57" s="11" t="str">
        <f t="shared" si="5"/>
        <v>SL.42</v>
      </c>
      <c r="C57" s="10" t="s">
        <v>372</v>
      </c>
      <c r="D57" s="120" t="s">
        <v>93</v>
      </c>
      <c r="E57" s="120"/>
      <c r="F57" s="21"/>
      <c r="G57" s="10" t="s">
        <v>373</v>
      </c>
      <c r="H57" s="110">
        <v>5.2</v>
      </c>
      <c r="I57" s="10" t="s">
        <v>374</v>
      </c>
      <c r="J57" s="111">
        <v>1</v>
      </c>
      <c r="K57" s="111" t="s">
        <v>254</v>
      </c>
      <c r="L57" s="109">
        <f t="shared" si="7"/>
        <v>42</v>
      </c>
      <c r="M57">
        <f t="shared" si="8"/>
        <v>11</v>
      </c>
      <c r="N57" s="109"/>
      <c r="P57" s="162"/>
      <c r="Q57" s="162">
        <f t="shared" si="9"/>
        <v>0</v>
      </c>
      <c r="R57" s="162">
        <f>IF(J57="","",IF(D57="",0,IF(D57="N/A",3,IF(OR(AND($M$1="Binary",D57="Yes"),AND($M$1="Scaled",D57&gt;Dashboard!$D$12)),1,IF(OR(AND($M$1="Binary",D57="No"),AND($M$1="Scaled",D57&lt;=Dashboard!$D$12)),2,"Oops there is an error")))))</f>
        <v>1</v>
      </c>
      <c r="S57" s="162">
        <f t="shared" si="10"/>
        <v>1</v>
      </c>
      <c r="T57" s="162"/>
      <c r="U57" s="162">
        <f t="shared" si="11"/>
        <v>0</v>
      </c>
      <c r="V57" s="162">
        <f t="shared" si="12"/>
        <v>1</v>
      </c>
      <c r="X57">
        <f t="shared" si="13"/>
        <v>2</v>
      </c>
      <c r="Y57">
        <f t="shared" si="14"/>
        <v>1</v>
      </c>
      <c r="Z57" s="110"/>
      <c r="AA57" s="10"/>
      <c r="AB57" s="47"/>
      <c r="AJ57" s="47"/>
    </row>
    <row r="58" spans="1:36" ht="28.5" x14ac:dyDescent="0.2">
      <c r="A58" s="162">
        <v>2329</v>
      </c>
      <c r="B58" s="11" t="str">
        <f t="shared" si="5"/>
        <v>SL.43</v>
      </c>
      <c r="C58" s="10" t="s">
        <v>375</v>
      </c>
      <c r="D58" s="120" t="s">
        <v>93</v>
      </c>
      <c r="E58" s="120"/>
      <c r="F58" s="21"/>
      <c r="G58" s="10" t="s">
        <v>376</v>
      </c>
      <c r="H58" s="110" t="s">
        <v>377</v>
      </c>
      <c r="I58" s="10" t="s">
        <v>378</v>
      </c>
      <c r="J58" s="111">
        <v>1</v>
      </c>
      <c r="K58" s="111" t="s">
        <v>254</v>
      </c>
      <c r="L58" s="109">
        <f t="shared" si="7"/>
        <v>43</v>
      </c>
      <c r="M58">
        <f t="shared" si="8"/>
        <v>11</v>
      </c>
      <c r="N58" s="109"/>
      <c r="P58" s="162"/>
      <c r="Q58" s="162">
        <f t="shared" si="9"/>
        <v>0</v>
      </c>
      <c r="R58" s="162">
        <f>IF(J58="","",IF(D58="",0,IF(D58="N/A",3,IF(OR(AND($M$1="Binary",D58="Yes"),AND($M$1="Scaled",D58&gt;Dashboard!$D$12)),1,IF(OR(AND($M$1="Binary",D58="No"),AND($M$1="Scaled",D58&lt;=Dashboard!$D$12)),2,"Oops there is an error")))))</f>
        <v>1</v>
      </c>
      <c r="S58" s="162">
        <f t="shared" si="10"/>
        <v>1</v>
      </c>
      <c r="T58" s="162"/>
      <c r="U58" s="162">
        <f t="shared" si="11"/>
        <v>0</v>
      </c>
      <c r="V58" s="162">
        <f t="shared" si="12"/>
        <v>1</v>
      </c>
      <c r="X58">
        <f t="shared" si="13"/>
        <v>2</v>
      </c>
      <c r="Y58">
        <f t="shared" si="14"/>
        <v>1</v>
      </c>
      <c r="Z58" s="110"/>
      <c r="AA58" s="10"/>
      <c r="AB58" s="47"/>
      <c r="AJ58" s="47"/>
    </row>
    <row r="59" spans="1:36" ht="28.5" x14ac:dyDescent="0.2">
      <c r="A59" s="162">
        <v>4038</v>
      </c>
      <c r="B59" s="11" t="str">
        <f t="shared" si="5"/>
        <v>SL.44</v>
      </c>
      <c r="C59" s="10" t="s">
        <v>379</v>
      </c>
      <c r="D59" s="120" t="s">
        <v>93</v>
      </c>
      <c r="E59" s="120"/>
      <c r="F59" s="21"/>
      <c r="G59" s="10" t="s">
        <v>380</v>
      </c>
      <c r="H59" s="110" t="s">
        <v>381</v>
      </c>
      <c r="I59" s="10" t="s">
        <v>382</v>
      </c>
      <c r="J59" s="111">
        <v>1</v>
      </c>
      <c r="K59" s="111" t="s">
        <v>254</v>
      </c>
      <c r="L59" s="109">
        <f t="shared" si="7"/>
        <v>44</v>
      </c>
      <c r="M59">
        <f t="shared" si="8"/>
        <v>11</v>
      </c>
      <c r="N59" s="109"/>
      <c r="P59" s="162"/>
      <c r="Q59" s="162">
        <f t="shared" si="9"/>
        <v>0</v>
      </c>
      <c r="R59" s="162">
        <f>IF(J59="","",IF(D59="",0,IF(D59="N/A",3,IF(OR(AND($M$1="Binary",D59="Yes"),AND($M$1="Scaled",D59&gt;Dashboard!$D$12)),1,IF(OR(AND($M$1="Binary",D59="No"),AND($M$1="Scaled",D59&lt;=Dashboard!$D$12)),2,"Oops there is an error")))))</f>
        <v>1</v>
      </c>
      <c r="S59" s="162">
        <f t="shared" si="10"/>
        <v>1</v>
      </c>
      <c r="T59" s="162"/>
      <c r="U59" s="162">
        <f t="shared" si="11"/>
        <v>0</v>
      </c>
      <c r="V59" s="162">
        <f t="shared" si="12"/>
        <v>1</v>
      </c>
      <c r="X59">
        <f t="shared" si="13"/>
        <v>2</v>
      </c>
      <c r="Y59">
        <f t="shared" si="14"/>
        <v>1</v>
      </c>
      <c r="Z59" s="110"/>
      <c r="AA59" s="10"/>
      <c r="AB59" s="47"/>
      <c r="AJ59" s="47"/>
    </row>
    <row r="60" spans="1:36" ht="28.5" x14ac:dyDescent="0.2">
      <c r="A60" s="162">
        <v>4042</v>
      </c>
      <c r="B60" s="11" t="str">
        <f t="shared" si="5"/>
        <v>SL.45</v>
      </c>
      <c r="C60" s="10" t="s">
        <v>383</v>
      </c>
      <c r="D60" s="120" t="s">
        <v>93</v>
      </c>
      <c r="E60" s="120"/>
      <c r="F60" s="21"/>
      <c r="G60" s="10" t="s">
        <v>384</v>
      </c>
      <c r="H60" s="110" t="s">
        <v>325</v>
      </c>
      <c r="I60" s="10" t="s">
        <v>385</v>
      </c>
      <c r="J60" s="111">
        <v>1</v>
      </c>
      <c r="K60" s="111" t="s">
        <v>254</v>
      </c>
      <c r="L60" s="109">
        <f t="shared" si="7"/>
        <v>45</v>
      </c>
      <c r="M60">
        <f t="shared" si="8"/>
        <v>11</v>
      </c>
      <c r="N60" s="109"/>
      <c r="P60" s="162"/>
      <c r="Q60" s="162">
        <f t="shared" si="9"/>
        <v>0</v>
      </c>
      <c r="R60" s="162">
        <f>IF(J60="","",IF(D60="",0,IF(D60="N/A",3,IF(OR(AND($M$1="Binary",D60="Yes"),AND($M$1="Scaled",D60&gt;Dashboard!$D$12)),1,IF(OR(AND($M$1="Binary",D60="No"),AND($M$1="Scaled",D60&lt;=Dashboard!$D$12)),2,"Oops there is an error")))))</f>
        <v>1</v>
      </c>
      <c r="S60" s="162">
        <f t="shared" si="10"/>
        <v>1</v>
      </c>
      <c r="T60" s="162"/>
      <c r="U60" s="162">
        <f t="shared" si="11"/>
        <v>0</v>
      </c>
      <c r="V60" s="162">
        <f t="shared" si="12"/>
        <v>1</v>
      </c>
      <c r="X60">
        <f t="shared" si="13"/>
        <v>2</v>
      </c>
      <c r="Y60">
        <f t="shared" si="14"/>
        <v>1</v>
      </c>
      <c r="Z60" s="110"/>
      <c r="AA60" s="10"/>
      <c r="AB60" s="47"/>
      <c r="AJ60" s="47"/>
    </row>
    <row r="61" spans="1:36" ht="42.75" x14ac:dyDescent="0.2">
      <c r="A61" s="162">
        <v>4049</v>
      </c>
      <c r="B61" s="11" t="str">
        <f t="shared" si="5"/>
        <v>SL.46</v>
      </c>
      <c r="C61" s="10" t="s">
        <v>386</v>
      </c>
      <c r="D61" s="120" t="s">
        <v>93</v>
      </c>
      <c r="E61" s="120"/>
      <c r="F61" s="21"/>
      <c r="G61" s="10" t="s">
        <v>387</v>
      </c>
      <c r="H61" s="110">
        <v>8.4</v>
      </c>
      <c r="I61" s="10" t="s">
        <v>388</v>
      </c>
      <c r="J61" s="111">
        <v>1</v>
      </c>
      <c r="K61" s="111" t="s">
        <v>254</v>
      </c>
      <c r="L61" s="109">
        <f t="shared" si="7"/>
        <v>46</v>
      </c>
      <c r="M61">
        <f t="shared" si="8"/>
        <v>11</v>
      </c>
      <c r="N61" s="109"/>
      <c r="P61" s="162"/>
      <c r="Q61" s="162">
        <f t="shared" si="9"/>
        <v>0</v>
      </c>
      <c r="R61" s="162">
        <f>IF(J61="","",IF(D61="",0,IF(D61="N/A",3,IF(OR(AND($M$1="Binary",D61="Yes"),AND($M$1="Scaled",D61&gt;Dashboard!$D$12)),1,IF(OR(AND($M$1="Binary",D61="No"),AND($M$1="Scaled",D61&lt;=Dashboard!$D$12)),2,"Oops there is an error")))))</f>
        <v>1</v>
      </c>
      <c r="S61" s="162">
        <f t="shared" si="10"/>
        <v>1</v>
      </c>
      <c r="T61" s="162"/>
      <c r="U61" s="162">
        <f t="shared" si="11"/>
        <v>0</v>
      </c>
      <c r="V61" s="162">
        <f t="shared" si="12"/>
        <v>1</v>
      </c>
      <c r="X61">
        <f t="shared" si="13"/>
        <v>2</v>
      </c>
      <c r="Y61">
        <f t="shared" si="14"/>
        <v>1</v>
      </c>
      <c r="Z61" s="110"/>
      <c r="AA61" s="10"/>
      <c r="AB61" s="47"/>
      <c r="AJ61" s="47"/>
    </row>
    <row r="62" spans="1:36" ht="28.5" x14ac:dyDescent="0.2">
      <c r="A62" s="162">
        <v>4054</v>
      </c>
      <c r="B62" s="11" t="str">
        <f t="shared" si="5"/>
        <v>SL.47</v>
      </c>
      <c r="C62" s="10" t="s">
        <v>389</v>
      </c>
      <c r="D62" s="120" t="s">
        <v>93</v>
      </c>
      <c r="E62" s="120"/>
      <c r="F62" s="21"/>
      <c r="G62" s="10" t="s">
        <v>373</v>
      </c>
      <c r="H62" s="110" t="s">
        <v>89</v>
      </c>
      <c r="I62" s="10"/>
      <c r="J62" s="111">
        <v>1</v>
      </c>
      <c r="K62" s="111" t="s">
        <v>254</v>
      </c>
      <c r="L62" s="109">
        <f t="shared" si="7"/>
        <v>47</v>
      </c>
      <c r="M62">
        <f t="shared" si="8"/>
        <v>11</v>
      </c>
      <c r="N62" s="109"/>
      <c r="P62" s="162"/>
      <c r="Q62" s="162">
        <f t="shared" si="9"/>
        <v>0</v>
      </c>
      <c r="R62" s="162">
        <f>IF(J62="","",IF(D62="",0,IF(D62="N/A",3,IF(OR(AND($M$1="Binary",D62="Yes"),AND($M$1="Scaled",D62&gt;Dashboard!$D$12)),1,IF(OR(AND($M$1="Binary",D62="No"),AND($M$1="Scaled",D62&lt;=Dashboard!$D$12)),2,"Oops there is an error")))))</f>
        <v>1</v>
      </c>
      <c r="S62" s="162">
        <f t="shared" si="10"/>
        <v>1</v>
      </c>
      <c r="T62" s="162"/>
      <c r="U62" s="162">
        <f t="shared" si="11"/>
        <v>0</v>
      </c>
      <c r="V62" s="162">
        <f t="shared" si="12"/>
        <v>1</v>
      </c>
      <c r="X62">
        <f t="shared" si="13"/>
        <v>2</v>
      </c>
      <c r="Y62">
        <f t="shared" si="14"/>
        <v>1</v>
      </c>
      <c r="Z62" s="110"/>
      <c r="AA62" s="10"/>
      <c r="AB62" s="47"/>
      <c r="AJ62" s="47"/>
    </row>
    <row r="63" spans="1:36" ht="42.75" x14ac:dyDescent="0.2">
      <c r="A63" s="162">
        <v>2286</v>
      </c>
      <c r="B63" s="11" t="str">
        <f t="shared" si="5"/>
        <v>SL.48</v>
      </c>
      <c r="C63" s="10" t="s">
        <v>390</v>
      </c>
      <c r="D63" s="120" t="s">
        <v>93</v>
      </c>
      <c r="E63" s="120"/>
      <c r="F63" s="21"/>
      <c r="G63" s="10" t="s">
        <v>391</v>
      </c>
      <c r="H63" s="110" t="s">
        <v>392</v>
      </c>
      <c r="I63" s="10" t="s">
        <v>388</v>
      </c>
      <c r="J63" s="111">
        <v>1</v>
      </c>
      <c r="K63" s="111" t="s">
        <v>254</v>
      </c>
      <c r="L63" s="109">
        <f t="shared" si="7"/>
        <v>48</v>
      </c>
      <c r="M63">
        <f t="shared" si="8"/>
        <v>11</v>
      </c>
      <c r="N63" s="109"/>
      <c r="P63" s="162"/>
      <c r="Q63" s="162">
        <f t="shared" si="9"/>
        <v>0</v>
      </c>
      <c r="R63" s="162">
        <f>IF(J63="","",IF(D63="",0,IF(D63="N/A",3,IF(OR(AND($M$1="Binary",D63="Yes"),AND($M$1="Scaled",D63&gt;Dashboard!$D$12)),1,IF(OR(AND($M$1="Binary",D63="No"),AND($M$1="Scaled",D63&lt;=Dashboard!$D$12)),2,"Oops there is an error")))))</f>
        <v>1</v>
      </c>
      <c r="S63" s="162">
        <f t="shared" si="10"/>
        <v>1</v>
      </c>
      <c r="T63" s="162"/>
      <c r="U63" s="162">
        <f t="shared" si="11"/>
        <v>0</v>
      </c>
      <c r="V63" s="162">
        <f t="shared" si="12"/>
        <v>1</v>
      </c>
      <c r="X63">
        <f t="shared" si="13"/>
        <v>2</v>
      </c>
      <c r="Y63">
        <f t="shared" si="14"/>
        <v>1</v>
      </c>
      <c r="Z63" s="110"/>
      <c r="AA63" s="10"/>
      <c r="AB63" s="47"/>
      <c r="AJ63" s="47"/>
    </row>
    <row r="64" spans="1:36" ht="99.75" x14ac:dyDescent="0.2">
      <c r="A64" s="162">
        <v>2729</v>
      </c>
      <c r="B64" s="11" t="str">
        <f t="shared" si="5"/>
        <v>SL.49</v>
      </c>
      <c r="C64" s="10" t="s">
        <v>393</v>
      </c>
      <c r="D64" s="120" t="s">
        <v>93</v>
      </c>
      <c r="E64" s="120"/>
      <c r="F64" s="21" t="s">
        <v>1094</v>
      </c>
      <c r="G64" s="10" t="s">
        <v>376</v>
      </c>
      <c r="H64" s="154" t="s">
        <v>394</v>
      </c>
      <c r="I64" s="112" t="s">
        <v>395</v>
      </c>
      <c r="J64" s="111">
        <v>1</v>
      </c>
      <c r="K64" s="111" t="s">
        <v>254</v>
      </c>
      <c r="L64" s="109">
        <f t="shared" si="7"/>
        <v>49</v>
      </c>
      <c r="M64">
        <f t="shared" si="8"/>
        <v>11</v>
      </c>
      <c r="N64" s="109"/>
      <c r="P64" s="162"/>
      <c r="Q64" s="162">
        <f t="shared" si="9"/>
        <v>0</v>
      </c>
      <c r="R64" s="162">
        <f>IF(J64="","",IF(D64="",0,IF(D64="N/A",3,IF(OR(AND($M$1="Binary",D64="Yes"),AND($M$1="Scaled",D64&gt;Dashboard!$D$12)),1,IF(OR(AND($M$1="Binary",D64="No"),AND($M$1="Scaled",D64&lt;=Dashboard!$D$12)),2,"Oops there is an error")))))</f>
        <v>1</v>
      </c>
      <c r="S64" s="162">
        <f t="shared" si="10"/>
        <v>1</v>
      </c>
      <c r="T64" s="162"/>
      <c r="U64" s="162">
        <f t="shared" si="11"/>
        <v>0</v>
      </c>
      <c r="V64" s="162">
        <f t="shared" si="12"/>
        <v>1</v>
      </c>
      <c r="X64">
        <f t="shared" si="13"/>
        <v>2</v>
      </c>
      <c r="Y64">
        <f t="shared" si="14"/>
        <v>1</v>
      </c>
      <c r="Z64" s="110"/>
      <c r="AA64" s="10"/>
      <c r="AB64" s="47"/>
      <c r="AJ64" s="47"/>
    </row>
    <row r="65" spans="1:36" ht="28.5" x14ac:dyDescent="0.2">
      <c r="A65" s="162">
        <v>2343</v>
      </c>
      <c r="B65" s="11" t="str">
        <f t="shared" si="5"/>
        <v>SL.50</v>
      </c>
      <c r="C65" s="10" t="s">
        <v>396</v>
      </c>
      <c r="D65" s="120" t="s">
        <v>93</v>
      </c>
      <c r="E65" s="120"/>
      <c r="F65" s="21"/>
      <c r="G65" s="10" t="s">
        <v>391</v>
      </c>
      <c r="H65" s="110">
        <v>8.5</v>
      </c>
      <c r="I65" s="10" t="s">
        <v>397</v>
      </c>
      <c r="J65" s="111">
        <v>1</v>
      </c>
      <c r="K65" s="111" t="s">
        <v>254</v>
      </c>
      <c r="L65" s="109">
        <f t="shared" si="7"/>
        <v>50</v>
      </c>
      <c r="M65">
        <f t="shared" si="8"/>
        <v>11</v>
      </c>
      <c r="N65" s="109"/>
      <c r="P65" s="162"/>
      <c r="Q65" s="162">
        <f t="shared" si="9"/>
        <v>0</v>
      </c>
      <c r="R65" s="162">
        <f>IF(J65="","",IF(D65="",0,IF(D65="N/A",3,IF(OR(AND($M$1="Binary",D65="Yes"),AND($M$1="Scaled",D65&gt;Dashboard!$D$12)),1,IF(OR(AND($M$1="Binary",D65="No"),AND($M$1="Scaled",D65&lt;=Dashboard!$D$12)),2,"Oops there is an error")))))</f>
        <v>1</v>
      </c>
      <c r="S65" s="162">
        <f t="shared" si="10"/>
        <v>1</v>
      </c>
      <c r="T65" s="162"/>
      <c r="U65" s="162">
        <f t="shared" si="11"/>
        <v>0</v>
      </c>
      <c r="V65" s="162">
        <f t="shared" si="12"/>
        <v>1</v>
      </c>
      <c r="X65">
        <f t="shared" si="13"/>
        <v>2</v>
      </c>
      <c r="Y65">
        <f t="shared" si="14"/>
        <v>1</v>
      </c>
      <c r="Z65" s="110"/>
      <c r="AA65" s="10"/>
      <c r="AB65" s="47"/>
      <c r="AJ65" s="47"/>
    </row>
    <row r="66" spans="1:36" ht="28.5" x14ac:dyDescent="0.2">
      <c r="A66" s="162">
        <v>2305</v>
      </c>
      <c r="B66" s="11" t="str">
        <f t="shared" si="5"/>
        <v>SL.51</v>
      </c>
      <c r="C66" s="10" t="s">
        <v>398</v>
      </c>
      <c r="D66" s="120" t="s">
        <v>89</v>
      </c>
      <c r="E66" s="120"/>
      <c r="F66" s="21" t="s">
        <v>1095</v>
      </c>
      <c r="G66" s="10" t="s">
        <v>399</v>
      </c>
      <c r="H66" s="110" t="s">
        <v>89</v>
      </c>
      <c r="I66" s="10"/>
      <c r="J66" s="111">
        <v>1</v>
      </c>
      <c r="K66" s="111" t="s">
        <v>254</v>
      </c>
      <c r="L66" s="109">
        <f t="shared" si="7"/>
        <v>51</v>
      </c>
      <c r="M66">
        <f t="shared" si="8"/>
        <v>11</v>
      </c>
      <c r="N66" s="109"/>
      <c r="P66" s="162"/>
      <c r="Q66" s="162">
        <f t="shared" si="9"/>
        <v>0</v>
      </c>
      <c r="R66" s="162">
        <f>IF(J66="","",IF(D66="",0,IF(D66="N/A",3,IF(OR(AND($M$1="Binary",D66="Yes"),AND($M$1="Scaled",D66&gt;Dashboard!$D$12)),1,IF(OR(AND($M$1="Binary",D66="No"),AND($M$1="Scaled",D66&lt;=Dashboard!$D$12)),2,"Oops there is an error")))))</f>
        <v>3</v>
      </c>
      <c r="S66" s="162">
        <f t="shared" si="10"/>
        <v>3</v>
      </c>
      <c r="T66" s="162"/>
      <c r="U66" s="162">
        <f t="shared" si="11"/>
        <v>1</v>
      </c>
      <c r="V66" s="162">
        <f t="shared" si="12"/>
        <v>3</v>
      </c>
      <c r="X66">
        <f t="shared" si="13"/>
        <v>2</v>
      </c>
      <c r="Y66">
        <f t="shared" si="14"/>
        <v>1</v>
      </c>
      <c r="Z66" s="110"/>
      <c r="AA66" s="10"/>
      <c r="AB66" s="47"/>
      <c r="AJ66" s="47">
        <v>2</v>
      </c>
    </row>
    <row r="67" spans="1:36" ht="28.5" x14ac:dyDescent="0.2">
      <c r="A67" s="162">
        <v>2365</v>
      </c>
      <c r="B67" s="11" t="str">
        <f t="shared" si="5"/>
        <v>SL.52</v>
      </c>
      <c r="C67" s="10" t="s">
        <v>400</v>
      </c>
      <c r="D67" s="120" t="s">
        <v>93</v>
      </c>
      <c r="E67" s="120"/>
      <c r="F67" s="21"/>
      <c r="G67" s="10" t="s">
        <v>401</v>
      </c>
      <c r="H67" s="110" t="s">
        <v>89</v>
      </c>
      <c r="I67" s="10"/>
      <c r="J67" s="111">
        <v>1</v>
      </c>
      <c r="K67" s="111" t="s">
        <v>254</v>
      </c>
      <c r="L67" s="109">
        <f t="shared" si="7"/>
        <v>52</v>
      </c>
      <c r="M67">
        <f t="shared" si="8"/>
        <v>11</v>
      </c>
      <c r="N67" s="109"/>
      <c r="P67" s="162"/>
      <c r="Q67" s="162">
        <f t="shared" si="9"/>
        <v>0</v>
      </c>
      <c r="R67" s="162">
        <f>IF(J67="","",IF(D67="",0,IF(D67="N/A",3,IF(OR(AND($M$1="Binary",D67="Yes"),AND($M$1="Scaled",D67&gt;Dashboard!$D$12)),1,IF(OR(AND($M$1="Binary",D67="No"),AND($M$1="Scaled",D67&lt;=Dashboard!$D$12)),2,"Oops there is an error")))))</f>
        <v>1</v>
      </c>
      <c r="S67" s="162">
        <f t="shared" si="10"/>
        <v>1</v>
      </c>
      <c r="T67" s="162"/>
      <c r="U67" s="162">
        <f t="shared" si="11"/>
        <v>0</v>
      </c>
      <c r="V67" s="162">
        <f t="shared" si="12"/>
        <v>1</v>
      </c>
      <c r="X67">
        <f t="shared" si="13"/>
        <v>2</v>
      </c>
      <c r="Y67">
        <f t="shared" si="14"/>
        <v>1</v>
      </c>
      <c r="Z67" s="110"/>
      <c r="AA67" s="10"/>
      <c r="AB67" s="47"/>
      <c r="AJ67" s="47"/>
    </row>
    <row r="68" spans="1:36" ht="15" x14ac:dyDescent="0.25">
      <c r="A68" s="162"/>
      <c r="B68" s="9" t="str">
        <f t="shared" si="5"/>
        <v/>
      </c>
      <c r="C68" s="16" t="s">
        <v>402</v>
      </c>
      <c r="D68" s="142"/>
      <c r="E68" s="142"/>
      <c r="F68" s="142"/>
      <c r="G68" s="15"/>
      <c r="H68" s="33"/>
      <c r="I68" s="13"/>
      <c r="J68" s="111"/>
      <c r="K68" s="111">
        <v>1</v>
      </c>
      <c r="L68" s="109">
        <f t="shared" si="7"/>
        <v>52</v>
      </c>
      <c r="M68">
        <f t="shared" si="8"/>
        <v>12</v>
      </c>
      <c r="N68" s="109"/>
      <c r="P68" s="162"/>
      <c r="Q68" s="162">
        <f t="shared" si="9"/>
        <v>0</v>
      </c>
      <c r="R68" s="162" t="str">
        <f>IF(J68="","",IF(D68="",0,IF(D68="N/A",3,IF(OR(AND($M$1="Binary",D68="Yes"),AND($M$1="Scaled",D68&gt;Dashboard!$D$12)),1,IF(OR(AND($M$1="Binary",D68="No"),AND($M$1="Scaled",D68&lt;=Dashboard!$D$12)),2,"Oops there is an error")))))</f>
        <v/>
      </c>
      <c r="S68" s="162" t="str">
        <f t="shared" si="10"/>
        <v/>
      </c>
      <c r="T68" s="162"/>
      <c r="U68" s="162">
        <f t="shared" si="11"/>
        <v>0</v>
      </c>
      <c r="V68" s="162" t="str">
        <f t="shared" si="12"/>
        <v/>
      </c>
      <c r="X68">
        <f t="shared" si="13"/>
        <v>1</v>
      </c>
      <c r="Y68">
        <f t="shared" si="14"/>
        <v>1</v>
      </c>
      <c r="Z68" s="33"/>
      <c r="AA68" s="13"/>
      <c r="AJ68" s="47"/>
    </row>
    <row r="69" spans="1:36" ht="71.25" x14ac:dyDescent="0.2">
      <c r="A69" s="162">
        <v>2826</v>
      </c>
      <c r="B69" s="11" t="str">
        <f t="shared" si="5"/>
        <v>SL.53</v>
      </c>
      <c r="C69" s="10" t="s">
        <v>403</v>
      </c>
      <c r="D69" s="120" t="s">
        <v>93</v>
      </c>
      <c r="E69" s="120"/>
      <c r="F69" s="21"/>
      <c r="G69" s="10" t="s">
        <v>404</v>
      </c>
      <c r="H69" s="110" t="s">
        <v>405</v>
      </c>
      <c r="I69" s="10" t="s">
        <v>406</v>
      </c>
      <c r="J69" s="111">
        <v>1</v>
      </c>
      <c r="K69" s="111" t="s">
        <v>259</v>
      </c>
      <c r="L69" s="109">
        <f t="shared" si="7"/>
        <v>53</v>
      </c>
      <c r="M69">
        <f t="shared" si="8"/>
        <v>12</v>
      </c>
      <c r="N69" s="109"/>
      <c r="P69" s="162"/>
      <c r="Q69" s="162">
        <f t="shared" si="9"/>
        <v>0</v>
      </c>
      <c r="R69" s="162">
        <f>IF(J69="","",IF(D69="",0,IF(D69="N/A",3,IF(OR(AND($M$1="Binary",D69="Yes"),AND($M$1="Scaled",D69&gt;Dashboard!$D$12)),1,IF(OR(AND($M$1="Binary",D69="No"),AND($M$1="Scaled",D69&lt;=Dashboard!$D$12)),2,"Oops there is an error")))))</f>
        <v>1</v>
      </c>
      <c r="S69" s="162">
        <f t="shared" si="10"/>
        <v>1</v>
      </c>
      <c r="T69" s="162"/>
      <c r="U69" s="162">
        <f t="shared" si="11"/>
        <v>0</v>
      </c>
      <c r="V69" s="162">
        <f t="shared" si="12"/>
        <v>1</v>
      </c>
      <c r="X69">
        <f t="shared" si="13"/>
        <v>2</v>
      </c>
      <c r="Y69">
        <f t="shared" si="14"/>
        <v>1</v>
      </c>
      <c r="Z69" s="110"/>
      <c r="AA69" s="10"/>
      <c r="AB69" s="47"/>
      <c r="AJ69" s="47"/>
    </row>
    <row r="70" spans="1:36" ht="57" x14ac:dyDescent="0.2">
      <c r="A70" s="162">
        <v>4126</v>
      </c>
      <c r="B70" s="11" t="str">
        <f t="shared" si="5"/>
        <v>SL.54</v>
      </c>
      <c r="C70" s="10" t="s">
        <v>407</v>
      </c>
      <c r="D70" s="120" t="s">
        <v>93</v>
      </c>
      <c r="E70" s="120"/>
      <c r="F70" s="21"/>
      <c r="G70" s="10" t="s">
        <v>402</v>
      </c>
      <c r="H70" s="110" t="s">
        <v>408</v>
      </c>
      <c r="I70" s="10"/>
      <c r="J70" s="111">
        <v>1</v>
      </c>
      <c r="K70" s="111" t="s">
        <v>259</v>
      </c>
      <c r="L70" s="109">
        <f t="shared" si="7"/>
        <v>54</v>
      </c>
      <c r="M70">
        <f t="shared" si="8"/>
        <v>12</v>
      </c>
      <c r="N70" s="109"/>
      <c r="P70" s="162"/>
      <c r="Q70" s="162">
        <f t="shared" si="9"/>
        <v>0</v>
      </c>
      <c r="R70" s="162">
        <f>IF(J70="","",IF(D70="",0,IF(D70="N/A",3,IF(OR(AND($M$1="Binary",D70="Yes"),AND($M$1="Scaled",D70&gt;Dashboard!$D$12)),1,IF(OR(AND($M$1="Binary",D70="No"),AND($M$1="Scaled",D70&lt;=Dashboard!$D$12)),2,"Oops there is an error")))))</f>
        <v>1</v>
      </c>
      <c r="S70" s="162">
        <f t="shared" si="10"/>
        <v>1</v>
      </c>
      <c r="T70" s="162"/>
      <c r="U70" s="162">
        <f t="shared" si="11"/>
        <v>0</v>
      </c>
      <c r="V70" s="162">
        <f t="shared" si="12"/>
        <v>1</v>
      </c>
      <c r="X70">
        <f t="shared" si="13"/>
        <v>2</v>
      </c>
      <c r="Y70">
        <f t="shared" si="14"/>
        <v>1</v>
      </c>
      <c r="Z70" s="110"/>
      <c r="AA70" s="10"/>
      <c r="AB70" s="47"/>
      <c r="AJ70" s="47"/>
    </row>
    <row r="71" spans="1:36" ht="42.75" x14ac:dyDescent="0.2">
      <c r="A71" s="162">
        <v>2837</v>
      </c>
      <c r="B71" s="11" t="str">
        <f t="shared" si="5"/>
        <v>SL.55</v>
      </c>
      <c r="C71" s="10" t="s">
        <v>409</v>
      </c>
      <c r="D71" s="120" t="s">
        <v>93</v>
      </c>
      <c r="E71" s="120"/>
      <c r="F71" s="21"/>
      <c r="G71" s="10" t="s">
        <v>410</v>
      </c>
      <c r="H71" s="110" t="s">
        <v>411</v>
      </c>
      <c r="I71" s="10" t="s">
        <v>412</v>
      </c>
      <c r="J71" s="111">
        <v>1</v>
      </c>
      <c r="K71" s="111" t="s">
        <v>259</v>
      </c>
      <c r="L71" s="109">
        <f t="shared" ref="L71:L134" si="16">IF(A71="",L70,L70+1)</f>
        <v>55</v>
      </c>
      <c r="M71">
        <f t="shared" ref="M71:M134" si="17">IF(J71="",M70+1,M70)</f>
        <v>12</v>
      </c>
      <c r="N71" s="109"/>
      <c r="P71" s="162"/>
      <c r="Q71" s="162">
        <f t="shared" ref="Q71:Q134" si="18">IF(ISNA(VLOOKUP(A71,BusInfoArray,6,FALSE)),0,VLOOKUP(A71,BusInfoArray,6,FALSE))</f>
        <v>0</v>
      </c>
      <c r="R71" s="162">
        <f>IF(J71="","",IF(D71="",0,IF(D71="N/A",3,IF(OR(AND($M$1="Binary",D71="Yes"),AND($M$1="Scaled",D71&gt;Dashboard!$D$12)),1,IF(OR(AND($M$1="Binary",D71="No"),AND($M$1="Scaled",D71&lt;=Dashboard!$D$12)),2,"Oops there is an error")))))</f>
        <v>1</v>
      </c>
      <c r="S71" s="162">
        <f t="shared" ref="S71:S134" si="19">IF(J71="","",IF(Q71&gt;0,Q71,IF(R71&gt;0,R71,0)))</f>
        <v>1</v>
      </c>
      <c r="T71" s="162"/>
      <c r="U71" s="162">
        <f t="shared" ref="U71:U134" si="20">IF(J71="",U70,IF(AND(S71&gt;1,OR(U70="",U70=0,U70&gt;=J71)),J71,IF(J71&gt;U70,U70,0)))</f>
        <v>0</v>
      </c>
      <c r="V71" s="162">
        <f t="shared" ref="V71:V134" si="21">IF(Master="Master",R71,IF(V70="",S71,IF(OR(AND(U71&gt;0,S71&lt;V70),AND(U71=1,S71&lt;=V70)),V70,S71)))</f>
        <v>1</v>
      </c>
      <c r="X71">
        <f t="shared" ref="X71:X134" si="22">IF(AND(J71=1,S71=1),2,IF(AND(V70=1,M71=M70),2,IF(AND(X70=2,M71=M70),2,IF(OR(J71=1,J71=""),1,""))))</f>
        <v>2</v>
      </c>
      <c r="Y71">
        <f t="shared" ref="Y71:Y134" si="23">IF(V71&gt;0,1,0)</f>
        <v>1</v>
      </c>
      <c r="Z71" s="110"/>
      <c r="AA71" s="10"/>
      <c r="AB71" s="47"/>
      <c r="AJ71" s="47"/>
    </row>
    <row r="72" spans="1:36" ht="28.5" x14ac:dyDescent="0.2">
      <c r="A72" s="162">
        <v>4127</v>
      </c>
      <c r="B72" s="11" t="str">
        <f t="shared" si="5"/>
        <v>SL.56</v>
      </c>
      <c r="C72" s="10" t="s">
        <v>413</v>
      </c>
      <c r="D72" s="120" t="s">
        <v>93</v>
      </c>
      <c r="E72" s="120"/>
      <c r="F72" s="21"/>
      <c r="G72" s="10"/>
      <c r="H72" s="110" t="s">
        <v>408</v>
      </c>
      <c r="I72" s="10"/>
      <c r="J72" s="111">
        <v>1</v>
      </c>
      <c r="K72" s="111" t="s">
        <v>259</v>
      </c>
      <c r="L72" s="109">
        <f t="shared" si="16"/>
        <v>56</v>
      </c>
      <c r="M72">
        <f t="shared" si="17"/>
        <v>12</v>
      </c>
      <c r="N72" s="109"/>
      <c r="P72" s="162"/>
      <c r="Q72" s="162">
        <f t="shared" si="18"/>
        <v>0</v>
      </c>
      <c r="R72" s="162">
        <f>IF(J72="","",IF(D72="",0,IF(D72="N/A",3,IF(OR(AND($M$1="Binary",D72="Yes"),AND($M$1="Scaled",D72&gt;Dashboard!$D$12)),1,IF(OR(AND($M$1="Binary",D72="No"),AND($M$1="Scaled",D72&lt;=Dashboard!$D$12)),2,"Oops there is an error")))))</f>
        <v>1</v>
      </c>
      <c r="S72" s="162">
        <f t="shared" si="19"/>
        <v>1</v>
      </c>
      <c r="T72" s="162"/>
      <c r="U72" s="162">
        <f t="shared" si="20"/>
        <v>0</v>
      </c>
      <c r="V72" s="162">
        <f t="shared" si="21"/>
        <v>1</v>
      </c>
      <c r="X72">
        <f t="shared" si="22"/>
        <v>2</v>
      </c>
      <c r="Y72">
        <f t="shared" si="23"/>
        <v>1</v>
      </c>
      <c r="Z72" s="110"/>
      <c r="AA72" s="10"/>
      <c r="AB72" s="47"/>
      <c r="AJ72" s="47"/>
    </row>
    <row r="73" spans="1:36" ht="28.5" x14ac:dyDescent="0.2">
      <c r="A73" s="162">
        <v>3733</v>
      </c>
      <c r="B73" s="11" t="str">
        <f t="shared" si="5"/>
        <v>SL.57</v>
      </c>
      <c r="C73" s="10" t="s">
        <v>414</v>
      </c>
      <c r="D73" s="120" t="s">
        <v>93</v>
      </c>
      <c r="E73" s="120"/>
      <c r="F73" s="21"/>
      <c r="G73" s="10" t="s">
        <v>415</v>
      </c>
      <c r="H73" s="110" t="s">
        <v>408</v>
      </c>
      <c r="I73" s="10"/>
      <c r="J73" s="111">
        <v>1</v>
      </c>
      <c r="K73" s="111" t="s">
        <v>259</v>
      </c>
      <c r="L73" s="109">
        <f t="shared" si="16"/>
        <v>57</v>
      </c>
      <c r="M73">
        <f t="shared" si="17"/>
        <v>12</v>
      </c>
      <c r="N73" s="109"/>
      <c r="P73" s="162"/>
      <c r="Q73" s="162">
        <f t="shared" si="18"/>
        <v>0</v>
      </c>
      <c r="R73" s="162">
        <f>IF(J73="","",IF(D73="",0,IF(D73="N/A",3,IF(OR(AND($M$1="Binary",D73="Yes"),AND($M$1="Scaled",D73&gt;Dashboard!$D$12)),1,IF(OR(AND($M$1="Binary",D73="No"),AND($M$1="Scaled",D73&lt;=Dashboard!$D$12)),2,"Oops there is an error")))))</f>
        <v>1</v>
      </c>
      <c r="S73" s="162">
        <f t="shared" si="19"/>
        <v>1</v>
      </c>
      <c r="T73" s="162"/>
      <c r="U73" s="162">
        <f t="shared" si="20"/>
        <v>0</v>
      </c>
      <c r="V73" s="162">
        <f t="shared" si="21"/>
        <v>1</v>
      </c>
      <c r="X73">
        <f t="shared" si="22"/>
        <v>2</v>
      </c>
      <c r="Y73">
        <f t="shared" si="23"/>
        <v>1</v>
      </c>
      <c r="Z73" s="110"/>
      <c r="AA73" s="10"/>
      <c r="AB73" s="47"/>
      <c r="AJ73" s="47"/>
    </row>
    <row r="74" spans="1:36" ht="28.5" x14ac:dyDescent="0.2">
      <c r="A74" s="162">
        <v>4135</v>
      </c>
      <c r="B74" s="11" t="str">
        <f t="shared" si="5"/>
        <v>SL.58</v>
      </c>
      <c r="C74" s="10" t="s">
        <v>416</v>
      </c>
      <c r="D74" s="120" t="s">
        <v>93</v>
      </c>
      <c r="E74" s="4"/>
      <c r="F74" s="21"/>
      <c r="G74" s="10"/>
      <c r="H74" s="110" t="s">
        <v>408</v>
      </c>
      <c r="I74" s="10"/>
      <c r="J74" s="111">
        <v>1</v>
      </c>
      <c r="K74" s="111" t="s">
        <v>259</v>
      </c>
      <c r="L74" s="109">
        <f t="shared" si="16"/>
        <v>58</v>
      </c>
      <c r="M74">
        <f t="shared" si="17"/>
        <v>12</v>
      </c>
      <c r="N74" s="109"/>
      <c r="P74" s="162"/>
      <c r="Q74" s="162">
        <f t="shared" si="18"/>
        <v>0</v>
      </c>
      <c r="R74" s="162">
        <f>IF(J74="","",IF(D74="",0,IF(D74="N/A",3,IF(OR(AND($M$1="Binary",D74="Yes"),AND($M$1="Scaled",D74&gt;Dashboard!$D$12)),1,IF(OR(AND($M$1="Binary",D74="No"),AND($M$1="Scaled",D74&lt;=Dashboard!$D$12)),2,"Oops there is an error")))))</f>
        <v>1</v>
      </c>
      <c r="S74" s="162">
        <f t="shared" si="19"/>
        <v>1</v>
      </c>
      <c r="T74" s="162"/>
      <c r="U74" s="162">
        <f t="shared" si="20"/>
        <v>0</v>
      </c>
      <c r="V74" s="162">
        <f t="shared" si="21"/>
        <v>1</v>
      </c>
      <c r="X74">
        <f t="shared" si="22"/>
        <v>2</v>
      </c>
      <c r="Y74">
        <f t="shared" si="23"/>
        <v>1</v>
      </c>
      <c r="Z74" s="110"/>
      <c r="AA74" s="10"/>
      <c r="AB74" s="47"/>
      <c r="AJ74" s="47">
        <v>1</v>
      </c>
    </row>
    <row r="75" spans="1:36" ht="14.25" x14ac:dyDescent="0.2">
      <c r="A75" s="162">
        <v>4141</v>
      </c>
      <c r="B75" s="11" t="str">
        <f t="shared" si="5"/>
        <v>SL.59</v>
      </c>
      <c r="C75" s="10" t="s">
        <v>417</v>
      </c>
      <c r="D75" s="120" t="s">
        <v>93</v>
      </c>
      <c r="E75" s="4"/>
      <c r="F75" s="21"/>
      <c r="G75" s="10"/>
      <c r="H75" s="110" t="s">
        <v>408</v>
      </c>
      <c r="I75" s="10"/>
      <c r="J75" s="111">
        <v>1</v>
      </c>
      <c r="K75" s="111" t="s">
        <v>259</v>
      </c>
      <c r="L75" s="109">
        <f t="shared" si="16"/>
        <v>59</v>
      </c>
      <c r="M75">
        <f t="shared" si="17"/>
        <v>12</v>
      </c>
      <c r="N75" s="109"/>
      <c r="P75" s="162"/>
      <c r="Q75" s="162">
        <f t="shared" si="18"/>
        <v>0</v>
      </c>
      <c r="R75" s="162">
        <f>IF(J75="","",IF(D75="",0,IF(D75="N/A",3,IF(OR(AND($M$1="Binary",D75="Yes"),AND($M$1="Scaled",D75&gt;Dashboard!$D$12)),1,IF(OR(AND($M$1="Binary",D75="No"),AND($M$1="Scaled",D75&lt;=Dashboard!$D$12)),2,"Oops there is an error")))))</f>
        <v>1</v>
      </c>
      <c r="S75" s="162">
        <f t="shared" si="19"/>
        <v>1</v>
      </c>
      <c r="T75" s="162"/>
      <c r="U75" s="162">
        <f t="shared" si="20"/>
        <v>0</v>
      </c>
      <c r="V75" s="162">
        <f t="shared" si="21"/>
        <v>1</v>
      </c>
      <c r="X75">
        <f t="shared" si="22"/>
        <v>2</v>
      </c>
      <c r="Y75">
        <f t="shared" si="23"/>
        <v>1</v>
      </c>
      <c r="Z75" s="110"/>
      <c r="AA75" s="10"/>
      <c r="AB75" s="47"/>
      <c r="AJ75" s="47">
        <v>1</v>
      </c>
    </row>
    <row r="76" spans="1:36" ht="42.75" x14ac:dyDescent="0.2">
      <c r="A76" s="162">
        <v>4147</v>
      </c>
      <c r="B76" s="11" t="str">
        <f t="shared" si="5"/>
        <v>SL.60</v>
      </c>
      <c r="C76" s="10" t="s">
        <v>418</v>
      </c>
      <c r="D76" s="120" t="s">
        <v>93</v>
      </c>
      <c r="E76" s="120"/>
      <c r="F76" s="21"/>
      <c r="G76" s="10" t="s">
        <v>419</v>
      </c>
      <c r="H76" s="110" t="s">
        <v>408</v>
      </c>
      <c r="I76" s="10"/>
      <c r="J76" s="111">
        <v>1</v>
      </c>
      <c r="K76" s="111" t="s">
        <v>259</v>
      </c>
      <c r="L76" s="109">
        <f t="shared" si="16"/>
        <v>60</v>
      </c>
      <c r="M76">
        <f t="shared" si="17"/>
        <v>12</v>
      </c>
      <c r="N76" s="109"/>
      <c r="P76" s="162"/>
      <c r="Q76" s="162">
        <f t="shared" si="18"/>
        <v>0</v>
      </c>
      <c r="R76" s="162">
        <f>IF(J76="","",IF(D76="",0,IF(D76="N/A",3,IF(OR(AND($M$1="Binary",D76="Yes"),AND($M$1="Scaled",D76&gt;Dashboard!$D$12)),1,IF(OR(AND($M$1="Binary",D76="No"),AND($M$1="Scaled",D76&lt;=Dashboard!$D$12)),2,"Oops there is an error")))))</f>
        <v>1</v>
      </c>
      <c r="S76" s="162">
        <f t="shared" si="19"/>
        <v>1</v>
      </c>
      <c r="T76" s="162"/>
      <c r="U76" s="162">
        <f t="shared" si="20"/>
        <v>0</v>
      </c>
      <c r="V76" s="162">
        <f t="shared" si="21"/>
        <v>1</v>
      </c>
      <c r="X76">
        <f t="shared" si="22"/>
        <v>2</v>
      </c>
      <c r="Y76">
        <f t="shared" si="23"/>
        <v>1</v>
      </c>
      <c r="Z76" s="110"/>
      <c r="AA76" s="10"/>
      <c r="AB76" s="47"/>
      <c r="AJ76" s="47"/>
    </row>
    <row r="77" spans="1:36" ht="42.75" x14ac:dyDescent="0.2">
      <c r="A77" s="162">
        <v>4151</v>
      </c>
      <c r="B77" s="11" t="str">
        <f t="shared" si="5"/>
        <v>SL.61</v>
      </c>
      <c r="C77" s="10" t="s">
        <v>420</v>
      </c>
      <c r="D77" s="120" t="s">
        <v>93</v>
      </c>
      <c r="E77" s="120"/>
      <c r="F77" s="21"/>
      <c r="G77" s="10" t="s">
        <v>421</v>
      </c>
      <c r="H77" s="110" t="s">
        <v>408</v>
      </c>
      <c r="I77" s="10"/>
      <c r="J77" s="111">
        <v>1</v>
      </c>
      <c r="K77" s="111" t="s">
        <v>259</v>
      </c>
      <c r="L77" s="109">
        <f t="shared" si="16"/>
        <v>61</v>
      </c>
      <c r="M77">
        <f t="shared" si="17"/>
        <v>12</v>
      </c>
      <c r="N77" s="109"/>
      <c r="P77" s="162"/>
      <c r="Q77" s="162">
        <f t="shared" si="18"/>
        <v>0</v>
      </c>
      <c r="R77" s="162">
        <f>IF(J77="","",IF(D77="",0,IF(D77="N/A",3,IF(OR(AND($M$1="Binary",D77="Yes"),AND($M$1="Scaled",D77&gt;Dashboard!$D$12)),1,IF(OR(AND($M$1="Binary",D77="No"),AND($M$1="Scaled",D77&lt;=Dashboard!$D$12)),2,"Oops there is an error")))))</f>
        <v>1</v>
      </c>
      <c r="S77" s="162">
        <f t="shared" si="19"/>
        <v>1</v>
      </c>
      <c r="T77" s="162"/>
      <c r="U77" s="162">
        <f t="shared" si="20"/>
        <v>0</v>
      </c>
      <c r="V77" s="162">
        <f t="shared" si="21"/>
        <v>1</v>
      </c>
      <c r="X77">
        <f t="shared" si="22"/>
        <v>2</v>
      </c>
      <c r="Y77">
        <f t="shared" si="23"/>
        <v>1</v>
      </c>
      <c r="Z77" s="110"/>
      <c r="AA77" s="10"/>
      <c r="AB77" s="47"/>
      <c r="AJ77" s="47"/>
    </row>
    <row r="78" spans="1:36" ht="57" x14ac:dyDescent="0.2">
      <c r="A78" s="162">
        <v>4154</v>
      </c>
      <c r="B78" s="11" t="str">
        <f t="shared" si="5"/>
        <v>SL.62</v>
      </c>
      <c r="C78" s="10" t="s">
        <v>422</v>
      </c>
      <c r="D78" s="120" t="s">
        <v>96</v>
      </c>
      <c r="E78" s="120"/>
      <c r="F78" s="21"/>
      <c r="G78" s="10"/>
      <c r="H78" s="110" t="s">
        <v>408</v>
      </c>
      <c r="I78" s="10"/>
      <c r="J78" s="111">
        <v>1</v>
      </c>
      <c r="K78" s="111" t="s">
        <v>259</v>
      </c>
      <c r="L78" s="109">
        <f t="shared" si="16"/>
        <v>62</v>
      </c>
      <c r="M78">
        <f t="shared" si="17"/>
        <v>12</v>
      </c>
      <c r="N78" s="109"/>
      <c r="P78" s="162"/>
      <c r="Q78" s="162">
        <f t="shared" si="18"/>
        <v>0</v>
      </c>
      <c r="R78" s="162">
        <f>IF(J78="","",IF(D78="",0,IF(D78="N/A",3,IF(OR(AND($M$1="Binary",D78="Yes"),AND($M$1="Scaled",D78&gt;Dashboard!$D$12)),1,IF(OR(AND($M$1="Binary",D78="No"),AND($M$1="Scaled",D78&lt;=Dashboard!$D$12)),2,"Oops there is an error")))))</f>
        <v>2</v>
      </c>
      <c r="S78" s="162">
        <f t="shared" si="19"/>
        <v>2</v>
      </c>
      <c r="T78" s="162"/>
      <c r="U78" s="162">
        <f t="shared" si="20"/>
        <v>1</v>
      </c>
      <c r="V78" s="162">
        <f t="shared" si="21"/>
        <v>2</v>
      </c>
      <c r="X78">
        <f t="shared" si="22"/>
        <v>2</v>
      </c>
      <c r="Y78">
        <f t="shared" si="23"/>
        <v>1</v>
      </c>
      <c r="Z78" s="110"/>
      <c r="AA78" s="10"/>
      <c r="AB78" s="47"/>
      <c r="AJ78" s="47">
        <v>2</v>
      </c>
    </row>
    <row r="79" spans="1:36" ht="15" x14ac:dyDescent="0.25">
      <c r="A79" s="162"/>
      <c r="B79" s="9" t="str">
        <f t="shared" si="5"/>
        <v/>
      </c>
      <c r="C79" s="16" t="s">
        <v>423</v>
      </c>
      <c r="D79" s="142"/>
      <c r="E79" s="142"/>
      <c r="F79" s="142"/>
      <c r="G79" s="15"/>
      <c r="H79" s="33"/>
      <c r="I79" s="13"/>
      <c r="J79" s="111"/>
      <c r="K79" s="111">
        <v>1</v>
      </c>
      <c r="L79" s="109">
        <f t="shared" si="16"/>
        <v>62</v>
      </c>
      <c r="M79">
        <f t="shared" si="17"/>
        <v>13</v>
      </c>
      <c r="N79" s="109"/>
      <c r="P79" s="162"/>
      <c r="Q79" s="162">
        <f t="shared" si="18"/>
        <v>0</v>
      </c>
      <c r="R79" s="162" t="str">
        <f>IF(J79="","",IF(D79="",0,IF(D79="N/A",3,IF(OR(AND($M$1="Binary",D79="Yes"),AND($M$1="Scaled",D79&gt;Dashboard!$D$12)),1,IF(OR(AND($M$1="Binary",D79="No"),AND($M$1="Scaled",D79&lt;=Dashboard!$D$12)),2,"Oops there is an error")))))</f>
        <v/>
      </c>
      <c r="S79" s="162" t="str">
        <f t="shared" si="19"/>
        <v/>
      </c>
      <c r="T79" s="162"/>
      <c r="U79" s="162">
        <f t="shared" si="20"/>
        <v>1</v>
      </c>
      <c r="V79" s="162" t="str">
        <f t="shared" si="21"/>
        <v/>
      </c>
      <c r="X79">
        <f t="shared" si="22"/>
        <v>1</v>
      </c>
      <c r="Y79">
        <f t="shared" si="23"/>
        <v>1</v>
      </c>
      <c r="Z79" s="33"/>
      <c r="AA79" s="13"/>
      <c r="AJ79" s="47"/>
    </row>
    <row r="80" spans="1:36" ht="57" x14ac:dyDescent="0.2">
      <c r="A80" s="162">
        <v>4090</v>
      </c>
      <c r="B80" s="11" t="str">
        <f t="shared" si="5"/>
        <v>SL.63</v>
      </c>
      <c r="C80" s="10" t="s">
        <v>424</v>
      </c>
      <c r="D80" s="120" t="s">
        <v>93</v>
      </c>
      <c r="E80" s="4"/>
      <c r="F80" s="21" t="s">
        <v>1110</v>
      </c>
      <c r="G80" s="10"/>
      <c r="H80" s="110">
        <v>6.2</v>
      </c>
      <c r="I80" s="10" t="s">
        <v>344</v>
      </c>
      <c r="J80" s="111">
        <v>1</v>
      </c>
      <c r="K80" s="111" t="s">
        <v>261</v>
      </c>
      <c r="L80" s="109">
        <f t="shared" si="16"/>
        <v>63</v>
      </c>
      <c r="M80">
        <f t="shared" si="17"/>
        <v>13</v>
      </c>
      <c r="N80" s="109"/>
      <c r="P80" s="162"/>
      <c r="Q80" s="162">
        <f t="shared" si="18"/>
        <v>0</v>
      </c>
      <c r="R80" s="162">
        <f>IF(J80="","",IF(D80="",0,IF(D80="N/A",3,IF(OR(AND($M$1="Binary",D80="Yes"),AND($M$1="Scaled",D80&gt;Dashboard!$D$12)),1,IF(OR(AND($M$1="Binary",D80="No"),AND($M$1="Scaled",D80&lt;=Dashboard!$D$12)),2,"Oops there is an error")))))</f>
        <v>1</v>
      </c>
      <c r="S80" s="162">
        <f t="shared" si="19"/>
        <v>1</v>
      </c>
      <c r="T80" s="162"/>
      <c r="U80" s="162">
        <f t="shared" si="20"/>
        <v>0</v>
      </c>
      <c r="V80" s="162">
        <f t="shared" si="21"/>
        <v>1</v>
      </c>
      <c r="X80">
        <f t="shared" si="22"/>
        <v>2</v>
      </c>
      <c r="Y80">
        <f t="shared" si="23"/>
        <v>1</v>
      </c>
      <c r="Z80" s="110"/>
      <c r="AA80" s="10"/>
      <c r="AB80" s="47"/>
      <c r="AJ80" s="47">
        <v>1</v>
      </c>
    </row>
    <row r="81" spans="1:36" ht="14.25" x14ac:dyDescent="0.2">
      <c r="A81" s="162">
        <v>4091</v>
      </c>
      <c r="B81" s="11" t="str">
        <f t="shared" si="5"/>
        <v>SL.64</v>
      </c>
      <c r="C81" s="10" t="s">
        <v>425</v>
      </c>
      <c r="D81" s="120" t="s">
        <v>93</v>
      </c>
      <c r="E81" s="120"/>
      <c r="F81" s="21"/>
      <c r="G81" s="10"/>
      <c r="H81" s="110"/>
      <c r="I81" s="10"/>
      <c r="J81" s="111">
        <v>2</v>
      </c>
      <c r="K81" s="111" t="s">
        <v>261</v>
      </c>
      <c r="L81" s="109">
        <f t="shared" si="16"/>
        <v>64</v>
      </c>
      <c r="M81">
        <f t="shared" si="17"/>
        <v>13</v>
      </c>
      <c r="N81" s="109"/>
      <c r="P81" s="162"/>
      <c r="Q81" s="162">
        <f t="shared" si="18"/>
        <v>0</v>
      </c>
      <c r="R81" s="162">
        <f>IF(J81="","",IF(D81="",0,IF(D81="N/A",3,IF(OR(AND($M$1="Binary",D81="Yes"),AND($M$1="Scaled",D81&gt;Dashboard!$D$12)),1,IF(OR(AND($M$1="Binary",D81="No"),AND($M$1="Scaled",D81&lt;=Dashboard!$D$12)),2,"Oops there is an error")))))</f>
        <v>1</v>
      </c>
      <c r="S81" s="162">
        <f t="shared" si="19"/>
        <v>1</v>
      </c>
      <c r="T81" s="162"/>
      <c r="U81" s="162">
        <f t="shared" si="20"/>
        <v>0</v>
      </c>
      <c r="V81" s="162">
        <f t="shared" si="21"/>
        <v>1</v>
      </c>
      <c r="X81">
        <f t="shared" si="22"/>
        <v>2</v>
      </c>
      <c r="Y81">
        <f t="shared" si="23"/>
        <v>1</v>
      </c>
      <c r="Z81" s="110"/>
      <c r="AA81" s="10"/>
      <c r="AB81" s="47"/>
      <c r="AJ81" s="47"/>
    </row>
    <row r="82" spans="1:36" ht="14.25" x14ac:dyDescent="0.2">
      <c r="A82" s="162">
        <v>4092</v>
      </c>
      <c r="B82" s="11" t="str">
        <f t="shared" si="5"/>
        <v>SL.65</v>
      </c>
      <c r="C82" s="10" t="s">
        <v>426</v>
      </c>
      <c r="D82" s="120" t="s">
        <v>96</v>
      </c>
      <c r="E82" s="120"/>
      <c r="F82" s="21"/>
      <c r="G82" s="10"/>
      <c r="H82" s="110"/>
      <c r="I82" s="10"/>
      <c r="J82" s="111">
        <v>2</v>
      </c>
      <c r="K82" s="111" t="s">
        <v>261</v>
      </c>
      <c r="L82" s="109">
        <f t="shared" si="16"/>
        <v>65</v>
      </c>
      <c r="M82">
        <f t="shared" si="17"/>
        <v>13</v>
      </c>
      <c r="N82" s="109"/>
      <c r="P82" s="162"/>
      <c r="Q82" s="162">
        <f t="shared" si="18"/>
        <v>0</v>
      </c>
      <c r="R82" s="162">
        <f>IF(J82="","",IF(D82="",0,IF(D82="N/A",3,IF(OR(AND($M$1="Binary",D82="Yes"),AND($M$1="Scaled",D82&gt;Dashboard!$D$12)),1,IF(OR(AND($M$1="Binary",D82="No"),AND($M$1="Scaled",D82&lt;=Dashboard!$D$12)),2,"Oops there is an error")))))</f>
        <v>2</v>
      </c>
      <c r="S82" s="162">
        <f t="shared" si="19"/>
        <v>2</v>
      </c>
      <c r="T82" s="162"/>
      <c r="U82" s="162">
        <f t="shared" si="20"/>
        <v>2</v>
      </c>
      <c r="V82" s="162">
        <f t="shared" si="21"/>
        <v>2</v>
      </c>
      <c r="X82">
        <f t="shared" si="22"/>
        <v>2</v>
      </c>
      <c r="Y82">
        <f t="shared" si="23"/>
        <v>1</v>
      </c>
      <c r="Z82" s="110"/>
      <c r="AA82" s="10"/>
      <c r="AB82" s="47"/>
      <c r="AJ82" s="47">
        <v>2</v>
      </c>
    </row>
    <row r="83" spans="1:36" ht="28.5" x14ac:dyDescent="0.2">
      <c r="A83" s="162">
        <v>4093</v>
      </c>
      <c r="B83" s="11" t="str">
        <f t="shared" si="5"/>
        <v>SL.66</v>
      </c>
      <c r="C83" s="10" t="s">
        <v>427</v>
      </c>
      <c r="D83" s="120" t="s">
        <v>93</v>
      </c>
      <c r="E83" s="120"/>
      <c r="F83" s="21" t="s">
        <v>1111</v>
      </c>
      <c r="G83" s="10"/>
      <c r="H83" s="110"/>
      <c r="I83" s="10"/>
      <c r="J83" s="111">
        <v>2</v>
      </c>
      <c r="K83" s="111" t="s">
        <v>261</v>
      </c>
      <c r="L83" s="109">
        <f t="shared" si="16"/>
        <v>66</v>
      </c>
      <c r="M83">
        <f t="shared" si="17"/>
        <v>13</v>
      </c>
      <c r="N83" s="109"/>
      <c r="P83" s="162"/>
      <c r="Q83" s="162">
        <f t="shared" si="18"/>
        <v>0</v>
      </c>
      <c r="R83" s="162">
        <f>IF(J83="","",IF(D83="",0,IF(D83="N/A",3,IF(OR(AND($M$1="Binary",D83="Yes"),AND($M$1="Scaled",D83&gt;Dashboard!$D$12)),1,IF(OR(AND($M$1="Binary",D83="No"),AND($M$1="Scaled",D83&lt;=Dashboard!$D$12)),2,"Oops there is an error")))))</f>
        <v>1</v>
      </c>
      <c r="S83" s="162">
        <f t="shared" si="19"/>
        <v>1</v>
      </c>
      <c r="T83" s="162"/>
      <c r="U83" s="162">
        <f t="shared" si="20"/>
        <v>0</v>
      </c>
      <c r="V83" s="162">
        <f t="shared" si="21"/>
        <v>1</v>
      </c>
      <c r="X83">
        <f t="shared" si="22"/>
        <v>2</v>
      </c>
      <c r="Y83">
        <f t="shared" si="23"/>
        <v>1</v>
      </c>
      <c r="Z83" s="110"/>
      <c r="AA83" s="10"/>
      <c r="AB83" s="47"/>
      <c r="AJ83" s="47"/>
    </row>
    <row r="84" spans="1:36" ht="14.25" x14ac:dyDescent="0.2">
      <c r="A84" s="162">
        <v>4094</v>
      </c>
      <c r="B84" s="11" t="str">
        <f t="shared" si="5"/>
        <v>SL.67</v>
      </c>
      <c r="C84" s="10" t="s">
        <v>428</v>
      </c>
      <c r="D84" s="120" t="s">
        <v>96</v>
      </c>
      <c r="E84" s="120"/>
      <c r="F84" s="21"/>
      <c r="G84" s="10"/>
      <c r="H84" s="110"/>
      <c r="I84" s="10"/>
      <c r="J84" s="111">
        <v>2</v>
      </c>
      <c r="K84" s="111" t="s">
        <v>261</v>
      </c>
      <c r="L84" s="109">
        <f t="shared" si="16"/>
        <v>67</v>
      </c>
      <c r="M84">
        <f t="shared" si="17"/>
        <v>13</v>
      </c>
      <c r="N84" s="109"/>
      <c r="P84" s="162"/>
      <c r="Q84" s="162">
        <f t="shared" si="18"/>
        <v>0</v>
      </c>
      <c r="R84" s="162">
        <f>IF(J84="","",IF(D84="",0,IF(D84="N/A",3,IF(OR(AND($M$1="Binary",D84="Yes"),AND($M$1="Scaled",D84&gt;Dashboard!$D$12)),1,IF(OR(AND($M$1="Binary",D84="No"),AND($M$1="Scaled",D84&lt;=Dashboard!$D$12)),2,"Oops there is an error")))))</f>
        <v>2</v>
      </c>
      <c r="S84" s="162">
        <f t="shared" si="19"/>
        <v>2</v>
      </c>
      <c r="T84" s="162"/>
      <c r="U84" s="162">
        <f t="shared" si="20"/>
        <v>2</v>
      </c>
      <c r="V84" s="162">
        <f t="shared" si="21"/>
        <v>2</v>
      </c>
      <c r="X84">
        <f t="shared" si="22"/>
        <v>2</v>
      </c>
      <c r="Y84">
        <f t="shared" si="23"/>
        <v>1</v>
      </c>
      <c r="Z84" s="110"/>
      <c r="AA84" s="10"/>
      <c r="AB84" s="47"/>
      <c r="AJ84" s="47">
        <v>2</v>
      </c>
    </row>
    <row r="85" spans="1:36" ht="42.75" x14ac:dyDescent="0.2">
      <c r="A85" s="162">
        <v>4097</v>
      </c>
      <c r="B85" s="11" t="str">
        <f t="shared" si="5"/>
        <v>SL.68</v>
      </c>
      <c r="C85" s="10" t="s">
        <v>429</v>
      </c>
      <c r="D85" s="120" t="s">
        <v>93</v>
      </c>
      <c r="E85" s="120"/>
      <c r="F85" s="21"/>
      <c r="G85" s="10"/>
      <c r="H85" s="110"/>
      <c r="I85" s="10"/>
      <c r="J85" s="111">
        <v>1</v>
      </c>
      <c r="K85" s="111" t="s">
        <v>261</v>
      </c>
      <c r="L85" s="109">
        <f t="shared" si="16"/>
        <v>68</v>
      </c>
      <c r="M85">
        <f t="shared" si="17"/>
        <v>13</v>
      </c>
      <c r="N85" s="109"/>
      <c r="P85" s="162"/>
      <c r="Q85" s="162">
        <f t="shared" si="18"/>
        <v>0</v>
      </c>
      <c r="R85" s="162">
        <f>IF(J85="","",IF(D85="",0,IF(D85="N/A",3,IF(OR(AND($M$1="Binary",D85="Yes"),AND($M$1="Scaled",D85&gt;Dashboard!$D$12)),1,IF(OR(AND($M$1="Binary",D85="No"),AND($M$1="Scaled",D85&lt;=Dashboard!$D$12)),2,"Oops there is an error")))))</f>
        <v>1</v>
      </c>
      <c r="S85" s="162">
        <f t="shared" si="19"/>
        <v>1</v>
      </c>
      <c r="T85" s="162"/>
      <c r="U85" s="162">
        <f t="shared" si="20"/>
        <v>0</v>
      </c>
      <c r="V85" s="162">
        <f t="shared" si="21"/>
        <v>1</v>
      </c>
      <c r="X85">
        <f t="shared" si="22"/>
        <v>2</v>
      </c>
      <c r="Y85">
        <f t="shared" si="23"/>
        <v>1</v>
      </c>
      <c r="Z85" s="110"/>
      <c r="AA85" s="10"/>
      <c r="AB85" s="47"/>
      <c r="AJ85" s="47"/>
    </row>
    <row r="86" spans="1:36" ht="15" x14ac:dyDescent="0.25">
      <c r="A86" s="162"/>
      <c r="B86" s="9" t="str">
        <f t="shared" si="5"/>
        <v/>
      </c>
      <c r="C86" s="16" t="s">
        <v>430</v>
      </c>
      <c r="D86" s="142"/>
      <c r="E86" s="142"/>
      <c r="F86" s="142"/>
      <c r="G86" s="15"/>
      <c r="H86" s="33"/>
      <c r="I86" s="13"/>
      <c r="J86" s="111"/>
      <c r="K86" s="111">
        <v>1</v>
      </c>
      <c r="L86" s="109">
        <f t="shared" si="16"/>
        <v>68</v>
      </c>
      <c r="M86">
        <f t="shared" si="17"/>
        <v>14</v>
      </c>
      <c r="N86" s="109"/>
      <c r="P86" s="162"/>
      <c r="Q86" s="162">
        <f t="shared" si="18"/>
        <v>0</v>
      </c>
      <c r="R86" s="162" t="str">
        <f>IF(J86="","",IF(D86="",0,IF(D86="N/A",3,IF(OR(AND($M$1="Binary",D86="Yes"),AND($M$1="Scaled",D86&gt;Dashboard!$D$12)),1,IF(OR(AND($M$1="Binary",D86="No"),AND($M$1="Scaled",D86&lt;=Dashboard!$D$12)),2,"Oops there is an error")))))</f>
        <v/>
      </c>
      <c r="S86" s="162" t="str">
        <f t="shared" si="19"/>
        <v/>
      </c>
      <c r="T86" s="162"/>
      <c r="U86" s="162">
        <f t="shared" si="20"/>
        <v>0</v>
      </c>
      <c r="V86" s="162" t="str">
        <f t="shared" si="21"/>
        <v/>
      </c>
      <c r="X86">
        <f t="shared" si="22"/>
        <v>1</v>
      </c>
      <c r="Y86">
        <f t="shared" si="23"/>
        <v>1</v>
      </c>
      <c r="Z86" s="33"/>
      <c r="AA86" s="13"/>
      <c r="AB86" s="47"/>
      <c r="AJ86" s="47"/>
    </row>
    <row r="87" spans="1:36" ht="57" x14ac:dyDescent="0.2">
      <c r="A87" s="162">
        <v>3687</v>
      </c>
      <c r="B87" s="11" t="str">
        <f t="shared" si="5"/>
        <v>SL.69</v>
      </c>
      <c r="C87" s="10" t="s">
        <v>431</v>
      </c>
      <c r="D87" s="120" t="s">
        <v>93</v>
      </c>
      <c r="E87" s="120"/>
      <c r="F87" s="21"/>
      <c r="G87" s="10" t="s">
        <v>432</v>
      </c>
      <c r="H87" s="110" t="s">
        <v>257</v>
      </c>
      <c r="I87" s="10" t="s">
        <v>258</v>
      </c>
      <c r="J87" s="111">
        <v>1</v>
      </c>
      <c r="K87" s="111" t="s">
        <v>265</v>
      </c>
      <c r="L87" s="109">
        <f t="shared" si="16"/>
        <v>69</v>
      </c>
      <c r="M87">
        <f t="shared" si="17"/>
        <v>14</v>
      </c>
      <c r="N87" s="109"/>
      <c r="P87" s="162"/>
      <c r="Q87" s="162">
        <f t="shared" si="18"/>
        <v>0</v>
      </c>
      <c r="R87" s="162">
        <f>IF(J87="","",IF(D87="",0,IF(D87="N/A",3,IF(OR(AND($M$1="Binary",D87="Yes"),AND($M$1="Scaled",D87&gt;Dashboard!$D$12)),1,IF(OR(AND($M$1="Binary",D87="No"),AND($M$1="Scaled",D87&lt;=Dashboard!$D$12)),2,"Oops there is an error")))))</f>
        <v>1</v>
      </c>
      <c r="S87" s="162">
        <f t="shared" si="19"/>
        <v>1</v>
      </c>
      <c r="T87" s="162"/>
      <c r="U87" s="162">
        <f t="shared" si="20"/>
        <v>0</v>
      </c>
      <c r="V87" s="162">
        <f t="shared" si="21"/>
        <v>1</v>
      </c>
      <c r="X87">
        <f t="shared" si="22"/>
        <v>2</v>
      </c>
      <c r="Y87">
        <f t="shared" si="23"/>
        <v>1</v>
      </c>
      <c r="Z87" s="110"/>
      <c r="AA87" s="10"/>
      <c r="AB87" s="47"/>
      <c r="AJ87" s="47"/>
    </row>
    <row r="88" spans="1:36" ht="42.75" x14ac:dyDescent="0.2">
      <c r="A88" s="162">
        <v>3694</v>
      </c>
      <c r="B88" s="11" t="str">
        <f t="shared" si="5"/>
        <v>SL.70</v>
      </c>
      <c r="C88" s="10" t="s">
        <v>433</v>
      </c>
      <c r="D88" s="120" t="s">
        <v>93</v>
      </c>
      <c r="E88" s="120"/>
      <c r="F88" s="21"/>
      <c r="G88" s="10" t="s">
        <v>432</v>
      </c>
      <c r="H88" s="110" t="s">
        <v>377</v>
      </c>
      <c r="I88" s="10" t="s">
        <v>258</v>
      </c>
      <c r="J88" s="111">
        <v>1</v>
      </c>
      <c r="K88" s="111" t="s">
        <v>265</v>
      </c>
      <c r="L88" s="109">
        <f t="shared" si="16"/>
        <v>70</v>
      </c>
      <c r="M88">
        <f t="shared" si="17"/>
        <v>14</v>
      </c>
      <c r="N88" s="109"/>
      <c r="P88" s="162"/>
      <c r="Q88" s="162">
        <f t="shared" si="18"/>
        <v>0</v>
      </c>
      <c r="R88" s="162">
        <f>IF(J88="","",IF(D88="",0,IF(D88="N/A",3,IF(OR(AND($M$1="Binary",D88="Yes"),AND($M$1="Scaled",D88&gt;Dashboard!$D$12)),1,IF(OR(AND($M$1="Binary",D88="No"),AND($M$1="Scaled",D88&lt;=Dashboard!$D$12)),2,"Oops there is an error")))))</f>
        <v>1</v>
      </c>
      <c r="S88" s="162">
        <f t="shared" si="19"/>
        <v>1</v>
      </c>
      <c r="T88" s="162"/>
      <c r="U88" s="162">
        <f t="shared" si="20"/>
        <v>0</v>
      </c>
      <c r="V88" s="162">
        <f t="shared" si="21"/>
        <v>1</v>
      </c>
      <c r="X88">
        <f t="shared" si="22"/>
        <v>2</v>
      </c>
      <c r="Y88">
        <f t="shared" si="23"/>
        <v>1</v>
      </c>
      <c r="Z88" s="110"/>
      <c r="AA88" s="10"/>
      <c r="AB88" s="47"/>
      <c r="AJ88" s="47"/>
    </row>
    <row r="89" spans="1:36" ht="42.75" x14ac:dyDescent="0.2">
      <c r="A89" s="162">
        <v>3704</v>
      </c>
      <c r="B89" s="11" t="str">
        <f t="shared" si="5"/>
        <v>SL.71</v>
      </c>
      <c r="C89" s="10" t="s">
        <v>434</v>
      </c>
      <c r="D89" s="120" t="s">
        <v>96</v>
      </c>
      <c r="E89" s="120"/>
      <c r="F89" s="21"/>
      <c r="G89" s="10" t="s">
        <v>432</v>
      </c>
      <c r="H89" s="110" t="s">
        <v>89</v>
      </c>
      <c r="I89" s="10"/>
      <c r="J89" s="111">
        <v>1</v>
      </c>
      <c r="K89" s="111" t="s">
        <v>265</v>
      </c>
      <c r="L89" s="109">
        <f t="shared" si="16"/>
        <v>71</v>
      </c>
      <c r="M89">
        <f t="shared" si="17"/>
        <v>14</v>
      </c>
      <c r="N89" s="109"/>
      <c r="P89" s="162"/>
      <c r="Q89" s="162">
        <f t="shared" si="18"/>
        <v>0</v>
      </c>
      <c r="R89" s="162">
        <f>IF(J89="","",IF(D89="",0,IF(D89="N/A",3,IF(OR(AND($M$1="Binary",D89="Yes"),AND($M$1="Scaled",D89&gt;Dashboard!$D$12)),1,IF(OR(AND($M$1="Binary",D89="No"),AND($M$1="Scaled",D89&lt;=Dashboard!$D$12)),2,"Oops there is an error")))))</f>
        <v>2</v>
      </c>
      <c r="S89" s="162">
        <f t="shared" si="19"/>
        <v>2</v>
      </c>
      <c r="T89" s="162"/>
      <c r="U89" s="162">
        <f t="shared" si="20"/>
        <v>1</v>
      </c>
      <c r="V89" s="162">
        <f t="shared" si="21"/>
        <v>2</v>
      </c>
      <c r="X89">
        <f t="shared" si="22"/>
        <v>2</v>
      </c>
      <c r="Y89">
        <f t="shared" si="23"/>
        <v>1</v>
      </c>
      <c r="Z89" s="110"/>
      <c r="AA89" s="10"/>
      <c r="AB89" s="47"/>
      <c r="AJ89" s="47">
        <v>2</v>
      </c>
    </row>
    <row r="90" spans="1:36" ht="28.5" x14ac:dyDescent="0.2">
      <c r="A90" s="162">
        <v>3872</v>
      </c>
      <c r="B90" s="11" t="str">
        <f t="shared" si="5"/>
        <v>SL.72</v>
      </c>
      <c r="C90" s="10" t="s">
        <v>435</v>
      </c>
      <c r="D90" s="120" t="s">
        <v>93</v>
      </c>
      <c r="E90" s="120"/>
      <c r="F90" s="21"/>
      <c r="G90" s="10" t="s">
        <v>436</v>
      </c>
      <c r="H90" s="110" t="s">
        <v>437</v>
      </c>
      <c r="I90" s="10" t="s">
        <v>438</v>
      </c>
      <c r="J90" s="111">
        <v>1</v>
      </c>
      <c r="K90" s="111" t="s">
        <v>265</v>
      </c>
      <c r="L90" s="109">
        <f t="shared" si="16"/>
        <v>72</v>
      </c>
      <c r="M90">
        <f t="shared" si="17"/>
        <v>14</v>
      </c>
      <c r="N90" s="109"/>
      <c r="P90" s="162"/>
      <c r="Q90" s="162">
        <f t="shared" si="18"/>
        <v>0</v>
      </c>
      <c r="R90" s="162">
        <f>IF(J90="","",IF(D90="",0,IF(D90="N/A",3,IF(OR(AND($M$1="Binary",D90="Yes"),AND($M$1="Scaled",D90&gt;Dashboard!$D$12)),1,IF(OR(AND($M$1="Binary",D90="No"),AND($M$1="Scaled",D90&lt;=Dashboard!$D$12)),2,"Oops there is an error")))))</f>
        <v>1</v>
      </c>
      <c r="S90" s="162">
        <f t="shared" si="19"/>
        <v>1</v>
      </c>
      <c r="T90" s="162"/>
      <c r="U90" s="162">
        <f t="shared" si="20"/>
        <v>0</v>
      </c>
      <c r="V90" s="162">
        <f t="shared" si="21"/>
        <v>1</v>
      </c>
      <c r="X90">
        <f t="shared" si="22"/>
        <v>2</v>
      </c>
      <c r="Y90">
        <f t="shared" si="23"/>
        <v>1</v>
      </c>
      <c r="Z90" s="110"/>
      <c r="AA90" s="10"/>
      <c r="AB90" s="47"/>
      <c r="AJ90" s="47"/>
    </row>
    <row r="91" spans="1:36" ht="28.5" x14ac:dyDescent="0.2">
      <c r="A91" s="162">
        <v>3873</v>
      </c>
      <c r="B91" s="11" t="str">
        <f t="shared" si="5"/>
        <v>SL.73</v>
      </c>
      <c r="C91" s="10" t="s">
        <v>439</v>
      </c>
      <c r="D91" s="120" t="s">
        <v>93</v>
      </c>
      <c r="E91" s="120"/>
      <c r="F91" s="21"/>
      <c r="G91" s="10" t="s">
        <v>440</v>
      </c>
      <c r="H91" s="110" t="s">
        <v>441</v>
      </c>
      <c r="I91" s="10" t="s">
        <v>442</v>
      </c>
      <c r="J91" s="111">
        <v>1</v>
      </c>
      <c r="K91" s="111" t="s">
        <v>265</v>
      </c>
      <c r="L91" s="109">
        <f t="shared" si="16"/>
        <v>73</v>
      </c>
      <c r="M91">
        <f t="shared" si="17"/>
        <v>14</v>
      </c>
      <c r="N91" s="109"/>
      <c r="P91" s="162"/>
      <c r="Q91" s="162">
        <f t="shared" si="18"/>
        <v>0</v>
      </c>
      <c r="R91" s="162">
        <f>IF(J91="","",IF(D91="",0,IF(D91="N/A",3,IF(OR(AND($M$1="Binary",D91="Yes"),AND($M$1="Scaled",D91&gt;Dashboard!$D$12)),1,IF(OR(AND($M$1="Binary",D91="No"),AND($M$1="Scaled",D91&lt;=Dashboard!$D$12)),2,"Oops there is an error")))))</f>
        <v>1</v>
      </c>
      <c r="S91" s="162">
        <f t="shared" si="19"/>
        <v>1</v>
      </c>
      <c r="T91" s="162"/>
      <c r="U91" s="162">
        <f t="shared" si="20"/>
        <v>0</v>
      </c>
      <c r="V91" s="162">
        <f t="shared" si="21"/>
        <v>1</v>
      </c>
      <c r="X91">
        <f t="shared" si="22"/>
        <v>2</v>
      </c>
      <c r="Y91">
        <f t="shared" si="23"/>
        <v>1</v>
      </c>
      <c r="Z91" s="110"/>
      <c r="AA91" s="10"/>
      <c r="AB91" s="47"/>
      <c r="AJ91" s="47"/>
    </row>
    <row r="92" spans="1:36" ht="42.75" x14ac:dyDescent="0.2">
      <c r="A92" s="162">
        <v>3225</v>
      </c>
      <c r="B92" s="11" t="str">
        <f t="shared" ref="B92:B155" si="24">IF(A92="","",$Q$1&amp;"."&amp;L92)</f>
        <v>SL.74</v>
      </c>
      <c r="C92" s="10" t="s">
        <v>443</v>
      </c>
      <c r="D92" s="120" t="s">
        <v>93</v>
      </c>
      <c r="E92" s="120"/>
      <c r="F92" s="21"/>
      <c r="G92" s="10" t="s">
        <v>436</v>
      </c>
      <c r="H92" s="110" t="s">
        <v>444</v>
      </c>
      <c r="I92" s="10" t="s">
        <v>445</v>
      </c>
      <c r="J92" s="111">
        <v>1</v>
      </c>
      <c r="K92" s="111" t="s">
        <v>265</v>
      </c>
      <c r="L92" s="109">
        <f t="shared" si="16"/>
        <v>74</v>
      </c>
      <c r="M92">
        <f t="shared" si="17"/>
        <v>14</v>
      </c>
      <c r="N92" s="109"/>
      <c r="P92" s="162"/>
      <c r="Q92" s="162">
        <f t="shared" si="18"/>
        <v>0</v>
      </c>
      <c r="R92" s="162">
        <f>IF(J92="","",IF(D92="",0,IF(D92="N/A",3,IF(OR(AND($M$1="Binary",D92="Yes"),AND($M$1="Scaled",D92&gt;Dashboard!$D$12)),1,IF(OR(AND($M$1="Binary",D92="No"),AND($M$1="Scaled",D92&lt;=Dashboard!$D$12)),2,"Oops there is an error")))))</f>
        <v>1</v>
      </c>
      <c r="S92" s="162">
        <f t="shared" si="19"/>
        <v>1</v>
      </c>
      <c r="T92" s="162"/>
      <c r="U92" s="162">
        <f t="shared" si="20"/>
        <v>0</v>
      </c>
      <c r="V92" s="162">
        <f t="shared" si="21"/>
        <v>1</v>
      </c>
      <c r="X92">
        <f t="shared" si="22"/>
        <v>2</v>
      </c>
      <c r="Y92">
        <f t="shared" si="23"/>
        <v>1</v>
      </c>
      <c r="Z92" s="110"/>
      <c r="AA92" s="10"/>
      <c r="AB92" s="47"/>
      <c r="AJ92" s="47"/>
    </row>
    <row r="93" spans="1:36" ht="42.75" x14ac:dyDescent="0.2">
      <c r="A93" s="162">
        <v>3228</v>
      </c>
      <c r="B93" s="11" t="str">
        <f t="shared" si="24"/>
        <v>SL.75</v>
      </c>
      <c r="C93" s="10" t="s">
        <v>446</v>
      </c>
      <c r="D93" s="120" t="s">
        <v>93</v>
      </c>
      <c r="E93" s="120"/>
      <c r="F93" s="21"/>
      <c r="G93" s="10" t="s">
        <v>447</v>
      </c>
      <c r="H93" s="110" t="s">
        <v>448</v>
      </c>
      <c r="I93" s="10" t="s">
        <v>449</v>
      </c>
      <c r="J93" s="111">
        <v>1</v>
      </c>
      <c r="K93" s="111" t="s">
        <v>265</v>
      </c>
      <c r="L93" s="109">
        <f t="shared" si="16"/>
        <v>75</v>
      </c>
      <c r="M93">
        <f t="shared" si="17"/>
        <v>14</v>
      </c>
      <c r="N93" s="109"/>
      <c r="P93" s="162"/>
      <c r="Q93" s="162">
        <f t="shared" si="18"/>
        <v>0</v>
      </c>
      <c r="R93" s="162">
        <f>IF(J93="","",IF(D93="",0,IF(D93="N/A",3,IF(OR(AND($M$1="Binary",D93="Yes"),AND($M$1="Scaled",D93&gt;Dashboard!$D$12)),1,IF(OR(AND($M$1="Binary",D93="No"),AND($M$1="Scaled",D93&lt;=Dashboard!$D$12)),2,"Oops there is an error")))))</f>
        <v>1</v>
      </c>
      <c r="S93" s="162">
        <f t="shared" si="19"/>
        <v>1</v>
      </c>
      <c r="T93" s="162"/>
      <c r="U93" s="162">
        <f t="shared" si="20"/>
        <v>0</v>
      </c>
      <c r="V93" s="162">
        <f t="shared" si="21"/>
        <v>1</v>
      </c>
      <c r="X93">
        <f t="shared" si="22"/>
        <v>2</v>
      </c>
      <c r="Y93">
        <f t="shared" si="23"/>
        <v>1</v>
      </c>
      <c r="Z93" s="110"/>
      <c r="AA93" s="10"/>
      <c r="AB93" s="47"/>
      <c r="AJ93" s="47"/>
    </row>
    <row r="94" spans="1:36" ht="42.75" x14ac:dyDescent="0.2">
      <c r="A94" s="162">
        <v>3874</v>
      </c>
      <c r="B94" s="11" t="str">
        <f t="shared" si="24"/>
        <v>SL.76</v>
      </c>
      <c r="C94" s="10" t="s">
        <v>450</v>
      </c>
      <c r="D94" s="120" t="s">
        <v>93</v>
      </c>
      <c r="E94" s="120"/>
      <c r="F94" s="21"/>
      <c r="G94" s="10" t="s">
        <v>451</v>
      </c>
      <c r="H94" s="110" t="s">
        <v>452</v>
      </c>
      <c r="I94" s="10" t="s">
        <v>438</v>
      </c>
      <c r="J94" s="111">
        <v>1</v>
      </c>
      <c r="K94" s="111" t="s">
        <v>265</v>
      </c>
      <c r="L94" s="109">
        <f t="shared" si="16"/>
        <v>76</v>
      </c>
      <c r="M94">
        <f t="shared" si="17"/>
        <v>14</v>
      </c>
      <c r="N94" s="109"/>
      <c r="P94" s="162"/>
      <c r="Q94" s="162">
        <f t="shared" si="18"/>
        <v>0</v>
      </c>
      <c r="R94" s="162">
        <f>IF(J94="","",IF(D94="",0,IF(D94="N/A",3,IF(OR(AND($M$1="Binary",D94="Yes"),AND($M$1="Scaled",D94&gt;Dashboard!$D$12)),1,IF(OR(AND($M$1="Binary",D94="No"),AND($M$1="Scaled",D94&lt;=Dashboard!$D$12)),2,"Oops there is an error")))))</f>
        <v>1</v>
      </c>
      <c r="S94" s="162">
        <f t="shared" si="19"/>
        <v>1</v>
      </c>
      <c r="T94" s="162"/>
      <c r="U94" s="162">
        <f t="shared" si="20"/>
        <v>0</v>
      </c>
      <c r="V94" s="162">
        <f t="shared" si="21"/>
        <v>1</v>
      </c>
      <c r="X94">
        <f t="shared" si="22"/>
        <v>2</v>
      </c>
      <c r="Y94">
        <f t="shared" si="23"/>
        <v>1</v>
      </c>
      <c r="Z94" s="110"/>
      <c r="AA94" s="10"/>
      <c r="AB94" s="47"/>
      <c r="AJ94" s="47"/>
    </row>
    <row r="95" spans="1:36" ht="42.75" x14ac:dyDescent="0.2">
      <c r="A95" s="162">
        <v>3723</v>
      </c>
      <c r="B95" s="11" t="str">
        <f t="shared" si="24"/>
        <v>SL.77</v>
      </c>
      <c r="C95" s="10" t="s">
        <v>453</v>
      </c>
      <c r="D95" s="120" t="s">
        <v>93</v>
      </c>
      <c r="E95" s="120"/>
      <c r="F95" s="21"/>
      <c r="G95" s="10" t="s">
        <v>432</v>
      </c>
      <c r="H95" s="110">
        <v>8.1999999999999993</v>
      </c>
      <c r="I95" s="10" t="s">
        <v>454</v>
      </c>
      <c r="J95" s="111">
        <v>1</v>
      </c>
      <c r="K95" s="111" t="s">
        <v>265</v>
      </c>
      <c r="L95" s="109">
        <f t="shared" si="16"/>
        <v>77</v>
      </c>
      <c r="M95">
        <f t="shared" si="17"/>
        <v>14</v>
      </c>
      <c r="N95" s="109"/>
      <c r="P95" s="162"/>
      <c r="Q95" s="162">
        <f t="shared" si="18"/>
        <v>0</v>
      </c>
      <c r="R95" s="162">
        <f>IF(J95="","",IF(D95="",0,IF(D95="N/A",3,IF(OR(AND($M$1="Binary",D95="Yes"),AND($M$1="Scaled",D95&gt;Dashboard!$D$12)),1,IF(OR(AND($M$1="Binary",D95="No"),AND($M$1="Scaled",D95&lt;=Dashboard!$D$12)),2,"Oops there is an error")))))</f>
        <v>1</v>
      </c>
      <c r="S95" s="162">
        <f t="shared" si="19"/>
        <v>1</v>
      </c>
      <c r="T95" s="162"/>
      <c r="U95" s="162">
        <f t="shared" si="20"/>
        <v>0</v>
      </c>
      <c r="V95" s="162">
        <f t="shared" si="21"/>
        <v>1</v>
      </c>
      <c r="X95">
        <f t="shared" si="22"/>
        <v>2</v>
      </c>
      <c r="Y95">
        <f t="shared" si="23"/>
        <v>1</v>
      </c>
      <c r="Z95" s="110"/>
      <c r="AA95" s="10"/>
      <c r="AB95" s="47"/>
      <c r="AJ95" s="47"/>
    </row>
    <row r="96" spans="1:36" ht="42.75" x14ac:dyDescent="0.2">
      <c r="A96" s="162">
        <v>3234</v>
      </c>
      <c r="B96" s="11" t="str">
        <f t="shared" si="24"/>
        <v>SL.78</v>
      </c>
      <c r="C96" s="10" t="s">
        <v>455</v>
      </c>
      <c r="D96" s="120" t="s">
        <v>93</v>
      </c>
      <c r="E96" s="120"/>
      <c r="F96" s="21"/>
      <c r="G96" s="10" t="s">
        <v>451</v>
      </c>
      <c r="H96" s="110" t="s">
        <v>452</v>
      </c>
      <c r="I96" s="10" t="s">
        <v>438</v>
      </c>
      <c r="J96" s="111">
        <v>1</v>
      </c>
      <c r="K96" s="111" t="s">
        <v>265</v>
      </c>
      <c r="L96" s="109">
        <f t="shared" si="16"/>
        <v>78</v>
      </c>
      <c r="M96">
        <f t="shared" si="17"/>
        <v>14</v>
      </c>
      <c r="N96" s="109"/>
      <c r="P96" s="162"/>
      <c r="Q96" s="162">
        <f t="shared" si="18"/>
        <v>0</v>
      </c>
      <c r="R96" s="162">
        <f>IF(J96="","",IF(D96="",0,IF(D96="N/A",3,IF(OR(AND($M$1="Binary",D96="Yes"),AND($M$1="Scaled",D96&gt;Dashboard!$D$12)),1,IF(OR(AND($M$1="Binary",D96="No"),AND($M$1="Scaled",D96&lt;=Dashboard!$D$12)),2,"Oops there is an error")))))</f>
        <v>1</v>
      </c>
      <c r="S96" s="162">
        <f t="shared" si="19"/>
        <v>1</v>
      </c>
      <c r="T96" s="162"/>
      <c r="U96" s="162">
        <f t="shared" si="20"/>
        <v>0</v>
      </c>
      <c r="V96" s="162">
        <f t="shared" si="21"/>
        <v>1</v>
      </c>
      <c r="X96">
        <f t="shared" si="22"/>
        <v>2</v>
      </c>
      <c r="Y96">
        <f t="shared" si="23"/>
        <v>1</v>
      </c>
      <c r="Z96" s="110"/>
      <c r="AA96" s="10"/>
      <c r="AB96" s="47"/>
      <c r="AJ96" s="47"/>
    </row>
    <row r="97" spans="1:36" ht="14.25" x14ac:dyDescent="0.2">
      <c r="A97" s="162">
        <v>3715</v>
      </c>
      <c r="B97" s="11" t="str">
        <f t="shared" si="24"/>
        <v>SL.79</v>
      </c>
      <c r="C97" s="10" t="s">
        <v>456</v>
      </c>
      <c r="D97" s="120" t="s">
        <v>96</v>
      </c>
      <c r="E97" s="120"/>
      <c r="F97" s="21"/>
      <c r="G97" s="10"/>
      <c r="H97" s="110"/>
      <c r="I97" s="10"/>
      <c r="J97" s="111">
        <v>1</v>
      </c>
      <c r="K97" s="111" t="s">
        <v>265</v>
      </c>
      <c r="L97" s="109">
        <f t="shared" si="16"/>
        <v>79</v>
      </c>
      <c r="M97">
        <f t="shared" si="17"/>
        <v>14</v>
      </c>
      <c r="N97" s="109"/>
      <c r="P97" s="162"/>
      <c r="Q97" s="162">
        <f t="shared" si="18"/>
        <v>0</v>
      </c>
      <c r="R97" s="162">
        <f>IF(J97="","",IF(D97="",0,IF(D97="N/A",3,IF(OR(AND($M$1="Binary",D97="Yes"),AND($M$1="Scaled",D97&gt;Dashboard!$D$12)),1,IF(OR(AND($M$1="Binary",D97="No"),AND($M$1="Scaled",D97&lt;=Dashboard!$D$12)),2,"Oops there is an error")))))</f>
        <v>2</v>
      </c>
      <c r="S97" s="162">
        <f t="shared" si="19"/>
        <v>2</v>
      </c>
      <c r="T97" s="162"/>
      <c r="U97" s="162">
        <f t="shared" si="20"/>
        <v>1</v>
      </c>
      <c r="V97" s="162">
        <f t="shared" si="21"/>
        <v>2</v>
      </c>
      <c r="X97">
        <f t="shared" si="22"/>
        <v>2</v>
      </c>
      <c r="Y97">
        <f t="shared" si="23"/>
        <v>1</v>
      </c>
      <c r="Z97" s="110"/>
      <c r="AA97" s="10"/>
      <c r="AB97" s="47"/>
      <c r="AJ97" s="47">
        <v>2</v>
      </c>
    </row>
    <row r="98" spans="1:36" ht="28.5" x14ac:dyDescent="0.2">
      <c r="A98" s="162">
        <v>3269</v>
      </c>
      <c r="B98" s="11" t="str">
        <f t="shared" si="24"/>
        <v>SL.80</v>
      </c>
      <c r="C98" s="10" t="s">
        <v>457</v>
      </c>
      <c r="D98" s="120" t="s">
        <v>96</v>
      </c>
      <c r="E98" s="120"/>
      <c r="F98" s="21"/>
      <c r="G98" s="10"/>
      <c r="H98" s="110"/>
      <c r="I98" s="10"/>
      <c r="J98" s="111">
        <v>1</v>
      </c>
      <c r="K98" s="111" t="s">
        <v>265</v>
      </c>
      <c r="L98" s="109">
        <f t="shared" si="16"/>
        <v>80</v>
      </c>
      <c r="M98">
        <f t="shared" si="17"/>
        <v>14</v>
      </c>
      <c r="N98" s="109"/>
      <c r="P98" s="162"/>
      <c r="Q98" s="162">
        <f t="shared" si="18"/>
        <v>0</v>
      </c>
      <c r="R98" s="162">
        <f>IF(J98="","",IF(D98="",0,IF(D98="N/A",3,IF(OR(AND($M$1="Binary",D98="Yes"),AND($M$1="Scaled",D98&gt;Dashboard!$D$12)),1,IF(OR(AND($M$1="Binary",D98="No"),AND($M$1="Scaled",D98&lt;=Dashboard!$D$12)),2,"Oops there is an error")))))</f>
        <v>2</v>
      </c>
      <c r="S98" s="162">
        <f t="shared" si="19"/>
        <v>2</v>
      </c>
      <c r="T98" s="162"/>
      <c r="U98" s="162">
        <f t="shared" si="20"/>
        <v>1</v>
      </c>
      <c r="V98" s="162">
        <f t="shared" si="21"/>
        <v>2</v>
      </c>
      <c r="X98">
        <f t="shared" si="22"/>
        <v>2</v>
      </c>
      <c r="Y98">
        <f t="shared" si="23"/>
        <v>1</v>
      </c>
      <c r="Z98" s="110"/>
      <c r="AA98" s="10"/>
      <c r="AB98" s="47"/>
      <c r="AJ98" s="47">
        <v>2</v>
      </c>
    </row>
    <row r="99" spans="1:36" ht="42.75" x14ac:dyDescent="0.2">
      <c r="A99" s="162">
        <v>3270</v>
      </c>
      <c r="B99" s="11" t="str">
        <f t="shared" si="24"/>
        <v>SL.81</v>
      </c>
      <c r="C99" s="10" t="s">
        <v>458</v>
      </c>
      <c r="D99" s="120" t="s">
        <v>96</v>
      </c>
      <c r="E99" s="120"/>
      <c r="F99" s="21"/>
      <c r="G99" s="10" t="s">
        <v>459</v>
      </c>
      <c r="H99" s="110" t="s">
        <v>460</v>
      </c>
      <c r="I99" s="10" t="s">
        <v>461</v>
      </c>
      <c r="J99" s="111">
        <v>1</v>
      </c>
      <c r="K99" s="111" t="s">
        <v>265</v>
      </c>
      <c r="L99" s="109">
        <f t="shared" si="16"/>
        <v>81</v>
      </c>
      <c r="M99">
        <f t="shared" si="17"/>
        <v>14</v>
      </c>
      <c r="N99" s="109"/>
      <c r="P99" s="162"/>
      <c r="Q99" s="162">
        <f t="shared" si="18"/>
        <v>0</v>
      </c>
      <c r="R99" s="162">
        <f>IF(J99="","",IF(D99="",0,IF(D99="N/A",3,IF(OR(AND($M$1="Binary",D99="Yes"),AND($M$1="Scaled",D99&gt;Dashboard!$D$12)),1,IF(OR(AND($M$1="Binary",D99="No"),AND($M$1="Scaled",D99&lt;=Dashboard!$D$12)),2,"Oops there is an error")))))</f>
        <v>2</v>
      </c>
      <c r="S99" s="162">
        <f t="shared" si="19"/>
        <v>2</v>
      </c>
      <c r="T99" s="162"/>
      <c r="U99" s="162">
        <f t="shared" si="20"/>
        <v>1</v>
      </c>
      <c r="V99" s="162">
        <f t="shared" si="21"/>
        <v>2</v>
      </c>
      <c r="X99">
        <f t="shared" si="22"/>
        <v>2</v>
      </c>
      <c r="Y99">
        <f t="shared" si="23"/>
        <v>1</v>
      </c>
      <c r="Z99" s="110"/>
      <c r="AA99" s="10"/>
      <c r="AB99" s="47"/>
      <c r="AJ99" s="47">
        <v>2</v>
      </c>
    </row>
    <row r="100" spans="1:36" ht="28.5" x14ac:dyDescent="0.2">
      <c r="A100" s="162">
        <v>3701</v>
      </c>
      <c r="B100" s="11" t="str">
        <f t="shared" si="24"/>
        <v>SL.82</v>
      </c>
      <c r="C100" s="10" t="s">
        <v>462</v>
      </c>
      <c r="D100" s="120" t="s">
        <v>93</v>
      </c>
      <c r="E100" s="120"/>
      <c r="F100" s="21"/>
      <c r="G100" s="10" t="s">
        <v>459</v>
      </c>
      <c r="H100" s="110" t="s">
        <v>460</v>
      </c>
      <c r="I100" s="10" t="s">
        <v>461</v>
      </c>
      <c r="J100" s="111">
        <v>1</v>
      </c>
      <c r="K100" s="111" t="s">
        <v>265</v>
      </c>
      <c r="L100" s="109">
        <f t="shared" si="16"/>
        <v>82</v>
      </c>
      <c r="M100">
        <f t="shared" si="17"/>
        <v>14</v>
      </c>
      <c r="N100" s="109"/>
      <c r="P100" s="162"/>
      <c r="Q100" s="162">
        <f t="shared" si="18"/>
        <v>0</v>
      </c>
      <c r="R100" s="162">
        <f>IF(J100="","",IF(D100="",0,IF(D100="N/A",3,IF(OR(AND($M$1="Binary",D100="Yes"),AND($M$1="Scaled",D100&gt;Dashboard!$D$12)),1,IF(OR(AND($M$1="Binary",D100="No"),AND($M$1="Scaled",D100&lt;=Dashboard!$D$12)),2,"Oops there is an error")))))</f>
        <v>1</v>
      </c>
      <c r="S100" s="162">
        <f t="shared" si="19"/>
        <v>1</v>
      </c>
      <c r="T100" s="162"/>
      <c r="U100" s="162">
        <f t="shared" si="20"/>
        <v>0</v>
      </c>
      <c r="V100" s="162">
        <f t="shared" si="21"/>
        <v>1</v>
      </c>
      <c r="X100">
        <f t="shared" si="22"/>
        <v>2</v>
      </c>
      <c r="Y100">
        <f t="shared" si="23"/>
        <v>1</v>
      </c>
      <c r="Z100" s="110"/>
      <c r="AA100" s="10"/>
      <c r="AB100" s="47"/>
      <c r="AJ100" s="47"/>
    </row>
    <row r="101" spans="1:36" ht="28.5" x14ac:dyDescent="0.2">
      <c r="A101">
        <v>3718</v>
      </c>
      <c r="B101" s="11" t="str">
        <f t="shared" si="24"/>
        <v>SL.83</v>
      </c>
      <c r="C101" s="10" t="s">
        <v>463</v>
      </c>
      <c r="D101" s="120" t="s">
        <v>93</v>
      </c>
      <c r="E101" s="120"/>
      <c r="F101" s="21"/>
      <c r="G101" s="10" t="s">
        <v>440</v>
      </c>
      <c r="H101" s="110" t="s">
        <v>441</v>
      </c>
      <c r="I101" s="10" t="s">
        <v>442</v>
      </c>
      <c r="J101" s="111">
        <v>1</v>
      </c>
      <c r="K101" s="111" t="s">
        <v>265</v>
      </c>
      <c r="L101" s="109">
        <f t="shared" si="16"/>
        <v>83</v>
      </c>
      <c r="M101">
        <f t="shared" si="17"/>
        <v>14</v>
      </c>
      <c r="N101" s="109"/>
      <c r="P101" s="162"/>
      <c r="Q101" s="162">
        <f t="shared" si="18"/>
        <v>0</v>
      </c>
      <c r="R101" s="162">
        <f>IF(J101="","",IF(D101="",0,IF(D101="N/A",3,IF(OR(AND($M$1="Binary",D101="Yes"),AND($M$1="Scaled",D101&gt;Dashboard!$D$12)),1,IF(OR(AND($M$1="Binary",D101="No"),AND($M$1="Scaled",D101&lt;=Dashboard!$D$12)),2,"Oops there is an error")))))</f>
        <v>1</v>
      </c>
      <c r="S101" s="162">
        <f t="shared" si="19"/>
        <v>1</v>
      </c>
      <c r="T101" s="162"/>
      <c r="U101" s="162">
        <f t="shared" si="20"/>
        <v>0</v>
      </c>
      <c r="V101" s="162">
        <f t="shared" si="21"/>
        <v>1</v>
      </c>
      <c r="X101">
        <f t="shared" si="22"/>
        <v>2</v>
      </c>
      <c r="Y101">
        <f t="shared" si="23"/>
        <v>1</v>
      </c>
      <c r="Z101" s="110"/>
      <c r="AA101" s="10"/>
      <c r="AB101" s="47"/>
      <c r="AJ101" s="47"/>
    </row>
    <row r="102" spans="1:36" ht="28.5" x14ac:dyDescent="0.2">
      <c r="A102">
        <v>3875</v>
      </c>
      <c r="B102" s="11" t="str">
        <f t="shared" si="24"/>
        <v>SL.84</v>
      </c>
      <c r="C102" s="10" t="s">
        <v>464</v>
      </c>
      <c r="D102" s="120" t="s">
        <v>96</v>
      </c>
      <c r="E102" s="120"/>
      <c r="F102" s="21"/>
      <c r="G102" s="10" t="s">
        <v>465</v>
      </c>
      <c r="H102" s="110" t="s">
        <v>381</v>
      </c>
      <c r="I102" s="10" t="s">
        <v>466</v>
      </c>
      <c r="J102" s="111">
        <v>1</v>
      </c>
      <c r="K102" s="111" t="s">
        <v>265</v>
      </c>
      <c r="L102" s="109">
        <f t="shared" si="16"/>
        <v>84</v>
      </c>
      <c r="M102">
        <f t="shared" si="17"/>
        <v>14</v>
      </c>
      <c r="N102" s="109"/>
      <c r="P102" s="162"/>
      <c r="Q102" s="162">
        <f t="shared" si="18"/>
        <v>0</v>
      </c>
      <c r="R102" s="162">
        <f>IF(J102="","",IF(D102="",0,IF(D102="N/A",3,IF(OR(AND($M$1="Binary",D102="Yes"),AND($M$1="Scaled",D102&gt;Dashboard!$D$12)),1,IF(OR(AND($M$1="Binary",D102="No"),AND($M$1="Scaled",D102&lt;=Dashboard!$D$12)),2,"Oops there is an error")))))</f>
        <v>2</v>
      </c>
      <c r="S102" s="162">
        <f t="shared" si="19"/>
        <v>2</v>
      </c>
      <c r="T102" s="162"/>
      <c r="U102" s="162">
        <f t="shared" si="20"/>
        <v>1</v>
      </c>
      <c r="V102" s="162">
        <f t="shared" si="21"/>
        <v>2</v>
      </c>
      <c r="X102">
        <f t="shared" si="22"/>
        <v>2</v>
      </c>
      <c r="Y102">
        <f t="shared" si="23"/>
        <v>1</v>
      </c>
      <c r="Z102" s="110"/>
      <c r="AA102" s="10"/>
      <c r="AB102" s="47"/>
      <c r="AJ102" s="47">
        <v>2</v>
      </c>
    </row>
    <row r="103" spans="1:36" ht="71.25" x14ac:dyDescent="0.2">
      <c r="A103">
        <v>3876</v>
      </c>
      <c r="B103" s="11" t="str">
        <f t="shared" si="24"/>
        <v>SL.85</v>
      </c>
      <c r="C103" s="10" t="s">
        <v>467</v>
      </c>
      <c r="D103" s="120" t="s">
        <v>96</v>
      </c>
      <c r="E103" s="120"/>
      <c r="F103" s="21" t="s">
        <v>1096</v>
      </c>
      <c r="G103" s="10" t="s">
        <v>465</v>
      </c>
      <c r="H103" s="110" t="s">
        <v>468</v>
      </c>
      <c r="I103" s="10" t="s">
        <v>466</v>
      </c>
      <c r="J103" s="111">
        <v>1</v>
      </c>
      <c r="K103" s="111" t="s">
        <v>265</v>
      </c>
      <c r="L103" s="109">
        <f t="shared" si="16"/>
        <v>85</v>
      </c>
      <c r="M103">
        <f t="shared" si="17"/>
        <v>14</v>
      </c>
      <c r="N103" s="109"/>
      <c r="P103" s="162"/>
      <c r="Q103" s="162">
        <f t="shared" si="18"/>
        <v>0</v>
      </c>
      <c r="R103" s="162">
        <f>IF(J103="","",IF(D103="",0,IF(D103="N/A",3,IF(OR(AND($M$1="Binary",D103="Yes"),AND($M$1="Scaled",D103&gt;Dashboard!$D$12)),1,IF(OR(AND($M$1="Binary",D103="No"),AND($M$1="Scaled",D103&lt;=Dashboard!$D$12)),2,"Oops there is an error")))))</f>
        <v>2</v>
      </c>
      <c r="S103" s="162">
        <f t="shared" si="19"/>
        <v>2</v>
      </c>
      <c r="T103" s="162"/>
      <c r="U103" s="162">
        <f t="shared" si="20"/>
        <v>1</v>
      </c>
      <c r="V103" s="162">
        <f t="shared" si="21"/>
        <v>2</v>
      </c>
      <c r="X103">
        <f t="shared" si="22"/>
        <v>2</v>
      </c>
      <c r="Y103">
        <f t="shared" si="23"/>
        <v>1</v>
      </c>
      <c r="Z103" s="110"/>
      <c r="AA103" s="10"/>
      <c r="AB103" s="47"/>
      <c r="AJ103" s="47">
        <v>2</v>
      </c>
    </row>
    <row r="104" spans="1:36" ht="57" x14ac:dyDescent="0.2">
      <c r="A104">
        <v>3877</v>
      </c>
      <c r="B104" s="11" t="str">
        <f t="shared" si="24"/>
        <v>SL.86</v>
      </c>
      <c r="C104" s="10" t="s">
        <v>469</v>
      </c>
      <c r="D104" s="120" t="s">
        <v>96</v>
      </c>
      <c r="E104" s="120"/>
      <c r="F104" s="21" t="s">
        <v>1097</v>
      </c>
      <c r="G104" s="10"/>
      <c r="H104" s="110"/>
      <c r="I104" s="10"/>
      <c r="J104" s="111">
        <v>1</v>
      </c>
      <c r="K104" s="111" t="s">
        <v>265</v>
      </c>
      <c r="L104" s="109">
        <f t="shared" si="16"/>
        <v>86</v>
      </c>
      <c r="M104">
        <f t="shared" si="17"/>
        <v>14</v>
      </c>
      <c r="N104" s="109"/>
      <c r="P104" s="162"/>
      <c r="Q104" s="162">
        <f t="shared" si="18"/>
        <v>0</v>
      </c>
      <c r="R104" s="162">
        <f>IF(J104="","",IF(D104="",0,IF(D104="N/A",3,IF(OR(AND($M$1="Binary",D104="Yes"),AND($M$1="Scaled",D104&gt;Dashboard!$D$12)),1,IF(OR(AND($M$1="Binary",D104="No"),AND($M$1="Scaled",D104&lt;=Dashboard!$D$12)),2,"Oops there is an error")))))</f>
        <v>2</v>
      </c>
      <c r="S104" s="162">
        <f t="shared" si="19"/>
        <v>2</v>
      </c>
      <c r="T104" s="162"/>
      <c r="U104" s="162">
        <f t="shared" si="20"/>
        <v>1</v>
      </c>
      <c r="V104" s="162">
        <f t="shared" si="21"/>
        <v>2</v>
      </c>
      <c r="X104">
        <f t="shared" si="22"/>
        <v>2</v>
      </c>
      <c r="Y104">
        <f t="shared" si="23"/>
        <v>1</v>
      </c>
      <c r="Z104" s="110"/>
      <c r="AA104" s="10"/>
      <c r="AB104" s="47"/>
      <c r="AJ104" s="47">
        <v>2</v>
      </c>
    </row>
    <row r="105" spans="1:36" ht="85.5" x14ac:dyDescent="0.2">
      <c r="A105" s="162">
        <v>3724</v>
      </c>
      <c r="B105" s="11" t="str">
        <f t="shared" si="24"/>
        <v>SL.87</v>
      </c>
      <c r="C105" s="10" t="s">
        <v>470</v>
      </c>
      <c r="D105" s="120" t="s">
        <v>93</v>
      </c>
      <c r="E105" s="120"/>
      <c r="F105" s="21" t="s">
        <v>1098</v>
      </c>
      <c r="G105" s="10" t="s">
        <v>465</v>
      </c>
      <c r="H105" s="110" t="s">
        <v>471</v>
      </c>
      <c r="I105" s="10" t="s">
        <v>472</v>
      </c>
      <c r="J105" s="111">
        <v>1</v>
      </c>
      <c r="K105" s="111" t="s">
        <v>265</v>
      </c>
      <c r="L105" s="109">
        <f t="shared" si="16"/>
        <v>87</v>
      </c>
      <c r="M105">
        <f t="shared" si="17"/>
        <v>14</v>
      </c>
      <c r="N105" s="109"/>
      <c r="P105" s="162"/>
      <c r="Q105" s="162">
        <f t="shared" si="18"/>
        <v>0</v>
      </c>
      <c r="R105" s="162">
        <f>IF(J105="","",IF(D105="",0,IF(D105="N/A",3,IF(OR(AND($M$1="Binary",D105="Yes"),AND($M$1="Scaled",D105&gt;Dashboard!$D$12)),1,IF(OR(AND($M$1="Binary",D105="No"),AND($M$1="Scaled",D105&lt;=Dashboard!$D$12)),2,"Oops there is an error")))))</f>
        <v>1</v>
      </c>
      <c r="S105" s="162">
        <f t="shared" si="19"/>
        <v>1</v>
      </c>
      <c r="T105" s="162"/>
      <c r="U105" s="162">
        <f t="shared" si="20"/>
        <v>0</v>
      </c>
      <c r="V105" s="162">
        <f t="shared" si="21"/>
        <v>1</v>
      </c>
      <c r="X105">
        <f t="shared" si="22"/>
        <v>2</v>
      </c>
      <c r="Y105">
        <f t="shared" si="23"/>
        <v>1</v>
      </c>
      <c r="Z105" s="110"/>
      <c r="AA105" s="10"/>
      <c r="AB105" s="47"/>
      <c r="AJ105" s="47"/>
    </row>
    <row r="106" spans="1:36" ht="28.5" x14ac:dyDescent="0.2">
      <c r="A106" s="162">
        <v>3879</v>
      </c>
      <c r="B106" s="11" t="str">
        <f t="shared" si="24"/>
        <v>SL.88</v>
      </c>
      <c r="C106" s="10" t="s">
        <v>473</v>
      </c>
      <c r="D106" s="120" t="s">
        <v>93</v>
      </c>
      <c r="E106" s="120"/>
      <c r="F106" s="21"/>
      <c r="G106" s="10"/>
      <c r="H106" s="110"/>
      <c r="I106" s="10"/>
      <c r="J106" s="111">
        <v>1</v>
      </c>
      <c r="K106" s="111" t="s">
        <v>265</v>
      </c>
      <c r="L106" s="109">
        <f t="shared" si="16"/>
        <v>88</v>
      </c>
      <c r="M106">
        <f t="shared" si="17"/>
        <v>14</v>
      </c>
      <c r="N106" s="109"/>
      <c r="P106" s="162"/>
      <c r="Q106" s="162">
        <f t="shared" si="18"/>
        <v>0</v>
      </c>
      <c r="R106" s="162">
        <f>IF(J106="","",IF(D106="",0,IF(D106="N/A",3,IF(OR(AND($M$1="Binary",D106="Yes"),AND($M$1="Scaled",D106&gt;Dashboard!$D$12)),1,IF(OR(AND($M$1="Binary",D106="No"),AND($M$1="Scaled",D106&lt;=Dashboard!$D$12)),2,"Oops there is an error")))))</f>
        <v>1</v>
      </c>
      <c r="S106" s="162">
        <f t="shared" si="19"/>
        <v>1</v>
      </c>
      <c r="T106" s="162"/>
      <c r="U106" s="162">
        <f t="shared" si="20"/>
        <v>0</v>
      </c>
      <c r="V106" s="162">
        <f t="shared" si="21"/>
        <v>1</v>
      </c>
      <c r="X106">
        <f t="shared" si="22"/>
        <v>2</v>
      </c>
      <c r="Y106">
        <f t="shared" si="23"/>
        <v>1</v>
      </c>
      <c r="Z106" s="110"/>
      <c r="AA106" s="10"/>
      <c r="AB106" s="47"/>
      <c r="AJ106" s="47"/>
    </row>
    <row r="107" spans="1:36" ht="42.75" x14ac:dyDescent="0.2">
      <c r="A107" s="162">
        <v>3729</v>
      </c>
      <c r="B107" s="11" t="str">
        <f t="shared" si="24"/>
        <v>SL.89</v>
      </c>
      <c r="C107" s="10" t="s">
        <v>474</v>
      </c>
      <c r="D107" s="120" t="s">
        <v>96</v>
      </c>
      <c r="E107" s="120"/>
      <c r="F107" s="21"/>
      <c r="G107" s="10"/>
      <c r="H107" s="110"/>
      <c r="I107" s="10"/>
      <c r="J107" s="111">
        <v>1</v>
      </c>
      <c r="K107" s="111" t="s">
        <v>265</v>
      </c>
      <c r="L107" s="109">
        <f t="shared" si="16"/>
        <v>89</v>
      </c>
      <c r="M107">
        <f t="shared" si="17"/>
        <v>14</v>
      </c>
      <c r="N107" s="109"/>
      <c r="P107" s="162"/>
      <c r="Q107" s="162">
        <f t="shared" si="18"/>
        <v>0</v>
      </c>
      <c r="R107" s="162">
        <f>IF(J107="","",IF(D107="",0,IF(D107="N/A",3,IF(OR(AND($M$1="Binary",D107="Yes"),AND($M$1="Scaled",D107&gt;Dashboard!$D$12)),1,IF(OR(AND($M$1="Binary",D107="No"),AND($M$1="Scaled",D107&lt;=Dashboard!$D$12)),2,"Oops there is an error")))))</f>
        <v>2</v>
      </c>
      <c r="S107" s="162">
        <f t="shared" si="19"/>
        <v>2</v>
      </c>
      <c r="T107" s="162"/>
      <c r="U107" s="162">
        <f t="shared" si="20"/>
        <v>1</v>
      </c>
      <c r="V107" s="162">
        <f t="shared" si="21"/>
        <v>2</v>
      </c>
      <c r="X107">
        <f t="shared" si="22"/>
        <v>2</v>
      </c>
      <c r="Y107">
        <f t="shared" si="23"/>
        <v>1</v>
      </c>
      <c r="Z107" s="110"/>
      <c r="AA107" s="10"/>
      <c r="AB107" s="47"/>
      <c r="AJ107" s="47">
        <v>2</v>
      </c>
    </row>
    <row r="108" spans="1:36" ht="42.75" x14ac:dyDescent="0.2">
      <c r="A108" s="162">
        <v>3739</v>
      </c>
      <c r="B108" s="11" t="str">
        <f t="shared" si="24"/>
        <v>SL.90</v>
      </c>
      <c r="C108" s="10" t="s">
        <v>475</v>
      </c>
      <c r="D108" s="120" t="s">
        <v>96</v>
      </c>
      <c r="E108" s="120"/>
      <c r="F108" s="21"/>
      <c r="G108" s="10"/>
      <c r="H108" s="110"/>
      <c r="I108" s="10"/>
      <c r="J108" s="111">
        <v>1</v>
      </c>
      <c r="K108" s="111" t="s">
        <v>265</v>
      </c>
      <c r="L108" s="109">
        <f t="shared" si="16"/>
        <v>90</v>
      </c>
      <c r="M108">
        <f t="shared" si="17"/>
        <v>14</v>
      </c>
      <c r="N108" s="109"/>
      <c r="P108" s="162"/>
      <c r="Q108" s="162">
        <f t="shared" si="18"/>
        <v>0</v>
      </c>
      <c r="R108" s="162">
        <f>IF(J108="","",IF(D108="",0,IF(D108="N/A",3,IF(OR(AND($M$1="Binary",D108="Yes"),AND($M$1="Scaled",D108&gt;Dashboard!$D$12)),1,IF(OR(AND($M$1="Binary",D108="No"),AND($M$1="Scaled",D108&lt;=Dashboard!$D$12)),2,"Oops there is an error")))))</f>
        <v>2</v>
      </c>
      <c r="S108" s="162">
        <f t="shared" si="19"/>
        <v>2</v>
      </c>
      <c r="T108" s="162"/>
      <c r="U108" s="162">
        <f t="shared" si="20"/>
        <v>1</v>
      </c>
      <c r="V108" s="162">
        <f t="shared" si="21"/>
        <v>2</v>
      </c>
      <c r="X108">
        <f t="shared" si="22"/>
        <v>2</v>
      </c>
      <c r="Y108">
        <f t="shared" si="23"/>
        <v>1</v>
      </c>
      <c r="Z108" s="110"/>
      <c r="AA108" s="10"/>
      <c r="AJ108" s="47">
        <v>2</v>
      </c>
    </row>
    <row r="109" spans="1:36" ht="15" x14ac:dyDescent="0.25">
      <c r="A109" s="162"/>
      <c r="B109" s="9" t="str">
        <f t="shared" si="24"/>
        <v/>
      </c>
      <c r="C109" s="16" t="s">
        <v>476</v>
      </c>
      <c r="D109" s="142"/>
      <c r="E109" s="142"/>
      <c r="F109" s="142"/>
      <c r="G109" s="15"/>
      <c r="H109" s="33"/>
      <c r="I109" s="13"/>
      <c r="J109" s="111"/>
      <c r="K109" s="111">
        <v>1</v>
      </c>
      <c r="L109" s="109">
        <f t="shared" si="16"/>
        <v>90</v>
      </c>
      <c r="M109">
        <f t="shared" si="17"/>
        <v>15</v>
      </c>
      <c r="N109" s="109"/>
      <c r="P109" s="162"/>
      <c r="Q109" s="162">
        <f t="shared" si="18"/>
        <v>0</v>
      </c>
      <c r="R109" s="162" t="str">
        <f>IF(J109="","",IF(D109="",0,IF(D109="N/A",3,IF(OR(AND($M$1="Binary",D109="Yes"),AND($M$1="Scaled",D109&gt;Dashboard!$D$12)),1,IF(OR(AND($M$1="Binary",D109="No"),AND($M$1="Scaled",D109&lt;=Dashboard!$D$12)),2,"Oops there is an error")))))</f>
        <v/>
      </c>
      <c r="S109" s="162" t="str">
        <f t="shared" si="19"/>
        <v/>
      </c>
      <c r="T109" s="162"/>
      <c r="U109" s="162">
        <f t="shared" si="20"/>
        <v>1</v>
      </c>
      <c r="V109" s="162" t="str">
        <f t="shared" si="21"/>
        <v/>
      </c>
      <c r="X109">
        <f t="shared" si="22"/>
        <v>1</v>
      </c>
      <c r="Y109">
        <f t="shared" si="23"/>
        <v>1</v>
      </c>
      <c r="Z109" s="33"/>
      <c r="AA109" s="13"/>
      <c r="AB109" s="47"/>
      <c r="AJ109" s="47"/>
    </row>
    <row r="110" spans="1:36" ht="28.5" x14ac:dyDescent="0.2">
      <c r="A110">
        <v>3919</v>
      </c>
      <c r="B110" s="11" t="str">
        <f t="shared" si="24"/>
        <v>SL.91</v>
      </c>
      <c r="C110" s="10" t="s">
        <v>477</v>
      </c>
      <c r="D110" s="120" t="s">
        <v>93</v>
      </c>
      <c r="E110" s="4"/>
      <c r="F110" s="21"/>
      <c r="G110" s="10" t="s">
        <v>476</v>
      </c>
      <c r="H110" s="110" t="s">
        <v>89</v>
      </c>
      <c r="I110" s="10"/>
      <c r="J110" s="111">
        <v>1</v>
      </c>
      <c r="K110" s="111" t="s">
        <v>270</v>
      </c>
      <c r="L110" s="109">
        <f t="shared" si="16"/>
        <v>91</v>
      </c>
      <c r="M110">
        <f t="shared" si="17"/>
        <v>15</v>
      </c>
      <c r="N110" s="109"/>
      <c r="P110" s="162"/>
      <c r="Q110" s="162">
        <f t="shared" si="18"/>
        <v>1</v>
      </c>
      <c r="R110" s="162">
        <f>IF(J110="","",IF(D110="",0,IF(D110="N/A",3,IF(OR(AND($M$1="Binary",D110="Yes"),AND($M$1="Scaled",D110&gt;Dashboard!$D$12)),1,IF(OR(AND($M$1="Binary",D110="No"),AND($M$1="Scaled",D110&lt;=Dashboard!$D$12)),2,"Oops there is an error")))))</f>
        <v>1</v>
      </c>
      <c r="S110" s="162">
        <f t="shared" si="19"/>
        <v>1</v>
      </c>
      <c r="T110" s="162"/>
      <c r="U110" s="162">
        <f t="shared" si="20"/>
        <v>0</v>
      </c>
      <c r="V110" s="162">
        <f t="shared" si="21"/>
        <v>1</v>
      </c>
      <c r="X110">
        <f t="shared" si="22"/>
        <v>2</v>
      </c>
      <c r="Y110">
        <f t="shared" si="23"/>
        <v>1</v>
      </c>
      <c r="Z110" s="110"/>
      <c r="AA110" s="10"/>
      <c r="AB110" s="47"/>
      <c r="AJ110" s="47">
        <v>1</v>
      </c>
    </row>
    <row r="111" spans="1:36" ht="42.75" x14ac:dyDescent="0.2">
      <c r="A111">
        <v>3920</v>
      </c>
      <c r="B111" s="11" t="str">
        <f t="shared" si="24"/>
        <v>SL.92</v>
      </c>
      <c r="C111" s="10" t="s">
        <v>478</v>
      </c>
      <c r="D111" s="120" t="s">
        <v>93</v>
      </c>
      <c r="E111" s="120"/>
      <c r="F111" s="21"/>
      <c r="G111" s="10" t="s">
        <v>479</v>
      </c>
      <c r="H111" s="110" t="s">
        <v>353</v>
      </c>
      <c r="I111" s="10" t="s">
        <v>350</v>
      </c>
      <c r="J111" s="111">
        <v>2</v>
      </c>
      <c r="K111" s="111" t="s">
        <v>270</v>
      </c>
      <c r="L111" s="109">
        <f t="shared" si="16"/>
        <v>92</v>
      </c>
      <c r="M111">
        <f t="shared" si="17"/>
        <v>15</v>
      </c>
      <c r="N111" s="109"/>
      <c r="P111" s="162"/>
      <c r="Q111" s="162">
        <f t="shared" si="18"/>
        <v>0</v>
      </c>
      <c r="R111" s="162">
        <f>IF(J111="","",IF(D111="",0,IF(D111="N/A",3,IF(OR(AND($M$1="Binary",D111="Yes"),AND($M$1="Scaled",D111&gt;Dashboard!$D$12)),1,IF(OR(AND($M$1="Binary",D111="No"),AND($M$1="Scaled",D111&lt;=Dashboard!$D$12)),2,"Oops there is an error")))))</f>
        <v>1</v>
      </c>
      <c r="S111" s="162">
        <f t="shared" si="19"/>
        <v>1</v>
      </c>
      <c r="T111" s="162"/>
      <c r="U111" s="162">
        <f t="shared" si="20"/>
        <v>0</v>
      </c>
      <c r="V111" s="162">
        <f t="shared" si="21"/>
        <v>1</v>
      </c>
      <c r="X111">
        <f t="shared" si="22"/>
        <v>2</v>
      </c>
      <c r="Y111">
        <f t="shared" si="23"/>
        <v>1</v>
      </c>
      <c r="Z111" s="110"/>
      <c r="AA111" s="10"/>
      <c r="AJ111" s="47"/>
    </row>
    <row r="112" spans="1:36" ht="15" x14ac:dyDescent="0.25">
      <c r="A112" s="162"/>
      <c r="B112" s="9" t="str">
        <f t="shared" si="24"/>
        <v/>
      </c>
      <c r="C112" s="16" t="s">
        <v>480</v>
      </c>
      <c r="D112" s="142"/>
      <c r="E112" s="142"/>
      <c r="F112" s="142"/>
      <c r="G112" s="15"/>
      <c r="H112" s="33"/>
      <c r="I112" s="13"/>
      <c r="J112" s="111"/>
      <c r="K112" s="111">
        <v>1</v>
      </c>
      <c r="L112" s="109">
        <f t="shared" si="16"/>
        <v>92</v>
      </c>
      <c r="M112">
        <f t="shared" si="17"/>
        <v>16</v>
      </c>
      <c r="N112" s="109"/>
      <c r="P112" s="162"/>
      <c r="Q112" s="162">
        <f t="shared" si="18"/>
        <v>0</v>
      </c>
      <c r="R112" s="162" t="str">
        <f>IF(J112="","",IF(D112="",0,IF(D112="N/A",3,IF(OR(AND($M$1="Binary",D112="Yes"),AND($M$1="Scaled",D112&gt;Dashboard!$D$12)),1,IF(OR(AND($M$1="Binary",D112="No"),AND($M$1="Scaled",D112&lt;=Dashboard!$D$12)),2,"Oops there is an error")))))</f>
        <v/>
      </c>
      <c r="S112" s="162" t="str">
        <f t="shared" si="19"/>
        <v/>
      </c>
      <c r="T112" s="162"/>
      <c r="U112" s="162">
        <f t="shared" si="20"/>
        <v>0</v>
      </c>
      <c r="V112" s="162" t="str">
        <f t="shared" si="21"/>
        <v/>
      </c>
      <c r="X112">
        <f t="shared" si="22"/>
        <v>1</v>
      </c>
      <c r="Y112">
        <f t="shared" si="23"/>
        <v>1</v>
      </c>
      <c r="Z112" s="33"/>
      <c r="AA112" s="13"/>
      <c r="AB112" s="47"/>
      <c r="AJ112" s="47"/>
    </row>
    <row r="113" spans="1:36" ht="42.75" x14ac:dyDescent="0.2">
      <c r="A113" s="162">
        <v>3304</v>
      </c>
      <c r="B113" s="11" t="str">
        <f t="shared" si="24"/>
        <v>SL.93</v>
      </c>
      <c r="C113" s="10" t="s">
        <v>481</v>
      </c>
      <c r="D113" s="120" t="s">
        <v>93</v>
      </c>
      <c r="E113" s="120"/>
      <c r="F113" s="21"/>
      <c r="G113" s="10" t="s">
        <v>482</v>
      </c>
      <c r="H113" s="110">
        <v>4.3</v>
      </c>
      <c r="I113" s="10" t="s">
        <v>483</v>
      </c>
      <c r="J113" s="111">
        <v>1</v>
      </c>
      <c r="K113" s="111" t="s">
        <v>274</v>
      </c>
      <c r="L113" s="109">
        <f t="shared" si="16"/>
        <v>93</v>
      </c>
      <c r="M113">
        <f t="shared" si="17"/>
        <v>16</v>
      </c>
      <c r="N113" s="109"/>
      <c r="P113" s="162"/>
      <c r="Q113" s="162">
        <f t="shared" si="18"/>
        <v>0</v>
      </c>
      <c r="R113" s="162">
        <f>IF(J113="","",IF(D113="",0,IF(D113="N/A",3,IF(OR(AND($M$1="Binary",D113="Yes"),AND($M$1="Scaled",D113&gt;Dashboard!$D$12)),1,IF(OR(AND($M$1="Binary",D113="No"),AND($M$1="Scaled",D113&lt;=Dashboard!$D$12)),2,"Oops there is an error")))))</f>
        <v>1</v>
      </c>
      <c r="S113" s="162">
        <f t="shared" si="19"/>
        <v>1</v>
      </c>
      <c r="T113" s="162"/>
      <c r="U113" s="162">
        <f t="shared" si="20"/>
        <v>0</v>
      </c>
      <c r="V113" s="162">
        <f t="shared" si="21"/>
        <v>1</v>
      </c>
      <c r="X113">
        <f t="shared" si="22"/>
        <v>2</v>
      </c>
      <c r="Y113">
        <f t="shared" si="23"/>
        <v>1</v>
      </c>
      <c r="Z113" s="110"/>
      <c r="AA113" s="10"/>
      <c r="AB113" s="47"/>
      <c r="AJ113" s="47"/>
    </row>
    <row r="114" spans="1:36" ht="28.5" x14ac:dyDescent="0.2">
      <c r="A114" s="162">
        <v>3305</v>
      </c>
      <c r="B114" s="11" t="str">
        <f t="shared" si="24"/>
        <v>SL.94</v>
      </c>
      <c r="C114" s="113" t="s">
        <v>484</v>
      </c>
      <c r="D114" s="120" t="s">
        <v>93</v>
      </c>
      <c r="E114" s="4"/>
      <c r="F114" s="21"/>
      <c r="G114" s="10" t="s">
        <v>482</v>
      </c>
      <c r="H114" s="110" t="s">
        <v>89</v>
      </c>
      <c r="I114" s="10"/>
      <c r="J114" s="111">
        <v>2</v>
      </c>
      <c r="K114" s="111" t="s">
        <v>274</v>
      </c>
      <c r="L114" s="109">
        <f t="shared" si="16"/>
        <v>94</v>
      </c>
      <c r="M114">
        <f t="shared" si="17"/>
        <v>16</v>
      </c>
      <c r="N114" s="109"/>
      <c r="P114" s="162"/>
      <c r="Q114" s="162">
        <f t="shared" si="18"/>
        <v>0</v>
      </c>
      <c r="R114" s="162">
        <f>IF(J114="","",IF(D114="",0,IF(D114="N/A",3,IF(OR(AND($M$1="Binary",D114="Yes"),AND($M$1="Scaled",D114&gt;Dashboard!$D$12)),1,IF(OR(AND($M$1="Binary",D114="No"),AND($M$1="Scaled",D114&lt;=Dashboard!$D$12)),2,"Oops there is an error")))))</f>
        <v>1</v>
      </c>
      <c r="S114" s="162">
        <f t="shared" si="19"/>
        <v>1</v>
      </c>
      <c r="T114" s="162"/>
      <c r="U114" s="162">
        <f t="shared" si="20"/>
        <v>0</v>
      </c>
      <c r="V114" s="162">
        <f t="shared" si="21"/>
        <v>1</v>
      </c>
      <c r="X114">
        <f t="shared" si="22"/>
        <v>2</v>
      </c>
      <c r="Y114">
        <f t="shared" si="23"/>
        <v>1</v>
      </c>
      <c r="Z114" s="110"/>
      <c r="AA114" s="10"/>
      <c r="AB114" s="47"/>
      <c r="AJ114" s="47">
        <v>1</v>
      </c>
    </row>
    <row r="115" spans="1:36" ht="28.5" x14ac:dyDescent="0.2">
      <c r="A115" s="162">
        <v>3306</v>
      </c>
      <c r="B115" s="11" t="str">
        <f t="shared" si="24"/>
        <v>SL.95</v>
      </c>
      <c r="C115" s="113" t="s">
        <v>485</v>
      </c>
      <c r="D115" s="120" t="s">
        <v>96</v>
      </c>
      <c r="E115" s="4"/>
      <c r="F115" s="21"/>
      <c r="G115" s="10" t="s">
        <v>482</v>
      </c>
      <c r="H115" s="110" t="s">
        <v>89</v>
      </c>
      <c r="I115" s="10"/>
      <c r="J115" s="111">
        <v>2</v>
      </c>
      <c r="K115" s="111" t="s">
        <v>274</v>
      </c>
      <c r="L115" s="109">
        <f t="shared" si="16"/>
        <v>95</v>
      </c>
      <c r="M115">
        <f t="shared" si="17"/>
        <v>16</v>
      </c>
      <c r="N115" s="109"/>
      <c r="P115" s="162"/>
      <c r="Q115" s="162">
        <f t="shared" si="18"/>
        <v>0</v>
      </c>
      <c r="R115" s="162">
        <f>IF(J115="","",IF(D115="",0,IF(D115="N/A",3,IF(OR(AND($M$1="Binary",D115="Yes"),AND($M$1="Scaled",D115&gt;Dashboard!$D$12)),1,IF(OR(AND($M$1="Binary",D115="No"),AND($M$1="Scaled",D115&lt;=Dashboard!$D$12)),2,"Oops there is an error")))))</f>
        <v>2</v>
      </c>
      <c r="S115" s="162">
        <f t="shared" si="19"/>
        <v>2</v>
      </c>
      <c r="T115" s="162"/>
      <c r="U115" s="162">
        <f t="shared" si="20"/>
        <v>2</v>
      </c>
      <c r="V115" s="162">
        <f t="shared" si="21"/>
        <v>2</v>
      </c>
      <c r="X115">
        <f t="shared" si="22"/>
        <v>2</v>
      </c>
      <c r="Y115">
        <f t="shared" si="23"/>
        <v>1</v>
      </c>
      <c r="Z115" s="110"/>
      <c r="AA115" s="10"/>
      <c r="AB115" s="47"/>
      <c r="AJ115" s="47">
        <v>1</v>
      </c>
    </row>
    <row r="116" spans="1:36" ht="28.5" x14ac:dyDescent="0.2">
      <c r="A116" s="162">
        <v>3307</v>
      </c>
      <c r="B116" s="11" t="str">
        <f t="shared" si="24"/>
        <v>SL.96</v>
      </c>
      <c r="C116" s="113" t="s">
        <v>486</v>
      </c>
      <c r="D116" s="120" t="s">
        <v>96</v>
      </c>
      <c r="E116" s="4"/>
      <c r="F116" s="21"/>
      <c r="G116" s="10" t="s">
        <v>482</v>
      </c>
      <c r="H116" s="110" t="s">
        <v>89</v>
      </c>
      <c r="I116" s="10"/>
      <c r="J116" s="111">
        <v>2</v>
      </c>
      <c r="K116" s="111" t="s">
        <v>274</v>
      </c>
      <c r="L116" s="109">
        <f t="shared" si="16"/>
        <v>96</v>
      </c>
      <c r="M116">
        <f t="shared" si="17"/>
        <v>16</v>
      </c>
      <c r="N116" s="109"/>
      <c r="P116" s="162"/>
      <c r="Q116" s="162">
        <f t="shared" si="18"/>
        <v>0</v>
      </c>
      <c r="R116" s="162">
        <f>IF(J116="","",IF(D116="",0,IF(D116="N/A",3,IF(OR(AND($M$1="Binary",D116="Yes"),AND($M$1="Scaled",D116&gt;Dashboard!$D$12)),1,IF(OR(AND($M$1="Binary",D116="No"),AND($M$1="Scaled",D116&lt;=Dashboard!$D$12)),2,"Oops there is an error")))))</f>
        <v>2</v>
      </c>
      <c r="S116" s="162">
        <f t="shared" si="19"/>
        <v>2</v>
      </c>
      <c r="T116" s="162"/>
      <c r="U116" s="162">
        <f t="shared" si="20"/>
        <v>2</v>
      </c>
      <c r="V116" s="162">
        <f t="shared" si="21"/>
        <v>2</v>
      </c>
      <c r="X116">
        <f t="shared" si="22"/>
        <v>2</v>
      </c>
      <c r="Y116">
        <f t="shared" si="23"/>
        <v>1</v>
      </c>
      <c r="Z116" s="110"/>
      <c r="AA116" s="10"/>
      <c r="AB116" s="47"/>
      <c r="AJ116" s="47">
        <v>1</v>
      </c>
    </row>
    <row r="117" spans="1:36" ht="28.5" x14ac:dyDescent="0.2">
      <c r="A117" s="162">
        <v>3309</v>
      </c>
      <c r="B117" s="11" t="str">
        <f t="shared" si="24"/>
        <v>SL.97</v>
      </c>
      <c r="C117" s="113" t="s">
        <v>487</v>
      </c>
      <c r="D117" s="120" t="s">
        <v>96</v>
      </c>
      <c r="E117" s="4"/>
      <c r="F117" s="21"/>
      <c r="G117" s="10" t="s">
        <v>482</v>
      </c>
      <c r="H117" s="110" t="s">
        <v>89</v>
      </c>
      <c r="I117" s="10"/>
      <c r="J117" s="111">
        <v>2</v>
      </c>
      <c r="K117" s="111" t="s">
        <v>274</v>
      </c>
      <c r="L117" s="109">
        <f t="shared" si="16"/>
        <v>97</v>
      </c>
      <c r="M117">
        <f t="shared" si="17"/>
        <v>16</v>
      </c>
      <c r="N117" s="109"/>
      <c r="P117" s="162"/>
      <c r="Q117" s="162">
        <f t="shared" si="18"/>
        <v>0</v>
      </c>
      <c r="R117" s="162">
        <f>IF(J117="","",IF(D117="",0,IF(D117="N/A",3,IF(OR(AND($M$1="Binary",D117="Yes"),AND($M$1="Scaled",D117&gt;Dashboard!$D$12)),1,IF(OR(AND($M$1="Binary",D117="No"),AND($M$1="Scaled",D117&lt;=Dashboard!$D$12)),2,"Oops there is an error")))))</f>
        <v>2</v>
      </c>
      <c r="S117" s="162">
        <f t="shared" si="19"/>
        <v>2</v>
      </c>
      <c r="T117" s="162"/>
      <c r="U117" s="162">
        <f t="shared" si="20"/>
        <v>2</v>
      </c>
      <c r="V117" s="162">
        <f t="shared" si="21"/>
        <v>2</v>
      </c>
      <c r="X117">
        <f t="shared" si="22"/>
        <v>2</v>
      </c>
      <c r="Y117">
        <f t="shared" si="23"/>
        <v>1</v>
      </c>
      <c r="Z117" s="110"/>
      <c r="AA117" s="10"/>
      <c r="AB117" s="47"/>
      <c r="AJ117" s="47">
        <v>1</v>
      </c>
    </row>
    <row r="118" spans="1:36" ht="28.5" x14ac:dyDescent="0.2">
      <c r="A118" s="162">
        <v>3310</v>
      </c>
      <c r="B118" s="11" t="str">
        <f t="shared" si="24"/>
        <v>SL.98</v>
      </c>
      <c r="C118" s="113" t="s">
        <v>488</v>
      </c>
      <c r="D118" s="120" t="s">
        <v>93</v>
      </c>
      <c r="E118" s="4"/>
      <c r="F118" s="21"/>
      <c r="G118" s="10" t="s">
        <v>482</v>
      </c>
      <c r="H118" s="110" t="s">
        <v>89</v>
      </c>
      <c r="I118" s="10"/>
      <c r="J118" s="111">
        <v>2</v>
      </c>
      <c r="K118" s="111" t="s">
        <v>274</v>
      </c>
      <c r="L118" s="109">
        <f t="shared" si="16"/>
        <v>98</v>
      </c>
      <c r="M118">
        <f t="shared" si="17"/>
        <v>16</v>
      </c>
      <c r="N118" s="109"/>
      <c r="P118" s="162"/>
      <c r="Q118" s="162">
        <f t="shared" si="18"/>
        <v>0</v>
      </c>
      <c r="R118" s="162">
        <f>IF(J118="","",IF(D118="",0,IF(D118="N/A",3,IF(OR(AND($M$1="Binary",D118="Yes"),AND($M$1="Scaled",D118&gt;Dashboard!$D$12)),1,IF(OR(AND($M$1="Binary",D118="No"),AND($M$1="Scaled",D118&lt;=Dashboard!$D$12)),2,"Oops there is an error")))))</f>
        <v>1</v>
      </c>
      <c r="S118" s="162">
        <f t="shared" si="19"/>
        <v>1</v>
      </c>
      <c r="T118" s="162"/>
      <c r="U118" s="162">
        <f t="shared" si="20"/>
        <v>0</v>
      </c>
      <c r="V118" s="162">
        <f t="shared" si="21"/>
        <v>1</v>
      </c>
      <c r="X118">
        <f t="shared" si="22"/>
        <v>2</v>
      </c>
      <c r="Y118">
        <f t="shared" si="23"/>
        <v>1</v>
      </c>
      <c r="Z118" s="110"/>
      <c r="AA118" s="10"/>
      <c r="AB118" s="47"/>
      <c r="AJ118" s="47">
        <v>1</v>
      </c>
    </row>
    <row r="119" spans="1:36" ht="28.5" x14ac:dyDescent="0.2">
      <c r="A119" s="162">
        <v>3311</v>
      </c>
      <c r="B119" s="11" t="str">
        <f t="shared" si="24"/>
        <v>SL.99</v>
      </c>
      <c r="C119" s="113" t="s">
        <v>489</v>
      </c>
      <c r="D119" s="120" t="s">
        <v>96</v>
      </c>
      <c r="E119" s="4"/>
      <c r="F119" s="21"/>
      <c r="G119" s="10" t="s">
        <v>482</v>
      </c>
      <c r="H119" s="110" t="s">
        <v>89</v>
      </c>
      <c r="I119" s="10"/>
      <c r="J119" s="111">
        <v>2</v>
      </c>
      <c r="K119" s="111" t="s">
        <v>274</v>
      </c>
      <c r="L119" s="109">
        <f t="shared" si="16"/>
        <v>99</v>
      </c>
      <c r="M119">
        <f t="shared" si="17"/>
        <v>16</v>
      </c>
      <c r="N119" s="109"/>
      <c r="P119" s="162"/>
      <c r="Q119" s="162">
        <f t="shared" si="18"/>
        <v>0</v>
      </c>
      <c r="R119" s="162">
        <f>IF(J119="","",IF(D119="",0,IF(D119="N/A",3,IF(OR(AND($M$1="Binary",D119="Yes"),AND($M$1="Scaled",D119&gt;Dashboard!$D$12)),1,IF(OR(AND($M$1="Binary",D119="No"),AND($M$1="Scaled",D119&lt;=Dashboard!$D$12)),2,"Oops there is an error")))))</f>
        <v>2</v>
      </c>
      <c r="S119" s="162">
        <f t="shared" si="19"/>
        <v>2</v>
      </c>
      <c r="T119" s="162"/>
      <c r="U119" s="162">
        <f t="shared" si="20"/>
        <v>2</v>
      </c>
      <c r="V119" s="162">
        <f t="shared" si="21"/>
        <v>2</v>
      </c>
      <c r="X119">
        <f t="shared" si="22"/>
        <v>2</v>
      </c>
      <c r="Y119">
        <f t="shared" si="23"/>
        <v>1</v>
      </c>
      <c r="Z119" s="110"/>
      <c r="AA119" s="10"/>
      <c r="AB119" s="47"/>
      <c r="AJ119" s="47">
        <v>1</v>
      </c>
    </row>
    <row r="120" spans="1:36" ht="28.5" x14ac:dyDescent="0.2">
      <c r="A120" s="162">
        <v>3312</v>
      </c>
      <c r="B120" s="11" t="str">
        <f t="shared" si="24"/>
        <v>SL.100</v>
      </c>
      <c r="C120" s="113" t="s">
        <v>490</v>
      </c>
      <c r="D120" s="120" t="s">
        <v>96</v>
      </c>
      <c r="E120" s="4"/>
      <c r="F120" s="21"/>
      <c r="G120" s="10" t="s">
        <v>482</v>
      </c>
      <c r="H120" s="110" t="s">
        <v>89</v>
      </c>
      <c r="I120" s="10"/>
      <c r="J120" s="111">
        <v>2</v>
      </c>
      <c r="K120" s="111" t="s">
        <v>274</v>
      </c>
      <c r="L120" s="109">
        <f t="shared" si="16"/>
        <v>100</v>
      </c>
      <c r="M120">
        <f t="shared" si="17"/>
        <v>16</v>
      </c>
      <c r="N120" s="109"/>
      <c r="P120" s="162"/>
      <c r="Q120" s="162">
        <f t="shared" si="18"/>
        <v>0</v>
      </c>
      <c r="R120" s="162">
        <f>IF(J120="","",IF(D120="",0,IF(D120="N/A",3,IF(OR(AND($M$1="Binary",D120="Yes"),AND($M$1="Scaled",D120&gt;Dashboard!$D$12)),1,IF(OR(AND($M$1="Binary",D120="No"),AND($M$1="Scaled",D120&lt;=Dashboard!$D$12)),2,"Oops there is an error")))))</f>
        <v>2</v>
      </c>
      <c r="S120" s="162">
        <f t="shared" si="19"/>
        <v>2</v>
      </c>
      <c r="T120" s="162"/>
      <c r="U120" s="162">
        <f t="shared" si="20"/>
        <v>2</v>
      </c>
      <c r="V120" s="162">
        <f t="shared" si="21"/>
        <v>2</v>
      </c>
      <c r="X120">
        <f t="shared" si="22"/>
        <v>2</v>
      </c>
      <c r="Y120">
        <f t="shared" si="23"/>
        <v>1</v>
      </c>
      <c r="Z120" s="110"/>
      <c r="AA120" s="10"/>
      <c r="AB120" s="47"/>
      <c r="AJ120" s="47">
        <v>1</v>
      </c>
    </row>
    <row r="121" spans="1:36" ht="28.5" x14ac:dyDescent="0.2">
      <c r="A121" s="162">
        <v>3330</v>
      </c>
      <c r="B121" s="11" t="str">
        <f t="shared" si="24"/>
        <v>SL.101</v>
      </c>
      <c r="C121" s="113" t="s">
        <v>491</v>
      </c>
      <c r="D121" s="120" t="s">
        <v>96</v>
      </c>
      <c r="E121" s="120"/>
      <c r="F121" s="21"/>
      <c r="G121" s="10" t="s">
        <v>432</v>
      </c>
      <c r="H121" s="110" t="s">
        <v>492</v>
      </c>
      <c r="I121" s="10" t="s">
        <v>461</v>
      </c>
      <c r="J121" s="111">
        <v>2</v>
      </c>
      <c r="K121" s="111" t="s">
        <v>274</v>
      </c>
      <c r="L121" s="109">
        <f t="shared" si="16"/>
        <v>101</v>
      </c>
      <c r="M121">
        <f t="shared" si="17"/>
        <v>16</v>
      </c>
      <c r="N121" s="109"/>
      <c r="P121" s="162"/>
      <c r="Q121" s="162">
        <f t="shared" si="18"/>
        <v>0</v>
      </c>
      <c r="R121" s="162">
        <f>IF(J121="","",IF(D121="",0,IF(D121="N/A",3,IF(OR(AND($M$1="Binary",D121="Yes"),AND($M$1="Scaled",D121&gt;Dashboard!$D$12)),1,IF(OR(AND($M$1="Binary",D121="No"),AND($M$1="Scaled",D121&lt;=Dashboard!$D$12)),2,"Oops there is an error")))))</f>
        <v>2</v>
      </c>
      <c r="S121" s="162">
        <f t="shared" si="19"/>
        <v>2</v>
      </c>
      <c r="T121" s="162"/>
      <c r="U121" s="162">
        <f t="shared" si="20"/>
        <v>2</v>
      </c>
      <c r="V121" s="162">
        <f t="shared" si="21"/>
        <v>2</v>
      </c>
      <c r="X121">
        <f t="shared" si="22"/>
        <v>2</v>
      </c>
      <c r="Y121">
        <f t="shared" si="23"/>
        <v>1</v>
      </c>
      <c r="Z121" s="110"/>
      <c r="AA121" s="10"/>
      <c r="AB121" s="47"/>
      <c r="AJ121" s="47">
        <v>2</v>
      </c>
    </row>
    <row r="122" spans="1:36" ht="128.25" x14ac:dyDescent="0.2">
      <c r="A122" s="162">
        <v>3339</v>
      </c>
      <c r="B122" s="11" t="str">
        <f t="shared" si="24"/>
        <v>SL.102</v>
      </c>
      <c r="C122" s="113" t="s">
        <v>493</v>
      </c>
      <c r="D122" s="120" t="s">
        <v>93</v>
      </c>
      <c r="E122" s="120"/>
      <c r="F122" s="21" t="s">
        <v>1109</v>
      </c>
      <c r="G122" s="10" t="s">
        <v>482</v>
      </c>
      <c r="H122" s="110" t="s">
        <v>494</v>
      </c>
      <c r="I122" s="10" t="s">
        <v>495</v>
      </c>
      <c r="J122" s="111">
        <v>2</v>
      </c>
      <c r="K122" s="111" t="s">
        <v>274</v>
      </c>
      <c r="L122" s="109">
        <f t="shared" si="16"/>
        <v>102</v>
      </c>
      <c r="M122">
        <f t="shared" si="17"/>
        <v>16</v>
      </c>
      <c r="N122" s="109"/>
      <c r="P122" s="162"/>
      <c r="Q122" s="162">
        <f t="shared" si="18"/>
        <v>0</v>
      </c>
      <c r="R122" s="162">
        <f>IF(J122="","",IF(D122="",0,IF(D122="N/A",3,IF(OR(AND($M$1="Binary",D122="Yes"),AND($M$1="Scaled",D122&gt;Dashboard!$D$12)),1,IF(OR(AND($M$1="Binary",D122="No"),AND($M$1="Scaled",D122&lt;=Dashboard!$D$12)),2,"Oops there is an error")))))</f>
        <v>1</v>
      </c>
      <c r="S122" s="162">
        <f t="shared" si="19"/>
        <v>1</v>
      </c>
      <c r="T122" s="162"/>
      <c r="U122" s="162">
        <f t="shared" si="20"/>
        <v>0</v>
      </c>
      <c r="V122" s="162">
        <f t="shared" si="21"/>
        <v>1</v>
      </c>
      <c r="X122">
        <f t="shared" si="22"/>
        <v>2</v>
      </c>
      <c r="Y122">
        <f t="shared" si="23"/>
        <v>1</v>
      </c>
      <c r="Z122" s="110"/>
      <c r="AA122" s="10"/>
      <c r="AB122" s="47"/>
      <c r="AJ122" s="47"/>
    </row>
    <row r="123" spans="1:36" ht="28.5" x14ac:dyDescent="0.2">
      <c r="A123" s="162">
        <v>3346</v>
      </c>
      <c r="B123" s="11" t="str">
        <f t="shared" si="24"/>
        <v>SL.103</v>
      </c>
      <c r="C123" s="113" t="s">
        <v>496</v>
      </c>
      <c r="D123" s="120" t="s">
        <v>96</v>
      </c>
      <c r="E123" s="120"/>
      <c r="F123" s="21"/>
      <c r="G123" s="10" t="s">
        <v>364</v>
      </c>
      <c r="H123" s="110">
        <v>10.1</v>
      </c>
      <c r="I123" s="10" t="s">
        <v>497</v>
      </c>
      <c r="J123" s="111">
        <v>2</v>
      </c>
      <c r="K123" s="111" t="s">
        <v>274</v>
      </c>
      <c r="L123" s="109">
        <f t="shared" si="16"/>
        <v>103</v>
      </c>
      <c r="M123">
        <f t="shared" si="17"/>
        <v>16</v>
      </c>
      <c r="N123" s="109"/>
      <c r="P123" s="162"/>
      <c r="Q123" s="162">
        <f t="shared" si="18"/>
        <v>0</v>
      </c>
      <c r="R123" s="162">
        <f>IF(J123="","",IF(D123="",0,IF(D123="N/A",3,IF(OR(AND($M$1="Binary",D123="Yes"),AND($M$1="Scaled",D123&gt;Dashboard!$D$12)),1,IF(OR(AND($M$1="Binary",D123="No"),AND($M$1="Scaled",D123&lt;=Dashboard!$D$12)),2,"Oops there is an error")))))</f>
        <v>2</v>
      </c>
      <c r="S123" s="162">
        <f t="shared" si="19"/>
        <v>2</v>
      </c>
      <c r="T123" s="162"/>
      <c r="U123" s="162">
        <f t="shared" si="20"/>
        <v>2</v>
      </c>
      <c r="V123" s="162">
        <f t="shared" si="21"/>
        <v>2</v>
      </c>
      <c r="X123">
        <f t="shared" si="22"/>
        <v>2</v>
      </c>
      <c r="Y123">
        <f t="shared" si="23"/>
        <v>1</v>
      </c>
      <c r="Z123" s="110"/>
      <c r="AA123" s="10"/>
      <c r="AB123" s="47"/>
      <c r="AJ123" s="47">
        <v>2</v>
      </c>
    </row>
    <row r="124" spans="1:36" ht="28.5" x14ac:dyDescent="0.2">
      <c r="A124" s="162">
        <v>3353</v>
      </c>
      <c r="B124" s="11" t="str">
        <f t="shared" si="24"/>
        <v>SL.104</v>
      </c>
      <c r="C124" s="113" t="s">
        <v>498</v>
      </c>
      <c r="D124" s="120" t="s">
        <v>96</v>
      </c>
      <c r="E124" s="120"/>
      <c r="F124" s="21"/>
      <c r="G124" s="10" t="s">
        <v>364</v>
      </c>
      <c r="H124" s="110" t="s">
        <v>499</v>
      </c>
      <c r="I124" s="10" t="s">
        <v>500</v>
      </c>
      <c r="J124" s="111">
        <v>2</v>
      </c>
      <c r="K124" s="111" t="s">
        <v>274</v>
      </c>
      <c r="L124" s="109">
        <f t="shared" si="16"/>
        <v>104</v>
      </c>
      <c r="M124">
        <f t="shared" si="17"/>
        <v>16</v>
      </c>
      <c r="N124" s="109"/>
      <c r="P124" s="162"/>
      <c r="Q124" s="162">
        <f t="shared" si="18"/>
        <v>0</v>
      </c>
      <c r="R124" s="162">
        <f>IF(J124="","",IF(D124="",0,IF(D124="N/A",3,IF(OR(AND($M$1="Binary",D124="Yes"),AND($M$1="Scaled",D124&gt;Dashboard!$D$12)),1,IF(OR(AND($M$1="Binary",D124="No"),AND($M$1="Scaled",D124&lt;=Dashboard!$D$12)),2,"Oops there is an error")))))</f>
        <v>2</v>
      </c>
      <c r="S124" s="162">
        <f t="shared" si="19"/>
        <v>2</v>
      </c>
      <c r="T124" s="162"/>
      <c r="U124" s="162">
        <f t="shared" si="20"/>
        <v>2</v>
      </c>
      <c r="V124" s="162">
        <f t="shared" si="21"/>
        <v>2</v>
      </c>
      <c r="X124">
        <f t="shared" si="22"/>
        <v>2</v>
      </c>
      <c r="Y124">
        <f t="shared" si="23"/>
        <v>1</v>
      </c>
      <c r="Z124" s="110"/>
      <c r="AA124" s="10"/>
      <c r="AB124" s="47"/>
      <c r="AJ124" s="47">
        <v>2</v>
      </c>
    </row>
    <row r="125" spans="1:36" ht="28.5" x14ac:dyDescent="0.2">
      <c r="A125" s="162">
        <v>3354</v>
      </c>
      <c r="B125" s="11" t="str">
        <f t="shared" si="24"/>
        <v>SL.105</v>
      </c>
      <c r="C125" s="113" t="s">
        <v>501</v>
      </c>
      <c r="D125" s="120" t="s">
        <v>96</v>
      </c>
      <c r="E125" s="120"/>
      <c r="F125" s="21"/>
      <c r="G125" s="10" t="s">
        <v>364</v>
      </c>
      <c r="H125" s="110" t="s">
        <v>499</v>
      </c>
      <c r="I125" s="10" t="s">
        <v>500</v>
      </c>
      <c r="J125" s="111">
        <v>2</v>
      </c>
      <c r="K125" s="111" t="s">
        <v>274</v>
      </c>
      <c r="L125" s="109">
        <f t="shared" si="16"/>
        <v>105</v>
      </c>
      <c r="M125">
        <f t="shared" si="17"/>
        <v>16</v>
      </c>
      <c r="N125" s="109"/>
      <c r="P125" s="162"/>
      <c r="Q125" s="162">
        <f t="shared" si="18"/>
        <v>0</v>
      </c>
      <c r="R125" s="162">
        <f>IF(J125="","",IF(D125="",0,IF(D125="N/A",3,IF(OR(AND($M$1="Binary",D125="Yes"),AND($M$1="Scaled",D125&gt;Dashboard!$D$12)),1,IF(OR(AND($M$1="Binary",D125="No"),AND($M$1="Scaled",D125&lt;=Dashboard!$D$12)),2,"Oops there is an error")))))</f>
        <v>2</v>
      </c>
      <c r="S125" s="162">
        <f t="shared" si="19"/>
        <v>2</v>
      </c>
      <c r="T125" s="162"/>
      <c r="U125" s="162">
        <f t="shared" si="20"/>
        <v>2</v>
      </c>
      <c r="V125" s="162">
        <f t="shared" si="21"/>
        <v>2</v>
      </c>
      <c r="X125">
        <f t="shared" si="22"/>
        <v>2</v>
      </c>
      <c r="Y125">
        <f t="shared" si="23"/>
        <v>1</v>
      </c>
      <c r="Z125" s="110"/>
      <c r="AA125" s="10"/>
      <c r="AB125" s="47"/>
      <c r="AJ125" s="47">
        <v>2</v>
      </c>
    </row>
    <row r="126" spans="1:36" ht="42.75" x14ac:dyDescent="0.2">
      <c r="A126" s="162">
        <v>3355</v>
      </c>
      <c r="B126" s="11" t="str">
        <f t="shared" si="24"/>
        <v>SL.106</v>
      </c>
      <c r="C126" s="113" t="s">
        <v>502</v>
      </c>
      <c r="D126" s="120" t="s">
        <v>96</v>
      </c>
      <c r="E126" s="120"/>
      <c r="F126" s="21"/>
      <c r="G126" s="110" t="s">
        <v>89</v>
      </c>
      <c r="H126" s="110" t="s">
        <v>503</v>
      </c>
      <c r="I126" s="10" t="s">
        <v>504</v>
      </c>
      <c r="J126" s="111">
        <v>2</v>
      </c>
      <c r="K126" s="111" t="s">
        <v>274</v>
      </c>
      <c r="L126" s="109">
        <f t="shared" si="16"/>
        <v>106</v>
      </c>
      <c r="M126">
        <f t="shared" si="17"/>
        <v>16</v>
      </c>
      <c r="N126" s="109"/>
      <c r="P126" s="162"/>
      <c r="Q126" s="162">
        <f t="shared" si="18"/>
        <v>0</v>
      </c>
      <c r="R126" s="162">
        <f>IF(J126="","",IF(D126="",0,IF(D126="N/A",3,IF(OR(AND($M$1="Binary",D126="Yes"),AND($M$1="Scaled",D126&gt;Dashboard!$D$12)),1,IF(OR(AND($M$1="Binary",D126="No"),AND($M$1="Scaled",D126&lt;=Dashboard!$D$12)),2,"Oops there is an error")))))</f>
        <v>2</v>
      </c>
      <c r="S126" s="162">
        <f t="shared" si="19"/>
        <v>2</v>
      </c>
      <c r="T126" s="162"/>
      <c r="U126" s="162">
        <f t="shared" si="20"/>
        <v>2</v>
      </c>
      <c r="V126" s="162">
        <f t="shared" si="21"/>
        <v>2</v>
      </c>
      <c r="X126">
        <f t="shared" si="22"/>
        <v>2</v>
      </c>
      <c r="Y126">
        <f t="shared" si="23"/>
        <v>1</v>
      </c>
      <c r="Z126" s="110"/>
      <c r="AA126" s="10"/>
      <c r="AB126" s="47"/>
      <c r="AJ126" s="47">
        <v>2</v>
      </c>
    </row>
    <row r="127" spans="1:36" ht="42.75" x14ac:dyDescent="0.2">
      <c r="A127" s="162">
        <v>3356</v>
      </c>
      <c r="B127" s="11" t="str">
        <f t="shared" si="24"/>
        <v>SL.107</v>
      </c>
      <c r="C127" s="113" t="s">
        <v>505</v>
      </c>
      <c r="D127" s="120" t="s">
        <v>96</v>
      </c>
      <c r="E127" s="120"/>
      <c r="F127" s="21"/>
      <c r="G127" s="110" t="s">
        <v>89</v>
      </c>
      <c r="H127" s="110" t="s">
        <v>494</v>
      </c>
      <c r="I127" s="10" t="s">
        <v>495</v>
      </c>
      <c r="J127" s="111">
        <v>2</v>
      </c>
      <c r="K127" s="111" t="s">
        <v>274</v>
      </c>
      <c r="L127" s="109">
        <f t="shared" si="16"/>
        <v>107</v>
      </c>
      <c r="M127">
        <f t="shared" si="17"/>
        <v>16</v>
      </c>
      <c r="N127" s="109"/>
      <c r="P127" s="162"/>
      <c r="Q127" s="162">
        <f t="shared" si="18"/>
        <v>0</v>
      </c>
      <c r="R127" s="162">
        <f>IF(J127="","",IF(D127="",0,IF(D127="N/A",3,IF(OR(AND($M$1="Binary",D127="Yes"),AND($M$1="Scaled",D127&gt;Dashboard!$D$12)),1,IF(OR(AND($M$1="Binary",D127="No"),AND($M$1="Scaled",D127&lt;=Dashboard!$D$12)),2,"Oops there is an error")))))</f>
        <v>2</v>
      </c>
      <c r="S127" s="162">
        <f t="shared" si="19"/>
        <v>2</v>
      </c>
      <c r="T127" s="162"/>
      <c r="U127" s="162">
        <f t="shared" si="20"/>
        <v>2</v>
      </c>
      <c r="V127" s="162">
        <f t="shared" si="21"/>
        <v>2</v>
      </c>
      <c r="X127">
        <f t="shared" si="22"/>
        <v>2</v>
      </c>
      <c r="Y127">
        <f t="shared" si="23"/>
        <v>1</v>
      </c>
      <c r="Z127" s="110"/>
      <c r="AA127" s="10"/>
      <c r="AB127" s="47"/>
      <c r="AJ127" s="47">
        <v>2</v>
      </c>
    </row>
    <row r="128" spans="1:36" ht="42.75" x14ac:dyDescent="0.2">
      <c r="A128" s="162">
        <v>3373</v>
      </c>
      <c r="B128" s="11" t="str">
        <f t="shared" si="24"/>
        <v>SL.108</v>
      </c>
      <c r="C128" s="113" t="s">
        <v>506</v>
      </c>
      <c r="D128" s="120" t="s">
        <v>96</v>
      </c>
      <c r="E128" s="120"/>
      <c r="F128" s="21"/>
      <c r="G128" s="110" t="s">
        <v>89</v>
      </c>
      <c r="H128" s="110" t="s">
        <v>89</v>
      </c>
      <c r="I128" s="10"/>
      <c r="J128" s="111">
        <v>2</v>
      </c>
      <c r="K128" s="111" t="s">
        <v>274</v>
      </c>
      <c r="L128" s="109">
        <f t="shared" si="16"/>
        <v>108</v>
      </c>
      <c r="M128">
        <f t="shared" si="17"/>
        <v>16</v>
      </c>
      <c r="N128" s="109"/>
      <c r="P128" s="162"/>
      <c r="Q128" s="162">
        <f t="shared" si="18"/>
        <v>0</v>
      </c>
      <c r="R128" s="162">
        <f>IF(J128="","",IF(D128="",0,IF(D128="N/A",3,IF(OR(AND($M$1="Binary",D128="Yes"),AND($M$1="Scaled",D128&gt;Dashboard!$D$12)),1,IF(OR(AND($M$1="Binary",D128="No"),AND($M$1="Scaled",D128&lt;=Dashboard!$D$12)),2,"Oops there is an error")))))</f>
        <v>2</v>
      </c>
      <c r="S128" s="162">
        <f t="shared" si="19"/>
        <v>2</v>
      </c>
      <c r="T128" s="162"/>
      <c r="U128" s="162">
        <f t="shared" si="20"/>
        <v>2</v>
      </c>
      <c r="V128" s="162">
        <f t="shared" si="21"/>
        <v>2</v>
      </c>
      <c r="X128">
        <f t="shared" si="22"/>
        <v>2</v>
      </c>
      <c r="Y128">
        <f t="shared" si="23"/>
        <v>1</v>
      </c>
      <c r="Z128" s="110"/>
      <c r="AA128" s="10"/>
      <c r="AB128" s="47"/>
      <c r="AJ128" s="47">
        <v>2</v>
      </c>
    </row>
    <row r="129" spans="1:36" ht="28.5" x14ac:dyDescent="0.2">
      <c r="A129" s="162">
        <v>3379</v>
      </c>
      <c r="B129" s="11" t="str">
        <f t="shared" si="24"/>
        <v>SL.109</v>
      </c>
      <c r="C129" s="113" t="s">
        <v>507</v>
      </c>
      <c r="D129" s="120" t="s">
        <v>96</v>
      </c>
      <c r="E129" s="120"/>
      <c r="F129" s="21"/>
      <c r="G129" s="10" t="s">
        <v>508</v>
      </c>
      <c r="H129" s="110" t="s">
        <v>89</v>
      </c>
      <c r="I129" s="10"/>
      <c r="J129" s="111">
        <v>2</v>
      </c>
      <c r="K129" s="111" t="s">
        <v>274</v>
      </c>
      <c r="L129" s="109">
        <f t="shared" si="16"/>
        <v>109</v>
      </c>
      <c r="M129">
        <f t="shared" si="17"/>
        <v>16</v>
      </c>
      <c r="N129" s="109"/>
      <c r="P129" s="162"/>
      <c r="Q129" s="162">
        <f t="shared" si="18"/>
        <v>0</v>
      </c>
      <c r="R129" s="162">
        <f>IF(J129="","",IF(D129="",0,IF(D129="N/A",3,IF(OR(AND($M$1="Binary",D129="Yes"),AND($M$1="Scaled",D129&gt;Dashboard!$D$12)),1,IF(OR(AND($M$1="Binary",D129="No"),AND($M$1="Scaled",D129&lt;=Dashboard!$D$12)),2,"Oops there is an error")))))</f>
        <v>2</v>
      </c>
      <c r="S129" s="162">
        <f t="shared" si="19"/>
        <v>2</v>
      </c>
      <c r="T129" s="162"/>
      <c r="U129" s="162">
        <f t="shared" si="20"/>
        <v>2</v>
      </c>
      <c r="V129" s="162">
        <f t="shared" si="21"/>
        <v>2</v>
      </c>
      <c r="X129">
        <f t="shared" si="22"/>
        <v>2</v>
      </c>
      <c r="Y129">
        <f t="shared" si="23"/>
        <v>1</v>
      </c>
      <c r="Z129" s="110"/>
      <c r="AA129" s="10"/>
      <c r="AB129" s="47"/>
      <c r="AJ129" s="47">
        <v>2</v>
      </c>
    </row>
    <row r="130" spans="1:36" ht="57" x14ac:dyDescent="0.2">
      <c r="A130" s="162">
        <v>3394</v>
      </c>
      <c r="B130" s="11" t="str">
        <f t="shared" si="24"/>
        <v>SL.110</v>
      </c>
      <c r="C130" s="113" t="s">
        <v>509</v>
      </c>
      <c r="D130" s="120" t="s">
        <v>93</v>
      </c>
      <c r="E130" s="120"/>
      <c r="F130" s="21"/>
      <c r="G130" s="10" t="s">
        <v>510</v>
      </c>
      <c r="H130" s="110">
        <v>12.5</v>
      </c>
      <c r="I130" s="10" t="s">
        <v>511</v>
      </c>
      <c r="J130" s="111">
        <v>2</v>
      </c>
      <c r="K130" s="111" t="s">
        <v>274</v>
      </c>
      <c r="L130" s="109">
        <f t="shared" si="16"/>
        <v>110</v>
      </c>
      <c r="M130">
        <f t="shared" si="17"/>
        <v>16</v>
      </c>
      <c r="N130" s="109"/>
      <c r="P130" s="162"/>
      <c r="Q130" s="162">
        <f t="shared" si="18"/>
        <v>0</v>
      </c>
      <c r="R130" s="162">
        <f>IF(J130="","",IF(D130="",0,IF(D130="N/A",3,IF(OR(AND($M$1="Binary",D130="Yes"),AND($M$1="Scaled",D130&gt;Dashboard!$D$12)),1,IF(OR(AND($M$1="Binary",D130="No"),AND($M$1="Scaled",D130&lt;=Dashboard!$D$12)),2,"Oops there is an error")))))</f>
        <v>1</v>
      </c>
      <c r="S130" s="162">
        <f t="shared" si="19"/>
        <v>1</v>
      </c>
      <c r="T130" s="162"/>
      <c r="U130" s="162">
        <f t="shared" si="20"/>
        <v>0</v>
      </c>
      <c r="V130" s="162">
        <f t="shared" si="21"/>
        <v>1</v>
      </c>
      <c r="X130">
        <f t="shared" si="22"/>
        <v>2</v>
      </c>
      <c r="Y130">
        <f t="shared" si="23"/>
        <v>1</v>
      </c>
      <c r="Z130" s="110"/>
      <c r="AA130" s="10"/>
      <c r="AB130" s="47"/>
      <c r="AJ130" s="47"/>
    </row>
    <row r="131" spans="1:36" ht="42.75" x14ac:dyDescent="0.2">
      <c r="A131" s="162">
        <v>3401</v>
      </c>
      <c r="B131" s="11" t="str">
        <f t="shared" si="24"/>
        <v>SL.111</v>
      </c>
      <c r="C131" s="113" t="s">
        <v>512</v>
      </c>
      <c r="D131" s="120" t="s">
        <v>93</v>
      </c>
      <c r="E131" s="120"/>
      <c r="F131" s="21"/>
      <c r="G131" s="10" t="s">
        <v>297</v>
      </c>
      <c r="H131" s="110" t="s">
        <v>513</v>
      </c>
      <c r="I131" s="10" t="s">
        <v>514</v>
      </c>
      <c r="J131" s="111">
        <v>2</v>
      </c>
      <c r="K131" s="111" t="s">
        <v>274</v>
      </c>
      <c r="L131" s="109">
        <f t="shared" si="16"/>
        <v>111</v>
      </c>
      <c r="M131">
        <f t="shared" si="17"/>
        <v>16</v>
      </c>
      <c r="N131" s="109"/>
      <c r="P131" s="162"/>
      <c r="Q131" s="162">
        <f t="shared" si="18"/>
        <v>0</v>
      </c>
      <c r="R131" s="162">
        <f>IF(J131="","",IF(D131="",0,IF(D131="N/A",3,IF(OR(AND($M$1="Binary",D131="Yes"),AND($M$1="Scaled",D131&gt;Dashboard!$D$12)),1,IF(OR(AND($M$1="Binary",D131="No"),AND($M$1="Scaled",D131&lt;=Dashboard!$D$12)),2,"Oops there is an error")))))</f>
        <v>1</v>
      </c>
      <c r="S131" s="162">
        <f t="shared" si="19"/>
        <v>1</v>
      </c>
      <c r="T131" s="162"/>
      <c r="U131" s="162">
        <f t="shared" si="20"/>
        <v>0</v>
      </c>
      <c r="V131" s="162">
        <f t="shared" si="21"/>
        <v>1</v>
      </c>
      <c r="X131">
        <f t="shared" si="22"/>
        <v>2</v>
      </c>
      <c r="Y131">
        <f t="shared" si="23"/>
        <v>1</v>
      </c>
      <c r="Z131" s="110"/>
      <c r="AA131" s="10"/>
      <c r="AB131" s="47"/>
      <c r="AJ131" s="47"/>
    </row>
    <row r="132" spans="1:36" ht="42.75" x14ac:dyDescent="0.2">
      <c r="A132" s="162">
        <v>3406</v>
      </c>
      <c r="B132" s="11" t="str">
        <f t="shared" si="24"/>
        <v>SL.112</v>
      </c>
      <c r="C132" s="113" t="s">
        <v>515</v>
      </c>
      <c r="D132" s="120" t="s">
        <v>96</v>
      </c>
      <c r="E132" s="120"/>
      <c r="F132" s="21" t="s">
        <v>1099</v>
      </c>
      <c r="G132" s="10" t="s">
        <v>516</v>
      </c>
      <c r="H132" s="110" t="s">
        <v>513</v>
      </c>
      <c r="I132" s="10" t="s">
        <v>514</v>
      </c>
      <c r="J132" s="111">
        <v>2</v>
      </c>
      <c r="K132" s="111" t="s">
        <v>274</v>
      </c>
      <c r="L132" s="109">
        <f t="shared" si="16"/>
        <v>112</v>
      </c>
      <c r="M132">
        <f t="shared" si="17"/>
        <v>16</v>
      </c>
      <c r="N132" s="109"/>
      <c r="P132" s="162"/>
      <c r="Q132" s="162">
        <f t="shared" si="18"/>
        <v>0</v>
      </c>
      <c r="R132" s="162">
        <f>IF(J132="","",IF(D132="",0,IF(D132="N/A",3,IF(OR(AND($M$1="Binary",D132="Yes"),AND($M$1="Scaled",D132&gt;Dashboard!$D$12)),1,IF(OR(AND($M$1="Binary",D132="No"),AND($M$1="Scaled",D132&lt;=Dashboard!$D$12)),2,"Oops there is an error")))))</f>
        <v>2</v>
      </c>
      <c r="S132" s="162">
        <f t="shared" si="19"/>
        <v>2</v>
      </c>
      <c r="T132" s="162"/>
      <c r="U132" s="162">
        <f t="shared" si="20"/>
        <v>2</v>
      </c>
      <c r="V132" s="162">
        <f t="shared" si="21"/>
        <v>2</v>
      </c>
      <c r="X132">
        <f t="shared" si="22"/>
        <v>2</v>
      </c>
      <c r="Y132">
        <f t="shared" si="23"/>
        <v>1</v>
      </c>
      <c r="Z132" s="110"/>
      <c r="AA132" s="10"/>
      <c r="AB132" s="47"/>
      <c r="AJ132" s="47">
        <v>2</v>
      </c>
    </row>
    <row r="133" spans="1:36" ht="42.75" x14ac:dyDescent="0.2">
      <c r="A133" s="162">
        <v>3412</v>
      </c>
      <c r="B133" s="11" t="str">
        <f t="shared" si="24"/>
        <v>SL.113</v>
      </c>
      <c r="C133" s="113" t="s">
        <v>517</v>
      </c>
      <c r="D133" s="120" t="s">
        <v>93</v>
      </c>
      <c r="E133" s="120"/>
      <c r="F133" s="21" t="s">
        <v>1100</v>
      </c>
      <c r="G133" s="10" t="s">
        <v>516</v>
      </c>
      <c r="H133" s="110" t="s">
        <v>513</v>
      </c>
      <c r="I133" s="10" t="s">
        <v>514</v>
      </c>
      <c r="J133" s="111">
        <v>2</v>
      </c>
      <c r="K133" s="111" t="s">
        <v>274</v>
      </c>
      <c r="L133" s="109">
        <f t="shared" si="16"/>
        <v>113</v>
      </c>
      <c r="M133">
        <f t="shared" si="17"/>
        <v>16</v>
      </c>
      <c r="N133" s="109"/>
      <c r="P133" s="162"/>
      <c r="Q133" s="162">
        <f t="shared" si="18"/>
        <v>0</v>
      </c>
      <c r="R133" s="162">
        <f>IF(J133="","",IF(D133="",0,IF(D133="N/A",3,IF(OR(AND($M$1="Binary",D133="Yes"),AND($M$1="Scaled",D133&gt;Dashboard!$D$12)),1,IF(OR(AND($M$1="Binary",D133="No"),AND($M$1="Scaled",D133&lt;=Dashboard!$D$12)),2,"Oops there is an error")))))</f>
        <v>1</v>
      </c>
      <c r="S133" s="162">
        <f t="shared" si="19"/>
        <v>1</v>
      </c>
      <c r="T133" s="162"/>
      <c r="U133" s="162">
        <f t="shared" si="20"/>
        <v>0</v>
      </c>
      <c r="V133" s="162">
        <f t="shared" si="21"/>
        <v>1</v>
      </c>
      <c r="X133">
        <f t="shared" si="22"/>
        <v>2</v>
      </c>
      <c r="Y133">
        <f t="shared" si="23"/>
        <v>1</v>
      </c>
      <c r="Z133" s="110"/>
      <c r="AA133" s="10"/>
      <c r="AB133" s="47"/>
      <c r="AJ133" s="47"/>
    </row>
    <row r="134" spans="1:36" ht="57" x14ac:dyDescent="0.2">
      <c r="A134" s="162">
        <v>3418</v>
      </c>
      <c r="B134" s="11" t="str">
        <f t="shared" si="24"/>
        <v>SL.114</v>
      </c>
      <c r="C134" s="113" t="s">
        <v>518</v>
      </c>
      <c r="D134" s="120" t="s">
        <v>96</v>
      </c>
      <c r="E134" s="120"/>
      <c r="F134" s="21" t="s">
        <v>1101</v>
      </c>
      <c r="G134" s="10" t="s">
        <v>368</v>
      </c>
      <c r="H134" s="110" t="s">
        <v>513</v>
      </c>
      <c r="I134" s="10" t="s">
        <v>514</v>
      </c>
      <c r="J134" s="111">
        <v>2</v>
      </c>
      <c r="K134" s="111" t="s">
        <v>274</v>
      </c>
      <c r="L134" s="109">
        <f t="shared" si="16"/>
        <v>114</v>
      </c>
      <c r="M134">
        <f t="shared" si="17"/>
        <v>16</v>
      </c>
      <c r="N134" s="109"/>
      <c r="P134" s="162"/>
      <c r="Q134" s="162">
        <f t="shared" si="18"/>
        <v>0</v>
      </c>
      <c r="R134" s="162">
        <f>IF(J134="","",IF(D134="",0,IF(D134="N/A",3,IF(OR(AND($M$1="Binary",D134="Yes"),AND($M$1="Scaled",D134&gt;Dashboard!$D$12)),1,IF(OR(AND($M$1="Binary",D134="No"),AND($M$1="Scaled",D134&lt;=Dashboard!$D$12)),2,"Oops there is an error")))))</f>
        <v>2</v>
      </c>
      <c r="S134" s="162">
        <f t="shared" si="19"/>
        <v>2</v>
      </c>
      <c r="T134" s="162"/>
      <c r="U134" s="162">
        <f t="shared" si="20"/>
        <v>2</v>
      </c>
      <c r="V134" s="162">
        <f t="shared" si="21"/>
        <v>2</v>
      </c>
      <c r="X134">
        <f t="shared" si="22"/>
        <v>2</v>
      </c>
      <c r="Y134">
        <f t="shared" si="23"/>
        <v>1</v>
      </c>
      <c r="Z134" s="110"/>
      <c r="AA134" s="10"/>
      <c r="AB134" s="47"/>
      <c r="AJ134" s="47">
        <v>2</v>
      </c>
    </row>
    <row r="135" spans="1:36" ht="57" x14ac:dyDescent="0.2">
      <c r="A135" s="162">
        <v>3426</v>
      </c>
      <c r="B135" s="11" t="str">
        <f t="shared" si="24"/>
        <v>SL.115</v>
      </c>
      <c r="C135" s="113" t="s">
        <v>519</v>
      </c>
      <c r="D135" s="120" t="s">
        <v>93</v>
      </c>
      <c r="E135" s="120"/>
      <c r="F135" s="21"/>
      <c r="G135" s="10" t="s">
        <v>368</v>
      </c>
      <c r="H135" s="110" t="s">
        <v>513</v>
      </c>
      <c r="I135" s="10" t="s">
        <v>514</v>
      </c>
      <c r="J135" s="111">
        <v>2</v>
      </c>
      <c r="K135" s="111" t="s">
        <v>274</v>
      </c>
      <c r="L135" s="109">
        <f t="shared" ref="L135:L161" si="25">IF(A135="",L134,L134+1)</f>
        <v>115</v>
      </c>
      <c r="M135">
        <f t="shared" ref="M135:M161" si="26">IF(J135="",M134+1,M134)</f>
        <v>16</v>
      </c>
      <c r="N135" s="109"/>
      <c r="P135" s="162"/>
      <c r="Q135" s="162">
        <f t="shared" ref="Q135:Q161" si="27">IF(ISNA(VLOOKUP(A135,BusInfoArray,6,FALSE)),0,VLOOKUP(A135,BusInfoArray,6,FALSE))</f>
        <v>0</v>
      </c>
      <c r="R135" s="162">
        <f>IF(J135="","",IF(D135="",0,IF(D135="N/A",3,IF(OR(AND($M$1="Binary",D135="Yes"),AND($M$1="Scaled",D135&gt;Dashboard!$D$12)),1,IF(OR(AND($M$1="Binary",D135="No"),AND($M$1="Scaled",D135&lt;=Dashboard!$D$12)),2,"Oops there is an error")))))</f>
        <v>1</v>
      </c>
      <c r="S135" s="162">
        <f t="shared" ref="S135:S161" si="28">IF(J135="","",IF(Q135&gt;0,Q135,IF(R135&gt;0,R135,0)))</f>
        <v>1</v>
      </c>
      <c r="T135" s="162"/>
      <c r="U135" s="162">
        <f t="shared" ref="U135:U161" si="29">IF(J135="",U134,IF(AND(S135&gt;1,OR(U134="",U134=0,U134&gt;=J135)),J135,IF(J135&gt;U134,U134,0)))</f>
        <v>0</v>
      </c>
      <c r="V135" s="162">
        <f t="shared" ref="V135:V161" si="30">IF(Master="Master",R135,IF(V134="",S135,IF(OR(AND(U135&gt;0,S135&lt;V134),AND(U135=1,S135&lt;=V134)),V134,S135)))</f>
        <v>1</v>
      </c>
      <c r="X135">
        <f t="shared" ref="X135:X161" si="31">IF(AND(J135=1,S135=1),2,IF(AND(V134=1,M135=M134),2,IF(AND(X134=2,M135=M134),2,IF(OR(J135=1,J135=""),1,""))))</f>
        <v>2</v>
      </c>
      <c r="Y135">
        <f t="shared" ref="Y135:Y161" si="32">IF(V135&gt;0,1,0)</f>
        <v>1</v>
      </c>
      <c r="Z135" s="110"/>
      <c r="AA135" s="10"/>
      <c r="AB135" s="47"/>
      <c r="AJ135" s="47"/>
    </row>
    <row r="136" spans="1:36" ht="28.5" x14ac:dyDescent="0.2">
      <c r="A136" s="162">
        <v>3427</v>
      </c>
      <c r="B136" s="11" t="str">
        <f t="shared" si="24"/>
        <v>SL.116</v>
      </c>
      <c r="C136" s="113" t="s">
        <v>520</v>
      </c>
      <c r="D136" s="120" t="s">
        <v>93</v>
      </c>
      <c r="E136" s="4"/>
      <c r="F136" s="21" t="s">
        <v>1102</v>
      </c>
      <c r="G136" s="10" t="s">
        <v>479</v>
      </c>
      <c r="H136" s="110">
        <v>12.5</v>
      </c>
      <c r="I136" s="10" t="s">
        <v>511</v>
      </c>
      <c r="J136" s="111">
        <v>2</v>
      </c>
      <c r="K136" s="111" t="s">
        <v>274</v>
      </c>
      <c r="L136" s="109">
        <f t="shared" si="25"/>
        <v>116</v>
      </c>
      <c r="M136">
        <f t="shared" si="26"/>
        <v>16</v>
      </c>
      <c r="N136" s="109"/>
      <c r="P136" s="162"/>
      <c r="Q136" s="162">
        <f t="shared" si="27"/>
        <v>0</v>
      </c>
      <c r="R136" s="162">
        <f>IF(J136="","",IF(D136="",0,IF(D136="N/A",3,IF(OR(AND($M$1="Binary",D136="Yes"),AND($M$1="Scaled",D136&gt;Dashboard!$D$12)),1,IF(OR(AND($M$1="Binary",D136="No"),AND($M$1="Scaled",D136&lt;=Dashboard!$D$12)),2,"Oops there is an error")))))</f>
        <v>1</v>
      </c>
      <c r="S136" s="162">
        <f t="shared" si="28"/>
        <v>1</v>
      </c>
      <c r="T136" s="162"/>
      <c r="U136" s="162">
        <f t="shared" si="29"/>
        <v>0</v>
      </c>
      <c r="V136" s="162">
        <f t="shared" si="30"/>
        <v>1</v>
      </c>
      <c r="X136">
        <f t="shared" si="31"/>
        <v>2</v>
      </c>
      <c r="Y136">
        <f t="shared" si="32"/>
        <v>1</v>
      </c>
      <c r="Z136" s="110"/>
      <c r="AA136" s="10"/>
      <c r="AB136" s="47"/>
      <c r="AJ136" s="47">
        <v>1</v>
      </c>
    </row>
    <row r="137" spans="1:36" ht="57" x14ac:dyDescent="0.2">
      <c r="A137" s="162">
        <v>3436</v>
      </c>
      <c r="B137" s="11" t="str">
        <f t="shared" si="24"/>
        <v>SL.117</v>
      </c>
      <c r="C137" s="113" t="s">
        <v>521</v>
      </c>
      <c r="D137" s="120" t="s">
        <v>93</v>
      </c>
      <c r="E137" s="120"/>
      <c r="F137" s="21" t="s">
        <v>1103</v>
      </c>
      <c r="G137" s="10" t="s">
        <v>510</v>
      </c>
      <c r="H137" s="110">
        <v>12.5</v>
      </c>
      <c r="I137" s="10" t="s">
        <v>511</v>
      </c>
      <c r="J137" s="111">
        <v>2</v>
      </c>
      <c r="K137" s="111" t="s">
        <v>274</v>
      </c>
      <c r="L137" s="109">
        <f t="shared" si="25"/>
        <v>117</v>
      </c>
      <c r="M137">
        <f t="shared" si="26"/>
        <v>16</v>
      </c>
      <c r="N137" s="109"/>
      <c r="P137" s="162"/>
      <c r="Q137" s="162">
        <f t="shared" si="27"/>
        <v>0</v>
      </c>
      <c r="R137" s="162">
        <f>IF(J137="","",IF(D137="",0,IF(D137="N/A",3,IF(OR(AND($M$1="Binary",D137="Yes"),AND($M$1="Scaled",D137&gt;Dashboard!$D$12)),1,IF(OR(AND($M$1="Binary",D137="No"),AND($M$1="Scaled",D137&lt;=Dashboard!$D$12)),2,"Oops there is an error")))))</f>
        <v>1</v>
      </c>
      <c r="S137" s="162">
        <f t="shared" si="28"/>
        <v>1</v>
      </c>
      <c r="T137" s="162"/>
      <c r="U137" s="162">
        <f t="shared" si="29"/>
        <v>0</v>
      </c>
      <c r="V137" s="162">
        <f t="shared" si="30"/>
        <v>1</v>
      </c>
      <c r="X137">
        <f t="shared" si="31"/>
        <v>2</v>
      </c>
      <c r="Y137">
        <f t="shared" si="32"/>
        <v>1</v>
      </c>
      <c r="Z137" s="110"/>
      <c r="AA137" s="10"/>
      <c r="AB137" s="47"/>
      <c r="AJ137" s="47"/>
    </row>
    <row r="138" spans="1:36" ht="57" x14ac:dyDescent="0.2">
      <c r="A138" s="162">
        <v>3445</v>
      </c>
      <c r="B138" s="11" t="str">
        <f t="shared" si="24"/>
        <v>SL.118</v>
      </c>
      <c r="C138" s="113" t="s">
        <v>522</v>
      </c>
      <c r="D138" s="120" t="s">
        <v>93</v>
      </c>
      <c r="E138" s="120"/>
      <c r="F138" s="21"/>
      <c r="G138" s="10" t="s">
        <v>510</v>
      </c>
      <c r="H138" s="110" t="s">
        <v>523</v>
      </c>
      <c r="I138" s="10" t="s">
        <v>524</v>
      </c>
      <c r="J138" s="111">
        <v>2</v>
      </c>
      <c r="K138" s="111" t="s">
        <v>274</v>
      </c>
      <c r="L138" s="109">
        <f t="shared" si="25"/>
        <v>118</v>
      </c>
      <c r="M138">
        <f t="shared" si="26"/>
        <v>16</v>
      </c>
      <c r="N138" s="109"/>
      <c r="P138" s="162"/>
      <c r="Q138" s="162">
        <f t="shared" si="27"/>
        <v>0</v>
      </c>
      <c r="R138" s="162">
        <f>IF(J138="","",IF(D138="",0,IF(D138="N/A",3,IF(OR(AND($M$1="Binary",D138="Yes"),AND($M$1="Scaled",D138&gt;Dashboard!$D$12)),1,IF(OR(AND($M$1="Binary",D138="No"),AND($M$1="Scaled",D138&lt;=Dashboard!$D$12)),2,"Oops there is an error")))))</f>
        <v>1</v>
      </c>
      <c r="S138" s="162">
        <f t="shared" si="28"/>
        <v>1</v>
      </c>
      <c r="T138" s="162"/>
      <c r="U138" s="162">
        <f t="shared" si="29"/>
        <v>0</v>
      </c>
      <c r="V138" s="162">
        <f t="shared" si="30"/>
        <v>1</v>
      </c>
      <c r="X138">
        <f t="shared" si="31"/>
        <v>2</v>
      </c>
      <c r="Y138">
        <f t="shared" si="32"/>
        <v>1</v>
      </c>
      <c r="Z138" s="110"/>
      <c r="AA138" s="10"/>
      <c r="AB138" s="47"/>
      <c r="AJ138" s="47"/>
    </row>
    <row r="139" spans="1:36" ht="42.75" x14ac:dyDescent="0.2">
      <c r="A139" s="162">
        <v>3454</v>
      </c>
      <c r="B139" s="11" t="str">
        <f t="shared" si="24"/>
        <v>SL.119</v>
      </c>
      <c r="C139" s="113" t="s">
        <v>525</v>
      </c>
      <c r="D139" s="120" t="s">
        <v>96</v>
      </c>
      <c r="E139" s="120"/>
      <c r="F139" s="21"/>
      <c r="G139" s="10" t="s">
        <v>526</v>
      </c>
      <c r="H139" s="110">
        <v>12.6</v>
      </c>
      <c r="I139" s="10" t="s">
        <v>527</v>
      </c>
      <c r="J139" s="111">
        <v>2</v>
      </c>
      <c r="K139" s="111" t="s">
        <v>274</v>
      </c>
      <c r="L139" s="109">
        <f t="shared" si="25"/>
        <v>119</v>
      </c>
      <c r="M139">
        <f t="shared" si="26"/>
        <v>16</v>
      </c>
      <c r="N139" s="109"/>
      <c r="P139" s="162"/>
      <c r="Q139" s="162">
        <f t="shared" si="27"/>
        <v>0</v>
      </c>
      <c r="R139" s="162">
        <f>IF(J139="","",IF(D139="",0,IF(D139="N/A",3,IF(OR(AND($M$1="Binary",D139="Yes"),AND($M$1="Scaled",D139&gt;Dashboard!$D$12)),1,IF(OR(AND($M$1="Binary",D139="No"),AND($M$1="Scaled",D139&lt;=Dashboard!$D$12)),2,"Oops there is an error")))))</f>
        <v>2</v>
      </c>
      <c r="S139" s="162">
        <f t="shared" si="28"/>
        <v>2</v>
      </c>
      <c r="T139" s="162"/>
      <c r="U139" s="162">
        <f t="shared" si="29"/>
        <v>2</v>
      </c>
      <c r="V139" s="162">
        <f t="shared" si="30"/>
        <v>2</v>
      </c>
      <c r="X139">
        <f t="shared" si="31"/>
        <v>2</v>
      </c>
      <c r="Y139">
        <f t="shared" si="32"/>
        <v>1</v>
      </c>
      <c r="Z139" s="110"/>
      <c r="AA139" s="10"/>
      <c r="AB139" s="47"/>
      <c r="AJ139" s="47">
        <v>2</v>
      </c>
    </row>
    <row r="140" spans="1:36" ht="57" x14ac:dyDescent="0.2">
      <c r="A140" s="162">
        <v>3472</v>
      </c>
      <c r="B140" s="11" t="str">
        <f t="shared" si="24"/>
        <v>SL.120</v>
      </c>
      <c r="C140" s="113" t="s">
        <v>528</v>
      </c>
      <c r="D140" s="120" t="s">
        <v>96</v>
      </c>
      <c r="E140" s="120"/>
      <c r="F140" s="21" t="s">
        <v>1104</v>
      </c>
      <c r="G140" s="10" t="s">
        <v>529</v>
      </c>
      <c r="H140" s="110" t="s">
        <v>530</v>
      </c>
      <c r="I140" s="10" t="s">
        <v>531</v>
      </c>
      <c r="J140" s="111">
        <v>2</v>
      </c>
      <c r="K140" s="111" t="s">
        <v>274</v>
      </c>
      <c r="L140" s="109">
        <f t="shared" si="25"/>
        <v>120</v>
      </c>
      <c r="M140">
        <f t="shared" si="26"/>
        <v>16</v>
      </c>
      <c r="N140" s="109"/>
      <c r="P140" s="162"/>
      <c r="Q140" s="162">
        <f t="shared" si="27"/>
        <v>0</v>
      </c>
      <c r="R140" s="162">
        <f>IF(J140="","",IF(D140="",0,IF(D140="N/A",3,IF(OR(AND($M$1="Binary",D140="Yes"),AND($M$1="Scaled",D140&gt;Dashboard!$D$12)),1,IF(OR(AND($M$1="Binary",D140="No"),AND($M$1="Scaled",D140&lt;=Dashboard!$D$12)),2,"Oops there is an error")))))</f>
        <v>2</v>
      </c>
      <c r="S140" s="162">
        <f t="shared" si="28"/>
        <v>2</v>
      </c>
      <c r="T140" s="162"/>
      <c r="U140" s="162">
        <f t="shared" si="29"/>
        <v>2</v>
      </c>
      <c r="V140" s="162">
        <f t="shared" si="30"/>
        <v>2</v>
      </c>
      <c r="X140">
        <f t="shared" si="31"/>
        <v>2</v>
      </c>
      <c r="Y140">
        <f t="shared" si="32"/>
        <v>1</v>
      </c>
      <c r="Z140" s="110"/>
      <c r="AA140" s="10"/>
      <c r="AB140" s="47"/>
      <c r="AJ140" s="47">
        <v>2</v>
      </c>
    </row>
    <row r="141" spans="1:36" ht="57" x14ac:dyDescent="0.2">
      <c r="A141" s="162">
        <v>3481</v>
      </c>
      <c r="B141" s="11" t="str">
        <f t="shared" si="24"/>
        <v>SL.121</v>
      </c>
      <c r="C141" s="113" t="s">
        <v>532</v>
      </c>
      <c r="D141" s="120" t="s">
        <v>96</v>
      </c>
      <c r="E141" s="120"/>
      <c r="F141" s="21"/>
      <c r="G141" s="10" t="s">
        <v>482</v>
      </c>
      <c r="H141" s="110">
        <v>16.100000000000001</v>
      </c>
      <c r="I141" s="10" t="s">
        <v>533</v>
      </c>
      <c r="J141" s="111">
        <v>2</v>
      </c>
      <c r="K141" s="111" t="s">
        <v>274</v>
      </c>
      <c r="L141" s="109">
        <f t="shared" si="25"/>
        <v>121</v>
      </c>
      <c r="M141">
        <f t="shared" si="26"/>
        <v>16</v>
      </c>
      <c r="N141" s="109"/>
      <c r="P141" s="162"/>
      <c r="Q141" s="162">
        <f t="shared" si="27"/>
        <v>0</v>
      </c>
      <c r="R141" s="162">
        <f>IF(J141="","",IF(D141="",0,IF(D141="N/A",3,IF(OR(AND($M$1="Binary",D141="Yes"),AND($M$1="Scaled",D141&gt;Dashboard!$D$12)),1,IF(OR(AND($M$1="Binary",D141="No"),AND($M$1="Scaled",D141&lt;=Dashboard!$D$12)),2,"Oops there is an error")))))</f>
        <v>2</v>
      </c>
      <c r="S141" s="162">
        <f t="shared" si="28"/>
        <v>2</v>
      </c>
      <c r="T141" s="162"/>
      <c r="U141" s="162">
        <f t="shared" si="29"/>
        <v>2</v>
      </c>
      <c r="V141" s="162">
        <f t="shared" si="30"/>
        <v>2</v>
      </c>
      <c r="X141">
        <f t="shared" si="31"/>
        <v>2</v>
      </c>
      <c r="Y141">
        <f t="shared" si="32"/>
        <v>1</v>
      </c>
      <c r="Z141" s="110"/>
      <c r="AA141" s="10"/>
      <c r="AB141" s="47"/>
      <c r="AJ141" s="47">
        <v>2</v>
      </c>
    </row>
    <row r="142" spans="1:36" ht="71.25" x14ac:dyDescent="0.2">
      <c r="A142" s="162">
        <v>3489</v>
      </c>
      <c r="B142" s="11" t="str">
        <f t="shared" si="24"/>
        <v>SL.122</v>
      </c>
      <c r="C142" s="113" t="s">
        <v>534</v>
      </c>
      <c r="D142" s="120" t="s">
        <v>96</v>
      </c>
      <c r="E142" s="120"/>
      <c r="F142" s="21"/>
      <c r="G142" s="10" t="s">
        <v>529</v>
      </c>
      <c r="H142" s="110" t="s">
        <v>535</v>
      </c>
      <c r="I142" s="10" t="s">
        <v>536</v>
      </c>
      <c r="J142" s="111">
        <v>2</v>
      </c>
      <c r="K142" s="111" t="s">
        <v>274</v>
      </c>
      <c r="L142" s="109">
        <f t="shared" si="25"/>
        <v>122</v>
      </c>
      <c r="M142">
        <f t="shared" si="26"/>
        <v>16</v>
      </c>
      <c r="N142" s="109"/>
      <c r="P142" s="162"/>
      <c r="Q142" s="162">
        <f t="shared" si="27"/>
        <v>0</v>
      </c>
      <c r="R142" s="162">
        <f>IF(J142="","",IF(D142="",0,IF(D142="N/A",3,IF(OR(AND($M$1="Binary",D142="Yes"),AND($M$1="Scaled",D142&gt;Dashboard!$D$12)),1,IF(OR(AND($M$1="Binary",D142="No"),AND($M$1="Scaled",D142&lt;=Dashboard!$D$12)),2,"Oops there is an error")))))</f>
        <v>2</v>
      </c>
      <c r="S142" s="162">
        <f t="shared" si="28"/>
        <v>2</v>
      </c>
      <c r="T142" s="162"/>
      <c r="U142" s="162">
        <f t="shared" si="29"/>
        <v>2</v>
      </c>
      <c r="V142" s="162">
        <f t="shared" si="30"/>
        <v>2</v>
      </c>
      <c r="X142">
        <f t="shared" si="31"/>
        <v>2</v>
      </c>
      <c r="Y142">
        <f t="shared" si="32"/>
        <v>1</v>
      </c>
      <c r="Z142" s="110"/>
      <c r="AA142" s="10"/>
      <c r="AB142" s="47"/>
      <c r="AJ142" s="47">
        <v>2</v>
      </c>
    </row>
    <row r="143" spans="1:36" ht="28.5" x14ac:dyDescent="0.2">
      <c r="A143" s="162">
        <v>3490</v>
      </c>
      <c r="B143" s="11" t="str">
        <f t="shared" si="24"/>
        <v>SL.123</v>
      </c>
      <c r="C143" s="113" t="s">
        <v>537</v>
      </c>
      <c r="D143" s="120" t="s">
        <v>96</v>
      </c>
      <c r="E143" s="120"/>
      <c r="F143" s="21"/>
      <c r="G143" s="10" t="s">
        <v>538</v>
      </c>
      <c r="H143" s="110" t="s">
        <v>89</v>
      </c>
      <c r="I143" s="10"/>
      <c r="J143" s="111">
        <v>2</v>
      </c>
      <c r="K143" s="111" t="s">
        <v>274</v>
      </c>
      <c r="L143" s="109">
        <f t="shared" si="25"/>
        <v>123</v>
      </c>
      <c r="M143">
        <f t="shared" si="26"/>
        <v>16</v>
      </c>
      <c r="N143" s="109"/>
      <c r="P143" s="162"/>
      <c r="Q143" s="162">
        <f t="shared" si="27"/>
        <v>0</v>
      </c>
      <c r="R143" s="162">
        <f>IF(J143="","",IF(D143="",0,IF(D143="N/A",3,IF(OR(AND($M$1="Binary",D143="Yes"),AND($M$1="Scaled",D143&gt;Dashboard!$D$12)),1,IF(OR(AND($M$1="Binary",D143="No"),AND($M$1="Scaled",D143&lt;=Dashboard!$D$12)),2,"Oops there is an error")))))</f>
        <v>2</v>
      </c>
      <c r="S143" s="162">
        <f t="shared" si="28"/>
        <v>2</v>
      </c>
      <c r="T143" s="162"/>
      <c r="U143" s="162">
        <f t="shared" si="29"/>
        <v>2</v>
      </c>
      <c r="V143" s="162">
        <f t="shared" si="30"/>
        <v>2</v>
      </c>
      <c r="X143">
        <f t="shared" si="31"/>
        <v>2</v>
      </c>
      <c r="Y143">
        <f t="shared" si="32"/>
        <v>1</v>
      </c>
      <c r="Z143" s="110"/>
      <c r="AA143" s="10"/>
      <c r="AB143" s="47"/>
      <c r="AJ143" s="47">
        <v>2</v>
      </c>
    </row>
    <row r="144" spans="1:36" ht="42.75" x14ac:dyDescent="0.2">
      <c r="A144" s="162">
        <v>3516</v>
      </c>
      <c r="B144" s="11" t="str">
        <f t="shared" si="24"/>
        <v>SL.124</v>
      </c>
      <c r="C144" s="113" t="s">
        <v>539</v>
      </c>
      <c r="D144" s="120" t="s">
        <v>96</v>
      </c>
      <c r="E144" s="120"/>
      <c r="F144" s="21"/>
      <c r="G144" s="10"/>
      <c r="H144" s="110" t="s">
        <v>513</v>
      </c>
      <c r="I144" s="10" t="s">
        <v>514</v>
      </c>
      <c r="J144" s="111">
        <v>2</v>
      </c>
      <c r="K144" s="111" t="s">
        <v>274</v>
      </c>
      <c r="L144" s="109">
        <f t="shared" si="25"/>
        <v>124</v>
      </c>
      <c r="M144">
        <f t="shared" si="26"/>
        <v>16</v>
      </c>
      <c r="N144" s="109"/>
      <c r="P144" s="162"/>
      <c r="Q144" s="162">
        <f t="shared" si="27"/>
        <v>0</v>
      </c>
      <c r="R144" s="162">
        <f>IF(J144="","",IF(D144="",0,IF(D144="N/A",3,IF(OR(AND($M$1="Binary",D144="Yes"),AND($M$1="Scaled",D144&gt;Dashboard!$D$12)),1,IF(OR(AND($M$1="Binary",D144="No"),AND($M$1="Scaled",D144&lt;=Dashboard!$D$12)),2,"Oops there is an error")))))</f>
        <v>2</v>
      </c>
      <c r="S144" s="162">
        <f t="shared" si="28"/>
        <v>2</v>
      </c>
      <c r="T144" s="162"/>
      <c r="U144" s="162">
        <f t="shared" si="29"/>
        <v>2</v>
      </c>
      <c r="V144" s="162">
        <f t="shared" si="30"/>
        <v>2</v>
      </c>
      <c r="X144">
        <f t="shared" si="31"/>
        <v>2</v>
      </c>
      <c r="Y144">
        <f t="shared" si="32"/>
        <v>1</v>
      </c>
      <c r="Z144" s="110"/>
      <c r="AA144" s="10"/>
      <c r="AB144" s="47"/>
      <c r="AJ144" s="47">
        <v>2</v>
      </c>
    </row>
    <row r="145" spans="1:36" ht="57" x14ac:dyDescent="0.2">
      <c r="A145" s="162">
        <v>3538</v>
      </c>
      <c r="B145" s="11" t="str">
        <f t="shared" si="24"/>
        <v>SL.125</v>
      </c>
      <c r="C145" s="113" t="s">
        <v>540</v>
      </c>
      <c r="D145" s="120" t="s">
        <v>96</v>
      </c>
      <c r="E145" s="120"/>
      <c r="F145" s="21"/>
      <c r="G145" s="10" t="s">
        <v>541</v>
      </c>
      <c r="H145" s="110" t="s">
        <v>542</v>
      </c>
      <c r="I145" s="10" t="s">
        <v>543</v>
      </c>
      <c r="J145" s="111">
        <v>2</v>
      </c>
      <c r="K145" s="111" t="s">
        <v>274</v>
      </c>
      <c r="L145" s="109">
        <f t="shared" si="25"/>
        <v>125</v>
      </c>
      <c r="M145">
        <f t="shared" si="26"/>
        <v>16</v>
      </c>
      <c r="N145" s="109"/>
      <c r="P145" s="162"/>
      <c r="Q145" s="162">
        <f t="shared" si="27"/>
        <v>0</v>
      </c>
      <c r="R145" s="162">
        <f>IF(J145="","",IF(D145="",0,IF(D145="N/A",3,IF(OR(AND($M$1="Binary",D145="Yes"),AND($M$1="Scaled",D145&gt;Dashboard!$D$12)),1,IF(OR(AND($M$1="Binary",D145="No"),AND($M$1="Scaled",D145&lt;=Dashboard!$D$12)),2,"Oops there is an error")))))</f>
        <v>2</v>
      </c>
      <c r="S145" s="162">
        <f t="shared" si="28"/>
        <v>2</v>
      </c>
      <c r="T145" s="162"/>
      <c r="U145" s="162">
        <f t="shared" si="29"/>
        <v>2</v>
      </c>
      <c r="V145" s="162">
        <f t="shared" si="30"/>
        <v>2</v>
      </c>
      <c r="X145">
        <f t="shared" si="31"/>
        <v>2</v>
      </c>
      <c r="Y145">
        <f t="shared" si="32"/>
        <v>1</v>
      </c>
      <c r="Z145" s="110"/>
      <c r="AA145" s="10"/>
      <c r="AB145" s="47"/>
      <c r="AJ145" s="47">
        <v>2</v>
      </c>
    </row>
    <row r="146" spans="1:36" ht="85.5" x14ac:dyDescent="0.2">
      <c r="A146" s="162">
        <v>3548</v>
      </c>
      <c r="B146" s="11" t="str">
        <f t="shared" si="24"/>
        <v>SL.126</v>
      </c>
      <c r="C146" s="113" t="s">
        <v>544</v>
      </c>
      <c r="D146" s="120" t="s">
        <v>96</v>
      </c>
      <c r="E146" s="120"/>
      <c r="F146" s="21" t="s">
        <v>1108</v>
      </c>
      <c r="G146" s="10" t="s">
        <v>538</v>
      </c>
      <c r="H146" s="110" t="s">
        <v>545</v>
      </c>
      <c r="I146" s="10" t="s">
        <v>546</v>
      </c>
      <c r="J146" s="111">
        <v>2</v>
      </c>
      <c r="K146" s="111" t="s">
        <v>274</v>
      </c>
      <c r="L146" s="109">
        <f t="shared" si="25"/>
        <v>126</v>
      </c>
      <c r="M146">
        <f t="shared" si="26"/>
        <v>16</v>
      </c>
      <c r="N146" s="109"/>
      <c r="P146" s="162"/>
      <c r="Q146" s="162">
        <f t="shared" si="27"/>
        <v>0</v>
      </c>
      <c r="R146" s="162">
        <f>IF(J146="","",IF(D146="",0,IF(D146="N/A",3,IF(OR(AND($M$1="Binary",D146="Yes"),AND($M$1="Scaled",D146&gt;Dashboard!$D$12)),1,IF(OR(AND($M$1="Binary",D146="No"),AND($M$1="Scaled",D146&lt;=Dashboard!$D$12)),2,"Oops there is an error")))))</f>
        <v>2</v>
      </c>
      <c r="S146" s="162">
        <f t="shared" si="28"/>
        <v>2</v>
      </c>
      <c r="T146" s="162"/>
      <c r="U146" s="162">
        <f t="shared" si="29"/>
        <v>2</v>
      </c>
      <c r="V146" s="162">
        <f t="shared" si="30"/>
        <v>2</v>
      </c>
      <c r="X146">
        <f t="shared" si="31"/>
        <v>2</v>
      </c>
      <c r="Y146">
        <f t="shared" si="32"/>
        <v>1</v>
      </c>
      <c r="Z146" s="110"/>
      <c r="AA146" s="10"/>
      <c r="AB146" s="47"/>
      <c r="AJ146" s="47"/>
    </row>
    <row r="147" spans="1:36" ht="28.5" x14ac:dyDescent="0.2">
      <c r="A147" s="162">
        <v>3549</v>
      </c>
      <c r="B147" s="11" t="str">
        <f t="shared" si="24"/>
        <v>SL.127</v>
      </c>
      <c r="C147" s="113" t="s">
        <v>547</v>
      </c>
      <c r="D147" s="120" t="s">
        <v>96</v>
      </c>
      <c r="E147" s="120"/>
      <c r="F147" s="21"/>
      <c r="G147" s="10" t="s">
        <v>538</v>
      </c>
      <c r="H147" s="110" t="s">
        <v>545</v>
      </c>
      <c r="I147" s="10" t="s">
        <v>546</v>
      </c>
      <c r="J147" s="111">
        <v>2</v>
      </c>
      <c r="K147" s="111" t="s">
        <v>274</v>
      </c>
      <c r="L147" s="109">
        <f t="shared" si="25"/>
        <v>127</v>
      </c>
      <c r="M147">
        <f t="shared" si="26"/>
        <v>16</v>
      </c>
      <c r="N147" s="109"/>
      <c r="P147" s="162"/>
      <c r="Q147" s="162">
        <f t="shared" si="27"/>
        <v>0</v>
      </c>
      <c r="R147" s="162">
        <f>IF(J147="","",IF(D147="",0,IF(D147="N/A",3,IF(OR(AND($M$1="Binary",D147="Yes"),AND($M$1="Scaled",D147&gt;Dashboard!$D$12)),1,IF(OR(AND($M$1="Binary",D147="No"),AND($M$1="Scaled",D147&lt;=Dashboard!$D$12)),2,"Oops there is an error")))))</f>
        <v>2</v>
      </c>
      <c r="S147" s="162">
        <f t="shared" si="28"/>
        <v>2</v>
      </c>
      <c r="T147" s="162"/>
      <c r="U147" s="162">
        <f t="shared" si="29"/>
        <v>2</v>
      </c>
      <c r="V147" s="162">
        <f t="shared" si="30"/>
        <v>2</v>
      </c>
      <c r="X147">
        <f t="shared" si="31"/>
        <v>2</v>
      </c>
      <c r="Y147">
        <f t="shared" si="32"/>
        <v>1</v>
      </c>
      <c r="Z147" s="110"/>
      <c r="AA147" s="10"/>
      <c r="AB147" s="47"/>
      <c r="AJ147" s="47"/>
    </row>
    <row r="148" spans="1:36" ht="42.75" x14ac:dyDescent="0.2">
      <c r="A148" s="162">
        <v>3554</v>
      </c>
      <c r="B148" s="11" t="str">
        <f t="shared" si="24"/>
        <v>SL.128</v>
      </c>
      <c r="C148" s="113" t="s">
        <v>548</v>
      </c>
      <c r="D148" s="120" t="s">
        <v>96</v>
      </c>
      <c r="E148" s="120"/>
      <c r="F148" s="21"/>
      <c r="G148" s="10" t="s">
        <v>538</v>
      </c>
      <c r="H148" s="110" t="s">
        <v>549</v>
      </c>
      <c r="I148" s="10" t="s">
        <v>550</v>
      </c>
      <c r="J148" s="111">
        <v>2</v>
      </c>
      <c r="K148" s="111" t="s">
        <v>274</v>
      </c>
      <c r="L148" s="109">
        <f t="shared" si="25"/>
        <v>128</v>
      </c>
      <c r="M148">
        <f t="shared" si="26"/>
        <v>16</v>
      </c>
      <c r="N148" s="109"/>
      <c r="P148" s="162"/>
      <c r="Q148" s="162">
        <f t="shared" si="27"/>
        <v>0</v>
      </c>
      <c r="R148" s="162">
        <f>IF(J148="","",IF(D148="",0,IF(D148="N/A",3,IF(OR(AND($M$1="Binary",D148="Yes"),AND($M$1="Scaled",D148&gt;Dashboard!$D$12)),1,IF(OR(AND($M$1="Binary",D148="No"),AND($M$1="Scaled",D148&lt;=Dashboard!$D$12)),2,"Oops there is an error")))))</f>
        <v>2</v>
      </c>
      <c r="S148" s="162">
        <f t="shared" si="28"/>
        <v>2</v>
      </c>
      <c r="T148" s="162"/>
      <c r="U148" s="162">
        <f t="shared" si="29"/>
        <v>2</v>
      </c>
      <c r="V148" s="162">
        <f t="shared" si="30"/>
        <v>2</v>
      </c>
      <c r="X148">
        <f t="shared" si="31"/>
        <v>2</v>
      </c>
      <c r="Y148">
        <f t="shared" si="32"/>
        <v>1</v>
      </c>
      <c r="Z148" s="110"/>
      <c r="AA148" s="10"/>
      <c r="AB148" s="47"/>
      <c r="AJ148" s="47"/>
    </row>
    <row r="149" spans="1:36" ht="42.75" x14ac:dyDescent="0.2">
      <c r="A149" s="162">
        <v>3558</v>
      </c>
      <c r="B149" s="11" t="str">
        <f t="shared" si="24"/>
        <v>SL.129</v>
      </c>
      <c r="C149" s="113" t="s">
        <v>551</v>
      </c>
      <c r="D149" s="120" t="s">
        <v>93</v>
      </c>
      <c r="E149" s="120"/>
      <c r="F149" s="21"/>
      <c r="G149" s="10" t="s">
        <v>538</v>
      </c>
      <c r="H149" s="110" t="s">
        <v>549</v>
      </c>
      <c r="I149" s="10" t="s">
        <v>550</v>
      </c>
      <c r="J149" s="111">
        <v>2</v>
      </c>
      <c r="K149" s="111" t="s">
        <v>274</v>
      </c>
      <c r="L149" s="109">
        <f t="shared" si="25"/>
        <v>129</v>
      </c>
      <c r="M149">
        <f t="shared" si="26"/>
        <v>16</v>
      </c>
      <c r="N149" s="109"/>
      <c r="P149" s="162"/>
      <c r="Q149" s="162">
        <f t="shared" si="27"/>
        <v>0</v>
      </c>
      <c r="R149" s="162">
        <f>IF(J149="","",IF(D149="",0,IF(D149="N/A",3,IF(OR(AND($M$1="Binary",D149="Yes"),AND($M$1="Scaled",D149&gt;Dashboard!$D$12)),1,IF(OR(AND($M$1="Binary",D149="No"),AND($M$1="Scaled",D149&lt;=Dashboard!$D$12)),2,"Oops there is an error")))))</f>
        <v>1</v>
      </c>
      <c r="S149" s="162">
        <f t="shared" si="28"/>
        <v>1</v>
      </c>
      <c r="T149" s="162"/>
      <c r="U149" s="162">
        <f t="shared" si="29"/>
        <v>0</v>
      </c>
      <c r="V149" s="162">
        <f t="shared" si="30"/>
        <v>1</v>
      </c>
      <c r="X149">
        <f t="shared" si="31"/>
        <v>2</v>
      </c>
      <c r="Y149">
        <f t="shared" si="32"/>
        <v>1</v>
      </c>
      <c r="Z149" s="110"/>
      <c r="AA149" s="10"/>
      <c r="AB149" s="47"/>
      <c r="AJ149" s="47"/>
    </row>
    <row r="150" spans="1:36" ht="114" x14ac:dyDescent="0.2">
      <c r="A150" s="162">
        <v>3563</v>
      </c>
      <c r="B150" s="11" t="str">
        <f t="shared" si="24"/>
        <v>SL.130</v>
      </c>
      <c r="C150" s="113" t="s">
        <v>552</v>
      </c>
      <c r="D150" s="120" t="s">
        <v>93</v>
      </c>
      <c r="E150" s="120"/>
      <c r="F150" s="21" t="s">
        <v>1105</v>
      </c>
      <c r="G150" s="10" t="s">
        <v>538</v>
      </c>
      <c r="H150" s="110" t="s">
        <v>549</v>
      </c>
      <c r="I150" s="10" t="s">
        <v>550</v>
      </c>
      <c r="J150" s="111">
        <v>2</v>
      </c>
      <c r="K150" s="111" t="s">
        <v>274</v>
      </c>
      <c r="L150" s="109">
        <f t="shared" si="25"/>
        <v>130</v>
      </c>
      <c r="M150">
        <f t="shared" si="26"/>
        <v>16</v>
      </c>
      <c r="N150" s="109"/>
      <c r="P150" s="162"/>
      <c r="Q150" s="162">
        <f t="shared" si="27"/>
        <v>0</v>
      </c>
      <c r="R150" s="162">
        <f>IF(J150="","",IF(D150="",0,IF(D150="N/A",3,IF(OR(AND($M$1="Binary",D150="Yes"),AND($M$1="Scaled",D150&gt;Dashboard!$D$12)),1,IF(OR(AND($M$1="Binary",D150="No"),AND($M$1="Scaled",D150&lt;=Dashboard!$D$12)),2,"Oops there is an error")))))</f>
        <v>1</v>
      </c>
      <c r="S150" s="162">
        <f t="shared" si="28"/>
        <v>1</v>
      </c>
      <c r="T150" s="162"/>
      <c r="U150" s="162">
        <f t="shared" si="29"/>
        <v>0</v>
      </c>
      <c r="V150" s="162">
        <f t="shared" si="30"/>
        <v>1</v>
      </c>
      <c r="X150">
        <f t="shared" si="31"/>
        <v>2</v>
      </c>
      <c r="Y150">
        <f t="shared" si="32"/>
        <v>1</v>
      </c>
      <c r="Z150" s="110"/>
      <c r="AA150" s="10"/>
      <c r="AB150" s="47"/>
      <c r="AJ150" s="47"/>
    </row>
    <row r="151" spans="1:36" ht="28.5" x14ac:dyDescent="0.2">
      <c r="A151" s="162">
        <v>3568</v>
      </c>
      <c r="B151" s="11" t="str">
        <f t="shared" si="24"/>
        <v>SL.131</v>
      </c>
      <c r="C151" s="113" t="s">
        <v>553</v>
      </c>
      <c r="D151" s="120" t="s">
        <v>96</v>
      </c>
      <c r="E151" s="120"/>
      <c r="F151" s="21"/>
      <c r="G151" s="10" t="s">
        <v>554</v>
      </c>
      <c r="H151" s="110" t="s">
        <v>89</v>
      </c>
      <c r="I151" s="10"/>
      <c r="J151" s="111">
        <v>2</v>
      </c>
      <c r="K151" s="111" t="s">
        <v>274</v>
      </c>
      <c r="L151" s="109">
        <f t="shared" si="25"/>
        <v>131</v>
      </c>
      <c r="M151">
        <f t="shared" si="26"/>
        <v>16</v>
      </c>
      <c r="N151" s="109"/>
      <c r="P151" s="162"/>
      <c r="Q151" s="162">
        <f t="shared" si="27"/>
        <v>0</v>
      </c>
      <c r="R151" s="162">
        <f>IF(J151="","",IF(D151="",0,IF(D151="N/A",3,IF(OR(AND($M$1="Binary",D151="Yes"),AND($M$1="Scaled",D151&gt;Dashboard!$D$12)),1,IF(OR(AND($M$1="Binary",D151="No"),AND($M$1="Scaled",D151&lt;=Dashboard!$D$12)),2,"Oops there is an error")))))</f>
        <v>2</v>
      </c>
      <c r="S151" s="162">
        <f t="shared" si="28"/>
        <v>2</v>
      </c>
      <c r="T151" s="162"/>
      <c r="U151" s="162">
        <f t="shared" si="29"/>
        <v>2</v>
      </c>
      <c r="V151" s="162">
        <f t="shared" si="30"/>
        <v>2</v>
      </c>
      <c r="X151">
        <f t="shared" si="31"/>
        <v>2</v>
      </c>
      <c r="Y151">
        <f t="shared" si="32"/>
        <v>1</v>
      </c>
      <c r="Z151" s="110"/>
      <c r="AA151" s="10"/>
      <c r="AB151" s="47"/>
      <c r="AJ151" s="47">
        <v>2</v>
      </c>
    </row>
    <row r="152" spans="1:36" ht="71.25" x14ac:dyDescent="0.2">
      <c r="A152" s="162">
        <v>3590</v>
      </c>
      <c r="B152" s="11" t="str">
        <f t="shared" si="24"/>
        <v>SL.132</v>
      </c>
      <c r="C152" s="113" t="s">
        <v>555</v>
      </c>
      <c r="D152" s="120" t="s">
        <v>96</v>
      </c>
      <c r="E152" s="120"/>
      <c r="F152" s="21"/>
      <c r="G152" s="10" t="s">
        <v>508</v>
      </c>
      <c r="H152" s="110" t="s">
        <v>535</v>
      </c>
      <c r="I152" s="10" t="s">
        <v>536</v>
      </c>
      <c r="J152" s="111">
        <v>2</v>
      </c>
      <c r="K152" s="111" t="s">
        <v>274</v>
      </c>
      <c r="L152" s="109">
        <f t="shared" si="25"/>
        <v>132</v>
      </c>
      <c r="M152">
        <f t="shared" si="26"/>
        <v>16</v>
      </c>
      <c r="N152" s="109"/>
      <c r="P152" s="162"/>
      <c r="Q152" s="162">
        <f t="shared" si="27"/>
        <v>0</v>
      </c>
      <c r="R152" s="162">
        <f>IF(J152="","",IF(D152="",0,IF(D152="N/A",3,IF(OR(AND($M$1="Binary",D152="Yes"),AND($M$1="Scaled",D152&gt;Dashboard!$D$12)),1,IF(OR(AND($M$1="Binary",D152="No"),AND($M$1="Scaled",D152&lt;=Dashboard!$D$12)),2,"Oops there is an error")))))</f>
        <v>2</v>
      </c>
      <c r="S152" s="162">
        <f t="shared" si="28"/>
        <v>2</v>
      </c>
      <c r="T152" s="162"/>
      <c r="U152" s="162">
        <f t="shared" si="29"/>
        <v>2</v>
      </c>
      <c r="V152" s="162">
        <f t="shared" si="30"/>
        <v>2</v>
      </c>
      <c r="X152">
        <f t="shared" si="31"/>
        <v>2</v>
      </c>
      <c r="Y152">
        <f t="shared" si="32"/>
        <v>1</v>
      </c>
      <c r="Z152" s="110"/>
      <c r="AA152" s="10"/>
      <c r="AB152" s="47"/>
      <c r="AJ152" s="47">
        <v>2</v>
      </c>
    </row>
    <row r="153" spans="1:36" ht="28.5" x14ac:dyDescent="0.2">
      <c r="A153" s="162">
        <v>3602</v>
      </c>
      <c r="B153" s="11" t="str">
        <f t="shared" si="24"/>
        <v>SL.133</v>
      </c>
      <c r="C153" s="113" t="s">
        <v>556</v>
      </c>
      <c r="D153" s="120" t="s">
        <v>96</v>
      </c>
      <c r="E153" s="120"/>
      <c r="F153" s="21"/>
      <c r="G153" s="110" t="s">
        <v>89</v>
      </c>
      <c r="H153" s="110">
        <v>17.100000000000001</v>
      </c>
      <c r="I153" s="10" t="s">
        <v>557</v>
      </c>
      <c r="J153" s="111">
        <v>2</v>
      </c>
      <c r="K153" s="111" t="s">
        <v>274</v>
      </c>
      <c r="L153" s="109">
        <f t="shared" si="25"/>
        <v>133</v>
      </c>
      <c r="M153">
        <f t="shared" si="26"/>
        <v>16</v>
      </c>
      <c r="N153" s="109"/>
      <c r="P153" s="162"/>
      <c r="Q153" s="162">
        <f t="shared" si="27"/>
        <v>0</v>
      </c>
      <c r="R153" s="162">
        <f>IF(J153="","",IF(D153="",0,IF(D153="N/A",3,IF(OR(AND($M$1="Binary",D153="Yes"),AND($M$1="Scaled",D153&gt;Dashboard!$D$12)),1,IF(OR(AND($M$1="Binary",D153="No"),AND($M$1="Scaled",D153&lt;=Dashboard!$D$12)),2,"Oops there is an error")))))</f>
        <v>2</v>
      </c>
      <c r="S153" s="162">
        <f t="shared" si="28"/>
        <v>2</v>
      </c>
      <c r="T153" s="162"/>
      <c r="U153" s="162">
        <f t="shared" si="29"/>
        <v>2</v>
      </c>
      <c r="V153" s="162">
        <f t="shared" si="30"/>
        <v>2</v>
      </c>
      <c r="X153">
        <f t="shared" si="31"/>
        <v>2</v>
      </c>
      <c r="Y153">
        <f t="shared" si="32"/>
        <v>1</v>
      </c>
      <c r="Z153" s="110"/>
      <c r="AA153" s="10"/>
      <c r="AB153" s="47"/>
      <c r="AJ153" s="47">
        <v>2</v>
      </c>
    </row>
    <row r="154" spans="1:36" ht="28.5" x14ac:dyDescent="0.2">
      <c r="A154" s="162">
        <v>3623</v>
      </c>
      <c r="B154" s="11" t="str">
        <f t="shared" si="24"/>
        <v>SL.134</v>
      </c>
      <c r="C154" s="113" t="s">
        <v>558</v>
      </c>
      <c r="D154" s="120" t="s">
        <v>96</v>
      </c>
      <c r="E154" s="120"/>
      <c r="F154" s="21"/>
      <c r="G154" s="110" t="s">
        <v>89</v>
      </c>
      <c r="H154" s="110">
        <v>17.100000000000001</v>
      </c>
      <c r="I154" s="10" t="s">
        <v>557</v>
      </c>
      <c r="J154" s="111">
        <v>2</v>
      </c>
      <c r="K154" s="111" t="s">
        <v>274</v>
      </c>
      <c r="L154" s="109">
        <f t="shared" si="25"/>
        <v>134</v>
      </c>
      <c r="M154">
        <f t="shared" si="26"/>
        <v>16</v>
      </c>
      <c r="N154" s="109"/>
      <c r="P154" s="162"/>
      <c r="Q154" s="162">
        <f t="shared" si="27"/>
        <v>0</v>
      </c>
      <c r="R154" s="162">
        <f>IF(J154="","",IF(D154="",0,IF(D154="N/A",3,IF(OR(AND($M$1="Binary",D154="Yes"),AND($M$1="Scaled",D154&gt;Dashboard!$D$12)),1,IF(OR(AND($M$1="Binary",D154="No"),AND($M$1="Scaled",D154&lt;=Dashboard!$D$12)),2,"Oops there is an error")))))</f>
        <v>2</v>
      </c>
      <c r="S154" s="162">
        <f t="shared" si="28"/>
        <v>2</v>
      </c>
      <c r="T154" s="162"/>
      <c r="U154" s="162">
        <f t="shared" si="29"/>
        <v>2</v>
      </c>
      <c r="V154" s="162">
        <f t="shared" si="30"/>
        <v>2</v>
      </c>
      <c r="X154">
        <f t="shared" si="31"/>
        <v>2</v>
      </c>
      <c r="Y154">
        <f t="shared" si="32"/>
        <v>1</v>
      </c>
      <c r="Z154" s="110"/>
      <c r="AA154" s="10"/>
      <c r="AB154" s="47"/>
      <c r="AJ154" s="47">
        <v>2</v>
      </c>
    </row>
    <row r="155" spans="1:36" ht="28.5" x14ac:dyDescent="0.2">
      <c r="A155" s="162">
        <v>3624</v>
      </c>
      <c r="B155" s="11" t="str">
        <f t="shared" si="24"/>
        <v>SL.135</v>
      </c>
      <c r="C155" s="113" t="s">
        <v>559</v>
      </c>
      <c r="D155" s="120" t="s">
        <v>96</v>
      </c>
      <c r="E155" s="120"/>
      <c r="F155" s="21"/>
      <c r="G155" s="110" t="s">
        <v>89</v>
      </c>
      <c r="H155" s="110">
        <v>17.100000000000001</v>
      </c>
      <c r="I155" s="10" t="s">
        <v>557</v>
      </c>
      <c r="J155" s="111">
        <v>2</v>
      </c>
      <c r="K155" s="111" t="s">
        <v>274</v>
      </c>
      <c r="L155" s="109">
        <f t="shared" si="25"/>
        <v>135</v>
      </c>
      <c r="M155">
        <f t="shared" si="26"/>
        <v>16</v>
      </c>
      <c r="N155" s="109"/>
      <c r="P155" s="162"/>
      <c r="Q155" s="162">
        <f t="shared" si="27"/>
        <v>0</v>
      </c>
      <c r="R155" s="162">
        <f>IF(J155="","",IF(D155="",0,IF(D155="N/A",3,IF(OR(AND($M$1="Binary",D155="Yes"),AND($M$1="Scaled",D155&gt;Dashboard!$D$12)),1,IF(OR(AND($M$1="Binary",D155="No"),AND($M$1="Scaled",D155&lt;=Dashboard!$D$12)),2,"Oops there is an error")))))</f>
        <v>2</v>
      </c>
      <c r="S155" s="162">
        <f t="shared" si="28"/>
        <v>2</v>
      </c>
      <c r="T155" s="162"/>
      <c r="U155" s="162">
        <f t="shared" si="29"/>
        <v>2</v>
      </c>
      <c r="V155" s="162">
        <f t="shared" si="30"/>
        <v>2</v>
      </c>
      <c r="X155">
        <f t="shared" si="31"/>
        <v>2</v>
      </c>
      <c r="Y155">
        <f t="shared" si="32"/>
        <v>1</v>
      </c>
      <c r="Z155" s="110"/>
      <c r="AA155" s="10"/>
      <c r="AB155" s="47"/>
      <c r="AJ155" s="47">
        <v>2</v>
      </c>
    </row>
    <row r="156" spans="1:36" ht="28.5" x14ac:dyDescent="0.2">
      <c r="A156" s="162">
        <v>3625</v>
      </c>
      <c r="B156" s="11" t="str">
        <f t="shared" ref="B156:B161" si="33">IF(A156="","",$Q$1&amp;"."&amp;L156)</f>
        <v>SL.136</v>
      </c>
      <c r="C156" s="113" t="s">
        <v>560</v>
      </c>
      <c r="D156" s="120" t="s">
        <v>96</v>
      </c>
      <c r="E156" s="120"/>
      <c r="F156" s="21"/>
      <c r="G156" s="110" t="s">
        <v>89</v>
      </c>
      <c r="H156" s="110">
        <v>17.100000000000001</v>
      </c>
      <c r="I156" s="10" t="s">
        <v>557</v>
      </c>
      <c r="J156" s="111">
        <v>2</v>
      </c>
      <c r="K156" s="111" t="s">
        <v>274</v>
      </c>
      <c r="L156" s="109">
        <f t="shared" si="25"/>
        <v>136</v>
      </c>
      <c r="M156">
        <f t="shared" si="26"/>
        <v>16</v>
      </c>
      <c r="N156" s="109"/>
      <c r="P156" s="162"/>
      <c r="Q156" s="162">
        <f t="shared" si="27"/>
        <v>0</v>
      </c>
      <c r="R156" s="162">
        <f>IF(J156="","",IF(D156="",0,IF(D156="N/A",3,IF(OR(AND($M$1="Binary",D156="Yes"),AND($M$1="Scaled",D156&gt;Dashboard!$D$12)),1,IF(OR(AND($M$1="Binary",D156="No"),AND($M$1="Scaled",D156&lt;=Dashboard!$D$12)),2,"Oops there is an error")))))</f>
        <v>2</v>
      </c>
      <c r="S156" s="162">
        <f t="shared" si="28"/>
        <v>2</v>
      </c>
      <c r="T156" s="162"/>
      <c r="U156" s="162">
        <f t="shared" si="29"/>
        <v>2</v>
      </c>
      <c r="V156" s="162">
        <f t="shared" si="30"/>
        <v>2</v>
      </c>
      <c r="X156">
        <f t="shared" si="31"/>
        <v>2</v>
      </c>
      <c r="Y156">
        <f t="shared" si="32"/>
        <v>1</v>
      </c>
      <c r="Z156" s="110"/>
      <c r="AA156" s="10"/>
      <c r="AB156" s="47"/>
      <c r="AJ156" s="47">
        <v>2</v>
      </c>
    </row>
    <row r="157" spans="1:36" ht="28.5" x14ac:dyDescent="0.2">
      <c r="A157" s="162">
        <v>3632</v>
      </c>
      <c r="B157" s="11" t="str">
        <f t="shared" si="33"/>
        <v>SL.137</v>
      </c>
      <c r="C157" s="113" t="s">
        <v>561</v>
      </c>
      <c r="D157" s="120" t="s">
        <v>93</v>
      </c>
      <c r="E157" s="120"/>
      <c r="F157" s="21"/>
      <c r="G157" s="110" t="s">
        <v>89</v>
      </c>
      <c r="H157" s="110">
        <v>17.100000000000001</v>
      </c>
      <c r="I157" s="10" t="s">
        <v>557</v>
      </c>
      <c r="J157" s="111">
        <v>2</v>
      </c>
      <c r="K157" s="111" t="s">
        <v>274</v>
      </c>
      <c r="L157" s="109">
        <f t="shared" si="25"/>
        <v>137</v>
      </c>
      <c r="M157">
        <f t="shared" si="26"/>
        <v>16</v>
      </c>
      <c r="N157" s="109"/>
      <c r="P157" s="162"/>
      <c r="Q157" s="162">
        <f t="shared" si="27"/>
        <v>0</v>
      </c>
      <c r="R157" s="162">
        <f>IF(J157="","",IF(D157="",0,IF(D157="N/A",3,IF(OR(AND($M$1="Binary",D157="Yes"),AND($M$1="Scaled",D157&gt;Dashboard!$D$12)),1,IF(OR(AND($M$1="Binary",D157="No"),AND($M$1="Scaled",D157&lt;=Dashboard!$D$12)),2,"Oops there is an error")))))</f>
        <v>1</v>
      </c>
      <c r="S157" s="162">
        <f t="shared" si="28"/>
        <v>1</v>
      </c>
      <c r="T157" s="162"/>
      <c r="U157" s="162">
        <f t="shared" si="29"/>
        <v>0</v>
      </c>
      <c r="V157" s="162">
        <f t="shared" si="30"/>
        <v>1</v>
      </c>
      <c r="X157">
        <f t="shared" si="31"/>
        <v>2</v>
      </c>
      <c r="Y157">
        <f t="shared" si="32"/>
        <v>1</v>
      </c>
      <c r="Z157" s="110"/>
      <c r="AA157" s="10"/>
      <c r="AB157" s="47"/>
      <c r="AJ157" s="47"/>
    </row>
    <row r="158" spans="1:36" ht="28.5" x14ac:dyDescent="0.2">
      <c r="A158" s="162">
        <v>3634</v>
      </c>
      <c r="B158" s="11" t="str">
        <f t="shared" si="33"/>
        <v>SL.138</v>
      </c>
      <c r="C158" s="113" t="s">
        <v>562</v>
      </c>
      <c r="D158" s="120" t="s">
        <v>96</v>
      </c>
      <c r="E158" s="120"/>
      <c r="F158" s="21"/>
      <c r="G158" s="110" t="s">
        <v>89</v>
      </c>
      <c r="H158" s="110">
        <v>17.100000000000001</v>
      </c>
      <c r="I158" s="10" t="s">
        <v>557</v>
      </c>
      <c r="J158" s="111">
        <v>2</v>
      </c>
      <c r="K158" s="111" t="s">
        <v>274</v>
      </c>
      <c r="L158" s="109">
        <f t="shared" si="25"/>
        <v>138</v>
      </c>
      <c r="M158">
        <f t="shared" si="26"/>
        <v>16</v>
      </c>
      <c r="N158" s="109"/>
      <c r="P158" s="162"/>
      <c r="Q158" s="162">
        <f t="shared" si="27"/>
        <v>0</v>
      </c>
      <c r="R158" s="162">
        <f>IF(J158="","",IF(D158="",0,IF(D158="N/A",3,IF(OR(AND($M$1="Binary",D158="Yes"),AND($M$1="Scaled",D158&gt;Dashboard!$D$12)),1,IF(OR(AND($M$1="Binary",D158="No"),AND($M$1="Scaled",D158&lt;=Dashboard!$D$12)),2,"Oops there is an error")))))</f>
        <v>2</v>
      </c>
      <c r="S158" s="162">
        <f t="shared" si="28"/>
        <v>2</v>
      </c>
      <c r="T158" s="162"/>
      <c r="U158" s="162">
        <f t="shared" si="29"/>
        <v>2</v>
      </c>
      <c r="V158" s="162">
        <f t="shared" si="30"/>
        <v>2</v>
      </c>
      <c r="X158">
        <f t="shared" si="31"/>
        <v>2</v>
      </c>
      <c r="Y158">
        <f t="shared" si="32"/>
        <v>1</v>
      </c>
      <c r="Z158" s="110"/>
      <c r="AA158" s="10"/>
      <c r="AB158" s="47"/>
      <c r="AJ158" s="47">
        <v>2</v>
      </c>
    </row>
    <row r="159" spans="1:36" ht="42.75" x14ac:dyDescent="0.2">
      <c r="A159" s="162">
        <v>3638</v>
      </c>
      <c r="B159" s="11" t="str">
        <f t="shared" si="33"/>
        <v>SL.139</v>
      </c>
      <c r="C159" s="113" t="s">
        <v>563</v>
      </c>
      <c r="D159" s="120" t="s">
        <v>96</v>
      </c>
      <c r="E159" s="120"/>
      <c r="F159" s="21" t="s">
        <v>1106</v>
      </c>
      <c r="G159" s="110" t="s">
        <v>89</v>
      </c>
      <c r="H159" s="110">
        <v>17.2</v>
      </c>
      <c r="I159" s="10" t="s">
        <v>564</v>
      </c>
      <c r="J159" s="111">
        <v>2</v>
      </c>
      <c r="K159" s="111" t="s">
        <v>274</v>
      </c>
      <c r="L159" s="109">
        <f t="shared" si="25"/>
        <v>139</v>
      </c>
      <c r="M159">
        <f t="shared" si="26"/>
        <v>16</v>
      </c>
      <c r="N159" s="109"/>
      <c r="P159" s="162"/>
      <c r="Q159" s="162">
        <f t="shared" si="27"/>
        <v>0</v>
      </c>
      <c r="R159" s="162">
        <f>IF(J159="","",IF(D159="",0,IF(D159="N/A",3,IF(OR(AND($M$1="Binary",D159="Yes"),AND($M$1="Scaled",D159&gt;Dashboard!$D$12)),1,IF(OR(AND($M$1="Binary",D159="No"),AND($M$1="Scaled",D159&lt;=Dashboard!$D$12)),2,"Oops there is an error")))))</f>
        <v>2</v>
      </c>
      <c r="S159" s="162">
        <f t="shared" si="28"/>
        <v>2</v>
      </c>
      <c r="T159" s="162"/>
      <c r="U159" s="162">
        <f t="shared" si="29"/>
        <v>2</v>
      </c>
      <c r="V159" s="162">
        <f t="shared" si="30"/>
        <v>2</v>
      </c>
      <c r="X159">
        <f t="shared" si="31"/>
        <v>2</v>
      </c>
      <c r="Y159">
        <f t="shared" si="32"/>
        <v>1</v>
      </c>
      <c r="Z159" s="110"/>
      <c r="AA159" s="10"/>
      <c r="AB159" s="47"/>
      <c r="AJ159" s="47">
        <v>2</v>
      </c>
    </row>
    <row r="160" spans="1:36" ht="57" x14ac:dyDescent="0.2">
      <c r="A160" s="162">
        <v>3639</v>
      </c>
      <c r="B160" s="11" t="str">
        <f t="shared" si="33"/>
        <v>SL.140</v>
      </c>
      <c r="C160" s="113" t="s">
        <v>565</v>
      </c>
      <c r="D160" s="120" t="s">
        <v>96</v>
      </c>
      <c r="E160" s="120"/>
      <c r="F160" s="21"/>
      <c r="G160" s="110" t="s">
        <v>89</v>
      </c>
      <c r="H160" s="110" t="s">
        <v>566</v>
      </c>
      <c r="I160" s="10" t="s">
        <v>567</v>
      </c>
      <c r="J160" s="111">
        <v>2</v>
      </c>
      <c r="K160" s="111" t="s">
        <v>274</v>
      </c>
      <c r="L160" s="109">
        <f t="shared" si="25"/>
        <v>140</v>
      </c>
      <c r="M160">
        <f t="shared" si="26"/>
        <v>16</v>
      </c>
      <c r="N160" s="109"/>
      <c r="P160" s="162"/>
      <c r="Q160" s="162">
        <f t="shared" si="27"/>
        <v>0</v>
      </c>
      <c r="R160" s="162">
        <f>IF(J160="","",IF(D160="",0,IF(D160="N/A",3,IF(OR(AND($M$1="Binary",D160="Yes"),AND($M$1="Scaled",D160&gt;Dashboard!$D$12)),1,IF(OR(AND($M$1="Binary",D160="No"),AND($M$1="Scaled",D160&lt;=Dashboard!$D$12)),2,"Oops there is an error")))))</f>
        <v>2</v>
      </c>
      <c r="S160" s="162">
        <f t="shared" si="28"/>
        <v>2</v>
      </c>
      <c r="T160" s="162"/>
      <c r="U160" s="162">
        <f t="shared" si="29"/>
        <v>2</v>
      </c>
      <c r="V160" s="162">
        <f t="shared" si="30"/>
        <v>2</v>
      </c>
      <c r="X160">
        <f t="shared" si="31"/>
        <v>2</v>
      </c>
      <c r="Y160">
        <f t="shared" si="32"/>
        <v>1</v>
      </c>
      <c r="Z160" s="110"/>
      <c r="AA160" s="10"/>
      <c r="AB160" s="47"/>
      <c r="AJ160" s="47">
        <v>2</v>
      </c>
    </row>
    <row r="161" spans="1:36" ht="42.75" x14ac:dyDescent="0.2">
      <c r="A161" s="162">
        <v>3649</v>
      </c>
      <c r="B161" s="11" t="str">
        <f t="shared" si="33"/>
        <v>SL.141</v>
      </c>
      <c r="C161" s="113" t="s">
        <v>568</v>
      </c>
      <c r="D161" s="120" t="s">
        <v>96</v>
      </c>
      <c r="E161" s="120"/>
      <c r="F161" s="21"/>
      <c r="G161" s="10" t="s">
        <v>516</v>
      </c>
      <c r="H161" s="110" t="s">
        <v>89</v>
      </c>
      <c r="I161" s="10"/>
      <c r="J161" s="111">
        <v>2</v>
      </c>
      <c r="K161" s="111" t="s">
        <v>274</v>
      </c>
      <c r="L161" s="109">
        <f t="shared" si="25"/>
        <v>141</v>
      </c>
      <c r="M161">
        <f t="shared" si="26"/>
        <v>16</v>
      </c>
      <c r="N161" s="109"/>
      <c r="P161" s="162"/>
      <c r="Q161" s="162">
        <f t="shared" si="27"/>
        <v>0</v>
      </c>
      <c r="R161" s="162">
        <f>IF(J161="","",IF(D161="",0,IF(D161="N/A",3,IF(OR(AND($M$1="Binary",D161="Yes"),AND($M$1="Scaled",D161&gt;Dashboard!$D$12)),1,IF(OR(AND($M$1="Binary",D161="No"),AND($M$1="Scaled",D161&lt;=Dashboard!$D$12)),2,"Oops there is an error")))))</f>
        <v>2</v>
      </c>
      <c r="S161" s="162">
        <f t="shared" si="28"/>
        <v>2</v>
      </c>
      <c r="T161" s="162"/>
      <c r="U161" s="162">
        <f t="shared" si="29"/>
        <v>2</v>
      </c>
      <c r="V161" s="162">
        <f t="shared" si="30"/>
        <v>2</v>
      </c>
      <c r="X161">
        <f t="shared" si="31"/>
        <v>2</v>
      </c>
      <c r="Y161">
        <f t="shared" si="32"/>
        <v>1</v>
      </c>
      <c r="Z161" s="110"/>
      <c r="AA161" s="10"/>
      <c r="AJ161" s="47">
        <v>2</v>
      </c>
    </row>
  </sheetData>
  <sheetProtection algorithmName="SHA-512" hashValue="clqXthigYskTQDQFccC1EI0H8U2XRLHmMRnZOZ9qsNB5DvjgneJcIC/+sZrR504WCWWM0WbbZTSPDIj0I5E89g==" saltValue="AUgPWq4aLPAb8vfvdwZnpw==" spinCount="100000" sheet="1" objects="1" scenarios="1"/>
  <autoFilter ref="X4:X161" xr:uid="{8DEA426C-BB34-43FD-83EC-CFDEAA3421B4}">
    <filterColumn colId="0">
      <filters>
        <filter val="1"/>
        <filter val="2"/>
      </filters>
    </filterColumn>
  </autoFilter>
  <mergeCells count="1">
    <mergeCell ref="B3:I3"/>
  </mergeCells>
  <phoneticPr fontId="0" type="noConversion"/>
  <conditionalFormatting sqref="C12:C13 C18:C23 C6 C25:C27 C47:C53 C55 C87:C108 C69:C78 C8:C10 C15:C16 C114:C161 C42:C45 C29:C40 C57:C67">
    <cfRule type="expression" dxfId="174" priority="653" stopIfTrue="1">
      <formula>A6=""</formula>
    </cfRule>
  </conditionalFormatting>
  <conditionalFormatting sqref="I1">
    <cfRule type="expression" dxfId="173" priority="882" stopIfTrue="1">
      <formula>Master="Master"</formula>
    </cfRule>
  </conditionalFormatting>
  <conditionalFormatting sqref="AB1">
    <cfRule type="expression" dxfId="172" priority="843" stopIfTrue="1">
      <formula>Master="Master"</formula>
    </cfRule>
  </conditionalFormatting>
  <conditionalFormatting sqref="AB2:AB3">
    <cfRule type="expression" dxfId="171" priority="844" stopIfTrue="1">
      <formula>Master="Master"</formula>
    </cfRule>
  </conditionalFormatting>
  <conditionalFormatting sqref="AB4">
    <cfRule type="expression" dxfId="170" priority="881" stopIfTrue="1">
      <formula>Master="Master"</formula>
    </cfRule>
  </conditionalFormatting>
  <conditionalFormatting sqref="A6:A161">
    <cfRule type="expression" dxfId="169" priority="274" stopIfTrue="1">
      <formula>COUNTIF(A:A,A6)&gt;1</formula>
    </cfRule>
    <cfRule type="expression" dxfId="168" priority="645" stopIfTrue="1">
      <formula>A6=""</formula>
    </cfRule>
  </conditionalFormatting>
  <conditionalFormatting sqref="AB5:AB160">
    <cfRule type="expression" dxfId="167" priority="273" stopIfTrue="1">
      <formula>Master="Master"</formula>
    </cfRule>
  </conditionalFormatting>
  <conditionalFormatting sqref="H1 I1:I2 Z1:AA2 B1:G2">
    <cfRule type="expression" dxfId="166" priority="897" stopIfTrue="1">
      <formula>OR($D$2&lt;1,$D$2="0%")</formula>
    </cfRule>
    <cfRule type="expression" dxfId="165" priority="898" stopIfTrue="1">
      <formula>$D$2=1</formula>
    </cfRule>
  </conditionalFormatting>
  <conditionalFormatting sqref="Z54:AA54 B54:I54">
    <cfRule type="expression" dxfId="164" priority="1054" stopIfTrue="1">
      <formula>$AD$14=$AE$14</formula>
    </cfRule>
    <cfRule type="expression" dxfId="163" priority="1055" stopIfTrue="1">
      <formula>$AD$14&lt;&gt;$AE$14</formula>
    </cfRule>
  </conditionalFormatting>
  <conditionalFormatting sqref="Z56:AA56 B56:I56">
    <cfRule type="expression" dxfId="162" priority="1058" stopIfTrue="1">
      <formula>$AD$15=$AE$15</formula>
    </cfRule>
    <cfRule type="expression" dxfId="161" priority="1059" stopIfTrue="1">
      <formula>$AD$15&lt;&gt;$AE$15</formula>
    </cfRule>
  </conditionalFormatting>
  <conditionalFormatting sqref="Z46:AA46 B46:I46">
    <cfRule type="expression" dxfId="160" priority="1062" stopIfTrue="1">
      <formula>$AD$13=$AE$13</formula>
    </cfRule>
    <cfRule type="expression" dxfId="159" priority="1063" stopIfTrue="1">
      <formula>$AD$13&lt;&gt;$AE$13</formula>
    </cfRule>
  </conditionalFormatting>
  <conditionalFormatting sqref="Z7:AA7 B7:I7">
    <cfRule type="expression" dxfId="158" priority="1066" stopIfTrue="1">
      <formula>$AD$6=$AE$6</formula>
    </cfRule>
    <cfRule type="expression" dxfId="157" priority="1067" stopIfTrue="1">
      <formula>$AD$6&lt;&gt;$AE$6</formula>
    </cfRule>
  </conditionalFormatting>
  <conditionalFormatting sqref="Z11:AA11 B11:I11">
    <cfRule type="expression" dxfId="156" priority="1070" stopIfTrue="1">
      <formula>$AD$7=$AE$7</formula>
    </cfRule>
    <cfRule type="expression" dxfId="155" priority="1071" stopIfTrue="1">
      <formula>$AD$7&lt;&gt;$AE$7</formula>
    </cfRule>
  </conditionalFormatting>
  <conditionalFormatting sqref="Z14:AA14 B14:I14">
    <cfRule type="expression" dxfId="154" priority="1074" stopIfTrue="1">
      <formula>$AD$8=$AE$8</formula>
    </cfRule>
    <cfRule type="expression" dxfId="153" priority="1075" stopIfTrue="1">
      <formula>$AD$8&lt;&gt;$AE$8</formula>
    </cfRule>
  </conditionalFormatting>
  <conditionalFormatting sqref="Z17:AA17 B17:I17">
    <cfRule type="expression" dxfId="152" priority="1078" stopIfTrue="1">
      <formula>$AD$9=$AE$9</formula>
    </cfRule>
    <cfRule type="expression" dxfId="151" priority="1079" stopIfTrue="1">
      <formula>$AD$9&lt;&gt;$AE$9</formula>
    </cfRule>
  </conditionalFormatting>
  <conditionalFormatting sqref="Z28:AA28 B28:I28">
    <cfRule type="expression" dxfId="150" priority="1082" stopIfTrue="1">
      <formula>$AD$11=$AE$11</formula>
    </cfRule>
    <cfRule type="expression" dxfId="149" priority="1083" stopIfTrue="1">
      <formula>$AD$11&lt;&gt;$AE$11</formula>
    </cfRule>
  </conditionalFormatting>
  <conditionalFormatting sqref="Z41:AA41 B41:I41">
    <cfRule type="expression" dxfId="148" priority="1086" stopIfTrue="1">
      <formula>$AD$12=$AE$12</formula>
    </cfRule>
    <cfRule type="expression" dxfId="147" priority="1087" stopIfTrue="1">
      <formula>$AD$12&lt;&gt;$AE$12</formula>
    </cfRule>
  </conditionalFormatting>
  <conditionalFormatting sqref="Z24:AA24 B24:I24">
    <cfRule type="expression" dxfId="146" priority="1090" stopIfTrue="1">
      <formula>$AD$10=$AE$10</formula>
    </cfRule>
    <cfRule type="expression" dxfId="145" priority="1091" stopIfTrue="1">
      <formula>$AD$10&lt;&gt;$AE$10</formula>
    </cfRule>
  </conditionalFormatting>
  <conditionalFormatting sqref="Z68:AA68 B68:I68">
    <cfRule type="expression" dxfId="144" priority="1094" stopIfTrue="1">
      <formula>$AD$16=$AE$16</formula>
    </cfRule>
    <cfRule type="expression" dxfId="143" priority="1095" stopIfTrue="1">
      <formula>$AD$16&lt;&gt;$AE$16</formula>
    </cfRule>
  </conditionalFormatting>
  <conditionalFormatting sqref="Z109:AA109 B109:I109">
    <cfRule type="expression" dxfId="142" priority="1098" stopIfTrue="1">
      <formula>$AD$19=$AE$19</formula>
    </cfRule>
    <cfRule type="expression" dxfId="141" priority="1099" stopIfTrue="1">
      <formula>$AD$19&lt;&gt;$AE$19</formula>
    </cfRule>
  </conditionalFormatting>
  <conditionalFormatting sqref="Z112:AA112 B112:I112">
    <cfRule type="expression" dxfId="140" priority="1102" stopIfTrue="1">
      <formula>$AD$20=$AE$20</formula>
    </cfRule>
    <cfRule type="expression" dxfId="139" priority="1103" stopIfTrue="1">
      <formula>$AD$20&lt;&gt;$AE$20</formula>
    </cfRule>
  </conditionalFormatting>
  <conditionalFormatting sqref="B79:I79 Z79:AA79">
    <cfRule type="expression" dxfId="138" priority="1106" stopIfTrue="1">
      <formula>$AD$17=$AE$17</formula>
    </cfRule>
    <cfRule type="expression" dxfId="137" priority="1107" stopIfTrue="1">
      <formula>$AD$17&lt;&gt;$AE$17</formula>
    </cfRule>
  </conditionalFormatting>
  <conditionalFormatting sqref="B86:I86 Z86:AA86">
    <cfRule type="expression" dxfId="136" priority="1110" stopIfTrue="1">
      <formula>$AD$18=$AE$18</formula>
    </cfRule>
    <cfRule type="expression" dxfId="135" priority="1111" stopIfTrue="1">
      <formula>$AD$18&lt;&gt;$AE$18</formula>
    </cfRule>
  </conditionalFormatting>
  <conditionalFormatting sqref="Z5:AA5 B5:I5">
    <cfRule type="expression" dxfId="134" priority="1114" stopIfTrue="1">
      <formula>$AD$5=$AE$5</formula>
    </cfRule>
    <cfRule type="expression" dxfId="133" priority="1115" stopIfTrue="1">
      <formula>$AD$5&lt;&gt;$AE$5</formula>
    </cfRule>
  </conditionalFormatting>
  <conditionalFormatting sqref="D6 D15:D16 D42:D45 D47:D53 D55 D69:D78 D80:D85 D87:D108 D110:D111 D57:D67 D113:D161 D8:D10 D12:D13 D18:D23 D25:D27 D29:D40">
    <cfRule type="expression" dxfId="132" priority="264" stopIfTrue="1">
      <formula>V6=1</formula>
    </cfRule>
    <cfRule type="expression" dxfId="131" priority="265" stopIfTrue="1">
      <formula>V6=3</formula>
    </cfRule>
    <cfRule type="expression" dxfId="130" priority="271" stopIfTrue="1">
      <formula>V6=2</formula>
    </cfRule>
  </conditionalFormatting>
  <conditionalFormatting sqref="E9 E13 E16 E20 E40 E48 E74:E75 E80 E110 E114:E120 E51 E136">
    <cfRule type="expression" dxfId="129" priority="260">
      <formula>AJ9=1</formula>
    </cfRule>
  </conditionalFormatting>
  <conditionalFormatting sqref="E8">
    <cfRule type="expression" dxfId="128" priority="134">
      <formula>$AJ8&lt;&gt;""</formula>
    </cfRule>
  </conditionalFormatting>
  <conditionalFormatting sqref="E10">
    <cfRule type="expression" dxfId="127" priority="133">
      <formula>$AJ10&lt;&gt;""</formula>
    </cfRule>
  </conditionalFormatting>
  <conditionalFormatting sqref="E12">
    <cfRule type="expression" dxfId="126" priority="132">
      <formula>$AJ12&lt;&gt;""</formula>
    </cfRule>
  </conditionalFormatting>
  <conditionalFormatting sqref="E15">
    <cfRule type="expression" dxfId="125" priority="131">
      <formula>$AJ15&lt;&gt;""</formula>
    </cfRule>
  </conditionalFormatting>
  <conditionalFormatting sqref="E18">
    <cfRule type="expression" dxfId="124" priority="130">
      <formula>$AJ18&lt;&gt;""</formula>
    </cfRule>
  </conditionalFormatting>
  <conditionalFormatting sqref="E19">
    <cfRule type="expression" dxfId="123" priority="129">
      <formula>$AJ19&lt;&gt;""</formula>
    </cfRule>
  </conditionalFormatting>
  <conditionalFormatting sqref="E21">
    <cfRule type="expression" dxfId="122" priority="128">
      <formula>$AJ21&lt;&gt;""</formula>
    </cfRule>
  </conditionalFormatting>
  <conditionalFormatting sqref="E22">
    <cfRule type="expression" dxfId="121" priority="127">
      <formula>$AJ22&lt;&gt;""</formula>
    </cfRule>
  </conditionalFormatting>
  <conditionalFormatting sqref="E23">
    <cfRule type="expression" dxfId="120" priority="126">
      <formula>$AJ23&lt;&gt;""</formula>
    </cfRule>
  </conditionalFormatting>
  <conditionalFormatting sqref="E25">
    <cfRule type="expression" dxfId="119" priority="125">
      <formula>$AJ25&lt;&gt;""</formula>
    </cfRule>
  </conditionalFormatting>
  <conditionalFormatting sqref="E26">
    <cfRule type="expression" dxfId="118" priority="124">
      <formula>$AJ26&lt;&gt;""</formula>
    </cfRule>
  </conditionalFormatting>
  <conditionalFormatting sqref="E27">
    <cfRule type="expression" dxfId="117" priority="123">
      <formula>$AJ27&lt;&gt;""</formula>
    </cfRule>
  </conditionalFormatting>
  <conditionalFormatting sqref="E29">
    <cfRule type="expression" dxfId="116" priority="122">
      <formula>$AJ29&lt;&gt;""</formula>
    </cfRule>
  </conditionalFormatting>
  <conditionalFormatting sqref="E30">
    <cfRule type="expression" dxfId="115" priority="121">
      <formula>$AJ30&lt;&gt;""</formula>
    </cfRule>
  </conditionalFormatting>
  <conditionalFormatting sqref="E31">
    <cfRule type="expression" dxfId="114" priority="120">
      <formula>$AJ31&lt;&gt;""</formula>
    </cfRule>
  </conditionalFormatting>
  <conditionalFormatting sqref="E32">
    <cfRule type="expression" dxfId="113" priority="119">
      <formula>$AJ32&lt;&gt;""</formula>
    </cfRule>
  </conditionalFormatting>
  <conditionalFormatting sqref="E33">
    <cfRule type="expression" dxfId="112" priority="118">
      <formula>$AJ33&lt;&gt;""</formula>
    </cfRule>
  </conditionalFormatting>
  <conditionalFormatting sqref="E34">
    <cfRule type="expression" dxfId="111" priority="117">
      <formula>$AJ34&lt;&gt;""</formula>
    </cfRule>
  </conditionalFormatting>
  <conditionalFormatting sqref="E35">
    <cfRule type="expression" dxfId="110" priority="116">
      <formula>$AJ35&lt;&gt;""</formula>
    </cfRule>
  </conditionalFormatting>
  <conditionalFormatting sqref="E36">
    <cfRule type="expression" dxfId="109" priority="115">
      <formula>$AJ36&lt;&gt;""</formula>
    </cfRule>
  </conditionalFormatting>
  <conditionalFormatting sqref="E37">
    <cfRule type="expression" dxfId="108" priority="114">
      <formula>$AJ37&lt;&gt;""</formula>
    </cfRule>
  </conditionalFormatting>
  <conditionalFormatting sqref="E38">
    <cfRule type="expression" dxfId="107" priority="113">
      <formula>$AJ38&lt;&gt;""</formula>
    </cfRule>
  </conditionalFormatting>
  <conditionalFormatting sqref="E43">
    <cfRule type="expression" dxfId="106" priority="110">
      <formula>$AJ43&lt;&gt;""</formula>
    </cfRule>
  </conditionalFormatting>
  <conditionalFormatting sqref="E44">
    <cfRule type="expression" dxfId="105" priority="109">
      <formula>$AJ44&lt;&gt;""</formula>
    </cfRule>
  </conditionalFormatting>
  <conditionalFormatting sqref="E45">
    <cfRule type="expression" dxfId="104" priority="108">
      <formula>$AJ45&lt;&gt;""</formula>
    </cfRule>
  </conditionalFormatting>
  <conditionalFormatting sqref="E47">
    <cfRule type="expression" dxfId="103" priority="107">
      <formula>$AJ47&lt;&gt;""</formula>
    </cfRule>
  </conditionalFormatting>
  <conditionalFormatting sqref="E49">
    <cfRule type="expression" dxfId="102" priority="106">
      <formula>$AJ49&lt;&gt;""</formula>
    </cfRule>
  </conditionalFormatting>
  <conditionalFormatting sqref="E50">
    <cfRule type="expression" dxfId="101" priority="105">
      <formula>$AJ50&lt;&gt;""</formula>
    </cfRule>
  </conditionalFormatting>
  <conditionalFormatting sqref="E52">
    <cfRule type="expression" dxfId="100" priority="104">
      <formula>$AJ52&lt;&gt;""</formula>
    </cfRule>
  </conditionalFormatting>
  <conditionalFormatting sqref="E53">
    <cfRule type="expression" dxfId="99" priority="103">
      <formula>$AJ53&lt;&gt;""</formula>
    </cfRule>
  </conditionalFormatting>
  <conditionalFormatting sqref="E55">
    <cfRule type="expression" dxfId="98" priority="102">
      <formula>$AJ55&lt;&gt;""</formula>
    </cfRule>
  </conditionalFormatting>
  <conditionalFormatting sqref="E57">
    <cfRule type="expression" dxfId="97" priority="101">
      <formula>$AJ57&lt;&gt;""</formula>
    </cfRule>
  </conditionalFormatting>
  <conditionalFormatting sqref="E58">
    <cfRule type="expression" dxfId="96" priority="100">
      <formula>$AJ58&lt;&gt;""</formula>
    </cfRule>
  </conditionalFormatting>
  <conditionalFormatting sqref="E59">
    <cfRule type="expression" dxfId="95" priority="99">
      <formula>$AJ59&lt;&gt;""</formula>
    </cfRule>
  </conditionalFormatting>
  <conditionalFormatting sqref="E60">
    <cfRule type="expression" dxfId="94" priority="98">
      <formula>$AJ60&lt;&gt;""</formula>
    </cfRule>
  </conditionalFormatting>
  <conditionalFormatting sqref="E61">
    <cfRule type="expression" dxfId="93" priority="97">
      <formula>$AJ61&lt;&gt;""</formula>
    </cfRule>
  </conditionalFormatting>
  <conditionalFormatting sqref="E62">
    <cfRule type="expression" dxfId="92" priority="96">
      <formula>$AJ62&lt;&gt;""</formula>
    </cfRule>
  </conditionalFormatting>
  <conditionalFormatting sqref="E63">
    <cfRule type="expression" dxfId="91" priority="95">
      <formula>$AJ63&lt;&gt;""</formula>
    </cfRule>
  </conditionalFormatting>
  <conditionalFormatting sqref="E64">
    <cfRule type="expression" dxfId="90" priority="94">
      <formula>$AJ64&lt;&gt;""</formula>
    </cfRule>
  </conditionalFormatting>
  <conditionalFormatting sqref="E65">
    <cfRule type="expression" dxfId="89" priority="93">
      <formula>$AJ65&lt;&gt;""</formula>
    </cfRule>
  </conditionalFormatting>
  <conditionalFormatting sqref="E66">
    <cfRule type="expression" dxfId="88" priority="92">
      <formula>$AJ66&lt;&gt;""</formula>
    </cfRule>
  </conditionalFormatting>
  <conditionalFormatting sqref="E69">
    <cfRule type="expression" dxfId="87" priority="90">
      <formula>$AJ69&lt;&gt;""</formula>
    </cfRule>
  </conditionalFormatting>
  <conditionalFormatting sqref="E70">
    <cfRule type="expression" dxfId="86" priority="89">
      <formula>$AJ70&lt;&gt;""</formula>
    </cfRule>
  </conditionalFormatting>
  <conditionalFormatting sqref="E71">
    <cfRule type="expression" dxfId="85" priority="88">
      <formula>$AJ71&lt;&gt;""</formula>
    </cfRule>
  </conditionalFormatting>
  <conditionalFormatting sqref="E72">
    <cfRule type="expression" dxfId="84" priority="87">
      <formula>$AJ72&lt;&gt;""</formula>
    </cfRule>
  </conditionalFormatting>
  <conditionalFormatting sqref="E73">
    <cfRule type="expression" dxfId="83" priority="86">
      <formula>$AJ73&lt;&gt;""</formula>
    </cfRule>
  </conditionalFormatting>
  <conditionalFormatting sqref="E76">
    <cfRule type="expression" dxfId="82" priority="85">
      <formula>$AJ76&lt;&gt;""</formula>
    </cfRule>
  </conditionalFormatting>
  <conditionalFormatting sqref="E77">
    <cfRule type="expression" dxfId="81" priority="84">
      <formula>$AJ77&lt;&gt;""</formula>
    </cfRule>
  </conditionalFormatting>
  <conditionalFormatting sqref="E78">
    <cfRule type="expression" dxfId="80" priority="83">
      <formula>$AJ78&lt;&gt;""</formula>
    </cfRule>
  </conditionalFormatting>
  <conditionalFormatting sqref="E81">
    <cfRule type="expression" dxfId="79" priority="82">
      <formula>$AJ81&lt;&gt;""</formula>
    </cfRule>
  </conditionalFormatting>
  <conditionalFormatting sqref="E82">
    <cfRule type="expression" dxfId="78" priority="81">
      <formula>$AJ82&lt;&gt;""</formula>
    </cfRule>
  </conditionalFormatting>
  <conditionalFormatting sqref="E83">
    <cfRule type="expression" dxfId="77" priority="80">
      <formula>$AJ83&lt;&gt;""</formula>
    </cfRule>
  </conditionalFormatting>
  <conditionalFormatting sqref="E84">
    <cfRule type="expression" dxfId="76" priority="79">
      <formula>$AJ84&lt;&gt;""</formula>
    </cfRule>
  </conditionalFormatting>
  <conditionalFormatting sqref="E85">
    <cfRule type="expression" dxfId="75" priority="78">
      <formula>$AJ85&lt;&gt;""</formula>
    </cfRule>
  </conditionalFormatting>
  <conditionalFormatting sqref="E87">
    <cfRule type="expression" dxfId="74" priority="77">
      <formula>$AJ87&lt;&gt;""</formula>
    </cfRule>
  </conditionalFormatting>
  <conditionalFormatting sqref="E88">
    <cfRule type="expression" dxfId="73" priority="76">
      <formula>$AJ88&lt;&gt;""</formula>
    </cfRule>
  </conditionalFormatting>
  <conditionalFormatting sqref="E89">
    <cfRule type="expression" dxfId="72" priority="75">
      <formula>$AJ89&lt;&gt;""</formula>
    </cfRule>
  </conditionalFormatting>
  <conditionalFormatting sqref="E91">
    <cfRule type="expression" dxfId="71" priority="73">
      <formula>$AJ91&lt;&gt;""</formula>
    </cfRule>
  </conditionalFormatting>
  <conditionalFormatting sqref="E92">
    <cfRule type="expression" dxfId="70" priority="72">
      <formula>$AJ92&lt;&gt;""</formula>
    </cfRule>
  </conditionalFormatting>
  <conditionalFormatting sqref="E93">
    <cfRule type="expression" dxfId="69" priority="71">
      <formula>$AJ93&lt;&gt;""</formula>
    </cfRule>
  </conditionalFormatting>
  <conditionalFormatting sqref="E94">
    <cfRule type="expression" dxfId="68" priority="70">
      <formula>$AJ94&lt;&gt;""</formula>
    </cfRule>
  </conditionalFormatting>
  <conditionalFormatting sqref="E96">
    <cfRule type="expression" dxfId="67" priority="68">
      <formula>$AJ96&lt;&gt;""</formula>
    </cfRule>
  </conditionalFormatting>
  <conditionalFormatting sqref="E97">
    <cfRule type="expression" dxfId="66" priority="67">
      <formula>$AJ97&lt;&gt;""</formula>
    </cfRule>
  </conditionalFormatting>
  <conditionalFormatting sqref="E98">
    <cfRule type="expression" dxfId="65" priority="66">
      <formula>$AJ98&lt;&gt;""</formula>
    </cfRule>
  </conditionalFormatting>
  <conditionalFormatting sqref="E99">
    <cfRule type="expression" dxfId="64" priority="65">
      <formula>$AJ99&lt;&gt;""</formula>
    </cfRule>
  </conditionalFormatting>
  <conditionalFormatting sqref="E100">
    <cfRule type="expression" dxfId="63" priority="64">
      <formula>$AJ100&lt;&gt;""</formula>
    </cfRule>
  </conditionalFormatting>
  <conditionalFormatting sqref="E101">
    <cfRule type="expression" dxfId="62" priority="63">
      <formula>$AJ101&lt;&gt;""</formula>
    </cfRule>
  </conditionalFormatting>
  <conditionalFormatting sqref="E102">
    <cfRule type="expression" dxfId="61" priority="62">
      <formula>$AJ102&lt;&gt;""</formula>
    </cfRule>
  </conditionalFormatting>
  <conditionalFormatting sqref="E103">
    <cfRule type="expression" dxfId="60" priority="61">
      <formula>$AJ103&lt;&gt;""</formula>
    </cfRule>
  </conditionalFormatting>
  <conditionalFormatting sqref="E104">
    <cfRule type="expression" dxfId="59" priority="60">
      <formula>$AJ104&lt;&gt;""</formula>
    </cfRule>
  </conditionalFormatting>
  <conditionalFormatting sqref="E105">
    <cfRule type="expression" dxfId="58" priority="59">
      <formula>$AJ105&lt;&gt;""</formula>
    </cfRule>
  </conditionalFormatting>
  <conditionalFormatting sqref="E107">
    <cfRule type="expression" dxfId="57" priority="57">
      <formula>$AJ107&lt;&gt;""</formula>
    </cfRule>
  </conditionalFormatting>
  <conditionalFormatting sqref="E108">
    <cfRule type="expression" dxfId="56" priority="56">
      <formula>$AJ108&lt;&gt;""</formula>
    </cfRule>
  </conditionalFormatting>
  <conditionalFormatting sqref="E113">
    <cfRule type="expression" dxfId="55" priority="54">
      <formula>$AJ113&lt;&gt;""</formula>
    </cfRule>
  </conditionalFormatting>
  <conditionalFormatting sqref="E121">
    <cfRule type="expression" dxfId="54" priority="53">
      <formula>$AJ121&lt;&gt;""</formula>
    </cfRule>
  </conditionalFormatting>
  <conditionalFormatting sqref="E122">
    <cfRule type="expression" dxfId="53" priority="52">
      <formula>$AJ122&lt;&gt;""</formula>
    </cfRule>
  </conditionalFormatting>
  <conditionalFormatting sqref="E123">
    <cfRule type="expression" dxfId="52" priority="51">
      <formula>$AJ123&lt;&gt;""</formula>
    </cfRule>
  </conditionalFormatting>
  <conditionalFormatting sqref="E124">
    <cfRule type="expression" dxfId="51" priority="50">
      <formula>$AJ124&lt;&gt;""</formula>
    </cfRule>
  </conditionalFormatting>
  <conditionalFormatting sqref="E125">
    <cfRule type="expression" dxfId="50" priority="49">
      <formula>$AJ125&lt;&gt;""</formula>
    </cfRule>
  </conditionalFormatting>
  <conditionalFormatting sqref="E126">
    <cfRule type="expression" dxfId="49" priority="48">
      <formula>$AJ126&lt;&gt;""</formula>
    </cfRule>
  </conditionalFormatting>
  <conditionalFormatting sqref="E127">
    <cfRule type="expression" dxfId="48" priority="47">
      <formula>$AJ127&lt;&gt;""</formula>
    </cfRule>
  </conditionalFormatting>
  <conditionalFormatting sqref="E128">
    <cfRule type="expression" dxfId="47" priority="46">
      <formula>$AJ128&lt;&gt;""</formula>
    </cfRule>
  </conditionalFormatting>
  <conditionalFormatting sqref="E129">
    <cfRule type="expression" dxfId="46" priority="45">
      <formula>$AJ129&lt;&gt;""</formula>
    </cfRule>
  </conditionalFormatting>
  <conditionalFormatting sqref="E130">
    <cfRule type="expression" dxfId="45" priority="44">
      <formula>$AJ130&lt;&gt;""</formula>
    </cfRule>
  </conditionalFormatting>
  <conditionalFormatting sqref="E131">
    <cfRule type="expression" dxfId="44" priority="43">
      <formula>$AJ131&lt;&gt;""</formula>
    </cfRule>
  </conditionalFormatting>
  <conditionalFormatting sqref="E132">
    <cfRule type="expression" dxfId="43" priority="42">
      <formula>$AJ132&lt;&gt;""</formula>
    </cfRule>
  </conditionalFormatting>
  <conditionalFormatting sqref="E133">
    <cfRule type="expression" dxfId="42" priority="41">
      <formula>$AJ133&lt;&gt;""</formula>
    </cfRule>
  </conditionalFormatting>
  <conditionalFormatting sqref="E134">
    <cfRule type="expression" dxfId="41" priority="40">
      <formula>$AJ134&lt;&gt;""</formula>
    </cfRule>
  </conditionalFormatting>
  <conditionalFormatting sqref="E135">
    <cfRule type="expression" dxfId="40" priority="39">
      <formula>$AJ135&lt;&gt;""</formula>
    </cfRule>
  </conditionalFormatting>
  <conditionalFormatting sqref="E138">
    <cfRule type="expression" dxfId="39" priority="37">
      <formula>$AJ138&lt;&gt;""</formula>
    </cfRule>
  </conditionalFormatting>
  <conditionalFormatting sqref="E139">
    <cfRule type="expression" dxfId="38" priority="36">
      <formula>$AJ139&lt;&gt;""</formula>
    </cfRule>
  </conditionalFormatting>
  <conditionalFormatting sqref="E140">
    <cfRule type="expression" dxfId="37" priority="35">
      <formula>$AJ140&lt;&gt;""</formula>
    </cfRule>
  </conditionalFormatting>
  <conditionalFormatting sqref="E141">
    <cfRule type="expression" dxfId="36" priority="34">
      <formula>$AJ141&lt;&gt;""</formula>
    </cfRule>
  </conditionalFormatting>
  <conditionalFormatting sqref="E142">
    <cfRule type="expression" dxfId="35" priority="33">
      <formula>$AJ142&lt;&gt;""</formula>
    </cfRule>
  </conditionalFormatting>
  <conditionalFormatting sqref="E143">
    <cfRule type="expression" dxfId="34" priority="32">
      <formula>$AJ143&lt;&gt;""</formula>
    </cfRule>
  </conditionalFormatting>
  <conditionalFormatting sqref="E144">
    <cfRule type="expression" dxfId="33" priority="31">
      <formula>$AJ144&lt;&gt;""</formula>
    </cfRule>
  </conditionalFormatting>
  <conditionalFormatting sqref="E145">
    <cfRule type="expression" dxfId="32" priority="30">
      <formula>$AJ145&lt;&gt;""</formula>
    </cfRule>
  </conditionalFormatting>
  <conditionalFormatting sqref="E146">
    <cfRule type="expression" dxfId="31" priority="29">
      <formula>$AJ146&lt;&gt;""</formula>
    </cfRule>
  </conditionalFormatting>
  <conditionalFormatting sqref="E147">
    <cfRule type="expression" dxfId="30" priority="28">
      <formula>$AJ147&lt;&gt;""</formula>
    </cfRule>
  </conditionalFormatting>
  <conditionalFormatting sqref="E148">
    <cfRule type="expression" dxfId="29" priority="27">
      <formula>$AJ148&lt;&gt;""</formula>
    </cfRule>
  </conditionalFormatting>
  <conditionalFormatting sqref="E149">
    <cfRule type="expression" dxfId="28" priority="26">
      <formula>$AJ149&lt;&gt;""</formula>
    </cfRule>
  </conditionalFormatting>
  <conditionalFormatting sqref="E150">
    <cfRule type="expression" dxfId="27" priority="25">
      <formula>$AJ150&lt;&gt;""</formula>
    </cfRule>
  </conditionalFormatting>
  <conditionalFormatting sqref="E151">
    <cfRule type="expression" dxfId="26" priority="24">
      <formula>$AJ151&lt;&gt;""</formula>
    </cfRule>
  </conditionalFormatting>
  <conditionalFormatting sqref="E152">
    <cfRule type="expression" dxfId="25" priority="23">
      <formula>$AJ152&lt;&gt;""</formula>
    </cfRule>
  </conditionalFormatting>
  <conditionalFormatting sqref="E153">
    <cfRule type="expression" dxfId="24" priority="22">
      <formula>$AJ153&lt;&gt;""</formula>
    </cfRule>
  </conditionalFormatting>
  <conditionalFormatting sqref="E154">
    <cfRule type="expression" dxfId="23" priority="21">
      <formula>$AJ154&lt;&gt;""</formula>
    </cfRule>
  </conditionalFormatting>
  <conditionalFormatting sqref="E155">
    <cfRule type="expression" dxfId="22" priority="20">
      <formula>$AJ155&lt;&gt;""</formula>
    </cfRule>
  </conditionalFormatting>
  <conditionalFormatting sqref="E156">
    <cfRule type="expression" dxfId="21" priority="19">
      <formula>$AJ156&lt;&gt;""</formula>
    </cfRule>
  </conditionalFormatting>
  <conditionalFormatting sqref="E157">
    <cfRule type="expression" dxfId="20" priority="18">
      <formula>$AJ157&lt;&gt;""</formula>
    </cfRule>
  </conditionalFormatting>
  <conditionalFormatting sqref="E158">
    <cfRule type="expression" dxfId="19" priority="17">
      <formula>$AJ158&lt;&gt;""</formula>
    </cfRule>
  </conditionalFormatting>
  <conditionalFormatting sqref="E159">
    <cfRule type="expression" dxfId="18" priority="16">
      <formula>$AJ159&lt;&gt;""</formula>
    </cfRule>
  </conditionalFormatting>
  <conditionalFormatting sqref="E160">
    <cfRule type="expression" dxfId="17" priority="15">
      <formula>$AJ160&lt;&gt;""</formula>
    </cfRule>
  </conditionalFormatting>
  <conditionalFormatting sqref="E161">
    <cfRule type="expression" dxfId="16" priority="14">
      <formula>$AJ161&lt;&gt;""</formula>
    </cfRule>
  </conditionalFormatting>
  <conditionalFormatting sqref="E6">
    <cfRule type="expression" dxfId="15" priority="11">
      <formula>$AJ6&lt;&gt;""</formula>
    </cfRule>
  </conditionalFormatting>
  <conditionalFormatting sqref="E42">
    <cfRule type="expression" dxfId="14" priority="8">
      <formula>$AJ42&lt;&gt;""</formula>
    </cfRule>
  </conditionalFormatting>
  <conditionalFormatting sqref="E39">
    <cfRule type="expression" dxfId="13" priority="7">
      <formula>$AJ39&lt;&gt;""</formula>
    </cfRule>
  </conditionalFormatting>
  <conditionalFormatting sqref="E67">
    <cfRule type="expression" dxfId="12" priority="6">
      <formula>$AJ67&lt;&gt;""</formula>
    </cfRule>
  </conditionalFormatting>
  <conditionalFormatting sqref="E95">
    <cfRule type="expression" dxfId="11" priority="5">
      <formula>$AJ95&lt;&gt;""</formula>
    </cfRule>
  </conditionalFormatting>
  <conditionalFormatting sqref="E106">
    <cfRule type="expression" dxfId="10" priority="4">
      <formula>$AJ106&lt;&gt;""</formula>
    </cfRule>
  </conditionalFormatting>
  <conditionalFormatting sqref="E111">
    <cfRule type="expression" dxfId="9" priority="3">
      <formula>$AJ111&lt;&gt;""</formula>
    </cfRule>
  </conditionalFormatting>
  <conditionalFormatting sqref="E137">
    <cfRule type="expression" dxfId="8" priority="2">
      <formula>$AJ137&lt;&gt;""</formula>
    </cfRule>
  </conditionalFormatting>
  <conditionalFormatting sqref="E90">
    <cfRule type="expression" dxfId="7" priority="1">
      <formula>$AJ90&lt;&gt;""</formula>
    </cfRule>
  </conditionalFormatting>
  <dataValidations xWindow="676" yWindow="641" count="4">
    <dataValidation type="list" allowBlank="1" showInputMessage="1" showErrorMessage="1" sqref="H2" xr:uid="{00000000-0002-0000-0600-000000000000}">
      <formula1>TabAuto</formula1>
    </dataValidation>
    <dataValidation type="list" allowBlank="1" showInputMessage="1" showErrorMessage="1" promptTitle="Select Yes, No or N/A" prompt="If N/A is chosen an explanation MUST be provided in the Additional Information cell." sqref="D8:D10 D12:D13 D6 D18:D23 D25:D27 D15:D16 D29:D40 D42:D45 D55 D47:D53 D69:D78 D80:D85 D57:D67 D113:D161 D87:D108 D110:D111" xr:uid="{00000000-0002-0000-0600-000001000000}">
      <formula1>Binary</formula1>
    </dataValidation>
    <dataValidation type="list" allowBlank="1" showInputMessage="1" showErrorMessage="1" promptTitle="Select 1 - 5" prompt="1 - Informal, ad hoc process without formal implementation_x000a_2 - Partially in place with no approved plans to further implement_x000a_3 - Partially in place with approved plans to further implement_x000a_4 - In place with exclusions_x000a_5 - In place with no exclusions" sqref="E135 E8 E100:E101 E12 E15 E18:E19 E21:E23 E25:E27 E113 E29:E38 E43:E45 E49:E50 E105 E55 E53 E69:E73 E57:E65 E85 E76:E77 E87:E88 E91:E94 E96 E122 E130:E131 E133 E138 E146:E150 E81 E83 E157" xr:uid="{00000000-0002-0000-0600-000002000000}">
      <formula1>ScaledLarge</formula1>
    </dataValidation>
    <dataValidation allowBlank="1" showErrorMessage="1" promptTitle="Select 1 - 5" prompt="1 - Not in place with no plans to implement_x000a_2 - Partially in place with no approved plans to further implement_x000a_3 - Partially in place with approved plans to further implement_x000a_4 - In place with exclusions_x000a_5 - In place with no exclusions" sqref="E74:E75" xr:uid="{00000000-0002-0000-0600-000003000000}"/>
  </dataValidations>
  <pageMargins left="0.75" right="0.75" top="1" bottom="1" header="0.5" footer="0.5"/>
  <pageSetup scale="56" fitToHeight="0" orientation="landscape" r:id="rId1"/>
  <headerFooter alignWithMargins="0">
    <oddHeader>&amp;LShared Assessments Program&amp;CStandardized Information Gathering (SIG) Questionnaire&amp;R&amp;R Version 2016</oddHeader>
    <oddFooter>&amp;L&amp;A&amp;CPage &amp;P of &amp;N Page(s)</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pageSetUpPr fitToPage="1"/>
  </sheetPr>
  <dimension ref="A1:G5"/>
  <sheetViews>
    <sheetView showGridLines="0" showZeros="0" zoomScale="85" workbookViewId="0">
      <pane ySplit="5" topLeftCell="A6" activePane="bottomLeft" state="frozen"/>
      <selection activeCell="D4" sqref="D4"/>
      <selection pane="bottomLeft"/>
    </sheetView>
  </sheetViews>
  <sheetFormatPr defaultColWidth="9.140625" defaultRowHeight="12.75" x14ac:dyDescent="0.2"/>
  <cols>
    <col min="1" max="1" width="13.42578125" style="47" customWidth="1"/>
    <col min="2" max="2" width="67" style="47" customWidth="1"/>
    <col min="3" max="3" width="11.42578125" style="47" customWidth="1"/>
    <col min="4" max="4" width="40.7109375" style="47" customWidth="1"/>
    <col min="5" max="5" width="27.85546875" style="47" customWidth="1"/>
    <col min="6" max="6" width="14.140625" style="47" customWidth="1"/>
    <col min="7" max="7" width="28.140625" style="47" customWidth="1"/>
    <col min="8" max="16384" width="9.140625" style="47"/>
  </cols>
  <sheetData>
    <row r="1" spans="1:7" customFormat="1" ht="23.25" x14ac:dyDescent="0.35">
      <c r="A1" s="35" t="s">
        <v>99</v>
      </c>
      <c r="B1" s="100"/>
      <c r="C1" s="100"/>
      <c r="D1" s="100"/>
      <c r="E1" s="100"/>
      <c r="F1" s="100"/>
      <c r="G1" s="101"/>
    </row>
    <row r="2" spans="1:7" customFormat="1" ht="13.5" customHeight="1" x14ac:dyDescent="0.2">
      <c r="A2" s="104"/>
      <c r="B2" s="102"/>
      <c r="C2" s="102"/>
      <c r="D2" s="102"/>
      <c r="E2" s="102"/>
      <c r="F2" s="102"/>
      <c r="G2" s="103"/>
    </row>
    <row r="3" spans="1:7" customFormat="1" ht="49.5" customHeight="1" x14ac:dyDescent="0.2">
      <c r="A3" s="172" t="s">
        <v>569</v>
      </c>
      <c r="B3" s="174"/>
      <c r="C3" s="174"/>
      <c r="D3" s="174"/>
      <c r="E3" s="174"/>
      <c r="F3" s="175"/>
      <c r="G3" s="175"/>
    </row>
    <row r="4" spans="1:7" customFormat="1" ht="14.25" customHeight="1" x14ac:dyDescent="0.2">
      <c r="A4" s="162"/>
      <c r="B4" s="162"/>
      <c r="C4" s="162"/>
      <c r="D4" s="162"/>
      <c r="E4" s="162"/>
      <c r="F4" s="162"/>
      <c r="G4" s="162"/>
    </row>
    <row r="5" spans="1:7" customFormat="1" ht="15" x14ac:dyDescent="0.2">
      <c r="A5" s="14" t="s">
        <v>212</v>
      </c>
      <c r="B5" s="14" t="s">
        <v>111</v>
      </c>
      <c r="C5" s="14" t="s">
        <v>112</v>
      </c>
      <c r="D5" s="14" t="s">
        <v>215</v>
      </c>
      <c r="E5" s="14" t="s">
        <v>216</v>
      </c>
      <c r="F5" s="14" t="s">
        <v>570</v>
      </c>
      <c r="G5" s="14" t="s">
        <v>571</v>
      </c>
    </row>
  </sheetData>
  <sheetProtection algorithmName="SHA-512" hashValue="XQnxjklG+ERm+6YaEvrFr3HG5lk/KlCze9TbarYoGcd/JSblW5STj1DUio56l8vOfPlUkgrXPDqo+QMpD9WrZg==" saltValue="kvJevGJkpUZqeRU6OIThPQ==" spinCount="100000" sheet="1" objects="1" scenarios="1"/>
  <mergeCells count="1">
    <mergeCell ref="A3:G3"/>
  </mergeCells>
  <phoneticPr fontId="0" type="noConversion"/>
  <pageMargins left="0.75" right="0.75" top="1" bottom="1" header="0.5" footer="0.5"/>
  <pageSetup scale="61"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pageSetUpPr fitToPage="1"/>
  </sheetPr>
  <dimension ref="B1:C142"/>
  <sheetViews>
    <sheetView showGridLines="0" showZeros="0" zoomScale="85" zoomScaleNormal="100" workbookViewId="0">
      <pane ySplit="3" topLeftCell="A67" activePane="bottomLeft" state="frozen"/>
      <selection pane="bottomLeft" activeCell="C67" sqref="C67"/>
    </sheetView>
  </sheetViews>
  <sheetFormatPr defaultColWidth="9.140625" defaultRowHeight="12.75" x14ac:dyDescent="0.2"/>
  <cols>
    <col min="1" max="1" width="1" customWidth="1"/>
    <col min="2" max="2" width="48.85546875" bestFit="1" customWidth="1"/>
    <col min="3" max="3" width="108.85546875" bestFit="1" customWidth="1"/>
    <col min="4" max="16" width="11.42578125"/>
    <col min="17" max="17" width="11.42578125" customWidth="1"/>
  </cols>
  <sheetData>
    <row r="1" spans="2:3" ht="3.75" customHeight="1" x14ac:dyDescent="0.2">
      <c r="B1" s="133" t="s">
        <v>572</v>
      </c>
      <c r="C1" s="134" t="s">
        <v>573</v>
      </c>
    </row>
    <row r="2" spans="2:3" ht="23.25" x14ac:dyDescent="0.35">
      <c r="B2" s="59" t="s">
        <v>101</v>
      </c>
      <c r="C2" s="60"/>
    </row>
    <row r="3" spans="2:3" ht="15" x14ac:dyDescent="0.2">
      <c r="B3" s="61" t="s">
        <v>574</v>
      </c>
      <c r="C3" s="62" t="s">
        <v>575</v>
      </c>
    </row>
    <row r="4" spans="2:3" ht="28.5" x14ac:dyDescent="0.2">
      <c r="B4" s="115" t="s">
        <v>576</v>
      </c>
      <c r="C4" s="112" t="s">
        <v>577</v>
      </c>
    </row>
    <row r="5" spans="2:3" ht="42.75" x14ac:dyDescent="0.2">
      <c r="B5" s="115" t="s">
        <v>578</v>
      </c>
      <c r="C5" s="112" t="s">
        <v>579</v>
      </c>
    </row>
    <row r="6" spans="2:3" ht="28.5" x14ac:dyDescent="0.2">
      <c r="B6" s="115" t="s">
        <v>580</v>
      </c>
      <c r="C6" s="112" t="s">
        <v>581</v>
      </c>
    </row>
    <row r="7" spans="2:3" ht="15" x14ac:dyDescent="0.2">
      <c r="B7" s="115" t="s">
        <v>582</v>
      </c>
      <c r="C7" s="112" t="s">
        <v>583</v>
      </c>
    </row>
    <row r="8" spans="2:3" ht="28.5" x14ac:dyDescent="0.2">
      <c r="B8" s="115" t="s">
        <v>584</v>
      </c>
      <c r="C8" s="112" t="s">
        <v>585</v>
      </c>
    </row>
    <row r="9" spans="2:3" ht="15" x14ac:dyDescent="0.2">
      <c r="B9" s="115" t="s">
        <v>586</v>
      </c>
      <c r="C9" s="112" t="s">
        <v>587</v>
      </c>
    </row>
    <row r="10" spans="2:3" ht="15" x14ac:dyDescent="0.2">
      <c r="B10" s="115" t="s">
        <v>588</v>
      </c>
      <c r="C10" s="112" t="s">
        <v>589</v>
      </c>
    </row>
    <row r="11" spans="2:3" ht="28.5" x14ac:dyDescent="0.2">
      <c r="B11" s="115" t="s">
        <v>590</v>
      </c>
      <c r="C11" s="112" t="s">
        <v>591</v>
      </c>
    </row>
    <row r="12" spans="2:3" ht="28.5" x14ac:dyDescent="0.2">
      <c r="B12" s="115" t="s">
        <v>592</v>
      </c>
      <c r="C12" s="112" t="s">
        <v>593</v>
      </c>
    </row>
    <row r="13" spans="2:3" ht="42.75" x14ac:dyDescent="0.2">
      <c r="B13" s="115" t="s">
        <v>594</v>
      </c>
      <c r="C13" s="112" t="s">
        <v>595</v>
      </c>
    </row>
    <row r="14" spans="2:3" ht="85.5" x14ac:dyDescent="0.2">
      <c r="B14" s="115" t="s">
        <v>596</v>
      </c>
      <c r="C14" s="112" t="s">
        <v>597</v>
      </c>
    </row>
    <row r="15" spans="2:3" ht="58.5" customHeight="1" x14ac:dyDescent="0.2">
      <c r="B15" s="115" t="s">
        <v>598</v>
      </c>
      <c r="C15" s="112" t="s">
        <v>599</v>
      </c>
    </row>
    <row r="16" spans="2:3" ht="57" x14ac:dyDescent="0.2">
      <c r="B16" s="115" t="s">
        <v>600</v>
      </c>
      <c r="C16" s="112" t="s">
        <v>601</v>
      </c>
    </row>
    <row r="17" spans="2:3" ht="42.75" x14ac:dyDescent="0.2">
      <c r="B17" s="115" t="s">
        <v>602</v>
      </c>
      <c r="C17" s="112" t="s">
        <v>603</v>
      </c>
    </row>
    <row r="18" spans="2:3" ht="114" x14ac:dyDescent="0.2">
      <c r="B18" s="115" t="s">
        <v>604</v>
      </c>
      <c r="C18" s="112" t="s">
        <v>605</v>
      </c>
    </row>
    <row r="19" spans="2:3" ht="15" x14ac:dyDescent="0.2">
      <c r="B19" s="116" t="s">
        <v>606</v>
      </c>
      <c r="C19" s="117" t="s">
        <v>607</v>
      </c>
    </row>
    <row r="20" spans="2:3" ht="42.75" x14ac:dyDescent="0.2">
      <c r="B20" s="116" t="s">
        <v>608</v>
      </c>
      <c r="C20" s="117" t="s">
        <v>609</v>
      </c>
    </row>
    <row r="21" spans="2:3" ht="71.25" x14ac:dyDescent="0.2">
      <c r="B21" s="115" t="s">
        <v>610</v>
      </c>
      <c r="C21" s="112" t="s">
        <v>611</v>
      </c>
    </row>
    <row r="22" spans="2:3" ht="42.75" x14ac:dyDescent="0.2">
      <c r="B22" s="115" t="s">
        <v>612</v>
      </c>
      <c r="C22" s="112" t="s">
        <v>613</v>
      </c>
    </row>
    <row r="23" spans="2:3" ht="42.75" x14ac:dyDescent="0.2">
      <c r="B23" s="115" t="s">
        <v>614</v>
      </c>
      <c r="C23" s="112" t="s">
        <v>615</v>
      </c>
    </row>
    <row r="24" spans="2:3" ht="30" x14ac:dyDescent="0.2">
      <c r="B24" s="115" t="s">
        <v>616</v>
      </c>
      <c r="C24" s="112" t="s">
        <v>617</v>
      </c>
    </row>
    <row r="25" spans="2:3" ht="30" x14ac:dyDescent="0.2">
      <c r="B25" s="115" t="s">
        <v>618</v>
      </c>
      <c r="C25" s="112" t="s">
        <v>619</v>
      </c>
    </row>
    <row r="26" spans="2:3" ht="45" x14ac:dyDescent="0.2">
      <c r="B26" s="115" t="s">
        <v>620</v>
      </c>
      <c r="C26" s="112" t="s">
        <v>621</v>
      </c>
    </row>
    <row r="27" spans="2:3" ht="57" x14ac:dyDescent="0.2">
      <c r="B27" s="115" t="s">
        <v>622</v>
      </c>
      <c r="C27" s="112" t="s">
        <v>623</v>
      </c>
    </row>
    <row r="28" spans="2:3" ht="45" x14ac:dyDescent="0.2">
      <c r="B28" s="115" t="s">
        <v>624</v>
      </c>
      <c r="C28" s="112" t="s">
        <v>625</v>
      </c>
    </row>
    <row r="29" spans="2:3" ht="42.75" x14ac:dyDescent="0.2">
      <c r="B29" s="115" t="s">
        <v>626</v>
      </c>
      <c r="C29" s="112" t="s">
        <v>627</v>
      </c>
    </row>
    <row r="30" spans="2:3" ht="85.5" x14ac:dyDescent="0.2">
      <c r="B30" s="115" t="s">
        <v>628</v>
      </c>
      <c r="C30" s="112" t="s">
        <v>629</v>
      </c>
    </row>
    <row r="31" spans="2:3" ht="71.25" x14ac:dyDescent="0.2">
      <c r="B31" s="115" t="s">
        <v>630</v>
      </c>
      <c r="C31" s="112" t="s">
        <v>631</v>
      </c>
    </row>
    <row r="32" spans="2:3" ht="71.25" x14ac:dyDescent="0.2">
      <c r="B32" s="115" t="s">
        <v>632</v>
      </c>
      <c r="C32" s="112" t="s">
        <v>633</v>
      </c>
    </row>
    <row r="33" spans="2:3" ht="71.25" x14ac:dyDescent="0.2">
      <c r="B33" s="115" t="s">
        <v>634</v>
      </c>
      <c r="C33" s="112" t="s">
        <v>635</v>
      </c>
    </row>
    <row r="34" spans="2:3" ht="15" x14ac:dyDescent="0.2">
      <c r="B34" s="115" t="s">
        <v>636</v>
      </c>
      <c r="C34" s="112" t="s">
        <v>637</v>
      </c>
    </row>
    <row r="35" spans="2:3" ht="28.5" x14ac:dyDescent="0.2">
      <c r="B35" s="115" t="s">
        <v>638</v>
      </c>
      <c r="C35" s="112" t="s">
        <v>639</v>
      </c>
    </row>
    <row r="36" spans="2:3" ht="28.5" x14ac:dyDescent="0.2">
      <c r="B36" s="115" t="s">
        <v>640</v>
      </c>
      <c r="C36" s="112" t="s">
        <v>641</v>
      </c>
    </row>
    <row r="37" spans="2:3" ht="15" x14ac:dyDescent="0.2">
      <c r="B37" s="115" t="s">
        <v>642</v>
      </c>
      <c r="C37" s="112" t="s">
        <v>643</v>
      </c>
    </row>
    <row r="38" spans="2:3" ht="15" x14ac:dyDescent="0.2">
      <c r="B38" s="115" t="s">
        <v>644</v>
      </c>
      <c r="C38" s="112" t="s">
        <v>645</v>
      </c>
    </row>
    <row r="39" spans="2:3" ht="57" x14ac:dyDescent="0.2">
      <c r="B39" s="115" t="s">
        <v>646</v>
      </c>
      <c r="C39" s="112" t="s">
        <v>647</v>
      </c>
    </row>
    <row r="40" spans="2:3" ht="71.25" x14ac:dyDescent="0.2">
      <c r="B40" s="115" t="s">
        <v>648</v>
      </c>
      <c r="C40" s="112" t="s">
        <v>649</v>
      </c>
    </row>
    <row r="41" spans="2:3" ht="42.75" x14ac:dyDescent="0.2">
      <c r="B41" s="115" t="s">
        <v>650</v>
      </c>
      <c r="C41" s="112" t="s">
        <v>651</v>
      </c>
    </row>
    <row r="42" spans="2:3" ht="15" x14ac:dyDescent="0.2">
      <c r="B42" s="115" t="s">
        <v>652</v>
      </c>
      <c r="C42" s="112" t="s">
        <v>653</v>
      </c>
    </row>
    <row r="43" spans="2:3" ht="15" x14ac:dyDescent="0.2">
      <c r="B43" s="115" t="s">
        <v>654</v>
      </c>
      <c r="C43" s="112" t="s">
        <v>655</v>
      </c>
    </row>
    <row r="44" spans="2:3" ht="15" x14ac:dyDescent="0.25">
      <c r="B44" s="27" t="s">
        <v>656</v>
      </c>
      <c r="C44" s="11" t="s">
        <v>657</v>
      </c>
    </row>
    <row r="45" spans="2:3" ht="57" x14ac:dyDescent="0.2">
      <c r="B45" s="115" t="s">
        <v>658</v>
      </c>
      <c r="C45" s="112" t="s">
        <v>659</v>
      </c>
    </row>
    <row r="46" spans="2:3" ht="15" x14ac:dyDescent="0.2">
      <c r="B46" s="115" t="s">
        <v>660</v>
      </c>
      <c r="C46" s="112" t="s">
        <v>661</v>
      </c>
    </row>
    <row r="47" spans="2:3" ht="15" x14ac:dyDescent="0.2">
      <c r="B47" s="115" t="s">
        <v>662</v>
      </c>
      <c r="C47" s="112" t="s">
        <v>663</v>
      </c>
    </row>
    <row r="48" spans="2:3" ht="42.75" x14ac:dyDescent="0.2">
      <c r="B48" s="115" t="s">
        <v>664</v>
      </c>
      <c r="C48" s="112" t="s">
        <v>665</v>
      </c>
    </row>
    <row r="49" spans="2:3" ht="28.5" x14ac:dyDescent="0.2">
      <c r="B49" s="115" t="s">
        <v>666</v>
      </c>
      <c r="C49" s="112" t="s">
        <v>667</v>
      </c>
    </row>
    <row r="50" spans="2:3" ht="57" x14ac:dyDescent="0.2">
      <c r="B50" s="115" t="s">
        <v>668</v>
      </c>
      <c r="C50" s="112" t="s">
        <v>669</v>
      </c>
    </row>
    <row r="51" spans="2:3" ht="28.5" x14ac:dyDescent="0.2">
      <c r="B51" s="115" t="s">
        <v>670</v>
      </c>
      <c r="C51" s="112" t="s">
        <v>671</v>
      </c>
    </row>
    <row r="52" spans="2:3" ht="28.5" x14ac:dyDescent="0.2">
      <c r="B52" s="115" t="s">
        <v>672</v>
      </c>
      <c r="C52" s="112" t="s">
        <v>673</v>
      </c>
    </row>
    <row r="53" spans="2:3" ht="15" x14ac:dyDescent="0.2">
      <c r="B53" s="115" t="s">
        <v>674</v>
      </c>
      <c r="C53" s="112" t="s">
        <v>675</v>
      </c>
    </row>
    <row r="54" spans="2:3" ht="42.75" x14ac:dyDescent="0.2">
      <c r="B54" s="115" t="s">
        <v>676</v>
      </c>
      <c r="C54" s="112" t="s">
        <v>677</v>
      </c>
    </row>
    <row r="55" spans="2:3" ht="28.5" x14ac:dyDescent="0.2">
      <c r="B55" s="115" t="s">
        <v>678</v>
      </c>
      <c r="C55" s="112" t="s">
        <v>679</v>
      </c>
    </row>
    <row r="56" spans="2:3" ht="15" x14ac:dyDescent="0.2">
      <c r="B56" s="115" t="s">
        <v>680</v>
      </c>
      <c r="C56" s="112" t="s">
        <v>681</v>
      </c>
    </row>
    <row r="57" spans="2:3" ht="15" x14ac:dyDescent="0.2">
      <c r="B57" s="116" t="s">
        <v>682</v>
      </c>
      <c r="C57" s="117" t="s">
        <v>683</v>
      </c>
    </row>
    <row r="58" spans="2:3" ht="28.5" x14ac:dyDescent="0.2">
      <c r="B58" s="115" t="s">
        <v>684</v>
      </c>
      <c r="C58" s="112" t="s">
        <v>685</v>
      </c>
    </row>
    <row r="59" spans="2:3" ht="15" x14ac:dyDescent="0.2">
      <c r="B59" s="115" t="s">
        <v>686</v>
      </c>
      <c r="C59" s="112" t="s">
        <v>687</v>
      </c>
    </row>
    <row r="60" spans="2:3" ht="42.75" x14ac:dyDescent="0.2">
      <c r="B60" s="115" t="s">
        <v>688</v>
      </c>
      <c r="C60" s="112" t="s">
        <v>689</v>
      </c>
    </row>
    <row r="61" spans="2:3" ht="42.75" x14ac:dyDescent="0.2">
      <c r="B61" s="115" t="s">
        <v>690</v>
      </c>
      <c r="C61" s="112" t="s">
        <v>691</v>
      </c>
    </row>
    <row r="62" spans="2:3" ht="28.5" x14ac:dyDescent="0.2">
      <c r="B62" s="115" t="s">
        <v>692</v>
      </c>
      <c r="C62" s="112" t="s">
        <v>693</v>
      </c>
    </row>
    <row r="63" spans="2:3" ht="57" x14ac:dyDescent="0.2">
      <c r="B63" s="115" t="s">
        <v>694</v>
      </c>
      <c r="C63" s="112" t="s">
        <v>695</v>
      </c>
    </row>
    <row r="64" spans="2:3" ht="28.5" x14ac:dyDescent="0.2">
      <c r="B64" s="115" t="s">
        <v>696</v>
      </c>
      <c r="C64" s="112" t="s">
        <v>697</v>
      </c>
    </row>
    <row r="65" spans="2:3" ht="15" x14ac:dyDescent="0.2">
      <c r="B65" s="115" t="s">
        <v>698</v>
      </c>
      <c r="C65" s="112" t="s">
        <v>699</v>
      </c>
    </row>
    <row r="66" spans="2:3" ht="28.5" x14ac:dyDescent="0.2">
      <c r="B66" s="115" t="s">
        <v>700</v>
      </c>
      <c r="C66" s="112" t="s">
        <v>701</v>
      </c>
    </row>
    <row r="67" spans="2:3" ht="42.75" x14ac:dyDescent="0.2">
      <c r="B67" s="115" t="s">
        <v>702</v>
      </c>
      <c r="C67" s="112" t="s">
        <v>703</v>
      </c>
    </row>
    <row r="68" spans="2:3" ht="28.5" x14ac:dyDescent="0.2">
      <c r="B68" s="115" t="s">
        <v>704</v>
      </c>
      <c r="C68" s="112" t="s">
        <v>705</v>
      </c>
    </row>
    <row r="69" spans="2:3" ht="15" x14ac:dyDescent="0.2">
      <c r="B69" s="115" t="s">
        <v>706</v>
      </c>
      <c r="C69" s="112" t="s">
        <v>707</v>
      </c>
    </row>
    <row r="70" spans="2:3" ht="15" x14ac:dyDescent="0.2">
      <c r="B70" s="116" t="s">
        <v>708</v>
      </c>
      <c r="C70" s="117" t="s">
        <v>709</v>
      </c>
    </row>
    <row r="71" spans="2:3" ht="28.5" x14ac:dyDescent="0.2">
      <c r="B71" s="115" t="s">
        <v>710</v>
      </c>
      <c r="C71" s="112" t="s">
        <v>711</v>
      </c>
    </row>
    <row r="72" spans="2:3" ht="57" x14ac:dyDescent="0.2">
      <c r="B72" s="116" t="s">
        <v>712</v>
      </c>
      <c r="C72" s="117" t="s">
        <v>713</v>
      </c>
    </row>
    <row r="73" spans="2:3" ht="99.75" x14ac:dyDescent="0.2">
      <c r="B73" s="115" t="s">
        <v>714</v>
      </c>
      <c r="C73" s="112" t="s">
        <v>715</v>
      </c>
    </row>
    <row r="74" spans="2:3" ht="15" x14ac:dyDescent="0.2">
      <c r="B74" s="116" t="s">
        <v>716</v>
      </c>
      <c r="C74" s="117" t="s">
        <v>717</v>
      </c>
    </row>
    <row r="75" spans="2:3" ht="60.75" customHeight="1" x14ac:dyDescent="0.2">
      <c r="B75" s="116" t="s">
        <v>718</v>
      </c>
      <c r="C75" s="117" t="s">
        <v>719</v>
      </c>
    </row>
    <row r="76" spans="2:3" ht="71.25" x14ac:dyDescent="0.2">
      <c r="B76" s="116" t="s">
        <v>720</v>
      </c>
      <c r="C76" s="117" t="s">
        <v>721</v>
      </c>
    </row>
    <row r="77" spans="2:3" ht="42.75" x14ac:dyDescent="0.2">
      <c r="B77" s="115" t="s">
        <v>722</v>
      </c>
      <c r="C77" s="112" t="s">
        <v>723</v>
      </c>
    </row>
    <row r="78" spans="2:3" ht="15" x14ac:dyDescent="0.2">
      <c r="B78" s="115" t="s">
        <v>724</v>
      </c>
      <c r="C78" s="112" t="s">
        <v>725</v>
      </c>
    </row>
    <row r="79" spans="2:3" ht="28.5" x14ac:dyDescent="0.2">
      <c r="B79" s="115" t="s">
        <v>726</v>
      </c>
      <c r="C79" s="112" t="s">
        <v>727</v>
      </c>
    </row>
    <row r="80" spans="2:3" ht="28.5" x14ac:dyDescent="0.2">
      <c r="B80" s="115" t="s">
        <v>728</v>
      </c>
      <c r="C80" s="112" t="s">
        <v>729</v>
      </c>
    </row>
    <row r="81" spans="2:3" ht="42.75" x14ac:dyDescent="0.2">
      <c r="B81" s="115" t="s">
        <v>730</v>
      </c>
      <c r="C81" s="112" t="s">
        <v>731</v>
      </c>
    </row>
    <row r="82" spans="2:3" ht="15" x14ac:dyDescent="0.2">
      <c r="B82" s="115" t="s">
        <v>732</v>
      </c>
      <c r="C82" s="112" t="s">
        <v>733</v>
      </c>
    </row>
    <row r="83" spans="2:3" ht="15" x14ac:dyDescent="0.2">
      <c r="B83" s="115" t="s">
        <v>734</v>
      </c>
      <c r="C83" s="112" t="s">
        <v>735</v>
      </c>
    </row>
    <row r="84" spans="2:3" ht="15" x14ac:dyDescent="0.2">
      <c r="B84" s="115" t="s">
        <v>736</v>
      </c>
      <c r="C84" s="112" t="s">
        <v>737</v>
      </c>
    </row>
    <row r="85" spans="2:3" ht="28.5" x14ac:dyDescent="0.2">
      <c r="B85" s="115" t="s">
        <v>738</v>
      </c>
      <c r="C85" s="112" t="s">
        <v>739</v>
      </c>
    </row>
    <row r="86" spans="2:3" ht="15" x14ac:dyDescent="0.2">
      <c r="B86" s="115" t="s">
        <v>740</v>
      </c>
      <c r="C86" s="112" t="s">
        <v>741</v>
      </c>
    </row>
    <row r="87" spans="2:3" ht="15" x14ac:dyDescent="0.2">
      <c r="B87" s="115" t="s">
        <v>742</v>
      </c>
      <c r="C87" s="112" t="s">
        <v>743</v>
      </c>
    </row>
    <row r="88" spans="2:3" ht="15" x14ac:dyDescent="0.2">
      <c r="B88" s="115" t="s">
        <v>744</v>
      </c>
      <c r="C88" s="112" t="s">
        <v>745</v>
      </c>
    </row>
    <row r="89" spans="2:3" ht="114" x14ac:dyDescent="0.2">
      <c r="B89" s="115" t="s">
        <v>746</v>
      </c>
      <c r="C89" s="112" t="s">
        <v>747</v>
      </c>
    </row>
    <row r="90" spans="2:3" ht="28.5" x14ac:dyDescent="0.2">
      <c r="B90" s="115" t="s">
        <v>748</v>
      </c>
      <c r="C90" s="112" t="s">
        <v>749</v>
      </c>
    </row>
    <row r="91" spans="2:3" ht="142.5" x14ac:dyDescent="0.2">
      <c r="B91" s="115" t="s">
        <v>750</v>
      </c>
      <c r="C91" s="112" t="s">
        <v>751</v>
      </c>
    </row>
    <row r="92" spans="2:3" ht="42.75" x14ac:dyDescent="0.2">
      <c r="B92" s="115" t="s">
        <v>752</v>
      </c>
      <c r="C92" s="112" t="s">
        <v>753</v>
      </c>
    </row>
    <row r="93" spans="2:3" ht="114" x14ac:dyDescent="0.2">
      <c r="B93" s="115" t="s">
        <v>754</v>
      </c>
      <c r="C93" s="112" t="s">
        <v>755</v>
      </c>
    </row>
    <row r="94" spans="2:3" ht="15" x14ac:dyDescent="0.2">
      <c r="B94" s="115" t="s">
        <v>756</v>
      </c>
      <c r="C94" s="112" t="s">
        <v>757</v>
      </c>
    </row>
    <row r="95" spans="2:3" ht="15" x14ac:dyDescent="0.2">
      <c r="B95" s="115" t="s">
        <v>758</v>
      </c>
      <c r="C95" s="112" t="s">
        <v>759</v>
      </c>
    </row>
    <row r="96" spans="2:3" ht="42.75" x14ac:dyDescent="0.2">
      <c r="B96" s="115" t="s">
        <v>760</v>
      </c>
      <c r="C96" s="112" t="s">
        <v>761</v>
      </c>
    </row>
    <row r="97" spans="2:3" ht="28.5" x14ac:dyDescent="0.2">
      <c r="B97" s="115" t="s">
        <v>762</v>
      </c>
      <c r="C97" s="112" t="s">
        <v>763</v>
      </c>
    </row>
    <row r="98" spans="2:3" ht="15" x14ac:dyDescent="0.2">
      <c r="B98" s="115" t="s">
        <v>764</v>
      </c>
      <c r="C98" s="112" t="s">
        <v>765</v>
      </c>
    </row>
    <row r="99" spans="2:3" ht="15" x14ac:dyDescent="0.2">
      <c r="B99" s="115" t="s">
        <v>766</v>
      </c>
      <c r="C99" s="117" t="s">
        <v>767</v>
      </c>
    </row>
    <row r="100" spans="2:3" ht="28.5" x14ac:dyDescent="0.2">
      <c r="B100" s="115" t="s">
        <v>768</v>
      </c>
      <c r="C100" s="112" t="s">
        <v>769</v>
      </c>
    </row>
    <row r="101" spans="2:3" ht="57" x14ac:dyDescent="0.2">
      <c r="B101" s="116" t="s">
        <v>770</v>
      </c>
      <c r="C101" s="117" t="s">
        <v>771</v>
      </c>
    </row>
    <row r="102" spans="2:3" ht="28.5" x14ac:dyDescent="0.2">
      <c r="B102" s="115" t="s">
        <v>772</v>
      </c>
      <c r="C102" s="112" t="s">
        <v>773</v>
      </c>
    </row>
    <row r="103" spans="2:3" ht="42.75" x14ac:dyDescent="0.2">
      <c r="B103" s="115" t="s">
        <v>774</v>
      </c>
      <c r="C103" s="112" t="s">
        <v>775</v>
      </c>
    </row>
    <row r="104" spans="2:3" ht="15" x14ac:dyDescent="0.2">
      <c r="B104" s="115" t="s">
        <v>776</v>
      </c>
      <c r="C104" s="112" t="s">
        <v>777</v>
      </c>
    </row>
    <row r="105" spans="2:3" ht="28.5" x14ac:dyDescent="0.2">
      <c r="B105" s="115" t="s">
        <v>778</v>
      </c>
      <c r="C105" s="112" t="s">
        <v>779</v>
      </c>
    </row>
    <row r="106" spans="2:3" ht="42.75" x14ac:dyDescent="0.2">
      <c r="B106" s="115" t="s">
        <v>780</v>
      </c>
      <c r="C106" s="112" t="s">
        <v>781</v>
      </c>
    </row>
    <row r="107" spans="2:3" ht="28.5" x14ac:dyDescent="0.2">
      <c r="B107" s="115" t="s">
        <v>782</v>
      </c>
      <c r="C107" s="112" t="s">
        <v>783</v>
      </c>
    </row>
    <row r="108" spans="2:3" ht="28.5" x14ac:dyDescent="0.2">
      <c r="B108" s="115" t="s">
        <v>784</v>
      </c>
      <c r="C108" s="112" t="s">
        <v>785</v>
      </c>
    </row>
    <row r="109" spans="2:3" ht="28.5" x14ac:dyDescent="0.2">
      <c r="B109" s="115" t="s">
        <v>786</v>
      </c>
      <c r="C109" s="112" t="s">
        <v>787</v>
      </c>
    </row>
    <row r="110" spans="2:3" ht="15" x14ac:dyDescent="0.2">
      <c r="B110" s="115" t="s">
        <v>788</v>
      </c>
      <c r="C110" s="112" t="s">
        <v>789</v>
      </c>
    </row>
    <row r="111" spans="2:3" ht="28.5" x14ac:dyDescent="0.2">
      <c r="B111" s="115" t="s">
        <v>790</v>
      </c>
      <c r="C111" s="112" t="s">
        <v>791</v>
      </c>
    </row>
    <row r="112" spans="2:3" ht="28.5" x14ac:dyDescent="0.2">
      <c r="B112" s="115" t="s">
        <v>792</v>
      </c>
      <c r="C112" s="112" t="s">
        <v>793</v>
      </c>
    </row>
    <row r="113" spans="2:3" ht="28.5" x14ac:dyDescent="0.2">
      <c r="B113" s="115" t="s">
        <v>794</v>
      </c>
      <c r="C113" s="112" t="s">
        <v>795</v>
      </c>
    </row>
    <row r="114" spans="2:3" ht="15" x14ac:dyDescent="0.2">
      <c r="B114" s="115" t="s">
        <v>796</v>
      </c>
      <c r="C114" s="112" t="s">
        <v>797</v>
      </c>
    </row>
    <row r="115" spans="2:3" ht="28.5" x14ac:dyDescent="0.2">
      <c r="B115" s="115" t="s">
        <v>798</v>
      </c>
      <c r="C115" s="112" t="s">
        <v>799</v>
      </c>
    </row>
    <row r="116" spans="2:3" ht="15" x14ac:dyDescent="0.2">
      <c r="B116" s="115" t="s">
        <v>800</v>
      </c>
      <c r="C116" s="112" t="s">
        <v>801</v>
      </c>
    </row>
    <row r="117" spans="2:3" ht="28.5" x14ac:dyDescent="0.2">
      <c r="B117" s="115" t="s">
        <v>802</v>
      </c>
      <c r="C117" s="112" t="s">
        <v>803</v>
      </c>
    </row>
    <row r="118" spans="2:3" ht="28.5" x14ac:dyDescent="0.2">
      <c r="B118" s="115" t="s">
        <v>804</v>
      </c>
      <c r="C118" s="112" t="s">
        <v>805</v>
      </c>
    </row>
    <row r="119" spans="2:3" ht="28.5" x14ac:dyDescent="0.2">
      <c r="B119" s="115" t="s">
        <v>806</v>
      </c>
      <c r="C119" s="112" t="s">
        <v>807</v>
      </c>
    </row>
    <row r="120" spans="2:3" ht="28.5" x14ac:dyDescent="0.2">
      <c r="B120" s="115" t="s">
        <v>808</v>
      </c>
      <c r="C120" s="112" t="s">
        <v>809</v>
      </c>
    </row>
    <row r="121" spans="2:3" ht="15" x14ac:dyDescent="0.2">
      <c r="B121" s="115" t="s">
        <v>810</v>
      </c>
      <c r="C121" s="112" t="s">
        <v>811</v>
      </c>
    </row>
    <row r="122" spans="2:3" ht="99.75" x14ac:dyDescent="0.2">
      <c r="B122" s="115" t="s">
        <v>812</v>
      </c>
      <c r="C122" s="112" t="s">
        <v>813</v>
      </c>
    </row>
    <row r="123" spans="2:3" ht="15" x14ac:dyDescent="0.2">
      <c r="B123" s="115" t="s">
        <v>814</v>
      </c>
      <c r="C123" s="112" t="s">
        <v>815</v>
      </c>
    </row>
    <row r="124" spans="2:3" ht="15" x14ac:dyDescent="0.2">
      <c r="B124" s="115" t="s">
        <v>816</v>
      </c>
      <c r="C124" s="112" t="s">
        <v>817</v>
      </c>
    </row>
    <row r="125" spans="2:3" ht="15" x14ac:dyDescent="0.2">
      <c r="B125" s="115" t="s">
        <v>818</v>
      </c>
      <c r="C125" s="112" t="s">
        <v>819</v>
      </c>
    </row>
    <row r="126" spans="2:3" ht="42.75" x14ac:dyDescent="0.2">
      <c r="B126" s="115" t="s">
        <v>820</v>
      </c>
      <c r="C126" s="112" t="s">
        <v>821</v>
      </c>
    </row>
    <row r="127" spans="2:3" ht="15" x14ac:dyDescent="0.2">
      <c r="B127" s="115" t="s">
        <v>822</v>
      </c>
      <c r="C127" s="112" t="s">
        <v>823</v>
      </c>
    </row>
    <row r="128" spans="2:3" ht="99.75" x14ac:dyDescent="0.2">
      <c r="B128" s="115" t="s">
        <v>824</v>
      </c>
      <c r="C128" s="112" t="s">
        <v>825</v>
      </c>
    </row>
    <row r="129" spans="2:3" ht="57" x14ac:dyDescent="0.2">
      <c r="B129" s="115" t="s">
        <v>826</v>
      </c>
      <c r="C129" s="112" t="s">
        <v>827</v>
      </c>
    </row>
    <row r="130" spans="2:3" ht="28.5" x14ac:dyDescent="0.2">
      <c r="B130" s="115" t="s">
        <v>828</v>
      </c>
      <c r="C130" s="112" t="s">
        <v>829</v>
      </c>
    </row>
    <row r="131" spans="2:3" ht="28.5" x14ac:dyDescent="0.2">
      <c r="B131" s="115" t="s">
        <v>830</v>
      </c>
      <c r="C131" s="112" t="s">
        <v>831</v>
      </c>
    </row>
    <row r="132" spans="2:3" ht="28.5" x14ac:dyDescent="0.2">
      <c r="B132" s="115" t="s">
        <v>832</v>
      </c>
      <c r="C132" s="112" t="s">
        <v>833</v>
      </c>
    </row>
    <row r="133" spans="2:3" ht="15" x14ac:dyDescent="0.2">
      <c r="B133" s="115" t="s">
        <v>834</v>
      </c>
      <c r="C133" s="112" t="s">
        <v>835</v>
      </c>
    </row>
    <row r="134" spans="2:3" ht="15" x14ac:dyDescent="0.2">
      <c r="B134" s="115" t="s">
        <v>836</v>
      </c>
      <c r="C134" s="112" t="s">
        <v>837</v>
      </c>
    </row>
    <row r="135" spans="2:3" ht="42.75" x14ac:dyDescent="0.2">
      <c r="B135" s="115" t="s">
        <v>838</v>
      </c>
      <c r="C135" s="112" t="s">
        <v>839</v>
      </c>
    </row>
    <row r="136" spans="2:3" ht="28.5" x14ac:dyDescent="0.2">
      <c r="B136" s="115" t="s">
        <v>840</v>
      </c>
      <c r="C136" s="112" t="s">
        <v>841</v>
      </c>
    </row>
    <row r="137" spans="2:3" ht="42.75" x14ac:dyDescent="0.2">
      <c r="B137" s="115" t="s">
        <v>842</v>
      </c>
      <c r="C137" s="112" t="s">
        <v>843</v>
      </c>
    </row>
    <row r="138" spans="2:3" ht="28.5" x14ac:dyDescent="0.2">
      <c r="B138" s="115" t="s">
        <v>844</v>
      </c>
      <c r="C138" s="112" t="s">
        <v>845</v>
      </c>
    </row>
    <row r="139" spans="2:3" ht="42.75" x14ac:dyDescent="0.2">
      <c r="B139" s="115" t="s">
        <v>846</v>
      </c>
      <c r="C139" s="112" t="s">
        <v>847</v>
      </c>
    </row>
    <row r="140" spans="2:3" ht="15" x14ac:dyDescent="0.2">
      <c r="B140" s="115" t="s">
        <v>848</v>
      </c>
      <c r="C140" s="112" t="s">
        <v>849</v>
      </c>
    </row>
    <row r="141" spans="2:3" ht="28.5" x14ac:dyDescent="0.2">
      <c r="B141" s="115" t="s">
        <v>850</v>
      </c>
      <c r="C141" s="112" t="s">
        <v>851</v>
      </c>
    </row>
    <row r="142" spans="2:3" ht="42.75" x14ac:dyDescent="0.2">
      <c r="B142" s="115" t="s">
        <v>852</v>
      </c>
      <c r="C142" s="112" t="s">
        <v>853</v>
      </c>
    </row>
  </sheetData>
  <sheetProtection algorithmName="SHA-512" hashValue="FQzLgqZSKQdyvyF1DmHZ5ph/YirqYwNNb8f19wWi5U3TU6kwL83uOh5pnBCI3GACUX32jK22h2MBzTDygkeXEQ==" saltValue="gmwWTq9BiGbCs0tMiTzKEA==" spinCount="100000" sheet="1" objects="1" scenarios="1"/>
  <sortState xmlns:xlrd2="http://schemas.microsoft.com/office/spreadsheetml/2017/richdata2" ref="B4:C142">
    <sortCondition ref="B4:B142"/>
  </sortState>
  <dataConsolidate/>
  <phoneticPr fontId="0" type="noConversion"/>
  <pageMargins left="0.75" right="0.75" top="1" bottom="1" header="0.5" footer="0.5"/>
  <pageSetup scale="78"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pageSetUpPr fitToPage="1"/>
  </sheetPr>
  <dimension ref="A1:D44"/>
  <sheetViews>
    <sheetView showGridLines="0" showZeros="0" zoomScale="85" workbookViewId="0">
      <selection activeCell="D6" sqref="D6"/>
    </sheetView>
  </sheetViews>
  <sheetFormatPr defaultColWidth="9.140625" defaultRowHeight="14.25" x14ac:dyDescent="0.2"/>
  <cols>
    <col min="1" max="1" width="36.85546875" style="7" bestFit="1" customWidth="1"/>
    <col min="2" max="2" width="110.42578125" style="42" customWidth="1"/>
    <col min="3" max="3" width="15" style="7" bestFit="1" customWidth="1"/>
    <col min="4" max="4" width="35.42578125" style="7" customWidth="1"/>
    <col min="5" max="16384" width="9.140625" style="7"/>
  </cols>
  <sheetData>
    <row r="1" spans="1:4" ht="23.25" x14ac:dyDescent="0.35">
      <c r="A1" s="35" t="s">
        <v>102</v>
      </c>
      <c r="B1" s="36"/>
    </row>
    <row r="2" spans="1:4" ht="15" x14ac:dyDescent="0.25">
      <c r="A2" s="37" t="s">
        <v>854</v>
      </c>
      <c r="B2" s="38" t="s">
        <v>855</v>
      </c>
    </row>
    <row r="3" spans="1:4" ht="43.5" x14ac:dyDescent="0.25">
      <c r="A3" s="34" t="s">
        <v>856</v>
      </c>
      <c r="B3" s="10" t="s">
        <v>857</v>
      </c>
      <c r="C3"/>
    </row>
    <row r="4" spans="1:4" ht="29.25" x14ac:dyDescent="0.25">
      <c r="A4" s="27" t="s">
        <v>858</v>
      </c>
      <c r="B4" s="10" t="s">
        <v>859</v>
      </c>
    </row>
    <row r="5" spans="1:4" ht="72" x14ac:dyDescent="0.25">
      <c r="A5" s="34" t="s">
        <v>860</v>
      </c>
      <c r="B5" s="10" t="s">
        <v>861</v>
      </c>
      <c r="D5" s="39" t="s">
        <v>862</v>
      </c>
    </row>
    <row r="6" spans="1:4" ht="45" x14ac:dyDescent="0.25">
      <c r="A6" s="34" t="s">
        <v>863</v>
      </c>
      <c r="B6" s="10" t="s">
        <v>864</v>
      </c>
      <c r="D6" s="48"/>
    </row>
    <row r="7" spans="1:4" ht="30" x14ac:dyDescent="0.25">
      <c r="A7" s="34" t="s">
        <v>865</v>
      </c>
      <c r="B7" s="10" t="s">
        <v>866</v>
      </c>
    </row>
    <row r="8" spans="1:4" ht="30" x14ac:dyDescent="0.25">
      <c r="A8" s="34" t="s">
        <v>867</v>
      </c>
      <c r="B8" s="10" t="s">
        <v>868</v>
      </c>
    </row>
    <row r="9" spans="1:4" ht="43.5" x14ac:dyDescent="0.25">
      <c r="A9" s="34" t="s">
        <v>869</v>
      </c>
      <c r="B9" s="10" t="s">
        <v>870</v>
      </c>
    </row>
    <row r="10" spans="1:4" ht="57.75" x14ac:dyDescent="0.25">
      <c r="A10" s="34" t="s">
        <v>871</v>
      </c>
      <c r="B10" s="10" t="s">
        <v>872</v>
      </c>
    </row>
    <row r="11" spans="1:4" ht="57.75" x14ac:dyDescent="0.25">
      <c r="A11" s="34" t="s">
        <v>873</v>
      </c>
      <c r="B11" s="10" t="s">
        <v>874</v>
      </c>
    </row>
    <row r="12" spans="1:4" ht="43.5" x14ac:dyDescent="0.25">
      <c r="A12" s="34" t="s">
        <v>875</v>
      </c>
      <c r="B12" s="10" t="s">
        <v>876</v>
      </c>
    </row>
    <row r="13" spans="1:4" ht="30" x14ac:dyDescent="0.25">
      <c r="A13" s="34" t="s">
        <v>877</v>
      </c>
      <c r="B13" s="10" t="s">
        <v>878</v>
      </c>
    </row>
    <row r="14" spans="1:4" ht="30" x14ac:dyDescent="0.25">
      <c r="A14" s="34" t="s">
        <v>879</v>
      </c>
      <c r="B14" s="10" t="s">
        <v>880</v>
      </c>
    </row>
    <row r="15" spans="1:4" ht="57.75" x14ac:dyDescent="0.25">
      <c r="A15" s="34" t="s">
        <v>881</v>
      </c>
      <c r="B15" s="10" t="s">
        <v>882</v>
      </c>
    </row>
    <row r="16" spans="1:4" ht="43.5" x14ac:dyDescent="0.25">
      <c r="A16" s="34" t="s">
        <v>883</v>
      </c>
      <c r="B16" s="10" t="s">
        <v>884</v>
      </c>
    </row>
    <row r="17" spans="1:3" ht="30" x14ac:dyDescent="0.25">
      <c r="A17" s="34" t="s">
        <v>885</v>
      </c>
      <c r="B17" s="10" t="s">
        <v>886</v>
      </c>
    </row>
    <row r="18" spans="1:3" ht="43.5" x14ac:dyDescent="0.25">
      <c r="A18" s="34" t="s">
        <v>887</v>
      </c>
      <c r="B18" s="10" t="s">
        <v>888</v>
      </c>
    </row>
    <row r="19" spans="1:3" ht="30" x14ac:dyDescent="0.25">
      <c r="A19" s="34" t="s">
        <v>889</v>
      </c>
      <c r="B19" s="10" t="s">
        <v>890</v>
      </c>
    </row>
    <row r="21" spans="1:3" ht="15" x14ac:dyDescent="0.25">
      <c r="A21" s="26" t="s">
        <v>891</v>
      </c>
      <c r="B21" s="39" t="s">
        <v>892</v>
      </c>
      <c r="C21" s="39" t="s">
        <v>893</v>
      </c>
    </row>
    <row r="22" spans="1:3" ht="15" x14ac:dyDescent="0.25">
      <c r="A22" s="27" t="s">
        <v>219</v>
      </c>
      <c r="B22" s="10" t="s">
        <v>894</v>
      </c>
      <c r="C22" s="11" t="e">
        <f xml:space="preserve"> MAX('Business Information'!A3,Documentation!A2,Lite!A4,#REF!,#REF!,#REF!,#REF!,#REF!,#REF!,#REF!,#REF!,#REF!,#REF!,#REF!,#REF!,#REF!,#REF!,#REF!,#REF!)</f>
        <v>#REF!</v>
      </c>
    </row>
    <row r="23" spans="1:3" ht="15" x14ac:dyDescent="0.25">
      <c r="A23" s="27" t="s">
        <v>895</v>
      </c>
      <c r="B23" s="10" t="s">
        <v>896</v>
      </c>
    </row>
    <row r="24" spans="1:3" ht="15" x14ac:dyDescent="0.25">
      <c r="A24" s="27" t="s">
        <v>897</v>
      </c>
      <c r="B24" s="10"/>
    </row>
    <row r="25" spans="1:3" ht="15" x14ac:dyDescent="0.25">
      <c r="A25" s="27" t="s">
        <v>898</v>
      </c>
      <c r="B25" s="10"/>
    </row>
    <row r="26" spans="1:3" ht="15" x14ac:dyDescent="0.25">
      <c r="A26" s="27" t="s">
        <v>248</v>
      </c>
      <c r="B26" s="10" t="s">
        <v>899</v>
      </c>
    </row>
    <row r="27" spans="1:3" ht="15" x14ac:dyDescent="0.25">
      <c r="A27" s="27" t="s">
        <v>250</v>
      </c>
      <c r="B27" s="10" t="s">
        <v>900</v>
      </c>
    </row>
    <row r="28" spans="1:3" ht="15" x14ac:dyDescent="0.25">
      <c r="A28" s="27" t="s">
        <v>254</v>
      </c>
      <c r="B28" s="10" t="s">
        <v>901</v>
      </c>
    </row>
    <row r="29" spans="1:3" ht="15" x14ac:dyDescent="0.25">
      <c r="A29" s="27" t="s">
        <v>902</v>
      </c>
      <c r="B29" s="10" t="s">
        <v>903</v>
      </c>
    </row>
    <row r="30" spans="1:3" ht="29.25" x14ac:dyDescent="0.25">
      <c r="A30" s="27" t="s">
        <v>265</v>
      </c>
      <c r="B30" s="10" t="s">
        <v>904</v>
      </c>
    </row>
    <row r="31" spans="1:3" ht="15" x14ac:dyDescent="0.25">
      <c r="A31" s="27" t="s">
        <v>270</v>
      </c>
      <c r="B31" s="10" t="s">
        <v>905</v>
      </c>
    </row>
    <row r="32" spans="1:3" ht="15" x14ac:dyDescent="0.25">
      <c r="A32" s="27" t="s">
        <v>906</v>
      </c>
      <c r="B32" s="10" t="s">
        <v>907</v>
      </c>
    </row>
    <row r="33" spans="1:2" ht="29.25" x14ac:dyDescent="0.25">
      <c r="A33" s="27" t="s">
        <v>908</v>
      </c>
      <c r="B33" s="10" t="s">
        <v>909</v>
      </c>
    </row>
    <row r="34" spans="1:2" ht="15" x14ac:dyDescent="0.25">
      <c r="A34" s="27" t="s">
        <v>910</v>
      </c>
      <c r="B34" s="10" t="s">
        <v>911</v>
      </c>
    </row>
    <row r="35" spans="1:2" ht="15" x14ac:dyDescent="0.25">
      <c r="A35" s="27" t="s">
        <v>912</v>
      </c>
      <c r="B35" s="10" t="s">
        <v>913</v>
      </c>
    </row>
    <row r="36" spans="1:2" ht="15" x14ac:dyDescent="0.25">
      <c r="A36" s="27" t="s">
        <v>274</v>
      </c>
      <c r="B36" s="10" t="s">
        <v>914</v>
      </c>
    </row>
    <row r="37" spans="1:2" ht="15" x14ac:dyDescent="0.25">
      <c r="A37" s="27" t="s">
        <v>915</v>
      </c>
      <c r="B37" s="10" t="s">
        <v>916</v>
      </c>
    </row>
    <row r="38" spans="1:2" ht="15" x14ac:dyDescent="0.25">
      <c r="A38" s="27" t="s">
        <v>917</v>
      </c>
      <c r="B38" s="10" t="s">
        <v>918</v>
      </c>
    </row>
    <row r="39" spans="1:2" ht="15" x14ac:dyDescent="0.25">
      <c r="A39" s="15"/>
      <c r="B39" s="40"/>
    </row>
    <row r="40" spans="1:2" ht="15" x14ac:dyDescent="0.25">
      <c r="A40" s="26" t="s">
        <v>919</v>
      </c>
      <c r="B40" s="39" t="s">
        <v>892</v>
      </c>
    </row>
    <row r="41" spans="1:2" ht="15" x14ac:dyDescent="0.25">
      <c r="A41" s="27" t="s">
        <v>920</v>
      </c>
      <c r="B41" s="41" t="s">
        <v>921</v>
      </c>
    </row>
    <row r="42" spans="1:2" ht="15" x14ac:dyDescent="0.25">
      <c r="A42" s="27" t="s">
        <v>922</v>
      </c>
      <c r="B42" s="10" t="s">
        <v>923</v>
      </c>
    </row>
    <row r="43" spans="1:2" ht="15" x14ac:dyDescent="0.25">
      <c r="A43" s="27" t="s">
        <v>924</v>
      </c>
      <c r="B43" s="10" t="s">
        <v>925</v>
      </c>
    </row>
    <row r="44" spans="1:2" ht="15" x14ac:dyDescent="0.25">
      <c r="A44" s="27" t="s">
        <v>926</v>
      </c>
      <c r="B44" s="4" t="s">
        <v>927</v>
      </c>
    </row>
  </sheetData>
  <sheetProtection algorithmName="SHA-512" hashValue="QhLTaPXH2X4NYgZC7v56uQzBeNnJ0Z7/Sez11PLkCjcjRgj+FiWrq57IaQ3iu+lB7e2PMCGii+TF2/QEyHN99g==" saltValue="ZBsnfBLBPkQQQia+jYUqNw==" spinCount="100000" sheet="1" objects="1" scenarios="1"/>
  <phoneticPr fontId="0" type="noConversion"/>
  <dataValidations count="1">
    <dataValidation type="list" allowBlank="1" showInputMessage="1" showErrorMessage="1" sqref="D6" xr:uid="{00000000-0002-0000-0900-000000000000}">
      <formula1>MasterDrop</formula1>
    </dataValidation>
  </dataValidations>
  <pageMargins left="0.75" right="0.75" top="1" bottom="1" header="0.5" footer="0.5"/>
  <pageSetup scale="61" fitToHeight="0" orientation="landscape" r:id="rId1"/>
  <headerFooter alignWithMargins="0">
    <oddHeader>&amp;LShared Assessments Program&amp;CStandardized Information Gathering (SIG) Questionnaire&amp;R&amp;R Version 2016</oddHeader>
    <oddFooter>&amp;L&amp;A&amp;CPage &amp;P of &amp;N Page(s)</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pageSetUpPr fitToPage="1"/>
  </sheetPr>
  <dimension ref="A1:S160"/>
  <sheetViews>
    <sheetView showGridLines="0" showZeros="0" zoomScale="85" zoomScaleNormal="85" workbookViewId="0">
      <pane ySplit="1" topLeftCell="A2" activePane="bottomLeft" state="frozen"/>
      <selection pane="bottomLeft" activeCell="H1" sqref="H1"/>
    </sheetView>
  </sheetViews>
  <sheetFormatPr defaultColWidth="9.140625" defaultRowHeight="12.75" x14ac:dyDescent="0.2"/>
  <cols>
    <col min="1" max="1" width="8.42578125" hidden="1" customWidth="1"/>
    <col min="2" max="2" width="9.28515625" hidden="1" customWidth="1"/>
    <col min="3" max="3" width="8.85546875" hidden="1" customWidth="1"/>
    <col min="4" max="4" width="6.140625" hidden="1" customWidth="1"/>
    <col min="5" max="5" width="10.85546875" customWidth="1"/>
    <col min="6" max="6" width="43" customWidth="1"/>
    <col min="7" max="7" width="11.28515625" bestFit="1" customWidth="1"/>
    <col min="8" max="8" width="11.28515625" customWidth="1"/>
    <col min="9" max="9" width="30.7109375" customWidth="1"/>
    <col min="10" max="10" width="22" customWidth="1"/>
    <col min="12" max="13" width="25.42578125" customWidth="1"/>
    <col min="14" max="14" width="9.140625" customWidth="1"/>
    <col min="15" max="15" width="26.42578125" customWidth="1"/>
    <col min="16" max="16" width="9.140625" customWidth="1"/>
    <col min="17" max="17" width="15.28515625" customWidth="1"/>
    <col min="18" max="18" width="19.7109375" customWidth="1"/>
    <col min="19" max="19" width="58" customWidth="1"/>
  </cols>
  <sheetData>
    <row r="1" spans="1:19" ht="30" x14ac:dyDescent="0.25">
      <c r="A1" s="39" t="s">
        <v>928</v>
      </c>
      <c r="B1" s="39" t="s">
        <v>929</v>
      </c>
      <c r="C1" s="39" t="s">
        <v>930</v>
      </c>
      <c r="D1" s="39" t="s">
        <v>931</v>
      </c>
      <c r="E1" s="39" t="s">
        <v>212</v>
      </c>
      <c r="F1" s="39" t="s">
        <v>932</v>
      </c>
      <c r="G1" s="39" t="s">
        <v>112</v>
      </c>
      <c r="H1" s="39" t="s">
        <v>214</v>
      </c>
      <c r="I1" s="39" t="s">
        <v>215</v>
      </c>
      <c r="J1" s="39" t="s">
        <v>933</v>
      </c>
      <c r="K1" s="176" t="s">
        <v>217</v>
      </c>
      <c r="L1" s="177"/>
      <c r="M1" s="1" t="s">
        <v>934</v>
      </c>
      <c r="N1" s="73" t="s">
        <v>935</v>
      </c>
      <c r="O1" s="73"/>
      <c r="P1" s="39" t="s">
        <v>936</v>
      </c>
      <c r="Q1" s="39" t="s">
        <v>937</v>
      </c>
      <c r="R1" s="39" t="s">
        <v>938</v>
      </c>
      <c r="S1" s="39" t="s">
        <v>939</v>
      </c>
    </row>
    <row r="2" spans="1:19" ht="15" x14ac:dyDescent="0.25">
      <c r="A2" s="143" t="str">
        <f>Lite!B1</f>
        <v>SIG Lite</v>
      </c>
      <c r="B2" s="144"/>
      <c r="C2" s="144"/>
      <c r="D2" s="144"/>
      <c r="E2" s="144" t="str">
        <f>Lite!B1</f>
        <v>SIG Lite</v>
      </c>
      <c r="F2" s="145"/>
      <c r="G2" s="144"/>
      <c r="H2" s="144"/>
      <c r="I2" s="144"/>
      <c r="J2" s="144"/>
      <c r="K2" s="144"/>
      <c r="L2" s="144"/>
      <c r="M2" s="144"/>
      <c r="N2" s="144"/>
      <c r="O2" s="144"/>
      <c r="P2" s="144"/>
      <c r="Q2" s="144"/>
      <c r="R2" s="144"/>
      <c r="S2" s="146"/>
    </row>
    <row r="3" spans="1:19" ht="15" x14ac:dyDescent="0.25">
      <c r="A3" s="10">
        <f>Lite!A5</f>
        <v>0</v>
      </c>
      <c r="B3" s="10">
        <f>Lite!M5</f>
        <v>1</v>
      </c>
      <c r="C3" s="10">
        <f>Lite!K5</f>
        <v>1</v>
      </c>
      <c r="D3" s="10">
        <f>Lite!Y5</f>
        <v>0</v>
      </c>
      <c r="E3" s="10">
        <f>Lite!B5</f>
        <v>0</v>
      </c>
      <c r="F3" s="10" t="str">
        <f>Lite!C5</f>
        <v>A. Risk Assessment and Treatment</v>
      </c>
      <c r="G3" s="10">
        <f>Lite!D5</f>
        <v>0</v>
      </c>
      <c r="H3" s="10">
        <f>Lite!E5</f>
        <v>0</v>
      </c>
      <c r="I3" s="10">
        <f>Lite!F5</f>
        <v>0</v>
      </c>
      <c r="J3" s="10">
        <f>Lite!G5</f>
        <v>0</v>
      </c>
      <c r="K3" s="10">
        <f>Lite!H5</f>
        <v>0</v>
      </c>
      <c r="L3" s="10">
        <f>Lite!I5</f>
        <v>0</v>
      </c>
      <c r="M3" s="10"/>
      <c r="N3" s="10"/>
      <c r="O3" s="10"/>
      <c r="P3" s="10"/>
      <c r="Q3" s="10"/>
      <c r="R3" s="10"/>
      <c r="S3" s="10"/>
    </row>
    <row r="4" spans="1:19" ht="71.25" x14ac:dyDescent="0.2">
      <c r="A4" s="10">
        <f>Lite!A6</f>
        <v>3198</v>
      </c>
      <c r="B4" s="10">
        <f>Lite!M6</f>
        <v>1</v>
      </c>
      <c r="C4" s="10" t="str">
        <f>Lite!K6</f>
        <v>A</v>
      </c>
      <c r="D4" s="10">
        <f>Lite!Y6</f>
        <v>1</v>
      </c>
      <c r="E4" s="10" t="str">
        <f>Lite!B6</f>
        <v>SL.1</v>
      </c>
      <c r="F4" s="10" t="str">
        <f>Lite!C6</f>
        <v>Is there a risk assessment program that has been approved by management, communicated to appropriate constituents and an owner to maintain and review the program?</v>
      </c>
      <c r="G4" s="10" t="str">
        <f>Lite!D6</f>
        <v>Yes</v>
      </c>
      <c r="H4" s="10">
        <f>Lite!E6</f>
        <v>0</v>
      </c>
      <c r="I4" s="10">
        <f>Lite!F6</f>
        <v>0</v>
      </c>
      <c r="J4" s="10" t="str">
        <f>Lite!G6</f>
        <v>A.1 IT &amp; Infrastructure Risk Governance and Context</v>
      </c>
      <c r="K4" s="10" t="str">
        <f>Lite!H6</f>
        <v>5.1                                            6.1.2</v>
      </c>
      <c r="L4" s="10" t="str">
        <f>Lite!I6</f>
        <v>Leadership &amp; Commitment,                Information Security Risk Assessment</v>
      </c>
      <c r="M4" s="10"/>
      <c r="N4" s="10"/>
      <c r="O4" s="10"/>
      <c r="P4" s="10">
        <v>12.2</v>
      </c>
      <c r="Q4" s="10" t="s">
        <v>940</v>
      </c>
      <c r="R4" s="10" t="s">
        <v>941</v>
      </c>
      <c r="S4" s="10"/>
    </row>
    <row r="5" spans="1:19" ht="15" x14ac:dyDescent="0.25">
      <c r="A5" s="10">
        <f>Lite!A7</f>
        <v>0</v>
      </c>
      <c r="B5" s="10">
        <f>Lite!M7</f>
        <v>2</v>
      </c>
      <c r="C5" s="10">
        <f>Lite!K7</f>
        <v>1</v>
      </c>
      <c r="D5" s="10">
        <f>Lite!Y7</f>
        <v>1</v>
      </c>
      <c r="E5" s="10" t="str">
        <f>Lite!B7</f>
        <v/>
      </c>
      <c r="F5" s="10" t="str">
        <f>Lite!C7</f>
        <v>B. Security Policy</v>
      </c>
      <c r="G5" s="10">
        <f>Lite!D7</f>
        <v>0</v>
      </c>
      <c r="H5" s="10">
        <f>Lite!E7</f>
        <v>0</v>
      </c>
      <c r="I5" s="10">
        <f>Lite!F7</f>
        <v>0</v>
      </c>
      <c r="J5" s="10">
        <f>Lite!G7</f>
        <v>0</v>
      </c>
      <c r="K5" s="10">
        <f>Lite!H7</f>
        <v>0</v>
      </c>
      <c r="L5" s="10">
        <f>Lite!I7</f>
        <v>0</v>
      </c>
      <c r="M5" s="10"/>
      <c r="N5" s="10"/>
      <c r="O5" s="10"/>
      <c r="P5" s="10"/>
      <c r="Q5" s="10"/>
      <c r="R5" s="10"/>
      <c r="S5" s="10"/>
    </row>
    <row r="6" spans="1:19" ht="71.25" x14ac:dyDescent="0.2">
      <c r="A6" s="10">
        <f>Lite!A8</f>
        <v>3199</v>
      </c>
      <c r="B6" s="10">
        <f>Lite!M8</f>
        <v>2</v>
      </c>
      <c r="C6" s="10" t="str">
        <f>Lite!K8</f>
        <v>B</v>
      </c>
      <c r="D6" s="10">
        <f>Lite!Y8</f>
        <v>1</v>
      </c>
      <c r="E6" s="10" t="str">
        <f>Lite!B8</f>
        <v>SL.2</v>
      </c>
      <c r="F6" s="10" t="str">
        <f>Lite!C8</f>
        <v>Is there an information security policy that has been approved by management, communicated to appropriate constituents and an owner to maintain and review the policy?</v>
      </c>
      <c r="G6" s="10" t="str">
        <f>Lite!D8</f>
        <v>Yes</v>
      </c>
      <c r="H6" s="10">
        <f>Lite!E8</f>
        <v>0</v>
      </c>
      <c r="I6" s="10">
        <f>Lite!F8</f>
        <v>0</v>
      </c>
      <c r="J6" s="10" t="str">
        <f>Lite!G8</f>
        <v>B.1 Information Security Policy Content &amp; Maintenance</v>
      </c>
      <c r="K6" s="10" t="str">
        <f>Lite!H8</f>
        <v>5.1.1</v>
      </c>
      <c r="L6" s="10" t="str">
        <f>Lite!I8</f>
        <v>Policies for information security</v>
      </c>
      <c r="M6" s="10"/>
      <c r="N6" s="10" t="s">
        <v>942</v>
      </c>
      <c r="O6" s="10" t="s">
        <v>943</v>
      </c>
      <c r="P6" s="10" t="s">
        <v>944</v>
      </c>
      <c r="Q6" s="10" t="s">
        <v>945</v>
      </c>
      <c r="R6" s="10" t="s">
        <v>946</v>
      </c>
      <c r="S6" s="10"/>
    </row>
    <row r="7" spans="1:19" ht="85.5" x14ac:dyDescent="0.2">
      <c r="A7" s="10">
        <f>Lite!A9</f>
        <v>2471</v>
      </c>
      <c r="B7" s="10">
        <f>Lite!M9</f>
        <v>2</v>
      </c>
      <c r="C7" s="10" t="str">
        <f>Lite!K9</f>
        <v>B</v>
      </c>
      <c r="D7" s="10">
        <f>Lite!Y9</f>
        <v>1</v>
      </c>
      <c r="E7" s="10" t="str">
        <f>Lite!B9</f>
        <v>SL.3</v>
      </c>
      <c r="F7" s="10" t="str">
        <f>Lite!C9</f>
        <v>Have the policies been reviewed in the last 12 months?</v>
      </c>
      <c r="G7" s="10" t="str">
        <f>Lite!D9</f>
        <v>Yes</v>
      </c>
      <c r="H7" s="10">
        <f>Lite!E9</f>
        <v>0</v>
      </c>
      <c r="I7" s="10">
        <f>Lite!F9</f>
        <v>0</v>
      </c>
      <c r="J7" s="10" t="str">
        <f>Lite!G9</f>
        <v>B.1 Procedure: d</v>
      </c>
      <c r="K7" s="10" t="str">
        <f>Lite!H9</f>
        <v>5.1.2</v>
      </c>
      <c r="L7" s="10" t="str">
        <f>Lite!I9</f>
        <v>Review of the policies for information security</v>
      </c>
      <c r="M7" s="10"/>
      <c r="N7" s="10" t="s">
        <v>947</v>
      </c>
      <c r="O7" s="10" t="s">
        <v>948</v>
      </c>
      <c r="P7" s="10" t="s">
        <v>949</v>
      </c>
      <c r="Q7" s="10" t="s">
        <v>950</v>
      </c>
      <c r="R7" s="10" t="s">
        <v>951</v>
      </c>
      <c r="S7" s="10"/>
    </row>
    <row r="8" spans="1:19" ht="14.25" x14ac:dyDescent="0.2">
      <c r="A8" s="10">
        <f>Lite!A10</f>
        <v>3886</v>
      </c>
      <c r="B8" s="10">
        <f>Lite!M10</f>
        <v>2</v>
      </c>
      <c r="C8" s="10" t="str">
        <f>Lite!K10</f>
        <v>B</v>
      </c>
      <c r="D8" s="10">
        <f>Lite!Y10</f>
        <v>1</v>
      </c>
      <c r="E8" s="10" t="str">
        <f>Lite!B10</f>
        <v>SL.4</v>
      </c>
      <c r="F8" s="10" t="str">
        <f>Lite!C10</f>
        <v>Is there a vendor management program?</v>
      </c>
      <c r="G8" s="10" t="str">
        <f>Lite!D10</f>
        <v>No</v>
      </c>
      <c r="H8" s="10">
        <f>Lite!E10</f>
        <v>0</v>
      </c>
      <c r="I8" s="10">
        <f>Lite!F10</f>
        <v>0</v>
      </c>
      <c r="J8" s="10">
        <f>Lite!G10</f>
        <v>0</v>
      </c>
      <c r="K8" s="10">
        <f>Lite!H10</f>
        <v>0</v>
      </c>
      <c r="L8" s="10">
        <f>Lite!I10</f>
        <v>0</v>
      </c>
      <c r="M8" s="10"/>
      <c r="N8" s="10"/>
      <c r="O8" s="10"/>
      <c r="P8" s="10">
        <v>12.8</v>
      </c>
      <c r="Q8" s="10" t="s">
        <v>89</v>
      </c>
      <c r="R8" s="10" t="s">
        <v>89</v>
      </c>
      <c r="S8" s="10"/>
    </row>
    <row r="9" spans="1:19" ht="15" x14ac:dyDescent="0.25">
      <c r="A9" s="10">
        <f>Lite!A11</f>
        <v>0</v>
      </c>
      <c r="B9" s="10">
        <f>Lite!M11</f>
        <v>3</v>
      </c>
      <c r="C9" s="10">
        <f>Lite!K11</f>
        <v>1</v>
      </c>
      <c r="D9" s="10">
        <f>Lite!Y11</f>
        <v>1</v>
      </c>
      <c r="E9" s="10" t="str">
        <f>Lite!B11</f>
        <v/>
      </c>
      <c r="F9" s="10" t="str">
        <f>Lite!C11</f>
        <v>C. Organizational Security</v>
      </c>
      <c r="G9" s="10">
        <f>Lite!D11</f>
        <v>0</v>
      </c>
      <c r="H9" s="10">
        <f>Lite!E11</f>
        <v>0</v>
      </c>
      <c r="I9" s="10">
        <f>Lite!F11</f>
        <v>0</v>
      </c>
      <c r="J9" s="10">
        <f>Lite!G11</f>
        <v>0</v>
      </c>
      <c r="K9" s="10">
        <f>Lite!H11</f>
        <v>0</v>
      </c>
      <c r="L9" s="10">
        <f>Lite!I11</f>
        <v>0</v>
      </c>
      <c r="M9" s="10"/>
      <c r="N9" s="10"/>
      <c r="O9" s="10"/>
      <c r="P9" s="10"/>
      <c r="Q9" s="10"/>
      <c r="R9" s="10"/>
      <c r="S9" s="10"/>
    </row>
    <row r="10" spans="1:19" ht="71.25" x14ac:dyDescent="0.2">
      <c r="A10" s="10">
        <f>Lite!A12</f>
        <v>58</v>
      </c>
      <c r="B10" s="10">
        <f>Lite!M12</f>
        <v>3</v>
      </c>
      <c r="C10" s="10" t="str">
        <f>Lite!K12</f>
        <v>C</v>
      </c>
      <c r="D10" s="10">
        <f>Lite!Y12</f>
        <v>1</v>
      </c>
      <c r="E10" s="10" t="str">
        <f>Lite!B12</f>
        <v>SL.5</v>
      </c>
      <c r="F10" s="10" t="str">
        <f>Lite!C12</f>
        <v>Is there a respondent information security function responsible for security initiatives?</v>
      </c>
      <c r="G10" s="10" t="str">
        <f>Lite!D12</f>
        <v>Yes</v>
      </c>
      <c r="H10" s="10">
        <f>Lite!E12</f>
        <v>0</v>
      </c>
      <c r="I10" s="10">
        <f>Lite!F12</f>
        <v>0</v>
      </c>
      <c r="J10" s="10" t="str">
        <f>Lite!G12</f>
        <v>C.2 Security Organization Roles / Responsibilities</v>
      </c>
      <c r="K10" s="10" t="str">
        <f>Lite!H12</f>
        <v>6.1.1</v>
      </c>
      <c r="L10" s="10" t="str">
        <f>Lite!I12</f>
        <v>Information Security Roles and Responsibilities</v>
      </c>
      <c r="M10" s="10"/>
      <c r="N10" s="10" t="s">
        <v>952</v>
      </c>
      <c r="O10" s="10" t="s">
        <v>953</v>
      </c>
      <c r="P10" s="10">
        <v>12.5</v>
      </c>
      <c r="Q10" s="10" t="s">
        <v>954</v>
      </c>
      <c r="R10" s="10" t="s">
        <v>955</v>
      </c>
      <c r="S10" s="10"/>
    </row>
    <row r="11" spans="1:19" ht="42.75" x14ac:dyDescent="0.2">
      <c r="A11" s="10">
        <f>Lite!A13</f>
        <v>71</v>
      </c>
      <c r="B11" s="10">
        <f>Lite!M13</f>
        <v>3</v>
      </c>
      <c r="C11" s="10" t="str">
        <f>Lite!K13</f>
        <v>C</v>
      </c>
      <c r="D11" s="10">
        <f>Lite!Y13</f>
        <v>1</v>
      </c>
      <c r="E11" s="10" t="str">
        <f>Lite!B13</f>
        <v>SL.6</v>
      </c>
      <c r="F11" s="10" t="str">
        <f>Lite!C13</f>
        <v>Do external parties have access to Scoped Systems and Data or processing facilities?</v>
      </c>
      <c r="G11" s="10" t="str">
        <f>Lite!D13</f>
        <v>No</v>
      </c>
      <c r="H11" s="10">
        <f>Lite!E13</f>
        <v>0</v>
      </c>
      <c r="I11" s="10">
        <f>Lite!F13</f>
        <v>0</v>
      </c>
      <c r="J11" s="10">
        <f>Lite!G13</f>
        <v>0</v>
      </c>
      <c r="K11" s="10">
        <f>Lite!H13</f>
        <v>15</v>
      </c>
      <c r="L11" s="10" t="str">
        <f>Lite!I13</f>
        <v>Supplier relationships</v>
      </c>
      <c r="M11" s="10"/>
      <c r="N11" s="10"/>
      <c r="O11" s="10"/>
      <c r="P11" s="10">
        <v>12.8</v>
      </c>
      <c r="Q11" s="10" t="s">
        <v>89</v>
      </c>
      <c r="R11" s="10" t="s">
        <v>956</v>
      </c>
      <c r="S11" s="10"/>
    </row>
    <row r="12" spans="1:19" ht="15" x14ac:dyDescent="0.25">
      <c r="A12" s="10">
        <f>Lite!A14</f>
        <v>0</v>
      </c>
      <c r="B12" s="10">
        <f>Lite!M14</f>
        <v>4</v>
      </c>
      <c r="C12" s="10">
        <f>Lite!K14</f>
        <v>1</v>
      </c>
      <c r="D12" s="10">
        <f>Lite!Y14</f>
        <v>1</v>
      </c>
      <c r="E12" s="10" t="str">
        <f>Lite!B14</f>
        <v/>
      </c>
      <c r="F12" s="10" t="str">
        <f>Lite!C14</f>
        <v>D. Asset Management</v>
      </c>
      <c r="G12" s="10">
        <f>Lite!D14</f>
        <v>0</v>
      </c>
      <c r="H12" s="10">
        <f>Lite!E14</f>
        <v>0</v>
      </c>
      <c r="I12" s="10">
        <f>Lite!F14</f>
        <v>0</v>
      </c>
      <c r="J12" s="10">
        <f>Lite!G14</f>
        <v>0</v>
      </c>
      <c r="K12" s="10">
        <f>Lite!H14</f>
        <v>0</v>
      </c>
      <c r="L12" s="10">
        <f>Lite!I14</f>
        <v>0</v>
      </c>
      <c r="M12" s="10"/>
      <c r="N12" s="10"/>
      <c r="O12" s="10"/>
      <c r="P12" s="10"/>
      <c r="Q12" s="10"/>
      <c r="R12" s="10"/>
      <c r="S12" s="10"/>
    </row>
    <row r="13" spans="1:19" ht="71.25" x14ac:dyDescent="0.2">
      <c r="A13" s="10">
        <f>Lite!A15</f>
        <v>3200</v>
      </c>
      <c r="B13" s="10">
        <f>Lite!M15</f>
        <v>4</v>
      </c>
      <c r="C13" s="10" t="str">
        <f>Lite!K15</f>
        <v>D</v>
      </c>
      <c r="D13" s="10">
        <f>Lite!Y15</f>
        <v>1</v>
      </c>
      <c r="E13" s="10" t="str">
        <f>Lite!B15</f>
        <v>SL.7</v>
      </c>
      <c r="F13" s="10" t="str">
        <f>Lite!C15</f>
        <v>Is there an asset management program that has been approved by management, communicated to appropriate constituents and an owner to maintain and review the policy?</v>
      </c>
      <c r="G13" s="10" t="str">
        <f>Lite!D15</f>
        <v>Yes</v>
      </c>
      <c r="H13" s="10">
        <f>Lite!E15</f>
        <v>0</v>
      </c>
      <c r="I13" s="10">
        <f>Lite!F15</f>
        <v>0</v>
      </c>
      <c r="J13" s="10" t="str">
        <f>Lite!G15</f>
        <v>D. Assessment Management</v>
      </c>
      <c r="K13" s="10">
        <f>Lite!H15</f>
        <v>8.1</v>
      </c>
      <c r="L13" s="10" t="str">
        <f>Lite!I15</f>
        <v>Responsibility For Assets</v>
      </c>
      <c r="M13" s="10"/>
      <c r="N13" s="10"/>
      <c r="O13" s="10"/>
      <c r="P13" s="10" t="s">
        <v>89</v>
      </c>
      <c r="Q13" s="10" t="s">
        <v>89</v>
      </c>
      <c r="R13" s="10" t="s">
        <v>957</v>
      </c>
      <c r="S13" s="10"/>
    </row>
    <row r="14" spans="1:19" ht="28.5" x14ac:dyDescent="0.2">
      <c r="A14" s="10">
        <f>Lite!A16</f>
        <v>2532</v>
      </c>
      <c r="B14" s="10">
        <f>Lite!M16</f>
        <v>4</v>
      </c>
      <c r="C14" s="10" t="str">
        <f>Lite!K16</f>
        <v>D</v>
      </c>
      <c r="D14" s="10">
        <f>Lite!Y16</f>
        <v>1</v>
      </c>
      <c r="E14" s="10" t="str">
        <f>Lite!B16</f>
        <v>SL.8</v>
      </c>
      <c r="F14" s="10" t="str">
        <f>Lite!C16</f>
        <v>Are information assets classified?</v>
      </c>
      <c r="G14" s="10" t="str">
        <f>Lite!D16</f>
        <v>Yes</v>
      </c>
      <c r="H14" s="10">
        <f>Lite!E16</f>
        <v>0</v>
      </c>
      <c r="I14" s="10">
        <f>Lite!F16</f>
        <v>0</v>
      </c>
      <c r="J14" s="10" t="str">
        <f>Lite!G16</f>
        <v>D.1 Procedure: e.1</v>
      </c>
      <c r="K14" s="10" t="str">
        <f>Lite!H16</f>
        <v>8.2.1</v>
      </c>
      <c r="L14" s="10" t="str">
        <f>Lite!I16</f>
        <v>Classification of Information</v>
      </c>
      <c r="M14" s="10"/>
      <c r="N14" s="10" t="s">
        <v>958</v>
      </c>
      <c r="O14" s="10" t="s">
        <v>959</v>
      </c>
      <c r="P14" s="10" t="s">
        <v>960</v>
      </c>
      <c r="Q14" s="10" t="s">
        <v>89</v>
      </c>
      <c r="R14" s="10" t="s">
        <v>961</v>
      </c>
      <c r="S14" s="10"/>
    </row>
    <row r="15" spans="1:19" ht="15" x14ac:dyDescent="0.25">
      <c r="A15" s="10">
        <f>Lite!A17</f>
        <v>0</v>
      </c>
      <c r="B15" s="10">
        <f>Lite!M17</f>
        <v>5</v>
      </c>
      <c r="C15" s="10">
        <f>Lite!K17</f>
        <v>1</v>
      </c>
      <c r="D15" s="10">
        <f>Lite!Y17</f>
        <v>1</v>
      </c>
      <c r="E15" s="10" t="str">
        <f>Lite!B17</f>
        <v/>
      </c>
      <c r="F15" s="10" t="str">
        <f>Lite!C17</f>
        <v>E. Human Resource Security</v>
      </c>
      <c r="G15" s="10">
        <f>Lite!D17</f>
        <v>0</v>
      </c>
      <c r="H15" s="10">
        <f>Lite!E17</f>
        <v>0</v>
      </c>
      <c r="I15" s="10">
        <f>Lite!F17</f>
        <v>0</v>
      </c>
      <c r="J15" s="10">
        <f>Lite!G17</f>
        <v>0</v>
      </c>
      <c r="K15" s="10">
        <f>Lite!H17</f>
        <v>0</v>
      </c>
      <c r="L15" s="10">
        <f>Lite!I17</f>
        <v>0</v>
      </c>
      <c r="M15" s="10"/>
      <c r="N15" s="10"/>
      <c r="O15" s="10"/>
      <c r="P15" s="10"/>
      <c r="Q15" s="10"/>
      <c r="R15" s="10"/>
      <c r="S15" s="10"/>
    </row>
    <row r="16" spans="1:19" ht="57" x14ac:dyDescent="0.2">
      <c r="A16" s="10">
        <f>Lite!A18</f>
        <v>2536</v>
      </c>
      <c r="B16" s="10">
        <f>Lite!M18</f>
        <v>5</v>
      </c>
      <c r="C16" s="10" t="str">
        <f>Lite!K18</f>
        <v>E</v>
      </c>
      <c r="D16" s="10">
        <f>Lite!Y18</f>
        <v>1</v>
      </c>
      <c r="E16" s="10" t="str">
        <f>Lite!B18</f>
        <v>SL.9</v>
      </c>
      <c r="F16" s="10" t="str">
        <f>Lite!C18</f>
        <v>Are security roles and responsibilities of constituents defined and documented in accordance with the respondent’s information security policy?</v>
      </c>
      <c r="G16" s="10" t="str">
        <f>Lite!D18</f>
        <v>Yes</v>
      </c>
      <c r="H16" s="10">
        <f>Lite!E18</f>
        <v>0</v>
      </c>
      <c r="I16" s="10">
        <f>Lite!F18</f>
        <v>0</v>
      </c>
      <c r="J16" s="10" t="str">
        <f>Lite!G18</f>
        <v>C.2 Security Organization Roles/Responsibilities</v>
      </c>
      <c r="K16" s="10" t="str">
        <f>Lite!H18</f>
        <v>6.1.1</v>
      </c>
      <c r="L16" s="10" t="str">
        <f>Lite!I18</f>
        <v>Information security roles and responsibilities</v>
      </c>
      <c r="M16" s="10"/>
      <c r="N16" s="10" t="s">
        <v>962</v>
      </c>
      <c r="O16" s="10" t="s">
        <v>963</v>
      </c>
      <c r="P16" s="10">
        <v>12.1</v>
      </c>
      <c r="Q16" s="10" t="s">
        <v>964</v>
      </c>
      <c r="R16" s="10" t="s">
        <v>965</v>
      </c>
      <c r="S16" s="10"/>
    </row>
    <row r="17" spans="1:19" ht="42.75" x14ac:dyDescent="0.2">
      <c r="A17" s="10">
        <f>Lite!A19</f>
        <v>2538</v>
      </c>
      <c r="B17" s="10">
        <f>Lite!M19</f>
        <v>5</v>
      </c>
      <c r="C17" s="10" t="str">
        <f>Lite!K19</f>
        <v>E</v>
      </c>
      <c r="D17" s="10">
        <f>Lite!Y19</f>
        <v>1</v>
      </c>
      <c r="E17" s="10" t="str">
        <f>Lite!B19</f>
        <v>SL.10</v>
      </c>
      <c r="F17" s="10" t="str">
        <f>Lite!C19</f>
        <v>Is a background screening performed prior to allowing constituent access to Scoped Systems and Data?</v>
      </c>
      <c r="G17" s="10" t="str">
        <f>Lite!D19</f>
        <v>Yes</v>
      </c>
      <c r="H17" s="10">
        <f>Lite!E19</f>
        <v>0</v>
      </c>
      <c r="I17" s="10">
        <f>Lite!F19</f>
        <v>0</v>
      </c>
      <c r="J17" s="10" t="str">
        <f>Lite!G19</f>
        <v>E.3 Background Investigation Policy Content</v>
      </c>
      <c r="K17" s="10" t="str">
        <f>Lite!H19</f>
        <v>7.1.1</v>
      </c>
      <c r="L17" s="10" t="str">
        <f>Lite!I19</f>
        <v>Screening</v>
      </c>
      <c r="M17" s="10"/>
      <c r="N17" s="10"/>
      <c r="O17" s="10"/>
      <c r="P17" s="10">
        <v>12.7</v>
      </c>
      <c r="Q17" s="10" t="s">
        <v>966</v>
      </c>
      <c r="R17" s="10" t="s">
        <v>89</v>
      </c>
      <c r="S17" s="10"/>
    </row>
    <row r="18" spans="1:19" ht="42.75" x14ac:dyDescent="0.2">
      <c r="A18" s="10">
        <f>Lite!A20</f>
        <v>183</v>
      </c>
      <c r="B18" s="10">
        <f>Lite!M20</f>
        <v>5</v>
      </c>
      <c r="C18" s="10" t="str">
        <f>Lite!K20</f>
        <v>E</v>
      </c>
      <c r="D18" s="10">
        <f>Lite!Y20</f>
        <v>1</v>
      </c>
      <c r="E18" s="10" t="str">
        <f>Lite!B20</f>
        <v>SL.11</v>
      </c>
      <c r="F18" s="10" t="str">
        <f>Lite!C20</f>
        <v>Are new hires required to sign any agreements upon hire?</v>
      </c>
      <c r="G18" s="10" t="str">
        <f>Lite!D20</f>
        <v>Yes</v>
      </c>
      <c r="H18" s="10">
        <f>Lite!E20</f>
        <v>0</v>
      </c>
      <c r="I18" s="10">
        <f>Lite!F20</f>
        <v>0</v>
      </c>
      <c r="J18" s="10">
        <f>Lite!G20</f>
        <v>0</v>
      </c>
      <c r="K18" s="10" t="str">
        <f>Lite!H20</f>
        <v>7.1.2</v>
      </c>
      <c r="L18" s="10" t="str">
        <f>Lite!I20</f>
        <v>Terms and conditions of employment</v>
      </c>
      <c r="M18" s="10"/>
      <c r="N18" s="10" t="s">
        <v>962</v>
      </c>
      <c r="O18" s="10" t="s">
        <v>963</v>
      </c>
      <c r="P18" s="10" t="s">
        <v>967</v>
      </c>
      <c r="Q18" s="10" t="s">
        <v>968</v>
      </c>
      <c r="R18" s="10" t="s">
        <v>969</v>
      </c>
      <c r="S18" s="10"/>
    </row>
    <row r="19" spans="1:19" ht="85.5" x14ac:dyDescent="0.2">
      <c r="A19" s="10">
        <f>Lite!A21</f>
        <v>212</v>
      </c>
      <c r="B19" s="10">
        <f>Lite!M21</f>
        <v>5</v>
      </c>
      <c r="C19" s="10" t="str">
        <f>Lite!K21</f>
        <v>E</v>
      </c>
      <c r="D19" s="10">
        <f>Lite!Y21</f>
        <v>1</v>
      </c>
      <c r="E19" s="10" t="str">
        <f>Lite!B21</f>
        <v>SL.12</v>
      </c>
      <c r="F19" s="10" t="str">
        <f>Lite!C21</f>
        <v>Is there a security awareness training program?</v>
      </c>
      <c r="G19" s="10" t="str">
        <f>Lite!D21</f>
        <v>Yes</v>
      </c>
      <c r="H19" s="10">
        <f>Lite!E21</f>
        <v>0</v>
      </c>
      <c r="I19" s="10">
        <f>Lite!F21</f>
        <v>0</v>
      </c>
      <c r="J19" s="10" t="str">
        <f>Lite!G21</f>
        <v>E.1 Security Awareness Training Program Maintenance</v>
      </c>
      <c r="K19" s="10" t="str">
        <f>Lite!H21</f>
        <v>7.2.2</v>
      </c>
      <c r="L19" s="10" t="str">
        <f>Lite!I21</f>
        <v>Information security awareness, education, and training</v>
      </c>
      <c r="M19" s="10"/>
      <c r="N19" s="10" t="s">
        <v>962</v>
      </c>
      <c r="O19" s="10" t="s">
        <v>963</v>
      </c>
      <c r="P19" s="10">
        <v>12.6</v>
      </c>
      <c r="Q19" s="10" t="s">
        <v>970</v>
      </c>
      <c r="R19" s="10" t="s">
        <v>971</v>
      </c>
      <c r="S19" s="10"/>
    </row>
    <row r="20" spans="1:19" ht="42.75" x14ac:dyDescent="0.2">
      <c r="A20" s="10">
        <f>Lite!A22</f>
        <v>293</v>
      </c>
      <c r="B20" s="10">
        <f>Lite!M22</f>
        <v>5</v>
      </c>
      <c r="C20" s="10" t="str">
        <f>Lite!K22</f>
        <v>E</v>
      </c>
      <c r="D20" s="10">
        <f>Lite!Y22</f>
        <v>1</v>
      </c>
      <c r="E20" s="10" t="str">
        <f>Lite!B22</f>
        <v>SL.13</v>
      </c>
      <c r="F20" s="10" t="str">
        <f>Lite!C22</f>
        <v>Is there a disciplinarily process for non-compliance with information security policies?</v>
      </c>
      <c r="G20" s="10" t="str">
        <f>Lite!D22</f>
        <v>Yes</v>
      </c>
      <c r="H20" s="10">
        <f>Lite!E22</f>
        <v>0</v>
      </c>
      <c r="I20" s="10">
        <f>Lite!F22</f>
        <v>0</v>
      </c>
      <c r="J20" s="10">
        <f>Lite!G22</f>
        <v>0</v>
      </c>
      <c r="K20" s="10" t="str">
        <f>Lite!H22</f>
        <v>7.2.3</v>
      </c>
      <c r="L20" s="10" t="str">
        <f>Lite!I22</f>
        <v>Disciplinary process</v>
      </c>
      <c r="M20" s="10"/>
      <c r="N20" s="10" t="s">
        <v>972</v>
      </c>
      <c r="O20" s="10" t="s">
        <v>973</v>
      </c>
      <c r="P20" s="10" t="s">
        <v>89</v>
      </c>
      <c r="Q20" s="10" t="s">
        <v>974</v>
      </c>
      <c r="R20" s="10" t="s">
        <v>975</v>
      </c>
      <c r="S20" s="10"/>
    </row>
    <row r="21" spans="1:19" ht="28.5" x14ac:dyDescent="0.2">
      <c r="A21" s="10">
        <f>Lite!A23</f>
        <v>2557</v>
      </c>
      <c r="B21" s="10">
        <f>Lite!M23</f>
        <v>5</v>
      </c>
      <c r="C21" s="10" t="str">
        <f>Lite!K23</f>
        <v>E</v>
      </c>
      <c r="D21" s="10">
        <f>Lite!Y23</f>
        <v>1</v>
      </c>
      <c r="E21" s="10" t="str">
        <f>Lite!B23</f>
        <v>SL.14</v>
      </c>
      <c r="F21" s="10" t="str">
        <f>Lite!C23</f>
        <v>Is there a constituent termination or change of status process?</v>
      </c>
      <c r="G21" s="10" t="str">
        <f>Lite!D23</f>
        <v>Yes</v>
      </c>
      <c r="H21" s="10">
        <f>Lite!E23</f>
        <v>0</v>
      </c>
      <c r="I21" s="10">
        <f>Lite!F23</f>
        <v>0</v>
      </c>
      <c r="J21" s="10" t="str">
        <f>Lite!G23</f>
        <v>H.2 Revoke System and Physical Access</v>
      </c>
      <c r="K21" s="10">
        <f>Lite!H23</f>
        <v>7.3</v>
      </c>
      <c r="L21" s="10" t="str">
        <f>Lite!I23</f>
        <v>Termination responsibilities</v>
      </c>
      <c r="M21" s="10"/>
      <c r="N21" s="10" t="s">
        <v>976</v>
      </c>
      <c r="O21" s="10" t="s">
        <v>977</v>
      </c>
      <c r="P21" s="10" t="s">
        <v>89</v>
      </c>
      <c r="Q21" s="10" t="s">
        <v>978</v>
      </c>
      <c r="R21" s="10" t="s">
        <v>975</v>
      </c>
      <c r="S21" s="10"/>
    </row>
    <row r="22" spans="1:19" ht="15" x14ac:dyDescent="0.25">
      <c r="A22" s="10">
        <f>Lite!A24</f>
        <v>0</v>
      </c>
      <c r="B22" s="10">
        <f>Lite!M24</f>
        <v>6</v>
      </c>
      <c r="C22" s="10">
        <f>Lite!K24</f>
        <v>1</v>
      </c>
      <c r="D22" s="10">
        <f>Lite!Y24</f>
        <v>1</v>
      </c>
      <c r="E22" s="10" t="str">
        <f>Lite!B24</f>
        <v/>
      </c>
      <c r="F22" s="10" t="str">
        <f>Lite!C24</f>
        <v>F. Physical and Environmental Security</v>
      </c>
      <c r="G22" s="10">
        <f>Lite!D24</f>
        <v>0</v>
      </c>
      <c r="H22" s="10">
        <f>Lite!E24</f>
        <v>0</v>
      </c>
      <c r="I22" s="10">
        <f>Lite!F24</f>
        <v>0</v>
      </c>
      <c r="J22" s="10">
        <f>Lite!G24</f>
        <v>0</v>
      </c>
      <c r="K22" s="10">
        <f>Lite!H24</f>
        <v>0</v>
      </c>
      <c r="L22" s="10">
        <f>Lite!I24</f>
        <v>0</v>
      </c>
      <c r="M22" s="10"/>
      <c r="N22" s="10"/>
      <c r="O22" s="10"/>
      <c r="P22" s="10"/>
      <c r="Q22" s="10"/>
      <c r="R22" s="10"/>
      <c r="S22" s="10"/>
    </row>
    <row r="23" spans="1:19" ht="128.25" x14ac:dyDescent="0.2">
      <c r="A23" s="10">
        <f>Lite!A25</f>
        <v>2559</v>
      </c>
      <c r="B23" s="10">
        <f>Lite!M25</f>
        <v>6</v>
      </c>
      <c r="C23" s="10" t="str">
        <f>Lite!K25</f>
        <v>F</v>
      </c>
      <c r="D23" s="10">
        <f>Lite!Y25</f>
        <v>1</v>
      </c>
      <c r="E23" s="10" t="str">
        <f>Lite!B25</f>
        <v>SL.15</v>
      </c>
      <c r="F23" s="10" t="str">
        <f>Lite!C25</f>
        <v>Is there a physical security program?</v>
      </c>
      <c r="G23" s="10" t="str">
        <f>Lite!D25</f>
        <v>Yes</v>
      </c>
      <c r="H23" s="10">
        <f>Lite!E25</f>
        <v>0</v>
      </c>
      <c r="I23" s="10">
        <f>Lite!F25</f>
        <v>0</v>
      </c>
      <c r="J23" s="10">
        <f>Lite!G25</f>
        <v>0</v>
      </c>
      <c r="K23" s="10" t="str">
        <f>Lite!H25</f>
        <v>5.1.1</v>
      </c>
      <c r="L23" s="10" t="str">
        <f>Lite!I25</f>
        <v>Policies for information security</v>
      </c>
      <c r="M23" s="10"/>
      <c r="N23" s="10" t="s">
        <v>942</v>
      </c>
      <c r="O23" s="10" t="s">
        <v>943</v>
      </c>
      <c r="P23" s="10">
        <v>12.1</v>
      </c>
      <c r="Q23" s="10" t="s">
        <v>979</v>
      </c>
      <c r="R23" s="10" t="s">
        <v>946</v>
      </c>
      <c r="S23" s="10"/>
    </row>
    <row r="24" spans="1:19" ht="57" x14ac:dyDescent="0.2">
      <c r="A24" s="10">
        <f>Lite!A26</f>
        <v>2560</v>
      </c>
      <c r="B24" s="10">
        <f>Lite!M26</f>
        <v>6</v>
      </c>
      <c r="C24" s="10" t="str">
        <f>Lite!K26</f>
        <v>F</v>
      </c>
      <c r="D24" s="10">
        <f>Lite!Y26</f>
        <v>1</v>
      </c>
      <c r="E24" s="10" t="str">
        <f>Lite!B26</f>
        <v>SL.16</v>
      </c>
      <c r="F24" s="10" t="str">
        <f>Lite!C26</f>
        <v>Are reasonable physical security and environmental controls present in the building/data center that contains Scoped Systems and Data?</v>
      </c>
      <c r="G24" s="10" t="str">
        <f>Lite!D26</f>
        <v>Yes</v>
      </c>
      <c r="H24" s="10">
        <f>Lite!E26</f>
        <v>0</v>
      </c>
      <c r="I24" s="10">
        <f>Lite!F26</f>
        <v>0</v>
      </c>
      <c r="J24" s="10" t="str">
        <f>Lite!G26</f>
        <v>F. Physical and Environmental Security</v>
      </c>
      <c r="K24" s="10">
        <f>Lite!H26</f>
        <v>11.1</v>
      </c>
      <c r="L24" s="10" t="str">
        <f>Lite!I26</f>
        <v>Secure areas</v>
      </c>
      <c r="M24" s="10"/>
      <c r="N24" s="10"/>
      <c r="O24" s="10"/>
      <c r="P24" s="10">
        <v>9.3000000000000007</v>
      </c>
      <c r="Q24" s="10" t="s">
        <v>89</v>
      </c>
      <c r="R24" s="10" t="s">
        <v>89</v>
      </c>
      <c r="S24" s="10"/>
    </row>
    <row r="25" spans="1:19" ht="57" x14ac:dyDescent="0.2">
      <c r="A25" s="10">
        <f>Lite!A27</f>
        <v>396</v>
      </c>
      <c r="B25" s="10">
        <f>Lite!M27</f>
        <v>6</v>
      </c>
      <c r="C25" s="10" t="str">
        <f>Lite!K27</f>
        <v>F</v>
      </c>
      <c r="D25" s="10">
        <f>Lite!Y27</f>
        <v>1</v>
      </c>
      <c r="E25" s="10" t="str">
        <f>Lite!B27</f>
        <v>SL.17</v>
      </c>
      <c r="F25" s="10" t="str">
        <f>Lite!C27</f>
        <v>Are visitors permitted in the facility?</v>
      </c>
      <c r="G25" s="10" t="str">
        <f>Lite!D27</f>
        <v>Yes</v>
      </c>
      <c r="H25" s="10">
        <f>Lite!E27</f>
        <v>0</v>
      </c>
      <c r="I25" s="10" t="str">
        <f>Lite!F27</f>
        <v>Secure areas (such as server rooms) are locked under combination or smart card access control</v>
      </c>
      <c r="J25" s="10">
        <f>Lite!G27</f>
        <v>0</v>
      </c>
      <c r="K25" s="10" t="str">
        <f>Lite!H27</f>
        <v xml:space="preserve">11.1.2 </v>
      </c>
      <c r="L25" s="10" t="str">
        <f>Lite!I27</f>
        <v>Physical entry controls</v>
      </c>
      <c r="M25" s="10"/>
      <c r="N25" s="10" t="s">
        <v>980</v>
      </c>
      <c r="O25" s="10" t="s">
        <v>981</v>
      </c>
      <c r="P25" s="10">
        <v>9.4</v>
      </c>
      <c r="Q25" s="10" t="s">
        <v>982</v>
      </c>
      <c r="R25" s="10" t="s">
        <v>983</v>
      </c>
      <c r="S25" s="10"/>
    </row>
    <row r="26" spans="1:19" ht="30" x14ac:dyDescent="0.25">
      <c r="A26" s="10">
        <f>Lite!A28</f>
        <v>0</v>
      </c>
      <c r="B26" s="10">
        <f>Lite!M28</f>
        <v>7</v>
      </c>
      <c r="C26" s="10">
        <f>Lite!K28</f>
        <v>1</v>
      </c>
      <c r="D26" s="10">
        <f>Lite!Y28</f>
        <v>1</v>
      </c>
      <c r="E26" s="10" t="str">
        <f>Lite!B28</f>
        <v/>
      </c>
      <c r="F26" s="10" t="str">
        <f>Lite!C28</f>
        <v>G. Communications and Operations Management</v>
      </c>
      <c r="G26" s="10">
        <f>Lite!D28</f>
        <v>0</v>
      </c>
      <c r="H26" s="10">
        <f>Lite!E28</f>
        <v>0</v>
      </c>
      <c r="I26" s="10">
        <f>Lite!F28</f>
        <v>0</v>
      </c>
      <c r="J26" s="10">
        <f>Lite!G28</f>
        <v>0</v>
      </c>
      <c r="K26" s="10">
        <f>Lite!H28</f>
        <v>0</v>
      </c>
      <c r="L26" s="10">
        <f>Lite!I28</f>
        <v>0</v>
      </c>
      <c r="M26" s="10"/>
      <c r="N26" s="10"/>
      <c r="O26" s="10"/>
      <c r="P26" s="10"/>
      <c r="Q26" s="10"/>
      <c r="R26" s="10"/>
      <c r="S26" s="10"/>
    </row>
    <row r="27" spans="1:19" ht="71.25" x14ac:dyDescent="0.2">
      <c r="A27" s="10">
        <f>Lite!A29</f>
        <v>2582</v>
      </c>
      <c r="B27" s="10">
        <f>Lite!M29</f>
        <v>7</v>
      </c>
      <c r="C27" s="10" t="str">
        <f>Lite!K29</f>
        <v>G</v>
      </c>
      <c r="D27" s="10">
        <f>Lite!Y29</f>
        <v>1</v>
      </c>
      <c r="E27" s="10" t="str">
        <f>Lite!B29</f>
        <v>SL.18</v>
      </c>
      <c r="F27" s="10" t="str">
        <f>Lite!C29</f>
        <v>Are Management approved operating procedures utilized?</v>
      </c>
      <c r="G27" s="10" t="str">
        <f>Lite!D29</f>
        <v>Yes</v>
      </c>
      <c r="H27" s="10">
        <f>Lite!E29</f>
        <v>0</v>
      </c>
      <c r="I27" s="10">
        <f>Lite!F29</f>
        <v>0</v>
      </c>
      <c r="J27" s="10" t="str">
        <f>Lite!G29</f>
        <v>G. Communications and Operations Management</v>
      </c>
      <c r="K27" s="10" t="str">
        <f>Lite!H29</f>
        <v>12.1.1</v>
      </c>
      <c r="L27" s="10" t="str">
        <f>Lite!I29</f>
        <v>Documented Operating Procedure</v>
      </c>
      <c r="M27" s="10"/>
      <c r="N27" s="10" t="s">
        <v>984</v>
      </c>
      <c r="O27" s="10" t="s">
        <v>985</v>
      </c>
      <c r="P27" s="10" t="s">
        <v>89</v>
      </c>
      <c r="Q27" s="10" t="s">
        <v>986</v>
      </c>
      <c r="R27" s="10" t="s">
        <v>987</v>
      </c>
      <c r="S27" s="10"/>
    </row>
    <row r="28" spans="1:19" ht="85.5" x14ac:dyDescent="0.2">
      <c r="A28" s="10">
        <f>Lite!A30</f>
        <v>816</v>
      </c>
      <c r="B28" s="10">
        <f>Lite!M30</f>
        <v>7</v>
      </c>
      <c r="C28" s="10" t="str">
        <f>Lite!K30</f>
        <v>G</v>
      </c>
      <c r="D28" s="10">
        <f>Lite!Y30</f>
        <v>1</v>
      </c>
      <c r="E28" s="10" t="str">
        <f>Lite!B30</f>
        <v>SL.19</v>
      </c>
      <c r="F28" s="10" t="str">
        <f>Lite!C30</f>
        <v>Is there an operational change management / change control policy or program that has been approved by management, communicated to appropriate constituents and an owner to maintain and review the policy?</v>
      </c>
      <c r="G28" s="10" t="str">
        <f>Lite!D30</f>
        <v>Yes</v>
      </c>
      <c r="H28" s="10">
        <f>Lite!E30</f>
        <v>0</v>
      </c>
      <c r="I28" s="10">
        <f>Lite!F30</f>
        <v>0</v>
      </c>
      <c r="J28" s="10" t="str">
        <f>Lite!G30</f>
        <v>G.21 Change Control</v>
      </c>
      <c r="K28" s="10" t="str">
        <f>Lite!H30</f>
        <v>12.1.2</v>
      </c>
      <c r="L28" s="10" t="str">
        <f>Lite!I30</f>
        <v>Change Management</v>
      </c>
      <c r="M28" s="10"/>
      <c r="N28" s="10" t="s">
        <v>988</v>
      </c>
      <c r="O28" s="10" t="s">
        <v>989</v>
      </c>
      <c r="P28" s="10">
        <v>6.4</v>
      </c>
      <c r="Q28" s="10" t="s">
        <v>990</v>
      </c>
      <c r="R28" s="10" t="s">
        <v>991</v>
      </c>
      <c r="S28" s="10"/>
    </row>
    <row r="29" spans="1:19" ht="71.25" x14ac:dyDescent="0.2">
      <c r="A29" s="10">
        <f>Lite!A31</f>
        <v>853</v>
      </c>
      <c r="B29" s="10">
        <f>Lite!M31</f>
        <v>7</v>
      </c>
      <c r="C29" s="10" t="str">
        <f>Lite!K31</f>
        <v>G</v>
      </c>
      <c r="D29" s="10">
        <f>Lite!Y31</f>
        <v>1</v>
      </c>
      <c r="E29" s="10" t="str">
        <f>Lite!B31</f>
        <v>SL.20</v>
      </c>
      <c r="F29" s="10" t="str">
        <f>Lite!C31</f>
        <v>Do third party vendors have access to Scoped Systems and Data? (backup vendors, service providers, equipment support maintenance, software maintenance vendors, data recovery vendors, etc.)?</v>
      </c>
      <c r="G29" s="10" t="str">
        <f>Lite!D31</f>
        <v>Yes</v>
      </c>
      <c r="H29" s="10">
        <f>Lite!E31</f>
        <v>0</v>
      </c>
      <c r="I29" s="10">
        <f>Lite!F31</f>
        <v>0</v>
      </c>
      <c r="J29" s="10">
        <f>Lite!G31</f>
        <v>0</v>
      </c>
      <c r="K29" s="10">
        <f>Lite!H31</f>
        <v>15</v>
      </c>
      <c r="L29" s="10" t="str">
        <f>Lite!I31</f>
        <v>Supplier relationships</v>
      </c>
      <c r="M29" s="10"/>
      <c r="N29" s="10" t="s">
        <v>992</v>
      </c>
      <c r="O29" s="10" t="s">
        <v>993</v>
      </c>
      <c r="P29" s="10">
        <v>12.8</v>
      </c>
      <c r="Q29" s="10" t="s">
        <v>994</v>
      </c>
      <c r="R29" s="10" t="s">
        <v>995</v>
      </c>
      <c r="S29" s="10"/>
    </row>
    <row r="30" spans="1:19" ht="85.5" x14ac:dyDescent="0.2">
      <c r="A30" s="10">
        <f>Lite!A32</f>
        <v>895</v>
      </c>
      <c r="B30" s="10">
        <f>Lite!M32</f>
        <v>7</v>
      </c>
      <c r="C30" s="10" t="str">
        <f>Lite!K32</f>
        <v>G</v>
      </c>
      <c r="D30" s="10">
        <f>Lite!Y32</f>
        <v>1</v>
      </c>
      <c r="E30" s="10" t="str">
        <f>Lite!B32</f>
        <v>SL.21</v>
      </c>
      <c r="F30" s="10" t="str">
        <f>Lite!C32</f>
        <v>Is there an anti-virus / malware policy or program (workstations, servers, mobile devices) that has been approved by management, communicated to appropriate constituents and an owner to maintain and review the policy?</v>
      </c>
      <c r="G30" s="10" t="str">
        <f>Lite!D32</f>
        <v>Yes</v>
      </c>
      <c r="H30" s="10">
        <f>Lite!E32</f>
        <v>0</v>
      </c>
      <c r="I30" s="10">
        <f>Lite!F32</f>
        <v>0</v>
      </c>
      <c r="J30" s="10" t="str">
        <f>Lite!G32</f>
        <v>G.7 Virus Protection (Servers), G.8 Virus Protection (Workstations)</v>
      </c>
      <c r="K30" s="10" t="str">
        <f>Lite!H32</f>
        <v>12.2.1</v>
      </c>
      <c r="L30" s="10" t="str">
        <f>Lite!I32</f>
        <v>Controls Against Malware</v>
      </c>
      <c r="M30" s="10"/>
      <c r="N30" s="10" t="s">
        <v>996</v>
      </c>
      <c r="O30" s="10" t="s">
        <v>997</v>
      </c>
      <c r="P30" s="10" t="s">
        <v>89</v>
      </c>
      <c r="Q30" s="10" t="s">
        <v>998</v>
      </c>
      <c r="R30" s="10" t="s">
        <v>999</v>
      </c>
      <c r="S30" s="10"/>
    </row>
    <row r="31" spans="1:19" ht="28.5" x14ac:dyDescent="0.2">
      <c r="A31" s="10">
        <f>Lite!A33</f>
        <v>922</v>
      </c>
      <c r="B31" s="10">
        <f>Lite!M33</f>
        <v>7</v>
      </c>
      <c r="C31" s="10" t="str">
        <f>Lite!K33</f>
        <v>G</v>
      </c>
      <c r="D31" s="10">
        <f>Lite!Y33</f>
        <v>1</v>
      </c>
      <c r="E31" s="10" t="str">
        <f>Lite!B33</f>
        <v>SL.22</v>
      </c>
      <c r="F31" s="10" t="str">
        <f>Lite!C33</f>
        <v>Are system backups of Scoped Systems and Data performed?</v>
      </c>
      <c r="G31" s="10" t="str">
        <f>Lite!D33</f>
        <v>Yes</v>
      </c>
      <c r="H31" s="10">
        <f>Lite!E33</f>
        <v>0</v>
      </c>
      <c r="I31" s="10">
        <f>Lite!F33</f>
        <v>0</v>
      </c>
      <c r="J31" s="10" t="str">
        <f>Lite!G33</f>
        <v>G.20 Backup Media Restoration</v>
      </c>
      <c r="K31" s="10" t="str">
        <f>Lite!H33</f>
        <v>12.3.1</v>
      </c>
      <c r="L31" s="10" t="str">
        <f>Lite!I33</f>
        <v>Information Back-Up</v>
      </c>
      <c r="M31" s="10"/>
      <c r="N31" s="10" t="s">
        <v>988</v>
      </c>
      <c r="O31" s="10" t="s">
        <v>989</v>
      </c>
      <c r="P31" s="10" t="s">
        <v>1000</v>
      </c>
      <c r="Q31" s="10" t="s">
        <v>1001</v>
      </c>
      <c r="R31" s="10" t="s">
        <v>991</v>
      </c>
      <c r="S31" s="10"/>
    </row>
    <row r="32" spans="1:19" ht="28.5" x14ac:dyDescent="0.2">
      <c r="A32" s="10">
        <f>Lite!A34</f>
        <v>3688</v>
      </c>
      <c r="B32" s="10">
        <f>Lite!M34</f>
        <v>7</v>
      </c>
      <c r="C32" s="10" t="str">
        <f>Lite!K34</f>
        <v>G</v>
      </c>
      <c r="D32" s="10">
        <f>Lite!Y34</f>
        <v>1</v>
      </c>
      <c r="E32" s="10" t="str">
        <f>Lite!B34</f>
        <v>SL.23</v>
      </c>
      <c r="F32" s="10" t="str">
        <f>Lite!C34</f>
        <v>Are firewalls in use for both internal and external connections?</v>
      </c>
      <c r="G32" s="10" t="str">
        <f>Lite!D34</f>
        <v>Yes</v>
      </c>
      <c r="H32" s="10">
        <f>Lite!E34</f>
        <v>0</v>
      </c>
      <c r="I32" s="10">
        <f>Lite!F34</f>
        <v>0</v>
      </c>
      <c r="J32" s="10" t="str">
        <f>Lite!G34</f>
        <v>G.2 Network Security – Firewall(s)</v>
      </c>
      <c r="K32" s="10" t="str">
        <f>Lite!H34</f>
        <v>13.1.3</v>
      </c>
      <c r="L32" s="10" t="str">
        <f>Lite!I34</f>
        <v>Segregation in networks</v>
      </c>
      <c r="M32" s="10"/>
      <c r="N32" s="10" t="s">
        <v>1002</v>
      </c>
      <c r="O32" s="10" t="s">
        <v>1003</v>
      </c>
      <c r="P32" s="10">
        <v>6.1</v>
      </c>
      <c r="Q32" s="10" t="s">
        <v>89</v>
      </c>
      <c r="R32" s="10" t="s">
        <v>1004</v>
      </c>
      <c r="S32" s="10"/>
    </row>
    <row r="33" spans="1:19" ht="57" x14ac:dyDescent="0.2">
      <c r="A33" s="10">
        <f>Lite!A35</f>
        <v>3706</v>
      </c>
      <c r="B33" s="10">
        <f>Lite!M35</f>
        <v>7</v>
      </c>
      <c r="C33" s="10" t="str">
        <f>Lite!K35</f>
        <v>G</v>
      </c>
      <c r="D33" s="10">
        <f>Lite!Y35</f>
        <v>1</v>
      </c>
      <c r="E33" s="10" t="str">
        <f>Lite!B35</f>
        <v>SL.24</v>
      </c>
      <c r="F33" s="10" t="str">
        <f>Lite!C35</f>
        <v>Are vulnerability assessments, scans or penetration tests performed on internal or external networks?</v>
      </c>
      <c r="G33" s="10" t="str">
        <f>Lite!D35</f>
        <v>Yes</v>
      </c>
      <c r="H33" s="10">
        <f>Lite!E35</f>
        <v>0</v>
      </c>
      <c r="I33" s="10">
        <f>Lite!F35</f>
        <v>0</v>
      </c>
      <c r="J33" s="10" t="str">
        <f>Lite!G35</f>
        <v>L.2 Technical Compliance Checking – Vulnerability Testing and Remediation</v>
      </c>
      <c r="K33" s="10" t="str">
        <f>Lite!H35</f>
        <v>12.6.1</v>
      </c>
      <c r="L33" s="10" t="str">
        <f>Lite!I35</f>
        <v>Control of technical vulnerabilities</v>
      </c>
      <c r="M33" s="10"/>
      <c r="N33" s="10" t="s">
        <v>1005</v>
      </c>
      <c r="O33" s="10" t="s">
        <v>1006</v>
      </c>
      <c r="P33" s="10">
        <v>11.3</v>
      </c>
      <c r="Q33" s="10" t="s">
        <v>89</v>
      </c>
      <c r="R33" s="10" t="s">
        <v>1007</v>
      </c>
      <c r="S33" s="10"/>
    </row>
    <row r="34" spans="1:19" ht="28.5" x14ac:dyDescent="0.2">
      <c r="A34" s="10">
        <f>Lite!A36</f>
        <v>975</v>
      </c>
      <c r="B34" s="10">
        <f>Lite!M36</f>
        <v>7</v>
      </c>
      <c r="C34" s="10" t="str">
        <f>Lite!K36</f>
        <v>G</v>
      </c>
      <c r="D34" s="10">
        <f>Lite!Y36</f>
        <v>1</v>
      </c>
      <c r="E34" s="10" t="str">
        <f>Lite!B36</f>
        <v>SL.25</v>
      </c>
      <c r="F34" s="10" t="str">
        <f>Lite!C36</f>
        <v>Are there external network connections (Internet, intranet, extranet, etc.)?</v>
      </c>
      <c r="G34" s="10" t="str">
        <f>Lite!D36</f>
        <v>Yes</v>
      </c>
      <c r="H34" s="10">
        <f>Lite!E36</f>
        <v>0</v>
      </c>
      <c r="I34" s="10">
        <f>Lite!F36</f>
        <v>0</v>
      </c>
      <c r="J34" s="10">
        <f>Lite!G36</f>
        <v>0</v>
      </c>
      <c r="K34" s="10" t="str">
        <f>Lite!H36</f>
        <v>13.1.1</v>
      </c>
      <c r="L34" s="10" t="str">
        <f>Lite!I36</f>
        <v>Network Controls</v>
      </c>
      <c r="M34" s="10"/>
      <c r="N34" s="10"/>
      <c r="O34" s="10"/>
      <c r="P34" s="10" t="s">
        <v>1008</v>
      </c>
      <c r="Q34" s="10" t="s">
        <v>89</v>
      </c>
      <c r="R34" s="10" t="s">
        <v>1009</v>
      </c>
      <c r="S34" s="10"/>
    </row>
    <row r="35" spans="1:19" ht="28.5" x14ac:dyDescent="0.2">
      <c r="A35" s="10">
        <f>Lite!A37</f>
        <v>1095</v>
      </c>
      <c r="B35" s="10">
        <f>Lite!M37</f>
        <v>7</v>
      </c>
      <c r="C35" s="10" t="str">
        <f>Lite!K37</f>
        <v>G</v>
      </c>
      <c r="D35" s="10">
        <f>Lite!Y37</f>
        <v>1</v>
      </c>
      <c r="E35" s="10" t="str">
        <f>Lite!B37</f>
        <v>SL.26</v>
      </c>
      <c r="F35" s="10" t="str">
        <f>Lite!C37</f>
        <v>Is wireless networking technology used?</v>
      </c>
      <c r="G35" s="10" t="str">
        <f>Lite!D37</f>
        <v>Yes</v>
      </c>
      <c r="H35" s="10">
        <f>Lite!E37</f>
        <v>0</v>
      </c>
      <c r="I35" s="10">
        <f>Lite!F37</f>
        <v>0</v>
      </c>
      <c r="J35" s="10" t="str">
        <f>Lite!G37</f>
        <v>G.17 Unapproved Wireless Networks</v>
      </c>
      <c r="K35" s="10" t="str">
        <f>Lite!H37</f>
        <v>13.1.1.c</v>
      </c>
      <c r="L35" s="10" t="str">
        <f>Lite!I37</f>
        <v>Network Controls</v>
      </c>
      <c r="M35" s="10"/>
      <c r="N35" s="10"/>
      <c r="O35" s="10"/>
      <c r="P35" s="10" t="s">
        <v>89</v>
      </c>
      <c r="Q35" s="10" t="s">
        <v>1010</v>
      </c>
      <c r="R35" s="10" t="s">
        <v>1011</v>
      </c>
      <c r="S35" s="10"/>
    </row>
    <row r="36" spans="1:19" ht="85.5" x14ac:dyDescent="0.2">
      <c r="A36" s="10">
        <f>Lite!A38</f>
        <v>3295</v>
      </c>
      <c r="B36" s="10">
        <f>Lite!M38</f>
        <v>7</v>
      </c>
      <c r="C36" s="10" t="str">
        <f>Lite!K38</f>
        <v>G</v>
      </c>
      <c r="D36" s="10">
        <f>Lite!Y38</f>
        <v>1</v>
      </c>
      <c r="E36" s="10" t="str">
        <f>Lite!B38</f>
        <v>SL.27</v>
      </c>
      <c r="F36" s="10" t="str">
        <f>Lite!C38</f>
        <v>Is there a removable media policy or program (CDs, DVDs, tapes, disk drives) that has been approved by management, communicated to appropriate constituents, and an owner to maintain and review the policy?</v>
      </c>
      <c r="G36" s="10" t="str">
        <f>Lite!D38</f>
        <v>Yes</v>
      </c>
      <c r="H36" s="10">
        <f>Lite!E38</f>
        <v>0</v>
      </c>
      <c r="I36" s="10">
        <f>Lite!F38</f>
        <v>0</v>
      </c>
      <c r="J36" s="10" t="str">
        <f>Lite!G38</f>
        <v>G.15 Physical Media Tracking</v>
      </c>
      <c r="K36" s="10" t="str">
        <f>Lite!H38</f>
        <v>8.3.1</v>
      </c>
      <c r="L36" s="10" t="str">
        <f>Lite!I38</f>
        <v>Management of Removable Media</v>
      </c>
      <c r="M36" s="10"/>
      <c r="N36" s="10" t="s">
        <v>1012</v>
      </c>
      <c r="O36" s="10" t="s">
        <v>1013</v>
      </c>
      <c r="P36" s="10" t="s">
        <v>1014</v>
      </c>
      <c r="Q36" s="10" t="s">
        <v>89</v>
      </c>
      <c r="R36" s="10" t="s">
        <v>1015</v>
      </c>
      <c r="S36" s="10"/>
    </row>
    <row r="37" spans="1:19" ht="71.25" x14ac:dyDescent="0.2">
      <c r="A37" s="10">
        <f>Lite!A39</f>
        <v>1208</v>
      </c>
      <c r="B37" s="10">
        <f>Lite!M39</f>
        <v>7</v>
      </c>
      <c r="C37" s="10" t="str">
        <f>Lite!K39</f>
        <v>G</v>
      </c>
      <c r="D37" s="10">
        <f>Lite!Y39</f>
        <v>1</v>
      </c>
      <c r="E37" s="10" t="str">
        <f>Lite!B39</f>
        <v>SL.28</v>
      </c>
      <c r="F37" s="10" t="str">
        <f>Lite!C39</f>
        <v>Is Scoped Data sent or received electronically or via physical media?</v>
      </c>
      <c r="G37" s="10" t="str">
        <f>Lite!D39</f>
        <v>Yes</v>
      </c>
      <c r="H37" s="10">
        <f>Lite!E39</f>
        <v>0</v>
      </c>
      <c r="I37" s="10" t="str">
        <f>Lite!F39</f>
        <v>Very rarely and only as part of support/investigation process and only when the information is necessary to the resolution of a customer problem</v>
      </c>
      <c r="J37" s="10" t="str">
        <f>Lite!G39</f>
        <v>G.4 Network Management – Encrypted Authentication Credentials</v>
      </c>
      <c r="K37" s="10" t="str">
        <f>Lite!H39</f>
        <v>8.3.3</v>
      </c>
      <c r="L37" s="10" t="str">
        <f>Lite!I39</f>
        <v>Physical media in transit</v>
      </c>
      <c r="M37" s="10"/>
      <c r="N37" s="10" t="s">
        <v>1016</v>
      </c>
      <c r="O37" s="10" t="s">
        <v>1017</v>
      </c>
      <c r="P37" s="10" t="s">
        <v>89</v>
      </c>
      <c r="Q37" s="10" t="s">
        <v>1018</v>
      </c>
      <c r="R37" s="10" t="s">
        <v>1019</v>
      </c>
      <c r="S37" s="10"/>
    </row>
    <row r="38" spans="1:19" ht="14.25" x14ac:dyDescent="0.2">
      <c r="A38" s="10">
        <f>Lite!A40</f>
        <v>1770</v>
      </c>
      <c r="B38" s="10">
        <f>Lite!M40</f>
        <v>7</v>
      </c>
      <c r="C38" s="10" t="str">
        <f>Lite!K40</f>
        <v>G</v>
      </c>
      <c r="D38" s="10">
        <f>Lite!Y40</f>
        <v>1</v>
      </c>
      <c r="E38" s="10" t="str">
        <f>Lite!B40</f>
        <v>SL.29</v>
      </c>
      <c r="F38" s="10" t="str">
        <f>Lite!C40</f>
        <v>Are Web services provided?</v>
      </c>
      <c r="G38" s="10" t="str">
        <f>Lite!D40</f>
        <v>No</v>
      </c>
      <c r="H38" s="10">
        <f>Lite!E40</f>
        <v>0</v>
      </c>
      <c r="I38" s="10">
        <f>Lite!F40</f>
        <v>0</v>
      </c>
      <c r="J38" s="10">
        <f>Lite!G40</f>
        <v>0</v>
      </c>
      <c r="K38" s="10" t="str">
        <f>Lite!H40</f>
        <v>N/A</v>
      </c>
      <c r="L38" s="10" t="str">
        <f>Lite!I40</f>
        <v/>
      </c>
      <c r="M38" s="10"/>
      <c r="N38" s="10"/>
      <c r="O38" s="10"/>
      <c r="P38" s="10" t="s">
        <v>89</v>
      </c>
      <c r="Q38" s="10"/>
      <c r="R38" s="10"/>
      <c r="S38" s="10"/>
    </row>
    <row r="39" spans="1:19" ht="15" x14ac:dyDescent="0.25">
      <c r="A39" s="10">
        <f>Lite!A41</f>
        <v>0</v>
      </c>
      <c r="B39" s="10">
        <f>Lite!M41</f>
        <v>8</v>
      </c>
      <c r="C39" s="10">
        <f>Lite!K41</f>
        <v>1</v>
      </c>
      <c r="D39" s="10">
        <f>Lite!Y41</f>
        <v>1</v>
      </c>
      <c r="E39" s="10" t="str">
        <f>Lite!B41</f>
        <v/>
      </c>
      <c r="F39" s="10" t="str">
        <f>Lite!C41</f>
        <v>H. Access Control</v>
      </c>
      <c r="G39" s="10">
        <f>Lite!D41</f>
        <v>0</v>
      </c>
      <c r="H39" s="10">
        <f>Lite!E41</f>
        <v>0</v>
      </c>
      <c r="I39" s="10">
        <f>Lite!F41</f>
        <v>0</v>
      </c>
      <c r="J39" s="10">
        <f>Lite!G41</f>
        <v>0</v>
      </c>
      <c r="K39" s="10">
        <f>Lite!H41</f>
        <v>0</v>
      </c>
      <c r="L39" s="10">
        <f>Lite!I41</f>
        <v>0</v>
      </c>
      <c r="M39" s="10"/>
      <c r="N39" s="10"/>
      <c r="O39" s="10"/>
      <c r="P39" s="10"/>
      <c r="Q39" s="10"/>
      <c r="R39" s="10"/>
      <c r="S39" s="10"/>
    </row>
    <row r="40" spans="1:19" ht="71.25" x14ac:dyDescent="0.2">
      <c r="A40" s="10">
        <f>Lite!A42</f>
        <v>1998</v>
      </c>
      <c r="B40" s="10">
        <f>Lite!M42</f>
        <v>8</v>
      </c>
      <c r="C40" s="10" t="str">
        <f>Lite!K42</f>
        <v>H</v>
      </c>
      <c r="D40" s="10">
        <f>Lite!Y42</f>
        <v>1</v>
      </c>
      <c r="E40" s="10" t="str">
        <f>Lite!B42</f>
        <v>SL.30</v>
      </c>
      <c r="F40" s="10" t="str">
        <f>Lite!C42</f>
        <v>Are electronic systems used to transmit, process or store Scoped Systems and Data?</v>
      </c>
      <c r="G40" s="10" t="str">
        <f>Lite!D42</f>
        <v>Yes</v>
      </c>
      <c r="H40" s="10">
        <f>Lite!E42</f>
        <v>0</v>
      </c>
      <c r="I40" s="10" t="str">
        <f>Lite!F42</f>
        <v>Very rarely and only as part of support/investigation process and only when the information is necessary to the resolution of a customer problem</v>
      </c>
      <c r="J40" s="10">
        <f>Lite!G42</f>
        <v>0</v>
      </c>
      <c r="K40" s="10" t="str">
        <f>Lite!H42</f>
        <v>N/A</v>
      </c>
      <c r="L40" s="10" t="str">
        <f>Lite!I42</f>
        <v/>
      </c>
      <c r="M40" s="10"/>
      <c r="N40" s="10"/>
      <c r="O40" s="10"/>
      <c r="P40" s="10" t="s">
        <v>89</v>
      </c>
      <c r="Q40" s="10" t="s">
        <v>89</v>
      </c>
      <c r="R40" s="10" t="s">
        <v>89</v>
      </c>
      <c r="S40" s="10"/>
    </row>
    <row r="41" spans="1:19" ht="42.75" x14ac:dyDescent="0.2">
      <c r="A41" s="10">
        <f>Lite!A43</f>
        <v>1911</v>
      </c>
      <c r="B41" s="10">
        <f>Lite!M43</f>
        <v>8</v>
      </c>
      <c r="C41" s="10" t="str">
        <f>Lite!K43</f>
        <v>H</v>
      </c>
      <c r="D41" s="10">
        <f>Lite!Y43</f>
        <v>1</v>
      </c>
      <c r="E41" s="10" t="str">
        <f>Lite!B43</f>
        <v>SL.31</v>
      </c>
      <c r="F41" s="10" t="str">
        <f>Lite!C43</f>
        <v>Are unique user IDs used for access?</v>
      </c>
      <c r="G41" s="10" t="str">
        <f>Lite!D43</f>
        <v>Yes</v>
      </c>
      <c r="H41" s="10">
        <f>Lite!E43</f>
        <v>0</v>
      </c>
      <c r="I41" s="10">
        <f>Lite!F43</f>
        <v>0</v>
      </c>
      <c r="J41" s="10" t="str">
        <f>Lite!G43</f>
        <v>H.1 Password Controls</v>
      </c>
      <c r="K41" s="10" t="str">
        <f>Lite!H43</f>
        <v>9.2.1.a</v>
      </c>
      <c r="L41" s="10" t="str">
        <f>Lite!I43</f>
        <v>User registration and de-registration</v>
      </c>
      <c r="M41" s="10"/>
      <c r="N41" s="10" t="s">
        <v>1020</v>
      </c>
      <c r="O41" s="10" t="s">
        <v>1021</v>
      </c>
      <c r="P41" s="10" t="s">
        <v>1022</v>
      </c>
      <c r="Q41" s="10" t="s">
        <v>1023</v>
      </c>
      <c r="R41" s="10" t="s">
        <v>1020</v>
      </c>
      <c r="S41" s="10"/>
    </row>
    <row r="42" spans="1:19" ht="42.75" x14ac:dyDescent="0.2">
      <c r="A42" s="10">
        <f>Lite!A44</f>
        <v>1948</v>
      </c>
      <c r="B42" s="10">
        <f>Lite!M44</f>
        <v>8</v>
      </c>
      <c r="C42" s="10" t="str">
        <f>Lite!K44</f>
        <v>H</v>
      </c>
      <c r="D42" s="10">
        <f>Lite!Y44</f>
        <v>1</v>
      </c>
      <c r="E42" s="10" t="str">
        <f>Lite!B44</f>
        <v>SL.32</v>
      </c>
      <c r="F42" s="10" t="str">
        <f>Lite!C44</f>
        <v>Are passwords required to access systems transmitting, processing or storing Scoped Systems and Data?</v>
      </c>
      <c r="G42" s="10" t="str">
        <f>Lite!D44</f>
        <v>Yes</v>
      </c>
      <c r="H42" s="10">
        <f>Lite!E44</f>
        <v>0</v>
      </c>
      <c r="I42" s="10">
        <f>Lite!F44</f>
        <v>0</v>
      </c>
      <c r="J42" s="10" t="str">
        <f>Lite!G44</f>
        <v>H.1 Password Controls</v>
      </c>
      <c r="K42" s="10" t="str">
        <f>Lite!H44</f>
        <v>9.4.3</v>
      </c>
      <c r="L42" s="10" t="str">
        <f>Lite!I44</f>
        <v>Password Management System</v>
      </c>
      <c r="M42" s="10"/>
      <c r="N42" s="10" t="s">
        <v>1012</v>
      </c>
      <c r="O42" s="10" t="s">
        <v>1013</v>
      </c>
      <c r="P42" s="10">
        <v>8.1</v>
      </c>
      <c r="Q42" s="10" t="s">
        <v>89</v>
      </c>
      <c r="R42" s="10" t="s">
        <v>1012</v>
      </c>
      <c r="S42" s="10"/>
    </row>
    <row r="43" spans="1:19" ht="57" x14ac:dyDescent="0.2">
      <c r="A43" s="10">
        <f>Lite!A45</f>
        <v>2028</v>
      </c>
      <c r="B43" s="10">
        <f>Lite!M45</f>
        <v>8</v>
      </c>
      <c r="C43" s="10" t="str">
        <f>Lite!K45</f>
        <v>H</v>
      </c>
      <c r="D43" s="10">
        <f>Lite!Y45</f>
        <v>1</v>
      </c>
      <c r="E43" s="10" t="str">
        <f>Lite!B45</f>
        <v>SL.33</v>
      </c>
      <c r="F43" s="10" t="str">
        <f>Lite!C45</f>
        <v>Is remote access permitted?</v>
      </c>
      <c r="G43" s="10" t="str">
        <f>Lite!D45</f>
        <v>Yes</v>
      </c>
      <c r="H43" s="10">
        <f>Lite!E45</f>
        <v>0</v>
      </c>
      <c r="I43" s="10" t="str">
        <f>Lite!F45</f>
        <v>Locked down to only allow access by IP address range of our office</v>
      </c>
      <c r="J43" s="10" t="str">
        <f>Lite!G45</f>
        <v>H.7 Restrictions and Multifactor Authentication for Remote Access</v>
      </c>
      <c r="K43" s="10">
        <f>Lite!H45</f>
        <v>6.2</v>
      </c>
      <c r="L43" s="10" t="str">
        <f>Lite!I45</f>
        <v>Mobile devices and teleworking</v>
      </c>
      <c r="M43" s="10"/>
      <c r="N43" s="10"/>
      <c r="O43" s="10"/>
      <c r="P43" s="10" t="s">
        <v>89</v>
      </c>
      <c r="Q43" s="10" t="s">
        <v>89</v>
      </c>
      <c r="R43" s="10" t="s">
        <v>1024</v>
      </c>
      <c r="S43" s="10"/>
    </row>
    <row r="44" spans="1:19" ht="30" x14ac:dyDescent="0.25">
      <c r="A44" s="10">
        <f>Lite!A46</f>
        <v>0</v>
      </c>
      <c r="B44" s="10">
        <f>Lite!M46</f>
        <v>9</v>
      </c>
      <c r="C44" s="10">
        <f>Lite!K46</f>
        <v>1</v>
      </c>
      <c r="D44" s="10">
        <f>Lite!Y46</f>
        <v>1</v>
      </c>
      <c r="E44" s="10" t="str">
        <f>Lite!B46</f>
        <v/>
      </c>
      <c r="F44" s="10" t="str">
        <f>Lite!C46</f>
        <v>I. Information Systems Acquisition Development &amp; Maintenance</v>
      </c>
      <c r="G44" s="10">
        <f>Lite!D46</f>
        <v>0</v>
      </c>
      <c r="H44" s="10">
        <f>Lite!E46</f>
        <v>0</v>
      </c>
      <c r="I44" s="10">
        <f>Lite!F46</f>
        <v>0</v>
      </c>
      <c r="J44" s="10">
        <f>Lite!G46</f>
        <v>0</v>
      </c>
      <c r="K44" s="10">
        <f>Lite!H46</f>
        <v>0</v>
      </c>
      <c r="L44" s="10">
        <f>Lite!I46</f>
        <v>0</v>
      </c>
      <c r="M44" s="10"/>
      <c r="N44" s="10"/>
      <c r="O44" s="10"/>
      <c r="P44" s="10"/>
      <c r="Q44" s="10"/>
      <c r="R44" s="10"/>
      <c r="S44" s="10"/>
    </row>
    <row r="45" spans="1:19" ht="42.75" x14ac:dyDescent="0.2">
      <c r="A45" s="10">
        <f>Lite!A47</f>
        <v>2665</v>
      </c>
      <c r="B45" s="10">
        <f>Lite!M47</f>
        <v>9</v>
      </c>
      <c r="C45" s="10" t="str">
        <f>Lite!K47</f>
        <v>I</v>
      </c>
      <c r="D45" s="10">
        <f>Lite!Y47</f>
        <v>1</v>
      </c>
      <c r="E45" s="10" t="str">
        <f>Lite!B47</f>
        <v>SL.34</v>
      </c>
      <c r="F45" s="10" t="str">
        <f>Lite!C47</f>
        <v>Are business information systems used to transmit, process or store Scoped Systems and Data?</v>
      </c>
      <c r="G45" s="10" t="str">
        <f>Lite!D47</f>
        <v>No</v>
      </c>
      <c r="H45" s="10">
        <f>Lite!E47</f>
        <v>0</v>
      </c>
      <c r="I45" s="10">
        <f>Lite!F47</f>
        <v>0</v>
      </c>
      <c r="J45" s="10">
        <f>Lite!G47</f>
        <v>0</v>
      </c>
      <c r="K45" s="10">
        <f>Lite!H47</f>
        <v>14.1</v>
      </c>
      <c r="L45" s="10" t="str">
        <f>Lite!I47</f>
        <v>Security requirements of information systems</v>
      </c>
      <c r="M45" s="10"/>
      <c r="N45" s="10" t="s">
        <v>1025</v>
      </c>
      <c r="O45" s="10" t="s">
        <v>1026</v>
      </c>
      <c r="P45" s="10" t="s">
        <v>89</v>
      </c>
      <c r="Q45" s="10" t="s">
        <v>89</v>
      </c>
      <c r="R45" s="10" t="s">
        <v>1027</v>
      </c>
      <c r="S45" s="10"/>
    </row>
    <row r="46" spans="1:19" ht="28.5" x14ac:dyDescent="0.2">
      <c r="A46" s="10">
        <f>Lite!A48</f>
        <v>2058</v>
      </c>
      <c r="B46" s="10">
        <f>Lite!M48</f>
        <v>9</v>
      </c>
      <c r="C46" s="10" t="str">
        <f>Lite!K48</f>
        <v>I</v>
      </c>
      <c r="D46" s="10">
        <f>Lite!Y48</f>
        <v>1</v>
      </c>
      <c r="E46" s="10" t="str">
        <f>Lite!B48</f>
        <v>SL.35</v>
      </c>
      <c r="F46" s="10" t="str">
        <f>Lite!C48</f>
        <v>Is application development performed?</v>
      </c>
      <c r="G46" s="10" t="str">
        <f>Lite!D48</f>
        <v>Yes</v>
      </c>
      <c r="H46" s="10">
        <f>Lite!E48</f>
        <v>0</v>
      </c>
      <c r="I46" s="10">
        <f>Lite!F48</f>
        <v>0</v>
      </c>
      <c r="J46" s="10">
        <f>Lite!G48</f>
        <v>0</v>
      </c>
      <c r="K46" s="10" t="str">
        <f>Lite!H48</f>
        <v>14.2.1</v>
      </c>
      <c r="L46" s="10" t="str">
        <f>Lite!I48</f>
        <v>Secure development policy</v>
      </c>
      <c r="M46" s="10"/>
      <c r="N46" s="10" t="s">
        <v>89</v>
      </c>
      <c r="O46" s="10">
        <v>0</v>
      </c>
      <c r="P46" s="10" t="s">
        <v>89</v>
      </c>
      <c r="Q46" s="10" t="s">
        <v>89</v>
      </c>
      <c r="R46" s="10" t="s">
        <v>1028</v>
      </c>
      <c r="S46" s="10"/>
    </row>
    <row r="47" spans="1:19" ht="28.5" x14ac:dyDescent="0.2">
      <c r="A47" s="10">
        <f>Lite!A49</f>
        <v>2059</v>
      </c>
      <c r="B47" s="10">
        <f>Lite!M49</f>
        <v>9</v>
      </c>
      <c r="C47" s="10" t="str">
        <f>Lite!K49</f>
        <v>I</v>
      </c>
      <c r="D47" s="10">
        <f>Lite!Y49</f>
        <v>1</v>
      </c>
      <c r="E47" s="10" t="str">
        <f>Lite!B49</f>
        <v>SL.36</v>
      </c>
      <c r="F47" s="10" t="str">
        <f>Lite!C49</f>
        <v>Is there a formal Software Development Life Cycle (SDLC) process?</v>
      </c>
      <c r="G47" s="10" t="str">
        <f>Lite!D49</f>
        <v>Yes</v>
      </c>
      <c r="H47" s="10">
        <f>Lite!E49</f>
        <v>0</v>
      </c>
      <c r="I47" s="10">
        <f>Lite!F49</f>
        <v>0</v>
      </c>
      <c r="J47" s="10" t="str">
        <f>Lite!G49</f>
        <v>I.7 Application Security SDLC Phases</v>
      </c>
      <c r="K47" s="10" t="str">
        <f>Lite!H49</f>
        <v xml:space="preserve">14.2.1 </v>
      </c>
      <c r="L47" s="10" t="str">
        <f>Lite!I49</f>
        <v>Secure development policy</v>
      </c>
      <c r="M47" s="10"/>
      <c r="N47" s="10" t="s">
        <v>89</v>
      </c>
      <c r="O47" s="10">
        <v>0</v>
      </c>
      <c r="P47" s="10" t="s">
        <v>89</v>
      </c>
      <c r="Q47" s="10" t="s">
        <v>1029</v>
      </c>
      <c r="R47" s="10" t="s">
        <v>1028</v>
      </c>
      <c r="S47" s="10"/>
    </row>
    <row r="48" spans="1:19" ht="42.75" x14ac:dyDescent="0.2">
      <c r="A48" s="10">
        <f>Lite!A50</f>
        <v>2213</v>
      </c>
      <c r="B48" s="10">
        <f>Lite!M50</f>
        <v>9</v>
      </c>
      <c r="C48" s="10" t="str">
        <f>Lite!K50</f>
        <v>I</v>
      </c>
      <c r="D48" s="10">
        <f>Lite!Y50</f>
        <v>1</v>
      </c>
      <c r="E48" s="10" t="str">
        <f>Lite!B50</f>
        <v>SL.37</v>
      </c>
      <c r="F48" s="10" t="str">
        <f>Lite!C50</f>
        <v>Are systems and applications patched?</v>
      </c>
      <c r="G48" s="10" t="str">
        <f>Lite!D50</f>
        <v>Yes</v>
      </c>
      <c r="H48" s="10">
        <f>Lite!E50</f>
        <v>0</v>
      </c>
      <c r="I48" s="10">
        <f>Lite!F50</f>
        <v>0</v>
      </c>
      <c r="J48" s="10" t="str">
        <f>Lite!G50</f>
        <v>I.4 System Patching</v>
      </c>
      <c r="K48" s="10" t="str">
        <f>Lite!H50</f>
        <v xml:space="preserve">12.6.1 </v>
      </c>
      <c r="L48" s="10" t="str">
        <f>Lite!I50</f>
        <v>Management of technical vulnerabilities</v>
      </c>
      <c r="M48" s="10"/>
      <c r="N48" s="10" t="s">
        <v>1030</v>
      </c>
      <c r="O48" s="10" t="s">
        <v>1031</v>
      </c>
      <c r="P48" s="10">
        <v>6.2</v>
      </c>
      <c r="Q48" s="10" t="s">
        <v>1032</v>
      </c>
      <c r="R48" s="10" t="s">
        <v>1033</v>
      </c>
      <c r="S48" s="10"/>
    </row>
    <row r="49" spans="1:19" ht="42.75" x14ac:dyDescent="0.2">
      <c r="A49" s="10">
        <f>Lite!A51</f>
        <v>2230</v>
      </c>
      <c r="B49" s="10">
        <f>Lite!M51</f>
        <v>9</v>
      </c>
      <c r="C49" s="10" t="str">
        <f>Lite!K51</f>
        <v>I</v>
      </c>
      <c r="D49" s="10">
        <f>Lite!Y51</f>
        <v>1</v>
      </c>
      <c r="E49" s="10" t="str">
        <f>Lite!B51</f>
        <v>SL.38</v>
      </c>
      <c r="F49" s="10" t="str">
        <f>Lite!C51</f>
        <v>Is a web site supported, hosted or maintained that has access to Scoped Systems and Data?</v>
      </c>
      <c r="G49" s="10" t="str">
        <f>Lite!D51</f>
        <v>Yes</v>
      </c>
      <c r="H49" s="10">
        <f>Lite!E51</f>
        <v>0</v>
      </c>
      <c r="I49" s="10">
        <f>Lite!F51</f>
        <v>0</v>
      </c>
      <c r="J49" s="10">
        <f>Lite!G51</f>
        <v>0</v>
      </c>
      <c r="K49" s="10" t="str">
        <f>Lite!H51</f>
        <v>N/A</v>
      </c>
      <c r="L49" s="10">
        <f>Lite!I51</f>
        <v>0</v>
      </c>
      <c r="M49" s="10"/>
      <c r="N49" s="10" t="s">
        <v>89</v>
      </c>
      <c r="O49" s="10">
        <v>0</v>
      </c>
      <c r="P49" s="10" t="s">
        <v>89</v>
      </c>
      <c r="Q49" s="10" t="s">
        <v>89</v>
      </c>
      <c r="R49" s="10" t="s">
        <v>89</v>
      </c>
      <c r="S49" s="10"/>
    </row>
    <row r="50" spans="1:19" ht="57" x14ac:dyDescent="0.2">
      <c r="A50" s="10">
        <f>Lite!A52</f>
        <v>2225</v>
      </c>
      <c r="B50" s="10">
        <f>Lite!M52</f>
        <v>9</v>
      </c>
      <c r="C50" s="10" t="str">
        <f>Lite!K52</f>
        <v>I</v>
      </c>
      <c r="D50" s="10">
        <f>Lite!Y52</f>
        <v>1</v>
      </c>
      <c r="E50" s="10" t="str">
        <f>Lite!B52</f>
        <v>SL.39</v>
      </c>
      <c r="F50" s="10" t="str">
        <f>Lite!C52</f>
        <v>Are vulnerability tests (internal/external) performed on all applications at least annually?</v>
      </c>
      <c r="G50" s="10" t="str">
        <f>Lite!D52</f>
        <v>No</v>
      </c>
      <c r="H50" s="10">
        <f>Lite!E52</f>
        <v>0</v>
      </c>
      <c r="I50" s="10">
        <f>Lite!F52</f>
        <v>0</v>
      </c>
      <c r="J50" s="10" t="str">
        <f>Lite!G52</f>
        <v>I.1 Application Vulnerability Assessments / Ethical Hacking</v>
      </c>
      <c r="K50" s="10" t="str">
        <f>Lite!H52</f>
        <v>18.2.3</v>
      </c>
      <c r="L50" s="10" t="str">
        <f>Lite!I52</f>
        <v>Technical compliance review</v>
      </c>
      <c r="M50" s="10"/>
      <c r="N50" s="10" t="s">
        <v>1016</v>
      </c>
      <c r="O50" s="10" t="s">
        <v>1017</v>
      </c>
      <c r="P50" s="10">
        <v>11.2</v>
      </c>
      <c r="Q50" s="10" t="s">
        <v>1034</v>
      </c>
      <c r="R50" s="10" t="s">
        <v>1035</v>
      </c>
      <c r="S50" s="10"/>
    </row>
    <row r="51" spans="1:19" ht="28.5" x14ac:dyDescent="0.2">
      <c r="A51" s="10">
        <f>Lite!A53</f>
        <v>1806</v>
      </c>
      <c r="B51" s="10">
        <f>Lite!M53</f>
        <v>9</v>
      </c>
      <c r="C51" s="10" t="str">
        <f>Lite!K53</f>
        <v>I</v>
      </c>
      <c r="D51" s="10">
        <f>Lite!Y53</f>
        <v>1</v>
      </c>
      <c r="E51" s="10" t="str">
        <f>Lite!B53</f>
        <v>SL.40</v>
      </c>
      <c r="F51" s="10" t="str">
        <f>Lite!C53</f>
        <v>Are encryption tools managed and maintained for Scoped Data?</v>
      </c>
      <c r="G51" s="10" t="str">
        <f>Lite!D53</f>
        <v>Yes</v>
      </c>
      <c r="H51" s="10">
        <f>Lite!E53</f>
        <v>0</v>
      </c>
      <c r="I51" s="10">
        <f>Lite!F53</f>
        <v>0</v>
      </c>
      <c r="J51" s="10" t="str">
        <f>Lite!G53</f>
        <v>G.22 Data Security Policy - Encryption</v>
      </c>
      <c r="K51" s="10">
        <f>Lite!H53</f>
        <v>10.1</v>
      </c>
      <c r="L51" s="10" t="str">
        <f>Lite!I53</f>
        <v>Cryptographic controls</v>
      </c>
      <c r="M51" s="10"/>
      <c r="N51" s="10" t="s">
        <v>89</v>
      </c>
      <c r="O51" s="10">
        <v>0</v>
      </c>
      <c r="P51" s="10">
        <v>3.6</v>
      </c>
      <c r="Q51" s="10" t="s">
        <v>1036</v>
      </c>
      <c r="R51" s="10" t="s">
        <v>89</v>
      </c>
      <c r="S51" s="10"/>
    </row>
    <row r="52" spans="1:19" ht="30" x14ac:dyDescent="0.25">
      <c r="A52" s="10">
        <f>Lite!A54</f>
        <v>0</v>
      </c>
      <c r="B52" s="10">
        <f>Lite!M54</f>
        <v>10</v>
      </c>
      <c r="C52" s="10">
        <f>Lite!K54</f>
        <v>1</v>
      </c>
      <c r="D52" s="10">
        <f>Lite!Y54</f>
        <v>1</v>
      </c>
      <c r="E52" s="10" t="str">
        <f>Lite!B54</f>
        <v/>
      </c>
      <c r="F52" s="10" t="str">
        <f>Lite!C54</f>
        <v>J. Incident Event and Communications Management</v>
      </c>
      <c r="G52" s="10">
        <f>Lite!D54</f>
        <v>0</v>
      </c>
      <c r="H52" s="10">
        <f>Lite!E54</f>
        <v>0</v>
      </c>
      <c r="I52" s="10">
        <f>Lite!F54</f>
        <v>0</v>
      </c>
      <c r="J52" s="10">
        <f>Lite!G54</f>
        <v>0</v>
      </c>
      <c r="K52" s="10">
        <f>Lite!H54</f>
        <v>0</v>
      </c>
      <c r="L52" s="10">
        <f>Lite!I54</f>
        <v>0</v>
      </c>
      <c r="M52" s="10"/>
      <c r="N52" s="10"/>
      <c r="O52" s="10"/>
      <c r="P52" s="10"/>
      <c r="Q52" s="10"/>
      <c r="R52" s="10"/>
      <c r="S52" s="10"/>
    </row>
    <row r="53" spans="1:19" ht="85.5" x14ac:dyDescent="0.2">
      <c r="A53" s="10">
        <f>Lite!A55</f>
        <v>2241</v>
      </c>
      <c r="B53" s="10">
        <f>Lite!M55</f>
        <v>10</v>
      </c>
      <c r="C53" s="10" t="str">
        <f>Lite!K55</f>
        <v>J</v>
      </c>
      <c r="D53" s="10">
        <f>Lite!Y55</f>
        <v>1</v>
      </c>
      <c r="E53" s="10" t="str">
        <f>Lite!B55</f>
        <v>SL.41</v>
      </c>
      <c r="F53" s="10" t="str">
        <f>Lite!C55</f>
        <v>Is there an Incident Management program?</v>
      </c>
      <c r="G53" s="10" t="str">
        <f>Lite!D55</f>
        <v>Yes</v>
      </c>
      <c r="H53" s="10">
        <f>Lite!E55</f>
        <v>0</v>
      </c>
      <c r="I53" s="10">
        <f>Lite!F55</f>
        <v>0</v>
      </c>
      <c r="J53" s="10" t="str">
        <f>Lite!G55</f>
        <v>J.1 Information Security Incident Management
P.8 Privacy Incident and Response Management</v>
      </c>
      <c r="K53" s="10">
        <f>Lite!H55</f>
        <v>16</v>
      </c>
      <c r="L53" s="10" t="str">
        <f>Lite!I55</f>
        <v>Information security incident management</v>
      </c>
      <c r="M53" s="10"/>
      <c r="N53" s="10"/>
      <c r="O53" s="10"/>
      <c r="P53" s="10" t="s">
        <v>89</v>
      </c>
      <c r="Q53" s="10" t="s">
        <v>1037</v>
      </c>
      <c r="R53" s="10" t="s">
        <v>89</v>
      </c>
      <c r="S53" s="10"/>
    </row>
    <row r="54" spans="1:19" ht="15" x14ac:dyDescent="0.25">
      <c r="A54" s="10">
        <f>Lite!A56</f>
        <v>0</v>
      </c>
      <c r="B54" s="10">
        <f>Lite!M56</f>
        <v>11</v>
      </c>
      <c r="C54" s="10">
        <f>Lite!K56</f>
        <v>1</v>
      </c>
      <c r="D54" s="10">
        <f>Lite!Y56</f>
        <v>1</v>
      </c>
      <c r="E54" s="10" t="str">
        <f>Lite!B56</f>
        <v/>
      </c>
      <c r="F54" s="10" t="str">
        <f>Lite!C56</f>
        <v>K. Business Resiliency</v>
      </c>
      <c r="G54" s="10">
        <f>Lite!D56</f>
        <v>0</v>
      </c>
      <c r="H54" s="10">
        <f>Lite!E56</f>
        <v>0</v>
      </c>
      <c r="I54" s="10">
        <f>Lite!F56</f>
        <v>0</v>
      </c>
      <c r="J54" s="10">
        <f>Lite!G56</f>
        <v>0</v>
      </c>
      <c r="K54" s="11" t="str">
        <f>Lite!H56</f>
        <v>ISO 22301:2012 Relevance</v>
      </c>
      <c r="L54" s="10"/>
      <c r="M54" s="10"/>
      <c r="N54" s="10"/>
      <c r="O54" s="10"/>
      <c r="P54" s="10"/>
      <c r="Q54" s="10"/>
      <c r="R54" s="10"/>
      <c r="S54" s="10"/>
    </row>
    <row r="55" spans="1:19" ht="57" x14ac:dyDescent="0.2">
      <c r="A55" s="10">
        <f>Lite!A57</f>
        <v>2719</v>
      </c>
      <c r="B55" s="10">
        <f>Lite!M57</f>
        <v>11</v>
      </c>
      <c r="C55" s="10" t="str">
        <f>Lite!K57</f>
        <v>K</v>
      </c>
      <c r="D55" s="10">
        <f>Lite!Y57</f>
        <v>1</v>
      </c>
      <c r="E55" s="10" t="str">
        <f>Lite!B57</f>
        <v>SL.42</v>
      </c>
      <c r="F55" s="10" t="str">
        <f>Lite!C57</f>
        <v>Is there an established Business Resiliency program that has been approved by management and communicated to appropriate constituents?</v>
      </c>
      <c r="G55" s="10" t="str">
        <f>Lite!D57</f>
        <v>Yes</v>
      </c>
      <c r="H55" s="10">
        <f>Lite!E57</f>
        <v>0</v>
      </c>
      <c r="I55" s="10">
        <f>Lite!F57</f>
        <v>0</v>
      </c>
      <c r="J55" s="10" t="str">
        <f>Lite!G57</f>
        <v>K.1 Business Resiliency Governance</v>
      </c>
      <c r="K55" s="10">
        <f>Lite!H57</f>
        <v>5.2</v>
      </c>
      <c r="L55" s="10" t="str">
        <f>Lite!I57</f>
        <v>Management Commitment</v>
      </c>
      <c r="M55" s="10"/>
      <c r="N55" s="10"/>
      <c r="O55" s="10"/>
      <c r="P55" s="10" t="s">
        <v>89</v>
      </c>
      <c r="Q55" s="10" t="s">
        <v>1038</v>
      </c>
      <c r="R55" s="10" t="s">
        <v>89</v>
      </c>
      <c r="S55" s="10"/>
    </row>
    <row r="56" spans="1:19" ht="99.75" x14ac:dyDescent="0.2">
      <c r="A56" s="10">
        <f>Lite!A58</f>
        <v>2329</v>
      </c>
      <c r="B56" s="10">
        <f>Lite!M58</f>
        <v>11</v>
      </c>
      <c r="C56" s="10" t="str">
        <f>Lite!K58</f>
        <v>K</v>
      </c>
      <c r="D56" s="10">
        <f>Lite!Y58</f>
        <v>1</v>
      </c>
      <c r="E56" s="10" t="str">
        <f>Lite!B58</f>
        <v>SL.43</v>
      </c>
      <c r="F56" s="10" t="str">
        <f>Lite!C58</f>
        <v>Has a Business Impact Analysis been conducted?</v>
      </c>
      <c r="G56" s="10" t="str">
        <f>Lite!D58</f>
        <v>Yes</v>
      </c>
      <c r="H56" s="10">
        <f>Lite!E58</f>
        <v>0</v>
      </c>
      <c r="I56" s="10">
        <f>Lite!F58</f>
        <v>0</v>
      </c>
      <c r="J56" s="10" t="str">
        <f>Lite!G58</f>
        <v>K.2 Business Impact Analysis</v>
      </c>
      <c r="K56" s="10" t="str">
        <f>Lite!H58</f>
        <v>8.2.2</v>
      </c>
      <c r="L56" s="10" t="str">
        <f>Lite!I58</f>
        <v>Business impact analysis</v>
      </c>
      <c r="M56" s="10"/>
      <c r="N56" s="10" t="s">
        <v>947</v>
      </c>
      <c r="O56" s="10" t="s">
        <v>948</v>
      </c>
      <c r="P56" s="10" t="s">
        <v>89</v>
      </c>
      <c r="Q56" s="10" t="s">
        <v>1039</v>
      </c>
      <c r="R56" s="10" t="s">
        <v>1040</v>
      </c>
      <c r="S56" s="10"/>
    </row>
    <row r="57" spans="1:19" ht="42.75" x14ac:dyDescent="0.2">
      <c r="A57" s="10">
        <f>Lite!A59</f>
        <v>4038</v>
      </c>
      <c r="B57" s="10">
        <f>Lite!M59</f>
        <v>11</v>
      </c>
      <c r="C57" s="10" t="str">
        <f>Lite!K59</f>
        <v>K</v>
      </c>
      <c r="D57" s="10">
        <f>Lite!Y59</f>
        <v>1</v>
      </c>
      <c r="E57" s="10" t="str">
        <f>Lite!B59</f>
        <v>SL.44</v>
      </c>
      <c r="F57" s="10" t="str">
        <f>Lite!C59</f>
        <v>Is there a formal process focused on identifying and addressing risks of disruptive incidents to the organization?</v>
      </c>
      <c r="G57" s="10" t="str">
        <f>Lite!D59</f>
        <v>Yes</v>
      </c>
      <c r="H57" s="10">
        <f>Lite!E59</f>
        <v>0</v>
      </c>
      <c r="I57" s="10">
        <f>Lite!F59</f>
        <v>0</v>
      </c>
      <c r="J57" s="10" t="str">
        <f>Lite!G59</f>
        <v>K.3 Risk Assessment</v>
      </c>
      <c r="K57" s="10" t="str">
        <f>Lite!H59</f>
        <v>8.2.3</v>
      </c>
      <c r="L57" s="10" t="str">
        <f>Lite!I59</f>
        <v>Risk assessment</v>
      </c>
      <c r="M57" s="10"/>
      <c r="N57" s="10" t="s">
        <v>947</v>
      </c>
      <c r="O57" s="10" t="s">
        <v>948</v>
      </c>
      <c r="P57" s="10" t="s">
        <v>89</v>
      </c>
      <c r="Q57" s="10" t="s">
        <v>89</v>
      </c>
      <c r="R57" s="10" t="s">
        <v>1040</v>
      </c>
      <c r="S57" s="10"/>
    </row>
    <row r="58" spans="1:19" ht="42.75" x14ac:dyDescent="0.2">
      <c r="A58" s="10">
        <f>Lite!A60</f>
        <v>4042</v>
      </c>
      <c r="B58" s="10">
        <f>Lite!M60</f>
        <v>11</v>
      </c>
      <c r="C58" s="10" t="str">
        <f>Lite!K60</f>
        <v>K</v>
      </c>
      <c r="D58" s="10">
        <f>Lite!Y60</f>
        <v>1</v>
      </c>
      <c r="E58" s="10" t="str">
        <f>Lite!B60</f>
        <v>SL.45</v>
      </c>
      <c r="F58" s="10" t="str">
        <f>Lite!C60</f>
        <v>Are specific response and recovery strategies defined for the prioritized activities?</v>
      </c>
      <c r="G58" s="10" t="str">
        <f>Lite!D60</f>
        <v>Yes</v>
      </c>
      <c r="H58" s="10">
        <f>Lite!E60</f>
        <v>0</v>
      </c>
      <c r="I58" s="10">
        <f>Lite!F60</f>
        <v>0</v>
      </c>
      <c r="J58" s="10" t="str">
        <f>Lite!G60</f>
        <v>K.4 Response and Recovery Strategy</v>
      </c>
      <c r="K58" s="10" t="str">
        <f>Lite!H60</f>
        <v>8.3.1</v>
      </c>
      <c r="L58" s="10" t="str">
        <f>Lite!I60</f>
        <v>Determination and selection</v>
      </c>
      <c r="M58" s="10"/>
      <c r="N58" s="10" t="s">
        <v>1041</v>
      </c>
      <c r="O58" s="10" t="s">
        <v>1042</v>
      </c>
      <c r="P58" s="10" t="s">
        <v>89</v>
      </c>
      <c r="Q58" s="10" t="s">
        <v>1043</v>
      </c>
      <c r="R58" s="10" t="s">
        <v>1044</v>
      </c>
      <c r="S58" s="10"/>
    </row>
    <row r="59" spans="1:19" ht="42.75" x14ac:dyDescent="0.2">
      <c r="A59" s="10">
        <f>Lite!A61</f>
        <v>4049</v>
      </c>
      <c r="B59" s="10">
        <f>Lite!M61</f>
        <v>11</v>
      </c>
      <c r="C59" s="10" t="str">
        <f>Lite!K61</f>
        <v>K</v>
      </c>
      <c r="D59" s="10">
        <f>Lite!Y61</f>
        <v>1</v>
      </c>
      <c r="E59" s="10" t="str">
        <f>Lite!B61</f>
        <v>SL.46</v>
      </c>
      <c r="F59" s="10" t="str">
        <f>Lite!C61</f>
        <v>Are formal business continuity procedures developed and documented?</v>
      </c>
      <c r="G59" s="10" t="str">
        <f>Lite!D61</f>
        <v>Yes</v>
      </c>
      <c r="H59" s="10">
        <f>Lite!E61</f>
        <v>0</v>
      </c>
      <c r="I59" s="10">
        <f>Lite!F61</f>
        <v>0</v>
      </c>
      <c r="J59" s="10" t="str">
        <f>Lite!G61</f>
        <v>K.5 Business Activity Level Recovery Planning</v>
      </c>
      <c r="K59" s="10">
        <f>Lite!H61</f>
        <v>8.4</v>
      </c>
      <c r="L59" s="10" t="str">
        <f>Lite!I61</f>
        <v>Establish and implement business continuity procedures</v>
      </c>
      <c r="M59" s="10"/>
      <c r="N59" s="10" t="s">
        <v>1041</v>
      </c>
      <c r="O59" s="10" t="s">
        <v>1042</v>
      </c>
      <c r="P59" s="10" t="s">
        <v>89</v>
      </c>
      <c r="Q59" s="10" t="s">
        <v>1045</v>
      </c>
      <c r="R59" s="10" t="s">
        <v>1044</v>
      </c>
      <c r="S59" s="10"/>
    </row>
    <row r="60" spans="1:19" ht="57" x14ac:dyDescent="0.2">
      <c r="A60" s="10">
        <f>Lite!A62</f>
        <v>4054</v>
      </c>
      <c r="B60" s="10">
        <f>Lite!M62</f>
        <v>11</v>
      </c>
      <c r="C60" s="10" t="str">
        <f>Lite!K62</f>
        <v>K</v>
      </c>
      <c r="D60" s="10">
        <f>Lite!Y62</f>
        <v>1</v>
      </c>
      <c r="E60" s="10" t="str">
        <f>Lite!B62</f>
        <v>SL.47</v>
      </c>
      <c r="F60" s="10" t="str">
        <f>Lite!C62</f>
        <v>Has senior management assigned the responsibility for the overall management of the response and recovery efforts?</v>
      </c>
      <c r="G60" s="10" t="str">
        <f>Lite!D62</f>
        <v>Yes</v>
      </c>
      <c r="H60" s="10">
        <f>Lite!E62</f>
        <v>0</v>
      </c>
      <c r="I60" s="10">
        <f>Lite!F62</f>
        <v>0</v>
      </c>
      <c r="J60" s="10" t="str">
        <f>Lite!G62</f>
        <v>K.1 Business Resiliency Governance</v>
      </c>
      <c r="K60" s="10" t="str">
        <f>Lite!H62</f>
        <v>N/A</v>
      </c>
      <c r="L60" s="10">
        <f>Lite!I62</f>
        <v>0</v>
      </c>
      <c r="M60" s="10"/>
      <c r="N60" s="10" t="s">
        <v>947</v>
      </c>
      <c r="O60" s="10" t="s">
        <v>948</v>
      </c>
      <c r="P60" s="10" t="s">
        <v>89</v>
      </c>
      <c r="Q60" s="10" t="s">
        <v>1046</v>
      </c>
      <c r="R60" s="10" t="s">
        <v>1047</v>
      </c>
      <c r="S60" s="10"/>
    </row>
    <row r="61" spans="1:19" ht="42.75" x14ac:dyDescent="0.2">
      <c r="A61" s="10">
        <f>Lite!A63</f>
        <v>2286</v>
      </c>
      <c r="B61" s="10">
        <f>Lite!M63</f>
        <v>11</v>
      </c>
      <c r="C61" s="10" t="str">
        <f>Lite!K63</f>
        <v>K</v>
      </c>
      <c r="D61" s="10">
        <f>Lite!Y63</f>
        <v>1</v>
      </c>
      <c r="E61" s="10" t="str">
        <f>Lite!B63</f>
        <v>SL.48</v>
      </c>
      <c r="F61" s="10" t="str">
        <f>Lite!C63</f>
        <v>Is there a periodic (at least annual) review of your Business Resiliency Program?</v>
      </c>
      <c r="G61" s="10" t="str">
        <f>Lite!D63</f>
        <v>Yes</v>
      </c>
      <c r="H61" s="10">
        <f>Lite!E63</f>
        <v>0</v>
      </c>
      <c r="I61" s="10">
        <f>Lite!F63</f>
        <v>0</v>
      </c>
      <c r="J61" s="10" t="str">
        <f>Lite!G63</f>
        <v>K.7 Exercising</v>
      </c>
      <c r="K61" s="10" t="str">
        <f>Lite!H63</f>
        <v>8.4.1</v>
      </c>
      <c r="L61" s="10" t="str">
        <f>Lite!I63</f>
        <v>Establish and implement business continuity procedures</v>
      </c>
      <c r="M61" s="10"/>
      <c r="N61" s="10"/>
      <c r="O61" s="10"/>
      <c r="P61" s="10"/>
      <c r="Q61" s="10"/>
      <c r="R61" s="10"/>
      <c r="S61" s="10"/>
    </row>
    <row r="62" spans="1:19" ht="99.75" x14ac:dyDescent="0.2">
      <c r="A62" s="10">
        <f>Lite!A64</f>
        <v>2729</v>
      </c>
      <c r="B62" s="10">
        <f>Lite!M64</f>
        <v>11</v>
      </c>
      <c r="C62" s="10" t="str">
        <f>Lite!K64</f>
        <v>K</v>
      </c>
      <c r="D62" s="10">
        <f>Lite!Y64</f>
        <v>1</v>
      </c>
      <c r="E62" s="10" t="str">
        <f>Lite!B64</f>
        <v>SL.49</v>
      </c>
      <c r="F62" s="10" t="str">
        <f>Lite!C64</f>
        <v>Are there any dependencies on critical third party service providers?</v>
      </c>
      <c r="G62" s="10" t="str">
        <f>Lite!D64</f>
        <v>Yes</v>
      </c>
      <c r="H62" s="10">
        <f>Lite!E64</f>
        <v>0</v>
      </c>
      <c r="I62" s="10" t="str">
        <f>Lite!F64</f>
        <v>Applicable only to SecureLink (secure customer remote access vendor)</v>
      </c>
      <c r="J62" s="10" t="str">
        <f>Lite!G64</f>
        <v>K.2 Business Impact Analysis</v>
      </c>
      <c r="K62" s="10" t="str">
        <f>Lite!H64</f>
        <v>8.1
8.3
8.3.1
8.44</v>
      </c>
      <c r="L62" s="10" t="str">
        <f>Lite!I64</f>
        <v>Operational Planning and Control_x000D_
Business continuity strategy_x000D_
Determination and selection_x000D_
Business continuity plans</v>
      </c>
      <c r="M62" s="10"/>
      <c r="N62" s="10"/>
      <c r="O62" s="10"/>
      <c r="P62" s="10"/>
      <c r="Q62" s="10"/>
      <c r="R62" s="10"/>
      <c r="S62" s="10"/>
    </row>
    <row r="63" spans="1:19" ht="28.5" x14ac:dyDescent="0.2">
      <c r="A63" s="10">
        <f>Lite!A65</f>
        <v>2343</v>
      </c>
      <c r="B63" s="10">
        <f>Lite!M65</f>
        <v>11</v>
      </c>
      <c r="C63" s="10" t="str">
        <f>Lite!K65</f>
        <v>K</v>
      </c>
      <c r="D63" s="10">
        <f>Lite!Y65</f>
        <v>1</v>
      </c>
      <c r="E63" s="10" t="str">
        <f>Lite!B65</f>
        <v>SL.50</v>
      </c>
      <c r="F63" s="10" t="str">
        <f>Lite!C65</f>
        <v>Is there a formal, documented exercise and testing program in place?</v>
      </c>
      <c r="G63" s="10" t="str">
        <f>Lite!D65</f>
        <v>Yes</v>
      </c>
      <c r="H63" s="10">
        <f>Lite!E65</f>
        <v>0</v>
      </c>
      <c r="I63" s="10">
        <f>Lite!F65</f>
        <v>0</v>
      </c>
      <c r="J63" s="10" t="str">
        <f>Lite!G65</f>
        <v>K.7 Exercising</v>
      </c>
      <c r="K63" s="10">
        <f>Lite!H65</f>
        <v>8.5</v>
      </c>
      <c r="L63" s="10" t="str">
        <f>Lite!I65</f>
        <v>Exercising and testing</v>
      </c>
      <c r="M63" s="10"/>
      <c r="N63" s="10"/>
      <c r="O63" s="10"/>
      <c r="P63" s="10"/>
      <c r="Q63" s="10"/>
      <c r="R63" s="10"/>
      <c r="S63" s="10"/>
    </row>
    <row r="64" spans="1:19" ht="28.5" x14ac:dyDescent="0.2">
      <c r="A64" s="10">
        <f>Lite!A66</f>
        <v>2305</v>
      </c>
      <c r="B64" s="10">
        <f>Lite!M66</f>
        <v>11</v>
      </c>
      <c r="C64" s="10" t="str">
        <f>Lite!K66</f>
        <v>K</v>
      </c>
      <c r="D64" s="10">
        <f>Lite!Y66</f>
        <v>1</v>
      </c>
      <c r="E64" s="10" t="str">
        <f>Lite!B66</f>
        <v>SL.51</v>
      </c>
      <c r="F64" s="10" t="str">
        <f>Lite!C66</f>
        <v>Is there an Influenza Pandemic / Infectious Disease Outbreak Plan?</v>
      </c>
      <c r="G64" s="10" t="str">
        <f>Lite!D66</f>
        <v>N/A</v>
      </c>
      <c r="H64" s="10">
        <f>Lite!E66</f>
        <v>0</v>
      </c>
      <c r="I64" s="10" t="str">
        <f>Lite!F66</f>
        <v>Not applicable to the type of service provided (software)</v>
      </c>
      <c r="J64" s="10" t="str">
        <f>Lite!G66</f>
        <v>K.8 Infectious Disease Planning</v>
      </c>
      <c r="K64" s="10" t="str">
        <f>Lite!H66</f>
        <v>N/A</v>
      </c>
      <c r="L64" s="10">
        <f>Lite!I66</f>
        <v>0</v>
      </c>
      <c r="M64" s="10"/>
      <c r="N64" s="10"/>
      <c r="O64" s="10"/>
      <c r="P64" s="10"/>
      <c r="Q64" s="10"/>
      <c r="R64" s="10"/>
      <c r="S64" s="10"/>
    </row>
    <row r="65" spans="1:19" ht="42.75" x14ac:dyDescent="0.2">
      <c r="A65" s="10">
        <f>Lite!A67</f>
        <v>2365</v>
      </c>
      <c r="B65" s="10">
        <f>Lite!M67</f>
        <v>11</v>
      </c>
      <c r="C65" s="10" t="str">
        <f>Lite!K67</f>
        <v>K</v>
      </c>
      <c r="D65" s="10">
        <f>Lite!Y67</f>
        <v>1</v>
      </c>
      <c r="E65" s="10" t="str">
        <f>Lite!B67</f>
        <v>SL.52</v>
      </c>
      <c r="F65" s="10" t="str">
        <f>Lite!C67</f>
        <v>Is there insurance coverage for business interruptions or general services interruption?</v>
      </c>
      <c r="G65" s="10" t="str">
        <f>Lite!D67</f>
        <v>Yes</v>
      </c>
      <c r="H65" s="10">
        <f>Lite!E67</f>
        <v>0</v>
      </c>
      <c r="I65" s="10">
        <f>Lite!F67</f>
        <v>0</v>
      </c>
      <c r="J65" s="10" t="str">
        <f>Lite!G67</f>
        <v>K.9 Business Insurance</v>
      </c>
      <c r="K65" s="10" t="str">
        <f>Lite!H67</f>
        <v>N/A</v>
      </c>
      <c r="L65" s="10">
        <f>Lite!I67</f>
        <v>0</v>
      </c>
      <c r="M65" s="10"/>
      <c r="N65" s="10"/>
      <c r="O65" s="10"/>
      <c r="P65" s="10"/>
      <c r="Q65" s="10"/>
      <c r="R65" s="10"/>
      <c r="S65" s="10"/>
    </row>
    <row r="66" spans="1:19" ht="15" x14ac:dyDescent="0.25">
      <c r="A66" s="10">
        <f>Lite!A68</f>
        <v>0</v>
      </c>
      <c r="B66" s="10">
        <f>Lite!M68</f>
        <v>12</v>
      </c>
      <c r="C66" s="10">
        <f>Lite!K68</f>
        <v>1</v>
      </c>
      <c r="D66" s="10">
        <f>Lite!Y68</f>
        <v>1</v>
      </c>
      <c r="E66" s="10" t="str">
        <f>Lite!B68</f>
        <v/>
      </c>
      <c r="F66" s="10" t="str">
        <f>Lite!C68</f>
        <v>L. Compliance</v>
      </c>
      <c r="G66" s="10">
        <f>Lite!D68</f>
        <v>0</v>
      </c>
      <c r="H66" s="10">
        <f>Lite!E68</f>
        <v>0</v>
      </c>
      <c r="I66" s="10">
        <f>Lite!F68</f>
        <v>0</v>
      </c>
      <c r="J66" s="10">
        <f>Lite!G68</f>
        <v>0</v>
      </c>
      <c r="K66" s="10">
        <f>Lite!H68</f>
        <v>0</v>
      </c>
      <c r="L66" s="10">
        <f>Lite!I68</f>
        <v>0</v>
      </c>
      <c r="M66" s="10"/>
      <c r="N66" s="10"/>
      <c r="O66" s="10"/>
      <c r="P66" s="10"/>
      <c r="Q66" s="10"/>
      <c r="R66" s="10"/>
      <c r="S66" s="10"/>
    </row>
    <row r="67" spans="1:19" ht="85.5" x14ac:dyDescent="0.2">
      <c r="A67" s="10">
        <f>Lite!A69</f>
        <v>2826</v>
      </c>
      <c r="B67" s="10">
        <f>Lite!M69</f>
        <v>12</v>
      </c>
      <c r="C67" s="10" t="str">
        <f>Lite!K69</f>
        <v>L</v>
      </c>
      <c r="D67" s="10">
        <f>Lite!Y69</f>
        <v>1</v>
      </c>
      <c r="E67" s="10" t="str">
        <f>Lite!B69</f>
        <v>SL.53</v>
      </c>
      <c r="F67" s="10" t="str">
        <f>Lite!C69</f>
        <v>Is there an internal audit, risk management, or compliance department, or other management oversight unit with responsibility for identifying and tracking resolution of outstanding regulatory issues?</v>
      </c>
      <c r="G67" s="10" t="str">
        <f>Lite!D69</f>
        <v>Yes</v>
      </c>
      <c r="H67" s="10">
        <f>Lite!E69</f>
        <v>0</v>
      </c>
      <c r="I67" s="10">
        <f>Lite!F69</f>
        <v>0</v>
      </c>
      <c r="J67" s="10" t="str">
        <f>Lite!G69</f>
        <v>L.3 Monitoring and Reporting - Compliance Reporting
L.4 Monitoring and Reporting - Compliance</v>
      </c>
      <c r="K67" s="10" t="str">
        <f>Lite!H69</f>
        <v xml:space="preserve">18.1.1 </v>
      </c>
      <c r="L67" s="10" t="str">
        <f>Lite!I69</f>
        <v>Identification of applicable legislation and contractual requirements</v>
      </c>
      <c r="M67" s="10"/>
      <c r="N67" s="10" t="s">
        <v>1048</v>
      </c>
      <c r="O67" s="10" t="s">
        <v>1049</v>
      </c>
      <c r="P67" s="10" t="s">
        <v>89</v>
      </c>
      <c r="Q67" s="10" t="s">
        <v>1050</v>
      </c>
      <c r="R67" s="10" t="s">
        <v>1051</v>
      </c>
      <c r="S67" s="10"/>
    </row>
    <row r="68" spans="1:19" ht="85.5" x14ac:dyDescent="0.2">
      <c r="A68" s="10">
        <f>Lite!A70</f>
        <v>4126</v>
      </c>
      <c r="B68" s="10">
        <f>Lite!M70</f>
        <v>12</v>
      </c>
      <c r="C68" s="10" t="str">
        <f>Lite!K70</f>
        <v>L</v>
      </c>
      <c r="D68" s="10">
        <f>Lite!Y70</f>
        <v>1</v>
      </c>
      <c r="E68" s="10" t="str">
        <f>Lite!B70</f>
        <v>SL.54</v>
      </c>
      <c r="F68" s="10" t="str">
        <f>Lite!C70</f>
        <v>Are there policies and procedures to ensure compliance with applicable legislative, regulatory and contractual requirements to address intellectual property rights on business processes or information technology software products?</v>
      </c>
      <c r="G68" s="10" t="str">
        <f>Lite!D70</f>
        <v>Yes</v>
      </c>
      <c r="H68" s="10">
        <f>Lite!E70</f>
        <v>0</v>
      </c>
      <c r="I68" s="10">
        <f>Lite!F70</f>
        <v>0</v>
      </c>
      <c r="J68" s="10" t="str">
        <f>Lite!G70</f>
        <v>L. Compliance</v>
      </c>
      <c r="K68" s="10" t="str">
        <f>Lite!H70</f>
        <v>NA</v>
      </c>
      <c r="L68" s="10">
        <f>Lite!I70</f>
        <v>0</v>
      </c>
      <c r="M68" s="10"/>
      <c r="N68" s="10"/>
      <c r="O68" s="10"/>
      <c r="P68" s="10" t="s">
        <v>89</v>
      </c>
      <c r="Q68" s="10"/>
      <c r="R68" s="10"/>
      <c r="S68" s="10"/>
    </row>
    <row r="69" spans="1:19" ht="57" x14ac:dyDescent="0.2">
      <c r="A69" s="10">
        <f>Lite!A71</f>
        <v>2837</v>
      </c>
      <c r="B69" s="10">
        <f>Lite!M71</f>
        <v>12</v>
      </c>
      <c r="C69" s="10" t="str">
        <f>Lite!K71</f>
        <v>L</v>
      </c>
      <c r="D69" s="10">
        <f>Lite!Y71</f>
        <v>1</v>
      </c>
      <c r="E69" s="10" t="str">
        <f>Lite!B71</f>
        <v>SL.55</v>
      </c>
      <c r="F69" s="10" t="str">
        <f>Lite!C71</f>
        <v>Is there a records retention policy covering paper &amp; electronic records, including email in support of applicable regulations, standards and contractual requirements?</v>
      </c>
      <c r="G69" s="10" t="str">
        <f>Lite!D71</f>
        <v>Yes</v>
      </c>
      <c r="H69" s="10">
        <f>Lite!E71</f>
        <v>0</v>
      </c>
      <c r="I69" s="10">
        <f>Lite!F71</f>
        <v>0</v>
      </c>
      <c r="J69" s="10" t="str">
        <f>Lite!G71</f>
        <v>D.1 Asset Accounting and Inventory</v>
      </c>
      <c r="K69" s="10" t="str">
        <f>Lite!H71</f>
        <v xml:space="preserve">18.1.3 </v>
      </c>
      <c r="L69" s="10" t="str">
        <f>Lite!I71</f>
        <v>Protection of records</v>
      </c>
      <c r="M69" s="10"/>
      <c r="N69" s="10"/>
      <c r="O69" s="10"/>
      <c r="P69" s="10"/>
      <c r="Q69" s="10"/>
      <c r="R69" s="10"/>
      <c r="S69" s="10"/>
    </row>
    <row r="70" spans="1:19" ht="42.75" x14ac:dyDescent="0.2">
      <c r="A70" s="10">
        <f>Lite!A72</f>
        <v>4127</v>
      </c>
      <c r="B70" s="10">
        <f>Lite!M72</f>
        <v>12</v>
      </c>
      <c r="C70" s="10" t="str">
        <f>Lite!K72</f>
        <v>L</v>
      </c>
      <c r="D70" s="10">
        <f>Lite!Y72</f>
        <v>1</v>
      </c>
      <c r="E70" s="10" t="str">
        <f>Lite!B72</f>
        <v>SL.56</v>
      </c>
      <c r="F70" s="10" t="str">
        <f>Lite!C72</f>
        <v>Is licensing maintained in all jurisdictions where the business is or where licensing is required?</v>
      </c>
      <c r="G70" s="10" t="str">
        <f>Lite!D72</f>
        <v>Yes</v>
      </c>
      <c r="H70" s="10">
        <f>Lite!E72</f>
        <v>0</v>
      </c>
      <c r="I70" s="10">
        <f>Lite!F72</f>
        <v>0</v>
      </c>
      <c r="J70" s="10">
        <f>Lite!G72</f>
        <v>0</v>
      </c>
      <c r="K70" s="10" t="str">
        <f>Lite!H72</f>
        <v>NA</v>
      </c>
      <c r="L70" s="10">
        <f>Lite!I72</f>
        <v>0</v>
      </c>
      <c r="M70" s="10"/>
      <c r="N70" s="10"/>
      <c r="O70" s="10"/>
      <c r="P70" s="10"/>
      <c r="Q70" s="10"/>
      <c r="R70" s="10"/>
      <c r="S70" s="10"/>
    </row>
    <row r="71" spans="1:19" ht="42.75" x14ac:dyDescent="0.2">
      <c r="A71" s="10">
        <f>Lite!A73</f>
        <v>3733</v>
      </c>
      <c r="B71" s="10">
        <f>Lite!M73</f>
        <v>12</v>
      </c>
      <c r="C71" s="10" t="str">
        <f>Lite!K73</f>
        <v>L</v>
      </c>
      <c r="D71" s="10">
        <f>Lite!Y73</f>
        <v>1</v>
      </c>
      <c r="E71" s="10" t="str">
        <f>Lite!B73</f>
        <v>SL.57</v>
      </c>
      <c r="F71" s="10" t="str">
        <f>Lite!C73</f>
        <v>Is there an internal compliance and ethics program to ensure professional ethics and business practices are implemented?</v>
      </c>
      <c r="G71" s="10" t="str">
        <f>Lite!D73</f>
        <v>Yes</v>
      </c>
      <c r="H71" s="10">
        <f>Lite!E73</f>
        <v>0</v>
      </c>
      <c r="I71" s="10">
        <f>Lite!F73</f>
        <v>0</v>
      </c>
      <c r="J71" s="10" t="str">
        <f>Lite!G73</f>
        <v>A.4 Professional Ethics and Business Practices</v>
      </c>
      <c r="K71" s="10" t="str">
        <f>Lite!H73</f>
        <v>NA</v>
      </c>
      <c r="L71" s="10">
        <f>Lite!I73</f>
        <v>0</v>
      </c>
      <c r="M71" s="10"/>
      <c r="N71" s="10"/>
      <c r="O71" s="10"/>
      <c r="P71" s="10"/>
      <c r="Q71" s="10"/>
      <c r="R71" s="10"/>
      <c r="S71" s="10"/>
    </row>
    <row r="72" spans="1:19" ht="28.5" x14ac:dyDescent="0.2">
      <c r="A72" s="10">
        <f>Lite!A74</f>
        <v>4135</v>
      </c>
      <c r="B72" s="10">
        <f>Lite!M74</f>
        <v>12</v>
      </c>
      <c r="C72" s="10" t="str">
        <f>Lite!K74</f>
        <v>L</v>
      </c>
      <c r="D72" s="10">
        <f>Lite!Y74</f>
        <v>1</v>
      </c>
      <c r="E72" s="10" t="str">
        <f>Lite!B74</f>
        <v>SL.58</v>
      </c>
      <c r="F72" s="10" t="str">
        <f>Lite!C74</f>
        <v>Are marketing or selling activities conducted directly to client's customers?</v>
      </c>
      <c r="G72" s="10" t="str">
        <f>Lite!D74</f>
        <v>Yes</v>
      </c>
      <c r="H72" s="10">
        <f>Lite!E74</f>
        <v>0</v>
      </c>
      <c r="I72" s="10">
        <f>Lite!F74</f>
        <v>0</v>
      </c>
      <c r="J72" s="10">
        <f>Lite!G74</f>
        <v>0</v>
      </c>
      <c r="K72" s="10" t="str">
        <f>Lite!H74</f>
        <v>NA</v>
      </c>
      <c r="L72" s="10">
        <f>Lite!I74</f>
        <v>0</v>
      </c>
      <c r="M72" s="10"/>
      <c r="N72" s="10"/>
      <c r="O72" s="10"/>
      <c r="P72" s="10"/>
      <c r="Q72" s="10"/>
      <c r="R72" s="10"/>
      <c r="S72" s="10"/>
    </row>
    <row r="73" spans="1:19" ht="28.5" x14ac:dyDescent="0.2">
      <c r="A73" s="10">
        <f>Lite!A75</f>
        <v>4141</v>
      </c>
      <c r="B73" s="10">
        <f>Lite!M75</f>
        <v>12</v>
      </c>
      <c r="C73" s="10" t="str">
        <f>Lite!K75</f>
        <v>L</v>
      </c>
      <c r="D73" s="10">
        <f>Lite!Y75</f>
        <v>1</v>
      </c>
      <c r="E73" s="10" t="str">
        <f>Lite!B75</f>
        <v>SL.59</v>
      </c>
      <c r="F73" s="10" t="str">
        <f>Lite!C75</f>
        <v>Are there direct interactions with your client's customers?</v>
      </c>
      <c r="G73" s="10" t="str">
        <f>Lite!D75</f>
        <v>Yes</v>
      </c>
      <c r="H73" s="10">
        <f>Lite!E75</f>
        <v>0</v>
      </c>
      <c r="I73" s="10">
        <f>Lite!F75</f>
        <v>0</v>
      </c>
      <c r="J73" s="10">
        <f>Lite!G75</f>
        <v>0</v>
      </c>
      <c r="K73" s="10" t="str">
        <f>Lite!H75</f>
        <v>NA</v>
      </c>
      <c r="L73" s="10">
        <f>Lite!I75</f>
        <v>0</v>
      </c>
      <c r="M73" s="10"/>
      <c r="N73" s="10"/>
      <c r="O73" s="10"/>
      <c r="P73" s="10"/>
      <c r="Q73" s="10"/>
      <c r="R73" s="10"/>
      <c r="S73" s="10"/>
    </row>
    <row r="74" spans="1:19" ht="71.25" x14ac:dyDescent="0.2">
      <c r="A74" s="10">
        <f>Lite!A76</f>
        <v>4147</v>
      </c>
      <c r="B74" s="10">
        <f>Lite!M76</f>
        <v>12</v>
      </c>
      <c r="C74" s="10" t="str">
        <f>Lite!K76</f>
        <v>L</v>
      </c>
      <c r="D74" s="10">
        <f>Lite!Y76</f>
        <v>1</v>
      </c>
      <c r="E74" s="10" t="str">
        <f>Lite!B76</f>
        <v>SL.60</v>
      </c>
      <c r="F74" s="10" t="str">
        <f>Lite!C76</f>
        <v xml:space="preserve">Are policies and procedures maintained for enabling compliance with applicable legal, regulatory, statutory, or contractual obligations related to any information security requirements? </v>
      </c>
      <c r="G74" s="10" t="str">
        <f>Lite!D76</f>
        <v>Yes</v>
      </c>
      <c r="H74" s="10">
        <f>Lite!E76</f>
        <v>0</v>
      </c>
      <c r="I74" s="10">
        <f>Lite!F76</f>
        <v>0</v>
      </c>
      <c r="J74" s="10" t="str">
        <f>Lite!G76</f>
        <v>A.3 Legal, Regulatory, and Standards Compliance</v>
      </c>
      <c r="K74" s="10" t="str">
        <f>Lite!H76</f>
        <v>NA</v>
      </c>
      <c r="L74" s="10">
        <f>Lite!I76</f>
        <v>0</v>
      </c>
      <c r="M74" s="10"/>
      <c r="N74" s="10"/>
      <c r="O74" s="10"/>
      <c r="P74" s="10"/>
      <c r="Q74" s="10"/>
      <c r="R74" s="10"/>
      <c r="S74" s="10"/>
    </row>
    <row r="75" spans="1:19" ht="71.25" x14ac:dyDescent="0.2">
      <c r="A75" s="10">
        <f>Lite!A77</f>
        <v>4151</v>
      </c>
      <c r="B75" s="10">
        <f>Lite!M77</f>
        <v>12</v>
      </c>
      <c r="C75" s="10" t="str">
        <f>Lite!K77</f>
        <v>L</v>
      </c>
      <c r="D75" s="10">
        <f>Lite!Y77</f>
        <v>1</v>
      </c>
      <c r="E75" s="10" t="str">
        <f>Lite!B77</f>
        <v>SL.61</v>
      </c>
      <c r="F75" s="10" t="str">
        <f>Lite!C77</f>
        <v>Is there a formalized governance process to identify and assess changes that could significantly affect the system of internal controls for security, confidentiality and availability?</v>
      </c>
      <c r="G75" s="10" t="str">
        <f>Lite!D77</f>
        <v>Yes</v>
      </c>
      <c r="H75" s="10">
        <f>Lite!E77</f>
        <v>0</v>
      </c>
      <c r="I75" s="10">
        <f>Lite!F77</f>
        <v>0</v>
      </c>
      <c r="J75" s="10" t="str">
        <f>Lite!G77</f>
        <v>G.21 Change Control
L.3 Procedure b.3.i</v>
      </c>
      <c r="K75" s="10" t="str">
        <f>Lite!H77</f>
        <v>NA</v>
      </c>
      <c r="L75" s="10">
        <f>Lite!I77</f>
        <v>0</v>
      </c>
      <c r="M75" s="10"/>
      <c r="N75" s="10"/>
      <c r="O75" s="10"/>
      <c r="P75" s="10" t="s">
        <v>89</v>
      </c>
      <c r="Q75" s="10"/>
      <c r="R75" s="10"/>
      <c r="S75" s="10"/>
    </row>
    <row r="76" spans="1:19" ht="85.5" x14ac:dyDescent="0.2">
      <c r="A76" s="10">
        <f>Lite!A78</f>
        <v>4154</v>
      </c>
      <c r="B76" s="10">
        <f>Lite!M78</f>
        <v>12</v>
      </c>
      <c r="C76" s="10" t="str">
        <f>Lite!K78</f>
        <v>L</v>
      </c>
      <c r="D76" s="10">
        <f>Lite!Y78</f>
        <v>1</v>
      </c>
      <c r="E76" s="10" t="str">
        <f>Lite!B78</f>
        <v>SL.62</v>
      </c>
      <c r="F76" s="10" t="str">
        <f>Lite!C78</f>
        <v>Are accounts opened, transactions initiated or other account initiation activity applying payments, taking payments, transferring funds, etc. through either electronic, telephonic, written or in-person requests made on behalf of your client's?</v>
      </c>
      <c r="G76" s="10" t="str">
        <f>Lite!D78</f>
        <v>No</v>
      </c>
      <c r="H76" s="10">
        <f>Lite!E78</f>
        <v>0</v>
      </c>
      <c r="I76" s="10">
        <f>Lite!F78</f>
        <v>0</v>
      </c>
      <c r="J76" s="10">
        <f>Lite!G78</f>
        <v>0</v>
      </c>
      <c r="K76" s="10" t="str">
        <f>Lite!H78</f>
        <v>NA</v>
      </c>
      <c r="L76" s="10">
        <f>Lite!I78</f>
        <v>0</v>
      </c>
      <c r="M76" s="10"/>
      <c r="N76" s="10"/>
      <c r="O76" s="10"/>
      <c r="P76" s="10"/>
      <c r="Q76" s="10"/>
      <c r="R76" s="10"/>
      <c r="S76" s="10"/>
    </row>
    <row r="77" spans="1:19" ht="15" x14ac:dyDescent="0.25">
      <c r="A77" s="10">
        <f>Lite!A79</f>
        <v>0</v>
      </c>
      <c r="B77" s="10">
        <f>Lite!M79</f>
        <v>13</v>
      </c>
      <c r="C77" s="10">
        <f>Lite!K79</f>
        <v>1</v>
      </c>
      <c r="D77" s="10">
        <f>Lite!Y79</f>
        <v>1</v>
      </c>
      <c r="E77" s="10" t="str">
        <f>Lite!B79</f>
        <v/>
      </c>
      <c r="F77" s="10" t="str">
        <f>Lite!C79</f>
        <v>M. Mobile</v>
      </c>
      <c r="G77" s="10">
        <f>Lite!D79</f>
        <v>0</v>
      </c>
      <c r="H77" s="10">
        <f>Lite!E79</f>
        <v>0</v>
      </c>
      <c r="I77" s="10">
        <f>Lite!F79</f>
        <v>0</v>
      </c>
      <c r="J77" s="10">
        <f>Lite!G79</f>
        <v>0</v>
      </c>
      <c r="K77" s="10">
        <f>Lite!H79</f>
        <v>0</v>
      </c>
      <c r="L77" s="10">
        <f>Lite!I79</f>
        <v>0</v>
      </c>
      <c r="M77" s="10"/>
      <c r="N77" s="10"/>
      <c r="O77" s="10"/>
      <c r="P77" s="10" t="s">
        <v>89</v>
      </c>
      <c r="Q77" s="10"/>
      <c r="R77" s="10"/>
      <c r="S77" s="10"/>
    </row>
    <row r="78" spans="1:19" ht="71.25" x14ac:dyDescent="0.2">
      <c r="A78" s="10">
        <f>Lite!A80</f>
        <v>4090</v>
      </c>
      <c r="B78" s="10">
        <f>Lite!M80</f>
        <v>13</v>
      </c>
      <c r="C78" s="10" t="str">
        <f>Lite!K80</f>
        <v>M</v>
      </c>
      <c r="D78" s="10">
        <f>Lite!Y80</f>
        <v>1</v>
      </c>
      <c r="E78" s="10" t="str">
        <f>Lite!B80</f>
        <v>SL.63</v>
      </c>
      <c r="F78" s="10" t="str">
        <f>Lite!C80</f>
        <v>Are constituents allowed to utilize mobile devices to within your environment? If yes, which of the following functions are allowed:</v>
      </c>
      <c r="G78" s="10" t="str">
        <f>Lite!D80</f>
        <v>Yes</v>
      </c>
      <c r="H78" s="10">
        <f>Lite!E80</f>
        <v>0</v>
      </c>
      <c r="I78" s="10" t="str">
        <f>Lite!F80</f>
        <v xml:space="preserve">There is no restriction on how access is done as long as the browser supports https. The view and interaction was designed for desktop style </v>
      </c>
      <c r="J78" s="10">
        <f>Lite!G80</f>
        <v>0</v>
      </c>
      <c r="K78" s="10">
        <f>Lite!H80</f>
        <v>6.2</v>
      </c>
      <c r="L78" s="10" t="str">
        <f>Lite!I80</f>
        <v>Mobile devices and teleworking</v>
      </c>
      <c r="M78" s="10"/>
      <c r="N78" s="10"/>
      <c r="O78" s="10"/>
      <c r="P78" s="10" t="s">
        <v>89</v>
      </c>
      <c r="Q78" s="10"/>
      <c r="R78" s="10"/>
      <c r="S78" s="10"/>
    </row>
    <row r="79" spans="1:19" ht="14.25" x14ac:dyDescent="0.2">
      <c r="A79" s="10">
        <f>Lite!A81</f>
        <v>4091</v>
      </c>
      <c r="B79" s="10">
        <f>Lite!M81</f>
        <v>13</v>
      </c>
      <c r="C79" s="10" t="str">
        <f>Lite!K81</f>
        <v>M</v>
      </c>
      <c r="D79" s="10">
        <f>Lite!Y81</f>
        <v>1</v>
      </c>
      <c r="E79" s="10" t="str">
        <f>Lite!B81</f>
        <v>SL.64</v>
      </c>
      <c r="F79" s="10" t="str">
        <f>Lite!C81</f>
        <v>View Scoped Data?</v>
      </c>
      <c r="G79" s="10" t="str">
        <f>Lite!D81</f>
        <v>Yes</v>
      </c>
      <c r="H79" s="10">
        <f>Lite!E81</f>
        <v>0</v>
      </c>
      <c r="I79" s="10">
        <f>Lite!F81</f>
        <v>0</v>
      </c>
      <c r="J79" s="10">
        <f>Lite!G81</f>
        <v>0</v>
      </c>
      <c r="K79" s="10">
        <f>Lite!H81</f>
        <v>0</v>
      </c>
      <c r="L79" s="10">
        <f>Lite!I81</f>
        <v>0</v>
      </c>
      <c r="M79" s="10"/>
      <c r="N79" s="10"/>
      <c r="O79" s="10"/>
      <c r="P79" s="10" t="s">
        <v>89</v>
      </c>
      <c r="Q79" s="10"/>
      <c r="R79" s="10"/>
      <c r="S79" s="10"/>
    </row>
    <row r="80" spans="1:19" ht="14.25" x14ac:dyDescent="0.2">
      <c r="A80" s="10">
        <f>Lite!A82</f>
        <v>4092</v>
      </c>
      <c r="B80" s="10">
        <f>Lite!M82</f>
        <v>13</v>
      </c>
      <c r="C80" s="10" t="str">
        <f>Lite!K82</f>
        <v>M</v>
      </c>
      <c r="D80" s="10">
        <f>Lite!Y82</f>
        <v>1</v>
      </c>
      <c r="E80" s="10" t="str">
        <f>Lite!B82</f>
        <v>SL.65</v>
      </c>
      <c r="F80" s="10" t="str">
        <f>Lite!C82</f>
        <v>Process Scoped Data?</v>
      </c>
      <c r="G80" s="10" t="str">
        <f>Lite!D82</f>
        <v>No</v>
      </c>
      <c r="H80" s="10">
        <f>Lite!E82</f>
        <v>0</v>
      </c>
      <c r="I80" s="10">
        <f>Lite!F82</f>
        <v>0</v>
      </c>
      <c r="J80" s="10">
        <f>Lite!G82</f>
        <v>0</v>
      </c>
      <c r="K80" s="10">
        <f>Lite!H82</f>
        <v>0</v>
      </c>
      <c r="L80" s="10">
        <f>Lite!I82</f>
        <v>0</v>
      </c>
      <c r="M80" s="10"/>
      <c r="N80" s="10"/>
      <c r="O80" s="10"/>
      <c r="P80" s="10"/>
      <c r="Q80" s="10"/>
      <c r="R80" s="10"/>
      <c r="S80" s="10"/>
    </row>
    <row r="81" spans="1:19" ht="28.5" x14ac:dyDescent="0.2">
      <c r="A81" s="10">
        <f>Lite!A83</f>
        <v>4093</v>
      </c>
      <c r="B81" s="10">
        <f>Lite!M83</f>
        <v>13</v>
      </c>
      <c r="C81" s="10" t="str">
        <f>Lite!K83</f>
        <v>M</v>
      </c>
      <c r="D81" s="10">
        <f>Lite!Y83</f>
        <v>1</v>
      </c>
      <c r="E81" s="10" t="str">
        <f>Lite!B83</f>
        <v>SL.66</v>
      </c>
      <c r="F81" s="10" t="str">
        <f>Lite!C83</f>
        <v>Delete Scoped Data?</v>
      </c>
      <c r="G81" s="10" t="str">
        <f>Lite!D83</f>
        <v>Yes</v>
      </c>
      <c r="H81" s="10">
        <f>Lite!E83</f>
        <v>0</v>
      </c>
      <c r="I81" s="10" t="str">
        <f>Lite!F83</f>
        <v>Only for records associated to the facility the user belongs to</v>
      </c>
      <c r="J81" s="10">
        <f>Lite!G83</f>
        <v>0</v>
      </c>
      <c r="K81" s="10">
        <f>Lite!H83</f>
        <v>0</v>
      </c>
      <c r="L81" s="10">
        <f>Lite!I83</f>
        <v>0</v>
      </c>
      <c r="M81" s="10"/>
      <c r="N81" s="10"/>
      <c r="O81" s="10"/>
      <c r="P81" s="10"/>
      <c r="Q81" s="10"/>
      <c r="R81" s="10"/>
      <c r="S81" s="10"/>
    </row>
    <row r="82" spans="1:19" ht="14.25" x14ac:dyDescent="0.2">
      <c r="A82" s="10">
        <f>Lite!A84</f>
        <v>4094</v>
      </c>
      <c r="B82" s="10">
        <f>Lite!M84</f>
        <v>13</v>
      </c>
      <c r="C82" s="10" t="str">
        <f>Lite!K84</f>
        <v>M</v>
      </c>
      <c r="D82" s="10">
        <f>Lite!Y84</f>
        <v>1</v>
      </c>
      <c r="E82" s="10" t="str">
        <f>Lite!B84</f>
        <v>SL.67</v>
      </c>
      <c r="F82" s="10" t="str">
        <f>Lite!C84</f>
        <v>Store Scoped Data?</v>
      </c>
      <c r="G82" s="10" t="str">
        <f>Lite!D84</f>
        <v>No</v>
      </c>
      <c r="H82" s="10">
        <f>Lite!E84</f>
        <v>0</v>
      </c>
      <c r="I82" s="10">
        <f>Lite!F84</f>
        <v>0</v>
      </c>
      <c r="J82" s="10">
        <f>Lite!G84</f>
        <v>0</v>
      </c>
      <c r="K82" s="10">
        <f>Lite!H84</f>
        <v>0</v>
      </c>
      <c r="L82" s="10">
        <f>Lite!I84</f>
        <v>0</v>
      </c>
      <c r="M82" s="10"/>
      <c r="N82" s="10"/>
      <c r="O82" s="10"/>
      <c r="P82" s="10" t="s">
        <v>89</v>
      </c>
      <c r="Q82" s="10"/>
      <c r="R82" s="10"/>
      <c r="S82" s="10"/>
    </row>
    <row r="83" spans="1:19" ht="57" x14ac:dyDescent="0.2">
      <c r="A83" s="10">
        <f>Lite!A85</f>
        <v>4097</v>
      </c>
      <c r="B83" s="10">
        <f>Lite!M85</f>
        <v>13</v>
      </c>
      <c r="C83" s="10" t="str">
        <f>Lite!K85</f>
        <v>M</v>
      </c>
      <c r="D83" s="10">
        <f>Lite!Y85</f>
        <v>1</v>
      </c>
      <c r="E83" s="10" t="str">
        <f>Lite!B85</f>
        <v>SL.68</v>
      </c>
      <c r="F83" s="10" t="str">
        <f>Lite!C85</f>
        <v>Is there a mobile device management program in place that has been approved by management and communicated to appropriate constituents?</v>
      </c>
      <c r="G83" s="10" t="str">
        <f>Lite!D85</f>
        <v>Yes</v>
      </c>
      <c r="H83" s="10">
        <f>Lite!E85</f>
        <v>0</v>
      </c>
      <c r="I83" s="10">
        <f>Lite!F85</f>
        <v>0</v>
      </c>
      <c r="J83" s="10">
        <f>Lite!G85</f>
        <v>0</v>
      </c>
      <c r="K83" s="10">
        <f>Lite!H85</f>
        <v>0</v>
      </c>
      <c r="L83" s="10">
        <f>Lite!I85</f>
        <v>0</v>
      </c>
      <c r="M83" s="10"/>
      <c r="N83" s="10"/>
      <c r="O83" s="10"/>
      <c r="P83" s="10" t="s">
        <v>89</v>
      </c>
      <c r="Q83" s="10"/>
      <c r="R83" s="10"/>
      <c r="S83" s="10"/>
    </row>
    <row r="84" spans="1:19" ht="15" x14ac:dyDescent="0.25">
      <c r="A84" s="10">
        <f>Lite!A86</f>
        <v>0</v>
      </c>
      <c r="B84" s="10">
        <f>Lite!M86</f>
        <v>14</v>
      </c>
      <c r="C84" s="10">
        <f>Lite!K86</f>
        <v>1</v>
      </c>
      <c r="D84" s="10">
        <f>Lite!Y86</f>
        <v>1</v>
      </c>
      <c r="E84" s="10" t="str">
        <f>Lite!B86</f>
        <v/>
      </c>
      <c r="F84" s="10" t="str">
        <f>Lite!C86</f>
        <v>P. Privacy</v>
      </c>
      <c r="G84" s="10">
        <f>Lite!D86</f>
        <v>0</v>
      </c>
      <c r="H84" s="10">
        <f>Lite!E86</f>
        <v>0</v>
      </c>
      <c r="I84" s="10">
        <f>Lite!F86</f>
        <v>0</v>
      </c>
      <c r="J84" s="10">
        <f>Lite!G86</f>
        <v>0</v>
      </c>
      <c r="K84" s="10">
        <f>Lite!H86</f>
        <v>0</v>
      </c>
      <c r="L84" s="10">
        <f>Lite!I86</f>
        <v>0</v>
      </c>
      <c r="M84" s="10"/>
      <c r="N84" s="10"/>
      <c r="O84" s="10"/>
      <c r="P84" s="10"/>
      <c r="Q84" s="10"/>
      <c r="R84" s="10"/>
      <c r="S84" s="10"/>
    </row>
    <row r="85" spans="1:19" ht="85.5" x14ac:dyDescent="0.2">
      <c r="A85" s="10">
        <f>Lite!A87</f>
        <v>3687</v>
      </c>
      <c r="B85" s="10">
        <f>Lite!M87</f>
        <v>14</v>
      </c>
      <c r="C85" s="10" t="str">
        <f>Lite!K87</f>
        <v>P</v>
      </c>
      <c r="D85" s="10">
        <f>Lite!Y87</f>
        <v>1</v>
      </c>
      <c r="E85" s="10" t="str">
        <f>Lite!B87</f>
        <v>SL.69</v>
      </c>
      <c r="F85" s="10" t="str">
        <f>Lite!C87</f>
        <v>Is Scoped Data transmitted, processed, or stored that can be classified as non-public information (NPI), personally identifiable information (PII), or sensitive customer financial information? If yes, describe and list types of data.</v>
      </c>
      <c r="G85" s="10" t="str">
        <f>Lite!D87</f>
        <v>Yes</v>
      </c>
      <c r="H85" s="10">
        <f>Lite!E87</f>
        <v>0</v>
      </c>
      <c r="I85" s="10">
        <f>Lite!F87</f>
        <v>0</v>
      </c>
      <c r="J85" s="10" t="str">
        <f>Lite!G87</f>
        <v>P.1 Scoped Privacy Data Inventory and Flows</v>
      </c>
      <c r="K85" s="10" t="str">
        <f>Lite!H87</f>
        <v>8.2.1</v>
      </c>
      <c r="L85" s="10" t="str">
        <f>Lite!I87</f>
        <v>Classification of Information</v>
      </c>
      <c r="M85" s="10"/>
      <c r="N85" s="10"/>
      <c r="O85" s="10"/>
      <c r="P85" s="10" t="s">
        <v>89</v>
      </c>
      <c r="Q85" s="10"/>
      <c r="R85" s="10"/>
      <c r="S85" s="10"/>
    </row>
    <row r="86" spans="1:19" ht="71.25" x14ac:dyDescent="0.2">
      <c r="A86" s="10">
        <f>Lite!A88</f>
        <v>3694</v>
      </c>
      <c r="B86" s="10">
        <f>Lite!M88</f>
        <v>14</v>
      </c>
      <c r="C86" s="10" t="str">
        <f>Lite!K88</f>
        <v>P</v>
      </c>
      <c r="D86" s="10">
        <f>Lite!Y88</f>
        <v>1</v>
      </c>
      <c r="E86" s="10" t="str">
        <f>Lite!B88</f>
        <v>SL.70</v>
      </c>
      <c r="F86" s="10" t="str">
        <f>Lite!C88</f>
        <v>Is Scoped Data transmitted, processed, or stored that can be classified as protected health information, electronic health records, or personal health records? If yes, identify the classifications.</v>
      </c>
      <c r="G86" s="10" t="str">
        <f>Lite!D88</f>
        <v>Yes</v>
      </c>
      <c r="H86" s="10">
        <f>Lite!E88</f>
        <v>0</v>
      </c>
      <c r="I86" s="10">
        <f>Lite!F88</f>
        <v>0</v>
      </c>
      <c r="J86" s="10" t="str">
        <f>Lite!G88</f>
        <v>P.1 Scoped Privacy Data Inventory and Flows</v>
      </c>
      <c r="K86" s="10" t="str">
        <f>Lite!H88</f>
        <v>8.2.2</v>
      </c>
      <c r="L86" s="10" t="str">
        <f>Lite!I88</f>
        <v>Classification of Information</v>
      </c>
      <c r="M86" s="10"/>
      <c r="N86" s="10"/>
      <c r="O86" s="10"/>
      <c r="P86" s="10" t="s">
        <v>89</v>
      </c>
      <c r="Q86" s="10"/>
      <c r="R86" s="10"/>
      <c r="S86" s="10"/>
    </row>
    <row r="87" spans="1:19" ht="57" x14ac:dyDescent="0.2">
      <c r="A87" s="10">
        <f>Lite!A89</f>
        <v>3704</v>
      </c>
      <c r="B87" s="10">
        <f>Lite!M89</f>
        <v>14</v>
      </c>
      <c r="C87" s="10" t="str">
        <f>Lite!K89</f>
        <v>P</v>
      </c>
      <c r="D87" s="10">
        <f>Lite!Y89</f>
        <v>1</v>
      </c>
      <c r="E87" s="10" t="str">
        <f>Lite!B89</f>
        <v>SL.71</v>
      </c>
      <c r="F87" s="10" t="str">
        <f>Lite!C89</f>
        <v>For Scoped Data, is personal information about individuals transmitted to or received from countries outside the United States? If yes, identify the countries.</v>
      </c>
      <c r="G87" s="10" t="str">
        <f>Lite!D89</f>
        <v>No</v>
      </c>
      <c r="H87" s="10">
        <f>Lite!E89</f>
        <v>0</v>
      </c>
      <c r="I87" s="10">
        <f>Lite!F89</f>
        <v>0</v>
      </c>
      <c r="J87" s="10" t="str">
        <f>Lite!G89</f>
        <v>P.1 Scoped Privacy Data Inventory and Flows</v>
      </c>
      <c r="K87" s="10" t="str">
        <f>Lite!H89</f>
        <v>N/A</v>
      </c>
      <c r="L87" s="10">
        <f>Lite!I89</f>
        <v>0</v>
      </c>
      <c r="M87" s="10"/>
      <c r="N87" s="10"/>
      <c r="O87" s="10"/>
      <c r="P87" s="10" t="s">
        <v>89</v>
      </c>
      <c r="Q87" s="10"/>
      <c r="R87" s="10"/>
      <c r="S87" s="10"/>
    </row>
    <row r="88" spans="1:19" ht="57" x14ac:dyDescent="0.2">
      <c r="A88" s="10">
        <f>Lite!A90</f>
        <v>3872</v>
      </c>
      <c r="B88" s="10">
        <f>Lite!M90</f>
        <v>14</v>
      </c>
      <c r="C88" s="10" t="str">
        <f>Lite!K90</f>
        <v>P</v>
      </c>
      <c r="D88" s="10">
        <f>Lite!Y90</f>
        <v>1</v>
      </c>
      <c r="E88" s="10" t="str">
        <f>Lite!B90</f>
        <v>SL.72</v>
      </c>
      <c r="F88" s="10" t="str">
        <f>Lite!C90</f>
        <v>For Scoped Data is there a dedicated person (or group) responsible for privacy compliance. If yes, describe. If no, explain reason</v>
      </c>
      <c r="G88" s="10" t="str">
        <f>Lite!D90</f>
        <v>Yes</v>
      </c>
      <c r="H88" s="10">
        <f>Lite!E90</f>
        <v>0</v>
      </c>
      <c r="I88" s="10">
        <f>Lite!F90</f>
        <v>0</v>
      </c>
      <c r="J88" s="10" t="str">
        <f>Lite!G90</f>
        <v>P.3 Privacy Organization and Program Maintenance</v>
      </c>
      <c r="K88" s="10" t="str">
        <f>Lite!H90</f>
        <v xml:space="preserve">16.1.1.b.3 </v>
      </c>
      <c r="L88" s="10" t="str">
        <f>Lite!I90</f>
        <v>Responsibilities and procedures</v>
      </c>
      <c r="M88" s="10"/>
      <c r="N88" s="10"/>
      <c r="O88" s="10"/>
      <c r="P88" s="10" t="s">
        <v>89</v>
      </c>
      <c r="Q88" s="10"/>
      <c r="R88" s="10"/>
      <c r="S88" s="10"/>
    </row>
    <row r="89" spans="1:19" ht="42.75" x14ac:dyDescent="0.2">
      <c r="A89" s="10">
        <f>Lite!A91</f>
        <v>3873</v>
      </c>
      <c r="B89" s="10">
        <f>Lite!M91</f>
        <v>14</v>
      </c>
      <c r="C89" s="10" t="str">
        <f>Lite!K91</f>
        <v>P</v>
      </c>
      <c r="D89" s="10">
        <f>Lite!Y91</f>
        <v>1</v>
      </c>
      <c r="E89" s="10" t="str">
        <f>Lite!B91</f>
        <v>SL.73</v>
      </c>
      <c r="F89" s="10" t="str">
        <f>Lite!C91</f>
        <v>For Scoped Data, is there a documented privacy policy or procedures to protect confidential information?</v>
      </c>
      <c r="G89" s="10" t="str">
        <f>Lite!D91</f>
        <v>Yes</v>
      </c>
      <c r="H89" s="10">
        <f>Lite!E91</f>
        <v>0</v>
      </c>
      <c r="I89" s="10">
        <f>Lite!F91</f>
        <v>0</v>
      </c>
      <c r="J89" s="10" t="str">
        <f>Lite!G91</f>
        <v>P.2 Privacy Policy and Privacy Notices</v>
      </c>
      <c r="K89" s="10" t="str">
        <f>Lite!H91</f>
        <v>15.1.1</v>
      </c>
      <c r="L89" s="10" t="str">
        <f>Lite!I91</f>
        <v>Information security policy for supplier relationships</v>
      </c>
      <c r="M89" s="10"/>
      <c r="N89" s="10"/>
      <c r="O89" s="10"/>
      <c r="P89" s="10" t="s">
        <v>89</v>
      </c>
      <c r="Q89" s="10"/>
      <c r="R89" s="10"/>
      <c r="S89" s="10"/>
    </row>
    <row r="90" spans="1:19" ht="42.75" x14ac:dyDescent="0.2">
      <c r="A90" s="10">
        <f>Lite!A92</f>
        <v>3225</v>
      </c>
      <c r="B90" s="10">
        <f>Lite!M92</f>
        <v>14</v>
      </c>
      <c r="C90" s="10" t="str">
        <f>Lite!K92</f>
        <v>P</v>
      </c>
      <c r="D90" s="10">
        <f>Lite!Y92</f>
        <v>1</v>
      </c>
      <c r="E90" s="10" t="str">
        <f>Lite!B92</f>
        <v>SL.74</v>
      </c>
      <c r="F90" s="10" t="str">
        <f>Lite!C92</f>
        <v>For Scoped Data are there regular privacy risk assessments conducted? If yes, provide frequency and scope. If no, explain reason.</v>
      </c>
      <c r="G90" s="10" t="str">
        <f>Lite!D92</f>
        <v>Yes</v>
      </c>
      <c r="H90" s="10">
        <f>Lite!E92</f>
        <v>0</v>
      </c>
      <c r="I90" s="10">
        <f>Lite!F92</f>
        <v>0</v>
      </c>
      <c r="J90" s="10" t="str">
        <f>Lite!G92</f>
        <v>P.3 Privacy Organization and Program Maintenance</v>
      </c>
      <c r="K90" s="10" t="str">
        <f>Lite!H92</f>
        <v xml:space="preserve">15.1.3.i </v>
      </c>
      <c r="L90" s="10" t="str">
        <f>Lite!I92</f>
        <v>Information and communication technology supply chain</v>
      </c>
      <c r="M90" s="10"/>
      <c r="N90" s="10"/>
      <c r="O90" s="10"/>
      <c r="P90" s="10" t="s">
        <v>89</v>
      </c>
      <c r="Q90" s="10"/>
      <c r="R90" s="10"/>
      <c r="S90" s="10"/>
    </row>
    <row r="91" spans="1:19" ht="57" x14ac:dyDescent="0.2">
      <c r="A91" s="10">
        <f>Lite!A93</f>
        <v>3228</v>
      </c>
      <c r="B91" s="10">
        <f>Lite!M93</f>
        <v>14</v>
      </c>
      <c r="C91" s="10" t="str">
        <f>Lite!K93</f>
        <v>P</v>
      </c>
      <c r="D91" s="10">
        <f>Lite!Y93</f>
        <v>1</v>
      </c>
      <c r="E91" s="10" t="str">
        <f>Lite!B93</f>
        <v>SL.75</v>
      </c>
      <c r="F91" s="10" t="str">
        <f>Lite!C93</f>
        <v>Is there formal privacy awareness training for employees, contractors, and third-party users to ensure confidentiality and privacy of Scoped Data?</v>
      </c>
      <c r="G91" s="10" t="str">
        <f>Lite!D93</f>
        <v>Yes</v>
      </c>
      <c r="H91" s="10">
        <f>Lite!E93</f>
        <v>0</v>
      </c>
      <c r="I91" s="10">
        <f>Lite!F93</f>
        <v>0</v>
      </c>
      <c r="J91" s="10" t="str">
        <f>Lite!G93</f>
        <v>P.7 Privacy Awareness</v>
      </c>
      <c r="K91" s="10" t="str">
        <f>Lite!H93</f>
        <v xml:space="preserve">7.2.2 </v>
      </c>
      <c r="L91" s="10" t="str">
        <f>Lite!I93</f>
        <v>Information security awareness, education and training</v>
      </c>
      <c r="M91" s="10"/>
      <c r="N91" s="10"/>
      <c r="O91" s="10"/>
      <c r="P91" s="10" t="s">
        <v>89</v>
      </c>
      <c r="Q91" s="10"/>
      <c r="R91" s="10"/>
      <c r="S91" s="10"/>
    </row>
    <row r="92" spans="1:19" ht="57" x14ac:dyDescent="0.2">
      <c r="A92" s="10">
        <f>Lite!A94</f>
        <v>3874</v>
      </c>
      <c r="B92" s="10">
        <f>Lite!M94</f>
        <v>14</v>
      </c>
      <c r="C92" s="10" t="str">
        <f>Lite!K94</f>
        <v>P</v>
      </c>
      <c r="D92" s="10">
        <f>Lite!Y94</f>
        <v>1</v>
      </c>
      <c r="E92" s="10" t="str">
        <f>Lite!B94</f>
        <v>SL.76</v>
      </c>
      <c r="F92" s="10" t="str">
        <f>Lite!C94</f>
        <v>Is there a formal process for reporting and responding to privacy complaints or privacy incidents for Scoped Data? If yes, describe. If no, explain reason.</v>
      </c>
      <c r="G92" s="10" t="str">
        <f>Lite!D94</f>
        <v>Yes</v>
      </c>
      <c r="H92" s="10">
        <f>Lite!E94</f>
        <v>0</v>
      </c>
      <c r="I92" s="10">
        <f>Lite!F94</f>
        <v>0</v>
      </c>
      <c r="J92" s="10" t="str">
        <f>Lite!G94</f>
        <v>P.8 Privacy Event Notification and Response Management</v>
      </c>
      <c r="K92" s="10" t="str">
        <f>Lite!H94</f>
        <v xml:space="preserve">16.1.1 </v>
      </c>
      <c r="L92" s="10" t="str">
        <f>Lite!I94</f>
        <v>Responsibilities and procedures</v>
      </c>
      <c r="M92" s="10"/>
      <c r="N92" s="10"/>
      <c r="O92" s="10"/>
      <c r="P92" s="10"/>
      <c r="Q92" s="10"/>
      <c r="R92" s="10"/>
      <c r="S92" s="10"/>
    </row>
    <row r="93" spans="1:19" ht="57" x14ac:dyDescent="0.2">
      <c r="A93" s="10">
        <f>Lite!A95</f>
        <v>3723</v>
      </c>
      <c r="B93" s="10">
        <f>Lite!M95</f>
        <v>14</v>
      </c>
      <c r="C93" s="10" t="str">
        <f>Lite!K95</f>
        <v>P</v>
      </c>
      <c r="D93" s="10">
        <f>Lite!Y95</f>
        <v>1</v>
      </c>
      <c r="E93" s="10" t="str">
        <f>Lite!B95</f>
        <v>SL.77</v>
      </c>
      <c r="F93" s="10" t="str">
        <f>Lite!C95</f>
        <v>Is there a data classification and retention program for Scoped Data that identifies the data types that require additional management and governance?</v>
      </c>
      <c r="G93" s="10" t="str">
        <f>Lite!D95</f>
        <v>Yes</v>
      </c>
      <c r="H93" s="10">
        <f>Lite!E95</f>
        <v>0</v>
      </c>
      <c r="I93" s="10">
        <f>Lite!F95</f>
        <v>0</v>
      </c>
      <c r="J93" s="10" t="str">
        <f>Lite!G95</f>
        <v>P.1 Scoped Privacy Data Inventory and Flows</v>
      </c>
      <c r="K93" s="10">
        <f>Lite!H95</f>
        <v>8.1999999999999993</v>
      </c>
      <c r="L93" s="10" t="str">
        <f>Lite!I95</f>
        <v>Information Classification</v>
      </c>
      <c r="M93" s="10"/>
      <c r="N93" s="10"/>
      <c r="O93" s="10"/>
      <c r="P93" s="10"/>
      <c r="Q93" s="10"/>
      <c r="R93" s="10"/>
      <c r="S93" s="10"/>
    </row>
    <row r="94" spans="1:19" ht="57" x14ac:dyDescent="0.2">
      <c r="A94" s="10">
        <f>Lite!A96</f>
        <v>3234</v>
      </c>
      <c r="B94" s="10">
        <f>Lite!M96</f>
        <v>14</v>
      </c>
      <c r="C94" s="10" t="str">
        <f>Lite!K96</f>
        <v>P</v>
      </c>
      <c r="D94" s="10">
        <f>Lite!Y96</f>
        <v>1</v>
      </c>
      <c r="E94" s="10" t="str">
        <f>Lite!B96</f>
        <v>SL.78</v>
      </c>
      <c r="F94" s="10" t="str">
        <f>Lite!C96</f>
        <v>Is there a documented response program to address privacy incidents, unauthorized disclosure, unauthorized access or breach of Scoped Data?</v>
      </c>
      <c r="G94" s="10" t="str">
        <f>Lite!D96</f>
        <v>Yes</v>
      </c>
      <c r="H94" s="10">
        <f>Lite!E96</f>
        <v>0</v>
      </c>
      <c r="I94" s="10">
        <f>Lite!F96</f>
        <v>0</v>
      </c>
      <c r="J94" s="10" t="str">
        <f>Lite!G96</f>
        <v>P.8 Privacy Event Notification and Response Management</v>
      </c>
      <c r="K94" s="10" t="str">
        <f>Lite!H96</f>
        <v xml:space="preserve">16.1.1 </v>
      </c>
      <c r="L94" s="10" t="str">
        <f>Lite!I96</f>
        <v>Responsibilities and procedures</v>
      </c>
      <c r="M94" s="10"/>
      <c r="N94" s="10"/>
      <c r="O94" s="10"/>
      <c r="P94" s="10"/>
      <c r="Q94" s="10"/>
      <c r="R94" s="10"/>
      <c r="S94" s="10"/>
    </row>
    <row r="95" spans="1:19" ht="28.5" x14ac:dyDescent="0.2">
      <c r="A95" s="10">
        <f>Lite!A97</f>
        <v>3715</v>
      </c>
      <c r="B95" s="10">
        <f>Lite!M97</f>
        <v>14</v>
      </c>
      <c r="C95" s="10" t="str">
        <f>Lite!K97</f>
        <v>P</v>
      </c>
      <c r="D95" s="10">
        <f>Lite!Y97</f>
        <v>1</v>
      </c>
      <c r="E95" s="10" t="str">
        <f>Lite!B97</f>
        <v>SL.79</v>
      </c>
      <c r="F95" s="10" t="str">
        <f>Lite!C97</f>
        <v>Is Scoped Data disclosed to third parties? If yes, describe</v>
      </c>
      <c r="G95" s="10" t="str">
        <f>Lite!D97</f>
        <v>No</v>
      </c>
      <c r="H95" s="10">
        <f>Lite!E97</f>
        <v>0</v>
      </c>
      <c r="I95" s="10">
        <f>Lite!F97</f>
        <v>0</v>
      </c>
      <c r="J95" s="10">
        <f>Lite!G97</f>
        <v>0</v>
      </c>
      <c r="K95" s="10">
        <f>Lite!H97</f>
        <v>0</v>
      </c>
      <c r="L95" s="10">
        <f>Lite!I97</f>
        <v>0</v>
      </c>
      <c r="M95" s="10"/>
      <c r="N95" s="10"/>
      <c r="O95" s="10"/>
      <c r="P95" s="10" t="s">
        <v>89</v>
      </c>
      <c r="Q95" s="10"/>
      <c r="R95" s="10"/>
      <c r="S95" s="10"/>
    </row>
    <row r="96" spans="1:19" ht="28.5" x14ac:dyDescent="0.2">
      <c r="A96" s="10">
        <f>Lite!A98</f>
        <v>3269</v>
      </c>
      <c r="B96" s="10">
        <f>Lite!M98</f>
        <v>14</v>
      </c>
      <c r="C96" s="10" t="str">
        <f>Lite!K98</f>
        <v>P</v>
      </c>
      <c r="D96" s="10">
        <f>Lite!Y98</f>
        <v>1</v>
      </c>
      <c r="E96" s="10" t="str">
        <f>Lite!B98</f>
        <v>SL.80</v>
      </c>
      <c r="F96" s="10" t="str">
        <f>Lite!C98</f>
        <v>Is Scoped Data disclosed to third parties outside of the U.S.? If yes, describe.</v>
      </c>
      <c r="G96" s="10" t="str">
        <f>Lite!D98</f>
        <v>No</v>
      </c>
      <c r="H96" s="10">
        <f>Lite!E98</f>
        <v>0</v>
      </c>
      <c r="I96" s="10">
        <f>Lite!F98</f>
        <v>0</v>
      </c>
      <c r="J96" s="10">
        <f>Lite!G98</f>
        <v>0</v>
      </c>
      <c r="K96" s="10">
        <f>Lite!H98</f>
        <v>0</v>
      </c>
      <c r="L96" s="10">
        <f>Lite!I98</f>
        <v>0</v>
      </c>
      <c r="M96" s="10"/>
      <c r="N96" s="10"/>
      <c r="O96" s="10"/>
      <c r="P96" s="10"/>
      <c r="Q96" s="10"/>
      <c r="R96" s="10"/>
      <c r="S96" s="10"/>
    </row>
    <row r="97" spans="1:19" ht="71.25" x14ac:dyDescent="0.2">
      <c r="A97" s="10">
        <f>Lite!A99</f>
        <v>3270</v>
      </c>
      <c r="B97" s="10">
        <f>Lite!M99</f>
        <v>14</v>
      </c>
      <c r="C97" s="10" t="str">
        <f>Lite!K99</f>
        <v>P</v>
      </c>
      <c r="D97" s="10">
        <f>Lite!Y99</f>
        <v>1</v>
      </c>
      <c r="E97" s="10" t="str">
        <f>Lite!B99</f>
        <v>SL.81</v>
      </c>
      <c r="F97" s="10" t="str">
        <f>Lite!C99</f>
        <v>Are there contractual controls to ensure that Scoped Data shared with third parties is limited to defined parameters for access, use and disclosure? If yes, describe the controls, If no, explain reason.</v>
      </c>
      <c r="G97" s="10" t="str">
        <f>Lite!D99</f>
        <v>No</v>
      </c>
      <c r="H97" s="10">
        <f>Lite!E99</f>
        <v>0</v>
      </c>
      <c r="I97" s="10">
        <f>Lite!F99</f>
        <v>0</v>
      </c>
      <c r="J97" s="10" t="str">
        <f>Lite!G99</f>
        <v>P.4 Privacy Third Party Agreements</v>
      </c>
      <c r="K97" s="10" t="str">
        <f>Lite!H99</f>
        <v xml:space="preserve">15.1.2 </v>
      </c>
      <c r="L97" s="10" t="str">
        <f>Lite!I99</f>
        <v>Addressing security within supplier agreements</v>
      </c>
      <c r="M97" s="10"/>
      <c r="N97" s="10"/>
      <c r="O97" s="10"/>
      <c r="P97" s="10" t="s">
        <v>89</v>
      </c>
      <c r="Q97" s="10"/>
      <c r="R97" s="10"/>
      <c r="S97" s="10"/>
    </row>
    <row r="98" spans="1:19" ht="57" x14ac:dyDescent="0.2">
      <c r="A98" s="10">
        <f>Lite!A100</f>
        <v>3701</v>
      </c>
      <c r="B98" s="10">
        <f>Lite!M100</f>
        <v>14</v>
      </c>
      <c r="C98" s="10" t="str">
        <f>Lite!K100</f>
        <v>P</v>
      </c>
      <c r="D98" s="10">
        <f>Lite!Y100</f>
        <v>1</v>
      </c>
      <c r="E98" s="10" t="str">
        <f>Lite!B100</f>
        <v>SL.82</v>
      </c>
      <c r="F98" s="10" t="str">
        <f>Lite!C100</f>
        <v>Is there a business associate contract in place to address obligations for the privacy and security requirements of the services provided?</v>
      </c>
      <c r="G98" s="10" t="str">
        <f>Lite!D100</f>
        <v>Yes</v>
      </c>
      <c r="H98" s="10">
        <f>Lite!E100</f>
        <v>0</v>
      </c>
      <c r="I98" s="10">
        <f>Lite!F100</f>
        <v>0</v>
      </c>
      <c r="J98" s="10" t="str">
        <f>Lite!G100</f>
        <v>P.4 Privacy Third Party Agreements</v>
      </c>
      <c r="K98" s="10" t="str">
        <f>Lite!H100</f>
        <v xml:space="preserve">15.1.2 </v>
      </c>
      <c r="L98" s="10" t="str">
        <f>Lite!I100</f>
        <v>Addressing security within supplier agreements</v>
      </c>
      <c r="M98" s="10"/>
      <c r="N98" s="10"/>
      <c r="O98" s="10"/>
      <c r="P98" s="10"/>
      <c r="Q98" s="10"/>
      <c r="R98" s="10"/>
      <c r="S98" s="10"/>
    </row>
    <row r="99" spans="1:19" ht="57" x14ac:dyDescent="0.2">
      <c r="A99" s="10">
        <f>Lite!A101</f>
        <v>3718</v>
      </c>
      <c r="B99" s="10">
        <f>Lite!M101</f>
        <v>14</v>
      </c>
      <c r="C99" s="10" t="str">
        <f>Lite!K101</f>
        <v>P</v>
      </c>
      <c r="D99" s="10">
        <f>Lite!Y101</f>
        <v>1</v>
      </c>
      <c r="E99" s="10" t="str">
        <f>Lite!B101</f>
        <v>SL.83</v>
      </c>
      <c r="F99" s="10" t="str">
        <f>Lite!C101</f>
        <v>Is there a documented privacy program with administrative, technical, and physical safeguards for the protection of Scoped Data?</v>
      </c>
      <c r="G99" s="10" t="str">
        <f>Lite!D101</f>
        <v>Yes</v>
      </c>
      <c r="H99" s="10">
        <f>Lite!E101</f>
        <v>0</v>
      </c>
      <c r="I99" s="10">
        <f>Lite!F101</f>
        <v>0</v>
      </c>
      <c r="J99" s="10" t="str">
        <f>Lite!G101</f>
        <v>P.2 Privacy Policy and Privacy Notices</v>
      </c>
      <c r="K99" s="10" t="str">
        <f>Lite!H101</f>
        <v>15.1.1</v>
      </c>
      <c r="L99" s="10" t="str">
        <f>Lite!I101</f>
        <v>Information security policy for supplier relationships</v>
      </c>
      <c r="M99" s="10"/>
      <c r="N99" s="10"/>
      <c r="O99" s="10"/>
      <c r="P99" s="10"/>
      <c r="Q99" s="10"/>
      <c r="R99" s="10"/>
      <c r="S99" s="10"/>
    </row>
    <row r="100" spans="1:19" ht="42.75" x14ac:dyDescent="0.2">
      <c r="A100" s="10">
        <f>Lite!A102</f>
        <v>3875</v>
      </c>
      <c r="B100" s="10">
        <f>Lite!M102</f>
        <v>14</v>
      </c>
      <c r="C100" s="10" t="str">
        <f>Lite!K102</f>
        <v>P</v>
      </c>
      <c r="D100" s="10">
        <f>Lite!Y102</f>
        <v>1</v>
      </c>
      <c r="E100" s="10" t="str">
        <f>Lite!B102</f>
        <v>SL.84</v>
      </c>
      <c r="F100" s="10" t="str">
        <f>Lite!C102</f>
        <v>Is there a process for ensuring the accuracy of Scoped Data at the direction of the client? If yes, describe. If no, explain reason.</v>
      </c>
      <c r="G100" s="10" t="str">
        <f>Lite!D102</f>
        <v>No</v>
      </c>
      <c r="H100" s="10">
        <f>Lite!E102</f>
        <v>0</v>
      </c>
      <c r="I100" s="10">
        <f>Lite!F102</f>
        <v>0</v>
      </c>
      <c r="J100" s="10" t="str">
        <f>Lite!G102</f>
        <v>P.6 Management of Client Scoped Privacy Data</v>
      </c>
      <c r="K100" s="10" t="str">
        <f>Lite!H102</f>
        <v>8.2.3</v>
      </c>
      <c r="L100" s="10" t="str">
        <f>Lite!I102</f>
        <v>Handling of assets</v>
      </c>
      <c r="M100" s="10"/>
      <c r="N100" s="10"/>
      <c r="O100" s="10"/>
      <c r="P100" s="10" t="s">
        <v>89</v>
      </c>
      <c r="Q100" s="10"/>
      <c r="R100" s="10"/>
      <c r="S100" s="10"/>
    </row>
    <row r="101" spans="1:19" ht="99.75" x14ac:dyDescent="0.2">
      <c r="A101" s="10">
        <f>Lite!A103</f>
        <v>3876</v>
      </c>
      <c r="B101" s="10">
        <f>Lite!M103</f>
        <v>14</v>
      </c>
      <c r="C101" s="10" t="str">
        <f>Lite!K103</f>
        <v>P</v>
      </c>
      <c r="D101" s="10">
        <f>Lite!Y103</f>
        <v>1</v>
      </c>
      <c r="E101" s="10" t="str">
        <f>Lite!B103</f>
        <v>SL.85</v>
      </c>
      <c r="F101" s="10" t="str">
        <f>Lite!C103</f>
        <v>Is there a process to ensure that the personal information provided by an individual is limited for the purposes described in the respondent's privacy notice? If yes, describe. If no, explain reason.</v>
      </c>
      <c r="G101" s="10" t="str">
        <f>Lite!D103</f>
        <v>No</v>
      </c>
      <c r="H101" s="10">
        <f>Lite!E103</f>
        <v>0</v>
      </c>
      <c r="I101" s="10" t="str">
        <f>Lite!F103</f>
        <v xml:space="preserve">Authorized users are limited to enter a  minimal dataset required to run the Shoulder Screen tool as per software business contract. There is not further ability to enter more data than required </v>
      </c>
      <c r="J101" s="10" t="str">
        <f>Lite!G103</f>
        <v>P.6 Management of Client Scoped Privacy Data</v>
      </c>
      <c r="K101" s="10" t="str">
        <f>Lite!H103</f>
        <v>8.2.4</v>
      </c>
      <c r="L101" s="10" t="str">
        <f>Lite!I103</f>
        <v>Handling of assets</v>
      </c>
      <c r="M101" s="10"/>
      <c r="N101" s="10"/>
      <c r="O101" s="10"/>
      <c r="P101" s="10" t="s">
        <v>89</v>
      </c>
      <c r="Q101" s="10"/>
      <c r="R101" s="10"/>
      <c r="S101" s="10"/>
    </row>
    <row r="102" spans="1:19" ht="85.5" x14ac:dyDescent="0.2">
      <c r="A102" s="10">
        <f>Lite!A104</f>
        <v>3877</v>
      </c>
      <c r="B102" s="10">
        <f>Lite!M104</f>
        <v>14</v>
      </c>
      <c r="C102" s="10" t="str">
        <f>Lite!K104</f>
        <v>P</v>
      </c>
      <c r="D102" s="10">
        <f>Lite!Y104</f>
        <v>1</v>
      </c>
      <c r="E102" s="10" t="str">
        <f>Lite!B104</f>
        <v>SL.86</v>
      </c>
      <c r="F102" s="10" t="str">
        <f>Lite!C104</f>
        <v>Are constituents regularly monitored for privacy compliance? If yes, describe. If no, explain reason.</v>
      </c>
      <c r="G102" s="10" t="str">
        <f>Lite!D104</f>
        <v>No</v>
      </c>
      <c r="H102" s="10">
        <f>Lite!E104</f>
        <v>0</v>
      </c>
      <c r="I102" s="10" t="str">
        <f>Lite!F104</f>
        <v>Authorized users have access to document as many visits as needed as part of their facility/organization configuration based on their credentials</v>
      </c>
      <c r="J102" s="10">
        <f>Lite!G104</f>
        <v>0</v>
      </c>
      <c r="K102" s="10">
        <f>Lite!H104</f>
        <v>0</v>
      </c>
      <c r="L102" s="10">
        <f>Lite!I104</f>
        <v>0</v>
      </c>
      <c r="M102" s="10"/>
      <c r="N102" s="10"/>
      <c r="O102" s="10"/>
      <c r="P102" s="10"/>
      <c r="Q102" s="10"/>
      <c r="R102" s="10"/>
      <c r="S102" s="10"/>
    </row>
    <row r="103" spans="1:19" ht="128.25" x14ac:dyDescent="0.2">
      <c r="A103" s="10">
        <f>Lite!A105</f>
        <v>3724</v>
      </c>
      <c r="B103" s="10">
        <f>Lite!M105</f>
        <v>14</v>
      </c>
      <c r="C103" s="10" t="str">
        <f>Lite!K105</f>
        <v>P</v>
      </c>
      <c r="D103" s="10">
        <f>Lite!Y105</f>
        <v>1</v>
      </c>
      <c r="E103" s="10" t="str">
        <f>Lite!B105</f>
        <v>SL.87</v>
      </c>
      <c r="F103" s="10" t="str">
        <f>Lite!C105</f>
        <v>Are there documented policies, procedures, and controls to limit access based on need to know or minimum necessary for constituents? If yes, describe.</v>
      </c>
      <c r="G103" s="10" t="str">
        <f>Lite!D105</f>
        <v>Yes</v>
      </c>
      <c r="H103" s="10">
        <f>Lite!E105</f>
        <v>0</v>
      </c>
      <c r="I103" s="10" t="str">
        <f>Lite!F105</f>
        <v>Each user account is associated to a facility/organization to which they have access. A fundamental design of the software does not allow the same user to access data not associated to their pre-configured facility.</v>
      </c>
      <c r="J103" s="10" t="str">
        <f>Lite!G105</f>
        <v>P.6 Management of Client Scoped Privacy Data</v>
      </c>
      <c r="K103" s="10" t="str">
        <f>Lite!H105</f>
        <v>9.1.1.b</v>
      </c>
      <c r="L103" s="10" t="str">
        <f>Lite!I105</f>
        <v>Access control policy</v>
      </c>
      <c r="M103" s="10"/>
      <c r="N103" s="10"/>
      <c r="O103" s="10"/>
      <c r="P103" s="10" t="s">
        <v>89</v>
      </c>
      <c r="Q103" s="10"/>
      <c r="R103" s="10"/>
      <c r="S103" s="10" t="s">
        <v>1052</v>
      </c>
    </row>
    <row r="104" spans="1:19" ht="42.75" x14ac:dyDescent="0.2">
      <c r="A104" s="10">
        <f>Lite!A106</f>
        <v>3879</v>
      </c>
      <c r="B104" s="10">
        <f>Lite!M106</f>
        <v>14</v>
      </c>
      <c r="C104" s="10" t="str">
        <f>Lite!K106</f>
        <v>P</v>
      </c>
      <c r="D104" s="10">
        <f>Lite!Y106</f>
        <v>1</v>
      </c>
      <c r="E104" s="10" t="str">
        <f>Lite!B106</f>
        <v>SL.88</v>
      </c>
      <c r="F104" s="10" t="str">
        <f>Lite!C106</f>
        <v>Are enforcement mechanisms applied to constituents who violate privacy policies or confidentiality requirements?</v>
      </c>
      <c r="G104" s="10" t="str">
        <f>Lite!D106</f>
        <v>Yes</v>
      </c>
      <c r="H104" s="10">
        <f>Lite!E106</f>
        <v>0</v>
      </c>
      <c r="I104" s="10">
        <f>Lite!F106</f>
        <v>0</v>
      </c>
      <c r="J104" s="10">
        <f>Lite!G106</f>
        <v>0</v>
      </c>
      <c r="K104" s="10">
        <f>Lite!H106</f>
        <v>0</v>
      </c>
      <c r="L104" s="10">
        <f>Lite!I106</f>
        <v>0</v>
      </c>
      <c r="M104" s="10"/>
      <c r="N104" s="10"/>
      <c r="O104" s="10"/>
      <c r="P104" s="10" t="s">
        <v>89</v>
      </c>
      <c r="Q104" s="10"/>
      <c r="R104" s="10"/>
      <c r="S104" s="10" t="s">
        <v>1052</v>
      </c>
    </row>
    <row r="105" spans="1:19" ht="57" x14ac:dyDescent="0.2">
      <c r="A105" s="10">
        <f>Lite!A107</f>
        <v>3729</v>
      </c>
      <c r="B105" s="10">
        <f>Lite!M107</f>
        <v>14</v>
      </c>
      <c r="C105" s="10" t="str">
        <f>Lite!K107</f>
        <v>P</v>
      </c>
      <c r="D105" s="10">
        <f>Lite!Y107</f>
        <v>1</v>
      </c>
      <c r="E105" s="10" t="str">
        <f>Lite!B107</f>
        <v>SL.89</v>
      </c>
      <c r="F105" s="10" t="str">
        <f>Lite!C107</f>
        <v>Are transactions for covered accounts accessed, modified, or processed, including address changes and discrepancies? If yes, describe.</v>
      </c>
      <c r="G105" s="10" t="str">
        <f>Lite!D107</f>
        <v>No</v>
      </c>
      <c r="H105" s="10">
        <f>Lite!E107</f>
        <v>0</v>
      </c>
      <c r="I105" s="10">
        <f>Lite!F107</f>
        <v>0</v>
      </c>
      <c r="J105" s="10">
        <f>Lite!G107</f>
        <v>0</v>
      </c>
      <c r="K105" s="10">
        <f>Lite!H107</f>
        <v>0</v>
      </c>
      <c r="L105" s="10">
        <f>Lite!I107</f>
        <v>0</v>
      </c>
      <c r="M105" s="10"/>
      <c r="N105" s="10"/>
      <c r="O105" s="10"/>
      <c r="P105" s="10" t="s">
        <v>89</v>
      </c>
      <c r="Q105" s="10"/>
      <c r="R105" s="10"/>
      <c r="S105" s="10" t="s">
        <v>1052</v>
      </c>
    </row>
    <row r="106" spans="1:19" ht="57" x14ac:dyDescent="0.2">
      <c r="A106" s="10">
        <f>Lite!A108</f>
        <v>3739</v>
      </c>
      <c r="B106" s="10">
        <f>Lite!M108</f>
        <v>14</v>
      </c>
      <c r="C106" s="10" t="str">
        <f>Lite!K108</f>
        <v>P</v>
      </c>
      <c r="D106" s="10">
        <f>Lite!Y108</f>
        <v>1</v>
      </c>
      <c r="E106" s="10" t="str">
        <f>Lite!B108</f>
        <v>SL.90</v>
      </c>
      <c r="F106" s="10" t="str">
        <f>Lite!C108</f>
        <v>Is customer data accessed, transmitted, processed, or stored that can be classified as consumer report information provided by a consumer reporting agency?</v>
      </c>
      <c r="G106" s="10" t="str">
        <f>Lite!D108</f>
        <v>No</v>
      </c>
      <c r="H106" s="10">
        <f>Lite!E108</f>
        <v>0</v>
      </c>
      <c r="I106" s="10">
        <f>Lite!F108</f>
        <v>0</v>
      </c>
      <c r="J106" s="10">
        <f>Lite!G108</f>
        <v>0</v>
      </c>
      <c r="K106" s="10">
        <f>Lite!H108</f>
        <v>0</v>
      </c>
      <c r="L106" s="10">
        <f>Lite!I108</f>
        <v>0</v>
      </c>
      <c r="M106" s="10"/>
      <c r="N106" s="10"/>
      <c r="O106" s="10"/>
      <c r="P106" s="10" t="s">
        <v>89</v>
      </c>
      <c r="Q106" s="10"/>
      <c r="R106" s="10"/>
      <c r="S106" s="10" t="s">
        <v>1052</v>
      </c>
    </row>
    <row r="107" spans="1:19" ht="15" x14ac:dyDescent="0.25">
      <c r="A107" s="10">
        <f>Lite!A109</f>
        <v>0</v>
      </c>
      <c r="B107" s="10">
        <f>Lite!M109</f>
        <v>15</v>
      </c>
      <c r="C107" s="10">
        <f>Lite!K109</f>
        <v>1</v>
      </c>
      <c r="D107" s="10">
        <f>Lite!Y109</f>
        <v>1</v>
      </c>
      <c r="E107" s="10" t="str">
        <f>Lite!B109</f>
        <v/>
      </c>
      <c r="F107" s="10" t="str">
        <f>Lite!C109</f>
        <v>Q. Software Application Security</v>
      </c>
      <c r="G107" s="10">
        <f>Lite!D109</f>
        <v>0</v>
      </c>
      <c r="H107" s="10">
        <f>Lite!E109</f>
        <v>0</v>
      </c>
      <c r="I107" s="10">
        <f>Lite!F109</f>
        <v>0</v>
      </c>
      <c r="J107" s="10">
        <f>Lite!G109</f>
        <v>0</v>
      </c>
      <c r="K107" s="10">
        <f>Lite!H109</f>
        <v>0</v>
      </c>
      <c r="L107" s="10">
        <f>Lite!I109</f>
        <v>0</v>
      </c>
      <c r="M107" s="10"/>
      <c r="N107" s="10"/>
      <c r="O107" s="10"/>
      <c r="P107" s="10" t="s">
        <v>89</v>
      </c>
      <c r="Q107" s="10"/>
      <c r="R107" s="10"/>
      <c r="S107" s="10" t="s">
        <v>1053</v>
      </c>
    </row>
    <row r="108" spans="1:19" ht="28.5" x14ac:dyDescent="0.2">
      <c r="A108" s="10">
        <f>Lite!A110</f>
        <v>3919</v>
      </c>
      <c r="B108" s="10">
        <f>Lite!M110</f>
        <v>15</v>
      </c>
      <c r="C108" s="10" t="str">
        <f>Lite!K110</f>
        <v>Q</v>
      </c>
      <c r="D108" s="10">
        <f>Lite!Y110</f>
        <v>1</v>
      </c>
      <c r="E108" s="10" t="str">
        <f>Lite!B110</f>
        <v>SL.91</v>
      </c>
      <c r="F108" s="10" t="str">
        <f>Lite!C110</f>
        <v xml:space="preserve">Is software provided?  </v>
      </c>
      <c r="G108" s="10" t="str">
        <f>Lite!D110</f>
        <v>Yes</v>
      </c>
      <c r="H108" s="10">
        <f>Lite!E110</f>
        <v>0</v>
      </c>
      <c r="I108" s="10">
        <f>Lite!F110</f>
        <v>0</v>
      </c>
      <c r="J108" s="10" t="str">
        <f>Lite!G110</f>
        <v>Q. Software Application Security</v>
      </c>
      <c r="K108" s="10" t="str">
        <f>Lite!H110</f>
        <v>N/A</v>
      </c>
      <c r="L108" s="10">
        <f>Lite!I110</f>
        <v>0</v>
      </c>
      <c r="M108" s="10"/>
      <c r="N108" s="10"/>
      <c r="O108" s="10"/>
      <c r="P108" s="10" t="s">
        <v>89</v>
      </c>
      <c r="Q108" s="10"/>
      <c r="R108" s="10"/>
      <c r="S108" s="10" t="s">
        <v>1053</v>
      </c>
    </row>
    <row r="109" spans="1:19" ht="71.25" x14ac:dyDescent="0.2">
      <c r="A109" s="10">
        <f>Lite!A111</f>
        <v>3920</v>
      </c>
      <c r="B109" s="10">
        <f>Lite!M111</f>
        <v>15</v>
      </c>
      <c r="C109" s="10" t="str">
        <f>Lite!K111</f>
        <v>Q</v>
      </c>
      <c r="D109" s="10">
        <f>Lite!Y111</f>
        <v>1</v>
      </c>
      <c r="E109" s="10" t="str">
        <f>Lite!B111</f>
        <v>SL.92</v>
      </c>
      <c r="F109" s="10" t="str">
        <f>Lite!C111</f>
        <v xml:space="preserve">Is there a secure software development lifecycle policy that has been approved by management, communicated to appropriate constituents and an owner to maintain and review the policy? </v>
      </c>
      <c r="G109" s="10" t="str">
        <f>Lite!D111</f>
        <v>Yes</v>
      </c>
      <c r="H109" s="10">
        <f>Lite!E111</f>
        <v>0</v>
      </c>
      <c r="I109" s="10">
        <f>Lite!F111</f>
        <v>0</v>
      </c>
      <c r="J109" s="10" t="str">
        <f>Lite!G111</f>
        <v>Q.1 Secure SDLC Policies, Standards and Procedures</v>
      </c>
      <c r="K109" s="10" t="str">
        <f>Lite!H111</f>
        <v xml:space="preserve">14.2.1 </v>
      </c>
      <c r="L109" s="10" t="str">
        <f>Lite!I111</f>
        <v>Secure development policy</v>
      </c>
      <c r="M109" s="10"/>
      <c r="N109" s="10"/>
      <c r="O109" s="10"/>
      <c r="P109" s="10" t="s">
        <v>89</v>
      </c>
      <c r="Q109" s="10"/>
      <c r="R109" s="10"/>
      <c r="S109" s="10" t="s">
        <v>1053</v>
      </c>
    </row>
    <row r="110" spans="1:19" ht="15" x14ac:dyDescent="0.25">
      <c r="A110" s="10">
        <f>Lite!A112</f>
        <v>0</v>
      </c>
      <c r="B110" s="10">
        <f>Lite!M112</f>
        <v>16</v>
      </c>
      <c r="C110" s="10">
        <f>Lite!K112</f>
        <v>1</v>
      </c>
      <c r="D110" s="10">
        <f>Lite!Y112</f>
        <v>1</v>
      </c>
      <c r="E110" s="10" t="str">
        <f>Lite!B112</f>
        <v/>
      </c>
      <c r="F110" s="10" t="str">
        <f>Lite!C112</f>
        <v>V. Cloud Security</v>
      </c>
      <c r="G110" s="10">
        <f>Lite!D112</f>
        <v>0</v>
      </c>
      <c r="H110" s="10">
        <f>Lite!E112</f>
        <v>0</v>
      </c>
      <c r="I110" s="10">
        <f>Lite!F112</f>
        <v>0</v>
      </c>
      <c r="J110" s="10">
        <f>Lite!G112</f>
        <v>0</v>
      </c>
      <c r="K110" s="10">
        <f>Lite!H112</f>
        <v>0</v>
      </c>
      <c r="L110" s="10">
        <f>Lite!I112</f>
        <v>0</v>
      </c>
      <c r="M110" s="10"/>
      <c r="N110" s="10"/>
      <c r="O110" s="10"/>
      <c r="P110" s="10" t="s">
        <v>89</v>
      </c>
      <c r="Q110" s="10"/>
      <c r="R110" s="10"/>
      <c r="S110" s="10" t="s">
        <v>1053</v>
      </c>
    </row>
    <row r="111" spans="1:19" ht="42.75" x14ac:dyDescent="0.2">
      <c r="A111" s="10">
        <f>Lite!A113</f>
        <v>3304</v>
      </c>
      <c r="B111" s="10">
        <f>Lite!M113</f>
        <v>16</v>
      </c>
      <c r="C111" s="10" t="str">
        <f>Lite!K113</f>
        <v>V</v>
      </c>
      <c r="D111" s="10">
        <f>Lite!Y113</f>
        <v>1</v>
      </c>
      <c r="E111" s="10" t="str">
        <f>Lite!B113</f>
        <v>SL.93</v>
      </c>
      <c r="F111" s="10" t="str">
        <f>Lite!C113</f>
        <v>Are Cloud Services provided? If yes, what service model and deployment model is provided (select all that apply):</v>
      </c>
      <c r="G111" s="10" t="str">
        <f>Lite!D113</f>
        <v>Yes</v>
      </c>
      <c r="H111" s="10">
        <f>Lite!E113</f>
        <v>0</v>
      </c>
      <c r="I111" s="10">
        <f>Lite!F113</f>
        <v>0</v>
      </c>
      <c r="J111" s="10" t="str">
        <f>Lite!G113</f>
        <v>V.1 Service and Deployment Models</v>
      </c>
      <c r="K111" s="10">
        <f>Lite!H113</f>
        <v>4.3</v>
      </c>
      <c r="L111" s="10" t="str">
        <f>Lite!I113</f>
        <v>Determining the scope of the information management system</v>
      </c>
      <c r="M111" s="10"/>
      <c r="N111" s="10"/>
      <c r="O111" s="10"/>
      <c r="P111" s="10" t="s">
        <v>89</v>
      </c>
      <c r="Q111" s="10"/>
      <c r="R111" s="10"/>
      <c r="S111" s="10" t="s">
        <v>1054</v>
      </c>
    </row>
    <row r="112" spans="1:19" ht="28.5" x14ac:dyDescent="0.2">
      <c r="A112" s="10">
        <f>Lite!A114</f>
        <v>3305</v>
      </c>
      <c r="B112" s="10">
        <f>Lite!M114</f>
        <v>16</v>
      </c>
      <c r="C112" s="10" t="str">
        <f>Lite!K114</f>
        <v>V</v>
      </c>
      <c r="D112" s="10">
        <f>Lite!Y114</f>
        <v>1</v>
      </c>
      <c r="E112" s="10" t="str">
        <f>Lite!B114</f>
        <v>SL.94</v>
      </c>
      <c r="F112" s="10" t="str">
        <f>Lite!C114</f>
        <v>Software as a Service (SaaS)</v>
      </c>
      <c r="G112" s="10" t="str">
        <f>Lite!D114</f>
        <v>Yes</v>
      </c>
      <c r="H112" s="10">
        <f>Lite!E114</f>
        <v>0</v>
      </c>
      <c r="I112" s="10">
        <f>Lite!F114</f>
        <v>0</v>
      </c>
      <c r="J112" s="10" t="str">
        <f>Lite!G114</f>
        <v>V.1 Service and Deployment Models</v>
      </c>
      <c r="K112" s="10" t="str">
        <f>Lite!H114</f>
        <v>N/A</v>
      </c>
      <c r="L112" s="10">
        <f>Lite!I114</f>
        <v>0</v>
      </c>
      <c r="M112" s="10"/>
      <c r="N112" s="10"/>
      <c r="O112" s="10"/>
      <c r="P112" s="10" t="s">
        <v>89</v>
      </c>
      <c r="Q112" s="10"/>
      <c r="R112" s="10"/>
      <c r="S112" s="10" t="s">
        <v>1055</v>
      </c>
    </row>
    <row r="113" spans="1:19" ht="28.5" x14ac:dyDescent="0.2">
      <c r="A113" s="10">
        <f>Lite!A115</f>
        <v>3306</v>
      </c>
      <c r="B113" s="10">
        <f>Lite!M115</f>
        <v>16</v>
      </c>
      <c r="C113" s="10" t="str">
        <f>Lite!K115</f>
        <v>V</v>
      </c>
      <c r="D113" s="10">
        <f>Lite!Y115</f>
        <v>1</v>
      </c>
      <c r="E113" s="10" t="str">
        <f>Lite!B115</f>
        <v>SL.95</v>
      </c>
      <c r="F113" s="10" t="str">
        <f>Lite!C115</f>
        <v>Platform as a Service (PaaS)</v>
      </c>
      <c r="G113" s="10" t="str">
        <f>Lite!D115</f>
        <v>No</v>
      </c>
      <c r="H113" s="10">
        <f>Lite!E115</f>
        <v>0</v>
      </c>
      <c r="I113" s="10">
        <f>Lite!F115</f>
        <v>0</v>
      </c>
      <c r="J113" s="10" t="str">
        <f>Lite!G115</f>
        <v>V.1 Service and Deployment Models</v>
      </c>
      <c r="K113" s="10" t="str">
        <f>Lite!H115</f>
        <v>N/A</v>
      </c>
      <c r="L113" s="10">
        <f>Lite!I115</f>
        <v>0</v>
      </c>
      <c r="M113" s="10"/>
      <c r="N113" s="10"/>
      <c r="O113" s="10"/>
      <c r="P113" s="10" t="s">
        <v>1056</v>
      </c>
      <c r="Q113" s="10"/>
      <c r="R113" s="10"/>
      <c r="S113" s="10" t="s">
        <v>1057</v>
      </c>
    </row>
    <row r="114" spans="1:19" ht="28.5" x14ac:dyDescent="0.2">
      <c r="A114" s="10">
        <f>Lite!A116</f>
        <v>3307</v>
      </c>
      <c r="B114" s="10">
        <f>Lite!M116</f>
        <v>16</v>
      </c>
      <c r="C114" s="10" t="str">
        <f>Lite!K116</f>
        <v>V</v>
      </c>
      <c r="D114" s="10">
        <f>Lite!Y116</f>
        <v>1</v>
      </c>
      <c r="E114" s="10" t="str">
        <f>Lite!B116</f>
        <v>SL.96</v>
      </c>
      <c r="F114" s="10" t="str">
        <f>Lite!C116</f>
        <v>Infrastructure as a Service (IaaS)</v>
      </c>
      <c r="G114" s="10" t="str">
        <f>Lite!D116</f>
        <v>No</v>
      </c>
      <c r="H114" s="10">
        <f>Lite!E116</f>
        <v>0</v>
      </c>
      <c r="I114" s="10">
        <f>Lite!F116</f>
        <v>0</v>
      </c>
      <c r="J114" s="10" t="str">
        <f>Lite!G116</f>
        <v>V.1 Service and Deployment Models</v>
      </c>
      <c r="K114" s="10" t="str">
        <f>Lite!H116</f>
        <v>N/A</v>
      </c>
      <c r="L114" s="10">
        <f>Lite!I116</f>
        <v>0</v>
      </c>
      <c r="M114" s="10"/>
      <c r="N114" s="10"/>
      <c r="O114" s="10"/>
      <c r="P114" s="10" t="s">
        <v>1058</v>
      </c>
      <c r="Q114" s="10"/>
      <c r="R114" s="10"/>
      <c r="S114" s="10" t="s">
        <v>1059</v>
      </c>
    </row>
    <row r="115" spans="1:19" ht="28.5" x14ac:dyDescent="0.2">
      <c r="A115" s="10">
        <f>Lite!A117</f>
        <v>3309</v>
      </c>
      <c r="B115" s="10">
        <f>Lite!M117</f>
        <v>16</v>
      </c>
      <c r="C115" s="10" t="str">
        <f>Lite!K117</f>
        <v>V</v>
      </c>
      <c r="D115" s="10">
        <f>Lite!Y117</f>
        <v>1</v>
      </c>
      <c r="E115" s="10" t="str">
        <f>Lite!B117</f>
        <v>SL.97</v>
      </c>
      <c r="F115" s="10" t="str">
        <f>Lite!C117</f>
        <v>Private cloud</v>
      </c>
      <c r="G115" s="10" t="str">
        <f>Lite!D117</f>
        <v>No</v>
      </c>
      <c r="H115" s="10">
        <f>Lite!E117</f>
        <v>0</v>
      </c>
      <c r="I115" s="10">
        <f>Lite!F117</f>
        <v>0</v>
      </c>
      <c r="J115" s="10" t="str">
        <f>Lite!G117</f>
        <v>V.1 Service and Deployment Models</v>
      </c>
      <c r="K115" s="10" t="str">
        <f>Lite!H117</f>
        <v>N/A</v>
      </c>
      <c r="L115" s="10">
        <f>Lite!I117</f>
        <v>0</v>
      </c>
      <c r="M115" s="10"/>
      <c r="N115" s="10"/>
      <c r="O115" s="10"/>
      <c r="P115" s="10" t="s">
        <v>1060</v>
      </c>
      <c r="Q115" s="10"/>
      <c r="R115" s="10"/>
      <c r="S115" s="10" t="s">
        <v>1061</v>
      </c>
    </row>
    <row r="116" spans="1:19" ht="28.5" x14ac:dyDescent="0.2">
      <c r="A116" s="10">
        <f>Lite!A118</f>
        <v>3310</v>
      </c>
      <c r="B116" s="10">
        <f>Lite!M118</f>
        <v>16</v>
      </c>
      <c r="C116" s="10" t="str">
        <f>Lite!K118</f>
        <v>V</v>
      </c>
      <c r="D116" s="10">
        <f>Lite!Y118</f>
        <v>1</v>
      </c>
      <c r="E116" s="10" t="str">
        <f>Lite!B118</f>
        <v>SL.98</v>
      </c>
      <c r="F116" s="10" t="str">
        <f>Lite!C118</f>
        <v>Public cloud</v>
      </c>
      <c r="G116" s="10" t="str">
        <f>Lite!D118</f>
        <v>Yes</v>
      </c>
      <c r="H116" s="10">
        <f>Lite!E118</f>
        <v>0</v>
      </c>
      <c r="I116" s="10">
        <f>Lite!F118</f>
        <v>0</v>
      </c>
      <c r="J116" s="10" t="str">
        <f>Lite!G118</f>
        <v>V.1 Service and Deployment Models</v>
      </c>
      <c r="K116" s="10" t="str">
        <f>Lite!H118</f>
        <v>N/A</v>
      </c>
      <c r="L116" s="10">
        <f>Lite!I118</f>
        <v>0</v>
      </c>
      <c r="M116" s="10"/>
      <c r="N116" s="10"/>
      <c r="O116" s="10"/>
      <c r="P116" s="10" t="s">
        <v>89</v>
      </c>
      <c r="Q116" s="10"/>
      <c r="R116" s="10"/>
      <c r="S116" s="10" t="s">
        <v>1062</v>
      </c>
    </row>
    <row r="117" spans="1:19" ht="28.5" x14ac:dyDescent="0.2">
      <c r="A117" s="10">
        <f>Lite!A119</f>
        <v>3311</v>
      </c>
      <c r="B117" s="10">
        <f>Lite!M119</f>
        <v>16</v>
      </c>
      <c r="C117" s="10" t="str">
        <f>Lite!K119</f>
        <v>V</v>
      </c>
      <c r="D117" s="10">
        <f>Lite!Y119</f>
        <v>1</v>
      </c>
      <c r="E117" s="10" t="str">
        <f>Lite!B119</f>
        <v>SL.99</v>
      </c>
      <c r="F117" s="10" t="str">
        <f>Lite!C119</f>
        <v>Community cloud</v>
      </c>
      <c r="G117" s="10" t="str">
        <f>Lite!D119</f>
        <v>No</v>
      </c>
      <c r="H117" s="10">
        <f>Lite!E119</f>
        <v>0</v>
      </c>
      <c r="I117" s="10">
        <f>Lite!F119</f>
        <v>0</v>
      </c>
      <c r="J117" s="10" t="str">
        <f>Lite!G119</f>
        <v>V.1 Service and Deployment Models</v>
      </c>
      <c r="K117" s="10" t="str">
        <f>Lite!H119</f>
        <v>N/A</v>
      </c>
      <c r="L117" s="10">
        <f>Lite!I119</f>
        <v>0</v>
      </c>
      <c r="M117" s="10"/>
      <c r="N117" s="10"/>
      <c r="O117" s="10"/>
      <c r="P117" s="10" t="s">
        <v>89</v>
      </c>
      <c r="Q117" s="10"/>
      <c r="R117" s="10"/>
      <c r="S117" s="10"/>
    </row>
    <row r="118" spans="1:19" ht="28.5" x14ac:dyDescent="0.2">
      <c r="A118" s="10">
        <f>Lite!A120</f>
        <v>3312</v>
      </c>
      <c r="B118" s="10">
        <f>Lite!M120</f>
        <v>16</v>
      </c>
      <c r="C118" s="10" t="str">
        <f>Lite!K120</f>
        <v>V</v>
      </c>
      <c r="D118" s="10">
        <f>Lite!Y120</f>
        <v>1</v>
      </c>
      <c r="E118" s="10" t="str">
        <f>Lite!B120</f>
        <v>SL.100</v>
      </c>
      <c r="F118" s="10" t="str">
        <f>Lite!C120</f>
        <v>Hybrid cloud</v>
      </c>
      <c r="G118" s="10" t="str">
        <f>Lite!D120</f>
        <v>No</v>
      </c>
      <c r="H118" s="10">
        <f>Lite!E120</f>
        <v>0</v>
      </c>
      <c r="I118" s="10">
        <f>Lite!F120</f>
        <v>0</v>
      </c>
      <c r="J118" s="10" t="str">
        <f>Lite!G120</f>
        <v>V.1 Service and Deployment Models</v>
      </c>
      <c r="K118" s="10" t="str">
        <f>Lite!H120</f>
        <v>N/A</v>
      </c>
      <c r="L118" s="10">
        <f>Lite!I120</f>
        <v>0</v>
      </c>
      <c r="M118" s="10"/>
      <c r="N118" s="10"/>
      <c r="O118" s="10"/>
      <c r="P118" s="10" t="s">
        <v>89</v>
      </c>
      <c r="Q118" s="10"/>
      <c r="R118" s="10"/>
      <c r="S118" s="10" t="s">
        <v>1063</v>
      </c>
    </row>
    <row r="119" spans="1:19" ht="42.75" x14ac:dyDescent="0.2">
      <c r="A119" s="10">
        <f>Lite!A121</f>
        <v>3330</v>
      </c>
      <c r="B119" s="10">
        <f>Lite!M121</f>
        <v>16</v>
      </c>
      <c r="C119" s="10" t="str">
        <f>Lite!K121</f>
        <v>V</v>
      </c>
      <c r="D119" s="10">
        <f>Lite!Y121</f>
        <v>1</v>
      </c>
      <c r="E119" s="10" t="str">
        <f>Lite!B121</f>
        <v>SL.101</v>
      </c>
      <c r="F119" s="10" t="str">
        <f>Lite!C121</f>
        <v>Can clients define the legal jurisdictions where their data can be transmitted, processed or stored?</v>
      </c>
      <c r="G119" s="10" t="str">
        <f>Lite!D121</f>
        <v>No</v>
      </c>
      <c r="H119" s="10">
        <f>Lite!E121</f>
        <v>0</v>
      </c>
      <c r="I119" s="10">
        <f>Lite!F121</f>
        <v>0</v>
      </c>
      <c r="J119" s="10" t="str">
        <f>Lite!G121</f>
        <v>P.1 Scoped Privacy Data Inventory and Flows</v>
      </c>
      <c r="K119" s="10" t="str">
        <f>Lite!H121</f>
        <v>15.1.2</v>
      </c>
      <c r="L119" s="10" t="str">
        <f>Lite!I121</f>
        <v>Addressing security within supplier agreements</v>
      </c>
      <c r="M119" s="10"/>
      <c r="N119" s="10"/>
      <c r="O119" s="10"/>
      <c r="P119" s="10">
        <v>10.8</v>
      </c>
      <c r="Q119" s="10"/>
      <c r="R119" s="10"/>
      <c r="S119" s="10"/>
    </row>
    <row r="120" spans="1:19" ht="199.5" x14ac:dyDescent="0.2">
      <c r="A120" s="10">
        <f>Lite!A122</f>
        <v>3339</v>
      </c>
      <c r="B120" s="10">
        <f>Lite!M122</f>
        <v>16</v>
      </c>
      <c r="C120" s="10" t="str">
        <f>Lite!K122</f>
        <v>V</v>
      </c>
      <c r="D120" s="10">
        <f>Lite!Y122</f>
        <v>1</v>
      </c>
      <c r="E120" s="10" t="str">
        <f>Lite!B122</f>
        <v>SL.102</v>
      </c>
      <c r="F120" s="10" t="str">
        <f>Lite!C122</f>
        <v>Is data segmentation and separation capability between clients provided? If yes, describe.</v>
      </c>
      <c r="G120" s="10" t="str">
        <f>Lite!D122</f>
        <v>Yes</v>
      </c>
      <c r="H120" s="10">
        <f>Lite!E122</f>
        <v>0</v>
      </c>
      <c r="I120" s="10" t="str">
        <f>Lite!F122</f>
        <v>Each user account is associated to a facility/organization to which they have access. A fundamental design of the software does not allow the same user to access data not associated to their pre-configured facility. There is no low level architectural segmentation. The best way to achive that is for the customer to host their own server which is an option.</v>
      </c>
      <c r="J120" s="10" t="str">
        <f>Lite!G122</f>
        <v>V.1 Service and Deployment Models</v>
      </c>
      <c r="K120" s="10" t="str">
        <f>Lite!H122</f>
        <v>11.2.6, 9.1.1</v>
      </c>
      <c r="L120" s="10" t="str">
        <f>Lite!I122</f>
        <v>Security of equipment and assets off-premises, Access Control Policy</v>
      </c>
      <c r="M120" s="10"/>
      <c r="N120" s="10"/>
      <c r="O120" s="10"/>
      <c r="P120" s="10" t="s">
        <v>89</v>
      </c>
      <c r="Q120" s="10"/>
      <c r="R120" s="10"/>
      <c r="S120" s="10" t="s">
        <v>1064</v>
      </c>
    </row>
    <row r="121" spans="1:19" ht="28.5" x14ac:dyDescent="0.2">
      <c r="A121" s="10">
        <f>Lite!A123</f>
        <v>3346</v>
      </c>
      <c r="B121" s="10">
        <f>Lite!M123</f>
        <v>16</v>
      </c>
      <c r="C121" s="10" t="str">
        <f>Lite!K123</f>
        <v>V</v>
      </c>
      <c r="D121" s="10">
        <f>Lite!Y123</f>
        <v>1</v>
      </c>
      <c r="E121" s="10" t="str">
        <f>Lite!B123</f>
        <v>SL.103</v>
      </c>
      <c r="F121" s="10" t="str">
        <f>Lite!C123</f>
        <v>Is Scoped Data encrypted?</v>
      </c>
      <c r="G121" s="10" t="str">
        <f>Lite!D123</f>
        <v>No</v>
      </c>
      <c r="H121" s="10">
        <f>Lite!E123</f>
        <v>0</v>
      </c>
      <c r="I121" s="10">
        <f>Lite!F123</f>
        <v>0</v>
      </c>
      <c r="J121" s="10" t="str">
        <f>Lite!G123</f>
        <v>G.22 Data Security Policy - Encryption</v>
      </c>
      <c r="K121" s="10">
        <f>Lite!H123</f>
        <v>10.1</v>
      </c>
      <c r="L121" s="10" t="str">
        <f>Lite!I123</f>
        <v>Cryptographic Controls</v>
      </c>
      <c r="M121" s="10"/>
      <c r="N121" s="10"/>
      <c r="O121" s="10"/>
      <c r="P121" s="10">
        <v>6.4</v>
      </c>
      <c r="Q121" s="10"/>
      <c r="R121" s="10"/>
      <c r="S121" s="10" t="s">
        <v>1065</v>
      </c>
    </row>
    <row r="122" spans="1:19" ht="28.5" x14ac:dyDescent="0.2">
      <c r="A122" s="10">
        <f>Lite!A124</f>
        <v>3353</v>
      </c>
      <c r="B122" s="10">
        <f>Lite!M124</f>
        <v>16</v>
      </c>
      <c r="C122" s="10" t="str">
        <f>Lite!K124</f>
        <v>V</v>
      </c>
      <c r="D122" s="10">
        <f>Lite!Y124</f>
        <v>1</v>
      </c>
      <c r="E122" s="10" t="str">
        <f>Lite!B124</f>
        <v>SL.104</v>
      </c>
      <c r="F122" s="10" t="str">
        <f>Lite!C124</f>
        <v>Are clients provided with the ability to generate a unique encryption key?</v>
      </c>
      <c r="G122" s="10" t="str">
        <f>Lite!D124</f>
        <v>No</v>
      </c>
      <c r="H122" s="10">
        <f>Lite!E124</f>
        <v>0</v>
      </c>
      <c r="I122" s="10">
        <f>Lite!F124</f>
        <v>0</v>
      </c>
      <c r="J122" s="10" t="str">
        <f>Lite!G124</f>
        <v>G.22 Data Security Policy - Encryption</v>
      </c>
      <c r="K122" s="10" t="str">
        <f>Lite!H124</f>
        <v>10.1.2</v>
      </c>
      <c r="L122" s="10" t="str">
        <f>Lite!I124</f>
        <v>Key Management</v>
      </c>
      <c r="M122" s="10"/>
      <c r="N122" s="10"/>
      <c r="O122" s="10"/>
      <c r="P122" s="10" t="s">
        <v>1066</v>
      </c>
      <c r="Q122" s="10"/>
      <c r="R122" s="10"/>
      <c r="S122" s="10" t="s">
        <v>1067</v>
      </c>
    </row>
    <row r="123" spans="1:19" ht="28.5" x14ac:dyDescent="0.2">
      <c r="A123" s="10">
        <f>Lite!A125</f>
        <v>3354</v>
      </c>
      <c r="B123" s="10">
        <f>Lite!M125</f>
        <v>16</v>
      </c>
      <c r="C123" s="10" t="str">
        <f>Lite!K125</f>
        <v>V</v>
      </c>
      <c r="D123" s="10">
        <f>Lite!Y125</f>
        <v>1</v>
      </c>
      <c r="E123" s="10" t="str">
        <f>Lite!B125</f>
        <v>SL.105</v>
      </c>
      <c r="F123" s="10" t="str">
        <f>Lite!C125</f>
        <v>Are clients provided with the ability to rotate their encryption key on a scheduled basis?</v>
      </c>
      <c r="G123" s="10" t="str">
        <f>Lite!D125</f>
        <v>No</v>
      </c>
      <c r="H123" s="10">
        <f>Lite!E125</f>
        <v>0</v>
      </c>
      <c r="I123" s="10">
        <f>Lite!F125</f>
        <v>0</v>
      </c>
      <c r="J123" s="10" t="str">
        <f>Lite!G125</f>
        <v>G.22 Data Security Policy - Encryption</v>
      </c>
      <c r="K123" s="10" t="str">
        <f>Lite!H125</f>
        <v>10.1.2</v>
      </c>
      <c r="L123" s="10" t="str">
        <f>Lite!I125</f>
        <v>Key Management</v>
      </c>
      <c r="M123" s="10"/>
      <c r="N123" s="10"/>
      <c r="O123" s="10"/>
      <c r="P123" s="10" t="s">
        <v>89</v>
      </c>
      <c r="Q123" s="10"/>
      <c r="R123" s="10"/>
      <c r="S123" s="10" t="s">
        <v>1067</v>
      </c>
    </row>
    <row r="124" spans="1:19" ht="42.75" x14ac:dyDescent="0.2">
      <c r="A124" s="10">
        <f>Lite!A126</f>
        <v>3355</v>
      </c>
      <c r="B124" s="10">
        <f>Lite!M126</f>
        <v>16</v>
      </c>
      <c r="C124" s="10" t="str">
        <f>Lite!K126</f>
        <v>V</v>
      </c>
      <c r="D124" s="10">
        <f>Lite!Y126</f>
        <v>1</v>
      </c>
      <c r="E124" s="10" t="str">
        <f>Lite!B126</f>
        <v>SL.106</v>
      </c>
      <c r="F124" s="10" t="str">
        <f>Lite!C126</f>
        <v>Is standards based federated ID capability available to clients (e.g., SAML, OpenID)?</v>
      </c>
      <c r="G124" s="10" t="str">
        <f>Lite!D126</f>
        <v>No</v>
      </c>
      <c r="H124" s="10">
        <f>Lite!E126</f>
        <v>0</v>
      </c>
      <c r="I124" s="10">
        <f>Lite!F126</f>
        <v>0</v>
      </c>
      <c r="J124" s="10" t="str">
        <f>Lite!G126</f>
        <v>N/A</v>
      </c>
      <c r="K124" s="10" t="str">
        <f>Lite!H126</f>
        <v>9.2.4</v>
      </c>
      <c r="L124" s="10" t="str">
        <f>Lite!I126</f>
        <v>Management of secret authentication information of users.</v>
      </c>
      <c r="M124" s="10"/>
      <c r="N124" s="10"/>
      <c r="O124" s="10"/>
      <c r="P124" s="10" t="s">
        <v>89</v>
      </c>
      <c r="Q124" s="10"/>
      <c r="R124" s="10"/>
      <c r="S124" s="10" t="s">
        <v>1065</v>
      </c>
    </row>
    <row r="125" spans="1:19" ht="42.75" x14ac:dyDescent="0.2">
      <c r="A125" s="10">
        <f>Lite!A127</f>
        <v>3356</v>
      </c>
      <c r="B125" s="10">
        <f>Lite!M127</f>
        <v>16</v>
      </c>
      <c r="C125" s="10" t="str">
        <f>Lite!K127</f>
        <v>V</v>
      </c>
      <c r="D125" s="10">
        <f>Lite!Y127</f>
        <v>1</v>
      </c>
      <c r="E125" s="10" t="str">
        <f>Lite!B127</f>
        <v>SL.107</v>
      </c>
      <c r="F125" s="10" t="str">
        <f>Lite!C127</f>
        <v>Are application self service features or an Internet accessible self-service portal available to clients? If yes, describe.</v>
      </c>
      <c r="G125" s="10" t="str">
        <f>Lite!D127</f>
        <v>No</v>
      </c>
      <c r="H125" s="10">
        <f>Lite!E127</f>
        <v>0</v>
      </c>
      <c r="I125" s="10">
        <f>Lite!F127</f>
        <v>0</v>
      </c>
      <c r="J125" s="10" t="str">
        <f>Lite!G127</f>
        <v>N/A</v>
      </c>
      <c r="K125" s="10" t="str">
        <f>Lite!H127</f>
        <v>11.2.6, 9.1.1</v>
      </c>
      <c r="L125" s="10" t="str">
        <f>Lite!I127</f>
        <v>Security of equipment and assets off-premises, Access Control Policy</v>
      </c>
      <c r="M125" s="10"/>
      <c r="N125" s="10"/>
      <c r="O125" s="10"/>
      <c r="P125" s="10" t="s">
        <v>89</v>
      </c>
      <c r="Q125" s="10"/>
      <c r="R125" s="10"/>
      <c r="S125" s="10" t="s">
        <v>1068</v>
      </c>
    </row>
    <row r="126" spans="1:19" ht="57" x14ac:dyDescent="0.2">
      <c r="A126" s="10">
        <f>Lite!A128</f>
        <v>3373</v>
      </c>
      <c r="B126" s="10">
        <f>Lite!M128</f>
        <v>16</v>
      </c>
      <c r="C126" s="10" t="str">
        <f>Lite!K128</f>
        <v>V</v>
      </c>
      <c r="D126" s="10">
        <f>Lite!Y128</f>
        <v>1</v>
      </c>
      <c r="E126" s="10" t="str">
        <f>Lite!B128</f>
        <v>SL.108</v>
      </c>
      <c r="F126" s="10" t="str">
        <f>Lite!C128</f>
        <v>Is there a management approved process to ensure that image snapshots containing Scoped Data are authorized prior to being snapped?</v>
      </c>
      <c r="G126" s="10" t="str">
        <f>Lite!D128</f>
        <v>No</v>
      </c>
      <c r="H126" s="10">
        <f>Lite!E128</f>
        <v>0</v>
      </c>
      <c r="I126" s="10">
        <f>Lite!F128</f>
        <v>0</v>
      </c>
      <c r="J126" s="10" t="str">
        <f>Lite!G128</f>
        <v>N/A</v>
      </c>
      <c r="K126" s="10" t="str">
        <f>Lite!H128</f>
        <v>N/A</v>
      </c>
      <c r="L126" s="10">
        <f>Lite!I128</f>
        <v>0</v>
      </c>
      <c r="M126" s="10"/>
      <c r="N126" s="10"/>
      <c r="O126" s="10"/>
      <c r="P126" s="10" t="s">
        <v>89</v>
      </c>
      <c r="Q126" s="10"/>
      <c r="R126" s="10"/>
      <c r="S126" s="10" t="s">
        <v>1069</v>
      </c>
    </row>
    <row r="127" spans="1:19" ht="42.75" x14ac:dyDescent="0.2">
      <c r="A127" s="10">
        <f>Lite!A129</f>
        <v>3379</v>
      </c>
      <c r="B127" s="10">
        <f>Lite!M129</f>
        <v>16</v>
      </c>
      <c r="C127" s="10" t="str">
        <f>Lite!K129</f>
        <v>V</v>
      </c>
      <c r="D127" s="10">
        <f>Lite!Y129</f>
        <v>1</v>
      </c>
      <c r="E127" s="10" t="str">
        <f>Lite!B129</f>
        <v>SL.109</v>
      </c>
      <c r="F127" s="10" t="str">
        <f>Lite!C129</f>
        <v>Is there a cloud audit program to address client audit and assessment requirements? If yes, describe.</v>
      </c>
      <c r="G127" s="10" t="str">
        <f>Lite!D129</f>
        <v>No</v>
      </c>
      <c r="H127" s="10">
        <f>Lite!E129</f>
        <v>0</v>
      </c>
      <c r="I127" s="10">
        <f>Lite!F129</f>
        <v>0</v>
      </c>
      <c r="J127" s="10" t="str">
        <f>Lite!G129</f>
        <v>V.3 Cloud Audit Program</v>
      </c>
      <c r="K127" s="10" t="str">
        <f>Lite!H129</f>
        <v>N/A</v>
      </c>
      <c r="L127" s="10">
        <f>Lite!I129</f>
        <v>0</v>
      </c>
      <c r="M127" s="10"/>
      <c r="N127" s="10"/>
      <c r="O127" s="10"/>
      <c r="P127" s="10" t="s">
        <v>89</v>
      </c>
      <c r="Q127" s="10"/>
      <c r="R127" s="10"/>
      <c r="S127" s="10" t="s">
        <v>1069</v>
      </c>
    </row>
    <row r="128" spans="1:19" ht="85.5" x14ac:dyDescent="0.2">
      <c r="A128" s="10">
        <f>Lite!A130</f>
        <v>3394</v>
      </c>
      <c r="B128" s="10">
        <f>Lite!M130</f>
        <v>16</v>
      </c>
      <c r="C128" s="10" t="str">
        <f>Lite!K130</f>
        <v>V</v>
      </c>
      <c r="D128" s="10">
        <f>Lite!Y130</f>
        <v>1</v>
      </c>
      <c r="E128" s="10" t="str">
        <f>Lite!B130</f>
        <v>SL.110</v>
      </c>
      <c r="F128" s="10" t="str">
        <f>Lite!C130</f>
        <v>Is an agile development methodology in operation?</v>
      </c>
      <c r="G128" s="10" t="str">
        <f>Lite!D130</f>
        <v>Yes</v>
      </c>
      <c r="H128" s="10">
        <f>Lite!E130</f>
        <v>0</v>
      </c>
      <c r="I128" s="10">
        <f>Lite!F130</f>
        <v>0</v>
      </c>
      <c r="J128" s="10" t="str">
        <f>Lite!G130</f>
        <v>I.2 Secure Systems Development Lifecycle Code Reviews
Q.5 Secure Code Review</v>
      </c>
      <c r="K128" s="10">
        <f>Lite!H130</f>
        <v>12.5</v>
      </c>
      <c r="L128" s="10" t="str">
        <f>Lite!I130</f>
        <v>Control Of Operational Software</v>
      </c>
      <c r="M128" s="10"/>
      <c r="N128" s="10"/>
      <c r="O128" s="10"/>
      <c r="P128" s="10" t="s">
        <v>89</v>
      </c>
      <c r="Q128" s="10"/>
      <c r="R128" s="10"/>
      <c r="S128" s="10" t="s">
        <v>1069</v>
      </c>
    </row>
    <row r="129" spans="1:19" ht="57" x14ac:dyDescent="0.2">
      <c r="A129" s="10">
        <f>Lite!A131</f>
        <v>3401</v>
      </c>
      <c r="B129" s="10">
        <f>Lite!M131</f>
        <v>16</v>
      </c>
      <c r="C129" s="10" t="str">
        <f>Lite!K131</f>
        <v>V</v>
      </c>
      <c r="D129" s="10">
        <f>Lite!Y131</f>
        <v>1</v>
      </c>
      <c r="E129" s="10" t="str">
        <f>Lite!B131</f>
        <v>SL.111</v>
      </c>
      <c r="F129" s="10" t="str">
        <f>Lite!C131</f>
        <v>Is there a formal process to ensure clients are notified prior to changes being made which may impact their service? If yes, describe.</v>
      </c>
      <c r="G129" s="10" t="str">
        <f>Lite!D131</f>
        <v>Yes</v>
      </c>
      <c r="H129" s="10">
        <f>Lite!E131</f>
        <v>0</v>
      </c>
      <c r="I129" s="10">
        <f>Lite!F131</f>
        <v>0</v>
      </c>
      <c r="J129" s="10" t="str">
        <f>Lite!G131</f>
        <v>G.21 Change Control</v>
      </c>
      <c r="K129" s="10" t="str">
        <f>Lite!H131</f>
        <v>12.1.2, 14.2.2</v>
      </c>
      <c r="L129" s="10" t="str">
        <f>Lite!I131</f>
        <v>Change Management, System change control procedures</v>
      </c>
      <c r="M129" s="10"/>
      <c r="N129" s="10"/>
      <c r="O129" s="10"/>
      <c r="P129" s="10">
        <v>11.3</v>
      </c>
      <c r="Q129" s="10"/>
      <c r="R129" s="10"/>
      <c r="S129" s="10" t="s">
        <v>1070</v>
      </c>
    </row>
    <row r="130" spans="1:19" ht="42.75" x14ac:dyDescent="0.2">
      <c r="A130" s="10">
        <f>Lite!A132</f>
        <v>3406</v>
      </c>
      <c r="B130" s="10">
        <f>Lite!M132</f>
        <v>16</v>
      </c>
      <c r="C130" s="10" t="str">
        <f>Lite!K132</f>
        <v>V</v>
      </c>
      <c r="D130" s="10">
        <f>Lite!Y132</f>
        <v>1</v>
      </c>
      <c r="E130" s="10" t="str">
        <f>Lite!B132</f>
        <v>SL.112</v>
      </c>
      <c r="F130" s="10" t="str">
        <f>Lite!C132</f>
        <v>Is there a scheduled maintenance window? If yes, what is the frequency?</v>
      </c>
      <c r="G130" s="10" t="str">
        <f>Lite!D132</f>
        <v>No</v>
      </c>
      <c r="H130" s="10">
        <f>Lite!E132</f>
        <v>0</v>
      </c>
      <c r="I130" s="10" t="str">
        <f>Lite!F132</f>
        <v>This is perfromed only when it is required as opposed to a set frequency</v>
      </c>
      <c r="J130" s="10" t="str">
        <f>Lite!G132</f>
        <v>V.4 Security Review of Hypervisor Configuration</v>
      </c>
      <c r="K130" s="10" t="str">
        <f>Lite!H132</f>
        <v>12.1.2, 14.2.2</v>
      </c>
      <c r="L130" s="10" t="str">
        <f>Lite!I132</f>
        <v>Change Management, System change control procedures</v>
      </c>
      <c r="M130" s="10"/>
      <c r="N130" s="10"/>
      <c r="O130" s="10"/>
      <c r="P130" s="10" t="s">
        <v>89</v>
      </c>
      <c r="Q130" s="10"/>
      <c r="R130" s="10"/>
      <c r="S130" s="10" t="s">
        <v>1071</v>
      </c>
    </row>
    <row r="131" spans="1:19" ht="42.75" x14ac:dyDescent="0.2">
      <c r="A131" s="10">
        <f>Lite!A133</f>
        <v>3412</v>
      </c>
      <c r="B131" s="10">
        <f>Lite!M133</f>
        <v>16</v>
      </c>
      <c r="C131" s="10" t="str">
        <f>Lite!K133</f>
        <v>V</v>
      </c>
      <c r="D131" s="10">
        <f>Lite!Y133</f>
        <v>1</v>
      </c>
      <c r="E131" s="10" t="str">
        <f>Lite!B133</f>
        <v>SL.113</v>
      </c>
      <c r="F131" s="10" t="str">
        <f>Lite!C133</f>
        <v>Is there a scheduled maintenance window which results in client downtime, If yes, what is the period of the downtime?</v>
      </c>
      <c r="G131" s="10" t="str">
        <f>Lite!D133</f>
        <v>Yes</v>
      </c>
      <c r="H131" s="10">
        <f>Lite!E133</f>
        <v>0</v>
      </c>
      <c r="I131" s="10" t="str">
        <f>Lite!F133</f>
        <v>This is rare but when it happens it is below 2 hours.</v>
      </c>
      <c r="J131" s="10" t="str">
        <f>Lite!G133</f>
        <v>V.4 Security Review of Hypervisor Configuration</v>
      </c>
      <c r="K131" s="10" t="str">
        <f>Lite!H133</f>
        <v>12.1.2, 14.2.2</v>
      </c>
      <c r="L131" s="10" t="str">
        <f>Lite!I133</f>
        <v>Change Management, System change control procedures</v>
      </c>
      <c r="M131" s="10"/>
      <c r="N131" s="10"/>
      <c r="O131" s="10"/>
      <c r="P131" s="10" t="s">
        <v>89</v>
      </c>
      <c r="Q131" s="10"/>
      <c r="R131" s="10"/>
      <c r="S131" s="10" t="s">
        <v>1072</v>
      </c>
    </row>
    <row r="132" spans="1:19" ht="85.5" x14ac:dyDescent="0.2">
      <c r="A132" s="10">
        <f>Lite!A134</f>
        <v>3418</v>
      </c>
      <c r="B132" s="10">
        <f>Lite!M134</f>
        <v>16</v>
      </c>
      <c r="C132" s="10" t="str">
        <f>Lite!K134</f>
        <v>V</v>
      </c>
      <c r="D132" s="10">
        <f>Lite!Y134</f>
        <v>1</v>
      </c>
      <c r="E132" s="10" t="str">
        <f>Lite!B134</f>
        <v>SL.114</v>
      </c>
      <c r="F132" s="10" t="str">
        <f>Lite!C134</f>
        <v>Is there an online incident response status portal which outlines planned and unplanned outages? If yes, how long after an unplanned outage is this updated?</v>
      </c>
      <c r="G132" s="10" t="str">
        <f>Lite!D134</f>
        <v>No</v>
      </c>
      <c r="H132" s="10">
        <f>Lite!E134</f>
        <v>0</v>
      </c>
      <c r="I132" s="10" t="str">
        <f>Lite!F134</f>
        <v>There are few customers on this platfrom that require such a system. Customers are notified directly or a notice is reflected on the portal login main page</v>
      </c>
      <c r="J132" s="10" t="str">
        <f>Lite!G134</f>
        <v>J.1 Information Security Incident Management
P.8 Privacy Incident and Response Management</v>
      </c>
      <c r="K132" s="10" t="str">
        <f>Lite!H134</f>
        <v>12.1.2, 14.2.2</v>
      </c>
      <c r="L132" s="10" t="str">
        <f>Lite!I134</f>
        <v>Change Management, System change control procedures</v>
      </c>
      <c r="M132" s="10"/>
      <c r="N132" s="10"/>
      <c r="O132" s="10"/>
      <c r="P132" s="10" t="s">
        <v>89</v>
      </c>
      <c r="Q132" s="10"/>
      <c r="R132" s="10"/>
      <c r="S132" s="10" t="s">
        <v>1073</v>
      </c>
    </row>
    <row r="133" spans="1:19" ht="85.5" x14ac:dyDescent="0.2">
      <c r="A133" s="10">
        <f>Lite!A135</f>
        <v>3426</v>
      </c>
      <c r="B133" s="10">
        <f>Lite!M135</f>
        <v>16</v>
      </c>
      <c r="C133" s="10" t="str">
        <f>Lite!K135</f>
        <v>V</v>
      </c>
      <c r="D133" s="10">
        <f>Lite!Y135</f>
        <v>1</v>
      </c>
      <c r="E133" s="10" t="str">
        <f>Lite!B135</f>
        <v>SL.115</v>
      </c>
      <c r="F133" s="10" t="str">
        <f>Lite!C135</f>
        <v>Is there a 24x7x365 staffed phone number available to clients to report security incidents?</v>
      </c>
      <c r="G133" s="10" t="str">
        <f>Lite!D135</f>
        <v>Yes</v>
      </c>
      <c r="H133" s="10">
        <f>Lite!E135</f>
        <v>0</v>
      </c>
      <c r="I133" s="10">
        <f>Lite!F135</f>
        <v>0</v>
      </c>
      <c r="J133" s="10" t="str">
        <f>Lite!G135</f>
        <v>J.1 Information Security Incident Management
P.8 Privacy Incident and Response Management</v>
      </c>
      <c r="K133" s="10" t="str">
        <f>Lite!H135</f>
        <v>12.1.2, 14.2.2</v>
      </c>
      <c r="L133" s="10" t="str">
        <f>Lite!I135</f>
        <v>Change Management, System change control procedures</v>
      </c>
      <c r="M133" s="10"/>
      <c r="N133" s="10"/>
      <c r="O133" s="10"/>
      <c r="P133" s="10" t="s">
        <v>89</v>
      </c>
      <c r="Q133" s="10"/>
      <c r="R133" s="10"/>
      <c r="S133" s="10"/>
    </row>
    <row r="134" spans="1:19" ht="42.75" x14ac:dyDescent="0.2">
      <c r="A134" s="10">
        <f>Lite!A136</f>
        <v>3427</v>
      </c>
      <c r="B134" s="10">
        <f>Lite!M136</f>
        <v>16</v>
      </c>
      <c r="C134" s="10" t="str">
        <f>Lite!K136</f>
        <v>V</v>
      </c>
      <c r="D134" s="10">
        <f>Lite!Y136</f>
        <v>1</v>
      </c>
      <c r="E134" s="10" t="str">
        <f>Lite!B136</f>
        <v>SL.116</v>
      </c>
      <c r="F134" s="10" t="str">
        <f>Lite!C136</f>
        <v>Are applications created and released into production? If yes, what is the release frequency?</v>
      </c>
      <c r="G134" s="10" t="str">
        <f>Lite!D136</f>
        <v>Yes</v>
      </c>
      <c r="H134" s="10">
        <f>Lite!E136</f>
        <v>0</v>
      </c>
      <c r="I134" s="10" t="str">
        <f>Lite!F136</f>
        <v>Release schedule vary but once a year is typical</v>
      </c>
      <c r="J134" s="10" t="str">
        <f>Lite!G136</f>
        <v>Q.1 Secure SDLC Policies, Standards and Procedures</v>
      </c>
      <c r="K134" s="10">
        <f>Lite!H136</f>
        <v>12.5</v>
      </c>
      <c r="L134" s="10" t="str">
        <f>Lite!I136</f>
        <v>Control Of Operational Software</v>
      </c>
      <c r="M134" s="10"/>
      <c r="N134" s="10"/>
      <c r="O134" s="10"/>
      <c r="P134" s="10" t="s">
        <v>89</v>
      </c>
      <c r="Q134" s="10"/>
      <c r="R134" s="10"/>
      <c r="S134" s="10" t="s">
        <v>1074</v>
      </c>
    </row>
    <row r="135" spans="1:19" ht="85.5" x14ac:dyDescent="0.2">
      <c r="A135" s="10">
        <f>Lite!A137</f>
        <v>3436</v>
      </c>
      <c r="B135" s="10">
        <f>Lite!M137</f>
        <v>16</v>
      </c>
      <c r="C135" s="10" t="str">
        <f>Lite!K137</f>
        <v>V</v>
      </c>
      <c r="D135" s="10">
        <f>Lite!Y137</f>
        <v>1</v>
      </c>
      <c r="E135" s="10" t="str">
        <f>Lite!B137</f>
        <v>SL.117</v>
      </c>
      <c r="F135" s="10" t="str">
        <f>Lite!C137</f>
        <v>Is there an automated secure source code review? If yes, what is the frequency?</v>
      </c>
      <c r="G135" s="10" t="str">
        <f>Lite!D137</f>
        <v>Yes</v>
      </c>
      <c r="H135" s="10">
        <f>Lite!E137</f>
        <v>0</v>
      </c>
      <c r="I135" s="10" t="str">
        <f>Lite!F137</f>
        <v>This is not automated but is done as part of every version release by the PeriGen development team</v>
      </c>
      <c r="J135" s="10" t="str">
        <f>Lite!G137</f>
        <v>I.2 Secure Systems Development Lifecycle Code Reviews
Q.5 Secure Code Review</v>
      </c>
      <c r="K135" s="10">
        <f>Lite!H137</f>
        <v>12.5</v>
      </c>
      <c r="L135" s="10" t="str">
        <f>Lite!I137</f>
        <v>Control Of Operational Software</v>
      </c>
      <c r="M135" s="10"/>
      <c r="N135" s="10"/>
      <c r="O135" s="10"/>
      <c r="P135" s="10" t="s">
        <v>89</v>
      </c>
      <c r="Q135" s="10"/>
      <c r="R135" s="10"/>
      <c r="S135" s="10" t="s">
        <v>1075</v>
      </c>
    </row>
    <row r="136" spans="1:19" ht="85.5" x14ac:dyDescent="0.2">
      <c r="A136" s="10">
        <f>Lite!A138</f>
        <v>3445</v>
      </c>
      <c r="B136" s="10">
        <f>Lite!M138</f>
        <v>16</v>
      </c>
      <c r="C136" s="10" t="str">
        <f>Lite!K138</f>
        <v>V</v>
      </c>
      <c r="D136" s="10">
        <f>Lite!Y138</f>
        <v>1</v>
      </c>
      <c r="E136" s="10" t="str">
        <f>Lite!B138</f>
        <v>SL.118</v>
      </c>
      <c r="F136" s="10" t="str">
        <f>Lite!C138</f>
        <v>Is source code security reviewed manually? If yes, what is the frequency?</v>
      </c>
      <c r="G136" s="10" t="str">
        <f>Lite!D138</f>
        <v>Yes</v>
      </c>
      <c r="H136" s="10">
        <f>Lite!E138</f>
        <v>0</v>
      </c>
      <c r="I136" s="10">
        <f>Lite!F138</f>
        <v>0</v>
      </c>
      <c r="J136" s="10" t="str">
        <f>Lite!G138</f>
        <v>I.2 Secure Systems Development Lifecycle Code Reviews
Q.5 Secure Code Review</v>
      </c>
      <c r="K136" s="10" t="str">
        <f>Lite!H138</f>
        <v>12.2.1, 12.5</v>
      </c>
      <c r="L136" s="10" t="str">
        <f>Lite!I138</f>
        <v>Control against malware, Control Of Operational Software</v>
      </c>
      <c r="M136" s="10"/>
      <c r="N136" s="10"/>
      <c r="O136" s="10"/>
      <c r="P136" s="10" t="s">
        <v>89</v>
      </c>
      <c r="Q136" s="10"/>
      <c r="R136" s="10"/>
      <c r="S136" s="10" t="s">
        <v>1076</v>
      </c>
    </row>
    <row r="137" spans="1:19" ht="57" x14ac:dyDescent="0.2">
      <c r="A137" s="10">
        <f>Lite!A139</f>
        <v>3454</v>
      </c>
      <c r="B137" s="10">
        <f>Lite!M139</f>
        <v>16</v>
      </c>
      <c r="C137" s="10" t="str">
        <f>Lite!K139</f>
        <v>V</v>
      </c>
      <c r="D137" s="10">
        <f>Lite!Y139</f>
        <v>1</v>
      </c>
      <c r="E137" s="10" t="str">
        <f>Lite!B139</f>
        <v>SL.119</v>
      </c>
      <c r="F137" s="10" t="str">
        <f>Lite!C139</f>
        <v>Are automated penetration tests performed? If yes, what is the frequency?</v>
      </c>
      <c r="G137" s="10" t="str">
        <f>Lite!D139</f>
        <v>No</v>
      </c>
      <c r="H137" s="10">
        <f>Lite!E139</f>
        <v>0</v>
      </c>
      <c r="I137" s="10">
        <f>Lite!F139</f>
        <v>0</v>
      </c>
      <c r="J137" s="10" t="str">
        <f>Lite!G139</f>
        <v>I.1 Application Vulnerability Assessments/Ethical Hacking</v>
      </c>
      <c r="K137" s="10">
        <f>Lite!H139</f>
        <v>12.6</v>
      </c>
      <c r="L137" s="10" t="str">
        <f>Lite!I139</f>
        <v>Technical vulnerability management</v>
      </c>
      <c r="M137" s="10"/>
      <c r="N137" s="10"/>
      <c r="O137" s="10"/>
      <c r="P137" s="10" t="s">
        <v>89</v>
      </c>
      <c r="Q137" s="10"/>
      <c r="R137" s="10"/>
      <c r="S137" s="10" t="s">
        <v>1076</v>
      </c>
    </row>
    <row r="138" spans="1:19" ht="57" x14ac:dyDescent="0.2">
      <c r="A138" s="10">
        <f>Lite!A140</f>
        <v>3472</v>
      </c>
      <c r="B138" s="10">
        <f>Lite!M140</f>
        <v>16</v>
      </c>
      <c r="C138" s="10" t="str">
        <f>Lite!K140</f>
        <v>V</v>
      </c>
      <c r="D138" s="10">
        <f>Lite!Y140</f>
        <v>1</v>
      </c>
      <c r="E138" s="10" t="str">
        <f>Lite!B140</f>
        <v>SL.120</v>
      </c>
      <c r="F138" s="10" t="str">
        <f>Lite!C140</f>
        <v>Are clients provided with the ability to specify where their data will be stored? If yes, describe at what level (e.g., data center, country)?</v>
      </c>
      <c r="G138" s="10" t="str">
        <f>Lite!D140</f>
        <v>No</v>
      </c>
      <c r="H138" s="10">
        <f>Lite!E140</f>
        <v>0</v>
      </c>
      <c r="I138" s="10" t="str">
        <f>Lite!F140</f>
        <v>Data is stored at the defined hosting site selected by PeriGen in the US</v>
      </c>
      <c r="J138" s="10" t="str">
        <f>Lite!G140</f>
        <v>P.6 Management of Client Target Privacy Data</v>
      </c>
      <c r="K138" s="10" t="str">
        <f>Lite!H140</f>
        <v>8.2.3, 11.1, 15.1.2</v>
      </c>
      <c r="L138" s="10" t="str">
        <f>Lite!I140</f>
        <v>Handling of assets,
Secure areas,
Addressing security within supplier agreements</v>
      </c>
      <c r="M138" s="10"/>
      <c r="N138" s="10"/>
      <c r="O138" s="10"/>
      <c r="P138" s="10" t="s">
        <v>89</v>
      </c>
      <c r="Q138" s="10"/>
      <c r="R138" s="10"/>
      <c r="S138" s="10" t="s">
        <v>1076</v>
      </c>
    </row>
    <row r="139" spans="1:19" ht="71.25" x14ac:dyDescent="0.2">
      <c r="A139" s="10">
        <f>Lite!A141</f>
        <v>3481</v>
      </c>
      <c r="B139" s="10">
        <f>Lite!M141</f>
        <v>16</v>
      </c>
      <c r="C139" s="10" t="str">
        <f>Lite!K141</f>
        <v>V</v>
      </c>
      <c r="D139" s="10">
        <f>Lite!Y141</f>
        <v>1</v>
      </c>
      <c r="E139" s="10" t="str">
        <f>Lite!B141</f>
        <v>SL.121</v>
      </c>
      <c r="F139" s="10" t="str">
        <f>Lite!C141</f>
        <v xml:space="preserve">Does the ability exist to legally demonstrate sufficient data segmentation, in the event of a client subpoena or a forensics incident, so as not to impact other client's data? If using resource pooling? </v>
      </c>
      <c r="G139" s="10" t="str">
        <f>Lite!D141</f>
        <v>No</v>
      </c>
      <c r="H139" s="10">
        <f>Lite!E141</f>
        <v>0</v>
      </c>
      <c r="I139" s="10">
        <f>Lite!F141</f>
        <v>0</v>
      </c>
      <c r="J139" s="10" t="str">
        <f>Lite!G141</f>
        <v>V.1 Service and Deployment Models</v>
      </c>
      <c r="K139" s="10">
        <f>Lite!H141</f>
        <v>16.100000000000001</v>
      </c>
      <c r="L139" s="10" t="str">
        <f>Lite!I141</f>
        <v>Management of information security incidents and improvements</v>
      </c>
      <c r="M139" s="10"/>
      <c r="N139" s="10"/>
      <c r="O139" s="10"/>
      <c r="P139" s="10" t="s">
        <v>89</v>
      </c>
      <c r="Q139" s="10"/>
      <c r="R139" s="10"/>
      <c r="S139" s="10" t="s">
        <v>1077</v>
      </c>
    </row>
    <row r="140" spans="1:19" ht="85.5" x14ac:dyDescent="0.2">
      <c r="A140" s="10">
        <f>Lite!A142</f>
        <v>3489</v>
      </c>
      <c r="B140" s="10">
        <f>Lite!M142</f>
        <v>16</v>
      </c>
      <c r="C140" s="10" t="str">
        <f>Lite!K142</f>
        <v>V</v>
      </c>
      <c r="D140" s="10">
        <f>Lite!Y142</f>
        <v>1</v>
      </c>
      <c r="E140" s="10" t="str">
        <f>Lite!B142</f>
        <v>SL.122</v>
      </c>
      <c r="F140" s="10" t="str">
        <f>Lite!C142</f>
        <v>Is there a self-service portal or API call available to clients which provides the ability to place a "Legal hold" on client data which may be subject to a legal action, without impacting other clients data retention or destruction schedules?</v>
      </c>
      <c r="G140" s="10" t="str">
        <f>Lite!D142</f>
        <v>No</v>
      </c>
      <c r="H140" s="10">
        <f>Lite!E142</f>
        <v>0</v>
      </c>
      <c r="I140" s="10">
        <f>Lite!F142</f>
        <v>0</v>
      </c>
      <c r="J140" s="10" t="str">
        <f>Lite!G142</f>
        <v>P.6 Management of Client Target Privacy Data</v>
      </c>
      <c r="K140" s="10" t="str">
        <f>Lite!H142</f>
        <v>8.2.3, 11.1, 15.1.2, 18.1.2</v>
      </c>
      <c r="L140" s="10" t="str">
        <f>Lite!I142</f>
        <v>Handling of assets,
Secure areas,
Addressing security within supplier agreements, Intellectual property rights</v>
      </c>
      <c r="M140" s="10"/>
      <c r="N140" s="10"/>
      <c r="O140" s="10"/>
      <c r="P140" s="10">
        <v>7.1</v>
      </c>
      <c r="Q140" s="10"/>
      <c r="R140" s="10"/>
      <c r="S140" s="10" t="s">
        <v>1078</v>
      </c>
    </row>
    <row r="141" spans="1:19" ht="28.5" x14ac:dyDescent="0.2">
      <c r="A141" s="10">
        <f>Lite!A143</f>
        <v>3490</v>
      </c>
      <c r="B141" s="10">
        <f>Lite!M143</f>
        <v>16</v>
      </c>
      <c r="C141" s="10" t="str">
        <f>Lite!K143</f>
        <v>V</v>
      </c>
      <c r="D141" s="10">
        <f>Lite!Y143</f>
        <v>1</v>
      </c>
      <c r="E141" s="10" t="str">
        <f>Lite!B143</f>
        <v>SL.123</v>
      </c>
      <c r="F141" s="10" t="str">
        <f>Lite!C143</f>
        <v>Is a Cloud API available to clients?</v>
      </c>
      <c r="G141" s="10" t="str">
        <f>Lite!D143</f>
        <v>No</v>
      </c>
      <c r="H141" s="10">
        <f>Lite!E143</f>
        <v>0</v>
      </c>
      <c r="I141" s="10">
        <f>Lite!F143</f>
        <v>0</v>
      </c>
      <c r="J141" s="10" t="str">
        <f>Lite!G143</f>
        <v>H.3 Logical Access Authorization</v>
      </c>
      <c r="K141" s="10" t="str">
        <f>Lite!H143</f>
        <v>N/A</v>
      </c>
      <c r="L141" s="10">
        <f>Lite!I143</f>
        <v>0</v>
      </c>
      <c r="M141" s="10"/>
      <c r="N141" s="10"/>
      <c r="O141" s="10"/>
      <c r="P141" s="10" t="s">
        <v>89</v>
      </c>
      <c r="Q141" s="10"/>
      <c r="R141" s="10"/>
      <c r="S141" s="10" t="s">
        <v>1079</v>
      </c>
    </row>
    <row r="142" spans="1:19" ht="71.25" x14ac:dyDescent="0.2">
      <c r="A142" s="10">
        <f>Lite!A144</f>
        <v>3516</v>
      </c>
      <c r="B142" s="10">
        <f>Lite!M144</f>
        <v>16</v>
      </c>
      <c r="C142" s="10" t="str">
        <f>Lite!K144</f>
        <v>V</v>
      </c>
      <c r="D142" s="10">
        <f>Lite!Y144</f>
        <v>1</v>
      </c>
      <c r="E142" s="10" t="str">
        <f>Lite!B144</f>
        <v>SL.124</v>
      </c>
      <c r="F142" s="10" t="str">
        <f>Lite!C144</f>
        <v>Is there a client management portal which allows distributed business accounts (business units/departments) to be managed under a single central corporate account?</v>
      </c>
      <c r="G142" s="10" t="str">
        <f>Lite!D144</f>
        <v>No</v>
      </c>
      <c r="H142" s="10">
        <f>Lite!E144</f>
        <v>0</v>
      </c>
      <c r="I142" s="10">
        <f>Lite!F144</f>
        <v>0</v>
      </c>
      <c r="J142" s="10">
        <f>Lite!G144</f>
        <v>0</v>
      </c>
      <c r="K142" s="10" t="str">
        <f>Lite!H144</f>
        <v>12.1.2, 14.2.2</v>
      </c>
      <c r="L142" s="10" t="str">
        <f>Lite!I144</f>
        <v>Change Management, System change control procedures</v>
      </c>
      <c r="M142" s="10"/>
      <c r="N142" s="10"/>
      <c r="O142" s="10"/>
      <c r="P142" s="10" t="s">
        <v>1080</v>
      </c>
      <c r="Q142" s="10"/>
      <c r="R142" s="10"/>
      <c r="S142" s="10" t="s">
        <v>1081</v>
      </c>
    </row>
    <row r="143" spans="1:19" ht="71.25" x14ac:dyDescent="0.2">
      <c r="A143" s="10">
        <f>Lite!A145</f>
        <v>3538</v>
      </c>
      <c r="B143" s="10">
        <f>Lite!M145</f>
        <v>16</v>
      </c>
      <c r="C143" s="10" t="str">
        <f>Lite!K145</f>
        <v>V</v>
      </c>
      <c r="D143" s="10">
        <f>Lite!Y145</f>
        <v>1</v>
      </c>
      <c r="E143" s="10" t="str">
        <f>Lite!B145</f>
        <v>SL.125</v>
      </c>
      <c r="F143" s="10" t="str">
        <f>Lite!C145</f>
        <v>Are staff required to use two factor authentication to remotely access the production cloud environment containing Scoped Data?</v>
      </c>
      <c r="G143" s="10" t="str">
        <f>Lite!D145</f>
        <v>No</v>
      </c>
      <c r="H143" s="10">
        <f>Lite!E145</f>
        <v>0</v>
      </c>
      <c r="I143" s="10">
        <f>Lite!F145</f>
        <v>0</v>
      </c>
      <c r="J143" s="10" t="str">
        <f>Lite!G145</f>
        <v>I.6 Application Security Vulnerability Assessments and Remediation</v>
      </c>
      <c r="K143" s="10" t="str">
        <f>Lite!H145</f>
        <v>9.3.1, 9.4.2, 9.4.3</v>
      </c>
      <c r="L143" s="10" t="str">
        <f>Lite!I145</f>
        <v>Use of secret authentication information, Secure log-on procedures, Password management system</v>
      </c>
      <c r="M143" s="10"/>
      <c r="N143" s="10"/>
      <c r="O143" s="10"/>
      <c r="P143" s="10" t="s">
        <v>89</v>
      </c>
      <c r="Q143" s="10"/>
      <c r="R143" s="10"/>
      <c r="S143" s="10" t="s">
        <v>1082</v>
      </c>
    </row>
    <row r="144" spans="1:19" ht="114" x14ac:dyDescent="0.2">
      <c r="A144" s="10">
        <f>Lite!A146</f>
        <v>3548</v>
      </c>
      <c r="B144" s="10">
        <f>Lite!M146</f>
        <v>16</v>
      </c>
      <c r="C144" s="10" t="str">
        <f>Lite!K146</f>
        <v>V</v>
      </c>
      <c r="D144" s="10">
        <f>Lite!Y146</f>
        <v>1</v>
      </c>
      <c r="E144" s="10" t="str">
        <f>Lite!B146</f>
        <v>SL.126</v>
      </c>
      <c r="F144" s="10" t="str">
        <f>Lite!C146</f>
        <v>Are staff able to access client Scoped Data in an unencrypted state?</v>
      </c>
      <c r="G144" s="10" t="str">
        <f>Lite!D146</f>
        <v>No</v>
      </c>
      <c r="H144" s="10">
        <f>Lite!E146</f>
        <v>0</v>
      </c>
      <c r="I144" s="10" t="str">
        <f>Lite!F146</f>
        <v>The URL and traffic is always encrypted using SSL. Once authenticated, providers from your facility are able to see previous visits for the site (in clear form). The answer "No" was answered in context of site access.</v>
      </c>
      <c r="J144" s="10" t="str">
        <f>Lite!G146</f>
        <v>H.3 Logical Access Authorization</v>
      </c>
      <c r="K144" s="10" t="str">
        <f>Lite!H146</f>
        <v>9.4.1</v>
      </c>
      <c r="L144" s="10" t="str">
        <f>Lite!I146</f>
        <v>Information access restriction</v>
      </c>
      <c r="M144" s="10"/>
      <c r="N144" s="10"/>
      <c r="O144" s="10"/>
      <c r="P144" s="10" t="s">
        <v>89</v>
      </c>
      <c r="Q144" s="10"/>
      <c r="R144" s="10"/>
      <c r="S144" s="10" t="s">
        <v>1083</v>
      </c>
    </row>
    <row r="145" spans="1:19" ht="28.5" x14ac:dyDescent="0.2">
      <c r="A145" s="10">
        <f>Lite!A147</f>
        <v>3549</v>
      </c>
      <c r="B145" s="10">
        <f>Lite!M147</f>
        <v>16</v>
      </c>
      <c r="C145" s="10" t="str">
        <f>Lite!K147</f>
        <v>V</v>
      </c>
      <c r="D145" s="10">
        <f>Lite!Y147</f>
        <v>1</v>
      </c>
      <c r="E145" s="10" t="str">
        <f>Lite!B147</f>
        <v>SL.127</v>
      </c>
      <c r="F145" s="10" t="str">
        <f>Lite!C147</f>
        <v>Are staff able to access client's encryption key?</v>
      </c>
      <c r="G145" s="10" t="str">
        <f>Lite!D147</f>
        <v>No</v>
      </c>
      <c r="H145" s="10">
        <f>Lite!E147</f>
        <v>0</v>
      </c>
      <c r="I145" s="10">
        <f>Lite!F147</f>
        <v>0</v>
      </c>
      <c r="J145" s="10" t="str">
        <f>Lite!G147</f>
        <v>H.3 Logical Access Authorization</v>
      </c>
      <c r="K145" s="10" t="str">
        <f>Lite!H147</f>
        <v>9.4.1</v>
      </c>
      <c r="L145" s="10" t="str">
        <f>Lite!I147</f>
        <v>Information access restriction</v>
      </c>
      <c r="M145" s="10"/>
      <c r="N145" s="10"/>
      <c r="O145" s="10"/>
      <c r="P145" s="10" t="s">
        <v>89</v>
      </c>
      <c r="Q145" s="10"/>
      <c r="R145" s="10"/>
      <c r="S145" s="10" t="s">
        <v>1083</v>
      </c>
    </row>
    <row r="146" spans="1:19" ht="57" x14ac:dyDescent="0.2">
      <c r="A146" s="10">
        <f>Lite!A148</f>
        <v>3554</v>
      </c>
      <c r="B146" s="10">
        <f>Lite!M148</f>
        <v>16</v>
      </c>
      <c r="C146" s="10" t="str">
        <f>Lite!K148</f>
        <v>V</v>
      </c>
      <c r="D146" s="10">
        <f>Lite!Y148</f>
        <v>1</v>
      </c>
      <c r="E146" s="10" t="str">
        <f>Lite!B148</f>
        <v>SL.128</v>
      </c>
      <c r="F146" s="10" t="str">
        <f>Lite!C148</f>
        <v>Is there a process which allows the client to specifically list who from the cloud provider, will have access to their Scoped Systems and Data? If yes, describe.</v>
      </c>
      <c r="G146" s="10" t="str">
        <f>Lite!D148</f>
        <v>No</v>
      </c>
      <c r="H146" s="10">
        <f>Lite!E148</f>
        <v>0</v>
      </c>
      <c r="I146" s="10">
        <f>Lite!F148</f>
        <v>0</v>
      </c>
      <c r="J146" s="10" t="str">
        <f>Lite!G148</f>
        <v>H.3 Logical Access Authorization</v>
      </c>
      <c r="K146" s="10" t="str">
        <f>Lite!H148</f>
        <v>9.1.1, 9.4.1</v>
      </c>
      <c r="L146" s="10" t="str">
        <f>Lite!I148</f>
        <v xml:space="preserve">	Access Control Policy
Information access restriction</v>
      </c>
      <c r="M146" s="10"/>
      <c r="N146" s="10"/>
      <c r="O146" s="10"/>
      <c r="P146" s="10" t="s">
        <v>89</v>
      </c>
      <c r="Q146" s="10"/>
      <c r="R146" s="10"/>
      <c r="S146" s="10" t="s">
        <v>1084</v>
      </c>
    </row>
    <row r="147" spans="1:19" ht="42.75" x14ac:dyDescent="0.2">
      <c r="A147" s="10">
        <f>Lite!A149</f>
        <v>3558</v>
      </c>
      <c r="B147" s="10">
        <f>Lite!M149</f>
        <v>16</v>
      </c>
      <c r="C147" s="10" t="str">
        <f>Lite!K149</f>
        <v>V</v>
      </c>
      <c r="D147" s="10">
        <f>Lite!Y149</f>
        <v>1</v>
      </c>
      <c r="E147" s="10" t="str">
        <f>Lite!B149</f>
        <v>SL.129</v>
      </c>
      <c r="F147" s="10" t="str">
        <f>Lite!C149</f>
        <v xml:space="preserve">Are staff technically prevented from accessing the cloud environment via non-managed private devices? </v>
      </c>
      <c r="G147" s="10" t="str">
        <f>Lite!D149</f>
        <v>Yes</v>
      </c>
      <c r="H147" s="10">
        <f>Lite!E149</f>
        <v>0</v>
      </c>
      <c r="I147" s="10">
        <f>Lite!F149</f>
        <v>0</v>
      </c>
      <c r="J147" s="10" t="str">
        <f>Lite!G149</f>
        <v>H.3 Logical Access Authorization</v>
      </c>
      <c r="K147" s="10" t="str">
        <f>Lite!H149</f>
        <v>9.1.1, 9.4.1</v>
      </c>
      <c r="L147" s="10" t="str">
        <f>Lite!I149</f>
        <v xml:space="preserve">	Access Control Policy
Information access restriction</v>
      </c>
      <c r="M147" s="10"/>
      <c r="N147" s="10"/>
      <c r="O147" s="10"/>
      <c r="P147" s="10" t="s">
        <v>89</v>
      </c>
      <c r="Q147" s="10"/>
      <c r="R147" s="10"/>
      <c r="S147" s="10" t="s">
        <v>1084</v>
      </c>
    </row>
    <row r="148" spans="1:19" ht="171" x14ac:dyDescent="0.2">
      <c r="A148" s="10">
        <f>Lite!A150</f>
        <v>3563</v>
      </c>
      <c r="B148" s="10">
        <f>Lite!M150</f>
        <v>16</v>
      </c>
      <c r="C148" s="10" t="str">
        <f>Lite!K150</f>
        <v>V</v>
      </c>
      <c r="D148" s="10">
        <f>Lite!Y150</f>
        <v>1</v>
      </c>
      <c r="E148" s="10" t="str">
        <f>Lite!B150</f>
        <v>SL.130</v>
      </c>
      <c r="F148" s="10" t="str">
        <f>Lite!C150</f>
        <v>Are there controls to prevent one client attempting to compromise another client in a resource pooled environment? If yes, describe.</v>
      </c>
      <c r="G148" s="10" t="str">
        <f>Lite!D150</f>
        <v>Yes</v>
      </c>
      <c r="H148" s="10">
        <f>Lite!E150</f>
        <v>0</v>
      </c>
      <c r="I148" s="10" t="str">
        <f>Lite!F150</f>
        <v>Each user account is associated to a facility/organization to which they have access. A fundamental design of the software does not allow the same user to access data not associated to their pre-configured facility as well as seggregate any other data not part of the facility they are associated with</v>
      </c>
      <c r="J148" s="10" t="str">
        <f>Lite!G150</f>
        <v>H.3 Logical Access Authorization</v>
      </c>
      <c r="K148" s="10" t="str">
        <f>Lite!H150</f>
        <v>9.1.1, 9.4.1</v>
      </c>
      <c r="L148" s="10" t="str">
        <f>Lite!I150</f>
        <v xml:space="preserve">	Access Control Policy
Information access restriction</v>
      </c>
      <c r="M148" s="10"/>
      <c r="N148" s="10"/>
      <c r="O148" s="10"/>
      <c r="P148" s="10" t="s">
        <v>89</v>
      </c>
      <c r="Q148" s="10"/>
      <c r="R148" s="10"/>
      <c r="S148" s="10" t="s">
        <v>1053</v>
      </c>
    </row>
    <row r="149" spans="1:19" ht="28.5" x14ac:dyDescent="0.2">
      <c r="A149" s="10">
        <f>Lite!A151</f>
        <v>3568</v>
      </c>
      <c r="B149" s="10">
        <f>Lite!M151</f>
        <v>16</v>
      </c>
      <c r="C149" s="10" t="str">
        <f>Lite!K151</f>
        <v>V</v>
      </c>
      <c r="D149" s="10">
        <f>Lite!Y151</f>
        <v>1</v>
      </c>
      <c r="E149" s="10" t="str">
        <f>Lite!B151</f>
        <v>SL.131</v>
      </c>
      <c r="F149" s="10" t="str">
        <f>Lite!C151</f>
        <v>Is a default hardened base virtual image available to clients?</v>
      </c>
      <c r="G149" s="10" t="str">
        <f>Lite!D151</f>
        <v>No</v>
      </c>
      <c r="H149" s="10">
        <f>Lite!E151</f>
        <v>0</v>
      </c>
      <c r="I149" s="10">
        <f>Lite!F151</f>
        <v>0</v>
      </c>
      <c r="J149" s="10" t="str">
        <f>Lite!G151</f>
        <v>I.3 Secure Systems Hardening Standards</v>
      </c>
      <c r="K149" s="10" t="str">
        <f>Lite!H151</f>
        <v>N/A</v>
      </c>
      <c r="L149" s="10">
        <f>Lite!I151</f>
        <v>0</v>
      </c>
      <c r="M149" s="10"/>
      <c r="N149" s="10"/>
      <c r="O149" s="10"/>
      <c r="P149" s="10" t="s">
        <v>89</v>
      </c>
      <c r="Q149" s="10"/>
      <c r="R149" s="10"/>
      <c r="S149" s="10"/>
    </row>
    <row r="150" spans="1:19" ht="71.25" x14ac:dyDescent="0.2">
      <c r="A150" s="10">
        <f>Lite!A152</f>
        <v>3590</v>
      </c>
      <c r="B150" s="10">
        <f>Lite!M152</f>
        <v>16</v>
      </c>
      <c r="C150" s="10" t="str">
        <f>Lite!K152</f>
        <v>V</v>
      </c>
      <c r="D150" s="10">
        <f>Lite!Y152</f>
        <v>1</v>
      </c>
      <c r="E150" s="10" t="str">
        <f>Lite!B152</f>
        <v>SL.132</v>
      </c>
      <c r="F150" s="10" t="str">
        <f>Lite!C152</f>
        <v>Can clients run their own security services within their own cloud environment? If yes, describe.</v>
      </c>
      <c r="G150" s="10" t="str">
        <f>Lite!D152</f>
        <v>No</v>
      </c>
      <c r="H150" s="10">
        <f>Lite!E152</f>
        <v>0</v>
      </c>
      <c r="I150" s="10">
        <f>Lite!F152</f>
        <v>0</v>
      </c>
      <c r="J150" s="10" t="str">
        <f>Lite!G152</f>
        <v>V.3 Cloud Audit Program</v>
      </c>
      <c r="K150" s="10" t="str">
        <f>Lite!H152</f>
        <v>8.2.3, 11.1, 15.1.2, 18.1.2</v>
      </c>
      <c r="L150" s="10" t="str">
        <f>Lite!I152</f>
        <v>Handling of assets,
Secure areas,
Addressing security within supplier agreements, Intellectual property rights</v>
      </c>
      <c r="M150" s="10"/>
      <c r="N150" s="10"/>
      <c r="O150" s="10"/>
      <c r="P150" s="10" t="s">
        <v>89</v>
      </c>
      <c r="Q150" s="10"/>
      <c r="R150" s="10"/>
      <c r="S150" s="10"/>
    </row>
    <row r="151" spans="1:19" ht="42.75" x14ac:dyDescent="0.2">
      <c r="A151" s="10">
        <f>Lite!A153</f>
        <v>3602</v>
      </c>
      <c r="B151" s="10">
        <f>Lite!M153</f>
        <v>16</v>
      </c>
      <c r="C151" s="10" t="str">
        <f>Lite!K153</f>
        <v>V</v>
      </c>
      <c r="D151" s="10">
        <f>Lite!Y153</f>
        <v>1</v>
      </c>
      <c r="E151" s="10" t="str">
        <f>Lite!B153</f>
        <v>SL.133</v>
      </c>
      <c r="F151" s="10" t="str">
        <f>Lite!C153</f>
        <v>Is there a specific Recovery Time Objective(s) (RTO)? If yes, specify the RTO for the scoped services.</v>
      </c>
      <c r="G151" s="10" t="str">
        <f>Lite!D153</f>
        <v>No</v>
      </c>
      <c r="H151" s="10">
        <f>Lite!E153</f>
        <v>0</v>
      </c>
      <c r="I151" s="10">
        <f>Lite!F153</f>
        <v>0</v>
      </c>
      <c r="J151" s="10" t="str">
        <f>Lite!G153</f>
        <v>N/A</v>
      </c>
      <c r="K151" s="10">
        <f>Lite!H153</f>
        <v>17.100000000000001</v>
      </c>
      <c r="L151" s="10" t="str">
        <f>Lite!I153</f>
        <v>Information security continuity</v>
      </c>
      <c r="M151" s="10"/>
      <c r="N151" s="10"/>
      <c r="O151" s="10"/>
      <c r="P151" s="10" t="s">
        <v>89</v>
      </c>
      <c r="Q151" s="10"/>
      <c r="R151" s="10"/>
      <c r="S151" s="10" t="s">
        <v>1085</v>
      </c>
    </row>
    <row r="152" spans="1:19" ht="42.75" x14ac:dyDescent="0.2">
      <c r="A152" s="10">
        <f>Lite!A154</f>
        <v>3623</v>
      </c>
      <c r="B152" s="10">
        <f>Lite!M154</f>
        <v>16</v>
      </c>
      <c r="C152" s="10" t="str">
        <f>Lite!K154</f>
        <v>V</v>
      </c>
      <c r="D152" s="10">
        <f>Lite!Y154</f>
        <v>1</v>
      </c>
      <c r="E152" s="10" t="str">
        <f>Lite!B154</f>
        <v>SL.134</v>
      </c>
      <c r="F152" s="10" t="str">
        <f>Lite!C154</f>
        <v>Are the failover sites for the underlying infrastructure running on different vendor physical systems?</v>
      </c>
      <c r="G152" s="10" t="str">
        <f>Lite!D154</f>
        <v>No</v>
      </c>
      <c r="H152" s="10">
        <f>Lite!E154</f>
        <v>0</v>
      </c>
      <c r="I152" s="10">
        <f>Lite!F154</f>
        <v>0</v>
      </c>
      <c r="J152" s="10" t="str">
        <f>Lite!G154</f>
        <v>N/A</v>
      </c>
      <c r="K152" s="10">
        <f>Lite!H154</f>
        <v>17.100000000000001</v>
      </c>
      <c r="L152" s="10" t="str">
        <f>Lite!I154</f>
        <v>Information security continuity</v>
      </c>
      <c r="M152" s="10"/>
      <c r="N152" s="10"/>
      <c r="O152" s="10"/>
      <c r="P152" s="10"/>
      <c r="Q152" s="10"/>
      <c r="R152" s="10"/>
      <c r="S152" s="10"/>
    </row>
    <row r="153" spans="1:19" ht="28.5" x14ac:dyDescent="0.2">
      <c r="A153" s="10">
        <f>Lite!A155</f>
        <v>3624</v>
      </c>
      <c r="B153" s="10">
        <f>Lite!M155</f>
        <v>16</v>
      </c>
      <c r="C153" s="10" t="str">
        <f>Lite!K155</f>
        <v>V</v>
      </c>
      <c r="D153" s="10">
        <f>Lite!Y155</f>
        <v>1</v>
      </c>
      <c r="E153" s="10" t="str">
        <f>Lite!B155</f>
        <v>SL.135</v>
      </c>
      <c r="F153" s="10" t="str">
        <f>Lite!C155</f>
        <v>Is the critical infrastructure running active/active at two or more sites?</v>
      </c>
      <c r="G153" s="10" t="str">
        <f>Lite!D155</f>
        <v>No</v>
      </c>
      <c r="H153" s="10">
        <f>Lite!E155</f>
        <v>0</v>
      </c>
      <c r="I153" s="10">
        <f>Lite!F155</f>
        <v>0</v>
      </c>
      <c r="J153" s="10" t="str">
        <f>Lite!G155</f>
        <v>N/A</v>
      </c>
      <c r="K153" s="10">
        <f>Lite!H155</f>
        <v>17.100000000000001</v>
      </c>
      <c r="L153" s="10" t="str">
        <f>Lite!I155</f>
        <v>Information security continuity</v>
      </c>
      <c r="M153" s="10"/>
      <c r="N153" s="10"/>
      <c r="O153" s="10"/>
      <c r="P153" s="10"/>
      <c r="Q153" s="10"/>
      <c r="R153" s="10"/>
      <c r="S153" s="10"/>
    </row>
    <row r="154" spans="1:19" ht="42.75" x14ac:dyDescent="0.2">
      <c r="A154" s="10">
        <f>Lite!A156</f>
        <v>3625</v>
      </c>
      <c r="B154" s="10">
        <f>Lite!M156</f>
        <v>16</v>
      </c>
      <c r="C154" s="10" t="str">
        <f>Lite!K156</f>
        <v>V</v>
      </c>
      <c r="D154" s="10">
        <f>Lite!Y156</f>
        <v>1</v>
      </c>
      <c r="E154" s="10" t="str">
        <f>Lite!B156</f>
        <v>SL.136</v>
      </c>
      <c r="F154" s="10" t="str">
        <f>Lite!C156</f>
        <v>Are sites failed over as part of normal operation or as part of a test? If yes, what is the frequency?</v>
      </c>
      <c r="G154" s="10" t="str">
        <f>Lite!D156</f>
        <v>No</v>
      </c>
      <c r="H154" s="10">
        <f>Lite!E156</f>
        <v>0</v>
      </c>
      <c r="I154" s="10">
        <f>Lite!F156</f>
        <v>0</v>
      </c>
      <c r="J154" s="10" t="str">
        <f>Lite!G156</f>
        <v>N/A</v>
      </c>
      <c r="K154" s="10">
        <f>Lite!H156</f>
        <v>17.100000000000001</v>
      </c>
      <c r="L154" s="10" t="str">
        <f>Lite!I156</f>
        <v>Information security continuity</v>
      </c>
      <c r="M154" s="10"/>
      <c r="N154" s="10"/>
      <c r="O154" s="10"/>
      <c r="P154" s="10"/>
      <c r="Q154" s="10"/>
      <c r="R154" s="10"/>
      <c r="S154" s="10"/>
    </row>
    <row r="155" spans="1:19" ht="42.75" x14ac:dyDescent="0.2">
      <c r="A155" s="10">
        <f>Lite!A157</f>
        <v>3632</v>
      </c>
      <c r="B155" s="10">
        <f>Lite!M157</f>
        <v>16</v>
      </c>
      <c r="C155" s="10" t="str">
        <f>Lite!K157</f>
        <v>V</v>
      </c>
      <c r="D155" s="10">
        <f>Lite!Y157</f>
        <v>1</v>
      </c>
      <c r="E155" s="10" t="str">
        <f>Lite!B157</f>
        <v>SL.137</v>
      </c>
      <c r="F155" s="10" t="str">
        <f>Lite!C157</f>
        <v>Are all suppliers of critical hardware, network services and facility services involved in annual continuity and recovery tests?</v>
      </c>
      <c r="G155" s="10" t="str">
        <f>Lite!D157</f>
        <v>Yes</v>
      </c>
      <c r="H155" s="10">
        <f>Lite!E157</f>
        <v>0</v>
      </c>
      <c r="I155" s="10">
        <f>Lite!F157</f>
        <v>0</v>
      </c>
      <c r="J155" s="10" t="str">
        <f>Lite!G157</f>
        <v>N/A</v>
      </c>
      <c r="K155" s="10">
        <f>Lite!H157</f>
        <v>17.100000000000001</v>
      </c>
      <c r="L155" s="10" t="str">
        <f>Lite!I157</f>
        <v>Information security continuity</v>
      </c>
      <c r="M155" s="10"/>
      <c r="N155" s="10"/>
      <c r="O155" s="10"/>
      <c r="P155" s="10"/>
      <c r="Q155" s="10"/>
      <c r="R155" s="10"/>
      <c r="S155" s="10"/>
    </row>
    <row r="156" spans="1:19" ht="42.75" x14ac:dyDescent="0.2">
      <c r="A156" s="10">
        <f>Lite!A158</f>
        <v>3634</v>
      </c>
      <c r="B156" s="10">
        <f>Lite!M158</f>
        <v>16</v>
      </c>
      <c r="C156" s="10" t="str">
        <f>Lite!K158</f>
        <v>V</v>
      </c>
      <c r="D156" s="10">
        <f>Lite!Y158</f>
        <v>1</v>
      </c>
      <c r="E156" s="10" t="str">
        <f>Lite!B158</f>
        <v>SL.138</v>
      </c>
      <c r="F156" s="10" t="str">
        <f>Lite!C158</f>
        <v>Are all critical technology service providers described on an architecture diagram that includes physical systems and facilities?</v>
      </c>
      <c r="G156" s="10" t="str">
        <f>Lite!D158</f>
        <v>No</v>
      </c>
      <c r="H156" s="10">
        <f>Lite!E158</f>
        <v>0</v>
      </c>
      <c r="I156" s="10">
        <f>Lite!F158</f>
        <v>0</v>
      </c>
      <c r="J156" s="10" t="str">
        <f>Lite!G158</f>
        <v>N/A</v>
      </c>
      <c r="K156" s="10">
        <f>Lite!H158</f>
        <v>17.100000000000001</v>
      </c>
      <c r="L156" s="10" t="str">
        <f>Lite!I158</f>
        <v>Information security continuity</v>
      </c>
      <c r="M156" s="10"/>
      <c r="N156" s="10"/>
      <c r="O156" s="10"/>
      <c r="P156" s="10"/>
      <c r="Q156" s="10"/>
      <c r="R156" s="10"/>
      <c r="S156" s="10"/>
    </row>
    <row r="157" spans="1:19" ht="57" x14ac:dyDescent="0.2">
      <c r="A157" s="10">
        <f>Lite!A159</f>
        <v>3638</v>
      </c>
      <c r="B157" s="10">
        <f>Lite!M159</f>
        <v>16</v>
      </c>
      <c r="C157" s="10" t="str">
        <f>Lite!K159</f>
        <v>V</v>
      </c>
      <c r="D157" s="10">
        <f>Lite!Y159</f>
        <v>1</v>
      </c>
      <c r="E157" s="10" t="str">
        <f>Lite!B159</f>
        <v>SL.139</v>
      </c>
      <c r="F157" s="10" t="str">
        <f>Lite!C159</f>
        <v>Is there sufficient redundancy capacity to ensure services are not impacted in multi-tenancy environments during peak usage and above?</v>
      </c>
      <c r="G157" s="10" t="str">
        <f>Lite!D159</f>
        <v>No</v>
      </c>
      <c r="H157" s="10">
        <f>Lite!E159</f>
        <v>0</v>
      </c>
      <c r="I157" s="10" t="str">
        <f>Lite!F159</f>
        <v>Not being a critical system, the described advanced capabilities were not part of the offering</v>
      </c>
      <c r="J157" s="10" t="str">
        <f>Lite!G159</f>
        <v>N/A</v>
      </c>
      <c r="K157" s="10">
        <f>Lite!H159</f>
        <v>17.2</v>
      </c>
      <c r="L157" s="10" t="str">
        <f>Lite!I159</f>
        <v>Redundancies</v>
      </c>
      <c r="M157" s="10"/>
      <c r="N157" s="10"/>
      <c r="O157" s="10"/>
      <c r="P157" s="10"/>
      <c r="Q157" s="10"/>
      <c r="R157" s="10"/>
      <c r="S157" s="10"/>
    </row>
    <row r="158" spans="1:19" ht="57" x14ac:dyDescent="0.2">
      <c r="A158" s="10">
        <f>Lite!A160</f>
        <v>3639</v>
      </c>
      <c r="B158" s="10">
        <f>Lite!M160</f>
        <v>16</v>
      </c>
      <c r="C158" s="10" t="str">
        <f>Lite!K160</f>
        <v>V</v>
      </c>
      <c r="D158" s="10">
        <f>Lite!Y160</f>
        <v>1</v>
      </c>
      <c r="E158" s="10" t="str">
        <f>Lite!B160</f>
        <v>SL.140</v>
      </c>
      <c r="F158" s="10" t="str">
        <f>Lite!C160</f>
        <v xml:space="preserve">Do contracts include a penalty or remediation clause for breach of availability and continuity SLAs? </v>
      </c>
      <c r="G158" s="10" t="str">
        <f>Lite!D160</f>
        <v>No</v>
      </c>
      <c r="H158" s="10">
        <f>Lite!E160</f>
        <v>0</v>
      </c>
      <c r="I158" s="10">
        <f>Lite!F160</f>
        <v>0</v>
      </c>
      <c r="J158" s="10" t="str">
        <f>Lite!G160</f>
        <v>N/A</v>
      </c>
      <c r="K158" s="10" t="str">
        <f>Lite!H160</f>
        <v>15.1.2, 15.2.1</v>
      </c>
      <c r="L158" s="10" t="str">
        <f>Lite!I160</f>
        <v>Addressing security within supplier agreements, Monitoring and review of supplier services</v>
      </c>
      <c r="M158" s="10"/>
      <c r="N158" s="10"/>
      <c r="O158" s="10"/>
      <c r="P158" s="10"/>
      <c r="Q158" s="10"/>
      <c r="R158" s="10"/>
      <c r="S158" s="10"/>
    </row>
    <row r="159" spans="1:19" ht="71.25" x14ac:dyDescent="0.2">
      <c r="A159" s="10">
        <f>Lite!A161</f>
        <v>3649</v>
      </c>
      <c r="B159" s="10">
        <f>Lite!M161</f>
        <v>16</v>
      </c>
      <c r="C159" s="10" t="str">
        <f>Lite!K161</f>
        <v>V</v>
      </c>
      <c r="D159" s="10">
        <f>Lite!Y161</f>
        <v>1</v>
      </c>
      <c r="E159" s="10" t="str">
        <f>Lite!B161</f>
        <v>SL.141</v>
      </c>
      <c r="F159" s="10" t="str">
        <f>Lite!C161</f>
        <v>Is a Hypervisor used to manage systems used to transmit, process or store Scoped Data? If yes, describe the controls used to protect the hypervisor and the managed Guest Operating Systems.</v>
      </c>
      <c r="G159" s="10" t="str">
        <f>Lite!D161</f>
        <v>No</v>
      </c>
      <c r="H159" s="10">
        <f>Lite!E161</f>
        <v>0</v>
      </c>
      <c r="I159" s="10">
        <f>Lite!F161</f>
        <v>0</v>
      </c>
      <c r="J159" s="10" t="str">
        <f>Lite!G161</f>
        <v>V.4 Security Review of Hypervisor Configuration</v>
      </c>
      <c r="K159" s="10" t="str">
        <f>Lite!H161</f>
        <v>N/A</v>
      </c>
      <c r="L159" s="10">
        <f>Lite!I161</f>
        <v>0</v>
      </c>
      <c r="M159" s="10"/>
      <c r="N159" s="10"/>
      <c r="O159" s="10"/>
      <c r="P159" s="10"/>
      <c r="Q159" s="10"/>
      <c r="R159" s="10"/>
      <c r="S159" s="10"/>
    </row>
    <row r="160" spans="1:19" ht="15" x14ac:dyDescent="0.25">
      <c r="A160" s="10">
        <f>Lite!A162</f>
        <v>0</v>
      </c>
      <c r="B160" s="10">
        <f>Lite!M162</f>
        <v>0</v>
      </c>
      <c r="C160" s="10">
        <f>Lite!K162</f>
        <v>0</v>
      </c>
      <c r="D160" s="10">
        <f>Lite!Y162</f>
        <v>0</v>
      </c>
      <c r="E160" s="10">
        <f>Lite!B162</f>
        <v>0</v>
      </c>
      <c r="F160" s="10">
        <f>Lite!C162</f>
        <v>0</v>
      </c>
      <c r="G160" s="10">
        <f>Lite!D162</f>
        <v>0</v>
      </c>
      <c r="H160" s="10">
        <f>Lite!E162</f>
        <v>0</v>
      </c>
      <c r="I160" s="10">
        <f>Lite!F162</f>
        <v>0</v>
      </c>
      <c r="J160" s="10">
        <f>Lite!G162</f>
        <v>0</v>
      </c>
      <c r="K160" s="10">
        <f>Lite!H162</f>
        <v>0</v>
      </c>
      <c r="L160" s="10">
        <f>Lite!I162</f>
        <v>0</v>
      </c>
      <c r="M160" s="10"/>
      <c r="N160" s="10"/>
      <c r="O160" s="10"/>
      <c r="P160" s="10"/>
      <c r="Q160" s="10"/>
      <c r="R160" s="10"/>
      <c r="S160" s="10"/>
    </row>
  </sheetData>
  <sheetProtection algorithmName="SHA-512" hashValue="GIAPZQzt+9ypzauUJDAzrSOkzI9/X6Wp1IYRCcNKdY1rli1gyw4CJzwI4acXLcLF7pbYJelgq7Wr2qERjUgybw==" saltValue="vqX3jRVjIIUyaYQs0ZOBJw==" spinCount="100000" sheet="1" objects="1" scenarios="1"/>
  <mergeCells count="1">
    <mergeCell ref="K1:L1"/>
  </mergeCells>
  <conditionalFormatting sqref="A2:A160">
    <cfRule type="expression" dxfId="6" priority="2" stopIfTrue="1">
      <formula>COUNTIF(A:A,A2)&gt;1</formula>
    </cfRule>
  </conditionalFormatting>
  <conditionalFormatting sqref="B3:S160">
    <cfRule type="expression" dxfId="5" priority="1">
      <formula>$A3 = 0</formula>
    </cfRule>
  </conditionalFormatting>
  <dataValidations count="2">
    <dataValidation type="list" allowBlank="1" showInputMessage="1" showErrorMessage="1" promptTitle="Select Yes, No or N/A" prompt="If N/A is chosen an explanation MUST be provided in the Additional Information cell." sqref="D2" xr:uid="{00000000-0002-0000-0A00-000000000000}">
      <formula1>Binary</formula1>
    </dataValidation>
    <dataValidation allowBlank="1" showErrorMessage="1" promptTitle="Select Yes, No or N/A" prompt="If N/A is chosen an explanation MUST be provided in the Additional Information cell." sqref="D3:D160" xr:uid="{00000000-0002-0000-0A00-000001000000}"/>
  </dataValidations>
  <pageMargins left="0.7" right="0.7" top="0.75" bottom="0.75" header="0.3" footer="0.3"/>
  <pageSetup scale="37" fitToHeight="0" orientation="landscape" r:id="rId1"/>
  <headerFooter>
    <oddHeader>&amp;LShared Assessments Program&amp;CStandardized Information Gathering (SIG) Questionnaire&amp;R&amp;R Version 2016</oddHeader>
    <oddFooter>&amp;L&amp;A&amp;CPage &amp;P of &amp;N Page(s)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9"/>
  <dimension ref="A1:G8"/>
  <sheetViews>
    <sheetView workbookViewId="0">
      <selection activeCell="H23" sqref="H23"/>
    </sheetView>
  </sheetViews>
  <sheetFormatPr defaultRowHeight="12.75" x14ac:dyDescent="0.2"/>
  <sheetData>
    <row r="1" spans="1:7" ht="14.25" x14ac:dyDescent="0.2">
      <c r="A1" t="s">
        <v>106</v>
      </c>
      <c r="B1" t="s">
        <v>1086</v>
      </c>
      <c r="C1" t="s">
        <v>1087</v>
      </c>
      <c r="D1" t="s">
        <v>920</v>
      </c>
      <c r="E1" s="120"/>
      <c r="F1" s="120"/>
      <c r="G1" s="120"/>
    </row>
    <row r="2" spans="1:7" x14ac:dyDescent="0.2">
      <c r="C2" t="s">
        <v>188</v>
      </c>
      <c r="E2" t="s">
        <v>1088</v>
      </c>
      <c r="F2" t="s">
        <v>1089</v>
      </c>
      <c r="G2" t="s">
        <v>1090</v>
      </c>
    </row>
    <row r="3" spans="1:7" x14ac:dyDescent="0.2">
      <c r="A3" t="s">
        <v>93</v>
      </c>
      <c r="B3">
        <v>1</v>
      </c>
      <c r="C3" t="s">
        <v>1091</v>
      </c>
      <c r="D3" t="s">
        <v>920</v>
      </c>
    </row>
    <row r="4" spans="1:7" x14ac:dyDescent="0.2">
      <c r="A4" t="s">
        <v>96</v>
      </c>
      <c r="B4">
        <v>2</v>
      </c>
    </row>
    <row r="5" spans="1:7" x14ac:dyDescent="0.2">
      <c r="A5" t="s">
        <v>89</v>
      </c>
      <c r="B5">
        <v>3</v>
      </c>
    </row>
    <row r="6" spans="1:7" x14ac:dyDescent="0.2">
      <c r="B6">
        <v>4</v>
      </c>
    </row>
    <row r="7" spans="1:7" x14ac:dyDescent="0.2">
      <c r="B7">
        <v>5</v>
      </c>
    </row>
    <row r="8" spans="1:7" x14ac:dyDescent="0.2">
      <c r="B8" t="s">
        <v>89</v>
      </c>
    </row>
  </sheetData>
  <conditionalFormatting sqref="E1">
    <cfRule type="expression" dxfId="4" priority="5">
      <formula>$AJ1&lt;&gt;""</formula>
    </cfRule>
  </conditionalFormatting>
  <conditionalFormatting sqref="F1">
    <cfRule type="expression" dxfId="3" priority="4" stopIfTrue="1">
      <formula>$K1&gt;0</formula>
    </cfRule>
  </conditionalFormatting>
  <conditionalFormatting sqref="F1">
    <cfRule type="expression" dxfId="2" priority="3">
      <formula>$AD1&lt;&gt;""</formula>
    </cfRule>
  </conditionalFormatting>
  <conditionalFormatting sqref="G1">
    <cfRule type="expression" dxfId="1" priority="2" stopIfTrue="1">
      <formula>$M1&gt;0</formula>
    </cfRule>
  </conditionalFormatting>
  <conditionalFormatting sqref="G1">
    <cfRule type="expression" dxfId="0" priority="1">
      <formula>$AF1&lt;&gt;""</formula>
    </cfRule>
  </conditionalFormatting>
  <dataValidations count="1">
    <dataValidation type="list" allowBlank="1" showInputMessage="1" showErrorMessage="1" promptTitle="Select 1 - 5" prompt="1 - Informal, ad hoc process without formal implementation_x000a_2 - Partially in place with no approved plans to further implement_x000a_3 - Partially in place with approved plans to further implement_x000a_4 - In place with exclusions_x000a_5 - In place with no exclusions" sqref="E1:G1" xr:uid="{00000000-0002-0000-0B00-000000000000}">
      <formula1>ScaledLarge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CDateModified xmlns="http://schemas.microsoft.com/sharepoint/v3/fields" xsi:nil="true"/>
    <_Status xmlns="http://schemas.microsoft.com/sharepoint/v3/fields">Not Started</_Status>
    <_Revision xmlns="http://schemas.microsoft.com/sharepoint/v3/fields" xsi:nil="true"/>
    <lcf76f155ced4ddcb4097134ff3c332f xmlns="e6c7cf81-12fe-425f-a5c0-d82f8a821745">
      <Terms xmlns="http://schemas.microsoft.com/office/infopath/2007/PartnerControls"/>
    </lcf76f155ced4ddcb4097134ff3c332f>
    <TaxCatchAll xmlns="7cc12636-eeb3-4ff6-886f-4dcac8dddb7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004842037BA44F801E7D78EFF2BDA7" ma:contentTypeVersion="26" ma:contentTypeDescription="Create a new document." ma:contentTypeScope="" ma:versionID="b327aa5cbb4463b86ddd3c0134a48b24">
  <xsd:schema xmlns:xsd="http://www.w3.org/2001/XMLSchema" xmlns:xs="http://www.w3.org/2001/XMLSchema" xmlns:p="http://schemas.microsoft.com/office/2006/metadata/properties" xmlns:ns2="http://schemas.microsoft.com/sharepoint/v3/fields" xmlns:ns3="e6c7cf81-12fe-425f-a5c0-d82f8a821745" xmlns:ns4="7cc12636-eeb3-4ff6-886f-4dcac8dddb7e" targetNamespace="http://schemas.microsoft.com/office/2006/metadata/properties" ma:root="true" ma:fieldsID="10316a474f1fa08fc83a6fea57267d65" ns2:_="" ns3:_="" ns4:_="">
    <xsd:import namespace="http://schemas.microsoft.com/sharepoint/v3/fields"/>
    <xsd:import namespace="e6c7cf81-12fe-425f-a5c0-d82f8a821745"/>
    <xsd:import namespace="7cc12636-eeb3-4ff6-886f-4dcac8dddb7e"/>
    <xsd:element name="properties">
      <xsd:complexType>
        <xsd:sequence>
          <xsd:element name="documentManagement">
            <xsd:complexType>
              <xsd:all>
                <xsd:element ref="ns2:_DCDateModified" minOccurs="0"/>
                <xsd:element ref="ns2:_Revision" minOccurs="0"/>
                <xsd:element ref="ns2:_Status" minOccurs="0"/>
                <xsd:element ref="ns3:MediaServiceMetadata" minOccurs="0"/>
                <xsd:element ref="ns3:MediaServiceFastMetadata" minOccurs="0"/>
                <xsd:element ref="ns4:SharedWithUsers" minOccurs="0"/>
                <xsd:element ref="ns4:SharedWithDetails" minOccurs="0"/>
                <xsd:element ref="ns3:MediaServiceObjectDetectorVersions" minOccurs="0"/>
                <xsd:element ref="ns3:MediaServiceSearchProperties" minOccurs="0"/>
                <xsd:element ref="ns3:lcf76f155ced4ddcb4097134ff3c332f" minOccurs="0"/>
                <xsd:element ref="ns4:TaxCatchAll" minOccurs="0"/>
                <xsd:element ref="ns3:MediaServiceDateTake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4" nillable="true" ma:displayName="Date Modified" ma:description="The date on which this resource was last modified" ma:format="DateTime" ma:internalName="_DCDateModified" ma:readOnly="false">
      <xsd:simpleType>
        <xsd:restriction base="dms:DateTime"/>
      </xsd:simpleType>
    </xsd:element>
    <xsd:element name="_Revision" ma:index="5" nillable="true" ma:displayName="Revision" ma:internalName="_Revision" ma:readOnly="false">
      <xsd:simpleType>
        <xsd:restriction base="dms:Text"/>
      </xsd:simpleType>
    </xsd:element>
    <xsd:element name="_Status" ma:index="6" nillable="true" ma:displayName="Status" ma:default="Not Started" ma:format="Dropdown" ma:internalName="_Status" ma:readOnly="false">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e6c7cf81-12fe-425f-a5c0-d82f8a821745" elementFormDefault="qualified">
    <xsd:import namespace="http://schemas.microsoft.com/office/2006/documentManagement/types"/>
    <xsd:import namespace="http://schemas.microsoft.com/office/infopath/2007/PartnerControls"/>
    <xsd:element name="MediaServiceMetadata" ma:index="7" nillable="true" ma:displayName="MediaServiceMetadata" ma:hidden="true" ma:internalName="MediaServiceMetadata" ma:readOnly="true">
      <xsd:simpleType>
        <xsd:restriction base="dms:Note"/>
      </xsd:simpleType>
    </xsd:element>
    <xsd:element name="MediaServiceFastMetadata" ma:index="8"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description="" ma:hidden="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842dfc5-13bc-413d-b12b-68dbd3cc3f9e"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cc12636-eeb3-4ff6-886f-4dcac8dddb7e" elementFormDefault="qualified">
    <xsd:import namespace="http://schemas.microsoft.com/office/2006/documentManagement/types"/>
    <xsd:import namespace="http://schemas.microsoft.com/office/infopath/2007/PartnerControls"/>
    <xsd:element name="SharedWithUsers" ma:index="9"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7fd4f1ad-bd9d-462a-9fe8-ad08d59a845e}" ma:internalName="TaxCatchAll" ma:showField="CatchAllData" ma:web="7cc12636-eeb3-4ff6-886f-4dcac8dd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1"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FFB1D1C6-ADC5-4ABD-B265-9E976C6AA6BB}">
  <ds:schemaRefs>
    <ds:schemaRef ds:uri="63a6c59b-4122-478b-aef6-4fc0178e5f33"/>
    <ds:schemaRef ds:uri="http://purl.org/dc/dcmitype/"/>
    <ds:schemaRef ds:uri="http://schemas.microsoft.com/office/2006/documentManagement/types"/>
    <ds:schemaRef ds:uri="http://schemas.microsoft.com/office/infopath/2007/PartnerControls"/>
    <ds:schemaRef ds:uri="http://purl.org/dc/elements/1.1/"/>
    <ds:schemaRef ds:uri="http://schemas.microsoft.com/office/2006/metadata/properties"/>
    <ds:schemaRef ds:uri="14c339db-4fcb-4cbd-8633-1201a6f0e19b"/>
    <ds:schemaRef ds:uri="http://purl.org/dc/terms/"/>
    <ds:schemaRef ds:uri="http://schemas.openxmlformats.org/package/2006/metadata/core-properties"/>
    <ds:schemaRef ds:uri="http://schemas.microsoft.com/sharepoint/v3/fields"/>
    <ds:schemaRef ds:uri="http://www.w3.org/XML/1998/namespace"/>
  </ds:schemaRefs>
</ds:datastoreItem>
</file>

<file path=customXml/itemProps2.xml><?xml version="1.0" encoding="utf-8"?>
<ds:datastoreItem xmlns:ds="http://schemas.openxmlformats.org/officeDocument/2006/customXml" ds:itemID="{71204498-2AA2-4D80-B2A6-085158FB0E8D}"/>
</file>

<file path=customXml/itemProps3.xml><?xml version="1.0" encoding="utf-8"?>
<ds:datastoreItem xmlns:ds="http://schemas.openxmlformats.org/officeDocument/2006/customXml" ds:itemID="{2C39C75B-9940-4DC9-9C18-FD76B569EADB}">
  <ds:schemaRefs>
    <ds:schemaRef ds:uri="http://schemas.microsoft.com/sharepoint/v3/contenttype/forms"/>
  </ds:schemaRefs>
</ds:datastoreItem>
</file>

<file path=customXml/itemProps4.xml><?xml version="1.0" encoding="utf-8"?>
<ds:datastoreItem xmlns:ds="http://schemas.openxmlformats.org/officeDocument/2006/customXml" ds:itemID="{27B22077-1BDF-4A20-8890-DA20972FF13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Copyright</vt:lpstr>
      <vt:lpstr>Terms of Use</vt:lpstr>
      <vt:lpstr>Instructions</vt:lpstr>
      <vt:lpstr>Dashboard</vt:lpstr>
      <vt:lpstr>Business Information</vt:lpstr>
      <vt:lpstr>Documentation</vt:lpstr>
      <vt:lpstr>Lite</vt:lpstr>
      <vt:lpstr>Z. Additional Questions</vt:lpstr>
      <vt:lpstr>Glossary</vt:lpstr>
      <vt:lpstr>Formula Notes</vt:lpstr>
      <vt:lpstr>Full Lite</vt:lpstr>
      <vt:lpstr>Drops</vt:lpstr>
      <vt:lpstr>Binary</vt:lpstr>
      <vt:lpstr>BusInfoArray</vt:lpstr>
      <vt:lpstr>CloudMatCell</vt:lpstr>
      <vt:lpstr>DetailMatCell</vt:lpstr>
      <vt:lpstr>L1Responses</vt:lpstr>
      <vt:lpstr>L2_Array</vt:lpstr>
      <vt:lpstr>LiteMatCell</vt:lpstr>
      <vt:lpstr>Master</vt:lpstr>
      <vt:lpstr>MasterDrop</vt:lpstr>
      <vt:lpstr>'Business Information'!Print_Area</vt:lpstr>
      <vt:lpstr>Dashboard!Print_Area</vt:lpstr>
      <vt:lpstr>Documentation!Print_Area</vt:lpstr>
      <vt:lpstr>'Formula Notes'!Print_Area</vt:lpstr>
      <vt:lpstr>'Full Lite'!Print_Area</vt:lpstr>
      <vt:lpstr>Glossary!Print_Area</vt:lpstr>
      <vt:lpstr>Lite!Print_Area</vt:lpstr>
      <vt:lpstr>'Terms of Use'!Print_Area</vt:lpstr>
      <vt:lpstr>'Z. Additional Questions'!Print_Area</vt:lpstr>
      <vt:lpstr>'Full Lite'!Print_Titles</vt:lpstr>
      <vt:lpstr>Glossary!Print_Titles</vt:lpstr>
      <vt:lpstr>Lite!Print_Titles</vt:lpstr>
      <vt:lpstr>'Z. Additional Questions'!Print_Titles</vt:lpstr>
      <vt:lpstr>ResponseType</vt:lpstr>
      <vt:lpstr>ScaledLarge</vt:lpstr>
      <vt:lpstr>TabAuto</vt:lpstr>
      <vt:lpstr>VerText</vt:lpstr>
    </vt:vector>
  </TitlesOfParts>
  <Manager/>
  <Company>The Sante Fe Group and Shared Assessments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Standardized Information Gathering (SIG) Questionnaire</dc:title>
  <dc:subject>Version 2016</dc:subject>
  <dc:creator>Shared Assessments Program Technicial Developemnt Committee (TDC)</dc:creator>
  <cp:keywords/>
  <dc:description/>
  <cp:lastModifiedBy>Bruno Bendavid</cp:lastModifiedBy>
  <cp:revision/>
  <dcterms:created xsi:type="dcterms:W3CDTF">2006-05-23T16:55:53Z</dcterms:created>
  <dcterms:modified xsi:type="dcterms:W3CDTF">2019-09-23T13:01:43Z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0x010100EF004842037BA44F801E7D78EFF2BDA7</vt:lpwstr>
  </property>
  <property fmtid="{D5CDD505-2E9C-101B-9397-08002B2CF9AE}" pid="3" name="_dlc_DocIdItemGuid">
    <vt:lpwstr>a9c4e12f-4eb6-4aed-991c-5028bca23c56</vt:lpwstr>
  </property>
  <property fmtid="{D5CDD505-2E9C-101B-9397-08002B2CF9AE}" pid="4" name="Order">
    <vt:r8>27800</vt:r8>
  </property>
  <property fmtid="{D5CDD505-2E9C-101B-9397-08002B2CF9AE}" pid="5" name="_ExtendedDescription">
    <vt:lpwstr/>
  </property>
</Properties>
</file>