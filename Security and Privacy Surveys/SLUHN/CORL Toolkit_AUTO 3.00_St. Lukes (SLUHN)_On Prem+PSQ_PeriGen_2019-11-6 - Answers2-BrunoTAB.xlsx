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5.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updateLinks="always"/>
  <mc:AlternateContent xmlns:mc="http://schemas.openxmlformats.org/markup-compatibility/2006">
    <mc:Choice Requires="x15">
      <x15ac:absPath xmlns:x15ac="http://schemas.microsoft.com/office/spreadsheetml/2010/11/ac" url="C:\Users\BrunoBendavid\PeriGen\PeriGen Corporate Portal - RFPs &amp; Surveys\Security and Privacy Surveys\SLUHN\"/>
    </mc:Choice>
  </mc:AlternateContent>
  <xr:revisionPtr revIDLastSave="279" documentId="8_{A4B90D0D-3008-4650-8ED5-77B90E7FA999}" xr6:coauthVersionLast="41" xr6:coauthVersionMax="41" xr10:uidLastSave="{2D93B140-2004-48F9-96BE-686BF77E9B39}"/>
  <workbookProtection workbookAlgorithmName="SHA-512" workbookHashValue="Tuwr0Jy6e4hVS6iW+27dODrLqkWL2/FVaLN/HsxL5LPgEdz6eP78nO9gujW2SHer8/E7lt3xNVjh2Ud29zIMQg==" workbookSaltValue="4ybQk3jmMWPu5fi4L0NLTA==" workbookSpinCount="100000" lockStructure="1"/>
  <bookViews>
    <workbookView minimized="1" xWindow="0" yWindow="144" windowWidth="12600" windowHeight="11892" tabRatio="824" firstSheet="9" activeTab="9" xr2:uid="{00000000-000D-0000-FFFF-FFFF00000000}"/>
  </bookViews>
  <sheets>
    <sheet name="Cover Page" sheetId="47" r:id="rId1"/>
    <sheet name="Instructions" sheetId="4" r:id="rId2"/>
    <sheet name="Data Validation Key" sheetId="2" state="hidden" r:id="rId3"/>
    <sheet name="IRQ" sheetId="1" state="hidden" r:id="rId4"/>
    <sheet name="IVPQ" sheetId="6" state="hidden" r:id="rId5"/>
    <sheet name="Vendor Profile Questionnaire" sheetId="45" r:id="rId6"/>
    <sheet name="Scope" sheetId="46" r:id="rId7"/>
    <sheet name="Network_Architecture_Diagrams" sheetId="61" r:id="rId8"/>
    <sheet name="Connectivity Mapping" sheetId="62" r:id="rId9"/>
    <sheet name="Required Evidence" sheetId="3" r:id="rId10"/>
    <sheet name="Product Security Questionnaire" sheetId="63" r:id="rId11"/>
    <sheet name="1. Access Controls" sheetId="5" r:id="rId12"/>
    <sheet name="2. Awareness and Training" sheetId="7" r:id="rId13"/>
    <sheet name="3. Audit and Accountability" sheetId="8" r:id="rId14"/>
    <sheet name="5. Configuration" sheetId="48" r:id="rId15"/>
    <sheet name="7. Authentication&amp;Authorization" sheetId="50" r:id="rId16"/>
    <sheet name="8. Incident Response" sheetId="51" r:id="rId17"/>
    <sheet name="9. Maintenance" sheetId="52" r:id="rId18"/>
    <sheet name="13. Personnel Security" sheetId="56" r:id="rId19"/>
    <sheet name="15. System Acquisition" sheetId="58" r:id="rId20"/>
    <sheet name="16. System Data Protection" sheetId="59" r:id="rId21"/>
    <sheet name="17. System Data Integrity" sheetId="60" r:id="rId22"/>
    <sheet name="Override Control Env1" sheetId="23" state="hidden" r:id="rId23"/>
    <sheet name="Override Control Env2" sheetId="28" state="hidden" r:id="rId24"/>
    <sheet name="Override Control Env3" sheetId="29" state="hidden" r:id="rId25"/>
    <sheet name="Grading" sheetId="24" state="hidden" r:id="rId26"/>
    <sheet name="Distribution Env1" sheetId="25" state="hidden" r:id="rId27"/>
    <sheet name="Distribution Env2" sheetId="32" state="hidden" r:id="rId28"/>
    <sheet name="Distribution Env3" sheetId="33" state="hidden" r:id="rId29"/>
    <sheet name="Inadequacy Distribution Env1" sheetId="27" state="hidden" r:id="rId30"/>
    <sheet name="Inadequacy Distribution Env2" sheetId="37" state="hidden" r:id="rId31"/>
    <sheet name="Inadequacy Distribution Env3" sheetId="38" state="hidden" r:id="rId32"/>
    <sheet name="Adequacy Distribution Env1" sheetId="26" state="hidden" r:id="rId33"/>
    <sheet name="Adequacy Distribution Env2" sheetId="41" state="hidden" r:id="rId34"/>
    <sheet name="Adequacy Distribution Env3" sheetId="42" state="hidden" r:id="rId35"/>
  </sheets>
  <externalReferences>
    <externalReference r:id="rId36"/>
    <externalReference r:id="rId37"/>
  </externalReferences>
  <definedNames>
    <definedName name="CORL">[1]Sheet1!$A$1:$A$2</definedName>
    <definedName name="Risk">[2]Sheet2!$A$3:$A$7</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7" i="29" l="1"/>
  <c r="I6" i="29"/>
  <c r="H6" i="29"/>
  <c r="G6" i="29"/>
  <c r="J5" i="29"/>
  <c r="I5" i="29"/>
  <c r="H5" i="29"/>
  <c r="G5" i="29"/>
  <c r="J4" i="29"/>
  <c r="I4" i="29"/>
  <c r="H4" i="29"/>
  <c r="G4" i="29"/>
  <c r="F4" i="29"/>
  <c r="J3" i="29"/>
  <c r="I3" i="29"/>
  <c r="H3" i="29"/>
  <c r="G3" i="29"/>
  <c r="F3" i="29"/>
  <c r="I7" i="28"/>
  <c r="I6" i="28"/>
  <c r="H6" i="28"/>
  <c r="G6" i="28"/>
  <c r="J5" i="28"/>
  <c r="I5" i="28"/>
  <c r="H5" i="28"/>
  <c r="G5" i="28"/>
  <c r="J4" i="28"/>
  <c r="I4" i="28"/>
  <c r="H4" i="28"/>
  <c r="G4" i="28"/>
  <c r="F4" i="28"/>
  <c r="J3" i="28"/>
  <c r="I3" i="28"/>
  <c r="H3" i="28"/>
  <c r="G3" i="28"/>
  <c r="F3" i="28"/>
  <c r="I7" i="23"/>
  <c r="I6" i="23"/>
  <c r="H6" i="23"/>
  <c r="G6" i="23"/>
  <c r="J5" i="23"/>
  <c r="I5" i="23"/>
  <c r="H5" i="23"/>
  <c r="G5" i="23"/>
  <c r="J4" i="23"/>
  <c r="I4" i="23"/>
  <c r="H4" i="23"/>
  <c r="G4" i="23"/>
  <c r="F4" i="23"/>
  <c r="J3" i="23"/>
  <c r="I3" i="23"/>
  <c r="H3" i="23"/>
  <c r="G3" i="23"/>
  <c r="F3" i="23"/>
  <c r="K1" i="60"/>
  <c r="J1" i="60"/>
  <c r="I1" i="60"/>
  <c r="H1" i="60"/>
  <c r="G1" i="60"/>
  <c r="F1" i="60"/>
  <c r="K1" i="59"/>
  <c r="J1" i="59"/>
  <c r="I1" i="59"/>
  <c r="H1" i="59"/>
  <c r="G1" i="59"/>
  <c r="F1" i="59"/>
  <c r="K1" i="58"/>
  <c r="J1" i="58"/>
  <c r="I1" i="58"/>
  <c r="H1" i="58"/>
  <c r="G1" i="58"/>
  <c r="F1" i="58"/>
  <c r="K1" i="56"/>
  <c r="J1" i="56"/>
  <c r="I1" i="56"/>
  <c r="H1" i="56"/>
  <c r="G1" i="56"/>
  <c r="F1" i="56"/>
  <c r="K1" i="52"/>
  <c r="J1" i="52"/>
  <c r="I1" i="52"/>
  <c r="H1" i="52"/>
  <c r="G1" i="52"/>
  <c r="F1" i="52"/>
  <c r="K1" i="51"/>
  <c r="J1" i="51"/>
  <c r="I1" i="51"/>
  <c r="H1" i="51"/>
  <c r="G1" i="51"/>
  <c r="F1" i="51"/>
  <c r="K1" i="50"/>
  <c r="J1" i="50"/>
  <c r="I1" i="50"/>
  <c r="H1" i="50"/>
  <c r="G1" i="50"/>
  <c r="F1" i="50"/>
  <c r="K1" i="48"/>
  <c r="J1" i="48"/>
  <c r="I1" i="48"/>
  <c r="H1" i="48"/>
  <c r="G1" i="48"/>
  <c r="F1" i="48"/>
  <c r="K1" i="8"/>
  <c r="J1" i="8"/>
  <c r="I1" i="8"/>
  <c r="H1" i="8"/>
  <c r="G1" i="8"/>
  <c r="F1" i="8"/>
  <c r="K1" i="7"/>
  <c r="J1" i="7"/>
  <c r="I1" i="7"/>
  <c r="H1" i="7"/>
  <c r="G1" i="7"/>
  <c r="F1" i="7"/>
  <c r="K1" i="5"/>
  <c r="J1" i="5"/>
  <c r="I1" i="5"/>
  <c r="H1" i="5"/>
  <c r="G1" i="5"/>
  <c r="F1" i="5"/>
  <c r="R57" i="28"/>
  <c r="R58" i="28"/>
  <c r="R57" i="29"/>
  <c r="R58" i="29"/>
  <c r="I57" i="29"/>
  <c r="I58" i="29"/>
  <c r="O58" i="29"/>
  <c r="H57" i="29"/>
  <c r="P57" i="29"/>
  <c r="H58" i="29"/>
  <c r="P58" i="29"/>
  <c r="I57" i="28"/>
  <c r="I58" i="28"/>
  <c r="J58" i="28"/>
  <c r="L58" i="28"/>
  <c r="Q58" i="28"/>
  <c r="H57" i="28"/>
  <c r="P57" i="28"/>
  <c r="H58" i="28"/>
  <c r="P58" i="28"/>
  <c r="C58" i="29"/>
  <c r="S58" i="29"/>
  <c r="C57" i="29"/>
  <c r="S57" i="29"/>
  <c r="C58" i="28"/>
  <c r="S58" i="28"/>
  <c r="C57" i="28"/>
  <c r="S57" i="28"/>
  <c r="R57" i="23"/>
  <c r="R58" i="23"/>
  <c r="I57" i="23"/>
  <c r="I58" i="23"/>
  <c r="H57" i="23"/>
  <c r="P57" i="23"/>
  <c r="H58" i="23"/>
  <c r="P58" i="23"/>
  <c r="C58" i="23"/>
  <c r="S58" i="23"/>
  <c r="C57" i="23"/>
  <c r="S57" i="23"/>
  <c r="J58" i="29"/>
  <c r="L58" i="29"/>
  <c r="A37" i="24"/>
  <c r="A19" i="24"/>
  <c r="A1" i="24"/>
  <c r="I102" i="29"/>
  <c r="I126" i="29"/>
  <c r="I127" i="29"/>
  <c r="O127" i="29"/>
  <c r="I128" i="29"/>
  <c r="O128" i="29"/>
  <c r="H126" i="29"/>
  <c r="H127" i="29"/>
  <c r="P127" i="29"/>
  <c r="H128" i="29"/>
  <c r="P128" i="29"/>
  <c r="I125" i="29"/>
  <c r="H125" i="29"/>
  <c r="P125" i="29"/>
  <c r="I113" i="29"/>
  <c r="O113" i="29"/>
  <c r="I114" i="29"/>
  <c r="J114" i="29"/>
  <c r="L114" i="29"/>
  <c r="I115" i="29"/>
  <c r="J115" i="29"/>
  <c r="I116" i="29"/>
  <c r="I117" i="29"/>
  <c r="O117" i="29"/>
  <c r="I118" i="29"/>
  <c r="I119" i="29"/>
  <c r="I120" i="29"/>
  <c r="I121" i="29"/>
  <c r="I122" i="29"/>
  <c r="O122" i="29"/>
  <c r="I123" i="29"/>
  <c r="I124" i="29"/>
  <c r="H113" i="29"/>
  <c r="P113" i="29"/>
  <c r="H114" i="29"/>
  <c r="P114" i="29"/>
  <c r="H115" i="29"/>
  <c r="P115" i="29"/>
  <c r="H116" i="29"/>
  <c r="P116" i="29"/>
  <c r="H117" i="29"/>
  <c r="P117" i="29"/>
  <c r="H118" i="29"/>
  <c r="P118" i="29"/>
  <c r="H119" i="29"/>
  <c r="P119" i="29"/>
  <c r="H120" i="29"/>
  <c r="P120" i="29"/>
  <c r="H121" i="29"/>
  <c r="P121" i="29"/>
  <c r="H122" i="29"/>
  <c r="P122" i="29"/>
  <c r="H123" i="29"/>
  <c r="P123" i="29"/>
  <c r="H124" i="29"/>
  <c r="P124" i="29"/>
  <c r="I112" i="29"/>
  <c r="H112" i="29"/>
  <c r="P112" i="29"/>
  <c r="I104" i="29"/>
  <c r="I105" i="29"/>
  <c r="J105" i="29"/>
  <c r="L105" i="29"/>
  <c r="I106" i="29"/>
  <c r="I107" i="29"/>
  <c r="J107" i="29"/>
  <c r="L107" i="29"/>
  <c r="I108" i="29"/>
  <c r="O108" i="29"/>
  <c r="I109" i="29"/>
  <c r="I110" i="29"/>
  <c r="J110" i="29"/>
  <c r="L110" i="29"/>
  <c r="I111" i="29"/>
  <c r="O111" i="29"/>
  <c r="H104" i="29"/>
  <c r="H105" i="29"/>
  <c r="P105" i="29"/>
  <c r="H106" i="29"/>
  <c r="P106" i="29"/>
  <c r="H107" i="29"/>
  <c r="P107" i="29"/>
  <c r="H108" i="29"/>
  <c r="P108" i="29"/>
  <c r="H109" i="29"/>
  <c r="P109" i="29"/>
  <c r="H110" i="29"/>
  <c r="P110" i="29"/>
  <c r="H111" i="29"/>
  <c r="P111" i="29"/>
  <c r="I103" i="29"/>
  <c r="H103" i="29"/>
  <c r="C68" i="33"/>
  <c r="I93" i="29"/>
  <c r="I94" i="29"/>
  <c r="I95" i="29"/>
  <c r="I96" i="29"/>
  <c r="O96" i="29"/>
  <c r="I97" i="29"/>
  <c r="O97" i="29"/>
  <c r="I98" i="29"/>
  <c r="I99" i="29"/>
  <c r="I100" i="29"/>
  <c r="O100" i="29"/>
  <c r="I101" i="29"/>
  <c r="O101" i="29"/>
  <c r="H93" i="29"/>
  <c r="H94" i="29"/>
  <c r="H95" i="29"/>
  <c r="P95" i="29"/>
  <c r="H96" i="29"/>
  <c r="P96" i="29"/>
  <c r="H97" i="29"/>
  <c r="H98" i="29"/>
  <c r="H99" i="29"/>
  <c r="P99" i="29"/>
  <c r="H100" i="29"/>
  <c r="P100" i="29"/>
  <c r="H101" i="29"/>
  <c r="H102" i="29"/>
  <c r="I92" i="29"/>
  <c r="J92" i="29"/>
  <c r="H92" i="29"/>
  <c r="P92" i="29"/>
  <c r="C60" i="33"/>
  <c r="I83" i="29"/>
  <c r="I84" i="29"/>
  <c r="J84" i="29"/>
  <c r="I85" i="29"/>
  <c r="O85" i="29"/>
  <c r="I86" i="29"/>
  <c r="I87" i="29"/>
  <c r="I88" i="29"/>
  <c r="O88" i="29"/>
  <c r="I89" i="29"/>
  <c r="O89" i="29"/>
  <c r="I90" i="29"/>
  <c r="I91" i="29"/>
  <c r="H83" i="29"/>
  <c r="P83" i="29"/>
  <c r="H84" i="29"/>
  <c r="P84" i="29"/>
  <c r="H85" i="29"/>
  <c r="H86" i="29"/>
  <c r="P86" i="29"/>
  <c r="H87" i="29"/>
  <c r="P87" i="29"/>
  <c r="H88" i="29"/>
  <c r="P88" i="29"/>
  <c r="H89" i="29"/>
  <c r="H90" i="29"/>
  <c r="P90" i="29"/>
  <c r="H91" i="29"/>
  <c r="P91" i="29"/>
  <c r="I82" i="29"/>
  <c r="H82" i="29"/>
  <c r="I72" i="29"/>
  <c r="I73" i="29"/>
  <c r="J73" i="29"/>
  <c r="L73" i="29"/>
  <c r="Q73" i="29"/>
  <c r="I74" i="29"/>
  <c r="J74" i="29"/>
  <c r="I75" i="29"/>
  <c r="I76" i="29"/>
  <c r="I77" i="29"/>
  <c r="J77" i="29"/>
  <c r="L77" i="29"/>
  <c r="Q77" i="29"/>
  <c r="T77" i="29"/>
  <c r="I78" i="29"/>
  <c r="O78" i="29"/>
  <c r="I79" i="29"/>
  <c r="I80" i="29"/>
  <c r="J80" i="29"/>
  <c r="I81" i="29"/>
  <c r="H72" i="29"/>
  <c r="P72" i="29"/>
  <c r="H73" i="29"/>
  <c r="H74" i="29"/>
  <c r="P74" i="29"/>
  <c r="H75" i="29"/>
  <c r="P75" i="29"/>
  <c r="H76" i="29"/>
  <c r="P76" i="29"/>
  <c r="H77" i="29"/>
  <c r="P77" i="29"/>
  <c r="H78" i="29"/>
  <c r="P78" i="29"/>
  <c r="H79" i="29"/>
  <c r="P79" i="29"/>
  <c r="H80" i="29"/>
  <c r="P80" i="29"/>
  <c r="H81" i="29"/>
  <c r="P81" i="29"/>
  <c r="I71" i="29"/>
  <c r="H71" i="29"/>
  <c r="P71" i="29"/>
  <c r="I60" i="29"/>
  <c r="I61" i="29"/>
  <c r="I62" i="29"/>
  <c r="O62" i="29"/>
  <c r="I63" i="29"/>
  <c r="O63" i="29"/>
  <c r="I64" i="29"/>
  <c r="J64" i="29"/>
  <c r="I65" i="29"/>
  <c r="O65" i="29"/>
  <c r="I66" i="29"/>
  <c r="J66" i="29"/>
  <c r="L66" i="29"/>
  <c r="I67" i="29"/>
  <c r="I68" i="29"/>
  <c r="J68" i="29"/>
  <c r="L68" i="29"/>
  <c r="I69" i="29"/>
  <c r="J69" i="29"/>
  <c r="L69" i="29"/>
  <c r="I70" i="29"/>
  <c r="J70" i="29"/>
  <c r="L70" i="29"/>
  <c r="H60" i="29"/>
  <c r="P60" i="29"/>
  <c r="H61" i="29"/>
  <c r="P61" i="29"/>
  <c r="H62" i="29"/>
  <c r="P62" i="29"/>
  <c r="H63" i="29"/>
  <c r="H64" i="29"/>
  <c r="P64" i="29"/>
  <c r="H65" i="29"/>
  <c r="P65" i="29"/>
  <c r="H66" i="29"/>
  <c r="P66" i="29"/>
  <c r="H67" i="29"/>
  <c r="P67" i="29"/>
  <c r="H68" i="29"/>
  <c r="P68" i="29"/>
  <c r="H69" i="29"/>
  <c r="P69" i="29"/>
  <c r="H70" i="29"/>
  <c r="P70" i="29"/>
  <c r="I59" i="29"/>
  <c r="H59" i="29"/>
  <c r="P59" i="29"/>
  <c r="I35" i="29"/>
  <c r="J35" i="29"/>
  <c r="L35" i="29"/>
  <c r="Q35" i="29"/>
  <c r="T35" i="29"/>
  <c r="I36" i="29"/>
  <c r="J36" i="29"/>
  <c r="L36" i="29"/>
  <c r="Q36" i="29"/>
  <c r="I37" i="29"/>
  <c r="I38" i="29"/>
  <c r="J38" i="29"/>
  <c r="I39" i="29"/>
  <c r="J39" i="29"/>
  <c r="L39" i="29"/>
  <c r="Q39" i="29"/>
  <c r="T39" i="29"/>
  <c r="I40" i="29"/>
  <c r="J40" i="29"/>
  <c r="L40" i="29"/>
  <c r="N40" i="29"/>
  <c r="I41" i="29"/>
  <c r="I42" i="29"/>
  <c r="J42" i="29"/>
  <c r="L42" i="29"/>
  <c r="I43" i="29"/>
  <c r="J43" i="29"/>
  <c r="I44" i="29"/>
  <c r="I45" i="29"/>
  <c r="I46" i="29"/>
  <c r="J46" i="29"/>
  <c r="L46" i="29"/>
  <c r="I47" i="29"/>
  <c r="J47" i="29"/>
  <c r="L47" i="29"/>
  <c r="I48" i="29"/>
  <c r="O48" i="29"/>
  <c r="I49" i="29"/>
  <c r="I50" i="29"/>
  <c r="J50" i="29"/>
  <c r="I51" i="29"/>
  <c r="J51" i="29"/>
  <c r="I52" i="29"/>
  <c r="I53" i="29"/>
  <c r="I54" i="29"/>
  <c r="J54" i="29"/>
  <c r="L54" i="29"/>
  <c r="I55" i="29"/>
  <c r="O55" i="29"/>
  <c r="I56" i="29"/>
  <c r="O56" i="29"/>
  <c r="H35" i="29"/>
  <c r="P35" i="29"/>
  <c r="H36" i="29"/>
  <c r="P36" i="29"/>
  <c r="H37" i="29"/>
  <c r="P37" i="29"/>
  <c r="H38" i="29"/>
  <c r="P38" i="29"/>
  <c r="H39" i="29"/>
  <c r="H40" i="29"/>
  <c r="P40" i="29"/>
  <c r="H41" i="29"/>
  <c r="P41" i="29"/>
  <c r="H42" i="29"/>
  <c r="P42" i="29"/>
  <c r="H43" i="29"/>
  <c r="H44" i="29"/>
  <c r="P44" i="29"/>
  <c r="H45" i="29"/>
  <c r="P45" i="29"/>
  <c r="H46" i="29"/>
  <c r="P46" i="29"/>
  <c r="H47" i="29"/>
  <c r="H48" i="29"/>
  <c r="P48" i="29"/>
  <c r="H49" i="29"/>
  <c r="P49" i="29"/>
  <c r="H50" i="29"/>
  <c r="P50" i="29"/>
  <c r="H51" i="29"/>
  <c r="H52" i="29"/>
  <c r="P52" i="29"/>
  <c r="H53" i="29"/>
  <c r="P53" i="29"/>
  <c r="H54" i="29"/>
  <c r="P54" i="29"/>
  <c r="H55" i="29"/>
  <c r="P55" i="29"/>
  <c r="H56" i="29"/>
  <c r="P56" i="29"/>
  <c r="I34" i="29"/>
  <c r="J34" i="29"/>
  <c r="H34" i="29"/>
  <c r="P34" i="29"/>
  <c r="R54" i="29"/>
  <c r="R55" i="29"/>
  <c r="R56" i="29"/>
  <c r="C56" i="29"/>
  <c r="S56" i="29"/>
  <c r="C55" i="29"/>
  <c r="S55" i="29"/>
  <c r="C54" i="29"/>
  <c r="S54" i="29"/>
  <c r="R11" i="29"/>
  <c r="R12" i="29"/>
  <c r="I11" i="29"/>
  <c r="I12" i="29"/>
  <c r="O12" i="29"/>
  <c r="H11" i="29"/>
  <c r="P11" i="29"/>
  <c r="H12" i="29"/>
  <c r="P12" i="29"/>
  <c r="C12" i="29"/>
  <c r="S12" i="29"/>
  <c r="C11" i="29"/>
  <c r="S11" i="29"/>
  <c r="R54" i="28"/>
  <c r="R55" i="28"/>
  <c r="R56" i="28"/>
  <c r="R11" i="28"/>
  <c r="R12" i="28"/>
  <c r="I126" i="28"/>
  <c r="I127" i="28"/>
  <c r="J127" i="28"/>
  <c r="L127" i="28"/>
  <c r="I128" i="28"/>
  <c r="H126" i="28"/>
  <c r="P126" i="28"/>
  <c r="H127" i="28"/>
  <c r="H128" i="28"/>
  <c r="P128" i="28"/>
  <c r="I113" i="28"/>
  <c r="J113" i="28"/>
  <c r="I114" i="28"/>
  <c r="J114" i="28"/>
  <c r="L114" i="28"/>
  <c r="Q114" i="28"/>
  <c r="I115" i="28"/>
  <c r="I116" i="28"/>
  <c r="O116" i="28"/>
  <c r="I117" i="28"/>
  <c r="I118" i="28"/>
  <c r="O118" i="28"/>
  <c r="I119" i="28"/>
  <c r="O119" i="28"/>
  <c r="I120" i="28"/>
  <c r="I121" i="28"/>
  <c r="J121" i="28"/>
  <c r="I122" i="28"/>
  <c r="J122" i="28"/>
  <c r="L122" i="28"/>
  <c r="Q122" i="28"/>
  <c r="I123" i="28"/>
  <c r="O123" i="28"/>
  <c r="I124" i="28"/>
  <c r="J124" i="28"/>
  <c r="H113" i="28"/>
  <c r="P113" i="28"/>
  <c r="H114" i="28"/>
  <c r="P114" i="28"/>
  <c r="H115" i="28"/>
  <c r="P115" i="28"/>
  <c r="H116" i="28"/>
  <c r="P116" i="28"/>
  <c r="H117" i="28"/>
  <c r="P117" i="28"/>
  <c r="H118" i="28"/>
  <c r="P118" i="28"/>
  <c r="H119" i="28"/>
  <c r="H120" i="28"/>
  <c r="P120" i="28"/>
  <c r="H121" i="28"/>
  <c r="P121" i="28"/>
  <c r="H122" i="28"/>
  <c r="P122" i="28"/>
  <c r="H123" i="28"/>
  <c r="P123" i="28"/>
  <c r="H124" i="28"/>
  <c r="P124" i="28"/>
  <c r="R54" i="23"/>
  <c r="R55" i="23"/>
  <c r="R56" i="23"/>
  <c r="R11" i="23"/>
  <c r="R12" i="23"/>
  <c r="I104" i="28"/>
  <c r="J104" i="28"/>
  <c r="L104" i="28"/>
  <c r="I105" i="28"/>
  <c r="I106" i="28"/>
  <c r="J106" i="28"/>
  <c r="L106" i="28"/>
  <c r="Q106" i="28"/>
  <c r="T106" i="28"/>
  <c r="I107" i="28"/>
  <c r="O107" i="28"/>
  <c r="I108" i="28"/>
  <c r="O108" i="28"/>
  <c r="I109" i="28"/>
  <c r="I110" i="28"/>
  <c r="J110" i="28"/>
  <c r="L110" i="28"/>
  <c r="I111" i="28"/>
  <c r="O111" i="28"/>
  <c r="H104" i="28"/>
  <c r="P104" i="28"/>
  <c r="H105" i="28"/>
  <c r="P105" i="28"/>
  <c r="H106" i="28"/>
  <c r="P106" i="28"/>
  <c r="H107" i="28"/>
  <c r="H108" i="28"/>
  <c r="P108" i="28"/>
  <c r="H109" i="28"/>
  <c r="H110" i="28"/>
  <c r="P110" i="28"/>
  <c r="H111" i="28"/>
  <c r="P111" i="28"/>
  <c r="I93" i="28"/>
  <c r="O93" i="28"/>
  <c r="I94" i="28"/>
  <c r="I95" i="28"/>
  <c r="J95" i="28"/>
  <c r="L95" i="28"/>
  <c r="Q95" i="28"/>
  <c r="I96" i="28"/>
  <c r="J96" i="28"/>
  <c r="L96" i="28"/>
  <c r="I97" i="28"/>
  <c r="O97" i="28"/>
  <c r="I98" i="28"/>
  <c r="O98" i="28"/>
  <c r="I99" i="28"/>
  <c r="I100" i="28"/>
  <c r="I101" i="28"/>
  <c r="J101" i="28"/>
  <c r="L101" i="28"/>
  <c r="I102" i="28"/>
  <c r="J102" i="28"/>
  <c r="H93" i="28"/>
  <c r="P93" i="28"/>
  <c r="H94" i="28"/>
  <c r="P94" i="28"/>
  <c r="H95" i="28"/>
  <c r="P95" i="28"/>
  <c r="H96" i="28"/>
  <c r="P96" i="28"/>
  <c r="H97" i="28"/>
  <c r="H98" i="28"/>
  <c r="P98" i="28"/>
  <c r="H99" i="28"/>
  <c r="P99" i="28"/>
  <c r="H100" i="28"/>
  <c r="P100" i="28"/>
  <c r="H101" i="28"/>
  <c r="P101" i="28"/>
  <c r="H102" i="28"/>
  <c r="I83" i="28"/>
  <c r="O83" i="28"/>
  <c r="I84" i="28"/>
  <c r="J84" i="28"/>
  <c r="L84" i="28"/>
  <c r="C36" i="41"/>
  <c r="I85" i="28"/>
  <c r="I86" i="28"/>
  <c r="O86" i="28"/>
  <c r="I87" i="28"/>
  <c r="O87" i="28"/>
  <c r="I88" i="28"/>
  <c r="O88" i="28"/>
  <c r="I89" i="28"/>
  <c r="O89" i="28"/>
  <c r="I90" i="28"/>
  <c r="O90" i="28"/>
  <c r="I91" i="28"/>
  <c r="J91" i="28"/>
  <c r="L91" i="28"/>
  <c r="H83" i="28"/>
  <c r="P83" i="28"/>
  <c r="H84" i="28"/>
  <c r="P84" i="28"/>
  <c r="H85" i="28"/>
  <c r="P85" i="28"/>
  <c r="H86" i="28"/>
  <c r="P86" i="28"/>
  <c r="H87" i="28"/>
  <c r="P87" i="28"/>
  <c r="H88" i="28"/>
  <c r="P88" i="28"/>
  <c r="H89" i="28"/>
  <c r="P89" i="28"/>
  <c r="H90" i="28"/>
  <c r="P90" i="28"/>
  <c r="H91" i="28"/>
  <c r="P91" i="28"/>
  <c r="I72" i="28"/>
  <c r="O72" i="28"/>
  <c r="I73" i="28"/>
  <c r="J73" i="28"/>
  <c r="L73" i="28"/>
  <c r="I74" i="28"/>
  <c r="J74" i="28"/>
  <c r="I75" i="28"/>
  <c r="I76" i="28"/>
  <c r="J76" i="28"/>
  <c r="L76" i="28"/>
  <c r="N76" i="28"/>
  <c r="I77" i="28"/>
  <c r="O77" i="28"/>
  <c r="I78" i="28"/>
  <c r="J78" i="28"/>
  <c r="I79" i="28"/>
  <c r="I80" i="28"/>
  <c r="J80" i="28"/>
  <c r="I81" i="28"/>
  <c r="J81" i="28"/>
  <c r="H72" i="28"/>
  <c r="P72" i="28"/>
  <c r="H73" i="28"/>
  <c r="H74" i="28"/>
  <c r="P74" i="28"/>
  <c r="H75" i="28"/>
  <c r="P75" i="28"/>
  <c r="H76" i="28"/>
  <c r="P76" i="28"/>
  <c r="H77" i="28"/>
  <c r="H78" i="28"/>
  <c r="P78" i="28"/>
  <c r="H79" i="28"/>
  <c r="P79" i="28"/>
  <c r="H80" i="28"/>
  <c r="P80" i="28"/>
  <c r="H81" i="28"/>
  <c r="I60" i="28"/>
  <c r="O60" i="28"/>
  <c r="I61" i="28"/>
  <c r="J61" i="28"/>
  <c r="L61" i="28"/>
  <c r="I62" i="28"/>
  <c r="O62" i="28"/>
  <c r="I63" i="28"/>
  <c r="I64" i="28"/>
  <c r="O64" i="28"/>
  <c r="I65" i="28"/>
  <c r="O65" i="28"/>
  <c r="I66" i="28"/>
  <c r="O66" i="28"/>
  <c r="I67" i="28"/>
  <c r="I68" i="28"/>
  <c r="O68" i="28"/>
  <c r="I69" i="28"/>
  <c r="J69" i="28"/>
  <c r="I70" i="28"/>
  <c r="O70" i="28"/>
  <c r="H60" i="28"/>
  <c r="P60" i="28"/>
  <c r="H61" i="28"/>
  <c r="P61" i="28"/>
  <c r="H62" i="28"/>
  <c r="P62" i="28"/>
  <c r="H63" i="28"/>
  <c r="P63" i="28"/>
  <c r="H64" i="28"/>
  <c r="H65" i="28"/>
  <c r="P65" i="28"/>
  <c r="H66" i="28"/>
  <c r="P66" i="28"/>
  <c r="H67" i="28"/>
  <c r="P67" i="28"/>
  <c r="H68" i="28"/>
  <c r="H69" i="28"/>
  <c r="P69" i="28"/>
  <c r="H70" i="28"/>
  <c r="P70" i="28"/>
  <c r="I35" i="28"/>
  <c r="I36" i="28"/>
  <c r="J36" i="28"/>
  <c r="L36" i="28"/>
  <c r="Q36" i="28"/>
  <c r="I37" i="28"/>
  <c r="J37" i="28"/>
  <c r="L37" i="28"/>
  <c r="Q37" i="28"/>
  <c r="T37" i="28"/>
  <c r="I38" i="28"/>
  <c r="J38" i="28"/>
  <c r="L38" i="28"/>
  <c r="I39" i="28"/>
  <c r="I40" i="28"/>
  <c r="O40" i="28"/>
  <c r="I41" i="28"/>
  <c r="O41" i="28"/>
  <c r="I42" i="28"/>
  <c r="O42" i="28"/>
  <c r="I43" i="28"/>
  <c r="J43" i="28"/>
  <c r="N43" i="28"/>
  <c r="I44" i="28"/>
  <c r="J44" i="28"/>
  <c r="L44" i="28"/>
  <c r="Q44" i="28"/>
  <c r="I45" i="28"/>
  <c r="O45" i="28"/>
  <c r="I46" i="28"/>
  <c r="I47" i="28"/>
  <c r="J47" i="28"/>
  <c r="I48" i="28"/>
  <c r="I49" i="28"/>
  <c r="J49" i="28"/>
  <c r="I50" i="28"/>
  <c r="I51" i="28"/>
  <c r="J51" i="28"/>
  <c r="L51" i="28"/>
  <c r="Q51" i="28"/>
  <c r="I52" i="28"/>
  <c r="J52" i="28"/>
  <c r="L52" i="28"/>
  <c r="I53" i="28"/>
  <c r="I54" i="28"/>
  <c r="J54" i="28"/>
  <c r="L54" i="28"/>
  <c r="I55" i="28"/>
  <c r="J55" i="28"/>
  <c r="L55" i="28"/>
  <c r="N55" i="28"/>
  <c r="I56" i="28"/>
  <c r="H35" i="28"/>
  <c r="P35" i="28"/>
  <c r="H36" i="28"/>
  <c r="P36" i="28"/>
  <c r="H37" i="28"/>
  <c r="P37" i="28"/>
  <c r="H38" i="28"/>
  <c r="P38" i="28"/>
  <c r="H39" i="28"/>
  <c r="P39" i="28"/>
  <c r="H40" i="28"/>
  <c r="P40" i="28"/>
  <c r="H41" i="28"/>
  <c r="P41" i="28"/>
  <c r="H42" i="28"/>
  <c r="P42" i="28"/>
  <c r="H43" i="28"/>
  <c r="P43" i="28"/>
  <c r="H44" i="28"/>
  <c r="P44" i="28"/>
  <c r="H45" i="28"/>
  <c r="P45" i="28"/>
  <c r="H46" i="28"/>
  <c r="P46" i="28"/>
  <c r="H47" i="28"/>
  <c r="P47" i="28"/>
  <c r="H48" i="28"/>
  <c r="P48" i="28"/>
  <c r="H49" i="28"/>
  <c r="P49" i="28"/>
  <c r="H50" i="28"/>
  <c r="P50" i="28"/>
  <c r="H51" i="28"/>
  <c r="P51" i="28"/>
  <c r="H52" i="28"/>
  <c r="P52" i="28"/>
  <c r="H53" i="28"/>
  <c r="P53" i="28"/>
  <c r="H54" i="28"/>
  <c r="P54" i="28"/>
  <c r="H55" i="28"/>
  <c r="P55" i="28"/>
  <c r="H56" i="28"/>
  <c r="P56" i="28"/>
  <c r="I125" i="28"/>
  <c r="J125" i="28"/>
  <c r="L125" i="28"/>
  <c r="H125" i="28"/>
  <c r="I112" i="28"/>
  <c r="H112" i="28"/>
  <c r="P112" i="28"/>
  <c r="I103" i="28"/>
  <c r="C73" i="32"/>
  <c r="H103" i="28"/>
  <c r="P103" i="28"/>
  <c r="I92" i="28"/>
  <c r="H92" i="28"/>
  <c r="P92" i="28"/>
  <c r="I82" i="28"/>
  <c r="H82" i="28"/>
  <c r="P82" i="28"/>
  <c r="I71" i="28"/>
  <c r="O71" i="28"/>
  <c r="H71" i="28"/>
  <c r="P71" i="28"/>
  <c r="I59" i="28"/>
  <c r="H59" i="28"/>
  <c r="P59" i="28"/>
  <c r="I34" i="28"/>
  <c r="H34" i="28"/>
  <c r="P34" i="28"/>
  <c r="C56" i="28"/>
  <c r="S56" i="28"/>
  <c r="C55" i="28"/>
  <c r="S55" i="28"/>
  <c r="C54" i="28"/>
  <c r="S54" i="28"/>
  <c r="I11" i="28"/>
  <c r="I12" i="28"/>
  <c r="J12" i="28"/>
  <c r="L12" i="28"/>
  <c r="H11" i="28"/>
  <c r="P11" i="28"/>
  <c r="H12" i="28"/>
  <c r="P12" i="28"/>
  <c r="C12" i="28"/>
  <c r="S12" i="28"/>
  <c r="C11" i="28"/>
  <c r="S11" i="28"/>
  <c r="I126" i="23"/>
  <c r="I127" i="23"/>
  <c r="O127" i="23"/>
  <c r="I128" i="23"/>
  <c r="J128" i="23"/>
  <c r="H126" i="23"/>
  <c r="P126" i="23"/>
  <c r="H127" i="23"/>
  <c r="P127" i="23"/>
  <c r="H128" i="23"/>
  <c r="P128" i="23"/>
  <c r="I125" i="23"/>
  <c r="O125" i="23"/>
  <c r="H125" i="23"/>
  <c r="P125" i="23"/>
  <c r="I113" i="23"/>
  <c r="I114" i="23"/>
  <c r="O114" i="23"/>
  <c r="I115" i="23"/>
  <c r="J115" i="23"/>
  <c r="L115" i="23"/>
  <c r="I116" i="23"/>
  <c r="J116" i="23"/>
  <c r="L116" i="23"/>
  <c r="Q116" i="23"/>
  <c r="I117" i="23"/>
  <c r="I118" i="23"/>
  <c r="O118" i="23"/>
  <c r="I119" i="23"/>
  <c r="O119" i="23"/>
  <c r="I120" i="23"/>
  <c r="O120" i="23"/>
  <c r="I121" i="23"/>
  <c r="I122" i="23"/>
  <c r="O122" i="23"/>
  <c r="I123" i="23"/>
  <c r="J123" i="23"/>
  <c r="L123" i="23"/>
  <c r="Q123" i="23"/>
  <c r="I124" i="23"/>
  <c r="H113" i="23"/>
  <c r="P113" i="23"/>
  <c r="H114" i="23"/>
  <c r="P114" i="23"/>
  <c r="H115" i="23"/>
  <c r="P115" i="23"/>
  <c r="H116" i="23"/>
  <c r="P116" i="23"/>
  <c r="H117" i="23"/>
  <c r="P117" i="23"/>
  <c r="H118" i="23"/>
  <c r="P118" i="23"/>
  <c r="H119" i="23"/>
  <c r="P119" i="23"/>
  <c r="H120" i="23"/>
  <c r="P120" i="23"/>
  <c r="H121" i="23"/>
  <c r="P121" i="23"/>
  <c r="H122" i="23"/>
  <c r="P122" i="23"/>
  <c r="H123" i="23"/>
  <c r="P123" i="23"/>
  <c r="H124" i="23"/>
  <c r="P124" i="23"/>
  <c r="I112" i="23"/>
  <c r="H112" i="23"/>
  <c r="P112" i="23"/>
  <c r="I104" i="23"/>
  <c r="J104" i="23"/>
  <c r="L104" i="23"/>
  <c r="I105" i="23"/>
  <c r="O105" i="23"/>
  <c r="I106" i="23"/>
  <c r="J106" i="23"/>
  <c r="L106" i="23"/>
  <c r="I107" i="23"/>
  <c r="J107" i="23"/>
  <c r="L107" i="23"/>
  <c r="Q107" i="23"/>
  <c r="I108" i="23"/>
  <c r="O108" i="23"/>
  <c r="I109" i="23"/>
  <c r="I110" i="23"/>
  <c r="J110" i="23"/>
  <c r="L110" i="23"/>
  <c r="I111" i="23"/>
  <c r="J111" i="23"/>
  <c r="L111" i="23"/>
  <c r="H104" i="23"/>
  <c r="P104" i="23"/>
  <c r="H105" i="23"/>
  <c r="P105" i="23"/>
  <c r="H106" i="23"/>
  <c r="P106" i="23"/>
  <c r="H107" i="23"/>
  <c r="P107" i="23"/>
  <c r="H108" i="23"/>
  <c r="P108" i="23"/>
  <c r="H109" i="23"/>
  <c r="P109" i="23"/>
  <c r="H110" i="23"/>
  <c r="P110" i="23"/>
  <c r="H111" i="23"/>
  <c r="I103" i="23"/>
  <c r="H103" i="23"/>
  <c r="P103" i="23"/>
  <c r="I93" i="23"/>
  <c r="I94" i="23"/>
  <c r="J94" i="23"/>
  <c r="L94" i="23"/>
  <c r="I95" i="23"/>
  <c r="O95" i="23"/>
  <c r="I96" i="23"/>
  <c r="J96" i="23"/>
  <c r="L96" i="23"/>
  <c r="I97" i="23"/>
  <c r="I98" i="23"/>
  <c r="J98" i="23"/>
  <c r="I99" i="23"/>
  <c r="O99" i="23"/>
  <c r="I100" i="23"/>
  <c r="O100" i="23"/>
  <c r="I101" i="23"/>
  <c r="J101" i="23"/>
  <c r="I102" i="23"/>
  <c r="J102" i="23"/>
  <c r="H93" i="23"/>
  <c r="P93" i="23"/>
  <c r="H94" i="23"/>
  <c r="P94" i="23"/>
  <c r="H95" i="23"/>
  <c r="P95" i="23"/>
  <c r="H96" i="23"/>
  <c r="P96" i="23"/>
  <c r="H97" i="23"/>
  <c r="P97" i="23"/>
  <c r="H98" i="23"/>
  <c r="P98" i="23"/>
  <c r="H99" i="23"/>
  <c r="P99" i="23"/>
  <c r="H100" i="23"/>
  <c r="P100" i="23"/>
  <c r="H101" i="23"/>
  <c r="P101" i="23"/>
  <c r="H102" i="23"/>
  <c r="P102" i="23"/>
  <c r="I92" i="23"/>
  <c r="H92" i="23"/>
  <c r="P92" i="23"/>
  <c r="H83" i="23"/>
  <c r="P83" i="23"/>
  <c r="H84" i="23"/>
  <c r="P84" i="23"/>
  <c r="H85" i="23"/>
  <c r="P85" i="23"/>
  <c r="H86" i="23"/>
  <c r="P86" i="23"/>
  <c r="H87" i="23"/>
  <c r="P87" i="23"/>
  <c r="H88" i="23"/>
  <c r="P88" i="23"/>
  <c r="H89" i="23"/>
  <c r="P89" i="23"/>
  <c r="H90" i="23"/>
  <c r="P90" i="23"/>
  <c r="H91" i="23"/>
  <c r="P91" i="23"/>
  <c r="H82" i="23"/>
  <c r="P82" i="23"/>
  <c r="I83" i="23"/>
  <c r="I84" i="23"/>
  <c r="J84" i="23"/>
  <c r="L84" i="23"/>
  <c r="I85" i="23"/>
  <c r="I86" i="23"/>
  <c r="O86" i="23"/>
  <c r="I87" i="23"/>
  <c r="I88" i="23"/>
  <c r="O88" i="23"/>
  <c r="I89" i="23"/>
  <c r="O89" i="23"/>
  <c r="I90" i="23"/>
  <c r="J90" i="23"/>
  <c r="L90" i="23"/>
  <c r="Q90" i="23"/>
  <c r="T90" i="23"/>
  <c r="I91" i="23"/>
  <c r="I82" i="23"/>
  <c r="O82" i="23"/>
  <c r="I72" i="23"/>
  <c r="J72" i="23"/>
  <c r="L72" i="23"/>
  <c r="Q72" i="23"/>
  <c r="I73" i="23"/>
  <c r="J73" i="23"/>
  <c r="I74" i="23"/>
  <c r="O74" i="23"/>
  <c r="I75" i="23"/>
  <c r="J75" i="23"/>
  <c r="L75" i="23"/>
  <c r="I76" i="23"/>
  <c r="O76" i="23"/>
  <c r="I77" i="23"/>
  <c r="J77" i="23"/>
  <c r="L77" i="23"/>
  <c r="I78" i="23"/>
  <c r="J78" i="23"/>
  <c r="L78" i="23"/>
  <c r="I79" i="23"/>
  <c r="I80" i="23"/>
  <c r="O80" i="23"/>
  <c r="I81" i="23"/>
  <c r="H72" i="23"/>
  <c r="P72" i="23"/>
  <c r="H73" i="23"/>
  <c r="P73" i="23"/>
  <c r="H74" i="23"/>
  <c r="P74" i="23"/>
  <c r="H75" i="23"/>
  <c r="P75" i="23"/>
  <c r="H76" i="23"/>
  <c r="P76" i="23"/>
  <c r="H77" i="23"/>
  <c r="P77" i="23"/>
  <c r="H78" i="23"/>
  <c r="P78" i="23"/>
  <c r="H79" i="23"/>
  <c r="P79" i="23"/>
  <c r="H80" i="23"/>
  <c r="P80" i="23"/>
  <c r="H81" i="23"/>
  <c r="P81" i="23"/>
  <c r="I71" i="23"/>
  <c r="H71" i="23"/>
  <c r="P71" i="23"/>
  <c r="I60" i="23"/>
  <c r="J60" i="23"/>
  <c r="L60" i="23"/>
  <c r="Q60" i="23"/>
  <c r="I61" i="23"/>
  <c r="J61" i="23"/>
  <c r="I62" i="23"/>
  <c r="I63" i="23"/>
  <c r="J63" i="23"/>
  <c r="L63" i="23"/>
  <c r="Q63" i="23"/>
  <c r="I64" i="23"/>
  <c r="J64" i="23"/>
  <c r="I65" i="23"/>
  <c r="J65" i="23"/>
  <c r="L65" i="23"/>
  <c r="I66" i="23"/>
  <c r="I67" i="23"/>
  <c r="I68" i="23"/>
  <c r="J68" i="23"/>
  <c r="I69" i="23"/>
  <c r="J69" i="23"/>
  <c r="L69" i="23"/>
  <c r="I70" i="23"/>
  <c r="I59" i="23"/>
  <c r="J59" i="23"/>
  <c r="H60" i="23"/>
  <c r="P60" i="23"/>
  <c r="H61" i="23"/>
  <c r="P61" i="23"/>
  <c r="H62" i="23"/>
  <c r="P62" i="23"/>
  <c r="H63" i="23"/>
  <c r="P63" i="23"/>
  <c r="H64" i="23"/>
  <c r="P64" i="23"/>
  <c r="H65" i="23"/>
  <c r="P65" i="23"/>
  <c r="H66" i="23"/>
  <c r="P66" i="23"/>
  <c r="H67" i="23"/>
  <c r="P67" i="23"/>
  <c r="H68" i="23"/>
  <c r="P68" i="23"/>
  <c r="H69" i="23"/>
  <c r="P69" i="23"/>
  <c r="H70" i="23"/>
  <c r="P70" i="23"/>
  <c r="H59" i="23"/>
  <c r="P59" i="23"/>
  <c r="I35" i="23"/>
  <c r="O35" i="23"/>
  <c r="I36" i="23"/>
  <c r="J36" i="23"/>
  <c r="L36" i="23"/>
  <c r="I37" i="23"/>
  <c r="I38" i="23"/>
  <c r="J38" i="23"/>
  <c r="L38" i="23"/>
  <c r="I39" i="23"/>
  <c r="J39" i="23"/>
  <c r="L39" i="23"/>
  <c r="Q39" i="23"/>
  <c r="I40" i="23"/>
  <c r="O40" i="23"/>
  <c r="I41" i="23"/>
  <c r="I42" i="23"/>
  <c r="J42" i="23"/>
  <c r="L42" i="23"/>
  <c r="Q42" i="23"/>
  <c r="I43" i="23"/>
  <c r="J43" i="23"/>
  <c r="L43" i="23"/>
  <c r="I44" i="23"/>
  <c r="I45" i="23"/>
  <c r="I46" i="23"/>
  <c r="O46" i="23"/>
  <c r="I47" i="23"/>
  <c r="O47" i="23"/>
  <c r="I48" i="23"/>
  <c r="J48" i="23"/>
  <c r="L48" i="23"/>
  <c r="I49" i="23"/>
  <c r="J49" i="23"/>
  <c r="L49" i="23"/>
  <c r="Q49" i="23"/>
  <c r="I50" i="23"/>
  <c r="J50" i="23"/>
  <c r="L50" i="23"/>
  <c r="N50" i="23"/>
  <c r="I51" i="23"/>
  <c r="O51" i="23"/>
  <c r="I52" i="23"/>
  <c r="I53" i="23"/>
  <c r="I54" i="23"/>
  <c r="O54" i="23"/>
  <c r="I55" i="23"/>
  <c r="I56" i="23"/>
  <c r="J56" i="23"/>
  <c r="I34" i="23"/>
  <c r="O34" i="23"/>
  <c r="H35" i="23"/>
  <c r="P35" i="23"/>
  <c r="H36" i="23"/>
  <c r="P36" i="23"/>
  <c r="H37" i="23"/>
  <c r="P37" i="23"/>
  <c r="H38" i="23"/>
  <c r="P38" i="23"/>
  <c r="H39" i="23"/>
  <c r="P39" i="23"/>
  <c r="H40" i="23"/>
  <c r="P40" i="23"/>
  <c r="H41" i="23"/>
  <c r="H42" i="23"/>
  <c r="P42" i="23"/>
  <c r="H43" i="23"/>
  <c r="P43" i="23"/>
  <c r="H44" i="23"/>
  <c r="P44" i="23"/>
  <c r="H45" i="23"/>
  <c r="P45" i="23"/>
  <c r="H46" i="23"/>
  <c r="P46" i="23"/>
  <c r="H47" i="23"/>
  <c r="P47" i="23"/>
  <c r="H48" i="23"/>
  <c r="P48" i="23"/>
  <c r="H49" i="23"/>
  <c r="P49" i="23"/>
  <c r="H50" i="23"/>
  <c r="P50" i="23"/>
  <c r="H51" i="23"/>
  <c r="P51" i="23"/>
  <c r="H52" i="23"/>
  <c r="P52" i="23"/>
  <c r="H53" i="23"/>
  <c r="P53" i="23"/>
  <c r="H54" i="23"/>
  <c r="P54" i="23"/>
  <c r="H55" i="23"/>
  <c r="P55" i="23"/>
  <c r="H56" i="23"/>
  <c r="P56" i="23"/>
  <c r="H34" i="23"/>
  <c r="P34" i="23"/>
  <c r="C56" i="23"/>
  <c r="S56" i="23"/>
  <c r="C55" i="23"/>
  <c r="S55" i="23"/>
  <c r="C54" i="23"/>
  <c r="S54" i="23"/>
  <c r="I11" i="23"/>
  <c r="I12" i="23"/>
  <c r="H11" i="23"/>
  <c r="P11" i="23"/>
  <c r="H12" i="23"/>
  <c r="P12" i="23"/>
  <c r="C12" i="23"/>
  <c r="S12" i="23"/>
  <c r="C11" i="23"/>
  <c r="S11" i="23"/>
  <c r="J56" i="29"/>
  <c r="I25" i="23"/>
  <c r="O25" i="23"/>
  <c r="I26" i="23"/>
  <c r="J26" i="23"/>
  <c r="L26" i="23"/>
  <c r="Q26" i="23"/>
  <c r="I27" i="23"/>
  <c r="I28" i="23"/>
  <c r="I29" i="23"/>
  <c r="I30" i="23"/>
  <c r="I31" i="23"/>
  <c r="I32" i="23"/>
  <c r="I33" i="23"/>
  <c r="C15" i="25"/>
  <c r="O28" i="23"/>
  <c r="O29" i="23"/>
  <c r="J30" i="23"/>
  <c r="O31" i="23"/>
  <c r="J33" i="23"/>
  <c r="I21" i="23"/>
  <c r="I20" i="23"/>
  <c r="I22" i="23"/>
  <c r="I23" i="23"/>
  <c r="I24" i="23"/>
  <c r="C7" i="25"/>
  <c r="O23" i="23"/>
  <c r="J24" i="23"/>
  <c r="L24" i="23"/>
  <c r="Q24" i="23"/>
  <c r="T24" i="23"/>
  <c r="I25" i="29"/>
  <c r="O25" i="29"/>
  <c r="I26" i="29"/>
  <c r="J26" i="29"/>
  <c r="L26" i="29"/>
  <c r="I27" i="29"/>
  <c r="I28" i="29"/>
  <c r="O28" i="29"/>
  <c r="I29" i="29"/>
  <c r="O29" i="29"/>
  <c r="I30" i="29"/>
  <c r="J30" i="29"/>
  <c r="L30" i="29"/>
  <c r="I31" i="29"/>
  <c r="J31" i="29"/>
  <c r="I32" i="29"/>
  <c r="J32" i="29"/>
  <c r="L32" i="29"/>
  <c r="I33" i="29"/>
  <c r="O33" i="29"/>
  <c r="I21" i="29"/>
  <c r="J21" i="29"/>
  <c r="I22" i="29"/>
  <c r="J22" i="29"/>
  <c r="L22" i="29"/>
  <c r="I23" i="29"/>
  <c r="J23" i="29"/>
  <c r="I24" i="29"/>
  <c r="I20" i="29"/>
  <c r="J20" i="29"/>
  <c r="L20" i="29"/>
  <c r="I10" i="29"/>
  <c r="J10" i="29"/>
  <c r="I13" i="29"/>
  <c r="J13" i="29"/>
  <c r="L13" i="29"/>
  <c r="Q13" i="29"/>
  <c r="I14" i="29"/>
  <c r="J14" i="29"/>
  <c r="I15" i="29"/>
  <c r="J15" i="29"/>
  <c r="I16" i="29"/>
  <c r="J16" i="29"/>
  <c r="L16" i="29"/>
  <c r="I17" i="29"/>
  <c r="J17" i="29"/>
  <c r="L17" i="29"/>
  <c r="I18" i="29"/>
  <c r="O18" i="29"/>
  <c r="I19" i="29"/>
  <c r="J19" i="29"/>
  <c r="L19" i="29"/>
  <c r="I9" i="29"/>
  <c r="J9" i="29"/>
  <c r="L9" i="29"/>
  <c r="I33" i="28"/>
  <c r="O33" i="28"/>
  <c r="I32" i="28"/>
  <c r="J32" i="28"/>
  <c r="L32" i="28"/>
  <c r="Q32" i="28"/>
  <c r="I31" i="28"/>
  <c r="J31" i="28"/>
  <c r="L31" i="28"/>
  <c r="I30" i="28"/>
  <c r="J30" i="28"/>
  <c r="L30" i="28"/>
  <c r="I29" i="28"/>
  <c r="O29" i="28"/>
  <c r="I28" i="28"/>
  <c r="J28" i="28"/>
  <c r="L28" i="28"/>
  <c r="I27" i="28"/>
  <c r="J27" i="28"/>
  <c r="L27" i="28"/>
  <c r="I26" i="28"/>
  <c r="O26" i="28"/>
  <c r="I25" i="28"/>
  <c r="C12" i="32"/>
  <c r="I24" i="28"/>
  <c r="O24" i="28"/>
  <c r="I23" i="28"/>
  <c r="I22" i="28"/>
  <c r="J22" i="28"/>
  <c r="L22" i="28"/>
  <c r="Q22" i="28"/>
  <c r="I21" i="28"/>
  <c r="O21" i="28"/>
  <c r="I20" i="28"/>
  <c r="I19" i="28"/>
  <c r="J19" i="28"/>
  <c r="L19" i="28"/>
  <c r="I18" i="28"/>
  <c r="I17" i="28"/>
  <c r="J17" i="28"/>
  <c r="L17" i="28"/>
  <c r="T17" i="28"/>
  <c r="I16" i="28"/>
  <c r="J16" i="28"/>
  <c r="L16" i="28"/>
  <c r="Q16" i="28"/>
  <c r="I15" i="28"/>
  <c r="J15" i="28"/>
  <c r="I14" i="28"/>
  <c r="O14" i="28"/>
  <c r="I13" i="28"/>
  <c r="J13" i="28"/>
  <c r="L13" i="28"/>
  <c r="Q13" i="28"/>
  <c r="I10" i="28"/>
  <c r="J10" i="28"/>
  <c r="L10" i="28"/>
  <c r="N10" i="28"/>
  <c r="I9" i="28"/>
  <c r="J9" i="28"/>
  <c r="L9" i="28"/>
  <c r="H25" i="28"/>
  <c r="P25" i="28"/>
  <c r="H26" i="28"/>
  <c r="P26" i="28"/>
  <c r="H27" i="28"/>
  <c r="P27" i="28"/>
  <c r="H28" i="28"/>
  <c r="P28" i="28"/>
  <c r="H29" i="28"/>
  <c r="P29" i="28"/>
  <c r="H30" i="28"/>
  <c r="P30" i="28"/>
  <c r="H31" i="28"/>
  <c r="P31" i="28"/>
  <c r="H32" i="28"/>
  <c r="P32" i="28"/>
  <c r="H33" i="28"/>
  <c r="P33" i="28"/>
  <c r="H21" i="28"/>
  <c r="P21" i="28"/>
  <c r="H22" i="28"/>
  <c r="P22" i="28"/>
  <c r="H23" i="28"/>
  <c r="H24" i="28"/>
  <c r="P24" i="28"/>
  <c r="H20" i="28"/>
  <c r="P20" i="28"/>
  <c r="H10" i="28"/>
  <c r="P10" i="28"/>
  <c r="H13" i="28"/>
  <c r="P13" i="28"/>
  <c r="H14" i="28"/>
  <c r="P14" i="28"/>
  <c r="H15" i="28"/>
  <c r="P15" i="28"/>
  <c r="H16" i="28"/>
  <c r="P16" i="28"/>
  <c r="H17" i="28"/>
  <c r="P17" i="28"/>
  <c r="H18" i="28"/>
  <c r="P18" i="28"/>
  <c r="H19" i="28"/>
  <c r="P19" i="28"/>
  <c r="H9" i="28"/>
  <c r="P9" i="28"/>
  <c r="H25" i="23"/>
  <c r="P25" i="23"/>
  <c r="H26" i="23"/>
  <c r="P26" i="23"/>
  <c r="H27" i="23"/>
  <c r="P27" i="23"/>
  <c r="H28" i="23"/>
  <c r="P28" i="23"/>
  <c r="H29" i="23"/>
  <c r="P29" i="23"/>
  <c r="H30" i="23"/>
  <c r="P30" i="23"/>
  <c r="H31" i="23"/>
  <c r="P31" i="23"/>
  <c r="H32" i="23"/>
  <c r="P32" i="23"/>
  <c r="H33" i="23"/>
  <c r="P33" i="23"/>
  <c r="H21" i="23"/>
  <c r="P21" i="23"/>
  <c r="H22" i="23"/>
  <c r="P22" i="23"/>
  <c r="H23" i="23"/>
  <c r="P23" i="23"/>
  <c r="H24" i="23"/>
  <c r="P24" i="23"/>
  <c r="H20" i="23"/>
  <c r="P20" i="23"/>
  <c r="H10" i="23"/>
  <c r="P10" i="23"/>
  <c r="H13" i="23"/>
  <c r="P13" i="23"/>
  <c r="H14" i="23"/>
  <c r="P14" i="23"/>
  <c r="H15" i="23"/>
  <c r="P15" i="23"/>
  <c r="H16" i="23"/>
  <c r="P16" i="23"/>
  <c r="H17" i="23"/>
  <c r="P17" i="23"/>
  <c r="H18" i="23"/>
  <c r="P18" i="23"/>
  <c r="H19" i="23"/>
  <c r="P19" i="23"/>
  <c r="H9" i="23"/>
  <c r="P9" i="23"/>
  <c r="C128" i="29"/>
  <c r="S128" i="29"/>
  <c r="R128" i="29"/>
  <c r="C127" i="29"/>
  <c r="S127" i="29"/>
  <c r="R127" i="29"/>
  <c r="C126" i="29"/>
  <c r="S126" i="29"/>
  <c r="R126" i="29"/>
  <c r="P126" i="29"/>
  <c r="J125" i="29"/>
  <c r="L125" i="29"/>
  <c r="C125" i="29"/>
  <c r="S125" i="29"/>
  <c r="R125" i="29"/>
  <c r="C124" i="29"/>
  <c r="S124" i="29"/>
  <c r="R124" i="29"/>
  <c r="J123" i="29"/>
  <c r="L123" i="29"/>
  <c r="C123" i="29"/>
  <c r="S123" i="29"/>
  <c r="R123" i="29"/>
  <c r="O123" i="29"/>
  <c r="C122" i="29"/>
  <c r="S122" i="29"/>
  <c r="R122" i="29"/>
  <c r="C121" i="29"/>
  <c r="S121" i="29"/>
  <c r="R121" i="29"/>
  <c r="C120" i="29"/>
  <c r="S120" i="29"/>
  <c r="R120" i="29"/>
  <c r="C119" i="29"/>
  <c r="S119" i="29"/>
  <c r="R119" i="29"/>
  <c r="O119" i="29"/>
  <c r="C118" i="29"/>
  <c r="S118" i="29"/>
  <c r="R118" i="29"/>
  <c r="C117" i="29"/>
  <c r="S117" i="29"/>
  <c r="R117" i="29"/>
  <c r="J116" i="29"/>
  <c r="L116" i="29"/>
  <c r="Q116" i="29"/>
  <c r="C116" i="29"/>
  <c r="S116" i="29"/>
  <c r="R116" i="29"/>
  <c r="O116" i="29"/>
  <c r="C115" i="29"/>
  <c r="S115" i="29"/>
  <c r="R115" i="29"/>
  <c r="C114" i="29"/>
  <c r="S114" i="29"/>
  <c r="R114" i="29"/>
  <c r="C113" i="29"/>
  <c r="S113" i="29"/>
  <c r="R113" i="29"/>
  <c r="C112" i="29"/>
  <c r="S112" i="29"/>
  <c r="R112" i="29"/>
  <c r="C111" i="29"/>
  <c r="S111" i="29"/>
  <c r="R111" i="29"/>
  <c r="C110" i="29"/>
  <c r="S110" i="29"/>
  <c r="R110" i="29"/>
  <c r="C109" i="29"/>
  <c r="S109" i="29"/>
  <c r="R109" i="29"/>
  <c r="C108" i="29"/>
  <c r="S108" i="29"/>
  <c r="R108" i="29"/>
  <c r="C107" i="29"/>
  <c r="S107" i="29"/>
  <c r="R107" i="29"/>
  <c r="C106" i="29"/>
  <c r="S106" i="29"/>
  <c r="R106" i="29"/>
  <c r="C105" i="29"/>
  <c r="S105" i="29"/>
  <c r="R105" i="29"/>
  <c r="J104" i="29"/>
  <c r="L104" i="29"/>
  <c r="C104" i="29"/>
  <c r="S104" i="29"/>
  <c r="R104" i="29"/>
  <c r="P104" i="29"/>
  <c r="O104" i="29"/>
  <c r="J103" i="29"/>
  <c r="L103" i="29"/>
  <c r="Q103" i="29"/>
  <c r="C103" i="29"/>
  <c r="S103" i="29"/>
  <c r="R103" i="29"/>
  <c r="P103" i="29"/>
  <c r="O103" i="29"/>
  <c r="J102" i="29"/>
  <c r="L102" i="29"/>
  <c r="C102" i="29"/>
  <c r="S102" i="29"/>
  <c r="R102" i="29"/>
  <c r="P102" i="29"/>
  <c r="O102" i="29"/>
  <c r="C101" i="29"/>
  <c r="S101" i="29"/>
  <c r="R101" i="29"/>
  <c r="P101" i="29"/>
  <c r="C100" i="29"/>
  <c r="S100" i="29"/>
  <c r="R100" i="29"/>
  <c r="J99" i="29"/>
  <c r="C99" i="29"/>
  <c r="S99" i="29"/>
  <c r="R99" i="29"/>
  <c r="O99" i="29"/>
  <c r="J98" i="29"/>
  <c r="L98" i="29"/>
  <c r="C98" i="29"/>
  <c r="S98" i="29"/>
  <c r="R98" i="29"/>
  <c r="P98" i="29"/>
  <c r="O98" i="29"/>
  <c r="C97" i="29"/>
  <c r="S97" i="29"/>
  <c r="R97" i="29"/>
  <c r="P97" i="29"/>
  <c r="C96" i="29"/>
  <c r="S96" i="29"/>
  <c r="R96" i="29"/>
  <c r="J95" i="29"/>
  <c r="L95" i="29"/>
  <c r="Q95" i="29"/>
  <c r="T95" i="29"/>
  <c r="C95" i="29"/>
  <c r="S95" i="29"/>
  <c r="R95" i="29"/>
  <c r="O95" i="29"/>
  <c r="J94" i="29"/>
  <c r="L94" i="29"/>
  <c r="C94" i="29"/>
  <c r="S94" i="29"/>
  <c r="R94" i="29"/>
  <c r="P94" i="29"/>
  <c r="O94" i="29"/>
  <c r="C93" i="29"/>
  <c r="S93" i="29"/>
  <c r="R93" i="29"/>
  <c r="P93" i="29"/>
  <c r="C92" i="29"/>
  <c r="R92" i="29"/>
  <c r="J91" i="29"/>
  <c r="L91" i="29"/>
  <c r="Q91" i="29"/>
  <c r="C91" i="29"/>
  <c r="S91" i="29"/>
  <c r="R91" i="29"/>
  <c r="O91" i="29"/>
  <c r="J90" i="29"/>
  <c r="L90" i="29"/>
  <c r="C90" i="29"/>
  <c r="S90" i="29"/>
  <c r="R90" i="29"/>
  <c r="O90" i="29"/>
  <c r="C89" i="29"/>
  <c r="S89" i="29"/>
  <c r="R89" i="29"/>
  <c r="P89" i="29"/>
  <c r="C88" i="29"/>
  <c r="S88" i="29"/>
  <c r="R88" i="29"/>
  <c r="C87" i="29"/>
  <c r="S87" i="29"/>
  <c r="R87" i="29"/>
  <c r="O87" i="29"/>
  <c r="C86" i="29"/>
  <c r="S86" i="29"/>
  <c r="R86" i="29"/>
  <c r="O86" i="29"/>
  <c r="C85" i="29"/>
  <c r="S85" i="29"/>
  <c r="R85" i="29"/>
  <c r="P85" i="29"/>
  <c r="C84" i="29"/>
  <c r="S84" i="29"/>
  <c r="R84" i="29"/>
  <c r="J83" i="29"/>
  <c r="C83" i="29"/>
  <c r="S83" i="29"/>
  <c r="R83" i="29"/>
  <c r="O83" i="29"/>
  <c r="C82" i="29"/>
  <c r="R82" i="29"/>
  <c r="P82" i="29"/>
  <c r="C81" i="29"/>
  <c r="S81" i="29"/>
  <c r="R81" i="29"/>
  <c r="C80" i="29"/>
  <c r="S80" i="29"/>
  <c r="R80" i="29"/>
  <c r="J79" i="29"/>
  <c r="L79" i="29"/>
  <c r="C79" i="29"/>
  <c r="S79" i="29"/>
  <c r="R79" i="29"/>
  <c r="O79" i="29"/>
  <c r="C78" i="29"/>
  <c r="S78" i="29"/>
  <c r="R78" i="29"/>
  <c r="C77" i="29"/>
  <c r="S77" i="29"/>
  <c r="R77" i="29"/>
  <c r="J76" i="29"/>
  <c r="L76" i="29"/>
  <c r="Q76" i="29"/>
  <c r="C76" i="29"/>
  <c r="S76" i="29"/>
  <c r="R76" i="29"/>
  <c r="O76" i="29"/>
  <c r="J75" i="29"/>
  <c r="L75" i="29"/>
  <c r="Q75" i="29"/>
  <c r="C75" i="29"/>
  <c r="S75" i="29"/>
  <c r="R75" i="29"/>
  <c r="O75" i="29"/>
  <c r="C74" i="29"/>
  <c r="S74" i="29"/>
  <c r="R74" i="29"/>
  <c r="C73" i="29"/>
  <c r="S73" i="29"/>
  <c r="R73" i="29"/>
  <c r="P73" i="29"/>
  <c r="J72" i="29"/>
  <c r="L72" i="29"/>
  <c r="Q72" i="29"/>
  <c r="C72" i="29"/>
  <c r="R72" i="29"/>
  <c r="O72" i="29"/>
  <c r="C71" i="29"/>
  <c r="S71" i="29"/>
  <c r="R71" i="29"/>
  <c r="C70" i="29"/>
  <c r="S70" i="29"/>
  <c r="R70" i="29"/>
  <c r="C69" i="29"/>
  <c r="S69" i="29"/>
  <c r="R69" i="29"/>
  <c r="C68" i="29"/>
  <c r="S68" i="29"/>
  <c r="R68" i="29"/>
  <c r="C67" i="29"/>
  <c r="S67" i="29"/>
  <c r="R67" i="29"/>
  <c r="C66" i="29"/>
  <c r="S66" i="29"/>
  <c r="R66" i="29"/>
  <c r="C65" i="29"/>
  <c r="S65" i="29"/>
  <c r="R65" i="29"/>
  <c r="C64" i="29"/>
  <c r="S64" i="29"/>
  <c r="R64" i="29"/>
  <c r="C63" i="29"/>
  <c r="S63" i="29"/>
  <c r="R63" i="29"/>
  <c r="P63" i="29"/>
  <c r="C62" i="29"/>
  <c r="S62" i="29"/>
  <c r="R62" i="29"/>
  <c r="C61" i="29"/>
  <c r="S61" i="29"/>
  <c r="R61" i="29"/>
  <c r="C60" i="29"/>
  <c r="S60" i="29"/>
  <c r="R60" i="29"/>
  <c r="J59" i="29"/>
  <c r="L59" i="29"/>
  <c r="C59" i="29"/>
  <c r="S59" i="29"/>
  <c r="R59" i="29"/>
  <c r="O59" i="29"/>
  <c r="J53" i="29"/>
  <c r="L53" i="29"/>
  <c r="Q53" i="29"/>
  <c r="C53" i="29"/>
  <c r="S53" i="29"/>
  <c r="R53" i="29"/>
  <c r="O53" i="29"/>
  <c r="C52" i="29"/>
  <c r="S52" i="29"/>
  <c r="R52" i="29"/>
  <c r="C51" i="29"/>
  <c r="S51" i="29"/>
  <c r="R51" i="29"/>
  <c r="P51" i="29"/>
  <c r="C50" i="29"/>
  <c r="S50" i="29"/>
  <c r="R50" i="29"/>
  <c r="J49" i="29"/>
  <c r="L49" i="29"/>
  <c r="C49" i="29"/>
  <c r="S49" i="29"/>
  <c r="R49" i="29"/>
  <c r="O49" i="29"/>
  <c r="C48" i="29"/>
  <c r="S48" i="29"/>
  <c r="R48" i="29"/>
  <c r="C47" i="29"/>
  <c r="S47" i="29"/>
  <c r="R47" i="29"/>
  <c r="P47" i="29"/>
  <c r="C46" i="29"/>
  <c r="S46" i="29"/>
  <c r="R46" i="29"/>
  <c r="O46" i="29"/>
  <c r="J45" i="29"/>
  <c r="C45" i="29"/>
  <c r="S45" i="29"/>
  <c r="R45" i="29"/>
  <c r="O45" i="29"/>
  <c r="C44" i="29"/>
  <c r="S44" i="29"/>
  <c r="R44" i="29"/>
  <c r="C43" i="29"/>
  <c r="S43" i="29"/>
  <c r="R43" i="29"/>
  <c r="P43" i="29"/>
  <c r="C42" i="29"/>
  <c r="S42" i="29"/>
  <c r="R42" i="29"/>
  <c r="C41" i="29"/>
  <c r="S41" i="29"/>
  <c r="R41" i="29"/>
  <c r="C40" i="29"/>
  <c r="S40" i="29"/>
  <c r="R40" i="29"/>
  <c r="O40" i="29"/>
  <c r="C39" i="29"/>
  <c r="S39" i="29"/>
  <c r="R39" i="29"/>
  <c r="P39" i="29"/>
  <c r="C38" i="29"/>
  <c r="S38" i="29"/>
  <c r="R38" i="29"/>
  <c r="C37" i="29"/>
  <c r="S37" i="29"/>
  <c r="R37" i="29"/>
  <c r="C36" i="29"/>
  <c r="S36" i="29"/>
  <c r="R36" i="29"/>
  <c r="O36" i="29"/>
  <c r="C35" i="29"/>
  <c r="S35" i="29"/>
  <c r="R35" i="29"/>
  <c r="C34" i="29"/>
  <c r="R34" i="29"/>
  <c r="C33" i="29"/>
  <c r="S33" i="29"/>
  <c r="R33" i="29"/>
  <c r="H33" i="29"/>
  <c r="P33" i="29"/>
  <c r="C32" i="29"/>
  <c r="S32" i="29"/>
  <c r="R32" i="29"/>
  <c r="H32" i="29"/>
  <c r="P32" i="29"/>
  <c r="C31" i="29"/>
  <c r="S31" i="29"/>
  <c r="R31" i="29"/>
  <c r="H31" i="29"/>
  <c r="P31" i="29"/>
  <c r="C30" i="29"/>
  <c r="S30" i="29"/>
  <c r="R30" i="29"/>
  <c r="H30" i="29"/>
  <c r="P30" i="29"/>
  <c r="C29" i="29"/>
  <c r="S29" i="29"/>
  <c r="R29" i="29"/>
  <c r="H29" i="29"/>
  <c r="P29" i="29"/>
  <c r="C28" i="29"/>
  <c r="S28" i="29"/>
  <c r="R28" i="29"/>
  <c r="H28" i="29"/>
  <c r="P28" i="29"/>
  <c r="C27" i="29"/>
  <c r="S27" i="29"/>
  <c r="R27" i="29"/>
  <c r="H27" i="29"/>
  <c r="P27" i="29"/>
  <c r="O27" i="29"/>
  <c r="C26" i="29"/>
  <c r="S26" i="29"/>
  <c r="R26" i="29"/>
  <c r="H26" i="29"/>
  <c r="P26" i="29"/>
  <c r="C25" i="29"/>
  <c r="R25" i="29"/>
  <c r="H25" i="29"/>
  <c r="P25" i="29"/>
  <c r="C24" i="29"/>
  <c r="S24" i="29"/>
  <c r="R24" i="29"/>
  <c r="H24" i="29"/>
  <c r="P24" i="29"/>
  <c r="C23" i="29"/>
  <c r="S23" i="29"/>
  <c r="R23" i="29"/>
  <c r="H23" i="29"/>
  <c r="P23" i="29"/>
  <c r="N22" i="29"/>
  <c r="C22" i="29"/>
  <c r="S22" i="29"/>
  <c r="R22" i="29"/>
  <c r="H22" i="29"/>
  <c r="P22" i="29"/>
  <c r="C21" i="29"/>
  <c r="S21" i="29"/>
  <c r="R21" i="29"/>
  <c r="H21" i="29"/>
  <c r="P21" i="29"/>
  <c r="C20" i="29"/>
  <c r="S20" i="29"/>
  <c r="R20" i="29"/>
  <c r="H20" i="29"/>
  <c r="P20" i="29"/>
  <c r="C19" i="29"/>
  <c r="S19" i="29"/>
  <c r="R19" i="29"/>
  <c r="H19" i="29"/>
  <c r="P19" i="29"/>
  <c r="C18" i="29"/>
  <c r="S18" i="29"/>
  <c r="R18" i="29"/>
  <c r="H18" i="29"/>
  <c r="P18" i="29"/>
  <c r="C17" i="29"/>
  <c r="S17" i="29"/>
  <c r="R17" i="29"/>
  <c r="H17" i="29"/>
  <c r="P17" i="29"/>
  <c r="C16" i="29"/>
  <c r="S16" i="29"/>
  <c r="R16" i="29"/>
  <c r="H16" i="29"/>
  <c r="P16" i="29"/>
  <c r="C15" i="29"/>
  <c r="S15" i="29"/>
  <c r="R15" i="29"/>
  <c r="H15" i="29"/>
  <c r="P15" i="29"/>
  <c r="C14" i="29"/>
  <c r="S14" i="29"/>
  <c r="R14" i="29"/>
  <c r="H14" i="29"/>
  <c r="P14" i="29"/>
  <c r="C13" i="29"/>
  <c r="S13" i="29"/>
  <c r="R13" i="29"/>
  <c r="H13" i="29"/>
  <c r="P13" i="29"/>
  <c r="C10" i="29"/>
  <c r="S10" i="29"/>
  <c r="R10" i="29"/>
  <c r="H10" i="29"/>
  <c r="P10" i="29"/>
  <c r="C9" i="29"/>
  <c r="S9" i="29"/>
  <c r="R9" i="29"/>
  <c r="H9" i="29"/>
  <c r="P9" i="29"/>
  <c r="J128" i="28"/>
  <c r="L128" i="28"/>
  <c r="C128" i="28"/>
  <c r="S128" i="28"/>
  <c r="R128" i="28"/>
  <c r="C127" i="28"/>
  <c r="S127" i="28"/>
  <c r="R127" i="28"/>
  <c r="P127" i="28"/>
  <c r="J126" i="28"/>
  <c r="L126" i="28"/>
  <c r="C126" i="28"/>
  <c r="S126" i="28"/>
  <c r="R126" i="28"/>
  <c r="O126" i="28"/>
  <c r="C125" i="28"/>
  <c r="S125" i="28"/>
  <c r="R125" i="28"/>
  <c r="P125" i="28"/>
  <c r="C124" i="28"/>
  <c r="S124" i="28"/>
  <c r="R124" i="28"/>
  <c r="C123" i="28"/>
  <c r="S123" i="28"/>
  <c r="R123" i="28"/>
  <c r="C122" i="28"/>
  <c r="S122" i="28"/>
  <c r="R122" i="28"/>
  <c r="C121" i="28"/>
  <c r="S121" i="28"/>
  <c r="R121" i="28"/>
  <c r="C120" i="28"/>
  <c r="S120" i="28"/>
  <c r="R120" i="28"/>
  <c r="C119" i="28"/>
  <c r="S119" i="28"/>
  <c r="R119" i="28"/>
  <c r="P119" i="28"/>
  <c r="C118" i="28"/>
  <c r="S118" i="28"/>
  <c r="R118" i="28"/>
  <c r="J117" i="28"/>
  <c r="L117" i="28"/>
  <c r="C117" i="28"/>
  <c r="S117" i="28"/>
  <c r="R117" i="28"/>
  <c r="O117" i="28"/>
  <c r="C116" i="28"/>
  <c r="S116" i="28"/>
  <c r="R116" i="28"/>
  <c r="C115" i="28"/>
  <c r="S115" i="28"/>
  <c r="R115" i="28"/>
  <c r="C114" i="28"/>
  <c r="S114" i="28"/>
  <c r="R114" i="28"/>
  <c r="C113" i="28"/>
  <c r="S113" i="28"/>
  <c r="R113" i="28"/>
  <c r="C112" i="28"/>
  <c r="S112" i="28"/>
  <c r="R112" i="28"/>
  <c r="C111" i="28"/>
  <c r="S111" i="28"/>
  <c r="R111" i="28"/>
  <c r="C110" i="28"/>
  <c r="S110" i="28"/>
  <c r="R110" i="28"/>
  <c r="J109" i="28"/>
  <c r="L109" i="28"/>
  <c r="C109" i="28"/>
  <c r="S109" i="28"/>
  <c r="R109" i="28"/>
  <c r="P109" i="28"/>
  <c r="O109" i="28"/>
  <c r="C108" i="28"/>
  <c r="S108" i="28"/>
  <c r="R108" i="28"/>
  <c r="C107" i="28"/>
  <c r="S107" i="28"/>
  <c r="R107" i="28"/>
  <c r="P107" i="28"/>
  <c r="C106" i="28"/>
  <c r="S106" i="28"/>
  <c r="R106" i="28"/>
  <c r="J105" i="28"/>
  <c r="L105" i="28"/>
  <c r="C105" i="28"/>
  <c r="S105" i="28"/>
  <c r="R105" i="28"/>
  <c r="O105" i="28"/>
  <c r="C104" i="28"/>
  <c r="S104" i="28"/>
  <c r="R104" i="28"/>
  <c r="C103" i="28"/>
  <c r="S103" i="28"/>
  <c r="R103" i="28"/>
  <c r="C102" i="28"/>
  <c r="S102" i="28"/>
  <c r="R102" i="28"/>
  <c r="P102" i="28"/>
  <c r="C101" i="28"/>
  <c r="S101" i="28"/>
  <c r="R101" i="28"/>
  <c r="C100" i="28"/>
  <c r="S100" i="28"/>
  <c r="R100" i="28"/>
  <c r="J99" i="28"/>
  <c r="L99" i="28"/>
  <c r="Q99" i="28"/>
  <c r="C99" i="28"/>
  <c r="S99" i="28"/>
  <c r="R99" i="28"/>
  <c r="O99" i="28"/>
  <c r="C98" i="28"/>
  <c r="S98" i="28"/>
  <c r="R98" i="28"/>
  <c r="C97" i="28"/>
  <c r="S97" i="28"/>
  <c r="R97" i="28"/>
  <c r="P97" i="28"/>
  <c r="C96" i="28"/>
  <c r="S96" i="28"/>
  <c r="R96" i="28"/>
  <c r="C95" i="28"/>
  <c r="S95" i="28"/>
  <c r="R95" i="28"/>
  <c r="C94" i="28"/>
  <c r="S94" i="28"/>
  <c r="R94" i="28"/>
  <c r="C93" i="28"/>
  <c r="S93" i="28"/>
  <c r="R93" i="28"/>
  <c r="C92" i="28"/>
  <c r="R92" i="28"/>
  <c r="C91" i="28"/>
  <c r="S91" i="28"/>
  <c r="R91" i="28"/>
  <c r="C90" i="28"/>
  <c r="S90" i="28"/>
  <c r="R90" i="28"/>
  <c r="C89" i="28"/>
  <c r="S89" i="28"/>
  <c r="R89" i="28"/>
  <c r="C88" i="28"/>
  <c r="S88" i="28"/>
  <c r="R88" i="28"/>
  <c r="C87" i="28"/>
  <c r="S87" i="28"/>
  <c r="R87" i="28"/>
  <c r="C86" i="28"/>
  <c r="S86" i="28"/>
  <c r="R86" i="28"/>
  <c r="C85" i="28"/>
  <c r="S85" i="28"/>
  <c r="R85" i="28"/>
  <c r="C84" i="28"/>
  <c r="S84" i="28"/>
  <c r="R84" i="28"/>
  <c r="C83" i="28"/>
  <c r="S83" i="28"/>
  <c r="R83" i="28"/>
  <c r="C82" i="28"/>
  <c r="S82" i="28"/>
  <c r="R82" i="28"/>
  <c r="C81" i="28"/>
  <c r="S81" i="28"/>
  <c r="R81" i="28"/>
  <c r="P81" i="28"/>
  <c r="C80" i="28"/>
  <c r="S80" i="28"/>
  <c r="R80" i="28"/>
  <c r="C79" i="28"/>
  <c r="S79" i="28"/>
  <c r="R79" i="28"/>
  <c r="O79" i="28"/>
  <c r="C78" i="28"/>
  <c r="S78" i="28"/>
  <c r="R78" i="28"/>
  <c r="C77" i="28"/>
  <c r="S77" i="28"/>
  <c r="R77" i="28"/>
  <c r="P77" i="28"/>
  <c r="C76" i="28"/>
  <c r="S76" i="28"/>
  <c r="R76" i="28"/>
  <c r="C75" i="28"/>
  <c r="R75" i="28"/>
  <c r="C74" i="28"/>
  <c r="S74" i="28"/>
  <c r="R74" i="28"/>
  <c r="C73" i="28"/>
  <c r="S73" i="28"/>
  <c r="R73" i="28"/>
  <c r="P73" i="28"/>
  <c r="C72" i="28"/>
  <c r="S72" i="28"/>
  <c r="R72" i="28"/>
  <c r="J71" i="28"/>
  <c r="L71" i="28"/>
  <c r="C71" i="28"/>
  <c r="R71" i="28"/>
  <c r="C70" i="28"/>
  <c r="S70" i="28"/>
  <c r="R70" i="28"/>
  <c r="C69" i="28"/>
  <c r="S69" i="28"/>
  <c r="R69" i="28"/>
  <c r="C68" i="28"/>
  <c r="S68" i="28"/>
  <c r="R68" i="28"/>
  <c r="P68" i="28"/>
  <c r="J67" i="28"/>
  <c r="L67" i="28"/>
  <c r="Q67" i="28"/>
  <c r="C67" i="28"/>
  <c r="S67" i="28"/>
  <c r="R67" i="28"/>
  <c r="O67" i="28"/>
  <c r="C66" i="28"/>
  <c r="S66" i="28"/>
  <c r="R66" i="28"/>
  <c r="C65" i="28"/>
  <c r="S65" i="28"/>
  <c r="R65" i="28"/>
  <c r="C64" i="28"/>
  <c r="S64" i="28"/>
  <c r="R64" i="28"/>
  <c r="P64" i="28"/>
  <c r="C63" i="28"/>
  <c r="S63" i="28"/>
  <c r="R63" i="28"/>
  <c r="C62" i="28"/>
  <c r="S62" i="28"/>
  <c r="R62" i="28"/>
  <c r="C61" i="28"/>
  <c r="S61" i="28"/>
  <c r="R61" i="28"/>
  <c r="C60" i="28"/>
  <c r="S60" i="28"/>
  <c r="R60" i="28"/>
  <c r="C59" i="28"/>
  <c r="S59" i="28"/>
  <c r="R59" i="28"/>
  <c r="C53" i="28"/>
  <c r="S53" i="28"/>
  <c r="R53" i="28"/>
  <c r="C52" i="28"/>
  <c r="S52" i="28"/>
  <c r="R52" i="28"/>
  <c r="C51" i="28"/>
  <c r="S51" i="28"/>
  <c r="R51" i="28"/>
  <c r="C50" i="28"/>
  <c r="S50" i="28"/>
  <c r="R50" i="28"/>
  <c r="C49" i="28"/>
  <c r="S49" i="28"/>
  <c r="R49" i="28"/>
  <c r="J48" i="28"/>
  <c r="L48" i="28"/>
  <c r="C48" i="28"/>
  <c r="S48" i="28"/>
  <c r="R48" i="28"/>
  <c r="O48" i="28"/>
  <c r="C47" i="28"/>
  <c r="S47" i="28"/>
  <c r="R47" i="28"/>
  <c r="C46" i="28"/>
  <c r="S46" i="28"/>
  <c r="R46" i="28"/>
  <c r="C45" i="28"/>
  <c r="S45" i="28"/>
  <c r="R45" i="28"/>
  <c r="C44" i="28"/>
  <c r="S44" i="28"/>
  <c r="R44" i="28"/>
  <c r="C43" i="28"/>
  <c r="S43" i="28"/>
  <c r="R43" i="28"/>
  <c r="C42" i="28"/>
  <c r="S42" i="28"/>
  <c r="R42" i="28"/>
  <c r="J41" i="28"/>
  <c r="L41" i="28"/>
  <c r="C41" i="28"/>
  <c r="S41" i="28"/>
  <c r="R41" i="28"/>
  <c r="J40" i="28"/>
  <c r="L40" i="28"/>
  <c r="Q40" i="28"/>
  <c r="C40" i="28"/>
  <c r="S40" i="28"/>
  <c r="R40" i="28"/>
  <c r="C39" i="28"/>
  <c r="S39" i="28"/>
  <c r="R39" i="28"/>
  <c r="C38" i="28"/>
  <c r="S38" i="28"/>
  <c r="R38" i="28"/>
  <c r="C37" i="28"/>
  <c r="S37" i="28"/>
  <c r="R37" i="28"/>
  <c r="C36" i="28"/>
  <c r="S36" i="28"/>
  <c r="R36" i="28"/>
  <c r="C35" i="28"/>
  <c r="S35" i="28"/>
  <c r="R35" i="28"/>
  <c r="C34" i="28"/>
  <c r="S34" i="28"/>
  <c r="R34" i="28"/>
  <c r="C33" i="28"/>
  <c r="S33" i="28"/>
  <c r="R33" i="28"/>
  <c r="C32" i="28"/>
  <c r="S32" i="28"/>
  <c r="R32" i="28"/>
  <c r="C31" i="28"/>
  <c r="S31" i="28"/>
  <c r="R31" i="28"/>
  <c r="C30" i="28"/>
  <c r="S30" i="28"/>
  <c r="R30" i="28"/>
  <c r="C29" i="28"/>
  <c r="S29" i="28"/>
  <c r="R29" i="28"/>
  <c r="C28" i="28"/>
  <c r="S28" i="28"/>
  <c r="R28" i="28"/>
  <c r="C27" i="28"/>
  <c r="S27" i="28"/>
  <c r="R27" i="28"/>
  <c r="C26" i="28"/>
  <c r="S26" i="28"/>
  <c r="R26" i="28"/>
  <c r="C25" i="28"/>
  <c r="R25" i="28"/>
  <c r="C24" i="28"/>
  <c r="S24" i="28"/>
  <c r="R24" i="28"/>
  <c r="C23" i="28"/>
  <c r="S23" i="28"/>
  <c r="R23" i="28"/>
  <c r="P23" i="28"/>
  <c r="C22" i="28"/>
  <c r="S22" i="28"/>
  <c r="R22" i="28"/>
  <c r="O22" i="28"/>
  <c r="C21" i="28"/>
  <c r="S21" i="28"/>
  <c r="R21" i="28"/>
  <c r="C20" i="28"/>
  <c r="S20" i="28"/>
  <c r="R20" i="28"/>
  <c r="C19" i="28"/>
  <c r="S19" i="28"/>
  <c r="R19" i="28"/>
  <c r="C18" i="28"/>
  <c r="S18" i="28"/>
  <c r="R18" i="28"/>
  <c r="C17" i="28"/>
  <c r="S17" i="28"/>
  <c r="R17" i="28"/>
  <c r="C16" i="28"/>
  <c r="S16" i="28"/>
  <c r="R16" i="28"/>
  <c r="C15" i="28"/>
  <c r="S15" i="28"/>
  <c r="R15" i="28"/>
  <c r="C14" i="28"/>
  <c r="S14" i="28"/>
  <c r="R14" i="28"/>
  <c r="C13" i="28"/>
  <c r="S13" i="28"/>
  <c r="R13" i="28"/>
  <c r="C10" i="28"/>
  <c r="S10" i="28"/>
  <c r="R10" i="28"/>
  <c r="C9" i="28"/>
  <c r="S9" i="28"/>
  <c r="R9" i="28"/>
  <c r="C9" i="23"/>
  <c r="S9" i="23"/>
  <c r="I14" i="23"/>
  <c r="J14" i="23"/>
  <c r="L14" i="23"/>
  <c r="Q14" i="23"/>
  <c r="T14" i="23"/>
  <c r="I15" i="23"/>
  <c r="J15" i="23"/>
  <c r="L15" i="23"/>
  <c r="Q15" i="23"/>
  <c r="I16" i="23"/>
  <c r="O16" i="23"/>
  <c r="I9" i="23"/>
  <c r="J9" i="23"/>
  <c r="L9" i="23"/>
  <c r="N9" i="23"/>
  <c r="I10" i="23"/>
  <c r="J10" i="23"/>
  <c r="I13" i="23"/>
  <c r="J13" i="23"/>
  <c r="L13" i="23"/>
  <c r="Q13" i="23"/>
  <c r="I17" i="23"/>
  <c r="J17" i="23"/>
  <c r="L17" i="23"/>
  <c r="I18" i="23"/>
  <c r="J18" i="23"/>
  <c r="L18" i="23"/>
  <c r="I19" i="23"/>
  <c r="J19" i="23"/>
  <c r="C10" i="23"/>
  <c r="S10" i="23"/>
  <c r="R10" i="23"/>
  <c r="R13" i="23"/>
  <c r="R14" i="23"/>
  <c r="R15" i="23"/>
  <c r="R16" i="23"/>
  <c r="R17"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R47" i="23"/>
  <c r="R48" i="23"/>
  <c r="R49" i="23"/>
  <c r="R50" i="23"/>
  <c r="R51" i="23"/>
  <c r="R52" i="23"/>
  <c r="R53" i="23"/>
  <c r="R59" i="23"/>
  <c r="R60" i="23"/>
  <c r="R61" i="23"/>
  <c r="R62" i="23"/>
  <c r="R63" i="23"/>
  <c r="R64" i="23"/>
  <c r="R65" i="23"/>
  <c r="R66" i="23"/>
  <c r="R67" i="23"/>
  <c r="R68" i="23"/>
  <c r="R69" i="23"/>
  <c r="R70" i="23"/>
  <c r="R71" i="23"/>
  <c r="R72" i="23"/>
  <c r="R73" i="23"/>
  <c r="R74" i="23"/>
  <c r="R75" i="23"/>
  <c r="R76" i="23"/>
  <c r="R77" i="23"/>
  <c r="R78" i="23"/>
  <c r="R79" i="23"/>
  <c r="R80" i="23"/>
  <c r="R81" i="23"/>
  <c r="R82" i="23"/>
  <c r="R83" i="23"/>
  <c r="R84" i="23"/>
  <c r="R85" i="23"/>
  <c r="R86" i="23"/>
  <c r="R87" i="23"/>
  <c r="R88" i="23"/>
  <c r="R89" i="23"/>
  <c r="R90" i="23"/>
  <c r="R91" i="23"/>
  <c r="R92" i="23"/>
  <c r="R93" i="23"/>
  <c r="R94" i="23"/>
  <c r="R95" i="23"/>
  <c r="R96" i="23"/>
  <c r="R97" i="23"/>
  <c r="R98" i="23"/>
  <c r="R99" i="23"/>
  <c r="R100" i="23"/>
  <c r="R101" i="23"/>
  <c r="R102" i="23"/>
  <c r="R103" i="23"/>
  <c r="R104" i="23"/>
  <c r="R105" i="23"/>
  <c r="R106" i="23"/>
  <c r="R107" i="23"/>
  <c r="R108" i="23"/>
  <c r="R109" i="23"/>
  <c r="R110" i="23"/>
  <c r="R111" i="23"/>
  <c r="R112" i="23"/>
  <c r="R113" i="23"/>
  <c r="R114" i="23"/>
  <c r="R115" i="23"/>
  <c r="R116" i="23"/>
  <c r="R117" i="23"/>
  <c r="R118" i="23"/>
  <c r="R119" i="23"/>
  <c r="R120" i="23"/>
  <c r="R121" i="23"/>
  <c r="R122" i="23"/>
  <c r="R123" i="23"/>
  <c r="R124" i="23"/>
  <c r="R125" i="23"/>
  <c r="R126" i="23"/>
  <c r="R127" i="23"/>
  <c r="R128" i="23"/>
  <c r="R9" i="23"/>
  <c r="P41" i="23"/>
  <c r="P111" i="23"/>
  <c r="C13" i="23"/>
  <c r="S13" i="23"/>
  <c r="C14" i="23"/>
  <c r="S14" i="23"/>
  <c r="C15" i="23"/>
  <c r="S15" i="23"/>
  <c r="C16" i="23"/>
  <c r="S16" i="23"/>
  <c r="C17" i="23"/>
  <c r="S17" i="23"/>
  <c r="C18" i="23"/>
  <c r="S18" i="23"/>
  <c r="C19" i="23"/>
  <c r="S19" i="23"/>
  <c r="C20" i="23"/>
  <c r="S20" i="23"/>
  <c r="C21" i="23"/>
  <c r="S21" i="23"/>
  <c r="C22" i="23"/>
  <c r="S22" i="23"/>
  <c r="C23" i="23"/>
  <c r="S23" i="23"/>
  <c r="C24" i="23"/>
  <c r="S24" i="23"/>
  <c r="C25" i="23"/>
  <c r="S25" i="23"/>
  <c r="C26" i="23"/>
  <c r="S26" i="23"/>
  <c r="C27" i="23"/>
  <c r="S27" i="23"/>
  <c r="C28" i="23"/>
  <c r="S28" i="23"/>
  <c r="C29" i="23"/>
  <c r="S29" i="23"/>
  <c r="C30" i="23"/>
  <c r="S30" i="23"/>
  <c r="C31" i="23"/>
  <c r="S31" i="23"/>
  <c r="C32" i="23"/>
  <c r="S32" i="23"/>
  <c r="C33" i="23"/>
  <c r="S33" i="23"/>
  <c r="C34" i="23"/>
  <c r="S34" i="23"/>
  <c r="C35" i="23"/>
  <c r="S35" i="23"/>
  <c r="C36" i="23"/>
  <c r="S36" i="23"/>
  <c r="C37" i="23"/>
  <c r="S37" i="23"/>
  <c r="C38" i="23"/>
  <c r="S38" i="23"/>
  <c r="C39" i="23"/>
  <c r="S39" i="23"/>
  <c r="C40" i="23"/>
  <c r="S40" i="23"/>
  <c r="C41" i="23"/>
  <c r="S41" i="23"/>
  <c r="C42" i="23"/>
  <c r="S42" i="23"/>
  <c r="C43" i="23"/>
  <c r="S43" i="23"/>
  <c r="C44" i="23"/>
  <c r="S44" i="23"/>
  <c r="C45" i="23"/>
  <c r="S45" i="23"/>
  <c r="C46" i="23"/>
  <c r="S46" i="23"/>
  <c r="C47" i="23"/>
  <c r="S47" i="23"/>
  <c r="C48" i="23"/>
  <c r="S48" i="23"/>
  <c r="C49" i="23"/>
  <c r="S49" i="23"/>
  <c r="C50" i="23"/>
  <c r="S50" i="23"/>
  <c r="C51" i="23"/>
  <c r="S51" i="23"/>
  <c r="C52" i="23"/>
  <c r="S52" i="23"/>
  <c r="C53" i="23"/>
  <c r="S53" i="23"/>
  <c r="C59" i="23"/>
  <c r="S59" i="23"/>
  <c r="C60" i="23"/>
  <c r="S60" i="23"/>
  <c r="C61" i="23"/>
  <c r="S61" i="23"/>
  <c r="C62" i="23"/>
  <c r="S62" i="23"/>
  <c r="C63" i="23"/>
  <c r="S63" i="23"/>
  <c r="C64" i="23"/>
  <c r="S64" i="23"/>
  <c r="C65" i="23"/>
  <c r="S65" i="23"/>
  <c r="C66" i="23"/>
  <c r="S66" i="23"/>
  <c r="C67" i="23"/>
  <c r="S67" i="23"/>
  <c r="C68" i="23"/>
  <c r="S68" i="23"/>
  <c r="C69" i="23"/>
  <c r="S69" i="23"/>
  <c r="C70" i="23"/>
  <c r="S70" i="23"/>
  <c r="C71" i="23"/>
  <c r="S71" i="23"/>
  <c r="C72" i="23"/>
  <c r="S72" i="23"/>
  <c r="C73" i="23"/>
  <c r="S73" i="23"/>
  <c r="C74" i="23"/>
  <c r="S74" i="23"/>
  <c r="C75" i="23"/>
  <c r="S75" i="23"/>
  <c r="C76" i="23"/>
  <c r="S76" i="23"/>
  <c r="C77" i="23"/>
  <c r="S77" i="23"/>
  <c r="C78" i="23"/>
  <c r="S78" i="23"/>
  <c r="C79" i="23"/>
  <c r="S79" i="23"/>
  <c r="C80" i="23"/>
  <c r="S80" i="23"/>
  <c r="C81" i="23"/>
  <c r="S81" i="23"/>
  <c r="C82" i="23"/>
  <c r="S82" i="23"/>
  <c r="C83" i="23"/>
  <c r="S83" i="23"/>
  <c r="C84" i="23"/>
  <c r="S84" i="23"/>
  <c r="C85" i="23"/>
  <c r="S85" i="23"/>
  <c r="C86" i="23"/>
  <c r="S86" i="23"/>
  <c r="C87" i="23"/>
  <c r="S87" i="23"/>
  <c r="C88" i="23"/>
  <c r="S88" i="23"/>
  <c r="C89" i="23"/>
  <c r="S89" i="23"/>
  <c r="C90" i="23"/>
  <c r="S90" i="23"/>
  <c r="C91" i="23"/>
  <c r="S91" i="23"/>
  <c r="C92" i="23"/>
  <c r="S92" i="23"/>
  <c r="C93" i="23"/>
  <c r="S93" i="23"/>
  <c r="C94" i="23"/>
  <c r="S94" i="23"/>
  <c r="C95" i="23"/>
  <c r="S95" i="23"/>
  <c r="C96" i="23"/>
  <c r="S96" i="23"/>
  <c r="C97" i="23"/>
  <c r="S97" i="23"/>
  <c r="C98" i="23"/>
  <c r="S98" i="23"/>
  <c r="C99" i="23"/>
  <c r="S99" i="23"/>
  <c r="C100" i="23"/>
  <c r="S100" i="23"/>
  <c r="C101" i="23"/>
  <c r="S101" i="23"/>
  <c r="C102" i="23"/>
  <c r="S102" i="23"/>
  <c r="C103" i="23"/>
  <c r="S103" i="23"/>
  <c r="C104" i="23"/>
  <c r="S104" i="23"/>
  <c r="C105" i="23"/>
  <c r="S105" i="23"/>
  <c r="C106" i="23"/>
  <c r="S106" i="23"/>
  <c r="C107" i="23"/>
  <c r="S107" i="23"/>
  <c r="C108" i="23"/>
  <c r="S108" i="23"/>
  <c r="C109" i="23"/>
  <c r="S109" i="23"/>
  <c r="C110" i="23"/>
  <c r="S110" i="23"/>
  <c r="C111" i="23"/>
  <c r="S111" i="23"/>
  <c r="C112" i="23"/>
  <c r="S112" i="23"/>
  <c r="C113" i="23"/>
  <c r="S113" i="23"/>
  <c r="C114" i="23"/>
  <c r="S114" i="23"/>
  <c r="C115" i="23"/>
  <c r="S115" i="23"/>
  <c r="C116" i="23"/>
  <c r="S116" i="23"/>
  <c r="C117" i="23"/>
  <c r="S117" i="23"/>
  <c r="C118" i="23"/>
  <c r="S118" i="23"/>
  <c r="C119" i="23"/>
  <c r="S119" i="23"/>
  <c r="C120" i="23"/>
  <c r="S120" i="23"/>
  <c r="C121" i="23"/>
  <c r="S121" i="23"/>
  <c r="C122" i="23"/>
  <c r="S122" i="23"/>
  <c r="C123" i="23"/>
  <c r="S123" i="23"/>
  <c r="C124" i="23"/>
  <c r="S124" i="23"/>
  <c r="C125" i="23"/>
  <c r="S125" i="23"/>
  <c r="C126" i="23"/>
  <c r="S126" i="23"/>
  <c r="C127" i="23"/>
  <c r="S127" i="23"/>
  <c r="C128" i="23"/>
  <c r="S128" i="23"/>
  <c r="O98" i="23"/>
  <c r="O75" i="23"/>
  <c r="O102" i="23"/>
  <c r="O94" i="23"/>
  <c r="O111" i="23"/>
  <c r="L98" i="23"/>
  <c r="Q94" i="23"/>
  <c r="N94" i="23"/>
  <c r="L102" i="23"/>
  <c r="J65" i="29"/>
  <c r="L65" i="29"/>
  <c r="Q65" i="29"/>
  <c r="J48" i="29"/>
  <c r="O69" i="29"/>
  <c r="O50" i="29"/>
  <c r="O92" i="29"/>
  <c r="N36" i="29"/>
  <c r="J77" i="28"/>
  <c r="O96" i="28"/>
  <c r="O32" i="28"/>
  <c r="O38" i="28"/>
  <c r="O73" i="28"/>
  <c r="O81" i="28"/>
  <c r="J42" i="28"/>
  <c r="L42" i="28"/>
  <c r="J24" i="28"/>
  <c r="L24" i="28"/>
  <c r="J97" i="28"/>
  <c r="L97" i="28"/>
  <c r="Q97" i="28"/>
  <c r="O101" i="28"/>
  <c r="J93" i="28"/>
  <c r="L93" i="28"/>
  <c r="Q93" i="28"/>
  <c r="O116" i="23"/>
  <c r="O55" i="28"/>
  <c r="O74" i="28"/>
  <c r="J111" i="28"/>
  <c r="L111" i="28"/>
  <c r="O110" i="29"/>
  <c r="J83" i="28"/>
  <c r="L83" i="28"/>
  <c r="O91" i="28"/>
  <c r="J89" i="28"/>
  <c r="L89" i="28"/>
  <c r="J70" i="28"/>
  <c r="L70" i="28"/>
  <c r="J66" i="28"/>
  <c r="L66" i="28"/>
  <c r="J62" i="28"/>
  <c r="L62" i="28"/>
  <c r="J26" i="28"/>
  <c r="L26" i="28"/>
  <c r="N26" i="28"/>
  <c r="J21" i="28"/>
  <c r="L21" i="28"/>
  <c r="O13" i="28"/>
  <c r="O13" i="29"/>
  <c r="O17" i="28"/>
  <c r="Q9" i="28"/>
  <c r="T9" i="28"/>
  <c r="L23" i="29"/>
  <c r="N123" i="29"/>
  <c r="J78" i="29"/>
  <c r="L78" i="29"/>
  <c r="N78" i="29"/>
  <c r="O107" i="29"/>
  <c r="J127" i="29"/>
  <c r="L127" i="29"/>
  <c r="N103" i="29"/>
  <c r="O17" i="29"/>
  <c r="O32" i="29"/>
  <c r="N114" i="29"/>
  <c r="O23" i="29"/>
  <c r="J97" i="29"/>
  <c r="L97" i="29"/>
  <c r="Q97" i="29"/>
  <c r="T97" i="29"/>
  <c r="N46" i="29"/>
  <c r="L92" i="29"/>
  <c r="Q92" i="29"/>
  <c r="L21" i="29"/>
  <c r="Q21" i="29"/>
  <c r="C83" i="33"/>
  <c r="O20" i="29"/>
  <c r="O38" i="29"/>
  <c r="O42" i="29"/>
  <c r="O80" i="29"/>
  <c r="O21" i="29"/>
  <c r="O73" i="29"/>
  <c r="J96" i="29"/>
  <c r="J100" i="29"/>
  <c r="L100" i="29"/>
  <c r="Q100" i="29"/>
  <c r="O15" i="29"/>
  <c r="O26" i="29"/>
  <c r="O84" i="29"/>
  <c r="C65" i="33"/>
  <c r="Q98" i="29"/>
  <c r="T98" i="29"/>
  <c r="N98" i="29"/>
  <c r="N9" i="29"/>
  <c r="Q9" i="29"/>
  <c r="T9" i="29"/>
  <c r="O9" i="29"/>
  <c r="O10" i="29"/>
  <c r="O31" i="29"/>
  <c r="O35" i="29"/>
  <c r="N49" i="29"/>
  <c r="J62" i="29"/>
  <c r="L62" i="29"/>
  <c r="J93" i="29"/>
  <c r="L93" i="29"/>
  <c r="J101" i="29"/>
  <c r="L101" i="29"/>
  <c r="Q101" i="29"/>
  <c r="N73" i="29"/>
  <c r="Q22" i="29"/>
  <c r="T22" i="29"/>
  <c r="O22" i="29"/>
  <c r="O39" i="29"/>
  <c r="O126" i="29"/>
  <c r="J126" i="29"/>
  <c r="L126" i="29"/>
  <c r="L34" i="29"/>
  <c r="Q34" i="29"/>
  <c r="L51" i="29"/>
  <c r="N51" i="29"/>
  <c r="L74" i="29"/>
  <c r="Q74" i="29"/>
  <c r="Q20" i="29"/>
  <c r="T20" i="29"/>
  <c r="Q69" i="29"/>
  <c r="T69" i="29"/>
  <c r="N69" i="29"/>
  <c r="N20" i="29"/>
  <c r="O14" i="29"/>
  <c r="O47" i="29"/>
  <c r="O51" i="29"/>
  <c r="O74" i="29"/>
  <c r="O77" i="29"/>
  <c r="C61" i="33"/>
  <c r="O43" i="29"/>
  <c r="O105" i="29"/>
  <c r="J111" i="29"/>
  <c r="L111" i="29"/>
  <c r="N111" i="29"/>
  <c r="C62" i="33"/>
  <c r="C64" i="33"/>
  <c r="J118" i="29"/>
  <c r="L118" i="29"/>
  <c r="N118" i="29"/>
  <c r="C82" i="33"/>
  <c r="N75" i="29"/>
  <c r="N13" i="29"/>
  <c r="J18" i="29"/>
  <c r="O34" i="29"/>
  <c r="O66" i="29"/>
  <c r="O70" i="29"/>
  <c r="S82" i="29"/>
  <c r="O93" i="29"/>
  <c r="J113" i="29"/>
  <c r="C9" i="33"/>
  <c r="J55" i="29"/>
  <c r="L55" i="29"/>
  <c r="S25" i="29"/>
  <c r="T73" i="29"/>
  <c r="T75" i="29"/>
  <c r="S92" i="29"/>
  <c r="N95" i="29"/>
  <c r="S72" i="29"/>
  <c r="T92" i="29"/>
  <c r="N39" i="29"/>
  <c r="S34" i="29"/>
  <c r="T72" i="29"/>
  <c r="N72" i="29"/>
  <c r="C6" i="33"/>
  <c r="O54" i="29"/>
  <c r="C42" i="33"/>
  <c r="C56" i="33"/>
  <c r="C63" i="33"/>
  <c r="J12" i="29"/>
  <c r="L12" i="29"/>
  <c r="C52" i="33"/>
  <c r="C59" i="33"/>
  <c r="C67" i="33"/>
  <c r="L80" i="28"/>
  <c r="Q80" i="28"/>
  <c r="J108" i="28"/>
  <c r="L108" i="28"/>
  <c r="J72" i="28"/>
  <c r="L72" i="28"/>
  <c r="Q72" i="28"/>
  <c r="O80" i="28"/>
  <c r="O95" i="28"/>
  <c r="O106" i="28"/>
  <c r="O127" i="28"/>
  <c r="O76" i="28"/>
  <c r="J103" i="28"/>
  <c r="L103" i="28"/>
  <c r="C82" i="32"/>
  <c r="N95" i="28"/>
  <c r="L49" i="28"/>
  <c r="N49" i="28"/>
  <c r="L74" i="28"/>
  <c r="Q74" i="28"/>
  <c r="T74" i="28"/>
  <c r="N13" i="28"/>
  <c r="J98" i="28"/>
  <c r="L98" i="28"/>
  <c r="C56" i="32"/>
  <c r="N99" i="28"/>
  <c r="O20" i="28"/>
  <c r="J20" i="28"/>
  <c r="L20" i="28"/>
  <c r="O44" i="28"/>
  <c r="J45" i="28"/>
  <c r="L45" i="28"/>
  <c r="O49" i="28"/>
  <c r="O52" i="28"/>
  <c r="J87" i="28"/>
  <c r="L87" i="28"/>
  <c r="O92" i="28"/>
  <c r="J92" i="28"/>
  <c r="L92" i="28"/>
  <c r="Q92" i="28"/>
  <c r="O94" i="28"/>
  <c r="J94" i="28"/>
  <c r="L94" i="28"/>
  <c r="O103" i="28"/>
  <c r="J107" i="28"/>
  <c r="L107" i="28"/>
  <c r="C60" i="41"/>
  <c r="O122" i="28"/>
  <c r="N71" i="28"/>
  <c r="O37" i="28"/>
  <c r="O114" i="28"/>
  <c r="O125" i="28"/>
  <c r="L47" i="28"/>
  <c r="Q47" i="28"/>
  <c r="T47" i="28"/>
  <c r="L43" i="28"/>
  <c r="Q43" i="28"/>
  <c r="T43" i="28"/>
  <c r="L78" i="28"/>
  <c r="Q78" i="28"/>
  <c r="L102" i="28"/>
  <c r="Q102" i="28"/>
  <c r="S25" i="28"/>
  <c r="O31" i="28"/>
  <c r="J60" i="28"/>
  <c r="L60" i="28"/>
  <c r="Q60" i="28"/>
  <c r="C61" i="32"/>
  <c r="N44" i="28"/>
  <c r="O36" i="28"/>
  <c r="O47" i="28"/>
  <c r="O51" i="28"/>
  <c r="O75" i="28"/>
  <c r="J75" i="28"/>
  <c r="L75" i="28"/>
  <c r="O78" i="28"/>
  <c r="O84" i="28"/>
  <c r="O102" i="28"/>
  <c r="C10" i="32"/>
  <c r="J120" i="28"/>
  <c r="L120" i="28"/>
  <c r="O10" i="28"/>
  <c r="O43" i="28"/>
  <c r="C36" i="32"/>
  <c r="O54" i="28"/>
  <c r="Q101" i="28"/>
  <c r="T101" i="28"/>
  <c r="S75" i="28"/>
  <c r="C25" i="32"/>
  <c r="C24" i="32"/>
  <c r="J34" i="28"/>
  <c r="O34" i="28"/>
  <c r="J59" i="28"/>
  <c r="O59" i="28"/>
  <c r="O82" i="28"/>
  <c r="J82" i="28"/>
  <c r="L82" i="28"/>
  <c r="Q82" i="28"/>
  <c r="C59" i="32"/>
  <c r="C60" i="32"/>
  <c r="C67" i="32"/>
  <c r="C68" i="32"/>
  <c r="J56" i="28"/>
  <c r="L56" i="28"/>
  <c r="O56" i="28"/>
  <c r="O53" i="28"/>
  <c r="J53" i="28"/>
  <c r="L53" i="28"/>
  <c r="J46" i="28"/>
  <c r="L46" i="28"/>
  <c r="O46" i="28"/>
  <c r="O39" i="28"/>
  <c r="J39" i="28"/>
  <c r="J18" i="28"/>
  <c r="L18" i="28"/>
  <c r="Q18" i="28"/>
  <c r="O18" i="28"/>
  <c r="N22" i="28"/>
  <c r="N96" i="28"/>
  <c r="T95" i="28"/>
  <c r="T99" i="28"/>
  <c r="T22" i="28"/>
  <c r="N101" i="28"/>
  <c r="Q96" i="28"/>
  <c r="T96" i="28"/>
  <c r="J14" i="28"/>
  <c r="L14" i="28"/>
  <c r="J29" i="28"/>
  <c r="L29" i="28"/>
  <c r="S92" i="28"/>
  <c r="C52" i="32"/>
  <c r="S71" i="28"/>
  <c r="J88" i="28"/>
  <c r="L88" i="28"/>
  <c r="N88" i="28"/>
  <c r="J40" i="23"/>
  <c r="L40" i="23"/>
  <c r="J99" i="23"/>
  <c r="L99" i="23"/>
  <c r="Q99" i="23"/>
  <c r="O42" i="23"/>
  <c r="O38" i="23"/>
  <c r="O50" i="23"/>
  <c r="O123" i="23"/>
  <c r="O63" i="23"/>
  <c r="J46" i="23"/>
  <c r="L46" i="23"/>
  <c r="Q46" i="23"/>
  <c r="J80" i="23"/>
  <c r="L80" i="23"/>
  <c r="Q80" i="23"/>
  <c r="T80" i="23"/>
  <c r="J95" i="23"/>
  <c r="L95" i="23"/>
  <c r="Q95" i="23"/>
  <c r="O72" i="23"/>
  <c r="O110" i="23"/>
  <c r="J76" i="23"/>
  <c r="O104" i="23"/>
  <c r="C39" i="25"/>
  <c r="O78" i="23"/>
  <c r="J35" i="23"/>
  <c r="L35" i="23"/>
  <c r="N35" i="23"/>
  <c r="O39" i="23"/>
  <c r="N39" i="23"/>
  <c r="N43" i="23"/>
  <c r="O36" i="23"/>
  <c r="J100" i="23"/>
  <c r="L100" i="23"/>
  <c r="Q100" i="23"/>
  <c r="T100" i="23"/>
  <c r="J127" i="23"/>
  <c r="L127" i="23"/>
  <c r="O96" i="23"/>
  <c r="O43" i="23"/>
  <c r="J47" i="23"/>
  <c r="L47" i="23"/>
  <c r="O24" i="23"/>
  <c r="J23" i="23"/>
  <c r="L23" i="23"/>
  <c r="N24" i="23"/>
  <c r="O48" i="23"/>
  <c r="O71" i="23"/>
  <c r="O33" i="23"/>
  <c r="C59" i="25"/>
  <c r="C38" i="25"/>
  <c r="J92" i="23"/>
  <c r="L92" i="23"/>
  <c r="Q92" i="23"/>
  <c r="T92" i="23"/>
  <c r="O52" i="23"/>
  <c r="J52" i="23"/>
  <c r="L52" i="23"/>
  <c r="Q52" i="23"/>
  <c r="O44" i="23"/>
  <c r="J44" i="23"/>
  <c r="L44" i="23"/>
  <c r="O37" i="23"/>
  <c r="J37" i="23"/>
  <c r="L37" i="23"/>
  <c r="Q37" i="23"/>
  <c r="O97" i="23"/>
  <c r="J97" i="23"/>
  <c r="J74" i="23"/>
  <c r="Q43" i="23"/>
  <c r="T43" i="23"/>
  <c r="L73" i="23"/>
  <c r="Q73" i="23"/>
  <c r="T73" i="23"/>
  <c r="C48" i="25"/>
  <c r="C26" i="25"/>
  <c r="J81" i="23"/>
  <c r="L81" i="23"/>
  <c r="O81" i="23"/>
  <c r="C40" i="25"/>
  <c r="O107" i="23"/>
  <c r="C36" i="25"/>
  <c r="O101" i="23"/>
  <c r="O77" i="23"/>
  <c r="O85" i="23"/>
  <c r="J89" i="23"/>
  <c r="L89" i="23"/>
  <c r="Q89" i="23"/>
  <c r="O92" i="23"/>
  <c r="C62" i="25"/>
  <c r="J93" i="23"/>
  <c r="L93" i="23"/>
  <c r="O93" i="23"/>
  <c r="C69" i="25"/>
  <c r="C67" i="25"/>
  <c r="Q102" i="23"/>
  <c r="C61" i="25"/>
  <c r="J71" i="23"/>
  <c r="L71" i="23"/>
  <c r="O84" i="23"/>
  <c r="O73" i="23"/>
  <c r="O60" i="23"/>
  <c r="J51" i="23"/>
  <c r="L51" i="23"/>
  <c r="Q51" i="23"/>
  <c r="J22" i="23"/>
  <c r="L22" i="23"/>
  <c r="N22" i="23"/>
  <c r="O22" i="23"/>
  <c r="J16" i="23"/>
  <c r="J20" i="23"/>
  <c r="O20" i="23"/>
  <c r="C6" i="25"/>
  <c r="O53" i="23"/>
  <c r="J53" i="23"/>
  <c r="L53" i="23"/>
  <c r="Q53" i="23"/>
  <c r="O70" i="23"/>
  <c r="J70" i="23"/>
  <c r="L70" i="23"/>
  <c r="J67" i="23"/>
  <c r="L67" i="23"/>
  <c r="Q67" i="23"/>
  <c r="O67" i="23"/>
  <c r="O66" i="23"/>
  <c r="J66" i="23"/>
  <c r="L66" i="23"/>
  <c r="J62" i="23"/>
  <c r="L62" i="23"/>
  <c r="O62" i="23"/>
  <c r="O79" i="23"/>
  <c r="J79" i="23"/>
  <c r="C37" i="25"/>
  <c r="J91" i="23"/>
  <c r="L91" i="23"/>
  <c r="O91" i="23"/>
  <c r="J87" i="23"/>
  <c r="L87" i="23"/>
  <c r="O87" i="23"/>
  <c r="J83" i="23"/>
  <c r="L83" i="23"/>
  <c r="Q83" i="23"/>
  <c r="O83" i="23"/>
  <c r="C54" i="25"/>
  <c r="C66" i="25"/>
  <c r="C68" i="25"/>
  <c r="C70" i="25"/>
  <c r="J124" i="23"/>
  <c r="L124" i="23"/>
  <c r="O124" i="23"/>
  <c r="O126" i="23"/>
  <c r="C84" i="25"/>
  <c r="J126" i="23"/>
  <c r="L126" i="23"/>
  <c r="T94" i="23"/>
  <c r="N96" i="23"/>
  <c r="T72" i="23"/>
  <c r="J21" i="23"/>
  <c r="L21" i="23"/>
  <c r="J32" i="23"/>
  <c r="L32" i="23"/>
  <c r="O32" i="23"/>
  <c r="J45" i="23"/>
  <c r="L45" i="23"/>
  <c r="O45" i="23"/>
  <c r="N77" i="23"/>
  <c r="J55" i="23"/>
  <c r="O55" i="23"/>
  <c r="Q96" i="23"/>
  <c r="T96" i="23"/>
  <c r="Q77" i="23"/>
  <c r="T77" i="23"/>
  <c r="O26" i="23"/>
  <c r="J54" i="23"/>
  <c r="L54" i="23"/>
  <c r="C46" i="25"/>
  <c r="C55" i="25"/>
  <c r="C56" i="25"/>
  <c r="N54" i="29"/>
  <c r="Q54" i="29"/>
  <c r="T54" i="29"/>
  <c r="N41" i="28"/>
  <c r="Q41" i="28"/>
  <c r="T41" i="28"/>
  <c r="N47" i="29"/>
  <c r="Q47" i="29"/>
  <c r="T47" i="29"/>
  <c r="N52" i="28"/>
  <c r="Q52" i="28"/>
  <c r="T52" i="28"/>
  <c r="T58" i="28"/>
  <c r="T53" i="29"/>
  <c r="T51" i="28"/>
  <c r="T36" i="28"/>
  <c r="Q126" i="28"/>
  <c r="T126" i="28"/>
  <c r="N126" i="28"/>
  <c r="C85" i="32"/>
  <c r="Q125" i="28"/>
  <c r="T125" i="28"/>
  <c r="N125" i="28"/>
  <c r="Q128" i="28"/>
  <c r="Q125" i="29"/>
  <c r="T125" i="29"/>
  <c r="L128" i="23"/>
  <c r="N125" i="29"/>
  <c r="C83" i="25"/>
  <c r="C83" i="32"/>
  <c r="C84" i="33"/>
  <c r="C85" i="25"/>
  <c r="J125" i="23"/>
  <c r="C81" i="25"/>
  <c r="O128" i="23"/>
  <c r="O128" i="28"/>
  <c r="O125" i="29"/>
  <c r="J128" i="29"/>
  <c r="C84" i="32"/>
  <c r="C81" i="33"/>
  <c r="C85" i="33"/>
  <c r="C82" i="25"/>
  <c r="C81" i="32"/>
  <c r="O115" i="23"/>
  <c r="J119" i="29"/>
  <c r="L119" i="29"/>
  <c r="N114" i="28"/>
  <c r="J119" i="23"/>
  <c r="L119" i="23"/>
  <c r="L115" i="29"/>
  <c r="N115" i="29"/>
  <c r="L121" i="28"/>
  <c r="N121" i="28"/>
  <c r="L124" i="28"/>
  <c r="Q124" i="28"/>
  <c r="L113" i="28"/>
  <c r="N113" i="28"/>
  <c r="O120" i="28"/>
  <c r="C80" i="32"/>
  <c r="C76" i="33"/>
  <c r="C77" i="32"/>
  <c r="O113" i="28"/>
  <c r="O115" i="29"/>
  <c r="O118" i="29"/>
  <c r="O121" i="28"/>
  <c r="O124" i="28"/>
  <c r="C77" i="25"/>
  <c r="J122" i="23"/>
  <c r="L122" i="23"/>
  <c r="J114" i="23"/>
  <c r="J122" i="29"/>
  <c r="C78" i="25"/>
  <c r="J112" i="28"/>
  <c r="O114" i="29"/>
  <c r="J116" i="28"/>
  <c r="L116" i="28"/>
  <c r="J123" i="28"/>
  <c r="J117" i="29"/>
  <c r="L117" i="29"/>
  <c r="T123" i="23"/>
  <c r="N123" i="23"/>
  <c r="Q123" i="29"/>
  <c r="T123" i="29"/>
  <c r="T114" i="28"/>
  <c r="T122" i="28"/>
  <c r="N115" i="23"/>
  <c r="Q115" i="23"/>
  <c r="T115" i="23"/>
  <c r="N116" i="23"/>
  <c r="T116" i="23"/>
  <c r="O112" i="23"/>
  <c r="C79" i="25"/>
  <c r="J112" i="23"/>
  <c r="L112" i="23"/>
  <c r="N112" i="23"/>
  <c r="C80" i="25"/>
  <c r="C76" i="25"/>
  <c r="J121" i="23"/>
  <c r="O121" i="23"/>
  <c r="J120" i="23"/>
  <c r="J118" i="23"/>
  <c r="J113" i="23"/>
  <c r="O113" i="23"/>
  <c r="J118" i="28"/>
  <c r="L118" i="28"/>
  <c r="J119" i="28"/>
  <c r="J115" i="28"/>
  <c r="O115" i="28"/>
  <c r="C76" i="32"/>
  <c r="C79" i="33"/>
  <c r="C78" i="33"/>
  <c r="J112" i="29"/>
  <c r="L112" i="29"/>
  <c r="C80" i="33"/>
  <c r="O112" i="29"/>
  <c r="C77" i="33"/>
  <c r="J124" i="29"/>
  <c r="O124" i="29"/>
  <c r="O121" i="29"/>
  <c r="J121" i="29"/>
  <c r="J120" i="29"/>
  <c r="O120" i="29"/>
  <c r="N117" i="28"/>
  <c r="Q117" i="28"/>
  <c r="T117" i="28"/>
  <c r="J117" i="23"/>
  <c r="O117" i="23"/>
  <c r="C79" i="32"/>
  <c r="O112" i="28"/>
  <c r="C78" i="32"/>
  <c r="Q114" i="29"/>
  <c r="T114" i="29"/>
  <c r="Q104" i="29"/>
  <c r="T104" i="29"/>
  <c r="N104" i="29"/>
  <c r="O106" i="23"/>
  <c r="O104" i="28"/>
  <c r="C71" i="32"/>
  <c r="C72" i="32"/>
  <c r="O110" i="28"/>
  <c r="N111" i="23"/>
  <c r="J105" i="23"/>
  <c r="O106" i="29"/>
  <c r="J108" i="29"/>
  <c r="J108" i="23"/>
  <c r="O109" i="29"/>
  <c r="C74" i="32"/>
  <c r="C75" i="32"/>
  <c r="J106" i="29"/>
  <c r="L106" i="29"/>
  <c r="Q104" i="28"/>
  <c r="T104" i="28"/>
  <c r="N104" i="28"/>
  <c r="Q105" i="29"/>
  <c r="T105" i="29"/>
  <c r="N105" i="29"/>
  <c r="T103" i="29"/>
  <c r="Q110" i="23"/>
  <c r="T110" i="23"/>
  <c r="N110" i="23"/>
  <c r="Q109" i="28"/>
  <c r="N109" i="28"/>
  <c r="Q110" i="28"/>
  <c r="T110" i="28"/>
  <c r="N110" i="28"/>
  <c r="N107" i="29"/>
  <c r="Q107" i="29"/>
  <c r="T107" i="29"/>
  <c r="N104" i="23"/>
  <c r="Q104" i="23"/>
  <c r="T104" i="23"/>
  <c r="N105" i="28"/>
  <c r="Q105" i="28"/>
  <c r="T105" i="28"/>
  <c r="Q110" i="29"/>
  <c r="T110" i="29"/>
  <c r="N110" i="29"/>
  <c r="C60" i="25"/>
  <c r="C30" i="25"/>
  <c r="C57" i="32"/>
  <c r="C69" i="32"/>
  <c r="C57" i="33"/>
  <c r="C69" i="33"/>
  <c r="C16" i="25"/>
  <c r="C17" i="25"/>
  <c r="C52" i="25"/>
  <c r="C57" i="25"/>
  <c r="C27" i="25"/>
  <c r="C58" i="32"/>
  <c r="C66" i="32"/>
  <c r="C70" i="32"/>
  <c r="C58" i="33"/>
  <c r="C66" i="33"/>
  <c r="C70" i="33"/>
  <c r="C51" i="25"/>
  <c r="C53" i="25"/>
  <c r="C58" i="25"/>
  <c r="C45" i="42"/>
  <c r="C19" i="32"/>
  <c r="C16" i="32"/>
  <c r="C19" i="33"/>
  <c r="C29" i="32"/>
  <c r="C49" i="32"/>
  <c r="C48" i="32"/>
  <c r="C55" i="32"/>
  <c r="C51" i="32"/>
  <c r="C54" i="32"/>
  <c r="C53" i="32"/>
  <c r="C28" i="33"/>
  <c r="C27" i="33"/>
  <c r="C48" i="33"/>
  <c r="C47" i="33"/>
  <c r="C55" i="33"/>
  <c r="C51" i="33"/>
  <c r="C54" i="33"/>
  <c r="C53" i="33"/>
  <c r="C18" i="33"/>
  <c r="C28" i="25"/>
  <c r="C47" i="32"/>
  <c r="C19" i="25"/>
  <c r="C20" i="25"/>
  <c r="C29" i="25"/>
  <c r="C49" i="25"/>
  <c r="C47" i="25"/>
  <c r="C50" i="25"/>
  <c r="C27" i="32"/>
  <c r="C28" i="32"/>
  <c r="C30" i="33"/>
  <c r="C50" i="33"/>
  <c r="C46" i="33"/>
  <c r="C49" i="33"/>
  <c r="C20" i="32"/>
  <c r="C18" i="32"/>
  <c r="C16" i="41"/>
  <c r="C46" i="32"/>
  <c r="C50" i="32"/>
  <c r="C17" i="33"/>
  <c r="C18" i="25"/>
  <c r="Q84" i="23"/>
  <c r="T84" i="23"/>
  <c r="C45" i="32"/>
  <c r="J86" i="23"/>
  <c r="L86" i="23"/>
  <c r="Q86" i="23"/>
  <c r="O90" i="23"/>
  <c r="N91" i="29"/>
  <c r="J85" i="29"/>
  <c r="J89" i="29"/>
  <c r="L89" i="29"/>
  <c r="C44" i="32"/>
  <c r="J90" i="28"/>
  <c r="L90" i="28"/>
  <c r="C43" i="33"/>
  <c r="C45" i="25"/>
  <c r="C41" i="25"/>
  <c r="J87" i="29"/>
  <c r="L87" i="29"/>
  <c r="Q87" i="29"/>
  <c r="C41" i="32"/>
  <c r="Q90" i="29"/>
  <c r="N90" i="29"/>
  <c r="C43" i="25"/>
  <c r="C42" i="32"/>
  <c r="C44" i="33"/>
  <c r="J88" i="23"/>
  <c r="L88" i="23"/>
  <c r="O85" i="28"/>
  <c r="J86" i="28"/>
  <c r="L86" i="28"/>
  <c r="J82" i="29"/>
  <c r="L82" i="29"/>
  <c r="Q82" i="29"/>
  <c r="J86" i="29"/>
  <c r="L86" i="29"/>
  <c r="J88" i="29"/>
  <c r="L88" i="29"/>
  <c r="Q88" i="29"/>
  <c r="C43" i="32"/>
  <c r="C41" i="33"/>
  <c r="C45" i="33"/>
  <c r="C44" i="25"/>
  <c r="J85" i="23"/>
  <c r="L85" i="23"/>
  <c r="Q85" i="23"/>
  <c r="O82" i="29"/>
  <c r="C42" i="25"/>
  <c r="J82" i="23"/>
  <c r="L82" i="23"/>
  <c r="Q82" i="23"/>
  <c r="J85" i="28"/>
  <c r="L85" i="28"/>
  <c r="Q84" i="28"/>
  <c r="T84" i="28"/>
  <c r="N84" i="28"/>
  <c r="N91" i="28"/>
  <c r="Q91" i="28"/>
  <c r="T91" i="28"/>
  <c r="T91" i="29"/>
  <c r="Q73" i="28"/>
  <c r="T73" i="28"/>
  <c r="N73" i="28"/>
  <c r="N78" i="23"/>
  <c r="Q78" i="23"/>
  <c r="T78" i="23"/>
  <c r="Q79" i="29"/>
  <c r="T79" i="29"/>
  <c r="N79" i="29"/>
  <c r="N75" i="23"/>
  <c r="Q75" i="23"/>
  <c r="T75" i="23"/>
  <c r="N72" i="23"/>
  <c r="O65" i="23"/>
  <c r="J65" i="28"/>
  <c r="L65" i="28"/>
  <c r="Q65" i="28"/>
  <c r="T65" i="28"/>
  <c r="C35" i="25"/>
  <c r="N69" i="23"/>
  <c r="Q69" i="23"/>
  <c r="T69" i="23"/>
  <c r="O69" i="23"/>
  <c r="O69" i="28"/>
  <c r="O64" i="29"/>
  <c r="O68" i="29"/>
  <c r="N65" i="23"/>
  <c r="Q65" i="23"/>
  <c r="T65" i="23"/>
  <c r="O59" i="23"/>
  <c r="Q59" i="29"/>
  <c r="T59" i="29"/>
  <c r="N59" i="29"/>
  <c r="N70" i="29"/>
  <c r="Q70" i="29"/>
  <c r="T70" i="29"/>
  <c r="L59" i="23"/>
  <c r="N59" i="23"/>
  <c r="L68" i="23"/>
  <c r="N68" i="23"/>
  <c r="L64" i="23"/>
  <c r="N64" i="23"/>
  <c r="L61" i="23"/>
  <c r="N61" i="23"/>
  <c r="Q61" i="28"/>
  <c r="T61" i="28"/>
  <c r="N67" i="28"/>
  <c r="Q66" i="29"/>
  <c r="T66" i="29"/>
  <c r="T63" i="23"/>
  <c r="N63" i="23"/>
  <c r="C34" i="25"/>
  <c r="O68" i="23"/>
  <c r="O64" i="23"/>
  <c r="O61" i="23"/>
  <c r="J60" i="29"/>
  <c r="N61" i="28"/>
  <c r="N68" i="29"/>
  <c r="N66" i="29"/>
  <c r="C32" i="25"/>
  <c r="C33" i="25"/>
  <c r="O61" i="28"/>
  <c r="J64" i="28"/>
  <c r="J68" i="28"/>
  <c r="O60" i="29"/>
  <c r="J63" i="29"/>
  <c r="Q68" i="29"/>
  <c r="T68" i="29"/>
  <c r="C31" i="25"/>
  <c r="Q70" i="28"/>
  <c r="C31" i="32"/>
  <c r="C17" i="32"/>
  <c r="C26" i="32"/>
  <c r="C30" i="32"/>
  <c r="C16" i="33"/>
  <c r="C20" i="33"/>
  <c r="C29" i="33"/>
  <c r="C26" i="33"/>
  <c r="L45" i="29"/>
  <c r="N45" i="29"/>
  <c r="O58" i="23"/>
  <c r="J58" i="23"/>
  <c r="J57" i="29"/>
  <c r="L57" i="29"/>
  <c r="Q57" i="29"/>
  <c r="O57" i="29"/>
  <c r="Q36" i="23"/>
  <c r="T36" i="23"/>
  <c r="Q38" i="28"/>
  <c r="T38" i="28"/>
  <c r="N38" i="28"/>
  <c r="N42" i="29"/>
  <c r="Q42" i="29"/>
  <c r="T42" i="29"/>
  <c r="L48" i="29"/>
  <c r="N48" i="29"/>
  <c r="Q54" i="28"/>
  <c r="T54" i="28"/>
  <c r="N54" i="28"/>
  <c r="Q58" i="29"/>
  <c r="T58" i="29"/>
  <c r="N53" i="29"/>
  <c r="N51" i="28"/>
  <c r="Q40" i="29"/>
  <c r="T40" i="29"/>
  <c r="L56" i="29"/>
  <c r="N56" i="29"/>
  <c r="J34" i="23"/>
  <c r="J41" i="23"/>
  <c r="L41" i="23"/>
  <c r="O41" i="23"/>
  <c r="O50" i="28"/>
  <c r="J50" i="28"/>
  <c r="C23" i="32"/>
  <c r="O35" i="28"/>
  <c r="C21" i="32"/>
  <c r="C22" i="32"/>
  <c r="J35" i="28"/>
  <c r="N58" i="29"/>
  <c r="N58" i="28"/>
  <c r="N36" i="28"/>
  <c r="T36" i="29"/>
  <c r="N36" i="23"/>
  <c r="Q38" i="23"/>
  <c r="T38" i="23"/>
  <c r="N38" i="23"/>
  <c r="L56" i="23"/>
  <c r="N56" i="23"/>
  <c r="J52" i="29"/>
  <c r="O52" i="29"/>
  <c r="O44" i="29"/>
  <c r="J44" i="29"/>
  <c r="L44" i="29"/>
  <c r="C24" i="33"/>
  <c r="J37" i="29"/>
  <c r="O37" i="29"/>
  <c r="N55" i="29"/>
  <c r="O56" i="23"/>
  <c r="O58" i="28"/>
  <c r="J33" i="28"/>
  <c r="L33" i="28"/>
  <c r="C14" i="32"/>
  <c r="O30" i="29"/>
  <c r="J33" i="29"/>
  <c r="L33" i="29"/>
  <c r="L33" i="23"/>
  <c r="Q33" i="23"/>
  <c r="T33" i="23"/>
  <c r="L30" i="23"/>
  <c r="N30" i="23"/>
  <c r="C15" i="33"/>
  <c r="O30" i="23"/>
  <c r="O30" i="28"/>
  <c r="Q30" i="29"/>
  <c r="T30" i="29"/>
  <c r="J29" i="23"/>
  <c r="L29" i="23"/>
  <c r="O28" i="28"/>
  <c r="J29" i="29"/>
  <c r="C11" i="33"/>
  <c r="N30" i="29"/>
  <c r="C12" i="25"/>
  <c r="J27" i="29"/>
  <c r="L27" i="29"/>
  <c r="C14" i="33"/>
  <c r="C13" i="32"/>
  <c r="N31" i="28"/>
  <c r="Q31" i="28"/>
  <c r="T31" i="28"/>
  <c r="N26" i="23"/>
  <c r="N28" i="28"/>
  <c r="Q28" i="28"/>
  <c r="T28" i="28"/>
  <c r="Q29" i="28"/>
  <c r="T29" i="28"/>
  <c r="L31" i="29"/>
  <c r="Q27" i="28"/>
  <c r="T27" i="28"/>
  <c r="N27" i="28"/>
  <c r="N30" i="28"/>
  <c r="Q30" i="28"/>
  <c r="T30" i="28"/>
  <c r="N26" i="29"/>
  <c r="Q26" i="29"/>
  <c r="T26" i="29"/>
  <c r="Q32" i="29"/>
  <c r="T32" i="29"/>
  <c r="J28" i="23"/>
  <c r="J25" i="23"/>
  <c r="J25" i="29"/>
  <c r="L25" i="29"/>
  <c r="C12" i="33"/>
  <c r="N29" i="28"/>
  <c r="J31" i="23"/>
  <c r="L31" i="23"/>
  <c r="O27" i="28"/>
  <c r="J28" i="29"/>
  <c r="C11" i="32"/>
  <c r="C15" i="32"/>
  <c r="C13" i="33"/>
  <c r="N32" i="29"/>
  <c r="O16" i="28"/>
  <c r="O19" i="29"/>
  <c r="N15" i="23"/>
  <c r="O12" i="28"/>
  <c r="O10" i="23"/>
  <c r="O17" i="23"/>
  <c r="C5" i="33"/>
  <c r="O19" i="23"/>
  <c r="O14" i="23"/>
  <c r="L15" i="28"/>
  <c r="N15" i="28"/>
  <c r="N19" i="28"/>
  <c r="Q19" i="28"/>
  <c r="T19" i="28"/>
  <c r="O15" i="28"/>
  <c r="O19" i="28"/>
  <c r="O16" i="29"/>
  <c r="N9" i="28"/>
  <c r="N18" i="23"/>
  <c r="O9" i="23"/>
  <c r="O9" i="28"/>
  <c r="L19" i="23"/>
  <c r="Q19" i="23"/>
  <c r="T19" i="23"/>
  <c r="Q19" i="29"/>
  <c r="T19" i="29"/>
  <c r="L10" i="29"/>
  <c r="N10" i="29"/>
  <c r="C5" i="25"/>
  <c r="Q17" i="23"/>
  <c r="T17" i="23"/>
  <c r="N17" i="23"/>
  <c r="L10" i="23"/>
  <c r="Q10" i="23"/>
  <c r="Q17" i="29"/>
  <c r="T17" i="29"/>
  <c r="N17" i="29"/>
  <c r="C2" i="25"/>
  <c r="Q18" i="23"/>
  <c r="T18" i="23"/>
  <c r="N17" i="28"/>
  <c r="Q17" i="28"/>
  <c r="Q12" i="28"/>
  <c r="T12" i="28"/>
  <c r="C1" i="25"/>
  <c r="C3" i="25"/>
  <c r="C4" i="25"/>
  <c r="Q16" i="29"/>
  <c r="T16" i="29"/>
  <c r="N16" i="29"/>
  <c r="J11" i="23"/>
  <c r="L11" i="23"/>
  <c r="O11" i="23"/>
  <c r="O11" i="28"/>
  <c r="J11" i="28"/>
  <c r="J11" i="29"/>
  <c r="L11" i="29"/>
  <c r="C4" i="33"/>
  <c r="C3" i="33"/>
  <c r="O11" i="29"/>
  <c r="C2" i="33"/>
  <c r="C1" i="33"/>
  <c r="L15" i="29"/>
  <c r="N15" i="29"/>
  <c r="Q9" i="23"/>
  <c r="T9" i="23"/>
  <c r="T15" i="23"/>
  <c r="C4" i="32"/>
  <c r="Q10" i="28"/>
  <c r="T10" i="28"/>
  <c r="O18" i="23"/>
  <c r="O13" i="23"/>
  <c r="O15" i="23"/>
  <c r="T13" i="28"/>
  <c r="N19" i="29"/>
  <c r="C3" i="32"/>
  <c r="C2" i="32"/>
  <c r="C5" i="32"/>
  <c r="C1" i="32"/>
  <c r="T13" i="29"/>
  <c r="O12" i="23"/>
  <c r="J12" i="23"/>
  <c r="N12" i="28"/>
  <c r="N100" i="29"/>
  <c r="N70" i="28"/>
  <c r="N83" i="28"/>
  <c r="N93" i="28"/>
  <c r="T93" i="28"/>
  <c r="T80" i="28"/>
  <c r="N72" i="28"/>
  <c r="N99" i="23"/>
  <c r="N98" i="28"/>
  <c r="N103" i="28"/>
  <c r="N102" i="28"/>
  <c r="N45" i="28"/>
  <c r="Q35" i="23"/>
  <c r="Q15" i="28"/>
  <c r="T15" i="28"/>
  <c r="N97" i="29"/>
  <c r="N21" i="29"/>
  <c r="Q115" i="29"/>
  <c r="T115" i="29"/>
  <c r="T100" i="29"/>
  <c r="L96" i="29"/>
  <c r="N96" i="29"/>
  <c r="N92" i="29"/>
  <c r="N101" i="29"/>
  <c r="N34" i="29"/>
  <c r="L113" i="29"/>
  <c r="N113" i="29"/>
  <c r="C47" i="42"/>
  <c r="Q10" i="29"/>
  <c r="T10" i="29"/>
  <c r="Q118" i="29"/>
  <c r="T118" i="29"/>
  <c r="N12" i="29"/>
  <c r="N80" i="28"/>
  <c r="C66" i="41"/>
  <c r="C65" i="41"/>
  <c r="N47" i="28"/>
  <c r="N14" i="28"/>
  <c r="N74" i="28"/>
  <c r="T124" i="28"/>
  <c r="C48" i="41"/>
  <c r="T102" i="28"/>
  <c r="C47" i="41"/>
  <c r="Q113" i="28"/>
  <c r="T113" i="28"/>
  <c r="L34" i="28"/>
  <c r="N34" i="28"/>
  <c r="C45" i="41"/>
  <c r="C46" i="41"/>
  <c r="L39" i="28"/>
  <c r="Q39" i="28"/>
  <c r="N95" i="23"/>
  <c r="N46" i="23"/>
  <c r="N127" i="23"/>
  <c r="Q47" i="23"/>
  <c r="T47" i="23"/>
  <c r="N100" i="23"/>
  <c r="N32" i="23"/>
  <c r="N86" i="23"/>
  <c r="N93" i="23"/>
  <c r="N62" i="23"/>
  <c r="N67" i="23"/>
  <c r="N92" i="23"/>
  <c r="N70" i="23"/>
  <c r="N83" i="23"/>
  <c r="C48" i="26"/>
  <c r="N73" i="23"/>
  <c r="N89" i="23"/>
  <c r="L97" i="23"/>
  <c r="Q97" i="23"/>
  <c r="N51" i="23"/>
  <c r="N53" i="23"/>
  <c r="T53" i="23"/>
  <c r="T51" i="23"/>
  <c r="N80" i="23"/>
  <c r="N91" i="23"/>
  <c r="C46" i="26"/>
  <c r="C56" i="26"/>
  <c r="C53" i="26"/>
  <c r="Q70" i="23"/>
  <c r="T70" i="23"/>
  <c r="C47" i="26"/>
  <c r="L79" i="23"/>
  <c r="L20" i="23"/>
  <c r="C45" i="26"/>
  <c r="C55" i="26"/>
  <c r="N66" i="23"/>
  <c r="C54" i="26"/>
  <c r="N82" i="23"/>
  <c r="N128" i="23"/>
  <c r="Q128" i="23"/>
  <c r="T128" i="23"/>
  <c r="L128" i="29"/>
  <c r="N128" i="29"/>
  <c r="L125" i="23"/>
  <c r="N117" i="29"/>
  <c r="N124" i="28"/>
  <c r="Q121" i="28"/>
  <c r="T121" i="28"/>
  <c r="L122" i="29"/>
  <c r="N122" i="29"/>
  <c r="L112" i="28"/>
  <c r="Q112" i="28"/>
  <c r="T112" i="28"/>
  <c r="L114" i="23"/>
  <c r="N114" i="23"/>
  <c r="L123" i="28"/>
  <c r="N123" i="28"/>
  <c r="L117" i="23"/>
  <c r="L115" i="28"/>
  <c r="N115" i="28"/>
  <c r="L118" i="23"/>
  <c r="N118" i="23"/>
  <c r="L120" i="23"/>
  <c r="N120" i="23"/>
  <c r="L124" i="29"/>
  <c r="N124" i="29"/>
  <c r="L119" i="28"/>
  <c r="N119" i="28"/>
  <c r="L121" i="29"/>
  <c r="L113" i="23"/>
  <c r="L121" i="23"/>
  <c r="N121" i="23"/>
  <c r="L108" i="23"/>
  <c r="N108" i="23"/>
  <c r="Q111" i="23"/>
  <c r="T111" i="23"/>
  <c r="C48" i="42"/>
  <c r="C46" i="42"/>
  <c r="C21" i="26"/>
  <c r="C13" i="41"/>
  <c r="C22" i="42"/>
  <c r="C24" i="41"/>
  <c r="L85" i="29"/>
  <c r="N82" i="29"/>
  <c r="L68" i="28"/>
  <c r="N68" i="28"/>
  <c r="L64" i="28"/>
  <c r="Q61" i="23"/>
  <c r="T61" i="23"/>
  <c r="Q59" i="23"/>
  <c r="T59" i="23"/>
  <c r="L63" i="29"/>
  <c r="N63" i="29"/>
  <c r="L60" i="29"/>
  <c r="Q68" i="23"/>
  <c r="T68" i="23"/>
  <c r="C23" i="42"/>
  <c r="C14" i="41"/>
  <c r="C15" i="41"/>
  <c r="C24" i="26"/>
  <c r="C21" i="42"/>
  <c r="C24" i="42"/>
  <c r="C22" i="26"/>
  <c r="C23" i="26"/>
  <c r="L37" i="29"/>
  <c r="L50" i="28"/>
  <c r="N50" i="28"/>
  <c r="L58" i="23"/>
  <c r="Q45" i="29"/>
  <c r="T45" i="29"/>
  <c r="L52" i="29"/>
  <c r="L34" i="23"/>
  <c r="N34" i="23"/>
  <c r="N44" i="29"/>
  <c r="Q56" i="23"/>
  <c r="T56" i="23"/>
  <c r="N33" i="23"/>
  <c r="L29" i="29"/>
  <c r="Q29" i="29"/>
  <c r="T29" i="29"/>
  <c r="Q31" i="29"/>
  <c r="L28" i="23"/>
  <c r="N28" i="23"/>
  <c r="L25" i="23"/>
  <c r="L28" i="29"/>
  <c r="N31" i="29"/>
  <c r="N19" i="23"/>
  <c r="L11" i="28"/>
  <c r="L12" i="23"/>
  <c r="N37" i="29"/>
  <c r="N11" i="28"/>
  <c r="N11" i="23"/>
  <c r="Q96" i="29"/>
  <c r="Q113" i="29"/>
  <c r="T113" i="29"/>
  <c r="Q34" i="28"/>
  <c r="T34" i="28"/>
  <c r="Q79" i="23"/>
  <c r="T79" i="23"/>
  <c r="C40" i="26"/>
  <c r="C37" i="26"/>
  <c r="C39" i="26"/>
  <c r="C38" i="26"/>
  <c r="N79" i="23"/>
  <c r="Q125" i="23"/>
  <c r="T125" i="23"/>
  <c r="N125" i="23"/>
  <c r="Q128" i="29"/>
  <c r="T128" i="29"/>
  <c r="Q122" i="29"/>
  <c r="T122" i="29"/>
  <c r="Q123" i="28"/>
  <c r="T123" i="28"/>
  <c r="Q113" i="23"/>
  <c r="T113" i="23"/>
  <c r="Q112" i="23"/>
  <c r="T112" i="23"/>
  <c r="Q121" i="29"/>
  <c r="T121" i="29"/>
  <c r="Q119" i="28"/>
  <c r="Q124" i="29"/>
  <c r="T124" i="29"/>
  <c r="Q118" i="23"/>
  <c r="T118" i="23"/>
  <c r="N113" i="23"/>
  <c r="N121" i="29"/>
  <c r="Q117" i="23"/>
  <c r="Q120" i="23"/>
  <c r="T120" i="23"/>
  <c r="Q115" i="28"/>
  <c r="T115" i="28"/>
  <c r="Q108" i="23"/>
  <c r="T108" i="23"/>
  <c r="C21" i="41"/>
  <c r="C43" i="26"/>
  <c r="C42" i="26"/>
  <c r="C41" i="26"/>
  <c r="C44" i="26"/>
  <c r="C55" i="42"/>
  <c r="C54" i="42"/>
  <c r="C53" i="42"/>
  <c r="C56" i="42"/>
  <c r="C55" i="41"/>
  <c r="C53" i="41"/>
  <c r="C54" i="41"/>
  <c r="C56" i="41"/>
  <c r="C38" i="41"/>
  <c r="C40" i="41"/>
  <c r="C39" i="41"/>
  <c r="C37" i="41"/>
  <c r="C43" i="42"/>
  <c r="C44" i="42"/>
  <c r="C42" i="42"/>
  <c r="C41" i="42"/>
  <c r="C23" i="41"/>
  <c r="C22" i="41"/>
  <c r="C43" i="41"/>
  <c r="C41" i="41"/>
  <c r="C42" i="41"/>
  <c r="C44" i="41"/>
  <c r="C37" i="42"/>
  <c r="C40" i="42"/>
  <c r="C38" i="42"/>
  <c r="C39" i="42"/>
  <c r="C16" i="42"/>
  <c r="C15" i="42"/>
  <c r="C14" i="42"/>
  <c r="C13" i="42"/>
  <c r="Q85" i="29"/>
  <c r="T85" i="29"/>
  <c r="N85" i="29"/>
  <c r="Q86" i="28"/>
  <c r="Q63" i="29"/>
  <c r="T63" i="29"/>
  <c r="Q64" i="28"/>
  <c r="Q68" i="28"/>
  <c r="T68" i="28"/>
  <c r="C14" i="26"/>
  <c r="C15" i="26"/>
  <c r="C13" i="26"/>
  <c r="C16" i="26"/>
  <c r="Q44" i="29"/>
  <c r="T57" i="29"/>
  <c r="Q34" i="23"/>
  <c r="T34" i="23"/>
  <c r="Q58" i="23"/>
  <c r="Q37" i="29"/>
  <c r="T37" i="29"/>
  <c r="N57" i="29"/>
  <c r="Q50" i="28"/>
  <c r="T50" i="28"/>
  <c r="N29" i="29"/>
  <c r="Q28" i="29"/>
  <c r="T28" i="29"/>
  <c r="Q31" i="23"/>
  <c r="T31" i="23"/>
  <c r="N28" i="29"/>
  <c r="Q25" i="23"/>
  <c r="T25" i="23"/>
  <c r="N25" i="23"/>
  <c r="N31" i="23"/>
  <c r="Q28" i="23"/>
  <c r="T28" i="23"/>
  <c r="C4" i="41"/>
  <c r="C2" i="41"/>
  <c r="C3" i="41"/>
  <c r="C1" i="41"/>
  <c r="Q11" i="28"/>
  <c r="T11" i="28"/>
  <c r="Q12" i="23"/>
  <c r="T12" i="23"/>
  <c r="Q11" i="23"/>
  <c r="T11" i="23"/>
  <c r="N12" i="23"/>
  <c r="Q29" i="23"/>
  <c r="L55" i="23"/>
  <c r="C11" i="24"/>
  <c r="D11" i="24"/>
  <c r="C12" i="24"/>
  <c r="D12" i="24"/>
  <c r="C13" i="24"/>
  <c r="D13" i="24"/>
  <c r="Q118" i="28"/>
  <c r="T118" i="28"/>
  <c r="N118" i="28"/>
  <c r="Q54" i="23"/>
  <c r="T54" i="23"/>
  <c r="N45" i="23"/>
  <c r="Q45" i="23"/>
  <c r="T45" i="23"/>
  <c r="Q53" i="28"/>
  <c r="T53" i="28"/>
  <c r="N53" i="28"/>
  <c r="Q94" i="28"/>
  <c r="T94" i="28"/>
  <c r="N94" i="28"/>
  <c r="N120" i="29"/>
  <c r="Q112" i="29"/>
  <c r="T112" i="29"/>
  <c r="N112" i="29"/>
  <c r="C64" i="42"/>
  <c r="N20" i="28"/>
  <c r="Q20" i="28"/>
  <c r="T20" i="28"/>
  <c r="Q44" i="23"/>
  <c r="N44" i="23"/>
  <c r="T44" i="23"/>
  <c r="Q56" i="28"/>
  <c r="T56" i="28"/>
  <c r="N56" i="28"/>
  <c r="Q93" i="29"/>
  <c r="T93" i="29"/>
  <c r="N93" i="29"/>
  <c r="Q40" i="23"/>
  <c r="T40" i="23"/>
  <c r="N40" i="23"/>
  <c r="C68" i="42"/>
  <c r="C66" i="42"/>
  <c r="C65" i="42"/>
  <c r="C67" i="42"/>
  <c r="Q89" i="28"/>
  <c r="N89" i="28"/>
  <c r="T89" i="28"/>
  <c r="Q87" i="23"/>
  <c r="N87" i="23"/>
  <c r="T87" i="23"/>
  <c r="C33" i="26"/>
  <c r="Q71" i="23"/>
  <c r="N71" i="23"/>
  <c r="T71" i="23"/>
  <c r="Q33" i="28"/>
  <c r="N33" i="28"/>
  <c r="Q124" i="23"/>
  <c r="T124" i="23"/>
  <c r="N124" i="23"/>
  <c r="N75" i="28"/>
  <c r="Q75" i="28"/>
  <c r="T75" i="28"/>
  <c r="N11" i="29"/>
  <c r="Q11" i="29"/>
  <c r="T11" i="29"/>
  <c r="Q119" i="23"/>
  <c r="T119" i="23"/>
  <c r="C64" i="26"/>
  <c r="N119" i="23"/>
  <c r="Q89" i="29"/>
  <c r="N89" i="29"/>
  <c r="N122" i="23"/>
  <c r="Q122" i="23"/>
  <c r="T122" i="23"/>
  <c r="Q85" i="28"/>
  <c r="T85" i="28"/>
  <c r="N85" i="28"/>
  <c r="Q119" i="29"/>
  <c r="N119" i="29"/>
  <c r="T119" i="29"/>
  <c r="L76" i="23"/>
  <c r="N76" i="23"/>
  <c r="Q120" i="28"/>
  <c r="T120" i="28"/>
  <c r="N120" i="28"/>
  <c r="Q86" i="29"/>
  <c r="N86" i="29"/>
  <c r="T86" i="29"/>
  <c r="C9" i="42"/>
  <c r="N25" i="29"/>
  <c r="Q25" i="29"/>
  <c r="T25" i="29"/>
  <c r="C12" i="42"/>
  <c r="C10" i="42"/>
  <c r="Q21" i="23"/>
  <c r="C7" i="26"/>
  <c r="T21" i="23"/>
  <c r="N59" i="28"/>
  <c r="N18" i="29"/>
  <c r="Q42" i="28"/>
  <c r="T42" i="28"/>
  <c r="N42" i="28"/>
  <c r="Q33" i="29"/>
  <c r="T33" i="29"/>
  <c r="N33" i="29"/>
  <c r="T116" i="28"/>
  <c r="C62" i="41"/>
  <c r="C64" i="41"/>
  <c r="Q116" i="28"/>
  <c r="C63" i="41"/>
  <c r="Q126" i="23"/>
  <c r="C66" i="26"/>
  <c r="C67" i="26"/>
  <c r="C68" i="26"/>
  <c r="C65" i="26"/>
  <c r="T126" i="23"/>
  <c r="Q81" i="23"/>
  <c r="T81" i="23"/>
  <c r="N81" i="23"/>
  <c r="Q46" i="28"/>
  <c r="T46" i="28"/>
  <c r="N46" i="28"/>
  <c r="Q21" i="28"/>
  <c r="T21" i="28"/>
  <c r="N21" i="28"/>
  <c r="Q56" i="29"/>
  <c r="L35" i="28"/>
  <c r="L120" i="29"/>
  <c r="Q120" i="29"/>
  <c r="T120" i="29"/>
  <c r="N126" i="23"/>
  <c r="N107" i="28"/>
  <c r="N16" i="28"/>
  <c r="T32" i="28"/>
  <c r="O25" i="28"/>
  <c r="C13" i="25"/>
  <c r="C24" i="25"/>
  <c r="N49" i="23"/>
  <c r="T67" i="28"/>
  <c r="Q76" i="28"/>
  <c r="T76" i="28"/>
  <c r="C10" i="25"/>
  <c r="N47" i="23"/>
  <c r="Q55" i="28"/>
  <c r="T55" i="28"/>
  <c r="L101" i="23"/>
  <c r="N101" i="23"/>
  <c r="T119" i="28"/>
  <c r="C61" i="41"/>
  <c r="N112" i="28"/>
  <c r="T96" i="29"/>
  <c r="C26" i="26"/>
  <c r="T35" i="23"/>
  <c r="T99" i="23"/>
  <c r="N127" i="29"/>
  <c r="N32" i="28"/>
  <c r="O27" i="23"/>
  <c r="J27" i="23"/>
  <c r="C25" i="25"/>
  <c r="T49" i="23"/>
  <c r="N90" i="23"/>
  <c r="N122" i="28"/>
  <c r="Q55" i="23"/>
  <c r="T55" i="23"/>
  <c r="O21" i="23"/>
  <c r="C64" i="25"/>
  <c r="C63" i="25"/>
  <c r="L59" i="28"/>
  <c r="L18" i="29"/>
  <c r="Q18" i="29"/>
  <c r="T18" i="29"/>
  <c r="N10" i="23"/>
  <c r="Q30" i="23"/>
  <c r="T30" i="23"/>
  <c r="T87" i="29"/>
  <c r="L105" i="23"/>
  <c r="N105" i="23"/>
  <c r="D10" i="27"/>
  <c r="Q49" i="29"/>
  <c r="T49" i="29"/>
  <c r="N85" i="23"/>
  <c r="Q51" i="29"/>
  <c r="T51" i="29"/>
  <c r="N77" i="29"/>
  <c r="N66" i="28"/>
  <c r="N62" i="28"/>
  <c r="T16" i="28"/>
  <c r="J25" i="28"/>
  <c r="C22" i="25"/>
  <c r="T65" i="29"/>
  <c r="N60" i="23"/>
  <c r="N107" i="23"/>
  <c r="T89" i="23"/>
  <c r="C65" i="25"/>
  <c r="T72" i="28"/>
  <c r="T48" i="29"/>
  <c r="T85" i="23"/>
  <c r="N21" i="23"/>
  <c r="N60" i="28"/>
  <c r="C23" i="25"/>
  <c r="T60" i="23"/>
  <c r="T107" i="23"/>
  <c r="N116" i="29"/>
  <c r="O49" i="23"/>
  <c r="N35" i="29"/>
  <c r="T10" i="23"/>
  <c r="Q48" i="29"/>
  <c r="N116" i="28"/>
  <c r="N52" i="23"/>
  <c r="N74" i="29"/>
  <c r="N14" i="23"/>
  <c r="C14" i="25"/>
  <c r="C11" i="25"/>
  <c r="N65" i="29"/>
  <c r="T82" i="23"/>
  <c r="T82" i="29"/>
  <c r="N106" i="28"/>
  <c r="T95" i="23"/>
  <c r="N37" i="28"/>
  <c r="T56" i="29"/>
  <c r="N87" i="29"/>
  <c r="C21" i="25"/>
  <c r="C8" i="25"/>
  <c r="C9" i="25"/>
  <c r="N84" i="23"/>
  <c r="N52" i="29"/>
  <c r="Q52" i="29"/>
  <c r="T52" i="29"/>
  <c r="N60" i="29"/>
  <c r="Q60" i="29"/>
  <c r="T60" i="29"/>
  <c r="N64" i="28"/>
  <c r="T64" i="28"/>
  <c r="T117" i="23"/>
  <c r="C11" i="42"/>
  <c r="Q27" i="29"/>
  <c r="T27" i="29"/>
  <c r="Q106" i="29"/>
  <c r="T106" i="29"/>
  <c r="N106" i="29"/>
  <c r="C57" i="41"/>
  <c r="N108" i="28"/>
  <c r="C59" i="41"/>
  <c r="C58" i="41"/>
  <c r="Q108" i="28"/>
  <c r="T108" i="28"/>
  <c r="T44" i="29"/>
  <c r="N41" i="23"/>
  <c r="C19" i="26"/>
  <c r="C20" i="26"/>
  <c r="Q41" i="23"/>
  <c r="T41" i="23"/>
  <c r="C4" i="24"/>
  <c r="D4" i="24"/>
  <c r="D32" i="27"/>
  <c r="D4" i="27"/>
  <c r="D8" i="27"/>
  <c r="D44" i="27"/>
  <c r="D28" i="27"/>
  <c r="D24" i="27"/>
  <c r="D40" i="27"/>
  <c r="D20" i="27"/>
  <c r="D16" i="27"/>
  <c r="T31" i="29"/>
  <c r="T86" i="28"/>
  <c r="C34" i="41"/>
  <c r="C33" i="41"/>
  <c r="C35" i="41"/>
  <c r="N58" i="23"/>
  <c r="T58" i="23"/>
  <c r="N88" i="23"/>
  <c r="C34" i="26"/>
  <c r="Q88" i="23"/>
  <c r="T88" i="23"/>
  <c r="C36" i="26"/>
  <c r="C35" i="26"/>
  <c r="T97" i="23"/>
  <c r="Q91" i="23"/>
  <c r="T91" i="23"/>
  <c r="Q14" i="28"/>
  <c r="T14" i="28"/>
  <c r="Q126" i="29"/>
  <c r="T126" i="29"/>
  <c r="Q62" i="29"/>
  <c r="T62" i="29"/>
  <c r="Q23" i="29"/>
  <c r="T23" i="29"/>
  <c r="Q66" i="28"/>
  <c r="T66" i="28"/>
  <c r="Q111" i="28"/>
  <c r="T111" i="28"/>
  <c r="L77" i="28"/>
  <c r="N77" i="28"/>
  <c r="Q98" i="23"/>
  <c r="T98" i="23"/>
  <c r="Q71" i="28"/>
  <c r="T71" i="28"/>
  <c r="Q48" i="23"/>
  <c r="T48" i="23"/>
  <c r="N42" i="23"/>
  <c r="J103" i="23"/>
  <c r="C75" i="25"/>
  <c r="O103" i="23"/>
  <c r="C72" i="25"/>
  <c r="C74" i="25"/>
  <c r="C71" i="25"/>
  <c r="O109" i="23"/>
  <c r="J109" i="23"/>
  <c r="L69" i="28"/>
  <c r="N69" i="28"/>
  <c r="O63" i="28"/>
  <c r="J63" i="28"/>
  <c r="C32" i="32"/>
  <c r="C35" i="32"/>
  <c r="C33" i="32"/>
  <c r="C34" i="32"/>
  <c r="L81" i="28"/>
  <c r="N81" i="28"/>
  <c r="C37" i="32"/>
  <c r="C40" i="32"/>
  <c r="C39" i="32"/>
  <c r="J79" i="28"/>
  <c r="C38" i="32"/>
  <c r="O100" i="28"/>
  <c r="C64" i="32"/>
  <c r="C65" i="32"/>
  <c r="C63" i="32"/>
  <c r="C62" i="32"/>
  <c r="J100" i="28"/>
  <c r="C68" i="41"/>
  <c r="Q127" i="28"/>
  <c r="T127" i="28"/>
  <c r="C67" i="41"/>
  <c r="L43" i="29"/>
  <c r="N43" i="29"/>
  <c r="J41" i="29"/>
  <c r="C23" i="33"/>
  <c r="O41" i="29"/>
  <c r="C22" i="33"/>
  <c r="L38" i="29"/>
  <c r="N38" i="29"/>
  <c r="O67" i="29"/>
  <c r="J67" i="29"/>
  <c r="J61" i="29"/>
  <c r="C32" i="33"/>
  <c r="C35" i="33"/>
  <c r="C40" i="33"/>
  <c r="C38" i="33"/>
  <c r="O71" i="29"/>
  <c r="C36" i="33"/>
  <c r="O81" i="29"/>
  <c r="J81" i="29"/>
  <c r="L84" i="29"/>
  <c r="N84" i="29"/>
  <c r="J109" i="29"/>
  <c r="C72" i="33"/>
  <c r="C73" i="33"/>
  <c r="C75" i="33"/>
  <c r="C74" i="33"/>
  <c r="O57" i="23"/>
  <c r="J57" i="23"/>
  <c r="C63" i="26"/>
  <c r="C61" i="26"/>
  <c r="Q121" i="23"/>
  <c r="T121" i="23"/>
  <c r="C8" i="26"/>
  <c r="C51" i="26"/>
  <c r="D10" i="37"/>
  <c r="D6" i="37"/>
  <c r="T29" i="23"/>
  <c r="Q50" i="23"/>
  <c r="T50" i="23"/>
  <c r="Q64" i="23"/>
  <c r="T64" i="23"/>
  <c r="N86" i="28"/>
  <c r="T42" i="23"/>
  <c r="N78" i="28"/>
  <c r="N62" i="29"/>
  <c r="T101" i="29"/>
  <c r="N111" i="28"/>
  <c r="T21" i="29"/>
  <c r="T13" i="23"/>
  <c r="N13" i="23"/>
  <c r="C25" i="33"/>
  <c r="C34" i="33"/>
  <c r="T86" i="23"/>
  <c r="Q106" i="23"/>
  <c r="T106" i="23"/>
  <c r="Q105" i="23"/>
  <c r="T105" i="23"/>
  <c r="Q62" i="23"/>
  <c r="T62" i="23"/>
  <c r="Q93" i="23"/>
  <c r="T93" i="23"/>
  <c r="L74" i="23"/>
  <c r="N74" i="23"/>
  <c r="N37" i="23"/>
  <c r="Q88" i="28"/>
  <c r="T88" i="28"/>
  <c r="Q78" i="29"/>
  <c r="T78" i="29"/>
  <c r="T70" i="28"/>
  <c r="T102" i="23"/>
  <c r="N102" i="23"/>
  <c r="N40" i="28"/>
  <c r="T40" i="28"/>
  <c r="N76" i="29"/>
  <c r="T76" i="29"/>
  <c r="L83" i="29"/>
  <c r="N83" i="29"/>
  <c r="T90" i="29"/>
  <c r="N94" i="29"/>
  <c r="Q94" i="29"/>
  <c r="T94" i="29"/>
  <c r="L99" i="29"/>
  <c r="N99" i="29"/>
  <c r="Q102" i="29"/>
  <c r="T102" i="29"/>
  <c r="N102" i="29"/>
  <c r="J23" i="28"/>
  <c r="C8" i="32"/>
  <c r="C9" i="32"/>
  <c r="C7" i="32"/>
  <c r="O23" i="28"/>
  <c r="C6" i="32"/>
  <c r="L14" i="29"/>
  <c r="N14" i="29"/>
  <c r="O24" i="29"/>
  <c r="C10" i="33"/>
  <c r="J24" i="29"/>
  <c r="C7" i="33"/>
  <c r="C8" i="33"/>
  <c r="N117" i="23"/>
  <c r="C62" i="26"/>
  <c r="Q114" i="23"/>
  <c r="T114" i="23"/>
  <c r="C6" i="26"/>
  <c r="Q20" i="23"/>
  <c r="T20" i="23"/>
  <c r="N97" i="23"/>
  <c r="C50" i="26"/>
  <c r="N20" i="23"/>
  <c r="D30" i="37"/>
  <c r="D46" i="37"/>
  <c r="D46" i="27"/>
  <c r="Q15" i="29"/>
  <c r="T15" i="29"/>
  <c r="T37" i="23"/>
  <c r="C28" i="26"/>
  <c r="N23" i="23"/>
  <c r="T39" i="28"/>
  <c r="T82" i="28"/>
  <c r="N82" i="28"/>
  <c r="T74" i="29"/>
  <c r="N23" i="29"/>
  <c r="N126" i="29"/>
  <c r="N18" i="28"/>
  <c r="N87" i="28"/>
  <c r="T26" i="23"/>
  <c r="T33" i="28"/>
  <c r="Q55" i="29"/>
  <c r="T55" i="29"/>
  <c r="N48" i="23"/>
  <c r="C31" i="33"/>
  <c r="C33" i="33"/>
  <c r="T89" i="29"/>
  <c r="C71" i="33"/>
  <c r="N54" i="23"/>
  <c r="T83" i="23"/>
  <c r="Q66" i="23"/>
  <c r="T66" i="23"/>
  <c r="T67" i="23"/>
  <c r="L16" i="23"/>
  <c r="N16" i="23"/>
  <c r="Q127" i="23"/>
  <c r="T127" i="23"/>
  <c r="T60" i="28"/>
  <c r="Q107" i="28"/>
  <c r="T107" i="28"/>
  <c r="Q103" i="28"/>
  <c r="T103" i="28"/>
  <c r="Q12" i="29"/>
  <c r="T12" i="29"/>
  <c r="C37" i="33"/>
  <c r="Q111" i="29"/>
  <c r="T111" i="29"/>
  <c r="C39" i="33"/>
  <c r="J71" i="29"/>
  <c r="Q83" i="28"/>
  <c r="T83" i="28"/>
  <c r="T97" i="28"/>
  <c r="N97" i="28"/>
  <c r="Q48" i="28"/>
  <c r="T48" i="28"/>
  <c r="N48" i="28"/>
  <c r="T109" i="28"/>
  <c r="T128" i="28"/>
  <c r="N128" i="28"/>
  <c r="C20" i="41"/>
  <c r="C5" i="26"/>
  <c r="Q22" i="23"/>
  <c r="T22" i="23"/>
  <c r="C52" i="26"/>
  <c r="N39" i="28"/>
  <c r="D18" i="37"/>
  <c r="D42" i="37"/>
  <c r="C27" i="26"/>
  <c r="C25" i="26"/>
  <c r="N88" i="29"/>
  <c r="N29" i="23"/>
  <c r="N90" i="28"/>
  <c r="T92" i="28"/>
  <c r="T78" i="28"/>
  <c r="N92" i="28"/>
  <c r="N27" i="29"/>
  <c r="N24" i="28"/>
  <c r="T18" i="28"/>
  <c r="C21" i="33"/>
  <c r="O61" i="29"/>
  <c r="N65" i="28"/>
  <c r="T88" i="29"/>
  <c r="Q90" i="28"/>
  <c r="T90" i="28"/>
  <c r="C73" i="25"/>
  <c r="L108" i="29"/>
  <c r="N108" i="29"/>
  <c r="Q117" i="29"/>
  <c r="T117" i="29"/>
  <c r="Q32" i="23"/>
  <c r="T32" i="23"/>
  <c r="N98" i="23"/>
  <c r="T52" i="23"/>
  <c r="Q23" i="23"/>
  <c r="T23" i="23"/>
  <c r="T46" i="23"/>
  <c r="Q87" i="28"/>
  <c r="T87" i="28"/>
  <c r="Q45" i="28"/>
  <c r="T45" i="28"/>
  <c r="Q98" i="28"/>
  <c r="T98" i="28"/>
  <c r="Q49" i="28"/>
  <c r="T49" i="28"/>
  <c r="T34" i="29"/>
  <c r="Q127" i="29"/>
  <c r="T127" i="29"/>
  <c r="Q26" i="28"/>
  <c r="T26" i="28"/>
  <c r="Q62" i="28"/>
  <c r="T62" i="28"/>
  <c r="Q24" i="28"/>
  <c r="T24" i="28"/>
  <c r="T116" i="29"/>
  <c r="T39" i="23"/>
  <c r="N106" i="23"/>
  <c r="T44" i="28"/>
  <c r="Q46" i="29"/>
  <c r="T46" i="29"/>
  <c r="L50" i="29"/>
  <c r="N50" i="29"/>
  <c r="N127" i="28"/>
  <c r="L80" i="29"/>
  <c r="N80" i="29"/>
  <c r="L64" i="29"/>
  <c r="N64" i="29"/>
  <c r="J57" i="28"/>
  <c r="O57" i="28"/>
  <c r="D26" i="27"/>
  <c r="D34" i="37"/>
  <c r="C5" i="24"/>
  <c r="D5" i="24"/>
  <c r="C2" i="24"/>
  <c r="D2" i="24"/>
  <c r="C62" i="42"/>
  <c r="C10" i="24"/>
  <c r="D10" i="24"/>
  <c r="D42" i="27"/>
  <c r="D18" i="27"/>
  <c r="D22" i="27"/>
  <c r="Q35" i="28"/>
  <c r="T35" i="28"/>
  <c r="C19" i="41"/>
  <c r="C18" i="41"/>
  <c r="C17" i="41"/>
  <c r="C17" i="26"/>
  <c r="C63" i="42"/>
  <c r="D36" i="27"/>
  <c r="D2" i="37"/>
  <c r="D6" i="27"/>
  <c r="D14" i="27"/>
  <c r="Q101" i="23"/>
  <c r="T101" i="23"/>
  <c r="C49" i="26"/>
  <c r="C61" i="42"/>
  <c r="D12" i="27"/>
  <c r="L27" i="23"/>
  <c r="D38" i="27"/>
  <c r="D30" i="27"/>
  <c r="D34" i="27"/>
  <c r="N55" i="23"/>
  <c r="C18" i="26"/>
  <c r="D48" i="27"/>
  <c r="Q76" i="23"/>
  <c r="T76" i="23"/>
  <c r="D38" i="37"/>
  <c r="C3" i="24"/>
  <c r="D2" i="27"/>
  <c r="L25" i="28"/>
  <c r="N25" i="28"/>
  <c r="Q59" i="28"/>
  <c r="T59" i="28"/>
  <c r="N35" i="28"/>
  <c r="L57" i="28"/>
  <c r="N57" i="28"/>
  <c r="Q80" i="29"/>
  <c r="T80" i="29"/>
  <c r="Q64" i="29"/>
  <c r="T64" i="29"/>
  <c r="Q108" i="29"/>
  <c r="T108" i="29"/>
  <c r="L23" i="28"/>
  <c r="N23" i="28"/>
  <c r="Q74" i="23"/>
  <c r="T74" i="23"/>
  <c r="C32" i="26"/>
  <c r="C29" i="26"/>
  <c r="C31" i="26"/>
  <c r="C30" i="26"/>
  <c r="L57" i="23"/>
  <c r="N57" i="23"/>
  <c r="Q84" i="29"/>
  <c r="T84" i="29"/>
  <c r="L100" i="28"/>
  <c r="N100" i="28"/>
  <c r="Q81" i="28"/>
  <c r="T81" i="28"/>
  <c r="Q69" i="28"/>
  <c r="T69" i="28"/>
  <c r="D21" i="37"/>
  <c r="D17" i="37"/>
  <c r="C4" i="26"/>
  <c r="Q16" i="23"/>
  <c r="T16" i="23"/>
  <c r="C2" i="26"/>
  <c r="C3" i="26"/>
  <c r="C1" i="26"/>
  <c r="Q99" i="29"/>
  <c r="T99" i="29"/>
  <c r="C52" i="42"/>
  <c r="C50" i="42"/>
  <c r="C49" i="42"/>
  <c r="L81" i="29"/>
  <c r="L61" i="29"/>
  <c r="N61" i="29"/>
  <c r="Q38" i="29"/>
  <c r="T38" i="29"/>
  <c r="L41" i="29"/>
  <c r="C18" i="42"/>
  <c r="N41" i="29"/>
  <c r="L63" i="28"/>
  <c r="N63" i="28"/>
  <c r="L103" i="23"/>
  <c r="L109" i="23"/>
  <c r="D5" i="27"/>
  <c r="N103" i="23"/>
  <c r="D3" i="24"/>
  <c r="C51" i="42"/>
  <c r="L24" i="29"/>
  <c r="N24" i="29"/>
  <c r="Q14" i="29"/>
  <c r="T14" i="29"/>
  <c r="C2" i="42"/>
  <c r="C4" i="42"/>
  <c r="C1" i="42"/>
  <c r="C3" i="42"/>
  <c r="Q83" i="29"/>
  <c r="T83" i="29"/>
  <c r="C33" i="42"/>
  <c r="C35" i="42"/>
  <c r="C36" i="42"/>
  <c r="C34" i="42"/>
  <c r="L109" i="29"/>
  <c r="C57" i="42"/>
  <c r="L67" i="29"/>
  <c r="Q77" i="28"/>
  <c r="T77" i="28"/>
  <c r="C21" i="24"/>
  <c r="C23" i="24"/>
  <c r="D23" i="24"/>
  <c r="D22" i="37"/>
  <c r="D26" i="37"/>
  <c r="C22" i="24"/>
  <c r="D22" i="24"/>
  <c r="D14" i="37"/>
  <c r="C20" i="24"/>
  <c r="D20" i="24"/>
  <c r="D32" i="38"/>
  <c r="D24" i="38"/>
  <c r="D40" i="38"/>
  <c r="Q50" i="29"/>
  <c r="T50" i="29"/>
  <c r="L71" i="29"/>
  <c r="D10" i="38"/>
  <c r="N71" i="29"/>
  <c r="Q43" i="29"/>
  <c r="T43" i="29"/>
  <c r="L79" i="28"/>
  <c r="C31" i="41"/>
  <c r="D44" i="38"/>
  <c r="D48" i="38"/>
  <c r="C35" i="24"/>
  <c r="D35" i="24"/>
  <c r="D9" i="37"/>
  <c r="D33" i="37"/>
  <c r="D45" i="37"/>
  <c r="Q25" i="28"/>
  <c r="T25" i="28"/>
  <c r="C10" i="41"/>
  <c r="C9" i="41"/>
  <c r="C12" i="41"/>
  <c r="C11" i="41"/>
  <c r="D29" i="37"/>
  <c r="D5" i="37"/>
  <c r="D41" i="37"/>
  <c r="C34" i="24"/>
  <c r="D34" i="24"/>
  <c r="D25" i="37"/>
  <c r="C33" i="24"/>
  <c r="D33" i="24"/>
  <c r="D13" i="37"/>
  <c r="Q27" i="23"/>
  <c r="T27" i="23"/>
  <c r="C12" i="26"/>
  <c r="C10" i="26"/>
  <c r="C9" i="26"/>
  <c r="C11" i="26"/>
  <c r="D37" i="37"/>
  <c r="D12" i="38"/>
  <c r="C32" i="24"/>
  <c r="D32" i="24"/>
  <c r="D49" i="37"/>
  <c r="N27" i="23"/>
  <c r="C29" i="41"/>
  <c r="D21" i="24"/>
  <c r="Q109" i="23"/>
  <c r="T109" i="23"/>
  <c r="Q109" i="29"/>
  <c r="T109" i="29"/>
  <c r="D33" i="38"/>
  <c r="C52" i="24"/>
  <c r="D52" i="24"/>
  <c r="D21" i="38"/>
  <c r="D5" i="38"/>
  <c r="D28" i="38"/>
  <c r="D18" i="38"/>
  <c r="D26" i="38"/>
  <c r="D14" i="38"/>
  <c r="C17" i="24"/>
  <c r="D17" i="24"/>
  <c r="D29" i="27"/>
  <c r="D45" i="27"/>
  <c r="D33" i="27"/>
  <c r="D8" i="38"/>
  <c r="C60" i="42"/>
  <c r="C47" i="24"/>
  <c r="D47" i="24"/>
  <c r="C49" i="24"/>
  <c r="D49" i="24"/>
  <c r="C30" i="41"/>
  <c r="N67" i="29"/>
  <c r="D25" i="38"/>
  <c r="D9" i="38"/>
  <c r="D49" i="38"/>
  <c r="D20" i="38"/>
  <c r="Q103" i="23"/>
  <c r="T103" i="23"/>
  <c r="C58" i="26"/>
  <c r="C59" i="26"/>
  <c r="C60" i="26"/>
  <c r="C57" i="26"/>
  <c r="Q41" i="29"/>
  <c r="T41" i="29"/>
  <c r="C39" i="24"/>
  <c r="C41" i="24"/>
  <c r="D41" i="24"/>
  <c r="D2" i="38"/>
  <c r="D34" i="38"/>
  <c r="D22" i="38"/>
  <c r="Q61" i="29"/>
  <c r="T61" i="29"/>
  <c r="C27" i="42"/>
  <c r="C26" i="42"/>
  <c r="C28" i="42"/>
  <c r="C25" i="42"/>
  <c r="C15" i="24"/>
  <c r="D15" i="24"/>
  <c r="D49" i="27"/>
  <c r="D21" i="27"/>
  <c r="D9" i="27"/>
  <c r="D16" i="38"/>
  <c r="C59" i="42"/>
  <c r="D36" i="38"/>
  <c r="Q67" i="29"/>
  <c r="T67" i="29"/>
  <c r="C53" i="24"/>
  <c r="D53" i="24"/>
  <c r="D37" i="38"/>
  <c r="D13" i="38"/>
  <c r="D29" i="38"/>
  <c r="D15" i="38"/>
  <c r="D43" i="38"/>
  <c r="D35" i="38"/>
  <c r="D39" i="38"/>
  <c r="D3" i="38"/>
  <c r="D11" i="38"/>
  <c r="D47" i="38"/>
  <c r="D31" i="38"/>
  <c r="D7" i="38"/>
  <c r="Q24" i="29"/>
  <c r="T24" i="29"/>
  <c r="C7" i="42"/>
  <c r="C5" i="42"/>
  <c r="C6" i="42"/>
  <c r="C43" i="24"/>
  <c r="D43" i="24"/>
  <c r="C45" i="24"/>
  <c r="D45" i="24"/>
  <c r="D27" i="38"/>
  <c r="D23" i="38"/>
  <c r="C42" i="24"/>
  <c r="D42" i="24"/>
  <c r="C44" i="24"/>
  <c r="D44" i="24"/>
  <c r="D19" i="38"/>
  <c r="C8" i="42"/>
  <c r="D4" i="38"/>
  <c r="C38" i="24"/>
  <c r="D38" i="24"/>
  <c r="C19" i="42"/>
  <c r="C17" i="42"/>
  <c r="D46" i="38"/>
  <c r="D38" i="38"/>
  <c r="D42" i="38"/>
  <c r="Q81" i="29"/>
  <c r="T81" i="29"/>
  <c r="D13" i="27"/>
  <c r="C14" i="24"/>
  <c r="D14" i="24"/>
  <c r="D37" i="27"/>
  <c r="D25" i="27"/>
  <c r="C46" i="24"/>
  <c r="D46" i="24"/>
  <c r="Q79" i="28"/>
  <c r="T79" i="28"/>
  <c r="D32" i="37"/>
  <c r="C29" i="24"/>
  <c r="D29" i="24"/>
  <c r="C28" i="24"/>
  <c r="D28" i="24"/>
  <c r="D8" i="37"/>
  <c r="C30" i="24"/>
  <c r="D30" i="24"/>
  <c r="C31" i="24"/>
  <c r="D31" i="24"/>
  <c r="D48" i="37"/>
  <c r="D24" i="37"/>
  <c r="D16" i="37"/>
  <c r="D28" i="37"/>
  <c r="D44" i="37"/>
  <c r="D40" i="37"/>
  <c r="D20" i="37"/>
  <c r="D12" i="37"/>
  <c r="D4" i="37"/>
  <c r="D36" i="37"/>
  <c r="N79" i="28"/>
  <c r="C29" i="42"/>
  <c r="Q71" i="29"/>
  <c r="T71" i="29"/>
  <c r="C32" i="42"/>
  <c r="C31" i="42"/>
  <c r="C30" i="42"/>
  <c r="C32" i="41"/>
  <c r="N109" i="23"/>
  <c r="N109" i="29"/>
  <c r="C51" i="24"/>
  <c r="D51" i="24"/>
  <c r="C50" i="24"/>
  <c r="D50" i="24"/>
  <c r="D17" i="38"/>
  <c r="D45" i="38"/>
  <c r="D41" i="38"/>
  <c r="Q63" i="28"/>
  <c r="T63" i="28"/>
  <c r="C25" i="41"/>
  <c r="C27" i="41"/>
  <c r="C26" i="41"/>
  <c r="C28" i="41"/>
  <c r="C20" i="42"/>
  <c r="C40" i="24"/>
  <c r="D40" i="24"/>
  <c r="D6" i="38"/>
  <c r="D30" i="38"/>
  <c r="N81" i="29"/>
  <c r="C16" i="24"/>
  <c r="D16" i="24"/>
  <c r="D41" i="27"/>
  <c r="D17" i="27"/>
  <c r="C58" i="42"/>
  <c r="Q100" i="28"/>
  <c r="T100" i="28"/>
  <c r="C50" i="41"/>
  <c r="C52" i="41"/>
  <c r="C49" i="41"/>
  <c r="C51" i="41"/>
  <c r="Q57" i="23"/>
  <c r="T57" i="23"/>
  <c r="D11" i="27"/>
  <c r="C9" i="24"/>
  <c r="D9" i="24"/>
  <c r="C7" i="24"/>
  <c r="D43" i="27"/>
  <c r="D31" i="27"/>
  <c r="C6" i="24"/>
  <c r="D6" i="24"/>
  <c r="C8" i="24"/>
  <c r="D8" i="24"/>
  <c r="D19" i="27"/>
  <c r="D3" i="27"/>
  <c r="D47" i="27"/>
  <c r="D15" i="27"/>
  <c r="D23" i="27"/>
  <c r="D27" i="27"/>
  <c r="D39" i="27"/>
  <c r="D35" i="27"/>
  <c r="D7" i="27"/>
  <c r="Q23" i="28"/>
  <c r="T23" i="28"/>
  <c r="C25" i="24"/>
  <c r="D25" i="24"/>
  <c r="C6" i="41"/>
  <c r="C27" i="24"/>
  <c r="D27" i="24"/>
  <c r="C7" i="41"/>
  <c r="C5" i="41"/>
  <c r="C8" i="41"/>
  <c r="D31" i="37"/>
  <c r="D35" i="37"/>
  <c r="D47" i="37"/>
  <c r="C24" i="24"/>
  <c r="D24" i="24"/>
  <c r="D19" i="37"/>
  <c r="D7" i="37"/>
  <c r="D43" i="37"/>
  <c r="D27" i="37"/>
  <c r="C26" i="24"/>
  <c r="D26" i="24"/>
  <c r="D15" i="37"/>
  <c r="D23" i="37"/>
  <c r="D11" i="37"/>
  <c r="D3" i="37"/>
  <c r="D39" i="37"/>
  <c r="C48" i="24"/>
  <c r="D48" i="24"/>
  <c r="Q57" i="28"/>
  <c r="T57" i="28"/>
  <c r="G23" i="24"/>
  <c r="D7" i="24"/>
  <c r="G5" i="24"/>
  <c r="G2" i="24"/>
  <c r="G20" i="24"/>
  <c r="D39" i="24"/>
  <c r="G38" i="24"/>
  <c r="F45" i="24"/>
  <c r="G41" i="24"/>
  <c r="G39" i="24"/>
  <c r="G40" i="24"/>
  <c r="G3" i="24"/>
  <c r="G4" i="24"/>
  <c r="F9" i="24"/>
  <c r="F27" i="24"/>
  <c r="G21" i="24"/>
  <c r="G2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Valerie Blount</author>
  </authors>
  <commentList>
    <comment ref="D2" authorId="0" shapeId="0" xr:uid="{00000000-0006-0000-0300-000001000000}">
      <text>
        <r>
          <rPr>
            <b/>
            <sz val="9"/>
            <color indexed="81"/>
            <rFont val="Tahoma"/>
            <family val="2"/>
          </rPr>
          <t>Point of Contact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500-000001000000}">
      <text>
        <r>
          <rPr>
            <b/>
            <sz val="9"/>
            <color indexed="81"/>
            <rFont val="Tahoma"/>
            <family val="2"/>
          </rPr>
          <t>Alex Masten:</t>
        </r>
        <r>
          <rPr>
            <sz val="9"/>
            <color indexed="81"/>
            <rFont val="Tahoma"/>
            <family val="2"/>
          </rPr>
          <t xml:space="preserve">
Reword question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600-000001000000}">
      <text>
        <r>
          <rPr>
            <b/>
            <sz val="9"/>
            <color indexed="81"/>
            <rFont val="Tahoma"/>
            <family val="2"/>
          </rPr>
          <t>Alex Masten:</t>
        </r>
        <r>
          <rPr>
            <sz val="9"/>
            <color indexed="81"/>
            <rFont val="Tahoma"/>
            <family val="2"/>
          </rPr>
          <t xml:space="preserve">
Reword question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700-000001000000}">
      <text>
        <r>
          <rPr>
            <b/>
            <sz val="9"/>
            <color indexed="81"/>
            <rFont val="Tahoma"/>
            <family val="2"/>
          </rPr>
          <t>Alex Masten:</t>
        </r>
        <r>
          <rPr>
            <sz val="9"/>
            <color indexed="81"/>
            <rFont val="Tahoma"/>
            <family val="2"/>
          </rPr>
          <t xml:space="preserve">
Reword question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Bryan Johnson</author>
  </authors>
  <commentList>
    <comment ref="G6" authorId="0" shapeId="0" xr:uid="{00000000-0006-0000-1800-000001000000}">
      <text>
        <r>
          <rPr>
            <b/>
            <sz val="9"/>
            <color indexed="81"/>
            <rFont val="Tahoma"/>
            <family val="2"/>
          </rPr>
          <t>Bryan Johnson:</t>
        </r>
        <r>
          <rPr>
            <sz val="9"/>
            <color indexed="81"/>
            <rFont val="Tahoma"/>
            <family val="2"/>
          </rPr>
          <t xml:space="preserve">
Has not been defined as of the time of this coding.</t>
        </r>
      </text>
    </comment>
    <comment ref="G24" authorId="0" shapeId="0" xr:uid="{00000000-0006-0000-1800-000002000000}">
      <text>
        <r>
          <rPr>
            <b/>
            <sz val="9"/>
            <color indexed="81"/>
            <rFont val="Tahoma"/>
            <family val="2"/>
          </rPr>
          <t>Bryan Johnson:</t>
        </r>
        <r>
          <rPr>
            <sz val="9"/>
            <color indexed="81"/>
            <rFont val="Tahoma"/>
            <family val="2"/>
          </rPr>
          <t xml:space="preserve">
Has not been defined as of the time of this coding.</t>
        </r>
      </text>
    </comment>
    <comment ref="G42" authorId="0" shapeId="0" xr:uid="{00000000-0006-0000-1800-000003000000}">
      <text>
        <r>
          <rPr>
            <b/>
            <sz val="9"/>
            <color indexed="81"/>
            <rFont val="Tahoma"/>
            <family val="2"/>
          </rPr>
          <t>Bryan Johnson:</t>
        </r>
        <r>
          <rPr>
            <sz val="9"/>
            <color indexed="81"/>
            <rFont val="Tahoma"/>
            <family val="2"/>
          </rPr>
          <t xml:space="preserve">
Has not been defined as of the time of this coding.</t>
        </r>
      </text>
    </comment>
  </commentList>
</comments>
</file>

<file path=xl/sharedStrings.xml><?xml version="1.0" encoding="utf-8"?>
<sst xmlns="http://schemas.openxmlformats.org/spreadsheetml/2006/main" count="4701" uniqueCount="1045">
  <si>
    <r>
      <rPr>
        <b/>
        <sz val="36"/>
        <color rgb="FFF46A02"/>
        <rFont val="Cambria"/>
        <family val="1"/>
      </rPr>
      <t xml:space="preserve">
Vendor Security Assessment Toolkit</t>
    </r>
    <r>
      <rPr>
        <b/>
        <sz val="36"/>
        <color theme="5" tint="-0.249977111117893"/>
        <rFont val="Cambria"/>
        <family val="1"/>
      </rPr>
      <t xml:space="preserve">
</t>
    </r>
    <r>
      <rPr>
        <b/>
        <sz val="36"/>
        <color rgb="FFF46A02"/>
        <rFont val="Cambria"/>
        <family val="1"/>
      </rPr>
      <t xml:space="preserve">
by CORL Technologies
</t>
    </r>
    <r>
      <rPr>
        <b/>
        <sz val="12"/>
        <rFont val="Cambria"/>
        <family val="1"/>
      </rPr>
      <t>This document is PROPRIETARY and CONFIDENTIAL Information. 
It may not be used, disclosed or reproduced, in whole or in part, without the express written permission of CORL Technologies, LLC</t>
    </r>
    <r>
      <rPr>
        <b/>
        <sz val="12"/>
        <color rgb="FFF46A02"/>
        <rFont val="Cambria"/>
        <family val="1"/>
      </rPr>
      <t xml:space="preserve">
</t>
    </r>
    <r>
      <rPr>
        <b/>
        <sz val="36"/>
        <color rgb="FFF46A02"/>
        <rFont val="Cambria"/>
        <family val="1"/>
      </rPr>
      <t xml:space="preserve">
</t>
    </r>
  </si>
  <si>
    <t>"IRQ" - Inherent Risk Questionnaire - Business Owner to Complete</t>
  </si>
  <si>
    <t>"VPQ" - Vendor Profile Questionnaire - Vendor to Complete</t>
  </si>
  <si>
    <t>Scope - Vendor to Complete</t>
  </si>
  <si>
    <t>"VSQ" - Vendor Security Questionnaire -  Excel worksheets 1-17 herein - Vendor to Complete</t>
  </si>
  <si>
    <t>"Required Evidence" - Evidence and Assurances specific to CLIENT - Vendor to Provide</t>
  </si>
  <si>
    <t>Response Questions</t>
  </si>
  <si>
    <t>Data Classifications</t>
  </si>
  <si>
    <t>Types of Data:</t>
  </si>
  <si>
    <t>Type of Access</t>
  </si>
  <si>
    <t>Method of Access</t>
  </si>
  <si>
    <t>Volume of Records</t>
  </si>
  <si>
    <t>Financial Value</t>
  </si>
  <si>
    <t>Breah Business Impact</t>
  </si>
  <si>
    <t xml:space="preserve">Geographic Scope </t>
  </si>
  <si>
    <t>Size of Organization (# of Employees)</t>
  </si>
  <si>
    <t>How data is stored, hosted</t>
  </si>
  <si>
    <t>App / Product?</t>
  </si>
  <si>
    <t>Vendor Age / Business Relationship Length</t>
  </si>
  <si>
    <t>Yes</t>
  </si>
  <si>
    <t>Company Data</t>
  </si>
  <si>
    <t>PHI</t>
  </si>
  <si>
    <t>Intentionally Shared</t>
  </si>
  <si>
    <t>Electronic</t>
  </si>
  <si>
    <t>Most of our patients</t>
  </si>
  <si>
    <t>High</t>
  </si>
  <si>
    <t>International</t>
  </si>
  <si>
    <t>&gt; 100,000</t>
  </si>
  <si>
    <t>In the Cloud</t>
  </si>
  <si>
    <t>&lt; 5 Years</t>
  </si>
  <si>
    <t>No</t>
  </si>
  <si>
    <t>Restricted Data</t>
  </si>
  <si>
    <t>PII</t>
  </si>
  <si>
    <t>Incidental Access</t>
  </si>
  <si>
    <t>Physical</t>
  </si>
  <si>
    <t>Most our employees</t>
  </si>
  <si>
    <t>Medium High</t>
  </si>
  <si>
    <t>National</t>
  </si>
  <si>
    <t>&gt; 10,001</t>
  </si>
  <si>
    <t>On our Network</t>
  </si>
  <si>
    <t>5 - 10 Years</t>
  </si>
  <si>
    <t>Partial</t>
  </si>
  <si>
    <t>Sensitive Data</t>
  </si>
  <si>
    <t>PCI</t>
  </si>
  <si>
    <t>No Access</t>
  </si>
  <si>
    <t>Electronic and Physical</t>
  </si>
  <si>
    <t>Data related to a specific business unit or division</t>
  </si>
  <si>
    <t xml:space="preserve">Medium </t>
  </si>
  <si>
    <t>Single-State</t>
  </si>
  <si>
    <t>&gt; 1001</t>
  </si>
  <si>
    <t>At the Vendor's Location</t>
  </si>
  <si>
    <t>11 - 20 Years</t>
  </si>
  <si>
    <t>N/A</t>
  </si>
  <si>
    <t>Internal Data</t>
  </si>
  <si>
    <t>Intellectual property</t>
  </si>
  <si>
    <t>Data related to a specific service line or facility</t>
  </si>
  <si>
    <t>Medium Low</t>
  </si>
  <si>
    <t>&gt; 501</t>
  </si>
  <si>
    <t>&gt; 20 Years</t>
  </si>
  <si>
    <t>Public Data</t>
  </si>
  <si>
    <t>PHI, PII</t>
  </si>
  <si>
    <t>Very specific and limited focus</t>
  </si>
  <si>
    <t>Low</t>
  </si>
  <si>
    <t>&gt; 51</t>
  </si>
  <si>
    <t>PHI, PCI</t>
  </si>
  <si>
    <t>None</t>
  </si>
  <si>
    <t>&gt; 1</t>
  </si>
  <si>
    <t>PHI, Intellectual property</t>
  </si>
  <si>
    <t>PCI, PII</t>
  </si>
  <si>
    <t>PCI, Intellectual property</t>
  </si>
  <si>
    <t xml:space="preserve">PII, Intellectual property </t>
  </si>
  <si>
    <t>All Data types</t>
  </si>
  <si>
    <t xml:space="preserve">Key </t>
  </si>
  <si>
    <t>Overrides</t>
  </si>
  <si>
    <t>Tier 1</t>
  </si>
  <si>
    <t>No Override</t>
  </si>
  <si>
    <t>Tier 2</t>
  </si>
  <si>
    <t>Adequate</t>
  </si>
  <si>
    <t xml:space="preserve">Tier 3 </t>
  </si>
  <si>
    <t>Inadequate</t>
  </si>
  <si>
    <t>Conditional to other Questions</t>
  </si>
  <si>
    <t xml:space="preserve">Response acceptance dependent on the business relationship btwn client and vendor </t>
  </si>
  <si>
    <t>Questions dependent on comments and QA by CE</t>
  </si>
  <si>
    <t>Inherent Risk Questionnaire ("IRQ")</t>
  </si>
  <si>
    <t>Official Name of Vendor:</t>
  </si>
  <si>
    <t>Vendor POC Name:</t>
  </si>
  <si>
    <t>Vendor-specific business unit / division, if applicable:</t>
  </si>
  <si>
    <t>Vendor POC Title:</t>
  </si>
  <si>
    <t>Vendor Website Domain(s):</t>
  </si>
  <si>
    <t>Vendor POC Email:</t>
  </si>
  <si>
    <t>Date IRQ Completed:</t>
  </si>
  <si>
    <t>Vendor POC Phone #:</t>
  </si>
  <si>
    <t>Control Question #</t>
  </si>
  <si>
    <t>Control Name</t>
  </si>
  <si>
    <t>Control Questions</t>
  </si>
  <si>
    <t>Response</t>
  </si>
  <si>
    <t>Notes</t>
  </si>
  <si>
    <t>Inherent Risk Questions:</t>
  </si>
  <si>
    <t>Products and Applications</t>
  </si>
  <si>
    <t>Does your organization use a vendor specific service/product(s)? (if "Yes" please list the names of the services/products in "Notes")</t>
  </si>
  <si>
    <t>Accessible Data</t>
  </si>
  <si>
    <t>Type of data vendor will have access to:</t>
  </si>
  <si>
    <t>Data Storage</t>
  </si>
  <si>
    <t>Where will the data of your organization be stored, hosted?</t>
  </si>
  <si>
    <t>Report Support</t>
  </si>
  <si>
    <t>Does vendor provide remote support?</t>
  </si>
  <si>
    <t>Records</t>
  </si>
  <si>
    <t>Volume of your organization's records accessible by vendor:</t>
  </si>
  <si>
    <t>Vendor Business Operations</t>
  </si>
  <si>
    <t>Geographic scope of the vendor (if vendor has international operations, please list country name(s) in "Notes"):</t>
  </si>
  <si>
    <t>Vendor Age</t>
  </si>
  <si>
    <t>How long has the vendor been in business in general?</t>
  </si>
  <si>
    <t>Business Relationship Length</t>
  </si>
  <si>
    <t>How long has the vendor been in business with your organization?</t>
  </si>
  <si>
    <t>Annual Revenue</t>
  </si>
  <si>
    <t>What is the vendor's annual revenue?</t>
  </si>
  <si>
    <t>Vendor Size</t>
  </si>
  <si>
    <t>Size of the vendor (# of employees):</t>
  </si>
  <si>
    <t>Business Associate Agreement (BAA)</t>
  </si>
  <si>
    <t>Is there an executed Business Associate Agreement between your organization and the vendor?</t>
  </si>
  <si>
    <t>Information Security Agreement (ISA)</t>
  </si>
  <si>
    <t>Is there an executed Information Security Agreement between your organization and the vendor?</t>
  </si>
  <si>
    <t>Security Assessment Activities</t>
  </si>
  <si>
    <t>Has your organization completed security assessment activities on the vendor in the past? (if "Yes" please describe the assessment scope and approximate timeframe in "Notes"):</t>
  </si>
  <si>
    <r>
      <t xml:space="preserve">Initial Vendor Profile Questionnaire - for </t>
    </r>
    <r>
      <rPr>
        <b/>
        <sz val="12"/>
        <color rgb="FFFF0000"/>
        <rFont val="Arial"/>
        <family val="2"/>
      </rPr>
      <t>CLIENT NAME</t>
    </r>
  </si>
  <si>
    <t>Vendor name:</t>
  </si>
  <si>
    <t>Name:</t>
  </si>
  <si>
    <t>Service(s) / Product(s) provided:</t>
  </si>
  <si>
    <t>Title:</t>
  </si>
  <si>
    <t>Email:</t>
  </si>
  <si>
    <t>Date Completed:</t>
  </si>
  <si>
    <t>Phone:</t>
  </si>
  <si>
    <t>Response:</t>
  </si>
  <si>
    <t>Comments/ Notes:</t>
  </si>
  <si>
    <t>Evidence Provided</t>
  </si>
  <si>
    <t>NIST SP800-53 R4: Control #</t>
  </si>
  <si>
    <t xml:space="preserve">HIPAA CFR Control Reference(s): </t>
  </si>
  <si>
    <t>Vendor Discovery Questions:</t>
  </si>
  <si>
    <t>Will you have access to the following types of data:</t>
  </si>
  <si>
    <t>1.1-a</t>
  </si>
  <si>
    <t>PHI (Protected Health Information)</t>
  </si>
  <si>
    <t>1.1-b</t>
  </si>
  <si>
    <t>Intellectual Property</t>
  </si>
  <si>
    <t>1.1-c</t>
  </si>
  <si>
    <t>Financial Property</t>
  </si>
  <si>
    <t>1.1-d</t>
  </si>
  <si>
    <t>PII (Personally Identifiable Information)</t>
  </si>
  <si>
    <t>1.1-e</t>
  </si>
  <si>
    <t>PCI (Payment Card Industry)</t>
  </si>
  <si>
    <t>1.1-f</t>
  </si>
  <si>
    <t>Employee Information</t>
  </si>
  <si>
    <t>Security Leadership</t>
  </si>
  <si>
    <t>Do you have a designated responsible leader for information security? If so, please explain their title and role in the comments section.</t>
  </si>
  <si>
    <t>Security Assurances</t>
  </si>
  <si>
    <t>Has your company attained any of the following security certifications or external, independent validations of the following:?</t>
  </si>
  <si>
    <t>1.3-a</t>
  </si>
  <si>
    <t>SOC (indicate SOC 1, 2 or 3 and type 1 or 2)</t>
  </si>
  <si>
    <t>Example evidence: certification document</t>
  </si>
  <si>
    <t>1.3-b</t>
  </si>
  <si>
    <t>HITRUST</t>
  </si>
  <si>
    <t>1.3-c</t>
  </si>
  <si>
    <t>PCI Compliance</t>
  </si>
  <si>
    <t>1.3-d</t>
  </si>
  <si>
    <t>ISO 27001</t>
  </si>
  <si>
    <t>1.3-e</t>
  </si>
  <si>
    <t>FedRAMP</t>
  </si>
  <si>
    <t>1.3-f</t>
  </si>
  <si>
    <t>HIPAA (please provide type of assessment performed and certifying organization in the comments section)</t>
  </si>
  <si>
    <t>1.3-g</t>
  </si>
  <si>
    <t>NIST (please provide type of assessment performed and certifying organization in the comments section)</t>
  </si>
  <si>
    <t>1.3-h</t>
  </si>
  <si>
    <t>Other? (please specify in the comments section)</t>
  </si>
  <si>
    <t>Cyber Liability Insurance</t>
  </si>
  <si>
    <t>Do you maintain cyber liability insurance in addition to general liability insurance? If Yes, please explain how much in the comments section.</t>
  </si>
  <si>
    <t>Example evidence: insurance policy</t>
  </si>
  <si>
    <t>Contractors/Subcontractors</t>
  </si>
  <si>
    <t>Do you use any employees, contractors or subcontractors outside of the United States?</t>
  </si>
  <si>
    <t>Please list locations and approximate # of employees at each location</t>
  </si>
  <si>
    <t>Do any of your subcontractors (foreign or domestic) have access to sensitive and/or confidential data? If yes, please name the companies and services they provide to you in the comments section.</t>
  </si>
  <si>
    <t>Please provide a list of sub-contractors</t>
  </si>
  <si>
    <t>Employee Screenings</t>
  </si>
  <si>
    <t xml:space="preserve">Do you conduct background checks for all employees, contractors and subcontractors?  If not, for which areas/positions do you require a background check. Please explain in the comments section. </t>
  </si>
  <si>
    <t>PS-3</t>
  </si>
  <si>
    <t xml:space="preserve">164.308(a)(3)(ii)(B) 
</t>
  </si>
  <si>
    <t>Is this a remote hosted or cloud system? If yes, please answer the following questions.</t>
  </si>
  <si>
    <t>1.8-a</t>
  </si>
  <si>
    <t>Do you have any data centers outside of the United States?</t>
  </si>
  <si>
    <t>1.8-b</t>
  </si>
  <si>
    <t>Can data be restricted to be stored only within the United States?</t>
  </si>
  <si>
    <t>Will data be stored at an encrypted data center?</t>
  </si>
  <si>
    <t>Please list names of recognized data centers</t>
  </si>
  <si>
    <t>SC-13</t>
  </si>
  <si>
    <t>164.312(a)(2)(iv)
164.312(e)(2)(ii)</t>
  </si>
  <si>
    <t>Data Center Security Assurances</t>
  </si>
  <si>
    <t>What certifications does your data center have or external, independent validations of the following:?</t>
  </si>
  <si>
    <t>1.10-a</t>
  </si>
  <si>
    <t>SOC (indicate SOC 1, 2, or 3 and type 1 or 2)</t>
  </si>
  <si>
    <t>1.10-b</t>
  </si>
  <si>
    <t>1.10-c</t>
  </si>
  <si>
    <t>1.10-d</t>
  </si>
  <si>
    <t>1.10-e</t>
  </si>
  <si>
    <t>1.10-f</t>
  </si>
  <si>
    <t>1.10-g</t>
  </si>
  <si>
    <t>1.10-h</t>
  </si>
  <si>
    <t>Other (please specify in the comments section)</t>
  </si>
  <si>
    <t>Data Breach History</t>
  </si>
  <si>
    <t>Has your organization ever experienced a data breach?  If so, please explain in the comments box.</t>
  </si>
  <si>
    <t>Questions</t>
  </si>
  <si>
    <t>Disclosure Permitted?</t>
  </si>
  <si>
    <t>Comments</t>
  </si>
  <si>
    <t>Name of Information Security leader?</t>
  </si>
  <si>
    <t>Title</t>
  </si>
  <si>
    <t>Role</t>
  </si>
  <si>
    <t xml:space="preserve">  Number of full-time information security personnel?</t>
  </si>
  <si>
    <t>Name of incident response officer?</t>
  </si>
  <si>
    <t>Email</t>
  </si>
  <si>
    <t>Phone</t>
  </si>
  <si>
    <t>Does VENDOR maintain cyber liability insurance in addition to general liability insurance? If Yes, please explain how much in the comments section.</t>
  </si>
  <si>
    <t>Is there a current BAA in place?</t>
  </si>
  <si>
    <t>Vendor Scope Questions</t>
  </si>
  <si>
    <t>Environment 1</t>
  </si>
  <si>
    <t>Environment 2</t>
  </si>
  <si>
    <t>Environment 3</t>
  </si>
  <si>
    <t xml:space="preserve">Comments </t>
  </si>
  <si>
    <t>Please identity the environment (e.g., back office, systems involved in support /maintenance services, applications/softwares) in the "response" column and provide a brief description in the comments section:</t>
  </si>
  <si>
    <t>Is the identified environment either of the following:</t>
  </si>
  <si>
    <t>Service</t>
  </si>
  <si>
    <t>Product</t>
  </si>
  <si>
    <t xml:space="preserve">Please indicate if the identified environment will: </t>
  </si>
  <si>
    <t>If "yes", please provide details in the comments section.</t>
  </si>
  <si>
    <t xml:space="preserve"> </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</si>
  <si>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</si>
  <si>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</si>
  <si>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</si>
  <si>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</si>
  <si>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</si>
  <si>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</si>
  <si>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</si>
  <si>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</si>
  <si>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</si>
  <si>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</si>
  <si>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</si>
  <si>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ISO 27001:2013</t>
  </si>
  <si>
    <t>Objective:</t>
  </si>
  <si>
    <t>Summary/Explanation (if diagrams are not available):</t>
  </si>
  <si>
    <t>Evidence/Assurance</t>
  </si>
  <si>
    <t>Please provide any and all network architecture diagram(s) within this worksheet:</t>
  </si>
  <si>
    <t xml:space="preserve">Please attach network architecture diagram(s) or provide screenshots below: </t>
  </si>
  <si>
    <t>Summary/Explanation:</t>
  </si>
  <si>
    <t>If necessary please provide supporting documentation</t>
  </si>
  <si>
    <t>Key Control Question Reference #</t>
  </si>
  <si>
    <t>Key Control:</t>
  </si>
  <si>
    <t>Control Area #</t>
  </si>
  <si>
    <t>Evidence Requested:</t>
  </si>
  <si>
    <t>Provided to CORL?</t>
  </si>
  <si>
    <t>Vendor Comments</t>
  </si>
  <si>
    <t>CM-2.1</t>
  </si>
  <si>
    <t>Baseline Configuration</t>
  </si>
  <si>
    <t>CM-2</t>
  </si>
  <si>
    <t xml:space="preserve">Provide the most recent Baseline Configuration document for the information system (e.g., hardening procedures for Window OS, baseline security settings for sever AND application builds.) </t>
  </si>
  <si>
    <t>CM-3.1 - CM-3.6</t>
  </si>
  <si>
    <t>Configuration Change Control</t>
  </si>
  <si>
    <t>CM-3</t>
  </si>
  <si>
    <t>Configuration Change Control procedures</t>
  </si>
  <si>
    <t>CM-5.1</t>
  </si>
  <si>
    <t xml:space="preserve">Access Restrictions for Change  </t>
  </si>
  <si>
    <t>CM-5</t>
  </si>
  <si>
    <t>CM-6.1 - CM-6.3</t>
  </si>
  <si>
    <t xml:space="preserve">Configuration Settings  </t>
  </si>
  <si>
    <t>CM-6</t>
  </si>
  <si>
    <t xml:space="preserve">Provide report monitoring records related to most recent changes to the Configuration settings information system 
</t>
  </si>
  <si>
    <t>CM-7.1</t>
  </si>
  <si>
    <t>Least Functionality</t>
  </si>
  <si>
    <t>CM-7</t>
  </si>
  <si>
    <t>(See CM 2.1 - Most recent Baseline Configuration)</t>
  </si>
  <si>
    <t>CM-8.1 - CM-8.2</t>
  </si>
  <si>
    <t xml:space="preserve">Information System Component Inventory  </t>
  </si>
  <si>
    <t>CM-8</t>
  </si>
  <si>
    <t>Provide documentation that demonstrates information system Component Inventory is maintained and kept up to date.</t>
  </si>
  <si>
    <t>CM-9.1 - CM-9.4</t>
  </si>
  <si>
    <t>Configuration Management Plan</t>
  </si>
  <si>
    <t>CM-9</t>
  </si>
  <si>
    <t>Provide Software Development/Deployment Life Cycle (SDLC) documentation which includes secure coding procedures, where applicable.</t>
  </si>
  <si>
    <t>CM-10.1</t>
  </si>
  <si>
    <t xml:space="preserve">Software Usage Restrictions  </t>
  </si>
  <si>
    <t>CM-10</t>
  </si>
  <si>
    <t>Provide Acceptable Use policy. Provide samples of software licensing documentation.</t>
  </si>
  <si>
    <t>CM-11.1</t>
  </si>
  <si>
    <t>User-Installed Software</t>
  </si>
  <si>
    <t>CM-11</t>
  </si>
  <si>
    <t xml:space="preserve">Provide documentation that demonstrates unapproved software is prohibited from use on the information system. Provide evidence of any mechanisms that prevent unapproved software from being used. </t>
  </si>
  <si>
    <t>IA-5.2 - IA-5.8</t>
  </si>
  <si>
    <t>Authenticator Management</t>
  </si>
  <si>
    <t>IA-5</t>
  </si>
  <si>
    <t>Provide Password policy and procedures, including length and complexity requirements as well as process initial password distribution and changing of factory defaults.</t>
  </si>
  <si>
    <t>MA-4.1 - MA-4.5</t>
  </si>
  <si>
    <t>Non-local Maintenance</t>
  </si>
  <si>
    <t>MA-4</t>
  </si>
  <si>
    <t>Provide policy and procedures surrounding secure remote support of the information system.</t>
  </si>
  <si>
    <t>RA-5.1</t>
  </si>
  <si>
    <t>Vulnerability Scanning</t>
  </si>
  <si>
    <t>RA-5</t>
  </si>
  <si>
    <t>Provide Vulnerability Management procedures and copy of the most recent vulnerability scans of all systems which process, transmit, or store client data</t>
  </si>
  <si>
    <t>SC-15.1 - SC-15.3</t>
  </si>
  <si>
    <t>Collaborative Computing Devices</t>
  </si>
  <si>
    <t>SC-15</t>
  </si>
  <si>
    <t>Provide hardware configuration specifications that demonstrate remote activation of collaborative computing devices are prohibited</t>
  </si>
  <si>
    <t>SC-8.1, SC-8.2, SC-28.1</t>
  </si>
  <si>
    <t>Encryption</t>
  </si>
  <si>
    <t>SC-8, SC-28</t>
  </si>
  <si>
    <t>Provide Encryption policy and procedures for information in transit and information at rest.</t>
  </si>
  <si>
    <t>SC-18.1</t>
  </si>
  <si>
    <t>Mobile Code</t>
  </si>
  <si>
    <t>SC-18</t>
  </si>
  <si>
    <t>Provide Communications Protection policy and Mobile Code Implementation policy</t>
  </si>
  <si>
    <t>SI-2.1 - SI-2.3</t>
  </si>
  <si>
    <t>Flaw Remediation</t>
  </si>
  <si>
    <t>SI-2</t>
  </si>
  <si>
    <t>Provide documentation that all identified vulnerabilities are remediated in a timely manner.</t>
  </si>
  <si>
    <t>SI-3.1 - SI-3.4</t>
  </si>
  <si>
    <t>Malicious Code Protection</t>
  </si>
  <si>
    <t>SI-3</t>
  </si>
  <si>
    <t>Provide evidence that malware protection solutions are implemented on servers, workstations, and all other end points that process, transmit, or store client data.</t>
  </si>
  <si>
    <t>SI-4.1</t>
  </si>
  <si>
    <t>Information Systems Monitoring</t>
  </si>
  <si>
    <t>SI-4</t>
  </si>
  <si>
    <t>Provide evidence that intrusion detection and intrusion prevention solutions are implemented and monitored.</t>
  </si>
  <si>
    <t>SI-7.1</t>
  </si>
  <si>
    <t>Software, Firmware, and Information Integrity</t>
  </si>
  <si>
    <t>SI-7</t>
  </si>
  <si>
    <t>Provide evidence that information integrity tools are used. (e.g., tripwire)</t>
  </si>
  <si>
    <t>SI-8.1</t>
  </si>
  <si>
    <t>Spam Protection</t>
  </si>
  <si>
    <t>SI-8</t>
  </si>
  <si>
    <t xml:space="preserve">Provide documentation that spam protection mechanisms are employed at information system entry/exit points and are updated when new releases of such mechanisms are available. </t>
  </si>
  <si>
    <t>SA-4.1</t>
  </si>
  <si>
    <t>Acquisition Process</t>
  </si>
  <si>
    <t>SA-4</t>
  </si>
  <si>
    <t>Please provide Vendor Management Policy/ Procedures</t>
  </si>
  <si>
    <t>SA-12</t>
  </si>
  <si>
    <t>Supply Chain Protection</t>
  </si>
  <si>
    <t>IR-8</t>
  </si>
  <si>
    <t>Incident Response Plan</t>
  </si>
  <si>
    <t>Please provide comprehensive Incident Response Plan</t>
  </si>
  <si>
    <t xml:space="preserve">HIPAA CFR Control Reference(s) </t>
  </si>
  <si>
    <t>Security Questions:</t>
  </si>
  <si>
    <t>Access Control</t>
  </si>
  <si>
    <t>AC-1.1</t>
  </si>
  <si>
    <t>AC-1</t>
  </si>
  <si>
    <t xml:space="preserve">164.308(a)(3)(i) 
164.308(a)(3)(ii)(A)
164.308(a)(4)(i) 
164.308(a)(4)(ii)(B)
164.308(a)(4)(ii)(C)
164.312(a)(1) 
</t>
  </si>
  <si>
    <t>Access Control Policy and Procedures</t>
  </si>
  <si>
    <t>Are there formally documented policies and procedures for access control? If yes, please attach.</t>
  </si>
  <si>
    <t>Comment is required</t>
  </si>
  <si>
    <t>AC-3.1</t>
  </si>
  <si>
    <t>AC-3</t>
  </si>
  <si>
    <t xml:space="preserve">164.308(a)(3)(ii)(A)
164.308(a)(4)(ii)(B)
164.308(a)(4)(ii)(C)
164.310(a)(2)(iii)
164.310(b)
164.312(a)(1) 
164.312(a)(2)(i) 
164.312(a)(2)(ii)
164.312(a)(2)(iv)
</t>
  </si>
  <si>
    <t>Access Enforcement</t>
  </si>
  <si>
    <t xml:space="preserve">Does the information system verify the rights of a user to access the information system? (Access Control Lists, Group/Role membership?) If yes, detail how the access is enforced in the comment. </t>
  </si>
  <si>
    <t>AC-3.2</t>
  </si>
  <si>
    <t xml:space="preserve">Does the information system support role-based account management and access controls (RBAC)? </t>
  </si>
  <si>
    <t>AC-3.3</t>
  </si>
  <si>
    <t>If RBAC is supported, can a customer administrator create/customize unique roles and permissions.</t>
  </si>
  <si>
    <t>AC-7.1</t>
  </si>
  <si>
    <t>AC-7</t>
  </si>
  <si>
    <t>Unsuccessful Logon Attempts</t>
  </si>
  <si>
    <t>Is an account automatically locked out after a set amount of attempts? If yes, please provide the number of failed attempts that trigger an account to be locked out, in the comments section.</t>
  </si>
  <si>
    <t>AC-8.1</t>
  </si>
  <si>
    <t>AC-8</t>
  </si>
  <si>
    <t>System Use Notification</t>
  </si>
  <si>
    <t>Is there a system use notification displayed before granting access that provides privacy and security notices?</t>
  </si>
  <si>
    <t>AC-9.1</t>
  </si>
  <si>
    <t>AC-9</t>
  </si>
  <si>
    <t>Previous Logon Notification</t>
  </si>
  <si>
    <t>Does the system display the last user logon date and time to the user?</t>
  </si>
  <si>
    <t>AC-10.1</t>
  </si>
  <si>
    <t>AC-10</t>
  </si>
  <si>
    <t>Concurrent Session Control</t>
  </si>
  <si>
    <t>Does the system limit the number of concurrent sessions for the user?</t>
  </si>
  <si>
    <t>AC-11.1</t>
  </si>
  <si>
    <t>AC-11</t>
  </si>
  <si>
    <t xml:space="preserve">164.310(b)
164.312(a)(2)(iii)
</t>
  </si>
  <si>
    <t>Session Lock</t>
  </si>
  <si>
    <r>
      <t xml:space="preserve">Does the application/system have a session </t>
    </r>
    <r>
      <rPr>
        <i/>
        <sz val="9"/>
        <rFont val="Arial"/>
        <family val="2"/>
      </rPr>
      <t>lock</t>
    </r>
    <r>
      <rPr>
        <sz val="9"/>
        <rFont val="Arial"/>
        <family val="2"/>
      </rPr>
      <t xml:space="preserve"> after a period of inactivity that requires a user to reauthenticate?</t>
    </r>
  </si>
  <si>
    <t>AC-12.1</t>
  </si>
  <si>
    <t>AC-12</t>
  </si>
  <si>
    <t>Session Termination</t>
  </si>
  <si>
    <r>
      <t xml:space="preserve">Does the application/system </t>
    </r>
    <r>
      <rPr>
        <i/>
        <sz val="9"/>
        <rFont val="Arial"/>
        <family val="2"/>
      </rPr>
      <t>terminate</t>
    </r>
    <r>
      <rPr>
        <sz val="9"/>
        <rFont val="Arial"/>
        <family val="2"/>
      </rPr>
      <t xml:space="preserve"> the session after predefined circumstances?</t>
    </r>
  </si>
  <si>
    <t>AC-14.1</t>
  </si>
  <si>
    <t>AC-14</t>
  </si>
  <si>
    <t>Permitted Actions without Identification or
Authentication</t>
  </si>
  <si>
    <t>Does the system prevent user actions that can be performed on the system without identification and authentication?</t>
  </si>
  <si>
    <t>Awareness and Training</t>
  </si>
  <si>
    <t>AT-1.1</t>
  </si>
  <si>
    <t>AT-1</t>
  </si>
  <si>
    <t xml:space="preserve">164.308(a)(5)(i)
</t>
  </si>
  <si>
    <t>Security Awareness and Training Policy and
Procedures</t>
  </si>
  <si>
    <t>Are there formally documented procedures for security awareness and training for this information system? If yes, please attach.</t>
  </si>
  <si>
    <t>AT-2.1</t>
  </si>
  <si>
    <t>AT-2</t>
  </si>
  <si>
    <t xml:space="preserve">164.308(a)(5)(i)
164.308(a)(5)(ii)(A)
164.308(a)(5)(ii)(B)
</t>
  </si>
  <si>
    <t>Security Awareness</t>
  </si>
  <si>
    <t xml:space="preserve">Is basic security awareness training performed for all personnel as a part of the onboarding process? </t>
  </si>
  <si>
    <t>AT-2.2</t>
  </si>
  <si>
    <t>Is it periodically performed for all users?</t>
  </si>
  <si>
    <t>AT-3.1</t>
  </si>
  <si>
    <t>AT-3</t>
  </si>
  <si>
    <t>Role-Based Security Training</t>
  </si>
  <si>
    <t>Is there role-based security training for personnel with assigned security roles and responsibilities for this information system before access is granted and when required by information system changes?</t>
  </si>
  <si>
    <t>AT-4.1</t>
  </si>
  <si>
    <t>AT-4</t>
  </si>
  <si>
    <t>Security Training Records</t>
  </si>
  <si>
    <t>Do you document and monitor information system security training activities for individuals?</t>
  </si>
  <si>
    <t>Audit and Accountability</t>
  </si>
  <si>
    <t>AU-2.1</t>
  </si>
  <si>
    <t>AU-2</t>
  </si>
  <si>
    <t xml:space="preserve">164.308(a)(5)(ii)(C)
164.312(b)
</t>
  </si>
  <si>
    <t>Audit Events</t>
  </si>
  <si>
    <t>Is the information system actively auditing events such as access to patient information, login/logoffs, account creation, etc.? If yes, please detail the events captured in the comment.</t>
  </si>
  <si>
    <t>AU-2.2</t>
  </si>
  <si>
    <t>Are the audit logs captured sufficient for incident response and system and user performance/investigation?</t>
  </si>
  <si>
    <t>AU-3.1</t>
  </si>
  <si>
    <t>AU-3</t>
  </si>
  <si>
    <t xml:space="preserve">164.312(b)
</t>
  </si>
  <si>
    <t>Content of Audit Records</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</si>
  <si>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</si>
  <si>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AU-5.1</t>
  </si>
  <si>
    <t>AU-5</t>
  </si>
  <si>
    <t>Response to Audit Processing Failures</t>
  </si>
  <si>
    <t>Does the information system generate an alert that notifies the team in the event of an audit processing failure?</t>
  </si>
  <si>
    <t>AU-7.1</t>
  </si>
  <si>
    <t>AU-7</t>
  </si>
  <si>
    <t xml:space="preserve">164.308(a)(1)(ii)(D)
164.312(b)
</t>
  </si>
  <si>
    <t>Audit Reduction and Report Generation</t>
  </si>
  <si>
    <t>Does the information system provide the capability to generate customizable audit reports?</t>
  </si>
  <si>
    <t>AU-7.2</t>
  </si>
  <si>
    <t>Does the generation of an audit report alter the original content or time stamp of the audit record?</t>
  </si>
  <si>
    <t>AU-8.1</t>
  </si>
  <si>
    <t>AU-8</t>
  </si>
  <si>
    <t>Time Stamps</t>
  </si>
  <si>
    <t>Are the audit logs time stamped? (Date and Time)</t>
  </si>
  <si>
    <t>AU-9.1</t>
  </si>
  <si>
    <t>AU-9</t>
  </si>
  <si>
    <t>Protection of Audit Information</t>
  </si>
  <si>
    <t>Does the system/application protect audit information from unauthorized access, modification, and deletion?</t>
  </si>
  <si>
    <t>AU-12.1</t>
  </si>
  <si>
    <t>AU-12</t>
  </si>
  <si>
    <t>Audit Generation</t>
  </si>
  <si>
    <t xml:space="preserve">Can the information system be configured to select which auditable events are captured in the audit log? </t>
  </si>
  <si>
    <t>Configuration Management</t>
  </si>
  <si>
    <t>CM-1.1</t>
  </si>
  <si>
    <t>CM-1</t>
  </si>
  <si>
    <t>Configuration Management Policy and
Procedures</t>
  </si>
  <si>
    <t>Are there documented procedures to outline who/when and how the system/application is configured? If yes, please attach</t>
  </si>
  <si>
    <t>Do you have a current configuration baseline documented for the information system? (The baseline configuration is a documented, up-to-date specification to which the information system is built.)</t>
  </si>
  <si>
    <t>CM-3.1</t>
  </si>
  <si>
    <t>Are types of changes to the information system that are configuration-controlled defined?</t>
  </si>
  <si>
    <t>CM-3.2</t>
  </si>
  <si>
    <t>Does the organization review proposed configuration-controlled changes to the information system, using defined security impact analyses?</t>
  </si>
  <si>
    <t>CM-3.3</t>
  </si>
  <si>
    <t>Are all configuration changes adequately documented?</t>
  </si>
  <si>
    <t>CM-3.4</t>
  </si>
  <si>
    <t>Are all approved configuration controls implemented timely?</t>
  </si>
  <si>
    <t>CM-3.5</t>
  </si>
  <si>
    <t>Does the organization retain records of configuration controlled changes?</t>
  </si>
  <si>
    <t>CM-3.6</t>
  </si>
  <si>
    <t>Are there auditing and monitoring activities implemented to assess the configuration-controlled changes?</t>
  </si>
  <si>
    <t>CM-4.1</t>
  </si>
  <si>
    <t>CM-4</t>
  </si>
  <si>
    <t>Security Impact Analysis</t>
  </si>
  <si>
    <t>Do you analyze changes to the information system to determine potential security impacts prior to change implementation?</t>
  </si>
  <si>
    <t>CM-6.1</t>
  </si>
  <si>
    <t>Configuration Settings</t>
  </si>
  <si>
    <t xml:space="preserve">Have all the configuration settings been documented that reflect the most restrictive mode consistent with operational requirements? </t>
  </si>
  <si>
    <t>CM-6.2</t>
  </si>
  <si>
    <t>Is there any automated or manual monitoring of configuration changes? (e.g. Tripwire, manual checklists)</t>
  </si>
  <si>
    <t>CM-6.3</t>
  </si>
  <si>
    <t>Do you document and approve deviations from the established configuration settings?</t>
  </si>
  <si>
    <t xml:space="preserve">Do you restrict or prohibit the use of any functions, ports, protocols and/or services that are not essential to the function of the information system? </t>
  </si>
  <si>
    <t>CM-8.1</t>
  </si>
  <si>
    <t xml:space="preserve">164.310(d)(1)
164.310(d)(2)(iii)
</t>
  </si>
  <si>
    <t>Information System Component Inventory</t>
  </si>
  <si>
    <t>Do you have an accurate and current documented inventory of the components within the information system?</t>
  </si>
  <si>
    <t>CM-8.2</t>
  </si>
  <si>
    <t>If yes, do you review and update the information system component inventory regularly?</t>
  </si>
  <si>
    <t>CM-9.1</t>
  </si>
  <si>
    <t>Does the organization develop, document, and implement a configuration management plan for the information system that addresses roles, responsibilities and configuration management processes and procedures?</t>
  </si>
  <si>
    <t>CM-9.2</t>
  </si>
  <si>
    <t>Does the organization establish a process for identifying configuration items throughout the system development life cycle?</t>
  </si>
  <si>
    <t>CM-9.3</t>
  </si>
  <si>
    <t>Does the organization define configuration items for the information system?</t>
  </si>
  <si>
    <t>CM-9.4</t>
  </si>
  <si>
    <t>Does the organization protect the configuration management plan for unauthorized disclosures and modifications?</t>
  </si>
  <si>
    <t>Is user installation of software restricted and monitored?</t>
  </si>
  <si>
    <t>CM-12.1</t>
  </si>
  <si>
    <t>Patch Timeliness</t>
  </si>
  <si>
    <t>Are patches applied to the information system in a timely manner? If so, how quickly are patches applied?</t>
  </si>
  <si>
    <t>CM-12.2</t>
  </si>
  <si>
    <t>Patch Timeliness Policy</t>
  </si>
  <si>
    <t>Are there standards or policies which define the timing of patching the information system?</t>
  </si>
  <si>
    <t>CM-13.1</t>
  </si>
  <si>
    <t>Patch Management Environments</t>
  </si>
  <si>
    <t>Do you use Development, Test, QA, and Production environments during the patch management process? If so, describe the manner in which these environment are utilized?</t>
  </si>
  <si>
    <t>CM-14.1</t>
  </si>
  <si>
    <t>Patch Classification</t>
  </si>
  <si>
    <t>Do you categorize patches based on severity? If yes, please provide the categories, their definitions, and the associated time frames for deploying patches to production environments.</t>
  </si>
  <si>
    <t>CM-14.2</t>
  </si>
  <si>
    <t>Do you implement patches categorized as "critical" within 72 hours of patch release?</t>
  </si>
  <si>
    <t>Identification and Authentication</t>
  </si>
  <si>
    <t>IA-1.1</t>
  </si>
  <si>
    <t>IA-1</t>
  </si>
  <si>
    <t>Identification and Authentication Policy and Procedures</t>
  </si>
  <si>
    <t>Does the application/system use managed LDAP services for identification and authentication? If no, detail in the comment column what is used.</t>
  </si>
  <si>
    <t>IA-2.1</t>
  </si>
  <si>
    <t>IA-2</t>
  </si>
  <si>
    <t xml:space="preserve">164.308(a)(5)(ii)(D)
164.312(a)(2)(i) 
164.312(d)
</t>
  </si>
  <si>
    <t>Identification and Authentication
(Organizational Users)</t>
  </si>
  <si>
    <t>Does the information system use multifactor authentication for privileged or non-privileged access? (Uses at least two of: what you have, what you know, what you are.  E.g., tokens, passwords, biometrics.)</t>
  </si>
  <si>
    <t>IA-3.1</t>
  </si>
  <si>
    <t>IA-3</t>
  </si>
  <si>
    <t xml:space="preserve">164.312(a)(2)(i) 
164.312(d)
</t>
  </si>
  <si>
    <t>Device Identification and Authentication</t>
  </si>
  <si>
    <t>Does the information system uniquely identify and authenticate devices before establishing a connection? (E.g., MAC, TCP/IP, IEEE 802.1x)</t>
  </si>
  <si>
    <t>IA-4.2</t>
  </si>
  <si>
    <t>Identifier Management</t>
  </si>
  <si>
    <t>Does the application/system prevent reuse of user or device identifiers?</t>
  </si>
  <si>
    <t>IA-4.3</t>
  </si>
  <si>
    <t>Does the application/system disable the user or device account after a pre-defined period of inactivity?</t>
  </si>
  <si>
    <t>IA-5.1</t>
  </si>
  <si>
    <t xml:space="preserve">164.308(a)(5)(ii)(D)
</t>
  </si>
  <si>
    <t xml:space="preserve">Does the application/system comply with the password complexity as outlined in implemented policies? </t>
  </si>
  <si>
    <t>IA-5.2</t>
  </si>
  <si>
    <t>Does information system force the End User to comply with the following password requirements regarding complexity, length and change?
- Passwords at least 8 characters in length.
- Passwords contain the following:
- Mixed case alpha characters
- at least one numeric digit
- at least one non-alphanumeric character
- Current password may not be reused
- Do current passwords expire every 90 days? 
- Are passwords stored in an encrypted format?</t>
  </si>
  <si>
    <t>IA-5.3</t>
  </si>
  <si>
    <t>Are the passwords encrypted within the information system when stored or transmitted?</t>
  </si>
  <si>
    <t>IA-5.7</t>
  </si>
  <si>
    <t>Is authenticator content protected from unauthorized disclosure and modification?</t>
  </si>
  <si>
    <t>IA-5.9</t>
  </si>
  <si>
    <t>Is token-based authentication utilized?</t>
  </si>
  <si>
    <t>IA-6.1</t>
  </si>
  <si>
    <t>IA-6</t>
  </si>
  <si>
    <t>Authenticator Feedback</t>
  </si>
  <si>
    <t>Does the information system obscure the authenticator/password during the authentication process?</t>
  </si>
  <si>
    <t>IA-7.1</t>
  </si>
  <si>
    <t>IA-7</t>
  </si>
  <si>
    <t>Cryptographic Module Authentication</t>
  </si>
  <si>
    <t>Does the information system use mechanisms for authentication to a cryptographic module? (This control is used for mostly operating systems and appliances used to encrypt something.)</t>
  </si>
  <si>
    <t xml:space="preserve">Incident Response </t>
  </si>
  <si>
    <t>IR-1.1</t>
  </si>
  <si>
    <t>IR-1</t>
  </si>
  <si>
    <t>164.308(a)(6)(i)</t>
  </si>
  <si>
    <t xml:space="preserve">Incident Response Policies and Procedures </t>
  </si>
  <si>
    <t>Are there formally documented policies and procedures for Incident Response? If yes, please attach.</t>
  </si>
  <si>
    <t>IR-2.1</t>
  </si>
  <si>
    <t>IR-2</t>
  </si>
  <si>
    <t>Incident Response Training</t>
  </si>
  <si>
    <t>Are staff provided with incident response training?</t>
  </si>
  <si>
    <t>IR-2.2</t>
  </si>
  <si>
    <t>Is incident response training unique based on the role of the individual?</t>
  </si>
  <si>
    <t>IR-3.1</t>
  </si>
  <si>
    <t>IR-3</t>
  </si>
  <si>
    <t>Incident Response Testing and Exercises</t>
  </si>
  <si>
    <t>Are incident response tests conducted?</t>
  </si>
  <si>
    <t>IR-3.2</t>
  </si>
  <si>
    <t>Are the incident response test results analyzed?</t>
  </si>
  <si>
    <t>IR-4.1</t>
  </si>
  <si>
    <t>IR-4</t>
  </si>
  <si>
    <t xml:space="preserve">164.308(a)(6)(ii)
</t>
  </si>
  <si>
    <t>Incident Handling</t>
  </si>
  <si>
    <t>Is there an incident handling process</t>
  </si>
  <si>
    <t>IR-5.1</t>
  </si>
  <si>
    <t>IR-5</t>
  </si>
  <si>
    <t xml:space="preserve">164.308(a)(1)(ii)(D)
164.308(a)(6)(ii)
</t>
  </si>
  <si>
    <t>Incident Monitoring</t>
  </si>
  <si>
    <t>Are security incidents tracked and documented?</t>
  </si>
  <si>
    <t>IR-6.1</t>
  </si>
  <si>
    <t xml:space="preserve">IR-6 </t>
  </si>
  <si>
    <t xml:space="preserve">164.308(a)(1)(ii)(D)
164.308(a)(6)(ii)
164.314(a)(2)(i)
</t>
  </si>
  <si>
    <t>Incident Reporting</t>
  </si>
  <si>
    <t>Are security incidents timely reported to appropriate personnel/ government authorities?</t>
  </si>
  <si>
    <t>IR-7.1</t>
  </si>
  <si>
    <t xml:space="preserve">IR-7 </t>
  </si>
  <si>
    <t>164.308(a)(6)(ii)</t>
  </si>
  <si>
    <t>Incident Response Assistance</t>
  </si>
  <si>
    <t>Are incident response resources used outside of the incident response team?</t>
  </si>
  <si>
    <t>IR-8.1</t>
  </si>
  <si>
    <t>Is there a comprehensive Incident Response Plan? If so, please attach.</t>
  </si>
  <si>
    <t>IR-9.1</t>
  </si>
  <si>
    <t>IR-9</t>
  </si>
  <si>
    <t>Information Spillage Response</t>
  </si>
  <si>
    <t>Does the organization respond to information spillage appropriately and timely?</t>
  </si>
  <si>
    <t>Maintenance</t>
  </si>
  <si>
    <t>MA-1.1</t>
  </si>
  <si>
    <t>MA-1</t>
  </si>
  <si>
    <t xml:space="preserve">164.310(a)(2)(iv)
</t>
  </si>
  <si>
    <t>System Maintenance Policy and Procedures</t>
  </si>
  <si>
    <t>Are there formally documented policies and procedures for Maintenance? If yes, please attach.</t>
  </si>
  <si>
    <t>MA-2.5</t>
  </si>
  <si>
    <r>
      <rPr>
        <sz val="9"/>
        <rFont val="Arial"/>
        <family val="2"/>
      </rPr>
      <t>Controlled Maintenance</t>
    </r>
  </si>
  <si>
    <t>Do you check all potentially impacted security controls to verify that the controls are still functioning properly following maintenance or repair actions? (E.g., verify that audit logs are still functioning properly, user level of access is still appropriate.)</t>
  </si>
  <si>
    <t>MA-3.1</t>
  </si>
  <si>
    <t>MA-3</t>
  </si>
  <si>
    <t>Maintenance Tools</t>
  </si>
  <si>
    <t>Does the organization approve, control and monitor information system maintenance tools?</t>
  </si>
  <si>
    <t>MA-4.1</t>
  </si>
  <si>
    <t>Nonlocal Maintenance</t>
  </si>
  <si>
    <t>Is any nonlocal maintenance and diagnostic activity performed on the information system  (such as across the network, either internal or external, using terminal services/RDP)?</t>
  </si>
  <si>
    <t>MA-4.2</t>
  </si>
  <si>
    <t>Are all nonlocal maintenance and diagnostic activities approved and monitored?</t>
  </si>
  <si>
    <t>MA-4.3</t>
  </si>
  <si>
    <t>Are strong authenticators/passwords used in the establishment of nonlocal maintenance and diagnostic sessions?</t>
  </si>
  <si>
    <t>MA-4.4</t>
  </si>
  <si>
    <t>Do you maintain records for nonlocal maintenance and diagnostic activities?</t>
  </si>
  <si>
    <t>MA-4.5</t>
  </si>
  <si>
    <t>Are the sessions and network connections terminated after the nonlocal maintenance has been completed?</t>
  </si>
  <si>
    <t>MA-5.1</t>
  </si>
  <si>
    <t>MA-5</t>
  </si>
  <si>
    <t xml:space="preserve">164.308(a)(3)(ii)(A)
</t>
  </si>
  <si>
    <r>
      <rPr>
        <sz val="9"/>
        <rFont val="Arial"/>
        <family val="2"/>
      </rPr>
      <t>Maintenance Personnel</t>
    </r>
  </si>
  <si>
    <t>Do you authorize and maintain a list of authorized maintenance personnel?</t>
  </si>
  <si>
    <t>MA-5.2</t>
  </si>
  <si>
    <t>Do you ensure that personnel performing maintenance of the information system have the required access authorizations?</t>
  </si>
  <si>
    <t>Personnel Security</t>
  </si>
  <si>
    <t>PS-1.1</t>
  </si>
  <si>
    <t xml:space="preserve">PS-1 </t>
  </si>
  <si>
    <t xml:space="preserve">164.308(a)(3)(ii)(A)
164.308(a)(3)(ii)(B) 
164.308(a)(3)(ii)(C)
</t>
  </si>
  <si>
    <t xml:space="preserve">Personnel Security Policies and Procedures </t>
  </si>
  <si>
    <t>Are there formally documented policies and procedures for Personnel Security? If yes, please attach.</t>
  </si>
  <si>
    <t>PS-2.1</t>
  </si>
  <si>
    <t>PS-2</t>
  </si>
  <si>
    <t>Position Risk Designation</t>
  </si>
  <si>
    <t>Does the organization assign risk designations to all positions?</t>
  </si>
  <si>
    <t>PS-2.2</t>
  </si>
  <si>
    <t>Does the organization establish screening criteria for individuals filling those positions?</t>
  </si>
  <si>
    <t>PS-2.3</t>
  </si>
  <si>
    <t>Does the organization review and revise position risk designations at least every three years?</t>
  </si>
  <si>
    <t>PS-3.1</t>
  </si>
  <si>
    <t>Personnel Screening</t>
  </si>
  <si>
    <t>Does the organization screen individuals prior to authorizing access to the information system?</t>
  </si>
  <si>
    <t>PS-3.2</t>
  </si>
  <si>
    <t>Does the organization re-screen individuals with access to the information system?</t>
  </si>
  <si>
    <t>PS-4.1</t>
  </si>
  <si>
    <t>PS-4</t>
  </si>
  <si>
    <t xml:space="preserve">164.308(a)(3)(ii)(C)
</t>
  </si>
  <si>
    <t>Personnel Termination</t>
  </si>
  <si>
    <t>Does the organization have appropriate termination procedures in place to those with access to the information system?</t>
  </si>
  <si>
    <t>PS-5.1</t>
  </si>
  <si>
    <t>PS-5</t>
  </si>
  <si>
    <t>Personnel Transfer</t>
  </si>
  <si>
    <t>Does the organization have appropriate transfer procedures in place to those with access to the information system?</t>
  </si>
  <si>
    <t>PS-6.1</t>
  </si>
  <si>
    <t>PS-6</t>
  </si>
  <si>
    <t xml:space="preserve">164.308(a)(3)(ii)(A)
164.308(a)(3)(ii)(B)
164.308(a)(4)(ii)(B)
164.310(b)
164.310(d)(2)(iii)
164.314(a)(1)
164.314(a)(2)(i)
164.314(a)(2)(ii)
</t>
  </si>
  <si>
    <t>Access Agreements</t>
  </si>
  <si>
    <t>Does the organization have access agreements (reviewed annually) for individuals with access to the information system?</t>
  </si>
  <si>
    <t>PS-7.1</t>
  </si>
  <si>
    <t>PS-7</t>
  </si>
  <si>
    <t xml:space="preserve">164.308(a)(3)(ii)(A)
164.308(a)(4)(ii)(B)
164.308(b)(1)
164.314(a)(1)
164.314(a)(2)(i)
164.314(a)(2)(ii)
</t>
  </si>
  <si>
    <t>Third Party Personnel Security</t>
  </si>
  <si>
    <t>Does the organization have appropriate third-party access control procedures for external parties granted access to the information system?</t>
  </si>
  <si>
    <t>PS-8.1</t>
  </si>
  <si>
    <t>PS-8</t>
  </si>
  <si>
    <t>164.308(a)(1)(ii)(C)</t>
  </si>
  <si>
    <t>Personnel Sanctions</t>
  </si>
  <si>
    <t>Does the organization have appropriate personnel sanctions policies and procedures?</t>
  </si>
  <si>
    <t>System and Services Acquisition</t>
  </si>
  <si>
    <t>SA-1.1</t>
  </si>
  <si>
    <t>SA-1</t>
  </si>
  <si>
    <t>System and Services Acquisition Policy and Procedure</t>
  </si>
  <si>
    <t>Are there formally documented policies and procedures for System and Services Acquisitions? If yes, please attach.</t>
  </si>
  <si>
    <t>SA-3.1</t>
  </si>
  <si>
    <t>SA-3</t>
  </si>
  <si>
    <t>System Development Life Cycle</t>
  </si>
  <si>
    <t>Does the organization define a comprehensive life cycle for the information system?</t>
  </si>
  <si>
    <t xml:space="preserve">164.314(a)(2)(i)
</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</si>
  <si>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</si>
  <si>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SA-5.1</t>
  </si>
  <si>
    <t>SA-5</t>
  </si>
  <si>
    <t>Information System Documentation</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</si>
  <si>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</si>
  <si>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SA-5.2</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</si>
  <si>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</si>
  <si>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SA-5.4</t>
  </si>
  <si>
    <t>Is the documentation protected as required and only distributed to authorized personnel?</t>
  </si>
  <si>
    <t>SA-8.1</t>
  </si>
  <si>
    <t>SA-8</t>
  </si>
  <si>
    <t>Security Engineering Principles</t>
  </si>
  <si>
    <t>Does the organization apply information system security engineering principles in the specification, design, development, implementation, and modification of the information system.</t>
  </si>
  <si>
    <t>SA-10.1</t>
  </si>
  <si>
    <t>SA-10</t>
  </si>
  <si>
    <t>Developer Configuration Management</t>
  </si>
  <si>
    <t>Does the organization require the developer of the information system, system component or information system service to perform configuration, document the changes and implement only organization-approved configuration changes?</t>
  </si>
  <si>
    <t>SA-11.1</t>
  </si>
  <si>
    <t>SA-11</t>
  </si>
  <si>
    <t>Developer Security Testing and Evaluation</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</si>
  <si>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</si>
  <si>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System and Communications Protection</t>
  </si>
  <si>
    <t>SC-1.1</t>
  </si>
  <si>
    <t>SC-1</t>
  </si>
  <si>
    <t>System and Communications Protection
Policy and Procedures</t>
  </si>
  <si>
    <t>Do you have formally documented policies and procedures for System and Communications Protection? If yes, please attach.</t>
  </si>
  <si>
    <t>SC-2.1</t>
  </si>
  <si>
    <t>SC-2</t>
  </si>
  <si>
    <t>Application Partitioning</t>
  </si>
  <si>
    <t>Does The information system separate user functionality (including user interface services) from information system management functionality?</t>
  </si>
  <si>
    <t>SC-8.1</t>
  </si>
  <si>
    <t>SC-8</t>
  </si>
  <si>
    <t xml:space="preserve">164.312(c)(1)
164.312(c)(2)
164.312(e)(1) *From SC-09
164.312(e)(2)(i)
164.312(e)(2)(ii) *From SC-09
</t>
  </si>
  <si>
    <t>Transmission Confidentiality and Integrity</t>
  </si>
  <si>
    <t xml:space="preserve">Does the application/system utilize cryptographic protocols to protect the integrity of transmitted information? If yes, how is this achieved (e.g., SSL 2, SSL 3, TLS 1.0)? </t>
  </si>
  <si>
    <t>SC-8.2</t>
  </si>
  <si>
    <t xml:space="preserve">Does the application/system employ cryptographic mechanisms to recognize changes to information during transmission (such as hashing algorithms)? </t>
  </si>
  <si>
    <t>SC-10.1</t>
  </si>
  <si>
    <t>SC-10</t>
  </si>
  <si>
    <t>Network Disconnect</t>
  </si>
  <si>
    <t>Does the information system terminate network connection associated with a communication session at the end of the session or after no longer than 30 minutes of inactivity?</t>
  </si>
  <si>
    <t>SC-13.1</t>
  </si>
  <si>
    <t xml:space="preserve">164.312(a)(2)(iv)
164.312(e)(2)(ii)
</t>
  </si>
  <si>
    <t>Cryptographic Protection</t>
  </si>
  <si>
    <t>Does the information system use cryptographic protections? If yes, detail the encryption algorithm and strength in the comment (AES 128, 3DES, etc.)</t>
  </si>
  <si>
    <t>SC-15.1</t>
  </si>
  <si>
    <t>Does the information system support the use of collaborative computing devices (e.g., networked white boards, cameras, microphones)?</t>
  </si>
  <si>
    <t>SC-15.2</t>
  </si>
  <si>
    <t>Is remote activation prohibited?</t>
  </si>
  <si>
    <t>SC-15.3</t>
  </si>
  <si>
    <t>Does the device indicate to the user that it is actively in use? (E.g., activated microphone or camera has an  illuminated indicator light.)</t>
  </si>
  <si>
    <t>SC-20.1</t>
  </si>
  <si>
    <t>SC-20</t>
  </si>
  <si>
    <t>Secure Name/Address Resolution Service (Authoritative Source)</t>
  </si>
  <si>
    <t>Does the information system provide additional data origin authentication and integrity verification artifacts along with the authoritative name resolution data the system returns in response to external name/address resolution queries?</t>
  </si>
  <si>
    <t>SC-21.1</t>
  </si>
  <si>
    <t>SC-21</t>
  </si>
  <si>
    <t>Secure Name/Address Resolution Service (Recursive or Caching Resolver)</t>
  </si>
  <si>
    <t>Does the information system request and perform data origin authentication and data integrity verification on the name/address resolution responses the system receives from authoritative sources?</t>
  </si>
  <si>
    <t>SC-23.1</t>
  </si>
  <si>
    <t>SC-23</t>
  </si>
  <si>
    <t>Session Authenticity</t>
  </si>
  <si>
    <t>Does the information system protect the authenticity of communication sessions?</t>
  </si>
  <si>
    <t>SC-28.1</t>
  </si>
  <si>
    <t>SC-28</t>
  </si>
  <si>
    <t>Protection of Information at Rest</t>
  </si>
  <si>
    <t>Does the organization support the capability to use cryptographic mechanisms to protect information at rest?  If yes, please provide the encryption algorithm and strength in the comments section.</t>
  </si>
  <si>
    <t>System and Information Integrity</t>
  </si>
  <si>
    <t>SI-1.1</t>
  </si>
  <si>
    <t>SI-1</t>
  </si>
  <si>
    <t xml:space="preserve">164.312(c)(1)
</t>
  </si>
  <si>
    <t>System and Information Integrity Policy and
Procedures</t>
  </si>
  <si>
    <t>Do you have formally documented policies and procedures for System and Information Integrity? If yes, please attach.</t>
  </si>
  <si>
    <t>SI-2.1</t>
  </si>
  <si>
    <t>Are information system flaws identified, reported, and corrected? (I.e., are vulnerability scans performed and addressed?)</t>
  </si>
  <si>
    <t>SI-2.2</t>
  </si>
  <si>
    <t>Are software and firmware updates tested for effectiveness and potential side effects before installation?</t>
  </si>
  <si>
    <t>SI-2.3</t>
  </si>
  <si>
    <t>Is flaw remediation incorporated into the organizational configuration management process?</t>
  </si>
  <si>
    <t>Environment Scope Summary</t>
  </si>
  <si>
    <t>Service or Product?</t>
  </si>
  <si>
    <t>Data Types:</t>
  </si>
  <si>
    <t>Client Data Accessible  via:</t>
  </si>
  <si>
    <t>Certifications</t>
  </si>
  <si>
    <t>Environment Access</t>
  </si>
  <si>
    <t>Tier</t>
  </si>
  <si>
    <t>Client Tier</t>
  </si>
  <si>
    <t>Calc Tier</t>
  </si>
  <si>
    <t>Control Family</t>
  </si>
  <si>
    <t>Security Question</t>
  </si>
  <si>
    <t>Comment</t>
  </si>
  <si>
    <t>Calc Response</t>
  </si>
  <si>
    <t>Override</t>
  </si>
  <si>
    <t>Final Response</t>
  </si>
  <si>
    <t>Reviewer Comments</t>
  </si>
  <si>
    <t>FindOverrideChanges</t>
  </si>
  <si>
    <t>FinalResponse</t>
  </si>
  <si>
    <t>OverrideTier</t>
  </si>
  <si>
    <t>CheckOverrideChanges</t>
  </si>
  <si>
    <t>Access Controls</t>
  </si>
  <si>
    <t>Is an account automatically locked out after a set amount of login attempts? If yes, please provide the number of failed attempts that trigger an account to be locked out, in the comments section.</t>
  </si>
  <si>
    <t>Authentication &amp; Authorization</t>
  </si>
  <si>
    <t>Is token-based authentication required?</t>
  </si>
  <si>
    <t>Incident Response</t>
  </si>
  <si>
    <t>System Acquisition</t>
  </si>
  <si>
    <t>System Data Protection</t>
  </si>
  <si>
    <t xml:space="preserve">Does the application/system utilize crytopgraphis protoco;s to protect the integrity of transmitted information? If yes, how is this achieved (e.g., SSL 2, SSL 3, TLS 1.0)? </t>
  </si>
  <si>
    <t>Does the information system use cryptographic protections for data-in-transit? If yes, detail the encryption algorithm and strength in the comment (AES, 3DES, etc.)</t>
  </si>
  <si>
    <t>Does the organization support the capability to use cryptographic mechanisms to protect information at rest? If yes, please provide the encryption algorithm and strength in the comments section.</t>
  </si>
  <si>
    <t>System Data Integrity</t>
  </si>
  <si>
    <t>Count</t>
  </si>
  <si>
    <t>% of tier</t>
  </si>
  <si>
    <t>Grade Test</t>
  </si>
  <si>
    <t>A</t>
  </si>
  <si>
    <t>B</t>
  </si>
  <si>
    <t>C</t>
  </si>
  <si>
    <t>Blank</t>
  </si>
  <si>
    <t>D</t>
  </si>
  <si>
    <t>F</t>
  </si>
  <si>
    <t>Grade</t>
  </si>
  <si>
    <t>Tier 3</t>
  </si>
  <si>
    <t>Tier 4</t>
  </si>
  <si>
    <t>Security Assessment</t>
  </si>
  <si>
    <t>Configuration</t>
  </si>
  <si>
    <t>Contingency Planning</t>
  </si>
  <si>
    <t>Media Protection</t>
  </si>
  <si>
    <t>Physical Security</t>
  </si>
  <si>
    <t>Planning</t>
  </si>
  <si>
    <t>Risk Assessments</t>
  </si>
  <si>
    <t>Count of Inadequacies</t>
  </si>
  <si>
    <t>T1</t>
  </si>
  <si>
    <t>T2</t>
  </si>
  <si>
    <t>T3</t>
  </si>
  <si>
    <t>T4</t>
  </si>
  <si>
    <t xml:space="preserve">Initial Product Profile </t>
  </si>
  <si>
    <t>Yes/No</t>
  </si>
  <si>
    <t>•  Protected Health Information (PHI)</t>
  </si>
  <si>
    <t>•  Personally Identifiable Information (PII)</t>
  </si>
  <si>
    <t>•  Payment Card Industry (PCI)</t>
  </si>
  <si>
    <t>•  Employee Information</t>
  </si>
  <si>
    <t>•  Other? Please explain in the comments section</t>
  </si>
  <si>
    <t>•  Software-as-a-Service</t>
  </si>
  <si>
    <t>•  Locally installed</t>
  </si>
  <si>
    <t>•  Hybrid (please explain in the comments section)</t>
  </si>
  <si>
    <t>•  Other (please explain in the comments section)</t>
  </si>
  <si>
    <t>(6) Is your organization is providing remote support or maintenance services? If yes, please outline the scope of the data  to which your organization will have access.</t>
  </si>
  <si>
    <t>(7) If your organization is providing remote support/maintenance services, please describe the method used to establish remote access to the client's infrastructure/ product.</t>
  </si>
  <si>
    <t>Comprehensive Product Security Questionnaire</t>
  </si>
  <si>
    <t>Comments/Evidence:</t>
  </si>
  <si>
    <t>• SSAE16 (indicate Type 1 or 2)</t>
  </si>
  <si>
    <t>• SOC 2 (indicate Type 1 or 2)</t>
  </si>
  <si>
    <t>• SOC 3 (indicate Trust Service Principles maintained)</t>
  </si>
  <si>
    <t>• HITRUST</t>
  </si>
  <si>
    <t>• ISO 27001</t>
  </si>
  <si>
    <t>• FedRamp</t>
  </si>
  <si>
    <t>• CSA STAR (indicate Certification or Attestation)</t>
  </si>
  <si>
    <t>• PCI DSS</t>
  </si>
  <si>
    <t>• Other? Please explain the in comments section.</t>
  </si>
  <si>
    <t>• HackerSafe</t>
  </si>
  <si>
    <t>• SquareTrade</t>
  </si>
  <si>
    <t>• Qualys</t>
  </si>
  <si>
    <t>• SysTrust/WebTrust</t>
  </si>
  <si>
    <t>• Symantec Certified</t>
  </si>
  <si>
    <t>• Truste</t>
  </si>
  <si>
    <t>• Safe Harbor</t>
  </si>
  <si>
    <t>• CSA STAR Self-Assessment</t>
  </si>
  <si>
    <t>Vulnerability Testing &amp; Patching</t>
  </si>
  <si>
    <t>(15) If applicable, what was the date of the most recent vulnerability test?</t>
  </si>
  <si>
    <t>Malware Protection</t>
  </si>
  <si>
    <t>Security Incident Response</t>
  </si>
  <si>
    <t>(23) Does your organization maintain a formal incident response policy? If "Yes", please attach the relevant policy documentation. If "No", please explain your incident handling process that applies to the product</t>
  </si>
  <si>
    <t>Access Controls &amp; Audit logging</t>
  </si>
  <si>
    <t>• Login</t>
  </si>
  <si>
    <t>• Log off</t>
  </si>
  <si>
    <t>• Failed login attempts</t>
  </si>
  <si>
    <t>• Files/records viewed</t>
  </si>
  <si>
    <t>• Files/records modified</t>
  </si>
  <si>
    <t>• Files/records deleted</t>
  </si>
  <si>
    <t>Data Encryption</t>
  </si>
  <si>
    <t>Data Center &amp; Disaster Recovery</t>
  </si>
  <si>
    <t>Authentication</t>
  </si>
  <si>
    <t>Version 3.00 (On Prem+PSQ)</t>
  </si>
  <si>
    <t>(3) Please describe how the PeriCALM is integrated with the client's infrastructure.</t>
  </si>
  <si>
    <t>(4) Do you maintain any documentation which include the details of PeriCALM's security configuration specifications? If so, please attach in the comments section.</t>
  </si>
  <si>
    <t>(8) Is there a point of contact for which security related questions/concerns about PeriCALM can be resolved? If so, please provide contact information, including: position title, email, and phone number in the comments section.</t>
  </si>
  <si>
    <t>(9) In what year was PeriCALM   first offered as a product?</t>
  </si>
  <si>
    <t>(10) Has PeriCALM attained any of the following security certifications:</t>
  </si>
  <si>
    <t xml:space="preserve">(11) Has PeriCALM attained any of the following miscellaneous certifications: </t>
  </si>
  <si>
    <t xml:space="preserve">(13) If PeriCALM is locally installed at the client's premises, does your organization perform vulnerability testing as part of the product's development lifecycle and whenever new vulnerabilities are identified in the industry? </t>
  </si>
  <si>
    <t>(14) If PeriCALM is a hosted solution, does your organization perform periodic vulnerability testing ? If so, how frequently (weekly, monthly, quarterly, etc.) and what tools are used for testing?</t>
  </si>
  <si>
    <t>(16) Are there any known vulnerabilities within PeriCALM  ? If yes, please provide the details of the existing vulnerabilities and if an fix/patch has been applied or is available to clients for implementation in their environment.</t>
  </si>
  <si>
    <t>(18) If the PeriCALM is locally installed at the client's premises, does your organization maintain a formal security patch management process that covers how the product's patches are developed, tested and released to clients? If yes, please provide the documentation. If no formal documentation is maintained, please describe the process in detail.</t>
  </si>
  <si>
    <t>(19) If the PeriCALM is a hosted solution, does your organization maintain a formal security patch management process that covers how patches are developed, tested, and applied to the hosted product environment? If yes, please provide the documentation. If no formal documentation is maintained, please describe the process in detail</t>
  </si>
  <si>
    <t xml:space="preserve">(20) Has PeriCALM undergone any major platform changes, upgrades, or enhancements in the past six months? If so, please provide a date and brief description of the each change/upgrade/enhancement.  </t>
  </si>
  <si>
    <t>(21) If PeriCALM is locally hosted, does it come with its own malware protection? If not, is PeriCALM capable of integrating with the customer’s existing malware protection such as McAfee or Symantec?</t>
  </si>
  <si>
    <t>(22) If PeriCALM is offered as a hosted solution, is server-side malware protection employed? If so, can you provide the name of the malware protection used (e.g., Symantec, McAfee, etc.)?</t>
  </si>
  <si>
    <t xml:space="preserve">(24) Does PeriCALM maintain audit logging capabilities? If so, please indicate which of the following events are captured by the PeriCALM audit log: </t>
  </si>
  <si>
    <t>(27) Does PeriCALM  support federated identity? If so, how is federated identity achieved (e.g., Active Directory, LDAP, SAML, Single Sign-On, etc.)?</t>
  </si>
  <si>
    <t>(30) If the PeriCALM is a hosted solution, can PeriCALM encrypt data-in-transit?  If so, Please provide all cipher suites supported by PeriCALM for data-in-transit encryption (e.g., TLS_RSA_WITH_AES_256_CBC_SHA256, TLS_RSA_WITH_RC4_128_SHA, etc.).</t>
  </si>
  <si>
    <t>(31) If the PeriCALM is a hosted solution, can  PeriCALM encrypt data-at-rest?  If so, Please provide all cipher suites supported by the PeriCALM for data-at-rest encryption (e.g., AES 128, 3DES, AES 256, etc.)?</t>
  </si>
  <si>
    <t>(32) Is PeriCALM hosted in a certified data center? If so, what certification(s) does the data center maintain, and can you please attach copies of the full audit reports in the comments section?</t>
  </si>
  <si>
    <t>(33) Does VENDOR maintain a disaster recovery policy which applies to PeriCALM  ? What are the disaster recovery capabilities of PeriCALM  ?  If so, please describe the policy and attach any relevant documentation.</t>
  </si>
  <si>
    <t>(34) What are the password length and complexity requirements enforced by PeriCALM?</t>
  </si>
  <si>
    <t>(36) Does PeriCALM support multi-factor authentication (MFA)? If so, how is MFA achieved?</t>
  </si>
  <si>
    <t>(37) Does PeriCALM maintain an account lock out feature, activated after a certain number of failed login attempts? If so, how many login attempts trigger an account to be locked and what is the process for unlocking the account?</t>
  </si>
  <si>
    <t xml:space="preserve">(38) Do all PeriCALM customers access PeriCALM via a single login portal or is each customer’s implementation accessed via a unique login portal? </t>
  </si>
  <si>
    <t>(39) Can you provide the URL for the PeriCALM login? If so, please provide.</t>
  </si>
  <si>
    <t>Please provide a summary of how you will be connecting to the St.Luke's (SLUHN) Network (if applicable)</t>
  </si>
  <si>
    <t>St. Luke's (SLUHN) Business Owner completes the Inherent Risk Questionnaire ("IRQ") to facilitate better understanding of the scope of business between the Vendor and the organization for the vendor security risk management project.</t>
  </si>
  <si>
    <t>Please complete this questionnaire as it relates to the business relationship between your organization and St. Luke's (SLUHN). In the "Disclosure Permitted?" column, please indicate if CORL Technologies may disclose the responses provided herein to other CORL Technologies clients who also utilize your organization as a vendor. Allowing such disclosure may expedite future assessments.</t>
  </si>
  <si>
    <t>Please identify all environments that will handle, process, transmit, or store St. Luke's (SLUHN) data. Please provided a response to all questions for each identified environment.</t>
  </si>
  <si>
    <t xml:space="preserve">St. Luke's (SLUHN) is obligated by regulations and internal risk management policies to gain reasonable assurance that its vendors are protecting St. Luke's (SLUHN) data.  To meet this obligation, St. Luke's (SLUHN) is requiring vendors to complete this Vendor Security Questionnaire (VSQ) within 15 business days of receiving it. All "N/A" and "Partial" responses MUST be accompanied by an explanation in the comments column. Any questions should be directed to CORL Client Engagement clientengagement@corltech.com. 
</t>
  </si>
  <si>
    <t>Upon completion of this questionnaire, CORL and St. Luke's (SLUHN) will obtain evidence and assurances relating to the key controls as defined by the St. Luke's (SLUHN) team. Please indicate within the "Required Evidence" sheet whether you have provided the documentation requested by CORL and St. Luke's (SLUHN).
Instructions surrounding Evidence and Assurances:  The Vendor Profile Questions (VPQ) &amp; Scope sections include questions that relate to information about your organization and the products and services provided to St. Luke's (SLUHN).  The Vendor Security Questionnaire (worksheets 1-17) section relates to questions about overall security controls at the vendor level and product level.  All responses require references to documents that provide evidence of the control.  
If your organization has received a current security certification, please provide documentation in lieu of evidence.  Relevant security certifications include,  SOC 2 Type 2 (must include Security TSP), HITRUST and/or ISO 27001.  
Please provide certification and/or evidence documents along with this completed questionnaire to CORL Technologies within 15 business days.</t>
  </si>
  <si>
    <t>(1) Will PeriCALM process transmit or store the following types of St. Luke's (SLUHN)'s data:</t>
  </si>
  <si>
    <t>(2) Please select the implementation method for the product that St. Luke's (SLUHN) is utilizing/will utilize:</t>
  </si>
  <si>
    <t>(5) Please provide a detailed overview of how PeriCALM will access, transmit, or store St. Luke's (SLUHN) data?</t>
  </si>
  <si>
    <t>(25) Does PeriCALM support role-based account management and access controls (RBAC) that are managed by St. Luke's (SLUHN)?</t>
  </si>
  <si>
    <t xml:space="preserve">(26) If RBAC is supported, can a St. Luke's (SLUHN) administrator create/customize unique roles &amp; permissions? </t>
  </si>
  <si>
    <t>(28) If the PeriCALM is locally hosted, can St. Luke's (SLUHN) configure the PeriCALM to encrypt data-in-transit, as per their encryption policies? If so, Please provide all cipher suites supported by the PeriCALM for data-in-transit encryption (e.g., TLS_RSA_WITH_AES_256_CBC_SHA256, TLS_RSA_WITH_RC4_128_SHA, etc.).</t>
  </si>
  <si>
    <t>(29) If the PeriCALM is locally hosted, can St. Luke's (SLUHN) configure the PeriCALM to encrypt data-in-rest, as per their encryption policies? If so, Please provide all cipher suites supported by the PeriCALM for data-at-rest encryption (e.g., AES 128, 3DES, AES 256, etc.)?</t>
  </si>
  <si>
    <t>(35) If password requirements are configurable by St. Luke's (SLUHN)'s administrator, what are the default requirements?</t>
  </si>
  <si>
    <t xml:space="preserve">Instructions: Please identify all environments that will handle, process, transmit, or store St. Luke's (SLUHN) data. Please provided a response to all questions for each identified environment. </t>
  </si>
  <si>
    <t>What is the volume of St. Luke's (SLUHN) records that the identified environment will transmit, process, or store?</t>
  </si>
  <si>
    <t>have access into the St. Luke's (SLUHN) network for remote Support</t>
  </si>
  <si>
    <t>have access into the St. Luke's (SLUHN)  network to provide onsite support</t>
  </si>
  <si>
    <t>Have access to infrastructure that stores or transmits St. Luke's (SLUHN) data:</t>
  </si>
  <si>
    <t>Have access to a database or application that stores or transmits St. Luke's (SLUHN) data:</t>
  </si>
  <si>
    <t>Receive transmitted data from St. Luke's (SLUHN)</t>
  </si>
  <si>
    <t>Not access  St. Luke's (SLUHN)'s information</t>
  </si>
  <si>
    <t>What types of St. Luke's (SLUHN) information will the identified environment have access to:</t>
  </si>
  <si>
    <t>St. Luke's (SLUHN) Internal/Proprietary Information</t>
  </si>
  <si>
    <t>Please indicate if the identified environment will utilize the following device(s) to access and/or transmit St. Luke's (SLUHN) data:</t>
  </si>
  <si>
    <t>St. Luke's (SLUHN) Workstation</t>
  </si>
  <si>
    <t>St. Luke's (SLUHN) Mobile Device</t>
  </si>
  <si>
    <t>St. Luke's (SLUHN) Data Center</t>
  </si>
  <si>
    <t>Is any of the St. Luke's (SLUHN) data not covered by the scope of the above identified certifications?</t>
  </si>
  <si>
    <t>Is all St. Luke's (SLUHN) data encrypted at rest within the identified environment? If so, please provide the level of encryption utilized in the comments section</t>
  </si>
  <si>
    <t>Initial Vendor Profile Questionnaire - on behalf of St. Luke's (SLUHN)</t>
  </si>
  <si>
    <t>Is any St. Luke's (SLUHN) data accessed, transmitted, or stored outside of the United States?</t>
  </si>
  <si>
    <t>Please describe how your organization obtains data from St. Luke's (SLUHN). Include file type(s) and the medium(s) utilized to transmit the data (e.g., SFTP, Encrypted email).</t>
  </si>
  <si>
    <t>Instructions: Please complete this questionnaire as it relates to the business relationship between your organization and St. Luke's (SLUHN). In the "Disclosure Permitted?" column, please indicate if CORL Technologies may disclose the responses provided herein to other CORL Technologies clients who also utilize PeriGen. Allowing such disclosure may expedite future assessments.</t>
  </si>
  <si>
    <t>Does PeriGen have a designated leader responsible for information security?</t>
  </si>
  <si>
    <t xml:space="preserve">Does PeriGen employ an information security team? </t>
  </si>
  <si>
    <t xml:space="preserve">Does PeriGen employ an incident response officer? </t>
  </si>
  <si>
    <t>Does PeriGen outsource information security functions to a third party? If yes, please provide the name and scope of services provided in the comments section.</t>
  </si>
  <si>
    <t>Does PeriGen have any employees or physical office locations outside of the United States?</t>
  </si>
  <si>
    <t>What year was PeriGen founded?</t>
  </si>
  <si>
    <t>Approximately how many people does PeriGen employ?</t>
  </si>
  <si>
    <t>Has PeriGen ever experienced a data breach?  If so, please explain in the comments section.</t>
  </si>
  <si>
    <t>Does PeriGen utilize any subcontractors with access to St. Luke's (SLUHN) data? If yes, please provide the name of the subcontractor(s) in the comments section.</t>
  </si>
  <si>
    <t>PeriGen Workstation</t>
  </si>
  <si>
    <t>PeriGen Mobile Device</t>
  </si>
  <si>
    <t>PeriGen Data Center</t>
  </si>
  <si>
    <t>PeriGen Mobiel Device</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</si>
  <si>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</si>
  <si>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</si>
  <si>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Bruno Bendavid</t>
  </si>
  <si>
    <t>SVP Product Management</t>
  </si>
  <si>
    <t>Product Management</t>
  </si>
  <si>
    <t>bruno.bendavid@perigen.coom</t>
  </si>
  <si>
    <t>514-978-0611</t>
  </si>
  <si>
    <t>IT infrastructure management</t>
  </si>
  <si>
    <t>No. Role part of product development</t>
  </si>
  <si>
    <t>Liability insurance is set to $5 million (both general and cyber)</t>
  </si>
  <si>
    <t>PeriGen has technical resources residing outside the United States; Montreal, Canada and Tel Aviv, Israel.  The primary support center is in Cary, NC (PeriGen HQ). These resources may from time to time analyze and troubleshoot the solution which may require access to ePHI data via approved connections. ePHI is never copied or stored outside the US.</t>
  </si>
  <si>
    <t>&lt;100</t>
  </si>
  <si>
    <t>No data collected outside the servers hosted by the SLUHN</t>
  </si>
  <si>
    <t>Dedicated and fully hospital hosted fetal monitoring, documentation, alerts, archiving and decision support</t>
  </si>
  <si>
    <t>Data is only stored on hospital hosted servers. An estimate of volume of data stored on hospital servers including long term archive files is ~10GB (steady state) + 5GB per year as continuous archive files per pregnancy</t>
  </si>
  <si>
    <t>All access to the PeriGen servers is done via SecureLink approved infrastructure for 24/7/365 support</t>
  </si>
  <si>
    <t>PeriGen support staff have user access credentials to PeriGen server(s) only. This can be used for onsite support/operations if required by the customer</t>
  </si>
  <si>
    <t>No if the question pertains to physical access</t>
  </si>
  <si>
    <t>Only to the PeriGen application DB and ADT/EMR HL7 data interfaces</t>
  </si>
  <si>
    <t>Only ADT inbound</t>
  </si>
  <si>
    <t>Only data supplied via the ADT inbound interface</t>
  </si>
  <si>
    <t>The system interfaces to fetal monitor to collect the fetal tracing, trasmit it to the main server which publishes it to all open client application instances on the network</t>
  </si>
  <si>
    <t>All data is stored on the main DB/App server and possibly on the long term data archival system used by the customer at the data center. No data is stored on client workstations</t>
  </si>
  <si>
    <t xml:space="preserve">Although many NIST guidelines are built into system design there was no certification perfromed  </t>
  </si>
  <si>
    <t>Archives file are archived as encrypted and compressed XML (AES-256). Real-time database (Objectivity/DB) which reside on the main server hosted at University of Utah is not encrypted at rest.</t>
  </si>
  <si>
    <t>Connectivity is perfromed by SecureLink which is already approved and operational.</t>
  </si>
  <si>
    <t>unclear. PeriGen does not provide any workstation 
hardware. Only customer supplied stations are in scope.</t>
  </si>
  <si>
    <t>Bruno Bendavid. SVP Product Management. Bruno.bendavid@perigen.com, 514-978-0611</t>
  </si>
  <si>
    <t xml:space="preserve">HIPAA compliance functions are coded within the system design. To date there has not been an external assessment. PeriGen is presently engaged to perfrom such an audit  </t>
  </si>
  <si>
    <t>N/A (comment required)</t>
  </si>
  <si>
    <t>Not a hosted solution</t>
  </si>
  <si>
    <t>None that we are aware of</t>
  </si>
  <si>
    <t>OS Security patches are the responsibility of the customer. PeriGen provides patches on an ongoing basis as part of maintenance release. When such releases are available, PeriGen Ops departement reviewes the version release notes with the customer and ccordinates the right time for deployment/training (if applicable). All versions/patches are first deployed in TEST environment and are approved by the customer prior to deployment to PROD.</t>
  </si>
  <si>
    <t>Hosted by the customer</t>
  </si>
  <si>
    <t xml:space="preserve">PeriCALM Tracing server is installed locally at the customers data center. Interfaces include ADT, inbound/outbound HL7 &amp; Single-Sign-On functions with the EMR and diect connectivity to fetal monitors via RS232.  </t>
  </si>
  <si>
    <t xml:space="preserve">We only maintain configuration parameterrs that were chosen by each customer. Typicaly, all authentication is done based on AD users and groups where group management is done within PeriCALM for authorization. This is controlled by the customer. </t>
  </si>
  <si>
    <t>Commercialization started in 2003</t>
  </si>
  <si>
    <t>The system is known to work with all modern malware protection systems</t>
  </si>
  <si>
    <t>User authentication is AD based. Only groups are managed in the PeriCALM systems. Users are fully managed by AD. AD Group names must mirror groups created in PeriCALM and authenticated users that belonging to a matching group receive those PeriCALM configured group authorization settings,</t>
  </si>
  <si>
    <t>Not natively. Server OS level encryption is possible. Archive files are encrypted with AES256.</t>
  </si>
  <si>
    <t>NA</t>
  </si>
  <si>
    <t>AD managed</t>
  </si>
  <si>
    <t>Configurable</t>
  </si>
  <si>
    <t>PeriCALM is a thick client .Net application</t>
  </si>
  <si>
    <t>Vendor: PeriGen</t>
  </si>
  <si>
    <t>Product name: PeriCALM Tracings</t>
  </si>
  <si>
    <t>Date Completed: Dec 18, 2019</t>
  </si>
  <si>
    <t xml:space="preserve">Completed by: </t>
  </si>
  <si>
    <t>Name: Bruno Bendavid</t>
  </si>
  <si>
    <t>Phone: 514-978-0611</t>
  </si>
  <si>
    <t>Title: SVP Product Management</t>
  </si>
  <si>
    <t>Email: bruno.bendavid@perigen.com</t>
  </si>
  <si>
    <t>Assuming that "PeriGen data" means data generated by the customer on the PeriGen server/system.
All data obtained at the site (ADT, HL7 interface, fetal monitoring and manual documentation by clinical staff) is stored on the server hosted by the customer. There are no interfaces or transmission of data outside the customer secured network.</t>
  </si>
  <si>
    <t>PeriGen support has access to the PeriGen main server and the data stored on it for remote support. The data includes limited patient indentifiers (from ADT) and clinical data collected for these patients (tracings and vitals collected from fetal monitors and manually entered data charted by clinicians).</t>
  </si>
  <si>
    <t>All remote access is done via SecureLink which was approved by SLUHN.</t>
  </si>
  <si>
    <t>The system includes backup tasks of the object-oriented DB used by PeriCALM. These are backed-up by customer enterprise backup tasks. In addition, the system relies on customer VM infrastructure (HA options) and internal backup inrastructure for disaster recovery.</t>
  </si>
  <si>
    <t>Access controlled is enforced by groups membership. An AD user must belong to an AD group that is identical by name to an internal PeriCALM group. An authenticated user that belong to such a group inherits its access rights. These rights are controlled by the customer application administrators where AD group membership is controlled by customer IT administrators.</t>
  </si>
  <si>
    <t>Via AD authentication controls.</t>
  </si>
  <si>
    <t>Customer responsibility to train their internal administrators/super-users to periodically train end-users</t>
  </si>
  <si>
    <t>All security related topics are cover during initial training and user guides</t>
  </si>
  <si>
    <t>PeriGen does not provide propriatary internal QMS documents</t>
  </si>
  <si>
    <t>Yes as part of QA/QC process of product releases. That said, controls on customer provided servers is the responsibility of the customer.</t>
  </si>
  <si>
    <t>Since we provide 24/7/365 support, out help desk team along with more senior technical analysts have access to the site remotely to resolve/troubleshoot and system problem. No specific approval is needed other than the original authorization of approved resources to access remote customer sites via SecureLink.</t>
  </si>
  <si>
    <t>Only Audit logs or access via SecureLink</t>
  </si>
  <si>
    <t>Access to hospital is goverend by individual account / profile in SecureLink.</t>
  </si>
  <si>
    <t>All employees are screened during job interviews</t>
  </si>
  <si>
    <t>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t>
  </si>
  <si>
    <t>* logon/logoff
* Access from station (hostname)
* Screens access by user
* All data changes (old values, new values, user, dataTime)
All the above include username and dataTime</t>
  </si>
  <si>
    <t>Configuration is a site/customer specific. The system comes with some defaults (ex: everything is logged) but other configurations like AD/LDAP servers for authentication, interfaces, bed-configurations are all done according to customer needs.</t>
  </si>
  <si>
    <t xml:space="preserve">All changes to the system are coordinated with the csustomer and require customer approval. </t>
  </si>
  <si>
    <t>Always coordinated with the customer</t>
  </si>
  <si>
    <t>Records are maintained in our corporate ticketing system or as part of formal project(s) to add/change aspects of the system</t>
  </si>
  <si>
    <t>Some changes have auditable controls associated, others do not. For example, adding a mapped field from HL7. The new field will show in the audit trail but the action of adding the field in the mapping tables in the DB do not.</t>
  </si>
  <si>
    <t>common best practices are used with the limited controls offered by PeriCALM Tracings</t>
  </si>
  <si>
    <t>We review all components and 3rd party tools when planning major releases</t>
  </si>
  <si>
    <t>This is customer responsibility</t>
  </si>
  <si>
    <t>All configuration and development items are tracked  as part of the product development process</t>
  </si>
  <si>
    <t xml:space="preserve">Hardware specifications, data acquisition devices are documented per release and communicated to the customer when they change </t>
  </si>
  <si>
    <t>Only designated PeriGen personnel or trained customer IT personnel can install elements of the system</t>
  </si>
  <si>
    <t>Customer controlled</t>
  </si>
  <si>
    <t>Mostly, OS hot-fixes and patches are pushed directly to all environments. PeriGen software is always loaded on the TEST system and only pushed to PROD upon customer approval</t>
  </si>
  <si>
    <t>Case by case basis</t>
  </si>
  <si>
    <t>Customer responsibility to provide. PeriCALM Tracings supports authentication via LDAP</t>
  </si>
  <si>
    <t>All stations must be configured for access on the server. Identification is done by hostname (DNS)</t>
  </si>
  <si>
    <t>AD controlled</t>
  </si>
  <si>
    <t>If required. Case by case basis.</t>
  </si>
  <si>
    <t>see internal policy</t>
  </si>
  <si>
    <t>Customers regularly scan our application befor go-lives</t>
  </si>
  <si>
    <t>When/if discovered, they are funneled into the Change Control process and based on priority//severity, assigned to a maintenance release or hot-fix</t>
  </si>
  <si>
    <t>Only for archive files (long term encrypted and compressed XML documents)</t>
  </si>
  <si>
    <t>No such function exist in PeriCALM</t>
  </si>
  <si>
    <t>No such devioces supported. When the system is in use, the UI is showing and active data is being collected/traced on the screen</t>
  </si>
  <si>
    <t>Data is trasmitted from client to server over MSMQ messages which rely on DNS hostname validation/registration. Only configured station (by hostname) can open a session to the server and access data if authenticated.</t>
  </si>
  <si>
    <t>as mentioned above</t>
  </si>
  <si>
    <t>only by DNS resolution</t>
  </si>
  <si>
    <t>Not natively. That said, full server/disk  encryption is possible</t>
  </si>
  <si>
    <t>yes as it applies to conracts for customers purchasing the PeriCALM software modules</t>
  </si>
  <si>
    <t>PeriGen provide end-user and administrator  documentation that cover all aspects of the system include acces controls and configurations. PeriGen provide admin training to customer technical staff and ongoing management is customer responsibility</t>
  </si>
  <si>
    <t>End-user and admin guides are provided/available to users accessing the system in a clinical setting. Other material is provided directly to staff during training sessions</t>
  </si>
  <si>
    <t>For internal access control to access customer sites - Yes. Regular checks of PeriCALM system is the responsibility of the customer.</t>
  </si>
  <si>
    <t>PeriCALM Tracings Fetal monitoring application</t>
  </si>
  <si>
    <t>The PeriCALM application is installed on workstation at the bedside and nursing stations. Data is communicated between workstations and server. Not data is cached or saved on the workstation.</t>
  </si>
  <si>
    <t>PeriGen</t>
  </si>
  <si>
    <t>PeriCALM Tracings</t>
  </si>
  <si>
    <t>www.perigen.com</t>
  </si>
  <si>
    <t>bruno.bendavid@perigen.com</t>
  </si>
  <si>
    <t>There are no specific procedures for "configuration change controls". Product development life cycle and change control in general are  embedded within QMS SOPs and Procedures propriatary to PeriGen</t>
  </si>
  <si>
    <t>PeriGen SDLC procedures are extensive and propriatary  in compliance with FDA and MDSAP guidelines for class II Medical Devices. Secure coding practices are followed but not formally captured in a procedure. This is planned for 2020</t>
  </si>
  <si>
    <t>This is the clause in standard PeriGen contracts regarding Acceptable Use:
"PeriGen grants to Customer a non-exclusive, non-transferable license (“License”) to use the Software solely at the applicable Facility(ies) listed in the Order Form, solely in object code form and solely for Customer’s internal use.  Customer shall ensure that all Staff responsible for using the Software are properly trained.  Customer will be allowed to make and retain a copy of the Software for back up purposes only, in accordance with Customer’s standard policies.  Each copy of the Software is subject to all of the terms and conditions of this Agreement and must contain the same titles, trademarks, and copyright notices as the original.  Customer and its Staff shall not (i) copy, modify or change the Software in any manner except as may be expressly permitted herein; (ii) make any modifications to the operation or installation of the Software without the written consent of PeriGen;  (iii) sell, rent, lease, lend, reproduce, license, sublicense, distribute or otherwise transfer the Software or  decompile, disassemble or reverse engineer the Software or any PeriGen Intellectual Property, in whole or in part; (iv) write or develop any derivative technology including, without limitation, any other software program based upon the Software or any PeriGen Intellectual Property; (v) use the Software to provide any facility management, service bureau or similar services to third parties; (vi) modify or attempt to modify the Software’s configuration without the prior written consent of PeriGen, to be given in PeriGen’s sole discretion, and any intervention or actions required to be taken by PeriGen with respect to such unauthorized modifications shall be at Customer’s expense; or (vii) remove any copyright, patent, trademark or other proprietary or restrictive notice or legend contained or included in any PeriGen Intellectual Property or any copies thereof.  Customer shall only use PeriGen-certified FDA compliant fetal monitor cables, if applicable. "</t>
  </si>
  <si>
    <t>Maybe clause in contract and allowed change control (like MS patches)</t>
  </si>
  <si>
    <t>No mobile code applicable for PeriCALM Tracings</t>
  </si>
  <si>
    <t xml:space="preserve">Guidelines and environments provided by the customer based on PeriGen provided specifications. See the attached System Specification. </t>
  </si>
  <si>
    <t>See attached SDLC master policy/procedure</t>
  </si>
  <si>
    <t>Controlled by customer IT policies. Only PeriGen employees can install the customer approved software version. Signed document are maintained for each installation. See an attached example.</t>
  </si>
  <si>
    <t>See the attached PeriGen Privacy &amp; Security Policy and Procedures document</t>
  </si>
  <si>
    <t>Embedded in SDLC process. Each flaw is assessed individulay and scheduled for release according to severity/priority. There is no direct document to demonstrate that other than what is covered in SDLC policy.</t>
  </si>
  <si>
    <t>Corporate policy as of Office 365 E5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</si>
</sst>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56" x14ac:knownFonts="1">
    <font>
      <sz val="11"/>
      <color theme="1"/>
      <name val="Calibri"/>
      <family val="2"/>
      <scheme val="minor"/>
    </font>
    <font>
      <b/>
      <sz val="12"/>
      <color theme="0"/>
      <name val="Arial"/>
      <family val="34"/>
    </font>
    <font>
      <sz val="9"/>
      <color theme="1"/>
      <name val="Arial"/>
      <family val="2"/>
    </font>
    <font>
      <sz val="11"/>
      <color indexed="8"/>
      <name val="Calibri"/>
      <family val="2"/>
    </font>
    <font>
      <sz val="11"/>
      <color indexed="10"/>
      <name val="Calibri"/>
      <family val="2"/>
    </font>
    <font>
      <b/>
      <sz val="10"/>
      <color theme="0"/>
      <name val="Arial"/>
      <family val="2"/>
    </font>
    <font>
      <sz val="9"/>
      <name val="Arial"/>
      <family val="2"/>
    </font>
    <font>
      <sz val="11"/>
      <name val="Calibri"/>
      <family val="2"/>
    </font>
    <font>
      <sz val="10"/>
      <color theme="0"/>
      <name val="Times New Roman"/>
      <family val="1"/>
    </font>
    <font>
      <i/>
      <sz val="9"/>
      <name val="Arial"/>
      <family val="2"/>
    </font>
    <font>
      <b/>
      <sz val="9"/>
      <name val="Arial"/>
      <family val="2"/>
    </font>
    <font>
      <b/>
      <sz val="12"/>
      <color theme="0"/>
      <name val="Arial"/>
      <family val="2"/>
    </font>
    <font>
      <sz val="10"/>
      <color theme="1"/>
      <name val="Arial"/>
      <family val="2"/>
    </font>
    <font>
      <sz val="12"/>
      <color theme="1"/>
      <name val="Calibri"/>
      <family val="2"/>
      <scheme val="minor"/>
    </font>
    <font>
      <sz val="9"/>
      <color rgb="FFFF0000"/>
      <name val="Arial"/>
      <family val="2"/>
    </font>
    <font>
      <b/>
      <sz val="12"/>
      <color theme="4" tint="-0.249977111117893"/>
      <name val="Arial"/>
      <family val="2"/>
    </font>
    <font>
      <sz val="12"/>
      <color theme="4" tint="-0.249977111117893"/>
      <name val="Arial"/>
      <family val="2"/>
    </font>
    <font>
      <sz val="12"/>
      <color theme="1"/>
      <name val="Arial"/>
      <family val="2"/>
    </font>
    <font>
      <sz val="12"/>
      <name val="Arial"/>
      <family val="2"/>
    </font>
    <font>
      <b/>
      <sz val="12"/>
      <color rgb="FFFF0000"/>
      <name val="Arial"/>
      <family val="2"/>
    </font>
    <font>
      <sz val="9"/>
      <color rgb="FF0070C0"/>
      <name val="Arial"/>
      <family val="2"/>
    </font>
    <font>
      <b/>
      <sz val="9"/>
      <color indexed="81"/>
      <name val="Tahoma"/>
      <family val="2"/>
    </font>
    <font>
      <sz val="11"/>
      <color theme="1"/>
      <name val="Arial"/>
      <family val="2"/>
    </font>
    <font>
      <sz val="9"/>
      <color indexed="81"/>
      <name val="Tahoma"/>
      <family val="2"/>
    </font>
    <font>
      <b/>
      <sz val="11"/>
      <color theme="1"/>
      <name val="Calibri"/>
      <family val="2"/>
      <scheme val="minor"/>
    </font>
    <font>
      <sz val="11"/>
      <color theme="1"/>
      <name val="Cambria"/>
      <family val="1"/>
    </font>
    <font>
      <b/>
      <sz val="14"/>
      <color rgb="FFF8F8F8"/>
      <name val="Cambria"/>
      <family val="1"/>
    </font>
    <font>
      <b/>
      <sz val="12"/>
      <color rgb="FF000000"/>
      <name val="Cambria"/>
      <family val="1"/>
    </font>
    <font>
      <sz val="12"/>
      <color rgb="FF000000"/>
      <name val="Cambria"/>
      <family val="1"/>
    </font>
    <font>
      <sz val="12"/>
      <color theme="1"/>
      <name val="Cambria"/>
      <family val="1"/>
    </font>
    <font>
      <b/>
      <sz val="14"/>
      <color theme="0"/>
      <name val="Cambria"/>
      <family val="1"/>
    </font>
    <font>
      <b/>
      <sz val="12"/>
      <color theme="1"/>
      <name val="Cambria"/>
      <family val="1"/>
    </font>
    <font>
      <b/>
      <sz val="14"/>
      <color theme="0"/>
      <name val="Calibri"/>
      <family val="2"/>
      <scheme val="minor"/>
    </font>
    <font>
      <b/>
      <sz val="12"/>
      <color theme="0"/>
      <name val="Calibri"/>
      <family val="2"/>
      <scheme val="minor"/>
    </font>
    <font>
      <b/>
      <i/>
      <sz val="12"/>
      <color rgb="FF000000"/>
      <name val="Cambria"/>
      <family val="1"/>
    </font>
    <font>
      <sz val="12"/>
      <name val="Cambria"/>
      <family val="1"/>
    </font>
    <font>
      <b/>
      <sz val="36"/>
      <color theme="5" tint="-0.249977111117893"/>
      <name val="Cambria"/>
      <family val="1"/>
    </font>
    <font>
      <b/>
      <sz val="36"/>
      <color rgb="FFF46A02"/>
      <name val="Cambria"/>
      <family val="1"/>
    </font>
    <font>
      <b/>
      <sz val="12"/>
      <name val="Cambria"/>
      <family val="1"/>
    </font>
    <font>
      <b/>
      <sz val="12"/>
      <color rgb="FFF46A02"/>
      <name val="Cambria"/>
      <family val="1"/>
    </font>
    <font>
      <u/>
      <sz val="11"/>
      <color theme="10"/>
      <name val="Calibri"/>
      <family val="2"/>
      <scheme val="minor"/>
    </font>
    <font>
      <sz val="11"/>
      <color theme="1"/>
      <name val="Calibri"/>
      <family val="2"/>
      <scheme val="minor"/>
    </font>
    <font>
      <sz val="72"/>
      <color theme="1"/>
      <name val="Calibri"/>
      <family val="2"/>
      <scheme val="minor"/>
    </font>
    <font>
      <sz val="9"/>
      <color theme="0"/>
      <name val="Arial"/>
      <family val="2"/>
    </font>
    <font>
      <b/>
      <sz val="22"/>
      <color rgb="FFFFFFFF"/>
      <name val="Cambria"/>
      <family val="1"/>
    </font>
    <font>
      <b/>
      <sz val="14"/>
      <color rgb="FFFFFFFF"/>
      <name val="Cambria"/>
      <family val="1"/>
    </font>
    <font>
      <b/>
      <sz val="24"/>
      <color theme="0"/>
      <name val="Cambria"/>
      <family val="1"/>
    </font>
    <font>
      <sz val="24"/>
      <color rgb="FF000000"/>
      <name val="Cambria"/>
      <family val="1"/>
    </font>
    <font>
      <b/>
      <sz val="16"/>
      <color theme="1"/>
      <name val="Cambria"/>
      <family val="1"/>
    </font>
    <font>
      <b/>
      <sz val="16"/>
      <color rgb="FFF8F8F8"/>
      <name val="Cambria"/>
      <family val="1"/>
    </font>
    <font>
      <i/>
      <sz val="11"/>
      <name val="Cambria"/>
      <family val="1"/>
    </font>
    <font>
      <sz val="11"/>
      <color rgb="FFFF0000"/>
      <name val="Cambria"/>
      <family val="1"/>
    </font>
    <font>
      <sz val="11"/>
      <name val="Cambria"/>
      <family val="1"/>
    </font>
    <font>
      <b/>
      <sz val="16"/>
      <name val="Cambria"/>
      <family val="1"/>
    </font>
    <font>
      <b/>
      <sz val="16"/>
      <color theme="0"/>
      <name val="Cambria"/>
      <family val="1"/>
    </font>
    <font>
      <sz val="16"/>
      <name val="Cambria"/>
      <family val="1"/>
    </font>
  </fonts>
  <fills count="2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5"/>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2" tint="-9.9978637043366805E-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double">
        <color indexed="64"/>
      </right>
      <top style="double">
        <color indexed="64"/>
      </top>
      <bottom style="thin">
        <color indexed="64"/>
      </bottom>
      <diagonal/>
    </border>
    <border>
      <left/>
      <right style="double">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double">
        <color indexed="64"/>
      </top>
      <bottom style="thin">
        <color indexed="64"/>
      </bottom>
      <diagonal/>
    </border>
    <border>
      <left/>
      <right style="double">
        <color indexed="64"/>
      </right>
      <top style="double">
        <color indexed="64"/>
      </top>
      <bottom/>
      <diagonal/>
    </border>
    <border>
      <left style="thin">
        <color indexed="64"/>
      </left>
      <right style="double">
        <color indexed="64"/>
      </right>
      <top style="double">
        <color indexed="64"/>
      </top>
      <bottom style="thin">
        <color indexed="64"/>
      </bottom>
      <diagonal/>
    </border>
    <border>
      <left/>
      <right style="double">
        <color indexed="64"/>
      </right>
      <top/>
      <bottom/>
      <diagonal/>
    </border>
    <border>
      <left/>
      <right/>
      <top style="double">
        <color indexed="64"/>
      </top>
      <bottom/>
      <diagonal/>
    </border>
    <border>
      <left/>
      <right style="double">
        <color indexed="64"/>
      </right>
      <top/>
      <bottom style="double">
        <color indexed="64"/>
      </bottom>
      <diagonal/>
    </border>
    <border>
      <left style="double">
        <color indexed="64"/>
      </left>
      <right style="double">
        <color indexed="64"/>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indexed="64"/>
      </top>
      <bottom style="thin">
        <color auto="1"/>
      </bottom>
      <diagonal/>
    </border>
    <border>
      <left style="thin">
        <color auto="1"/>
      </left>
      <right/>
      <top style="thin">
        <color auto="1"/>
      </top>
      <bottom/>
      <diagonal/>
    </border>
    <border>
      <left/>
      <right style="medium">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thin">
        <color auto="1"/>
      </bottom>
      <diagonal/>
    </border>
    <border>
      <left style="thin">
        <color auto="1"/>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s>
  <cellStyleXfs count="15">
    <xf numFmtId="0" fontId="0" fillId="0" borderId="0"/>
    <xf numFmtId="0" fontId="3" fillId="0" borderId="0">
      <alignment wrapText="1"/>
    </xf>
    <xf numFmtId="0" fontId="3" fillId="0" borderId="0">
      <alignment wrapText="1"/>
    </xf>
    <xf numFmtId="0" fontId="4" fillId="0" borderId="0">
      <alignment vertical="center"/>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40" fillId="0" borderId="0" applyNumberFormat="0" applyFill="0" applyBorder="0" applyAlignment="0" applyProtection="0"/>
  </cellStyleXfs>
  <cellXfs count="388">
    <xf numFmtId="0" fontId="0" fillId="0" borderId="0" xfId="0"/>
    <xf numFmtId="0" fontId="2" fillId="0" borderId="1" xfId="0" applyFont="1" applyBorder="1" applyAlignment="1">
      <alignment horizontal="left" wrapText="1"/>
    </xf>
    <xf numFmtId="0" fontId="5" fillId="4" borderId="1" xfId="0" applyFont="1" applyFill="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wrapText="1"/>
    </xf>
    <xf numFmtId="0" fontId="1" fillId="2" borderId="2" xfId="0" applyFont="1" applyFill="1" applyBorder="1" applyAlignment="1">
      <alignment horizontal="left" vertical="center" wrapText="1"/>
    </xf>
    <xf numFmtId="0" fontId="1" fillId="2" borderId="6" xfId="0" applyFont="1" applyFill="1" applyBorder="1" applyAlignment="1">
      <alignment horizontal="left" vertical="center"/>
    </xf>
    <xf numFmtId="0" fontId="5" fillId="4" borderId="5"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1" fillId="2" borderId="4" xfId="0" applyFont="1" applyFill="1" applyBorder="1" applyAlignment="1">
      <alignment horizontal="left" vertical="center" wrapText="1"/>
    </xf>
    <xf numFmtId="164" fontId="2" fillId="0" borderId="1" xfId="0" applyNumberFormat="1" applyFont="1" applyBorder="1" applyAlignment="1">
      <alignment horizontal="center"/>
    </xf>
    <xf numFmtId="2" fontId="2" fillId="0" borderId="1" xfId="0" applyNumberFormat="1" applyFont="1" applyBorder="1" applyAlignment="1">
      <alignment horizontal="center"/>
    </xf>
    <xf numFmtId="0" fontId="2" fillId="0" borderId="1" xfId="0" applyFont="1" applyBorder="1" applyAlignment="1">
      <alignment horizontal="left" indent="11"/>
    </xf>
    <xf numFmtId="0" fontId="12" fillId="0" borderId="0" xfId="0" applyFont="1"/>
    <xf numFmtId="0" fontId="13" fillId="0" borderId="0" xfId="0" applyFont="1"/>
    <xf numFmtId="0" fontId="2" fillId="0" borderId="0" xfId="0" applyFont="1"/>
    <xf numFmtId="0" fontId="2" fillId="0" borderId="1" xfId="0" applyFont="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left" vertical="center" wrapText="1"/>
    </xf>
    <xf numFmtId="0" fontId="2" fillId="7" borderId="0" xfId="0" applyFont="1" applyFill="1" applyAlignment="1">
      <alignment vertical="center" wrapText="1"/>
    </xf>
    <xf numFmtId="0" fontId="2" fillId="7" borderId="2" xfId="0" applyFont="1" applyFill="1" applyBorder="1" applyAlignment="1">
      <alignment vertical="center" wrapText="1"/>
    </xf>
    <xf numFmtId="0" fontId="17" fillId="3" borderId="0" xfId="0" applyFont="1" applyFill="1"/>
    <xf numFmtId="0" fontId="17" fillId="0" borderId="0" xfId="0" applyFont="1"/>
    <xf numFmtId="0" fontId="17" fillId="7" borderId="0" xfId="0" applyFont="1" applyFill="1"/>
    <xf numFmtId="0" fontId="18" fillId="7" borderId="0" xfId="0" applyFont="1" applyFill="1" applyAlignment="1">
      <alignment vertical="center" wrapText="1"/>
    </xf>
    <xf numFmtId="0" fontId="13" fillId="3" borderId="0" xfId="0" applyFont="1" applyFill="1"/>
    <xf numFmtId="0" fontId="20" fillId="3" borderId="8" xfId="0" applyFont="1" applyFill="1" applyBorder="1" applyAlignment="1">
      <alignment vertical="center" wrapText="1"/>
    </xf>
    <xf numFmtId="0" fontId="20" fillId="3" borderId="10" xfId="0" applyFont="1" applyFill="1" applyBorder="1" applyAlignment="1">
      <alignment vertical="center" wrapText="1"/>
    </xf>
    <xf numFmtId="0" fontId="20" fillId="3" borderId="12" xfId="0" applyFont="1" applyFill="1" applyBorder="1" applyAlignment="1">
      <alignment vertical="center" wrapText="1"/>
    </xf>
    <xf numFmtId="0" fontId="11" fillId="5" borderId="7" xfId="0" applyFont="1" applyFill="1" applyBorder="1" applyAlignment="1">
      <alignment vertical="center"/>
    </xf>
    <xf numFmtId="0" fontId="11" fillId="5" borderId="11" xfId="0" applyFont="1" applyFill="1" applyBorder="1" applyAlignment="1">
      <alignment vertical="center"/>
    </xf>
    <xf numFmtId="0" fontId="11" fillId="5" borderId="3" xfId="0" applyFont="1" applyFill="1" applyBorder="1" applyAlignment="1">
      <alignment vertical="center"/>
    </xf>
    <xf numFmtId="0" fontId="12" fillId="0" borderId="1" xfId="0" applyFont="1" applyBorder="1" applyAlignment="1">
      <alignment vertical="center" wrapText="1"/>
    </xf>
    <xf numFmtId="0" fontId="6" fillId="3" borderId="1" xfId="0" applyFont="1" applyFill="1" applyBorder="1" applyAlignment="1" applyProtection="1">
      <alignment horizontal="center" vertical="center" wrapText="1"/>
      <protection locked="0"/>
    </xf>
    <xf numFmtId="0" fontId="6" fillId="3" borderId="1" xfId="1"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1" applyFont="1" applyBorder="1" applyAlignment="1">
      <alignment horizontal="left" vertical="center" wrapText="1"/>
    </xf>
    <xf numFmtId="49" fontId="6" fillId="3" borderId="1" xfId="0" applyNumberFormat="1" applyFont="1" applyFill="1" applyBorder="1" applyAlignment="1">
      <alignment vertical="center" wrapText="1"/>
    </xf>
    <xf numFmtId="49" fontId="7" fillId="3" borderId="1" xfId="0" applyNumberFormat="1" applyFont="1" applyFill="1" applyBorder="1" applyAlignment="1">
      <alignment vertical="center" wrapText="1"/>
    </xf>
    <xf numFmtId="0" fontId="22" fillId="0" borderId="0" xfId="0" applyFont="1"/>
    <xf numFmtId="0" fontId="12" fillId="0" borderId="0" xfId="0" applyFont="1" applyAlignment="1">
      <alignment horizontal="left" vertical="center"/>
    </xf>
    <xf numFmtId="0" fontId="22" fillId="0" borderId="0" xfId="0" applyFont="1" applyAlignment="1">
      <alignment horizontal="center"/>
    </xf>
    <xf numFmtId="0" fontId="12" fillId="0" borderId="1" xfId="0" applyFont="1" applyBorder="1" applyAlignment="1">
      <alignment horizontal="left" vertical="center"/>
    </xf>
    <xf numFmtId="16" fontId="2" fillId="0" borderId="0" xfId="0" applyNumberFormat="1" applyFont="1"/>
    <xf numFmtId="0" fontId="1" fillId="2" borderId="1" xfId="0" applyFont="1" applyFill="1" applyBorder="1" applyAlignment="1">
      <alignment horizontal="left" vertical="center"/>
    </xf>
    <xf numFmtId="0" fontId="0" fillId="8" borderId="0" xfId="0" applyFill="1"/>
    <xf numFmtId="0" fontId="2" fillId="9" borderId="0" xfId="0" applyFont="1" applyFill="1"/>
    <xf numFmtId="0" fontId="2" fillId="10" borderId="0" xfId="0" applyFont="1" applyFill="1"/>
    <xf numFmtId="0" fontId="2" fillId="5" borderId="0" xfId="0" applyFont="1" applyFill="1"/>
    <xf numFmtId="0" fontId="2" fillId="8" borderId="0" xfId="0" applyFont="1" applyFill="1" applyAlignment="1">
      <alignment wrapText="1"/>
    </xf>
    <xf numFmtId="0" fontId="2" fillId="0" borderId="0" xfId="0" applyFont="1" applyAlignment="1">
      <alignment wrapText="1"/>
    </xf>
    <xf numFmtId="0" fontId="6" fillId="0" borderId="0" xfId="0" applyFont="1" applyAlignment="1">
      <alignment horizontal="center" vertical="center" wrapText="1"/>
    </xf>
    <xf numFmtId="0" fontId="24" fillId="4" borderId="0" xfId="0" applyFont="1" applyFill="1"/>
    <xf numFmtId="0" fontId="0" fillId="11" borderId="0" xfId="0" applyFill="1"/>
    <xf numFmtId="0" fontId="6" fillId="0" borderId="0" xfId="0" applyFont="1" applyAlignment="1">
      <alignment horizontal="center" vertical="center"/>
    </xf>
    <xf numFmtId="0" fontId="0" fillId="0" borderId="1" xfId="0" applyBorder="1"/>
    <xf numFmtId="0" fontId="24" fillId="4" borderId="0" xfId="0" applyFont="1" applyFill="1" applyAlignment="1">
      <alignment horizontal="left"/>
    </xf>
    <xf numFmtId="0" fontId="6" fillId="0" borderId="0" xfId="0" applyFont="1" applyAlignment="1">
      <alignment horizontal="left" vertical="center"/>
    </xf>
    <xf numFmtId="0" fontId="0" fillId="0" borderId="0" xfId="0" applyAlignment="1">
      <alignment horizontal="left"/>
    </xf>
    <xf numFmtId="0" fontId="6" fillId="0" borderId="0" xfId="0" applyFont="1" applyAlignment="1">
      <alignment vertical="center"/>
    </xf>
    <xf numFmtId="0" fontId="10" fillId="0" borderId="0" xfId="0" applyFont="1" applyAlignment="1">
      <alignment horizontal="left" vertical="center"/>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top" wrapText="1"/>
    </xf>
    <xf numFmtId="0" fontId="12" fillId="0" borderId="1" xfId="0" applyFont="1" applyBorder="1" applyAlignment="1">
      <alignment vertical="top" wrapText="1"/>
    </xf>
    <xf numFmtId="0" fontId="12" fillId="0" borderId="1" xfId="0" applyFont="1" applyBorder="1" applyAlignment="1">
      <alignment horizontal="center" vertical="center"/>
    </xf>
    <xf numFmtId="0" fontId="22" fillId="0" borderId="1" xfId="0" applyFont="1" applyBorder="1" applyAlignment="1">
      <alignment horizontal="left" vertical="center"/>
    </xf>
    <xf numFmtId="0" fontId="12" fillId="0" borderId="1" xfId="0" applyFont="1" applyBorder="1" applyAlignment="1">
      <alignment horizontal="center"/>
    </xf>
    <xf numFmtId="0" fontId="24" fillId="10" borderId="0" xfId="0" applyFont="1" applyFill="1"/>
    <xf numFmtId="0" fontId="11" fillId="4" borderId="7" xfId="0" applyFont="1" applyFill="1" applyBorder="1" applyAlignment="1">
      <alignment vertical="center"/>
    </xf>
    <xf numFmtId="0" fontId="11" fillId="4" borderId="0" xfId="0" applyFont="1" applyFill="1" applyAlignment="1">
      <alignment vertical="center"/>
    </xf>
    <xf numFmtId="0" fontId="11" fillId="4" borderId="2" xfId="0" applyFont="1" applyFill="1" applyBorder="1" applyAlignment="1">
      <alignment vertical="center"/>
    </xf>
    <xf numFmtId="0" fontId="11" fillId="0" borderId="33" xfId="0" applyFont="1" applyBorder="1" applyAlignment="1">
      <alignment vertical="center"/>
    </xf>
    <xf numFmtId="0" fontId="11" fillId="0" borderId="0" xfId="0" applyFont="1" applyAlignment="1">
      <alignment vertical="center"/>
    </xf>
    <xf numFmtId="0" fontId="12" fillId="0" borderId="5" xfId="0" applyFont="1" applyBorder="1" applyAlignment="1">
      <alignment vertical="center" wrapText="1"/>
    </xf>
    <xf numFmtId="0" fontId="20" fillId="0" borderId="33" xfId="0" applyFont="1" applyBorder="1" applyAlignment="1">
      <alignment horizontal="left" vertical="center" wrapText="1"/>
    </xf>
    <xf numFmtId="0" fontId="20" fillId="0" borderId="0" xfId="0" applyFont="1" applyAlignment="1">
      <alignment horizontal="left" vertical="center" wrapText="1"/>
    </xf>
    <xf numFmtId="0" fontId="0" fillId="0" borderId="33" xfId="0" applyBorder="1"/>
    <xf numFmtId="0" fontId="27" fillId="12" borderId="1" xfId="0" applyFont="1" applyFill="1" applyBorder="1" applyAlignment="1">
      <alignment vertical="top" wrapText="1"/>
    </xf>
    <xf numFmtId="0" fontId="27" fillId="12" borderId="34" xfId="0" applyFont="1" applyFill="1" applyBorder="1" applyAlignment="1">
      <alignment vertical="top" wrapText="1"/>
    </xf>
    <xf numFmtId="0" fontId="28" fillId="13" borderId="1" xfId="0" applyFont="1" applyFill="1" applyBorder="1" applyAlignment="1">
      <alignment horizontal="left" vertical="top" wrapText="1"/>
    </xf>
    <xf numFmtId="0" fontId="28" fillId="0" borderId="1" xfId="0" applyFont="1" applyBorder="1" applyAlignment="1" applyProtection="1">
      <alignment vertical="top" wrapText="1"/>
      <protection locked="0"/>
    </xf>
    <xf numFmtId="0" fontId="28" fillId="0" borderId="34" xfId="0" applyFont="1" applyBorder="1" applyAlignment="1" applyProtection="1">
      <alignment vertical="top" wrapText="1"/>
      <protection locked="0"/>
    </xf>
    <xf numFmtId="0" fontId="28" fillId="13" borderId="1" xfId="0" applyFont="1" applyFill="1" applyBorder="1" applyAlignment="1">
      <alignment horizontal="left" vertical="top" wrapText="1" indent="4"/>
    </xf>
    <xf numFmtId="0" fontId="28" fillId="13" borderId="1" xfId="0" applyFont="1" applyFill="1" applyBorder="1" applyAlignment="1">
      <alignment horizontal="left" vertical="top" wrapText="1" indent="3"/>
    </xf>
    <xf numFmtId="0" fontId="29" fillId="13" borderId="1" xfId="0" applyFont="1" applyFill="1" applyBorder="1" applyAlignment="1">
      <alignment wrapText="1"/>
    </xf>
    <xf numFmtId="0" fontId="28" fillId="13" borderId="22" xfId="0" applyFont="1" applyFill="1" applyBorder="1" applyAlignment="1">
      <alignment horizontal="left" vertical="top" wrapText="1"/>
    </xf>
    <xf numFmtId="0" fontId="28" fillId="0" borderId="22" xfId="0" applyFont="1" applyBorder="1" applyAlignment="1" applyProtection="1">
      <alignment vertical="top" wrapText="1"/>
      <protection locked="0"/>
    </xf>
    <xf numFmtId="0" fontId="33" fillId="4" borderId="25" xfId="0" applyFont="1" applyFill="1" applyBorder="1" applyAlignment="1">
      <alignment horizontal="center"/>
    </xf>
    <xf numFmtId="0" fontId="33" fillId="4" borderId="26" xfId="0" applyFont="1" applyFill="1" applyBorder="1" applyAlignment="1">
      <alignment horizontal="center"/>
    </xf>
    <xf numFmtId="0" fontId="33" fillId="4" borderId="17" xfId="0" applyFont="1" applyFill="1" applyBorder="1" applyAlignment="1">
      <alignment horizontal="center"/>
    </xf>
    <xf numFmtId="0" fontId="33" fillId="4" borderId="18" xfId="0" applyFont="1" applyFill="1" applyBorder="1" applyAlignment="1">
      <alignment horizontal="center"/>
    </xf>
    <xf numFmtId="0" fontId="27" fillId="4" borderId="6" xfId="0" applyFont="1" applyFill="1" applyBorder="1" applyAlignment="1">
      <alignment vertical="top" wrapText="1"/>
    </xf>
    <xf numFmtId="0" fontId="28" fillId="13" borderId="34" xfId="0" applyFont="1" applyFill="1" applyBorder="1" applyAlignment="1">
      <alignment horizontal="left" vertical="top" wrapText="1"/>
    </xf>
    <xf numFmtId="0" fontId="28" fillId="0" borderId="23" xfId="0" applyFont="1" applyBorder="1" applyAlignment="1" applyProtection="1">
      <alignment horizontal="center" vertical="center" wrapText="1"/>
      <protection locked="0"/>
    </xf>
    <xf numFmtId="0" fontId="28" fillId="0" borderId="24" xfId="0" applyFont="1" applyBorder="1" applyAlignment="1" applyProtection="1">
      <alignment horizontal="center" vertical="center" wrapText="1"/>
      <protection locked="0"/>
    </xf>
    <xf numFmtId="0" fontId="28" fillId="13" borderId="44" xfId="0" applyFont="1" applyFill="1" applyBorder="1" applyAlignment="1">
      <alignment horizontal="left" vertical="top" wrapText="1"/>
    </xf>
    <xf numFmtId="0" fontId="28" fillId="0" borderId="19" xfId="0" applyFont="1" applyBorder="1" applyAlignment="1" applyProtection="1">
      <alignment horizontal="center" vertical="center" wrapText="1"/>
      <protection locked="0"/>
    </xf>
    <xf numFmtId="0" fontId="28" fillId="0" borderId="21" xfId="0" applyFont="1" applyBorder="1" applyAlignment="1" applyProtection="1">
      <alignment horizontal="center" vertical="center" wrapText="1"/>
      <protection locked="0"/>
    </xf>
    <xf numFmtId="0" fontId="27" fillId="4" borderId="46" xfId="0" applyFont="1" applyFill="1" applyBorder="1" applyAlignment="1">
      <alignment horizontal="left" vertical="top" wrapText="1"/>
    </xf>
    <xf numFmtId="0" fontId="28" fillId="0" borderId="47" xfId="0" applyFont="1" applyBorder="1" applyAlignment="1" applyProtection="1">
      <alignment horizontal="center" vertical="center" wrapText="1"/>
      <protection locked="0"/>
    </xf>
    <xf numFmtId="0" fontId="28" fillId="0" borderId="48" xfId="0" applyFont="1" applyBorder="1" applyAlignment="1" applyProtection="1">
      <alignment horizontal="center" vertical="center" wrapText="1"/>
      <protection locked="0"/>
    </xf>
    <xf numFmtId="0" fontId="28" fillId="0" borderId="17" xfId="0" applyFont="1" applyBorder="1" applyAlignment="1" applyProtection="1">
      <alignment horizontal="center" vertical="center" wrapText="1"/>
      <protection locked="0"/>
    </xf>
    <xf numFmtId="0" fontId="28" fillId="0" borderId="18" xfId="0" applyFont="1" applyBorder="1" applyAlignment="1" applyProtection="1">
      <alignment horizontal="center" vertical="center" wrapText="1"/>
      <protection locked="0"/>
    </xf>
    <xf numFmtId="0" fontId="29" fillId="0" borderId="17" xfId="0" applyFont="1" applyBorder="1" applyAlignment="1" applyProtection="1">
      <alignment horizontal="center" vertical="center" wrapText="1"/>
      <protection locked="0"/>
    </xf>
    <xf numFmtId="0" fontId="29" fillId="0" borderId="18" xfId="0" applyFont="1" applyBorder="1" applyAlignment="1" applyProtection="1">
      <alignment horizontal="center" vertical="center" wrapText="1"/>
      <protection locked="0"/>
    </xf>
    <xf numFmtId="0" fontId="29" fillId="0" borderId="19" xfId="0" applyFont="1" applyBorder="1" applyAlignment="1" applyProtection="1">
      <alignment horizontal="center" vertical="center" wrapText="1"/>
      <protection locked="0"/>
    </xf>
    <xf numFmtId="0" fontId="29" fillId="0" borderId="21" xfId="0" applyFont="1" applyBorder="1" applyAlignment="1" applyProtection="1">
      <alignment horizontal="center" vertical="center" wrapText="1"/>
      <protection locked="0"/>
    </xf>
    <xf numFmtId="0" fontId="31" fillId="4" borderId="49" xfId="0" applyFont="1" applyFill="1" applyBorder="1" applyAlignment="1">
      <alignment wrapText="1"/>
    </xf>
    <xf numFmtId="0" fontId="28" fillId="0" borderId="39" xfId="0" applyFont="1" applyBorder="1" applyAlignment="1" applyProtection="1">
      <alignment horizontal="center" vertical="center" wrapText="1"/>
      <protection locked="0"/>
    </xf>
    <xf numFmtId="0" fontId="31" fillId="4" borderId="46" xfId="0" applyFont="1" applyFill="1" applyBorder="1" applyAlignment="1">
      <alignment wrapText="1"/>
    </xf>
    <xf numFmtId="0" fontId="31" fillId="4" borderId="50" xfId="0" applyFont="1" applyFill="1" applyBorder="1" applyAlignment="1">
      <alignment wrapText="1"/>
    </xf>
    <xf numFmtId="0" fontId="17" fillId="7" borderId="0" xfId="0" applyFont="1" applyFill="1" applyAlignment="1">
      <alignment horizontal="left"/>
    </xf>
    <xf numFmtId="0" fontId="0" fillId="0" borderId="1" xfId="0" applyBorder="1" applyAlignment="1">
      <alignment wrapText="1"/>
    </xf>
    <xf numFmtId="0" fontId="20" fillId="0" borderId="34" xfId="0" applyFont="1" applyBorder="1" applyAlignment="1" applyProtection="1">
      <alignment horizontal="left" vertical="center" wrapText="1"/>
      <protection locked="0"/>
    </xf>
    <xf numFmtId="0" fontId="20" fillId="0" borderId="1" xfId="0" applyFont="1" applyBorder="1" applyAlignment="1" applyProtection="1">
      <alignment vertical="center" wrapText="1"/>
      <protection locked="0"/>
    </xf>
    <xf numFmtId="0" fontId="2" fillId="0" borderId="1" xfId="0" applyFont="1" applyBorder="1" applyAlignment="1" applyProtection="1">
      <alignment vertical="center"/>
      <protection locked="0"/>
    </xf>
    <xf numFmtId="0" fontId="2" fillId="0" borderId="1" xfId="0" applyFont="1" applyBorder="1" applyAlignment="1" applyProtection="1">
      <alignment vertical="center" wrapText="1"/>
      <protection locked="0"/>
    </xf>
    <xf numFmtId="0" fontId="14" fillId="0" borderId="1" xfId="0" applyFont="1" applyBorder="1" applyAlignment="1" applyProtection="1">
      <alignment vertical="center"/>
      <protection locked="0"/>
    </xf>
    <xf numFmtId="0" fontId="31" fillId="0" borderId="19" xfId="0" applyFont="1" applyBorder="1" applyAlignment="1" applyProtection="1">
      <alignment horizontal="center" vertical="center"/>
      <protection locked="0"/>
    </xf>
    <xf numFmtId="0" fontId="31" fillId="0" borderId="21" xfId="0" applyFont="1" applyBorder="1" applyAlignment="1" applyProtection="1">
      <alignment horizontal="center" vertical="center" wrapText="1"/>
      <protection locked="0"/>
    </xf>
    <xf numFmtId="0" fontId="29" fillId="0" borderId="48" xfId="0" applyFont="1" applyBorder="1" applyAlignment="1" applyProtection="1">
      <alignment horizontal="center" vertical="center" wrapText="1"/>
      <protection locked="0"/>
    </xf>
    <xf numFmtId="0" fontId="29" fillId="0" borderId="41" xfId="0" applyFont="1" applyBorder="1" applyAlignment="1" applyProtection="1">
      <alignment horizontal="center" vertical="center" wrapText="1"/>
      <protection locked="0"/>
    </xf>
    <xf numFmtId="0" fontId="0" fillId="0" borderId="0" xfId="0" applyProtection="1">
      <protection locked="0"/>
    </xf>
    <xf numFmtId="0" fontId="5" fillId="4" borderId="13" xfId="0" applyFont="1" applyFill="1" applyBorder="1" applyAlignment="1">
      <alignment horizontal="left" vertical="center" wrapText="1"/>
    </xf>
    <xf numFmtId="0" fontId="5" fillId="4" borderId="13" xfId="0" applyFont="1" applyFill="1" applyBorder="1" applyAlignment="1">
      <alignment horizontal="left" vertical="center"/>
    </xf>
    <xf numFmtId="0" fontId="5" fillId="4" borderId="13" xfId="0" applyFont="1" applyFill="1" applyBorder="1" applyAlignment="1">
      <alignment horizontal="center" vertical="center"/>
    </xf>
    <xf numFmtId="0" fontId="5" fillId="4" borderId="1" xfId="0" applyFont="1" applyFill="1" applyBorder="1" applyAlignment="1">
      <alignment vertical="center"/>
    </xf>
    <xf numFmtId="0" fontId="0" fillId="0" borderId="0" xfId="0" applyAlignment="1">
      <alignment horizontal="center" vertical="top" wrapText="1"/>
    </xf>
    <xf numFmtId="0" fontId="17" fillId="0" borderId="0" xfId="0" applyFont="1" applyAlignment="1">
      <alignment vertical="center"/>
    </xf>
    <xf numFmtId="0" fontId="24" fillId="4" borderId="0" xfId="0" applyFont="1" applyFill="1" applyAlignment="1">
      <alignment horizontal="left" wrapText="1"/>
    </xf>
    <xf numFmtId="0" fontId="6" fillId="0" borderId="0" xfId="0" applyFont="1" applyAlignment="1">
      <alignment horizontal="left" vertical="center" wrapText="1"/>
    </xf>
    <xf numFmtId="0" fontId="6" fillId="0" borderId="0" xfId="0" applyFont="1" applyAlignment="1">
      <alignment vertical="center" wrapText="1"/>
    </xf>
    <xf numFmtId="0" fontId="6" fillId="0" borderId="0" xfId="1" applyFont="1" applyAlignment="1">
      <alignment vertical="center" wrapText="1"/>
    </xf>
    <xf numFmtId="0" fontId="2" fillId="0" borderId="0" xfId="0" applyFont="1" applyAlignment="1">
      <alignment horizontal="left" wrapText="1"/>
    </xf>
    <xf numFmtId="0" fontId="6" fillId="0" borderId="0" xfId="1" applyFont="1" applyAlignment="1">
      <alignment horizontal="left" vertical="center" wrapText="1"/>
    </xf>
    <xf numFmtId="0" fontId="0" fillId="0" borderId="0" xfId="0" applyAlignment="1">
      <alignment horizontal="left" wrapText="1"/>
    </xf>
    <xf numFmtId="0" fontId="12" fillId="0" borderId="1" xfId="0" applyFont="1" applyBorder="1" applyAlignment="1">
      <alignment wrapText="1"/>
    </xf>
    <xf numFmtId="0" fontId="5" fillId="4" borderId="55" xfId="0" applyFont="1" applyFill="1" applyBorder="1" applyAlignment="1">
      <alignment horizontal="left" vertical="center"/>
    </xf>
    <xf numFmtId="0" fontId="5" fillId="4" borderId="1" xfId="0" applyFont="1" applyFill="1" applyBorder="1" applyAlignment="1">
      <alignment horizontal="left" vertical="center"/>
    </xf>
    <xf numFmtId="0" fontId="12" fillId="0" borderId="1" xfId="0" applyFont="1" applyBorder="1"/>
    <xf numFmtId="0" fontId="12" fillId="0" borderId="1" xfId="0" applyFont="1" applyBorder="1" applyAlignment="1" applyProtection="1">
      <alignment horizontal="left" vertical="center"/>
      <protection locked="0"/>
    </xf>
    <xf numFmtId="0" fontId="29" fillId="13" borderId="20" xfId="0" applyFont="1" applyFill="1" applyBorder="1" applyAlignment="1">
      <alignment horizontal="left" vertical="center" wrapText="1"/>
    </xf>
    <xf numFmtId="0" fontId="0" fillId="0" borderId="44" xfId="0" applyBorder="1" applyProtection="1">
      <protection locked="0"/>
    </xf>
    <xf numFmtId="0" fontId="6" fillId="0" borderId="1" xfId="0" applyFont="1" applyBorder="1" applyAlignment="1" applyProtection="1">
      <alignment horizontal="center" vertical="center" wrapText="1"/>
      <protection locked="0"/>
    </xf>
    <xf numFmtId="0" fontId="28" fillId="0" borderId="34" xfId="0" applyFont="1" applyBorder="1" applyAlignment="1" applyProtection="1">
      <alignment horizontal="left" vertical="center" wrapText="1"/>
      <protection locked="0"/>
    </xf>
    <xf numFmtId="0" fontId="28" fillId="0" borderId="36" xfId="0" applyFont="1" applyBorder="1" applyAlignment="1" applyProtection="1">
      <alignment horizontal="left" vertical="center" wrapText="1"/>
      <protection locked="0"/>
    </xf>
    <xf numFmtId="0" fontId="26" fillId="4" borderId="1" xfId="0" applyFont="1" applyFill="1" applyBorder="1" applyAlignment="1">
      <alignment horizontal="center" vertical="top" wrapText="1"/>
    </xf>
    <xf numFmtId="0" fontId="6" fillId="3" borderId="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40" fillId="3" borderId="1" xfId="14" applyFill="1" applyBorder="1" applyAlignment="1" applyProtection="1">
      <alignment horizontal="center" vertical="center" wrapText="1"/>
      <protection locked="0"/>
    </xf>
    <xf numFmtId="0" fontId="6" fillId="3" borderId="1" xfId="0" applyFont="1" applyFill="1" applyBorder="1" applyAlignment="1">
      <alignment horizontal="left" vertical="center" wrapText="1"/>
    </xf>
    <xf numFmtId="0" fontId="40" fillId="0" borderId="1" xfId="14" applyBorder="1" applyAlignment="1" applyProtection="1">
      <alignment horizontal="center" vertical="center" wrapText="1"/>
      <protection locked="0"/>
    </xf>
    <xf numFmtId="0" fontId="1" fillId="2"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3" borderId="1" xfId="0" applyFont="1" applyFill="1" applyBorder="1" applyAlignment="1">
      <alignment vertical="center" wrapText="1"/>
    </xf>
    <xf numFmtId="0" fontId="6" fillId="3" borderId="1" xfId="0" applyFont="1" applyFill="1" applyBorder="1" applyAlignment="1">
      <alignment horizontal="center" vertical="center"/>
    </xf>
    <xf numFmtId="0" fontId="0" fillId="0" borderId="1" xfId="0" applyBorder="1" applyAlignment="1">
      <alignment horizontal="center" vertical="center"/>
    </xf>
    <xf numFmtId="0" fontId="10" fillId="3" borderId="22" xfId="0" applyFont="1" applyFill="1" applyBorder="1" applyAlignment="1">
      <alignment horizontal="center" vertical="center"/>
    </xf>
    <xf numFmtId="0" fontId="6" fillId="3" borderId="5" xfId="0" applyFont="1" applyFill="1" applyBorder="1" applyAlignment="1">
      <alignment horizontal="left" vertical="center" wrapText="1"/>
    </xf>
    <xf numFmtId="0" fontId="40" fillId="3" borderId="5" xfId="14" applyFill="1" applyBorder="1" applyAlignment="1" applyProtection="1">
      <alignment horizontal="left" vertical="center"/>
      <protection locked="0"/>
    </xf>
    <xf numFmtId="0" fontId="41" fillId="0" borderId="27" xfId="0" applyFont="1" applyBorder="1"/>
    <xf numFmtId="0" fontId="41" fillId="0" borderId="0" xfId="0" applyFont="1"/>
    <xf numFmtId="0" fontId="41" fillId="0" borderId="15" xfId="0" applyFont="1" applyBorder="1"/>
    <xf numFmtId="10" fontId="41" fillId="0" borderId="16" xfId="0" applyNumberFormat="1" applyFont="1" applyBorder="1"/>
    <xf numFmtId="0" fontId="41" fillId="0" borderId="17" xfId="0" applyFont="1" applyBorder="1"/>
    <xf numFmtId="0" fontId="41" fillId="0" borderId="18" xfId="0" applyFont="1" applyBorder="1"/>
    <xf numFmtId="0" fontId="41" fillId="0" borderId="1" xfId="0" applyFont="1" applyBorder="1"/>
    <xf numFmtId="10" fontId="41" fillId="0" borderId="18" xfId="0" applyNumberFormat="1" applyFont="1" applyBorder="1"/>
    <xf numFmtId="0" fontId="41" fillId="0" borderId="20" xfId="0" applyFont="1" applyBorder="1"/>
    <xf numFmtId="10" fontId="41" fillId="0" borderId="21" xfId="0" applyNumberFormat="1" applyFont="1" applyBorder="1"/>
    <xf numFmtId="0" fontId="41" fillId="0" borderId="5" xfId="0" applyFont="1" applyBorder="1"/>
    <xf numFmtId="10" fontId="41" fillId="0" borderId="24" xfId="0" applyNumberFormat="1" applyFont="1" applyBorder="1"/>
    <xf numFmtId="0" fontId="41" fillId="0" borderId="19" xfId="0" applyFont="1" applyBorder="1"/>
    <xf numFmtId="0" fontId="41" fillId="0" borderId="21" xfId="0" applyFont="1" applyBorder="1"/>
    <xf numFmtId="0" fontId="41" fillId="0" borderId="22" xfId="0" applyFont="1" applyBorder="1"/>
    <xf numFmtId="10" fontId="41" fillId="0" borderId="26" xfId="0" applyNumberFormat="1" applyFont="1" applyBorder="1"/>
    <xf numFmtId="10" fontId="41" fillId="0" borderId="0" xfId="0" applyNumberFormat="1" applyFont="1"/>
    <xf numFmtId="0" fontId="31" fillId="4" borderId="44" xfId="0" applyFont="1" applyFill="1" applyBorder="1" applyAlignment="1">
      <alignment horizontal="left" vertical="center" wrapText="1"/>
    </xf>
    <xf numFmtId="0" fontId="43" fillId="3" borderId="1" xfId="0" applyFont="1" applyFill="1" applyBorder="1" applyAlignment="1" applyProtection="1">
      <alignment horizontal="left" vertical="center" wrapText="1"/>
      <protection locked="0"/>
    </xf>
    <xf numFmtId="0" fontId="43" fillId="3" borderId="1" xfId="0" applyFont="1" applyFill="1" applyBorder="1" applyAlignment="1" applyProtection="1">
      <alignment horizontal="center" vertical="center" wrapText="1"/>
      <protection locked="0"/>
    </xf>
    <xf numFmtId="0" fontId="0" fillId="0" borderId="0" xfId="0" applyAlignment="1">
      <alignment horizontal="center" vertical="center"/>
    </xf>
    <xf numFmtId="0" fontId="24" fillId="14" borderId="5" xfId="0" applyFont="1" applyFill="1" applyBorder="1" applyAlignment="1">
      <alignment horizontal="center" vertical="center"/>
    </xf>
    <xf numFmtId="0" fontId="24" fillId="14" borderId="5" xfId="0" applyFont="1" applyFill="1" applyBorder="1" applyAlignment="1">
      <alignment horizontal="center" vertical="center" wrapText="1"/>
    </xf>
    <xf numFmtId="0" fontId="0" fillId="14" borderId="1" xfId="0" applyFill="1" applyBorder="1" applyAlignment="1">
      <alignment horizontal="left"/>
    </xf>
    <xf numFmtId="0" fontId="0" fillId="14" borderId="1" xfId="0" applyFill="1" applyBorder="1" applyAlignment="1">
      <alignment horizontal="left" wrapText="1"/>
    </xf>
    <xf numFmtId="0" fontId="0" fillId="14" borderId="1" xfId="0" applyFill="1" applyBorder="1" applyAlignment="1">
      <alignment vertical="top"/>
    </xf>
    <xf numFmtId="0" fontId="0" fillId="14" borderId="1" xfId="0" applyFill="1" applyBorder="1" applyAlignment="1">
      <alignment wrapText="1"/>
    </xf>
    <xf numFmtId="0" fontId="0" fillId="14" borderId="1" xfId="0" applyFill="1" applyBorder="1"/>
    <xf numFmtId="0" fontId="24" fillId="14" borderId="1" xfId="0" applyFont="1" applyFill="1" applyBorder="1" applyAlignment="1">
      <alignment horizontal="center" vertical="center"/>
    </xf>
    <xf numFmtId="0" fontId="24" fillId="14" borderId="1" xfId="0" applyFont="1" applyFill="1" applyBorder="1" applyAlignment="1">
      <alignment horizontal="center" vertical="center" wrapText="1"/>
    </xf>
    <xf numFmtId="0" fontId="24" fillId="4" borderId="28" xfId="0" applyFont="1" applyFill="1" applyBorder="1"/>
    <xf numFmtId="0" fontId="24" fillId="4" borderId="29" xfId="0" applyFont="1" applyFill="1" applyBorder="1"/>
    <xf numFmtId="0" fontId="24" fillId="0" borderId="0" xfId="0" applyFont="1"/>
    <xf numFmtId="0" fontId="28" fillId="0" borderId="58" xfId="0" applyFont="1" applyBorder="1" applyAlignment="1">
      <alignment vertical="center" wrapText="1"/>
    </xf>
    <xf numFmtId="0" fontId="28" fillId="0" borderId="60" xfId="0" applyFont="1" applyBorder="1" applyAlignment="1">
      <alignment vertical="center" wrapText="1"/>
    </xf>
    <xf numFmtId="0" fontId="26" fillId="4" borderId="58" xfId="0" applyFont="1" applyFill="1" applyBorder="1" applyAlignment="1">
      <alignment horizontal="center" vertical="center" wrapText="1"/>
    </xf>
    <xf numFmtId="0" fontId="26" fillId="4" borderId="60" xfId="0" applyFont="1" applyFill="1" applyBorder="1" applyAlignment="1">
      <alignment horizontal="center" vertical="center" wrapText="1"/>
    </xf>
    <xf numFmtId="0" fontId="28" fillId="13" borderId="58" xfId="0" applyFont="1" applyFill="1" applyBorder="1" applyAlignment="1">
      <alignment horizontal="left" vertical="center" wrapText="1" indent="5"/>
    </xf>
    <xf numFmtId="0" fontId="28" fillId="0" borderId="60" xfId="0" applyFont="1" applyFill="1" applyBorder="1" applyAlignment="1" applyProtection="1">
      <alignment vertical="center" wrapText="1"/>
      <protection locked="0"/>
    </xf>
    <xf numFmtId="0" fontId="28" fillId="13" borderId="62" xfId="0" applyFont="1" applyFill="1" applyBorder="1" applyAlignment="1">
      <alignment horizontal="left" vertical="center" wrapText="1" indent="5"/>
    </xf>
    <xf numFmtId="0" fontId="28" fillId="0" borderId="63" xfId="0" applyFont="1" applyFill="1" applyBorder="1" applyAlignment="1" applyProtection="1">
      <alignment vertical="center" wrapText="1"/>
      <protection locked="0"/>
    </xf>
    <xf numFmtId="0" fontId="28" fillId="13" borderId="58" xfId="0" applyFont="1" applyFill="1" applyBorder="1" applyAlignment="1">
      <alignment vertical="center" wrapText="1"/>
    </xf>
    <xf numFmtId="0" fontId="25" fillId="0" borderId="0" xfId="0" applyFont="1"/>
    <xf numFmtId="0" fontId="45" fillId="4" borderId="58" xfId="0" applyFont="1" applyFill="1" applyBorder="1" applyAlignment="1">
      <alignment horizontal="center" vertical="center" wrapText="1"/>
    </xf>
    <xf numFmtId="0" fontId="45" fillId="4" borderId="60" xfId="0" applyFont="1" applyFill="1" applyBorder="1" applyAlignment="1">
      <alignment horizontal="center" vertical="center" wrapText="1"/>
    </xf>
    <xf numFmtId="0" fontId="28" fillId="15" borderId="66" xfId="0" applyFont="1" applyFill="1" applyBorder="1" applyAlignment="1">
      <alignment horizontal="left" vertical="center" wrapText="1" indent="5"/>
    </xf>
    <xf numFmtId="0" fontId="25" fillId="16" borderId="62" xfId="0" applyFont="1" applyFill="1" applyBorder="1" applyAlignment="1" applyProtection="1">
      <alignment vertical="top" wrapText="1"/>
      <protection locked="0"/>
    </xf>
    <xf numFmtId="0" fontId="50" fillId="16" borderId="62" xfId="0" applyFont="1" applyFill="1" applyBorder="1" applyAlignment="1" applyProtection="1">
      <alignment vertical="top" wrapText="1"/>
      <protection locked="0"/>
    </xf>
    <xf numFmtId="0" fontId="51" fillId="16" borderId="62" xfId="0" applyFont="1" applyFill="1" applyBorder="1" applyAlignment="1" applyProtection="1">
      <alignment vertical="top" wrapText="1"/>
      <protection locked="0"/>
    </xf>
    <xf numFmtId="0" fontId="52" fillId="16" borderId="62" xfId="0" applyFont="1" applyFill="1" applyBorder="1" applyAlignment="1" applyProtection="1">
      <alignment vertical="top" wrapText="1"/>
      <protection locked="0"/>
    </xf>
    <xf numFmtId="0" fontId="29" fillId="15" borderId="58" xfId="0" applyFont="1" applyFill="1" applyBorder="1" applyAlignment="1">
      <alignment horizontal="left" vertical="center" wrapText="1" indent="5"/>
    </xf>
    <xf numFmtId="0" fontId="29" fillId="11" borderId="62" xfId="0" applyFont="1" applyFill="1" applyBorder="1" applyAlignment="1">
      <alignment vertical="center" wrapText="1"/>
    </xf>
    <xf numFmtId="0" fontId="25" fillId="17" borderId="62" xfId="0" applyFont="1" applyFill="1" applyBorder="1" applyAlignment="1" applyProtection="1">
      <alignment horizontal="left" vertical="top"/>
      <protection locked="0"/>
    </xf>
    <xf numFmtId="0" fontId="52" fillId="17" borderId="62" xfId="0" applyFont="1" applyFill="1" applyBorder="1" applyAlignment="1" applyProtection="1">
      <alignment horizontal="left" vertical="top" wrapText="1"/>
      <protection locked="0"/>
    </xf>
    <xf numFmtId="0" fontId="29" fillId="11" borderId="62" xfId="0" applyFont="1" applyFill="1" applyBorder="1" applyAlignment="1">
      <alignment vertical="center"/>
    </xf>
    <xf numFmtId="0" fontId="29" fillId="18" borderId="62" xfId="0" applyFont="1" applyFill="1" applyBorder="1" applyAlignment="1">
      <alignment vertical="center" wrapText="1"/>
    </xf>
    <xf numFmtId="0" fontId="25" fillId="19" borderId="62" xfId="0" applyFont="1" applyFill="1" applyBorder="1" applyAlignment="1" applyProtection="1">
      <alignment horizontal="left" vertical="top"/>
      <protection locked="0"/>
    </xf>
    <xf numFmtId="0" fontId="52" fillId="19" borderId="62" xfId="0" applyFont="1" applyFill="1" applyBorder="1" applyAlignment="1" applyProtection="1">
      <alignment horizontal="left" vertical="top" wrapText="1"/>
      <protection locked="0"/>
    </xf>
    <xf numFmtId="0" fontId="25" fillId="20" borderId="0" xfId="0" applyFont="1" applyFill="1" applyAlignment="1">
      <alignment vertical="center" wrapText="1"/>
    </xf>
    <xf numFmtId="0" fontId="52" fillId="21" borderId="62" xfId="0" applyFont="1" applyFill="1" applyBorder="1" applyAlignment="1" applyProtection="1">
      <alignment horizontal="left" vertical="top" wrapText="1"/>
      <protection locked="0"/>
    </xf>
    <xf numFmtId="0" fontId="25" fillId="0" borderId="0" xfId="0" applyFont="1" applyFill="1"/>
    <xf numFmtId="0" fontId="35" fillId="13" borderId="0" xfId="0" applyFont="1" applyFill="1" applyAlignment="1">
      <alignment vertical="center" wrapText="1"/>
    </xf>
    <xf numFmtId="0" fontId="52" fillId="14" borderId="62" xfId="0" applyFont="1" applyFill="1" applyBorder="1" applyAlignment="1" applyProtection="1">
      <alignment horizontal="left" vertical="top"/>
      <protection locked="0"/>
    </xf>
    <xf numFmtId="0" fontId="52" fillId="14" borderId="62" xfId="0" applyFont="1" applyFill="1" applyBorder="1" applyAlignment="1" applyProtection="1">
      <alignment horizontal="left" vertical="top" wrapText="1"/>
      <protection locked="0"/>
    </xf>
    <xf numFmtId="0" fontId="35" fillId="13" borderId="62" xfId="0" applyFont="1" applyFill="1" applyBorder="1" applyAlignment="1">
      <alignment horizontal="left" vertical="center" indent="5"/>
    </xf>
    <xf numFmtId="0" fontId="35" fillId="13" borderId="62" xfId="0" applyFont="1" applyFill="1" applyBorder="1" applyAlignment="1">
      <alignment vertical="center" wrapText="1"/>
    </xf>
    <xf numFmtId="0" fontId="29" fillId="22" borderId="62" xfId="0" applyFont="1" applyFill="1" applyBorder="1" applyAlignment="1">
      <alignment vertical="center" wrapText="1"/>
    </xf>
    <xf numFmtId="0" fontId="25" fillId="19" borderId="62" xfId="0" applyFont="1" applyFill="1" applyBorder="1" applyAlignment="1" applyProtection="1">
      <alignment horizontal="left" vertical="top" wrapText="1"/>
      <protection locked="0"/>
    </xf>
    <xf numFmtId="0" fontId="29" fillId="23" borderId="62" xfId="0" applyFont="1" applyFill="1" applyBorder="1" applyAlignment="1">
      <alignment vertical="center" wrapText="1"/>
    </xf>
    <xf numFmtId="0" fontId="25" fillId="24" borderId="62" xfId="0" applyFont="1" applyFill="1" applyBorder="1" applyAlignment="1" applyProtection="1">
      <alignment horizontal="left" vertical="top"/>
      <protection locked="0"/>
    </xf>
    <xf numFmtId="0" fontId="25" fillId="24" borderId="62" xfId="0" applyFont="1" applyFill="1" applyBorder="1" applyAlignment="1" applyProtection="1">
      <alignment horizontal="left" vertical="top" wrapText="1"/>
      <protection locked="0"/>
    </xf>
    <xf numFmtId="0" fontId="29" fillId="15" borderId="62" xfId="0" applyFont="1" applyFill="1" applyBorder="1" applyAlignment="1">
      <alignment vertical="center" wrapText="1"/>
    </xf>
    <xf numFmtId="0" fontId="25" fillId="16" borderId="62" xfId="0" applyFont="1" applyFill="1" applyBorder="1" applyAlignment="1" applyProtection="1">
      <alignment horizontal="left" vertical="top"/>
      <protection locked="0"/>
    </xf>
    <xf numFmtId="0" fontId="52" fillId="16" borderId="62" xfId="0" applyFont="1" applyFill="1" applyBorder="1" applyAlignment="1" applyProtection="1">
      <alignment horizontal="left" vertical="top" wrapText="1"/>
      <protection locked="0"/>
    </xf>
    <xf numFmtId="0" fontId="40" fillId="0" borderId="1" xfId="14" applyBorder="1" applyAlignment="1" applyProtection="1">
      <alignment vertical="top" wrapText="1"/>
      <protection locked="0"/>
    </xf>
    <xf numFmtId="165" fontId="28" fillId="0" borderId="1" xfId="0" applyNumberFormat="1" applyFont="1" applyBorder="1" applyAlignment="1" applyProtection="1">
      <alignment vertical="top" wrapText="1"/>
      <protection locked="0"/>
    </xf>
    <xf numFmtId="0" fontId="31" fillId="0" borderId="19" xfId="0" applyFont="1" applyFill="1" applyBorder="1" applyAlignment="1" applyProtection="1">
      <alignment horizontal="center" vertical="center"/>
      <protection locked="0"/>
    </xf>
    <xf numFmtId="0" fontId="31" fillId="0" borderId="45" xfId="0" applyFont="1" applyFill="1" applyBorder="1" applyAlignment="1" applyProtection="1">
      <alignment horizontal="center" vertical="center" wrapText="1"/>
      <protection locked="0"/>
    </xf>
    <xf numFmtId="0" fontId="28" fillId="0" borderId="47" xfId="0" applyFont="1" applyFill="1" applyBorder="1" applyAlignment="1" applyProtection="1">
      <alignment horizontal="center" vertical="center" wrapText="1"/>
      <protection locked="0"/>
    </xf>
    <xf numFmtId="0" fontId="28" fillId="0" borderId="23" xfId="0" applyFont="1" applyFill="1" applyBorder="1" applyAlignment="1" applyProtection="1">
      <alignment horizontal="center" vertical="center" wrapText="1"/>
      <protection locked="0"/>
    </xf>
    <xf numFmtId="0" fontId="28" fillId="0" borderId="24" xfId="0" applyFont="1" applyFill="1" applyBorder="1" applyAlignment="1" applyProtection="1">
      <alignment horizontal="center" vertical="center" wrapText="1"/>
      <protection locked="0"/>
    </xf>
    <xf numFmtId="0" fontId="28" fillId="0" borderId="18" xfId="0" applyFont="1" applyFill="1" applyBorder="1" applyAlignment="1" applyProtection="1">
      <alignment horizontal="center" vertical="center" wrapText="1"/>
      <protection locked="0"/>
    </xf>
    <xf numFmtId="0" fontId="28" fillId="0" borderId="21" xfId="0" applyFont="1" applyFill="1" applyBorder="1" applyAlignment="1" applyProtection="1">
      <alignment horizontal="center" vertical="center" wrapText="1"/>
      <protection locked="0"/>
    </xf>
    <xf numFmtId="0" fontId="28" fillId="0" borderId="19" xfId="0" applyFont="1" applyFill="1" applyBorder="1" applyAlignment="1" applyProtection="1">
      <alignment horizontal="center" vertical="center" wrapText="1"/>
      <protection locked="0"/>
    </xf>
    <xf numFmtId="0" fontId="28" fillId="0" borderId="39" xfId="0" applyFont="1" applyFill="1" applyBorder="1" applyAlignment="1" applyProtection="1">
      <alignment horizontal="center" vertical="center" wrapText="1"/>
      <protection locked="0"/>
    </xf>
    <xf numFmtId="0" fontId="0" fillId="0" borderId="0" xfId="0" applyAlignment="1">
      <alignment wrapText="1"/>
    </xf>
    <xf numFmtId="0" fontId="6" fillId="0" borderId="1" xfId="0" applyFont="1" applyFill="1" applyBorder="1" applyAlignment="1" applyProtection="1">
      <alignment horizontal="center" vertical="center" wrapText="1"/>
      <protection locked="0"/>
    </xf>
    <xf numFmtId="0" fontId="40" fillId="0" borderId="34" xfId="14" applyBorder="1" applyAlignment="1" applyProtection="1">
      <alignment horizontal="left" vertical="center" wrapText="1"/>
      <protection locked="0"/>
    </xf>
    <xf numFmtId="0" fontId="5" fillId="4" borderId="34" xfId="0" applyFont="1" applyFill="1" applyBorder="1" applyAlignment="1">
      <alignment horizontal="left" vertical="center"/>
    </xf>
    <xf numFmtId="0" fontId="12" fillId="0" borderId="34" xfId="0" applyFont="1" applyBorder="1" applyAlignment="1" applyProtection="1">
      <alignment horizontal="left" vertical="center" wrapText="1"/>
      <protection locked="0"/>
    </xf>
    <xf numFmtId="0" fontId="22" fillId="0" borderId="34" xfId="0" applyFont="1" applyBorder="1" applyAlignment="1" applyProtection="1">
      <alignment wrapText="1"/>
      <protection locked="0"/>
    </xf>
    <xf numFmtId="0" fontId="22" fillId="0" borderId="1" xfId="0" applyFont="1" applyBorder="1"/>
    <xf numFmtId="0" fontId="36" fillId="0" borderId="0" xfId="0" applyFont="1" applyAlignment="1">
      <alignment horizontal="center" vertical="top" wrapText="1"/>
    </xf>
    <xf numFmtId="0" fontId="15" fillId="6" borderId="0" xfId="0" applyFont="1" applyFill="1" applyAlignment="1"/>
    <xf numFmtId="0" fontId="16" fillId="0" borderId="0" xfId="0" applyFont="1" applyAlignment="1"/>
    <xf numFmtId="0" fontId="15" fillId="6" borderId="0" xfId="0" applyFont="1" applyFill="1" applyAlignment="1">
      <alignment horizontal="left"/>
    </xf>
    <xf numFmtId="0" fontId="11" fillId="4" borderId="1" xfId="0" applyFont="1" applyFill="1" applyBorder="1" applyAlignment="1">
      <alignment horizontal="left"/>
    </xf>
    <xf numFmtId="0" fontId="20" fillId="0" borderId="1" xfId="0" applyFont="1" applyBorder="1" applyAlignment="1" applyProtection="1">
      <alignment horizontal="center" vertical="center" wrapText="1"/>
      <protection locked="0"/>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0" fillId="0" borderId="44" xfId="0" applyBorder="1" applyAlignment="1" applyProtection="1">
      <alignment horizontal="center"/>
      <protection locked="0"/>
    </xf>
    <xf numFmtId="0" fontId="0" fillId="0" borderId="45" xfId="0" applyBorder="1" applyAlignment="1" applyProtection="1">
      <alignment horizontal="center"/>
      <protection locked="0"/>
    </xf>
    <xf numFmtId="0" fontId="1" fillId="2" borderId="34" xfId="0" applyFont="1" applyFill="1" applyBorder="1" applyAlignment="1">
      <alignment horizontal="left" vertical="center"/>
    </xf>
    <xf numFmtId="0" fontId="1" fillId="2" borderId="35" xfId="0" applyFont="1" applyFill="1" applyBorder="1" applyAlignment="1">
      <alignment horizontal="left" vertical="center"/>
    </xf>
    <xf numFmtId="0" fontId="25" fillId="8" borderId="30" xfId="0" applyFont="1" applyFill="1" applyBorder="1" applyAlignment="1">
      <alignment horizontal="center" wrapText="1"/>
    </xf>
    <xf numFmtId="0" fontId="25" fillId="8" borderId="31" xfId="0" applyFont="1" applyFill="1" applyBorder="1" applyAlignment="1">
      <alignment horizontal="center" wrapText="1"/>
    </xf>
    <xf numFmtId="0" fontId="25" fillId="8" borderId="32" xfId="0" applyFont="1" applyFill="1" applyBorder="1" applyAlignment="1">
      <alignment horizontal="center" wrapText="1"/>
    </xf>
    <xf numFmtId="0" fontId="40" fillId="0" borderId="1" xfId="14" applyBorder="1" applyAlignment="1" applyProtection="1">
      <alignment horizontal="center" vertical="center" wrapText="1"/>
      <protection locked="0"/>
    </xf>
    <xf numFmtId="15" fontId="20" fillId="0" borderId="1" xfId="0" applyNumberFormat="1" applyFont="1" applyBorder="1" applyAlignment="1" applyProtection="1">
      <alignment horizontal="center" vertical="center" wrapText="1"/>
      <protection locked="0"/>
    </xf>
    <xf numFmtId="0" fontId="28" fillId="0" borderId="1" xfId="0" applyFont="1" applyBorder="1" applyAlignment="1" applyProtection="1">
      <alignment horizontal="left" vertical="center" wrapText="1"/>
      <protection locked="0"/>
    </xf>
    <xf numFmtId="0" fontId="28" fillId="0" borderId="18" xfId="0" applyFont="1" applyBorder="1" applyAlignment="1" applyProtection="1">
      <alignment horizontal="left" vertical="center" wrapText="1"/>
      <protection locked="0"/>
    </xf>
    <xf numFmtId="0" fontId="26" fillId="4" borderId="1" xfId="0" applyFont="1" applyFill="1" applyBorder="1" applyAlignment="1">
      <alignment horizontal="center" vertical="top" wrapText="1"/>
    </xf>
    <xf numFmtId="0" fontId="26" fillId="4" borderId="34" xfId="0" applyFont="1" applyFill="1" applyBorder="1" applyAlignment="1">
      <alignment horizontal="center" vertical="top" wrapText="1"/>
    </xf>
    <xf numFmtId="0" fontId="27" fillId="12" borderId="34" xfId="0" applyFont="1" applyFill="1" applyBorder="1" applyAlignment="1">
      <alignment horizontal="center" vertical="top" wrapText="1"/>
    </xf>
    <xf numFmtId="0" fontId="27" fillId="12" borderId="35" xfId="0" applyFont="1" applyFill="1" applyBorder="1" applyAlignment="1">
      <alignment horizontal="center" vertical="top" wrapText="1"/>
    </xf>
    <xf numFmtId="0" fontId="28" fillId="0" borderId="34" xfId="0" applyFont="1" applyBorder="1" applyAlignment="1" applyProtection="1">
      <alignment horizontal="left" vertical="center" wrapText="1"/>
      <protection locked="0"/>
    </xf>
    <xf numFmtId="0" fontId="28" fillId="0" borderId="35" xfId="0" applyFont="1" applyBorder="1" applyAlignment="1" applyProtection="1">
      <alignment horizontal="left" vertical="center" wrapText="1"/>
      <protection locked="0"/>
    </xf>
    <xf numFmtId="0" fontId="28" fillId="0" borderId="36" xfId="0" applyFont="1" applyBorder="1" applyAlignment="1" applyProtection="1">
      <alignment horizontal="left" vertical="center" wrapText="1"/>
      <protection locked="0"/>
    </xf>
    <xf numFmtId="0" fontId="0" fillId="0" borderId="34" xfId="0" applyBorder="1" applyAlignment="1" applyProtection="1">
      <alignment horizontal="left" vertical="center" wrapText="1"/>
      <protection locked="0"/>
    </xf>
    <xf numFmtId="0" fontId="0" fillId="0" borderId="36" xfId="0" applyBorder="1" applyAlignment="1" applyProtection="1">
      <alignment horizontal="left" vertical="center" wrapText="1"/>
      <protection locked="0"/>
    </xf>
    <xf numFmtId="0" fontId="0" fillId="0" borderId="34" xfId="0" applyBorder="1" applyAlignment="1" applyProtection="1">
      <protection locked="0"/>
    </xf>
    <xf numFmtId="0" fontId="0" fillId="0" borderId="36" xfId="0" applyBorder="1" applyAlignment="1" applyProtection="1">
      <protection locked="0"/>
    </xf>
    <xf numFmtId="0" fontId="0" fillId="0" borderId="37" xfId="0" applyBorder="1" applyAlignment="1" applyProtection="1">
      <protection locked="0"/>
    </xf>
    <xf numFmtId="0" fontId="0" fillId="0" borderId="38" xfId="0" applyBorder="1" applyAlignment="1" applyProtection="1">
      <protection locked="0"/>
    </xf>
    <xf numFmtId="0" fontId="28" fillId="0" borderId="1" xfId="0" applyFont="1" applyFill="1" applyBorder="1" applyAlignment="1" applyProtection="1">
      <alignment horizontal="left" vertical="center" wrapText="1"/>
      <protection locked="0"/>
    </xf>
    <xf numFmtId="0" fontId="28" fillId="0" borderId="18" xfId="0" applyFont="1" applyFill="1" applyBorder="1" applyAlignment="1" applyProtection="1">
      <alignment horizontal="left" vertical="center" wrapText="1"/>
      <protection locked="0"/>
    </xf>
    <xf numFmtId="0" fontId="27" fillId="12" borderId="52" xfId="0" applyFont="1" applyFill="1" applyBorder="1" applyAlignment="1">
      <alignment horizontal="center" vertical="top" wrapText="1"/>
    </xf>
    <xf numFmtId="0" fontId="27" fillId="12" borderId="53" xfId="0" applyFont="1" applyFill="1" applyBorder="1" applyAlignment="1">
      <alignment horizontal="center" vertical="top" wrapText="1"/>
    </xf>
    <xf numFmtId="0" fontId="27" fillId="12" borderId="54" xfId="0" applyFont="1" applyFill="1" applyBorder="1" applyAlignment="1">
      <alignment horizontal="center" vertical="top" wrapText="1"/>
    </xf>
    <xf numFmtId="0" fontId="30" fillId="2" borderId="39" xfId="0" applyFont="1" applyFill="1" applyBorder="1" applyAlignment="1">
      <alignment wrapText="1"/>
    </xf>
    <xf numFmtId="0" fontId="30" fillId="2" borderId="40" xfId="0" applyFont="1" applyFill="1" applyBorder="1" applyAlignment="1">
      <alignment wrapText="1"/>
    </xf>
    <xf numFmtId="0" fontId="29" fillId="8" borderId="42" xfId="0" applyFont="1" applyFill="1" applyBorder="1" applyAlignment="1">
      <alignment horizontal="center" wrapText="1"/>
    </xf>
    <xf numFmtId="0" fontId="29" fillId="8" borderId="43" xfId="0" applyFont="1" applyFill="1" applyBorder="1" applyAlignment="1">
      <alignment horizontal="center" wrapText="1"/>
    </xf>
    <xf numFmtId="0" fontId="32" fillId="4" borderId="23" xfId="0" applyFont="1" applyFill="1" applyBorder="1" applyAlignment="1">
      <alignment horizontal="center"/>
    </xf>
    <xf numFmtId="0" fontId="32" fillId="4" borderId="24" xfId="0" applyFont="1" applyFill="1" applyBorder="1" applyAlignment="1">
      <alignment horizontal="center"/>
    </xf>
    <xf numFmtId="0" fontId="27" fillId="12" borderId="23" xfId="0" applyFont="1" applyFill="1" applyBorder="1" applyAlignment="1">
      <alignment vertical="top" wrapText="1"/>
    </xf>
    <xf numFmtId="0" fontId="27" fillId="12" borderId="5" xfId="0" applyFont="1" applyFill="1" applyBorder="1" applyAlignment="1">
      <alignment vertical="top" wrapText="1"/>
    </xf>
    <xf numFmtId="0" fontId="34" fillId="12" borderId="52" xfId="0" applyFont="1" applyFill="1" applyBorder="1" applyAlignment="1">
      <alignment horizontal="center" vertical="top" wrapText="1"/>
    </xf>
    <xf numFmtId="0" fontId="34" fillId="12" borderId="53" xfId="0" applyFont="1" applyFill="1" applyBorder="1" applyAlignment="1">
      <alignment horizontal="center" vertical="top" wrapText="1"/>
    </xf>
    <xf numFmtId="0" fontId="34" fillId="12" borderId="54" xfId="0" applyFont="1" applyFill="1" applyBorder="1" applyAlignment="1">
      <alignment horizontal="center" vertical="top" wrapText="1"/>
    </xf>
    <xf numFmtId="0" fontId="53" fillId="13" borderId="56" xfId="0" applyFont="1" applyFill="1" applyBorder="1" applyAlignment="1">
      <alignment vertical="center"/>
    </xf>
    <xf numFmtId="0" fontId="53" fillId="13" borderId="57" xfId="0" applyFont="1" applyFill="1" applyBorder="1" applyAlignment="1">
      <alignment vertical="center"/>
    </xf>
    <xf numFmtId="0" fontId="53" fillId="13" borderId="50" xfId="0" applyFont="1" applyFill="1" applyBorder="1" applyAlignment="1">
      <alignment vertical="center"/>
    </xf>
    <xf numFmtId="0" fontId="53" fillId="22" borderId="56" xfId="0" applyFont="1" applyFill="1" applyBorder="1" applyAlignment="1">
      <alignment vertical="center"/>
    </xf>
    <xf numFmtId="0" fontId="55" fillId="22" borderId="57" xfId="0" applyFont="1" applyFill="1" applyBorder="1" applyAlignment="1">
      <alignment vertical="center"/>
    </xf>
    <xf numFmtId="0" fontId="55" fillId="22" borderId="50" xfId="0" applyFont="1" applyFill="1" applyBorder="1" applyAlignment="1">
      <alignment vertical="center"/>
    </xf>
    <xf numFmtId="0" fontId="53" fillId="23" borderId="56" xfId="0" applyFont="1" applyFill="1" applyBorder="1" applyAlignment="1">
      <alignment vertical="center" wrapText="1"/>
    </xf>
    <xf numFmtId="0" fontId="53" fillId="23" borderId="57" xfId="0" applyFont="1" applyFill="1" applyBorder="1" applyAlignment="1">
      <alignment vertical="center" wrapText="1"/>
    </xf>
    <xf numFmtId="0" fontId="53" fillId="23" borderId="50" xfId="0" applyFont="1" applyFill="1" applyBorder="1" applyAlignment="1">
      <alignment vertical="center" wrapText="1"/>
    </xf>
    <xf numFmtId="0" fontId="53" fillId="15" borderId="56" xfId="0" applyFont="1" applyFill="1" applyBorder="1" applyAlignment="1">
      <alignment vertical="center"/>
    </xf>
    <xf numFmtId="0" fontId="55" fillId="15" borderId="57" xfId="0" applyFont="1" applyFill="1" applyBorder="1" applyAlignment="1">
      <alignment vertical="center"/>
    </xf>
    <xf numFmtId="0" fontId="55" fillId="15" borderId="50" xfId="0" applyFont="1" applyFill="1" applyBorder="1" applyAlignment="1">
      <alignment vertical="center"/>
    </xf>
    <xf numFmtId="0" fontId="48" fillId="15" borderId="56" xfId="0" applyFont="1" applyFill="1" applyBorder="1" applyAlignment="1">
      <alignment vertical="center" wrapText="1"/>
    </xf>
    <xf numFmtId="0" fontId="49" fillId="15" borderId="57" xfId="0" applyFont="1" applyFill="1" applyBorder="1" applyAlignment="1">
      <alignment vertical="center" wrapText="1"/>
    </xf>
    <xf numFmtId="0" fontId="49" fillId="15" borderId="50" xfId="0" applyFont="1" applyFill="1" applyBorder="1" applyAlignment="1">
      <alignment vertical="center" wrapText="1"/>
    </xf>
    <xf numFmtId="0" fontId="28" fillId="15" borderId="56" xfId="0" applyFont="1" applyFill="1" applyBorder="1" applyAlignment="1">
      <alignment vertical="center" wrapText="1"/>
    </xf>
    <xf numFmtId="0" fontId="28" fillId="15" borderId="64" xfId="0" applyFont="1" applyFill="1" applyBorder="1" applyAlignment="1">
      <alignment vertical="center" wrapText="1"/>
    </xf>
    <xf numFmtId="0" fontId="28" fillId="15" borderId="65" xfId="0" applyFont="1" applyFill="1" applyBorder="1" applyAlignment="1">
      <alignment vertical="center" wrapText="1"/>
    </xf>
    <xf numFmtId="0" fontId="29" fillId="15" borderId="56" xfId="0" applyFont="1" applyFill="1" applyBorder="1" applyAlignment="1">
      <alignment vertical="center" wrapText="1"/>
    </xf>
    <xf numFmtId="0" fontId="29" fillId="15" borderId="63" xfId="0" applyFont="1" applyFill="1" applyBorder="1" applyAlignment="1">
      <alignment vertical="center" wrapText="1"/>
    </xf>
    <xf numFmtId="0" fontId="29" fillId="15" borderId="60" xfId="0" applyFont="1" applyFill="1" applyBorder="1" applyAlignment="1">
      <alignment vertical="center" wrapText="1"/>
    </xf>
    <xf numFmtId="0" fontId="53" fillId="11" borderId="56" xfId="0" applyFont="1" applyFill="1" applyBorder="1" applyAlignment="1">
      <alignment vertical="center"/>
    </xf>
    <xf numFmtId="0" fontId="54" fillId="11" borderId="57" xfId="0" applyFont="1" applyFill="1" applyBorder="1" applyAlignment="1">
      <alignment vertical="center"/>
    </xf>
    <xf numFmtId="0" fontId="54" fillId="11" borderId="50" xfId="0" applyFont="1" applyFill="1" applyBorder="1" applyAlignment="1">
      <alignment vertical="center"/>
    </xf>
    <xf numFmtId="0" fontId="53" fillId="18" borderId="56" xfId="0" applyFont="1" applyFill="1" applyBorder="1" applyAlignment="1">
      <alignment vertical="center"/>
    </xf>
    <xf numFmtId="0" fontId="55" fillId="18" borderId="57" xfId="0" applyFont="1" applyFill="1" applyBorder="1" applyAlignment="1">
      <alignment vertical="center"/>
    </xf>
    <xf numFmtId="0" fontId="55" fillId="18" borderId="50" xfId="0" applyFont="1" applyFill="1" applyBorder="1" applyAlignment="1">
      <alignment vertical="center"/>
    </xf>
    <xf numFmtId="0" fontId="53" fillId="20" borderId="56" xfId="0" applyFont="1" applyFill="1" applyBorder="1" applyAlignment="1">
      <alignment vertical="center"/>
    </xf>
    <xf numFmtId="0" fontId="55" fillId="20" borderId="57" xfId="0" applyFont="1" applyFill="1" applyBorder="1" applyAlignment="1">
      <alignment vertical="center"/>
    </xf>
    <xf numFmtId="0" fontId="55" fillId="20" borderId="50" xfId="0" applyFont="1" applyFill="1" applyBorder="1" applyAlignment="1">
      <alignment vertical="center"/>
    </xf>
    <xf numFmtId="0" fontId="46" fillId="4" borderId="39" xfId="0" applyFont="1" applyFill="1" applyBorder="1" applyAlignment="1">
      <alignment horizontal="center" vertical="center" wrapText="1"/>
    </xf>
    <xf numFmtId="0" fontId="47" fillId="4" borderId="40" xfId="0" applyFont="1" applyFill="1" applyBorder="1" applyAlignment="1">
      <alignment horizontal="center" vertical="center" wrapText="1"/>
    </xf>
    <xf numFmtId="0" fontId="47" fillId="4" borderId="41" xfId="0" applyFont="1" applyFill="1" applyBorder="1" applyAlignment="1">
      <alignment horizontal="center" vertical="center" wrapText="1"/>
    </xf>
    <xf numFmtId="0" fontId="28" fillId="0" borderId="56" xfId="0" applyFont="1" applyFill="1" applyBorder="1" applyAlignment="1" applyProtection="1">
      <alignment vertical="center" wrapText="1"/>
      <protection locked="0"/>
    </xf>
    <xf numFmtId="0" fontId="28" fillId="0" borderId="50" xfId="0" applyFont="1" applyFill="1" applyBorder="1" applyAlignment="1" applyProtection="1">
      <alignment vertical="center" wrapText="1"/>
      <protection locked="0"/>
    </xf>
    <xf numFmtId="0" fontId="28" fillId="0" borderId="56" xfId="0" applyFont="1" applyFill="1" applyBorder="1" applyAlignment="1" applyProtection="1">
      <alignment horizontal="center" vertical="center" wrapText="1"/>
      <protection locked="0"/>
    </xf>
    <xf numFmtId="0" fontId="28" fillId="0" borderId="50" xfId="0" applyFont="1" applyFill="1" applyBorder="1" applyAlignment="1" applyProtection="1">
      <alignment horizontal="center" vertical="center" wrapText="1"/>
      <protection locked="0"/>
    </xf>
    <xf numFmtId="0" fontId="28" fillId="13" borderId="56" xfId="0" applyFont="1" applyFill="1" applyBorder="1" applyAlignment="1">
      <alignment vertical="center" wrapText="1"/>
    </xf>
    <xf numFmtId="0" fontId="28" fillId="13" borderId="57" xfId="0" applyFont="1" applyFill="1" applyBorder="1" applyAlignment="1">
      <alignment vertical="center" wrapText="1"/>
    </xf>
    <xf numFmtId="0" fontId="28" fillId="13" borderId="50" xfId="0" applyFont="1" applyFill="1" applyBorder="1" applyAlignment="1">
      <alignment vertical="center" wrapText="1"/>
    </xf>
    <xf numFmtId="0" fontId="44" fillId="4" borderId="56" xfId="0" applyFont="1" applyFill="1" applyBorder="1" applyAlignment="1">
      <alignment horizontal="center" vertical="center"/>
    </xf>
    <xf numFmtId="0" fontId="45" fillId="4" borderId="57" xfId="0" applyFont="1" applyFill="1" applyBorder="1" applyAlignment="1">
      <alignment horizontal="center" vertical="center"/>
    </xf>
    <xf numFmtId="0" fontId="45" fillId="4" borderId="50" xfId="0" applyFont="1" applyFill="1" applyBorder="1" applyAlignment="1">
      <alignment horizontal="center" vertical="center"/>
    </xf>
    <xf numFmtId="0" fontId="28" fillId="0" borderId="59" xfId="0" applyFont="1" applyBorder="1" applyAlignment="1">
      <alignment vertical="center" wrapText="1"/>
    </xf>
    <xf numFmtId="0" fontId="28" fillId="0" borderId="61" xfId="0" applyFont="1" applyBorder="1" applyAlignment="1">
      <alignment vertical="center" wrapText="1"/>
    </xf>
    <xf numFmtId="0" fontId="28" fillId="0" borderId="58" xfId="0" applyFont="1" applyBorder="1" applyAlignment="1">
      <alignment vertical="center" wrapText="1"/>
    </xf>
    <xf numFmtId="0" fontId="26" fillId="4" borderId="56" xfId="0" applyFont="1" applyFill="1" applyBorder="1" applyAlignment="1">
      <alignment horizontal="center" vertical="center" wrapText="1"/>
    </xf>
    <xf numFmtId="0" fontId="26" fillId="4" borderId="50" xfId="0" applyFont="1" applyFill="1" applyBorder="1" applyAlignment="1">
      <alignment horizontal="center" vertical="center" wrapText="1"/>
    </xf>
    <xf numFmtId="0" fontId="29" fillId="0" borderId="56" xfId="0" applyFont="1" applyFill="1" applyBorder="1" applyAlignment="1" applyProtection="1">
      <alignment vertical="center" wrapText="1"/>
      <protection locked="0"/>
    </xf>
    <xf numFmtId="0" fontId="29" fillId="0" borderId="50" xfId="0" applyFont="1" applyFill="1" applyBorder="1" applyAlignment="1" applyProtection="1">
      <alignment vertical="center" wrapText="1"/>
      <protection locked="0"/>
    </xf>
    <xf numFmtId="0" fontId="29" fillId="0" borderId="56" xfId="0" applyFont="1" applyFill="1" applyBorder="1" applyAlignment="1" applyProtection="1">
      <alignment horizontal="left" vertical="center" wrapText="1"/>
      <protection locked="0"/>
    </xf>
    <xf numFmtId="0" fontId="29" fillId="0" borderId="50" xfId="0" applyFont="1" applyFill="1" applyBorder="1" applyAlignment="1" applyProtection="1">
      <alignment horizontal="left" vertical="center" wrapText="1"/>
      <protection locked="0"/>
    </xf>
    <xf numFmtId="0" fontId="11"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6" fillId="3" borderId="22" xfId="0" applyFont="1" applyFill="1" applyBorder="1" applyAlignment="1">
      <alignment horizontal="center" vertical="center" wrapText="1"/>
    </xf>
    <xf numFmtId="0" fontId="6" fillId="3" borderId="51"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22" xfId="0" applyFont="1" applyFill="1" applyBorder="1" applyAlignment="1" applyProtection="1">
      <alignment horizontal="center" vertical="center" wrapText="1"/>
      <protection locked="0"/>
    </xf>
    <xf numFmtId="0" fontId="6" fillId="3" borderId="5" xfId="0" applyFont="1" applyFill="1" applyBorder="1" applyAlignment="1" applyProtection="1">
      <alignment horizontal="center" vertical="center" wrapText="1"/>
      <protection locked="0"/>
    </xf>
    <xf numFmtId="0" fontId="6" fillId="3" borderId="1" xfId="0" applyFont="1" applyFill="1" applyBorder="1" applyAlignment="1">
      <alignment vertical="center" wrapText="1"/>
    </xf>
    <xf numFmtId="0" fontId="40" fillId="3" borderId="1" xfId="14" applyFill="1" applyBorder="1" applyAlignment="1" applyProtection="1">
      <alignment horizontal="center" vertical="center"/>
      <protection locked="0"/>
    </xf>
    <xf numFmtId="0" fontId="6" fillId="3" borderId="1" xfId="0" applyFont="1" applyFill="1" applyBorder="1" applyAlignment="1">
      <alignment horizontal="left" vertical="center"/>
    </xf>
    <xf numFmtId="0" fontId="10" fillId="3" borderId="1" xfId="0" applyFont="1" applyFill="1" applyBorder="1" applyAlignment="1">
      <alignment horizontal="center" vertical="center"/>
    </xf>
    <xf numFmtId="0" fontId="40" fillId="3" borderId="1" xfId="14" applyFill="1" applyBorder="1" applyAlignment="1" applyProtection="1">
      <alignment horizontal="center" vertical="center" wrapText="1"/>
      <protection locked="0"/>
    </xf>
    <xf numFmtId="0" fontId="40" fillId="0" borderId="1" xfId="14" applyBorder="1" applyAlignment="1" applyProtection="1">
      <alignment horizontal="center" vertical="center"/>
      <protection locked="0"/>
    </xf>
    <xf numFmtId="0" fontId="24" fillId="4" borderId="20" xfId="0" applyFont="1" applyFill="1" applyBorder="1" applyAlignment="1">
      <alignment horizontal="center"/>
    </xf>
    <xf numFmtId="0" fontId="24" fillId="4" borderId="22" xfId="0" applyFont="1" applyFill="1" applyBorder="1" applyAlignment="1">
      <alignment horizontal="center"/>
    </xf>
    <xf numFmtId="0" fontId="24" fillId="0" borderId="0" xfId="0" applyFont="1" applyAlignment="1">
      <alignment horizontal="center" vertical="center" textRotation="90"/>
    </xf>
    <xf numFmtId="0" fontId="41" fillId="0" borderId="0" xfId="0" applyFont="1" applyAlignment="1">
      <alignment horizontal="center"/>
    </xf>
    <xf numFmtId="0" fontId="42" fillId="0" borderId="0" xfId="0" applyFont="1" applyAlignment="1">
      <alignment horizontal="center" vertical="center"/>
    </xf>
    <xf numFmtId="0" fontId="24" fillId="4" borderId="23" xfId="0" applyFont="1" applyFill="1" applyBorder="1" applyAlignment="1">
      <alignment horizontal="center" vertical="center" textRotation="90"/>
    </xf>
    <xf numFmtId="0" fontId="24" fillId="4" borderId="17" xfId="0" applyFont="1" applyFill="1" applyBorder="1" applyAlignment="1">
      <alignment horizontal="center" vertical="center" textRotation="90"/>
    </xf>
    <xf numFmtId="0" fontId="24" fillId="4" borderId="19" xfId="0" applyFont="1" applyFill="1" applyBorder="1" applyAlignment="1">
      <alignment horizontal="center" vertical="center" textRotation="90"/>
    </xf>
    <xf numFmtId="0" fontId="41" fillId="4" borderId="14" xfId="0" applyFont="1" applyFill="1" applyBorder="1" applyAlignment="1">
      <alignment horizontal="center"/>
    </xf>
    <xf numFmtId="0" fontId="41" fillId="4" borderId="16" xfId="0" applyFont="1" applyFill="1" applyBorder="1" applyAlignment="1">
      <alignment horizontal="center"/>
    </xf>
    <xf numFmtId="0" fontId="24" fillId="4" borderId="14" xfId="0" applyFont="1" applyFill="1" applyBorder="1" applyAlignment="1">
      <alignment horizontal="center" vertical="center" textRotation="90"/>
    </xf>
    <xf numFmtId="0" fontId="24" fillId="4" borderId="25" xfId="0" applyFont="1" applyFill="1" applyBorder="1" applyAlignment="1">
      <alignment horizontal="center" vertical="center" textRotation="90"/>
    </xf>
    <xf numFmtId="0" fontId="42" fillId="0" borderId="17" xfId="0" applyFont="1" applyBorder="1" applyAlignment="1">
      <alignment horizontal="center" vertical="center"/>
    </xf>
    <xf numFmtId="0" fontId="42" fillId="0" borderId="18" xfId="0" applyFont="1" applyBorder="1" applyAlignment="1">
      <alignment horizontal="center" vertical="center"/>
    </xf>
    <xf numFmtId="0" fontId="42" fillId="0" borderId="19" xfId="0" applyFont="1" applyBorder="1" applyAlignment="1">
      <alignment horizontal="center" vertical="center"/>
    </xf>
    <xf numFmtId="0" fontId="42" fillId="0" borderId="2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cellXfs>
  <cellStyles count="15">
    <cellStyle name="GridGroupingStyle" xfId="2" xr:uid="{00000000-0005-0000-0000-000000000000}"/>
    <cellStyle name="Hyperlink" xfId="14" builtinId="8"/>
    <cellStyle name="negativeColor" xfId="3" xr:uid="{00000000-0005-0000-0000-000002000000}"/>
    <cellStyle name="Normal" xfId="0" builtinId="0"/>
    <cellStyle name="Normal 2" xfId="1" xr:uid="{00000000-0005-0000-0000-000004000000}"/>
    <cellStyle name="ReportHeaderStyle" xfId="4" xr:uid="{00000000-0005-0000-0000-000005000000}"/>
    <cellStyle name="RowLevelNDataEvenStyle" xfId="5" xr:uid="{00000000-0005-0000-0000-000006000000}"/>
    <cellStyle name="RowLevelNDataOddStyle" xfId="6" xr:uid="{00000000-0005-0000-0000-000007000000}"/>
    <cellStyle name="RowLevelNHeaderStyle" xfId="7" xr:uid="{00000000-0005-0000-0000-000008000000}"/>
    <cellStyle name="RowLevelOneDataEvenStyle" xfId="8" xr:uid="{00000000-0005-0000-0000-000009000000}"/>
    <cellStyle name="RowLevelOneDataOddStyle" xfId="9" xr:uid="{00000000-0005-0000-0000-00000A000000}"/>
    <cellStyle name="RowLevelOneHeaderStyle" xfId="10" xr:uid="{00000000-0005-0000-0000-00000B000000}"/>
    <cellStyle name="RowLevelTwoDataEvenStyle" xfId="11" xr:uid="{00000000-0005-0000-0000-00000C000000}"/>
    <cellStyle name="RowLevelTwoDataOddStyle" xfId="12" xr:uid="{00000000-0005-0000-0000-00000D000000}"/>
    <cellStyle name="RowLevelTwoHeaderStyle" xfId="13" xr:uid="{00000000-0005-0000-0000-00000E000000}"/>
  </cellStyles>
  <dxfs count="140">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20" Type="http://schemas.openxmlformats.org/officeDocument/2006/relationships/worksheet" Target="worksheets/sheet2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Env1'!$A$1:$B$85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Env1'!$C$1:$C$85</c:f>
              <c:numCache>
                <c:formatCode>General</c:formatCode>
                <c:ptCount val="85"/>
                <c:pt idx="0">
                  <c:v>7</c:v>
                </c:pt>
                <c:pt idx="1">
                  <c:v>4</c:v>
                </c:pt>
                <c:pt idx="2">
                  <c:v>0</c:v>
                </c:pt>
                <c:pt idx="3">
                  <c:v>0</c:v>
                </c:pt>
                <c:pt idx="4">
                  <c:v>0</c:v>
                </c:pt>
                <c:pt idx="5">
                  <c:v>3</c:v>
                </c:pt>
                <c:pt idx="6">
                  <c:v>2</c:v>
                </c:pt>
                <c:pt idx="7">
                  <c:v>0</c:v>
                </c:pt>
                <c:pt idx="8">
                  <c:v>0</c:v>
                </c:pt>
                <c:pt idx="9">
                  <c:v>0</c:v>
                </c:pt>
                <c:pt idx="10">
                  <c:v>5</c:v>
                </c:pt>
                <c:pt idx="11">
                  <c:v>4</c:v>
                </c:pt>
                <c:pt idx="12">
                  <c:v>0</c:v>
                </c:pt>
                <c:pt idx="13">
                  <c:v>0</c:v>
                </c:pt>
                <c:pt idx="14">
                  <c:v>0</c:v>
                </c:pt>
                <c:pt idx="15">
                  <c:v>0</c:v>
                </c:pt>
                <c:pt idx="16">
                  <c:v>0</c:v>
                </c:pt>
                <c:pt idx="17">
                  <c:v>0</c:v>
                </c:pt>
                <c:pt idx="18">
                  <c:v>0</c:v>
                </c:pt>
                <c:pt idx="19">
                  <c:v>0</c:v>
                </c:pt>
                <c:pt idx="20">
                  <c:v>13</c:v>
                </c:pt>
                <c:pt idx="21">
                  <c:v>8</c:v>
                </c:pt>
                <c:pt idx="22">
                  <c:v>1</c:v>
                </c:pt>
                <c:pt idx="23">
                  <c:v>1</c:v>
                </c:pt>
                <c:pt idx="24">
                  <c:v>0</c:v>
                </c:pt>
                <c:pt idx="25">
                  <c:v>0</c:v>
                </c:pt>
                <c:pt idx="26">
                  <c:v>0</c:v>
                </c:pt>
                <c:pt idx="27">
                  <c:v>0</c:v>
                </c:pt>
                <c:pt idx="28">
                  <c:v>0</c:v>
                </c:pt>
                <c:pt idx="29">
                  <c:v>0</c:v>
                </c:pt>
                <c:pt idx="30">
                  <c:v>8</c:v>
                </c:pt>
                <c:pt idx="31">
                  <c:v>2</c:v>
                </c:pt>
                <c:pt idx="32">
                  <c:v>0</c:v>
                </c:pt>
                <c:pt idx="33">
                  <c:v>2</c:v>
                </c:pt>
                <c:pt idx="34">
                  <c:v>0</c:v>
                </c:pt>
                <c:pt idx="35">
                  <c:v>9</c:v>
                </c:pt>
                <c:pt idx="36">
                  <c:v>2</c:v>
                </c:pt>
                <c:pt idx="37">
                  <c:v>0</c:v>
                </c:pt>
                <c:pt idx="38">
                  <c:v>0</c:v>
                </c:pt>
                <c:pt idx="39">
                  <c:v>0</c:v>
                </c:pt>
                <c:pt idx="40">
                  <c:v>9</c:v>
                </c:pt>
                <c:pt idx="41">
                  <c:v>0</c:v>
                </c:pt>
                <c:pt idx="42">
                  <c:v>1</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6</c:v>
                </c:pt>
                <c:pt idx="61">
                  <c:v>4</c:v>
                </c:pt>
                <c:pt idx="62">
                  <c:v>1</c:v>
                </c:pt>
                <c:pt idx="63">
                  <c:v>0</c:v>
                </c:pt>
                <c:pt idx="64">
                  <c:v>0</c:v>
                </c:pt>
                <c:pt idx="65">
                  <c:v>0</c:v>
                </c:pt>
                <c:pt idx="66">
                  <c:v>0</c:v>
                </c:pt>
                <c:pt idx="67">
                  <c:v>0</c:v>
                </c:pt>
                <c:pt idx="68">
                  <c:v>0</c:v>
                </c:pt>
                <c:pt idx="69">
                  <c:v>0</c:v>
                </c:pt>
                <c:pt idx="70">
                  <c:v>6</c:v>
                </c:pt>
                <c:pt idx="71">
                  <c:v>2</c:v>
                </c:pt>
                <c:pt idx="72">
                  <c:v>1</c:v>
                </c:pt>
                <c:pt idx="73">
                  <c:v>0</c:v>
                </c:pt>
                <c:pt idx="74">
                  <c:v>0</c:v>
                </c:pt>
                <c:pt idx="75">
                  <c:v>5</c:v>
                </c:pt>
                <c:pt idx="76">
                  <c:v>5</c:v>
                </c:pt>
                <c:pt idx="77">
                  <c:v>1</c:v>
                </c:pt>
                <c:pt idx="78">
                  <c:v>2</c:v>
                </c:pt>
                <c:pt idx="79">
                  <c:v>0</c:v>
                </c:pt>
                <c:pt idx="80">
                  <c:v>2</c:v>
                </c:pt>
                <c:pt idx="81">
                  <c:v>2</c:v>
                </c:pt>
                <c:pt idx="82">
                  <c:v>0</c:v>
                </c:pt>
                <c:pt idx="83">
                  <c:v>0</c:v>
                </c:pt>
                <c:pt idx="84">
                  <c:v>0</c:v>
                </c:pt>
              </c:numCache>
            </c:numRef>
          </c:val>
          <c:extLst>
            <c:ext xmlns:c16="http://schemas.microsoft.com/office/drawing/2014/chart" uri="{C3380CC4-5D6E-409C-BE32-E72D297353CC}">
              <c16:uniqueId val="{00000000-909C-414D-8219-203EFA12BEE8}"/>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Env2'!$A$1:$B$85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Env2'!$C$1:$C$85</c:f>
              <c:numCache>
                <c:formatCode>General</c:formatCode>
                <c:ptCount val="85"/>
                <c:pt idx="0">
                  <c:v>0</c:v>
                </c:pt>
                <c:pt idx="1">
                  <c:v>0</c:v>
                </c:pt>
                <c:pt idx="2">
                  <c:v>0</c:v>
                </c:pt>
                <c:pt idx="3">
                  <c:v>0</c:v>
                </c:pt>
                <c:pt idx="4">
                  <c:v>11</c:v>
                </c:pt>
                <c:pt idx="5">
                  <c:v>0</c:v>
                </c:pt>
                <c:pt idx="6">
                  <c:v>0</c:v>
                </c:pt>
                <c:pt idx="7">
                  <c:v>0</c:v>
                </c:pt>
                <c:pt idx="8">
                  <c:v>0</c:v>
                </c:pt>
                <c:pt idx="9">
                  <c:v>5</c:v>
                </c:pt>
                <c:pt idx="10">
                  <c:v>0</c:v>
                </c:pt>
                <c:pt idx="11">
                  <c:v>0</c:v>
                </c:pt>
                <c:pt idx="12">
                  <c:v>0</c:v>
                </c:pt>
                <c:pt idx="13">
                  <c:v>0</c:v>
                </c:pt>
                <c:pt idx="14">
                  <c:v>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12</c:v>
                </c:pt>
                <c:pt idx="35">
                  <c:v>0</c:v>
                </c:pt>
                <c:pt idx="36">
                  <c:v>0</c:v>
                </c:pt>
                <c:pt idx="37">
                  <c:v>0</c:v>
                </c:pt>
                <c:pt idx="38">
                  <c:v>0</c:v>
                </c:pt>
                <c:pt idx="39">
                  <c:v>11</c:v>
                </c:pt>
                <c:pt idx="40">
                  <c:v>0</c:v>
                </c:pt>
                <c:pt idx="41">
                  <c:v>0</c:v>
                </c:pt>
                <c:pt idx="42">
                  <c:v>0</c:v>
                </c:pt>
                <c:pt idx="43">
                  <c:v>0</c:v>
                </c:pt>
                <c:pt idx="44">
                  <c:v>10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13</c:v>
                </c:pt>
                <c:pt idx="80">
                  <c:v>0</c:v>
                </c:pt>
                <c:pt idx="81">
                  <c:v>0</c:v>
                </c:pt>
                <c:pt idx="82">
                  <c:v>0</c:v>
                </c:pt>
                <c:pt idx="83">
                  <c:v>0</c:v>
                </c:pt>
                <c:pt idx="84">
                  <c:v>4</c:v>
                </c:pt>
              </c:numCache>
            </c:numRef>
          </c:val>
          <c:extLst>
            <c:ext xmlns:c16="http://schemas.microsoft.com/office/drawing/2014/chart" uri="{C3380CC4-5D6E-409C-BE32-E72D297353CC}">
              <c16:uniqueId val="{00000000-DA25-4000-8EC9-6E0DB7896DFD}"/>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Env3'!$A$1:$B$85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Env3'!$C$1:$C$85</c:f>
              <c:numCache>
                <c:formatCode>General</c:formatCode>
                <c:ptCount val="85"/>
                <c:pt idx="0">
                  <c:v>0</c:v>
                </c:pt>
                <c:pt idx="1">
                  <c:v>0</c:v>
                </c:pt>
                <c:pt idx="2">
                  <c:v>0</c:v>
                </c:pt>
                <c:pt idx="3">
                  <c:v>0</c:v>
                </c:pt>
                <c:pt idx="4">
                  <c:v>11</c:v>
                </c:pt>
                <c:pt idx="5">
                  <c:v>0</c:v>
                </c:pt>
                <c:pt idx="6">
                  <c:v>0</c:v>
                </c:pt>
                <c:pt idx="7">
                  <c:v>0</c:v>
                </c:pt>
                <c:pt idx="8">
                  <c:v>0</c:v>
                </c:pt>
                <c:pt idx="9">
                  <c:v>5</c:v>
                </c:pt>
                <c:pt idx="10">
                  <c:v>0</c:v>
                </c:pt>
                <c:pt idx="11">
                  <c:v>0</c:v>
                </c:pt>
                <c:pt idx="12">
                  <c:v>0</c:v>
                </c:pt>
                <c:pt idx="13">
                  <c:v>0</c:v>
                </c:pt>
                <c:pt idx="14">
                  <c:v>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12</c:v>
                </c:pt>
                <c:pt idx="35">
                  <c:v>0</c:v>
                </c:pt>
                <c:pt idx="36">
                  <c:v>0</c:v>
                </c:pt>
                <c:pt idx="37">
                  <c:v>0</c:v>
                </c:pt>
                <c:pt idx="38">
                  <c:v>0</c:v>
                </c:pt>
                <c:pt idx="39">
                  <c:v>11</c:v>
                </c:pt>
                <c:pt idx="40">
                  <c:v>0</c:v>
                </c:pt>
                <c:pt idx="41">
                  <c:v>0</c:v>
                </c:pt>
                <c:pt idx="42">
                  <c:v>0</c:v>
                </c:pt>
                <c:pt idx="43">
                  <c:v>0</c:v>
                </c:pt>
                <c:pt idx="44">
                  <c:v>10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13</c:v>
                </c:pt>
                <c:pt idx="80">
                  <c:v>0</c:v>
                </c:pt>
                <c:pt idx="81">
                  <c:v>0</c:v>
                </c:pt>
                <c:pt idx="82">
                  <c:v>0</c:v>
                </c:pt>
                <c:pt idx="83">
                  <c:v>0</c:v>
                </c:pt>
                <c:pt idx="84">
                  <c:v>4</c:v>
                </c:pt>
              </c:numCache>
            </c:numRef>
          </c:val>
          <c:extLst>
            <c:ext xmlns:c16="http://schemas.microsoft.com/office/drawing/2014/chart" uri="{C3380CC4-5D6E-409C-BE32-E72D297353CC}">
              <c16:uniqueId val="{00000000-4EDC-4B3E-A1AE-A7DF76F22B30}"/>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1BBC-4AAD-8813-98058E606F29}"/>
            </c:ext>
          </c:extLst>
        </c:ser>
        <c:ser>
          <c:idx val="1"/>
          <c:order val="1"/>
          <c:tx>
            <c:strRef>
              <c:f>'Inadequacy Distribution Env1'!$D$1</c:f>
              <c:strCache>
                <c:ptCount val="1"/>
                <c:pt idx="0">
                  <c:v>Count of Inadequacies</c:v>
                </c:pt>
              </c:strCache>
            </c:strRef>
          </c:tx>
          <c:spPr>
            <a:solidFill>
              <a:schemeClr val="accent2"/>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Env1'!$D$2:$D$49</c:f>
              <c:numCache>
                <c:formatCode>General</c:formatCode>
                <c:ptCount val="48"/>
                <c:pt idx="0">
                  <c:v>0</c:v>
                </c:pt>
                <c:pt idx="1">
                  <c:v>1</c:v>
                </c:pt>
                <c:pt idx="2">
                  <c:v>0</c:v>
                </c:pt>
                <c:pt idx="3">
                  <c:v>3</c:v>
                </c:pt>
                <c:pt idx="4">
                  <c:v>0</c:v>
                </c:pt>
                <c:pt idx="5">
                  <c:v>2</c:v>
                </c:pt>
                <c:pt idx="6">
                  <c:v>0</c:v>
                </c:pt>
                <c:pt idx="7">
                  <c:v>0</c:v>
                </c:pt>
                <c:pt idx="8">
                  <c:v>0</c:v>
                </c:pt>
                <c:pt idx="9">
                  <c:v>0</c:v>
                </c:pt>
                <c:pt idx="10">
                  <c:v>3</c:v>
                </c:pt>
                <c:pt idx="11">
                  <c:v>0</c:v>
                </c:pt>
                <c:pt idx="12">
                  <c:v>0</c:v>
                </c:pt>
                <c:pt idx="13">
                  <c:v>0</c:v>
                </c:pt>
                <c:pt idx="14">
                  <c:v>0</c:v>
                </c:pt>
                <c:pt idx="15">
                  <c:v>0</c:v>
                </c:pt>
                <c:pt idx="16">
                  <c:v>0</c:v>
                </c:pt>
                <c:pt idx="17">
                  <c:v>0</c:v>
                </c:pt>
                <c:pt idx="18">
                  <c:v>0</c:v>
                </c:pt>
                <c:pt idx="19">
                  <c:v>0</c:v>
                </c:pt>
                <c:pt idx="20">
                  <c:v>1</c:v>
                </c:pt>
                <c:pt idx="21">
                  <c:v>0</c:v>
                </c:pt>
                <c:pt idx="22">
                  <c:v>1</c:v>
                </c:pt>
                <c:pt idx="23">
                  <c:v>2</c:v>
                </c:pt>
                <c:pt idx="24">
                  <c:v>0</c:v>
                </c:pt>
                <c:pt idx="25">
                  <c:v>2</c:v>
                </c:pt>
                <c:pt idx="26">
                  <c:v>0</c:v>
                </c:pt>
                <c:pt idx="27">
                  <c:v>0</c:v>
                </c:pt>
                <c:pt idx="28">
                  <c:v>0</c:v>
                </c:pt>
                <c:pt idx="29">
                  <c:v>0</c:v>
                </c:pt>
                <c:pt idx="30">
                  <c:v>0</c:v>
                </c:pt>
                <c:pt idx="31">
                  <c:v>1</c:v>
                </c:pt>
                <c:pt idx="32">
                  <c:v>0</c:v>
                </c:pt>
                <c:pt idx="33">
                  <c:v>0</c:v>
                </c:pt>
                <c:pt idx="34">
                  <c:v>0</c:v>
                </c:pt>
                <c:pt idx="35">
                  <c:v>5</c:v>
                </c:pt>
                <c:pt idx="36">
                  <c:v>0</c:v>
                </c:pt>
                <c:pt idx="37">
                  <c:v>0</c:v>
                </c:pt>
                <c:pt idx="38">
                  <c:v>0</c:v>
                </c:pt>
                <c:pt idx="39">
                  <c:v>3</c:v>
                </c:pt>
                <c:pt idx="40">
                  <c:v>3</c:v>
                </c:pt>
                <c:pt idx="41">
                  <c:v>0</c:v>
                </c:pt>
                <c:pt idx="42">
                  <c:v>0</c:v>
                </c:pt>
                <c:pt idx="43">
                  <c:v>2</c:v>
                </c:pt>
                <c:pt idx="44">
                  <c:v>1</c:v>
                </c:pt>
                <c:pt idx="45">
                  <c:v>0</c:v>
                </c:pt>
                <c:pt idx="46">
                  <c:v>0</c:v>
                </c:pt>
                <c:pt idx="47">
                  <c:v>1</c:v>
                </c:pt>
              </c:numCache>
            </c:numRef>
          </c:val>
          <c:extLst>
            <c:ext xmlns:c16="http://schemas.microsoft.com/office/drawing/2014/chart" uri="{C3380CC4-5D6E-409C-BE32-E72D297353CC}">
              <c16:uniqueId val="{00000001-1BBC-4AAD-8813-98058E606F29}"/>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221A-4F58-A13D-D4CF99880989}"/>
            </c:ext>
          </c:extLst>
        </c:ser>
        <c:ser>
          <c:idx val="1"/>
          <c:order val="1"/>
          <c:tx>
            <c:strRef>
              <c:f>'Inadequacy Distribution Env2'!$D$1</c:f>
              <c:strCache>
                <c:ptCount val="1"/>
                <c:pt idx="0">
                  <c:v>Count of Inadequacies</c:v>
                </c:pt>
              </c:strCache>
            </c:strRef>
          </c:tx>
          <c:spPr>
            <a:solidFill>
              <a:schemeClr val="accent2"/>
            </a:solidFill>
            <a:ln>
              <a:noFill/>
            </a:ln>
            <a:effectLst/>
          </c:spPr>
          <c:invertIfNegative val="0"/>
          <c:cat>
            <c:multiLvlStrRef>
              <c:f>'Inadequacy Distribution Env2'!$A$2:$B$49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Env2'!$D$2:$D$49</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221A-4F58-A13D-D4CF99880989}"/>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A815-4DB1-AAF3-64604BD87103}"/>
            </c:ext>
          </c:extLst>
        </c:ser>
        <c:ser>
          <c:idx val="1"/>
          <c:order val="1"/>
          <c:tx>
            <c:strRef>
              <c:f>'Inadequacy Distribution Env3'!$D$1</c:f>
              <c:strCache>
                <c:ptCount val="1"/>
                <c:pt idx="0">
                  <c:v>Count of Inadequacies</c:v>
                </c:pt>
              </c:strCache>
            </c:strRef>
          </c:tx>
          <c:spPr>
            <a:solidFill>
              <a:schemeClr val="accent2"/>
            </a:solidFill>
            <a:ln>
              <a:noFill/>
            </a:ln>
            <a:effectLst/>
          </c:spPr>
          <c:invertIfNegative val="0"/>
          <c:cat>
            <c:multiLvlStrRef>
              <c:f>'Inadequacy Distribution Env3'!$A$2:$B$49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Env3'!$D$2:$D$49</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A815-4DB1-AAF3-64604BD87103}"/>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Env1'!$A$1:$B$68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Env1'!$C$1:$C$68</c:f>
              <c:numCache>
                <c:formatCode>General</c:formatCode>
                <c:ptCount val="68"/>
                <c:pt idx="0">
                  <c:v>7</c:v>
                </c:pt>
                <c:pt idx="1">
                  <c:v>4</c:v>
                </c:pt>
                <c:pt idx="2">
                  <c:v>0</c:v>
                </c:pt>
                <c:pt idx="3">
                  <c:v>0</c:v>
                </c:pt>
                <c:pt idx="4">
                  <c:v>3</c:v>
                </c:pt>
                <c:pt idx="5">
                  <c:v>2</c:v>
                </c:pt>
                <c:pt idx="6">
                  <c:v>0</c:v>
                </c:pt>
                <c:pt idx="7">
                  <c:v>0</c:v>
                </c:pt>
                <c:pt idx="8">
                  <c:v>6</c:v>
                </c:pt>
                <c:pt idx="9">
                  <c:v>3</c:v>
                </c:pt>
                <c:pt idx="10">
                  <c:v>0</c:v>
                </c:pt>
                <c:pt idx="11">
                  <c:v>0</c:v>
                </c:pt>
                <c:pt idx="12">
                  <c:v>0</c:v>
                </c:pt>
                <c:pt idx="13">
                  <c:v>0</c:v>
                </c:pt>
                <c:pt idx="14">
                  <c:v>0</c:v>
                </c:pt>
                <c:pt idx="15">
                  <c:v>0</c:v>
                </c:pt>
                <c:pt idx="16">
                  <c:v>13</c:v>
                </c:pt>
                <c:pt idx="17">
                  <c:v>10</c:v>
                </c:pt>
                <c:pt idx="18">
                  <c:v>0</c:v>
                </c:pt>
                <c:pt idx="19">
                  <c:v>0</c:v>
                </c:pt>
                <c:pt idx="20">
                  <c:v>0</c:v>
                </c:pt>
                <c:pt idx="21">
                  <c:v>0</c:v>
                </c:pt>
                <c:pt idx="22">
                  <c:v>0</c:v>
                </c:pt>
                <c:pt idx="23">
                  <c:v>0</c:v>
                </c:pt>
                <c:pt idx="24">
                  <c:v>8</c:v>
                </c:pt>
                <c:pt idx="25">
                  <c:v>4</c:v>
                </c:pt>
                <c:pt idx="26">
                  <c:v>0</c:v>
                </c:pt>
                <c:pt idx="27">
                  <c:v>0</c:v>
                </c:pt>
                <c:pt idx="28">
                  <c:v>9</c:v>
                </c:pt>
                <c:pt idx="29">
                  <c:v>2</c:v>
                </c:pt>
                <c:pt idx="30">
                  <c:v>0</c:v>
                </c:pt>
                <c:pt idx="31">
                  <c:v>0</c:v>
                </c:pt>
                <c:pt idx="32">
                  <c:v>9</c:v>
                </c:pt>
                <c:pt idx="33">
                  <c:v>1</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6</c:v>
                </c:pt>
                <c:pt idx="49">
                  <c:v>5</c:v>
                </c:pt>
                <c:pt idx="50">
                  <c:v>0</c:v>
                </c:pt>
                <c:pt idx="51">
                  <c:v>0</c:v>
                </c:pt>
                <c:pt idx="52">
                  <c:v>0</c:v>
                </c:pt>
                <c:pt idx="53">
                  <c:v>0</c:v>
                </c:pt>
                <c:pt idx="54">
                  <c:v>0</c:v>
                </c:pt>
                <c:pt idx="55">
                  <c:v>0</c:v>
                </c:pt>
                <c:pt idx="56">
                  <c:v>6</c:v>
                </c:pt>
                <c:pt idx="57">
                  <c:v>3</c:v>
                </c:pt>
                <c:pt idx="58">
                  <c:v>0</c:v>
                </c:pt>
                <c:pt idx="59">
                  <c:v>0</c:v>
                </c:pt>
                <c:pt idx="60">
                  <c:v>5</c:v>
                </c:pt>
                <c:pt idx="61">
                  <c:v>5</c:v>
                </c:pt>
                <c:pt idx="62">
                  <c:v>3</c:v>
                </c:pt>
                <c:pt idx="63">
                  <c:v>0</c:v>
                </c:pt>
                <c:pt idx="64">
                  <c:v>2</c:v>
                </c:pt>
                <c:pt idx="65">
                  <c:v>2</c:v>
                </c:pt>
                <c:pt idx="66">
                  <c:v>0</c:v>
                </c:pt>
                <c:pt idx="67">
                  <c:v>0</c:v>
                </c:pt>
              </c:numCache>
            </c:numRef>
          </c:val>
          <c:extLst>
            <c:ext xmlns:c16="http://schemas.microsoft.com/office/drawing/2014/chart" uri="{C3380CC4-5D6E-409C-BE32-E72D297353CC}">
              <c16:uniqueId val="{00000000-C8B4-4F45-AE13-3BD642905973}"/>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Env2'!$A$1:$B$68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Env2'!$C$1:$C$68</c:f>
              <c:numCache>
                <c:formatCode>General</c:formatCode>
                <c:ptCount val="68"/>
                <c:pt idx="0">
                  <c:v>0</c:v>
                </c:pt>
                <c:pt idx="1">
                  <c:v>0</c:v>
                </c:pt>
                <c:pt idx="2">
                  <c:v>0</c:v>
                </c:pt>
                <c:pt idx="3">
                  <c:v>11</c:v>
                </c:pt>
                <c:pt idx="4">
                  <c:v>0</c:v>
                </c:pt>
                <c:pt idx="5">
                  <c:v>0</c:v>
                </c:pt>
                <c:pt idx="6">
                  <c:v>0</c:v>
                </c:pt>
                <c:pt idx="7">
                  <c:v>5</c:v>
                </c:pt>
                <c:pt idx="8">
                  <c:v>0</c:v>
                </c:pt>
                <c:pt idx="9">
                  <c:v>0</c:v>
                </c:pt>
                <c:pt idx="10">
                  <c:v>0</c:v>
                </c:pt>
                <c:pt idx="11">
                  <c:v>9</c:v>
                </c:pt>
                <c:pt idx="12">
                  <c:v>0</c:v>
                </c:pt>
                <c:pt idx="13">
                  <c:v>0</c:v>
                </c:pt>
                <c:pt idx="14">
                  <c:v>0</c:v>
                </c:pt>
                <c:pt idx="15">
                  <c:v>0</c:v>
                </c:pt>
                <c:pt idx="16">
                  <c:v>0</c:v>
                </c:pt>
                <c:pt idx="17">
                  <c:v>0</c:v>
                </c:pt>
                <c:pt idx="18">
                  <c:v>0</c:v>
                </c:pt>
                <c:pt idx="19">
                  <c:v>23</c:v>
                </c:pt>
                <c:pt idx="20">
                  <c:v>0</c:v>
                </c:pt>
                <c:pt idx="21">
                  <c:v>0</c:v>
                </c:pt>
                <c:pt idx="22">
                  <c:v>0</c:v>
                </c:pt>
                <c:pt idx="23">
                  <c:v>0</c:v>
                </c:pt>
                <c:pt idx="24">
                  <c:v>0</c:v>
                </c:pt>
                <c:pt idx="25">
                  <c:v>0</c:v>
                </c:pt>
                <c:pt idx="26">
                  <c:v>0</c:v>
                </c:pt>
                <c:pt idx="27">
                  <c:v>12</c:v>
                </c:pt>
                <c:pt idx="28">
                  <c:v>0</c:v>
                </c:pt>
                <c:pt idx="29">
                  <c:v>0</c:v>
                </c:pt>
                <c:pt idx="30">
                  <c:v>0</c:v>
                </c:pt>
                <c:pt idx="31">
                  <c:v>11</c:v>
                </c:pt>
                <c:pt idx="32">
                  <c:v>0</c:v>
                </c:pt>
                <c:pt idx="33">
                  <c:v>0</c:v>
                </c:pt>
                <c:pt idx="34">
                  <c:v>0</c:v>
                </c:pt>
                <c:pt idx="35">
                  <c:v>10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11</c:v>
                </c:pt>
                <c:pt idx="52">
                  <c:v>0</c:v>
                </c:pt>
                <c:pt idx="53">
                  <c:v>0</c:v>
                </c:pt>
                <c:pt idx="54">
                  <c:v>0</c:v>
                </c:pt>
                <c:pt idx="55">
                  <c:v>0</c:v>
                </c:pt>
                <c:pt idx="56">
                  <c:v>0</c:v>
                </c:pt>
                <c:pt idx="57">
                  <c:v>0</c:v>
                </c:pt>
                <c:pt idx="58">
                  <c:v>0</c:v>
                </c:pt>
                <c:pt idx="59">
                  <c:v>9</c:v>
                </c:pt>
                <c:pt idx="60">
                  <c:v>0</c:v>
                </c:pt>
                <c:pt idx="61">
                  <c:v>0</c:v>
                </c:pt>
                <c:pt idx="62">
                  <c:v>0</c:v>
                </c:pt>
                <c:pt idx="63">
                  <c:v>13</c:v>
                </c:pt>
                <c:pt idx="64">
                  <c:v>0</c:v>
                </c:pt>
                <c:pt idx="65">
                  <c:v>0</c:v>
                </c:pt>
                <c:pt idx="66">
                  <c:v>0</c:v>
                </c:pt>
                <c:pt idx="67">
                  <c:v>4</c:v>
                </c:pt>
              </c:numCache>
            </c:numRef>
          </c:val>
          <c:extLst>
            <c:ext xmlns:c16="http://schemas.microsoft.com/office/drawing/2014/chart" uri="{C3380CC4-5D6E-409C-BE32-E72D297353CC}">
              <c16:uniqueId val="{00000000-0EF8-42FF-A9A0-BC18579D9469}"/>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Env3'!$A$1:$B$68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Env3'!$C$1:$C$68</c:f>
              <c:numCache>
                <c:formatCode>General</c:formatCode>
                <c:ptCount val="68"/>
                <c:pt idx="0">
                  <c:v>0</c:v>
                </c:pt>
                <c:pt idx="1">
                  <c:v>0</c:v>
                </c:pt>
                <c:pt idx="2">
                  <c:v>0</c:v>
                </c:pt>
                <c:pt idx="3">
                  <c:v>11</c:v>
                </c:pt>
                <c:pt idx="4">
                  <c:v>0</c:v>
                </c:pt>
                <c:pt idx="5">
                  <c:v>0</c:v>
                </c:pt>
                <c:pt idx="6">
                  <c:v>0</c:v>
                </c:pt>
                <c:pt idx="7">
                  <c:v>5</c:v>
                </c:pt>
                <c:pt idx="8">
                  <c:v>0</c:v>
                </c:pt>
                <c:pt idx="9">
                  <c:v>0</c:v>
                </c:pt>
                <c:pt idx="10">
                  <c:v>0</c:v>
                </c:pt>
                <c:pt idx="11">
                  <c:v>9</c:v>
                </c:pt>
                <c:pt idx="12">
                  <c:v>0</c:v>
                </c:pt>
                <c:pt idx="13">
                  <c:v>0</c:v>
                </c:pt>
                <c:pt idx="14">
                  <c:v>0</c:v>
                </c:pt>
                <c:pt idx="15">
                  <c:v>0</c:v>
                </c:pt>
                <c:pt idx="16">
                  <c:v>0</c:v>
                </c:pt>
                <c:pt idx="17">
                  <c:v>0</c:v>
                </c:pt>
                <c:pt idx="18">
                  <c:v>0</c:v>
                </c:pt>
                <c:pt idx="19">
                  <c:v>23</c:v>
                </c:pt>
                <c:pt idx="20">
                  <c:v>0</c:v>
                </c:pt>
                <c:pt idx="21">
                  <c:v>0</c:v>
                </c:pt>
                <c:pt idx="22">
                  <c:v>0</c:v>
                </c:pt>
                <c:pt idx="23">
                  <c:v>0</c:v>
                </c:pt>
                <c:pt idx="24">
                  <c:v>0</c:v>
                </c:pt>
                <c:pt idx="25">
                  <c:v>0</c:v>
                </c:pt>
                <c:pt idx="26">
                  <c:v>0</c:v>
                </c:pt>
                <c:pt idx="27">
                  <c:v>12</c:v>
                </c:pt>
                <c:pt idx="28">
                  <c:v>0</c:v>
                </c:pt>
                <c:pt idx="29">
                  <c:v>0</c:v>
                </c:pt>
                <c:pt idx="30">
                  <c:v>0</c:v>
                </c:pt>
                <c:pt idx="31">
                  <c:v>11</c:v>
                </c:pt>
                <c:pt idx="32">
                  <c:v>0</c:v>
                </c:pt>
                <c:pt idx="33">
                  <c:v>0</c:v>
                </c:pt>
                <c:pt idx="34">
                  <c:v>0</c:v>
                </c:pt>
                <c:pt idx="35">
                  <c:v>10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11</c:v>
                </c:pt>
                <c:pt idx="52">
                  <c:v>0</c:v>
                </c:pt>
                <c:pt idx="53">
                  <c:v>0</c:v>
                </c:pt>
                <c:pt idx="54">
                  <c:v>0</c:v>
                </c:pt>
                <c:pt idx="55">
                  <c:v>0</c:v>
                </c:pt>
                <c:pt idx="56">
                  <c:v>0</c:v>
                </c:pt>
                <c:pt idx="57">
                  <c:v>0</c:v>
                </c:pt>
                <c:pt idx="58">
                  <c:v>0</c:v>
                </c:pt>
                <c:pt idx="59">
                  <c:v>9</c:v>
                </c:pt>
                <c:pt idx="60">
                  <c:v>0</c:v>
                </c:pt>
                <c:pt idx="61">
                  <c:v>0</c:v>
                </c:pt>
                <c:pt idx="62">
                  <c:v>0</c:v>
                </c:pt>
                <c:pt idx="63">
                  <c:v>13</c:v>
                </c:pt>
                <c:pt idx="64">
                  <c:v>0</c:v>
                </c:pt>
                <c:pt idx="65">
                  <c:v>0</c:v>
                </c:pt>
                <c:pt idx="66">
                  <c:v>0</c:v>
                </c:pt>
                <c:pt idx="67">
                  <c:v>4</c:v>
                </c:pt>
              </c:numCache>
            </c:numRef>
          </c:val>
          <c:extLst>
            <c:ext xmlns:c16="http://schemas.microsoft.com/office/drawing/2014/chart" uri="{C3380CC4-5D6E-409C-BE32-E72D297353CC}">
              <c16:uniqueId val="{00000000-EE2E-4CEB-9950-414F08CA1890}"/>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3333750</xdr:colOff>
      <xdr:row>0</xdr:row>
      <xdr:rowOff>85725</xdr:rowOff>
    </xdr:from>
    <xdr:to>
      <xdr:col>0</xdr:col>
      <xdr:colOff>15278100</xdr:colOff>
      <xdr:row>0</xdr:row>
      <xdr:rowOff>95250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3333750" y="85725"/>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3372678</xdr:colOff>
      <xdr:row>2</xdr:row>
      <xdr:rowOff>710648</xdr:rowOff>
    </xdr:from>
    <xdr:to>
      <xdr:col>0</xdr:col>
      <xdr:colOff>15317028</xdr:colOff>
      <xdr:row>2</xdr:row>
      <xdr:rowOff>720173</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3372678" y="3368123"/>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2</xdr:row>
      <xdr:rowOff>2247900</xdr:rowOff>
    </xdr:from>
    <xdr:to>
      <xdr:col>0</xdr:col>
      <xdr:colOff>2742973</xdr:colOff>
      <xdr:row>13</xdr:row>
      <xdr:rowOff>91994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05375"/>
          <a:ext cx="2742973" cy="2511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113168</xdr:colOff>
      <xdr:row>2</xdr:row>
      <xdr:rowOff>103739</xdr:rowOff>
    </xdr:from>
    <xdr:to>
      <xdr:col>4</xdr:col>
      <xdr:colOff>103737</xdr:colOff>
      <xdr:row>52</xdr:row>
      <xdr:rowOff>180596</xdr:rowOff>
    </xdr:to>
    <xdr:pic>
      <xdr:nvPicPr>
        <xdr:cNvPr id="2" name="Picture 1">
          <a:extLst>
            <a:ext uri="{FF2B5EF4-FFF2-40B4-BE49-F238E27FC236}">
              <a16:creationId xmlns:a16="http://schemas.microsoft.com/office/drawing/2014/main" id="{4CB22E20-C6AF-4931-BFDD-1984B1FB9022}"/>
            </a:ext>
          </a:extLst>
        </xdr:cNvPr>
        <xdr:cNvPicPr>
          <a:picLocks noChangeAspect="1"/>
        </xdr:cNvPicPr>
      </xdr:nvPicPr>
      <xdr:blipFill>
        <a:blip xmlns:r="http://schemas.openxmlformats.org/officeDocument/2006/relationships" r:embed="rId1"/>
        <a:stretch>
          <a:fillRect/>
        </a:stretch>
      </xdr:blipFill>
      <xdr:spPr>
        <a:xfrm>
          <a:off x="113168" y="895917"/>
          <a:ext cx="13033218" cy="9507550"/>
        </a:xfrm>
        <a:prstGeom prst="rect">
          <a:avLst/>
        </a:prstGeom>
      </xdr:spPr>
    </xdr:pic>
    <xdr:clientData/>
  </xdr:twoCellAnchor>
  <xdr:twoCellAnchor editAs="oneCell">
    <xdr:from>
      <xdr:col>0</xdr:col>
      <xdr:colOff>141460</xdr:colOff>
      <xdr:row>53</xdr:row>
      <xdr:rowOff>75445</xdr:rowOff>
    </xdr:from>
    <xdr:to>
      <xdr:col>4</xdr:col>
      <xdr:colOff>94306</xdr:colOff>
      <xdr:row>97</xdr:row>
      <xdr:rowOff>150224</xdr:rowOff>
    </xdr:to>
    <xdr:pic>
      <xdr:nvPicPr>
        <xdr:cNvPr id="4" name="Picture 3">
          <a:extLst>
            <a:ext uri="{FF2B5EF4-FFF2-40B4-BE49-F238E27FC236}">
              <a16:creationId xmlns:a16="http://schemas.microsoft.com/office/drawing/2014/main" id="{845EA835-8131-4DB1-AB99-6B044EFF4773}"/>
            </a:ext>
          </a:extLst>
        </xdr:cNvPr>
        <xdr:cNvPicPr>
          <a:picLocks noChangeAspect="1"/>
        </xdr:cNvPicPr>
      </xdr:nvPicPr>
      <xdr:blipFill>
        <a:blip xmlns:r="http://schemas.openxmlformats.org/officeDocument/2006/relationships" r:embed="rId2"/>
        <a:stretch>
          <a:fillRect/>
        </a:stretch>
      </xdr:blipFill>
      <xdr:spPr>
        <a:xfrm>
          <a:off x="141460" y="10486930"/>
          <a:ext cx="12995495" cy="83737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4" name="Chart 3">
          <a:extLst>
            <a:ext uri="{FF2B5EF4-FFF2-40B4-BE49-F238E27FC236}">
              <a16:creationId xmlns:a16="http://schemas.microsoft.com/office/drawing/2014/main" id="{00000000-0008-0000-1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31</xdr:row>
      <xdr:rowOff>57150</xdr:rowOff>
    </xdr:to>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228600</xdr:colOff>
      <xdr:row>0</xdr:row>
      <xdr:rowOff>85725</xdr:rowOff>
    </xdr:from>
    <xdr:to>
      <xdr:col>27</xdr:col>
      <xdr:colOff>400050</xdr:colOff>
      <xdr:row>31</xdr:row>
      <xdr:rowOff>47625</xdr:rowOff>
    </xdr:to>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31</xdr:row>
      <xdr:rowOff>57150</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HFHS%20CORL_Vendor%20Spreadsheet_2016%2002%2022%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CORL%20Customized%20Review%20Spreadheet_2%2015%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on Items_All Vendors_2-1-16"/>
      <sheetName val="Vendor Summary 2.8.16"/>
      <sheetName val="CORL_HFHS Wkst"/>
      <sheetName val="Sheet1"/>
      <sheetName val="Validation Plan Results_VENDOR"/>
      <sheetName val="Key"/>
      <sheetName val="Data Validation Key"/>
    </sheetNames>
    <sheetDataSet>
      <sheetData sheetId="0"/>
      <sheetData sheetId="1"/>
      <sheetData sheetId="2"/>
      <sheetData sheetId="3">
        <row r="1">
          <cell r="A1" t="str">
            <v>Yes</v>
          </cell>
        </row>
        <row r="2">
          <cell r="A2" t="str">
            <v>Sent to CORL</v>
          </cell>
        </row>
      </sheetData>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CORL Revision"/>
      <sheetName val="Data Validation Key"/>
    </sheetNames>
    <sheetDataSet>
      <sheetData sheetId="0"/>
      <sheetData sheetId="1">
        <row r="3">
          <cell r="A3" t="str">
            <v>Shawn Mcdaniel</v>
          </cell>
        </row>
        <row r="4">
          <cell r="A4" t="str">
            <v>Maryann DiMarco</v>
          </cell>
        </row>
        <row r="5">
          <cell r="A5" t="str">
            <v>Pete Sekulovski</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mailto:bruno.bendavid@perigen.com" TargetMode="External"/><Relationship Id="rId2" Type="http://schemas.openxmlformats.org/officeDocument/2006/relationships/hyperlink" Target="http://www.perigen.com/" TargetMode="External"/><Relationship Id="rId1" Type="http://schemas.openxmlformats.org/officeDocument/2006/relationships/hyperlink" Target="mailto:bruno.bendavid@perigen.coom" TargetMode="Externa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hyperlink" Target="https://nvd.nist.gov/800-53/Rev4/control/AC-12" TargetMode="External"/><Relationship Id="rId3" Type="http://schemas.openxmlformats.org/officeDocument/2006/relationships/hyperlink" Target="https://nvd.nist.gov/800-53/Rev4/control/AC-7" TargetMode="External"/><Relationship Id="rId7" Type="http://schemas.openxmlformats.org/officeDocument/2006/relationships/hyperlink" Target="https://nvd.nist.gov/800-53/Rev4/control/AC-11" TargetMode="External"/><Relationship Id="rId2" Type="http://schemas.openxmlformats.org/officeDocument/2006/relationships/hyperlink" Target="https://nvd.nist.gov/800-53/Rev4/control/AC-2" TargetMode="External"/><Relationship Id="rId1" Type="http://schemas.openxmlformats.org/officeDocument/2006/relationships/hyperlink" Target="https://nvd.nist.gov/800-53/Rev4/control/AC-1" TargetMode="External"/><Relationship Id="rId6" Type="http://schemas.openxmlformats.org/officeDocument/2006/relationships/hyperlink" Target="https://nvd.nist.gov/800-53/Rev4/control/AC-10" TargetMode="External"/><Relationship Id="rId5" Type="http://schemas.openxmlformats.org/officeDocument/2006/relationships/hyperlink" Target="https://nvd.nist.gov/800-53/Rev4/control/AC-9" TargetMode="External"/><Relationship Id="rId10" Type="http://schemas.openxmlformats.org/officeDocument/2006/relationships/printerSettings" Target="../printerSettings/printerSettings8.bin"/><Relationship Id="rId4" Type="http://schemas.openxmlformats.org/officeDocument/2006/relationships/hyperlink" Target="https://nvd.nist.gov/800-53/Rev4/control/AC-8" TargetMode="External"/><Relationship Id="rId9" Type="http://schemas.openxmlformats.org/officeDocument/2006/relationships/hyperlink" Target="https://nvd.nist.gov/800-53/Rev4/control/AC-1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nvd.nist.gov/800-53/Rev4/control/AT-3" TargetMode="External"/><Relationship Id="rId2" Type="http://schemas.openxmlformats.org/officeDocument/2006/relationships/hyperlink" Target="https://nvd.nist.gov/800-53/Rev4/control/AT-2" TargetMode="External"/><Relationship Id="rId1" Type="http://schemas.openxmlformats.org/officeDocument/2006/relationships/hyperlink" Target="https://nvd.nist.gov/800-53/Rev4/control/AT-1" TargetMode="External"/><Relationship Id="rId4" Type="http://schemas.openxmlformats.org/officeDocument/2006/relationships/hyperlink" Target="https://nvd.nist.gov/800-53/Rev4/control/AT-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nvd.nist.gov/800-53/Rev4/control/AU-5" TargetMode="External"/><Relationship Id="rId7" Type="http://schemas.openxmlformats.org/officeDocument/2006/relationships/hyperlink" Target="https://nvd.nist.gov/800-53/Rev4/control/AU-12" TargetMode="External"/><Relationship Id="rId2" Type="http://schemas.openxmlformats.org/officeDocument/2006/relationships/hyperlink" Target="https://nvd.nist.gov/800-53/Rev4/control/AU-3" TargetMode="External"/><Relationship Id="rId1" Type="http://schemas.openxmlformats.org/officeDocument/2006/relationships/hyperlink" Target="https://nvd.nist.gov/800-53/Rev4/control/AU-2" TargetMode="External"/><Relationship Id="rId6" Type="http://schemas.openxmlformats.org/officeDocument/2006/relationships/hyperlink" Target="https://nvd.nist.gov/800-53/Rev4/control/AU-9" TargetMode="External"/><Relationship Id="rId5" Type="http://schemas.openxmlformats.org/officeDocument/2006/relationships/hyperlink" Target="https://nvd.nist.gov/800-53/Rev4/control/AU-8" TargetMode="External"/><Relationship Id="rId4" Type="http://schemas.openxmlformats.org/officeDocument/2006/relationships/hyperlink" Target="https://nvd.nist.gov/800-53/Rev4/control/AU-7"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nvd.nist.gov/800-53/Rev4/control/CM-9" TargetMode="External"/><Relationship Id="rId3" Type="http://schemas.openxmlformats.org/officeDocument/2006/relationships/hyperlink" Target="https://nvd.nist.gov/800-53/Rev4/control/CM-3" TargetMode="External"/><Relationship Id="rId7" Type="http://schemas.openxmlformats.org/officeDocument/2006/relationships/hyperlink" Target="https://nvd.nist.gov/800-53/Rev4/control/CM-8" TargetMode="External"/><Relationship Id="rId2" Type="http://schemas.openxmlformats.org/officeDocument/2006/relationships/hyperlink" Target="https://nvd.nist.gov/800-53/Rev4/control/CM-2" TargetMode="External"/><Relationship Id="rId1" Type="http://schemas.openxmlformats.org/officeDocument/2006/relationships/hyperlink" Target="https://nvd.nist.gov/800-53/Rev4/control/CM-1" TargetMode="External"/><Relationship Id="rId6" Type="http://schemas.openxmlformats.org/officeDocument/2006/relationships/hyperlink" Target="https://nvd.nist.gov/800-53/Rev4/control/CM-7" TargetMode="External"/><Relationship Id="rId5" Type="http://schemas.openxmlformats.org/officeDocument/2006/relationships/hyperlink" Target="https://nvd.nist.gov/800-53/Rev4/control/CM-6" TargetMode="External"/><Relationship Id="rId10" Type="http://schemas.openxmlformats.org/officeDocument/2006/relationships/printerSettings" Target="../printerSettings/printerSettings9.bin"/><Relationship Id="rId4" Type="http://schemas.openxmlformats.org/officeDocument/2006/relationships/hyperlink" Target="https://nvd.nist.gov/800-53/Rev4/control/CM-4" TargetMode="External"/><Relationship Id="rId9" Type="http://schemas.openxmlformats.org/officeDocument/2006/relationships/hyperlink" Target="https://nvd.nist.gov/800-53/Rev4/control/CM-11"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nvd.nist.gov/800-53/Rev4/control/IA-3" TargetMode="External"/><Relationship Id="rId7" Type="http://schemas.openxmlformats.org/officeDocument/2006/relationships/hyperlink" Target="https://nvd.nist.gov/800-53/Rev4/control/IA-7" TargetMode="External"/><Relationship Id="rId2" Type="http://schemas.openxmlformats.org/officeDocument/2006/relationships/hyperlink" Target="https://nvd.nist.gov/800-53/Rev4/control/IA-2" TargetMode="External"/><Relationship Id="rId1" Type="http://schemas.openxmlformats.org/officeDocument/2006/relationships/hyperlink" Target="https://nvd.nist.gov/800-53/Rev4/control/IA-1" TargetMode="External"/><Relationship Id="rId6" Type="http://schemas.openxmlformats.org/officeDocument/2006/relationships/hyperlink" Target="https://nvd.nist.gov/800-53/Rev4/control/IA-6" TargetMode="External"/><Relationship Id="rId5" Type="http://schemas.openxmlformats.org/officeDocument/2006/relationships/hyperlink" Target="https://nvd.nist.gov/800-53/Rev4/control/IA-5" TargetMode="External"/><Relationship Id="rId4" Type="http://schemas.openxmlformats.org/officeDocument/2006/relationships/hyperlink" Target="https://nvd.nist.gov/800-53/Rev4/control/IA-4"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nvd.nist.gov/800-53/Rev4/control/IR-8" TargetMode="External"/><Relationship Id="rId3" Type="http://schemas.openxmlformats.org/officeDocument/2006/relationships/hyperlink" Target="https://nvd.nist.gov/800-53/Rev4/control/IR-3" TargetMode="External"/><Relationship Id="rId7" Type="http://schemas.openxmlformats.org/officeDocument/2006/relationships/hyperlink" Target="https://nvd.nist.gov/800-53/Rev4/control/IR-7" TargetMode="External"/><Relationship Id="rId2" Type="http://schemas.openxmlformats.org/officeDocument/2006/relationships/hyperlink" Target="https://nvd.nist.gov/800-53/Rev4/control/IR-2" TargetMode="External"/><Relationship Id="rId1" Type="http://schemas.openxmlformats.org/officeDocument/2006/relationships/hyperlink" Target="https://nvd.nist.gov/800-53/Rev4/control/IR-1" TargetMode="External"/><Relationship Id="rId6" Type="http://schemas.openxmlformats.org/officeDocument/2006/relationships/hyperlink" Target="https://nvd.nist.gov/800-53/Rev4/control/IR-6" TargetMode="External"/><Relationship Id="rId5" Type="http://schemas.openxmlformats.org/officeDocument/2006/relationships/hyperlink" Target="https://nvd.nist.gov/800-53/Rev4/control/IR-5" TargetMode="External"/><Relationship Id="rId4" Type="http://schemas.openxmlformats.org/officeDocument/2006/relationships/hyperlink" Target="https://nvd.nist.gov/800-53/Rev4/control/IR-4" TargetMode="External"/><Relationship Id="rId9" Type="http://schemas.openxmlformats.org/officeDocument/2006/relationships/hyperlink" Target="https://nvd.nist.gov/800-53/Rev4/control/IR-9"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nvd.nist.gov/800-53/Rev4/control/MA-3" TargetMode="External"/><Relationship Id="rId2" Type="http://schemas.openxmlformats.org/officeDocument/2006/relationships/hyperlink" Target="https://nvd.nist.gov/800-53/Rev4/control/MA-2" TargetMode="External"/><Relationship Id="rId1" Type="http://schemas.openxmlformats.org/officeDocument/2006/relationships/hyperlink" Target="https://nvd.nist.gov/800-53/Rev4/control/MA-1" TargetMode="External"/><Relationship Id="rId5" Type="http://schemas.openxmlformats.org/officeDocument/2006/relationships/hyperlink" Target="https://nvd.nist.gov/800-53/Rev4/control/MA-5" TargetMode="External"/><Relationship Id="rId4" Type="http://schemas.openxmlformats.org/officeDocument/2006/relationships/hyperlink" Target="https://nvd.nist.gov/800-53/Rev4/control/MA-4"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nvd.nist.gov/800-53/Rev4/control/PS-8" TargetMode="External"/><Relationship Id="rId3" Type="http://schemas.openxmlformats.org/officeDocument/2006/relationships/hyperlink" Target="https://nvd.nist.gov/800-53/Rev4/control/PS-3" TargetMode="External"/><Relationship Id="rId7" Type="http://schemas.openxmlformats.org/officeDocument/2006/relationships/hyperlink" Target="https://nvd.nist.gov/800-53/Rev4/control/PS-7" TargetMode="External"/><Relationship Id="rId2" Type="http://schemas.openxmlformats.org/officeDocument/2006/relationships/hyperlink" Target="https://nvd.nist.gov/800-53/Rev4/control/PS-2" TargetMode="External"/><Relationship Id="rId1" Type="http://schemas.openxmlformats.org/officeDocument/2006/relationships/hyperlink" Target="https://nvd.nist.gov/800-53/Rev4/control/PS-1" TargetMode="External"/><Relationship Id="rId6" Type="http://schemas.openxmlformats.org/officeDocument/2006/relationships/hyperlink" Target="https://nvd.nist.gov/800-53/Rev4/control/PS-6" TargetMode="External"/><Relationship Id="rId5" Type="http://schemas.openxmlformats.org/officeDocument/2006/relationships/hyperlink" Target="https://nvd.nist.gov/800-53/Rev4/control/PS-5" TargetMode="External"/><Relationship Id="rId4" Type="http://schemas.openxmlformats.org/officeDocument/2006/relationships/hyperlink" Target="https://nvd.nist.gov/800-53/Rev4/control/PS-4" TargetMode="External"/></Relationships>
</file>

<file path=xl/worksheets/_rels/sheet20.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https://nvd.nist.gov/800-53/Rev4/control/SA-4" TargetMode="External"/><Relationship Id="rId7" Type="http://schemas.openxmlformats.org/officeDocument/2006/relationships/hyperlink" Target="https://nvd.nist.gov/800-53/Rev4/control/SA-11" TargetMode="External"/><Relationship Id="rId2" Type="http://schemas.openxmlformats.org/officeDocument/2006/relationships/hyperlink" Target="https://nvd.nist.gov/800-53/Rev4/control/SA-3" TargetMode="External"/><Relationship Id="rId1" Type="http://schemas.openxmlformats.org/officeDocument/2006/relationships/hyperlink" Target="https://nvd.nist.gov/800-53/Rev4/control/SA-1" TargetMode="External"/><Relationship Id="rId6" Type="http://schemas.openxmlformats.org/officeDocument/2006/relationships/hyperlink" Target="https://nvd.nist.gov/800-53/Rev4/control/SA-10" TargetMode="External"/><Relationship Id="rId5" Type="http://schemas.openxmlformats.org/officeDocument/2006/relationships/hyperlink" Target="https://nvd.nist.gov/800-53/Rev4/control/SA-8" TargetMode="External"/><Relationship Id="rId4" Type="http://schemas.openxmlformats.org/officeDocument/2006/relationships/hyperlink" Target="https://nvd.nist.gov/800-53/Rev4/control/SA-5"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nvd.nist.gov/800-53/Rev4/control/SC-21" TargetMode="External"/><Relationship Id="rId3" Type="http://schemas.openxmlformats.org/officeDocument/2006/relationships/hyperlink" Target="https://nvd.nist.gov/800-53/Rev4/control/SC-8" TargetMode="External"/><Relationship Id="rId7" Type="http://schemas.openxmlformats.org/officeDocument/2006/relationships/hyperlink" Target="https://nvd.nist.gov/800-53/Rev4/control/SC-20" TargetMode="External"/><Relationship Id="rId2" Type="http://schemas.openxmlformats.org/officeDocument/2006/relationships/hyperlink" Target="https://nvd.nist.gov/800-53/Rev4/control/SC-2" TargetMode="External"/><Relationship Id="rId1" Type="http://schemas.openxmlformats.org/officeDocument/2006/relationships/hyperlink" Target="https://nvd.nist.gov/800-53/Rev4/control/SC-1" TargetMode="External"/><Relationship Id="rId6" Type="http://schemas.openxmlformats.org/officeDocument/2006/relationships/hyperlink" Target="https://nvd.nist.gov/800-53/Rev4/control/SC-15" TargetMode="External"/><Relationship Id="rId5" Type="http://schemas.openxmlformats.org/officeDocument/2006/relationships/hyperlink" Target="https://nvd.nist.gov/800-53/Rev4/control/SC-13" TargetMode="External"/><Relationship Id="rId10" Type="http://schemas.openxmlformats.org/officeDocument/2006/relationships/hyperlink" Target="https://nvd.nist.gov/800-53/Rev4/control/SC-28" TargetMode="External"/><Relationship Id="rId4" Type="http://schemas.openxmlformats.org/officeDocument/2006/relationships/hyperlink" Target="https://nvd.nist.gov/800-53/Rev4/control/SC-10" TargetMode="External"/><Relationship Id="rId9" Type="http://schemas.openxmlformats.org/officeDocument/2006/relationships/hyperlink" Target="https://nvd.nist.gov/800-53/Rev4/control/SC-23"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nvd.nist.gov/800-53/Rev4/control/SI-2" TargetMode="External"/><Relationship Id="rId1" Type="http://schemas.openxmlformats.org/officeDocument/2006/relationships/hyperlink" Target="https://nvd.nist.gov/800-53/Rev4/control/SI-1"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showGridLines="0" zoomScale="70" zoomScaleNormal="70" workbookViewId="0">
      <selection sqref="A1:A11"/>
    </sheetView>
  </sheetViews>
  <sheetFormatPr defaultColWidth="9.109375" defaultRowHeight="14.4" x14ac:dyDescent="0.3"/>
  <cols>
    <col min="1" max="1" width="255.5546875" style="128" customWidth="1"/>
    <col min="2" max="16384" width="9.109375" style="128"/>
  </cols>
  <sheetData>
    <row r="1" spans="1:1" ht="45" customHeight="1" x14ac:dyDescent="0.3">
      <c r="A1" s="253" t="s">
        <v>0</v>
      </c>
    </row>
    <row r="2" spans="1:1" ht="164.25" customHeight="1" x14ac:dyDescent="0.3">
      <c r="A2" s="253"/>
    </row>
    <row r="3" spans="1:1" ht="269.25" customHeight="1" x14ac:dyDescent="0.3">
      <c r="A3" s="253"/>
    </row>
    <row r="4" spans="1:1" ht="15" customHeight="1" x14ac:dyDescent="0.3">
      <c r="A4" s="253"/>
    </row>
    <row r="5" spans="1:1" ht="15" customHeight="1" x14ac:dyDescent="0.3">
      <c r="A5" s="253"/>
    </row>
    <row r="6" spans="1:1" ht="15" customHeight="1" x14ac:dyDescent="0.3">
      <c r="A6" s="253"/>
    </row>
    <row r="7" spans="1:1" ht="15" customHeight="1" x14ac:dyDescent="0.3">
      <c r="A7" s="253"/>
    </row>
    <row r="8" spans="1:1" ht="8.25" customHeight="1" x14ac:dyDescent="0.3">
      <c r="A8" s="253"/>
    </row>
    <row r="9" spans="1:1" ht="15" hidden="1" customHeight="1" x14ac:dyDescent="0.3">
      <c r="A9" s="253"/>
    </row>
    <row r="10" spans="1:1" ht="15" hidden="1" customHeight="1" x14ac:dyDescent="0.3">
      <c r="A10" s="253"/>
    </row>
    <row r="11" spans="1:1" ht="60" hidden="1" customHeight="1" x14ac:dyDescent="0.3">
      <c r="A11" s="253"/>
    </row>
    <row r="12" spans="1:1" x14ac:dyDescent="0.3">
      <c r="A12" s="128" t="s">
        <v>855</v>
      </c>
    </row>
  </sheetData>
  <sheetProtection algorithmName="SHA-512" hashValue="oXXo1MRabaO/+lGhXaB65CtW5G6ii3cl0RswVMwKSP0dKGZEVSA/0erAW1nvLoWCTUtTZ6TpBKuNgsWNJrGf5g==" saltValue="R7DA58CIWkTutP20YcsUaw==" spinCount="100000" sheet="1" selectLockedCells="1"/>
  <mergeCells count="1">
    <mergeCell ref="A1:A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showGridLines="0" zoomScale="80" zoomScaleNormal="80" workbookViewId="0">
      <selection activeCell="C14" sqref="C14"/>
    </sheetView>
  </sheetViews>
  <sheetFormatPr defaultColWidth="9.109375" defaultRowHeight="15.6" x14ac:dyDescent="0.3"/>
  <cols>
    <col min="1" max="1" width="18.5546875" style="14" customWidth="1"/>
    <col min="2" max="2" width="203.33203125" style="14" customWidth="1"/>
    <col min="3" max="3" width="61.109375" style="25" customWidth="1"/>
    <col min="4" max="4" width="9.109375" style="25"/>
    <col min="5" max="16384" width="9.109375" style="14"/>
  </cols>
  <sheetData>
    <row r="1" spans="1:4" s="22" customFormat="1" x14ac:dyDescent="0.3">
      <c r="A1" s="254" t="s">
        <v>1</v>
      </c>
      <c r="B1" s="255"/>
      <c r="C1" s="21"/>
      <c r="D1" s="21"/>
    </row>
    <row r="2" spans="1:4" s="22" customFormat="1" ht="30" x14ac:dyDescent="0.25">
      <c r="A2" s="23"/>
      <c r="B2" s="24" t="s">
        <v>882</v>
      </c>
      <c r="C2" s="21"/>
      <c r="D2" s="21"/>
    </row>
    <row r="3" spans="1:4" s="21" customFormat="1" ht="15" x14ac:dyDescent="0.25"/>
    <row r="4" spans="1:4" s="22" customFormat="1" x14ac:dyDescent="0.3">
      <c r="A4" s="254" t="s">
        <v>2</v>
      </c>
      <c r="B4" s="254"/>
      <c r="C4" s="21"/>
      <c r="D4" s="21"/>
    </row>
    <row r="5" spans="1:4" s="22" customFormat="1" ht="45.9" customHeight="1" x14ac:dyDescent="0.25">
      <c r="A5" s="23"/>
      <c r="B5" s="24" t="s">
        <v>883</v>
      </c>
      <c r="C5" s="21"/>
      <c r="D5" s="21"/>
    </row>
    <row r="6" spans="1:4" s="21" customFormat="1" ht="12.9" customHeight="1" x14ac:dyDescent="0.25"/>
    <row r="7" spans="1:4" s="21" customFormat="1" x14ac:dyDescent="0.3">
      <c r="A7" s="256" t="s">
        <v>3</v>
      </c>
      <c r="B7" s="256"/>
    </row>
    <row r="8" spans="1:4" s="21" customFormat="1" ht="15" x14ac:dyDescent="0.25">
      <c r="A8" s="112"/>
      <c r="B8" s="112" t="s">
        <v>884</v>
      </c>
    </row>
    <row r="9" spans="1:4" s="21" customFormat="1" ht="27.9" customHeight="1" x14ac:dyDescent="0.25"/>
    <row r="10" spans="1:4" s="22" customFormat="1" x14ac:dyDescent="0.3">
      <c r="A10" s="254" t="s">
        <v>4</v>
      </c>
      <c r="B10" s="254"/>
      <c r="C10" s="21"/>
      <c r="D10" s="21"/>
    </row>
    <row r="11" spans="1:4" s="22" customFormat="1" ht="105.75" customHeight="1" x14ac:dyDescent="0.25">
      <c r="A11" s="23"/>
      <c r="B11" s="24" t="s">
        <v>885</v>
      </c>
      <c r="C11" s="21"/>
      <c r="D11" s="21"/>
    </row>
    <row r="12" spans="1:4" s="21" customFormat="1" ht="15" x14ac:dyDescent="0.25"/>
    <row r="13" spans="1:4" s="22" customFormat="1" x14ac:dyDescent="0.3">
      <c r="A13" s="254" t="s">
        <v>5</v>
      </c>
      <c r="B13" s="255"/>
      <c r="C13" s="21"/>
      <c r="D13" s="21"/>
    </row>
    <row r="14" spans="1:4" s="22" customFormat="1" ht="189.6" customHeight="1" x14ac:dyDescent="0.25">
      <c r="A14" s="23"/>
      <c r="B14" s="24" t="s">
        <v>886</v>
      </c>
      <c r="C14" s="21"/>
      <c r="D14" s="21"/>
    </row>
    <row r="15" spans="1:4" s="25" customFormat="1" x14ac:dyDescent="0.3"/>
    <row r="16" spans="1:4" s="25" customFormat="1" x14ac:dyDescent="0.3"/>
    <row r="17" s="25" customFormat="1" x14ac:dyDescent="0.3"/>
    <row r="18" s="25" customFormat="1" x14ac:dyDescent="0.3"/>
    <row r="19" s="25" customFormat="1" x14ac:dyDescent="0.3"/>
    <row r="20" s="25" customFormat="1" x14ac:dyDescent="0.3"/>
    <row r="21" s="25" customFormat="1" x14ac:dyDescent="0.3"/>
    <row r="22" s="25" customFormat="1" x14ac:dyDescent="0.3"/>
    <row r="23" s="25" customFormat="1" x14ac:dyDescent="0.3"/>
    <row r="24" s="25" customFormat="1" x14ac:dyDescent="0.3"/>
    <row r="25" s="25" customFormat="1" x14ac:dyDescent="0.3"/>
    <row r="26" s="25" customFormat="1" x14ac:dyDescent="0.3"/>
    <row r="27" s="25" customFormat="1" x14ac:dyDescent="0.3"/>
    <row r="28" s="25" customFormat="1" x14ac:dyDescent="0.3"/>
    <row r="29" s="25" customFormat="1" x14ac:dyDescent="0.3"/>
    <row r="30" s="25" customFormat="1" x14ac:dyDescent="0.3"/>
    <row r="31" s="25" customFormat="1" x14ac:dyDescent="0.3"/>
    <row r="32" s="25" customFormat="1" x14ac:dyDescent="0.3"/>
    <row r="33" s="25" customFormat="1" x14ac:dyDescent="0.3"/>
    <row r="34" s="25" customFormat="1" x14ac:dyDescent="0.3"/>
    <row r="35" s="25" customFormat="1" x14ac:dyDescent="0.3"/>
    <row r="36" s="25" customFormat="1" x14ac:dyDescent="0.3"/>
    <row r="37" s="25" customFormat="1" x14ac:dyDescent="0.3"/>
    <row r="38" s="25" customFormat="1" x14ac:dyDescent="0.3"/>
    <row r="39" s="25" customFormat="1" x14ac:dyDescent="0.3"/>
    <row r="40" s="25" customFormat="1" x14ac:dyDescent="0.3"/>
    <row r="41" s="25" customFormat="1" x14ac:dyDescent="0.3"/>
    <row r="42" s="25" customFormat="1" x14ac:dyDescent="0.3"/>
    <row r="43" s="25" customFormat="1" x14ac:dyDescent="0.3"/>
    <row r="44" s="25" customFormat="1" x14ac:dyDescent="0.3"/>
    <row r="45" s="25" customFormat="1" x14ac:dyDescent="0.3"/>
  </sheetData>
  <sheetProtection selectLockedCells="1"/>
  <mergeCells count="5">
    <mergeCell ref="A1:B1"/>
    <mergeCell ref="A13:B13"/>
    <mergeCell ref="A4:B4"/>
    <mergeCell ref="A10:B10"/>
    <mergeCell ref="A7:B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zoomScale="90" zoomScaleNormal="90" workbookViewId="0">
      <selection activeCell="H13" sqref="H13"/>
    </sheetView>
  </sheetViews>
  <sheetFormatPr defaultColWidth="9.109375" defaultRowHeight="14.4" x14ac:dyDescent="0.3"/>
  <cols>
    <col min="1" max="1" width="20.6640625" style="15" customWidth="1"/>
    <col min="2" max="2" width="12.6640625" style="15" customWidth="1"/>
    <col min="3" max="3" width="7.33203125" style="15" customWidth="1"/>
    <col min="4" max="4" width="16" style="15" customWidth="1"/>
    <col min="5" max="5" width="18.44140625" style="15" customWidth="1"/>
    <col min="6" max="6" width="21.88671875" style="15" customWidth="1"/>
    <col min="7" max="7" width="13.109375" style="15" bestFit="1" customWidth="1"/>
    <col min="8" max="8" width="10.6640625" style="15" customWidth="1"/>
    <col min="9" max="9" width="14.5546875" style="15" customWidth="1"/>
    <col min="10" max="10" width="13.5546875" style="15" customWidth="1"/>
    <col min="11" max="11" width="17.44140625" style="15" customWidth="1"/>
    <col min="12" max="12" width="11.5546875" style="15" bestFit="1" customWidth="1"/>
    <col min="13" max="13" width="14.6640625" style="15" customWidth="1"/>
    <col min="14" max="14" width="9.109375" style="15"/>
    <col min="15" max="15" width="9" customWidth="1"/>
    <col min="16" max="16384" width="9.109375" style="15"/>
  </cols>
  <sheetData>
    <row r="1" spans="1:14" s="19" customFormat="1" ht="45.6" x14ac:dyDescent="0.3">
      <c r="A1" s="20" t="s">
        <v>6</v>
      </c>
      <c r="B1" s="20" t="s">
        <v>7</v>
      </c>
      <c r="C1" s="20" t="s">
        <v>8</v>
      </c>
      <c r="D1" s="20" t="s">
        <v>9</v>
      </c>
      <c r="E1" s="20" t="s">
        <v>10</v>
      </c>
      <c r="F1" s="20" t="s">
        <v>11</v>
      </c>
      <c r="G1" s="20" t="s">
        <v>12</v>
      </c>
      <c r="H1" s="20" t="s">
        <v>13</v>
      </c>
      <c r="I1" s="20" t="s">
        <v>14</v>
      </c>
      <c r="J1" s="20" t="s">
        <v>15</v>
      </c>
      <c r="K1" s="20" t="s">
        <v>16</v>
      </c>
      <c r="L1" s="20" t="s">
        <v>17</v>
      </c>
      <c r="M1" s="20" t="s">
        <v>18</v>
      </c>
      <c r="N1" s="20"/>
    </row>
    <row r="2" spans="1:14" x14ac:dyDescent="0.3">
      <c r="A2" s="15" t="s">
        <v>19</v>
      </c>
      <c r="B2" s="15" t="s">
        <v>20</v>
      </c>
      <c r="C2" s="15" t="s">
        <v>21</v>
      </c>
      <c r="D2" s="15" t="s">
        <v>22</v>
      </c>
      <c r="E2" s="15" t="s">
        <v>23</v>
      </c>
      <c r="F2" s="15" t="s">
        <v>24</v>
      </c>
      <c r="G2" s="15" t="s">
        <v>25</v>
      </c>
      <c r="H2" s="15" t="s">
        <v>25</v>
      </c>
      <c r="I2" s="15" t="s">
        <v>26</v>
      </c>
      <c r="J2" s="15" t="s">
        <v>27</v>
      </c>
      <c r="K2" s="15" t="s">
        <v>28</v>
      </c>
      <c r="L2" s="15" t="s">
        <v>19</v>
      </c>
      <c r="M2" s="43" t="s">
        <v>29</v>
      </c>
    </row>
    <row r="3" spans="1:14" x14ac:dyDescent="0.3">
      <c r="A3" s="15" t="s">
        <v>30</v>
      </c>
      <c r="B3" s="15" t="s">
        <v>31</v>
      </c>
      <c r="C3" s="15" t="s">
        <v>32</v>
      </c>
      <c r="D3" s="15" t="s">
        <v>33</v>
      </c>
      <c r="E3" s="15" t="s">
        <v>34</v>
      </c>
      <c r="F3" s="15" t="s">
        <v>35</v>
      </c>
      <c r="G3" s="15" t="s">
        <v>36</v>
      </c>
      <c r="H3" s="15" t="s">
        <v>36</v>
      </c>
      <c r="I3" s="15" t="s">
        <v>37</v>
      </c>
      <c r="J3" s="15" t="s">
        <v>38</v>
      </c>
      <c r="K3" s="15" t="s">
        <v>39</v>
      </c>
      <c r="L3" s="15" t="s">
        <v>30</v>
      </c>
      <c r="M3" s="15" t="s">
        <v>40</v>
      </c>
    </row>
    <row r="4" spans="1:14" x14ac:dyDescent="0.3">
      <c r="A4" s="15" t="s">
        <v>41</v>
      </c>
      <c r="B4" s="15" t="s">
        <v>42</v>
      </c>
      <c r="C4" s="15" t="s">
        <v>43</v>
      </c>
      <c r="D4" s="15" t="s">
        <v>44</v>
      </c>
      <c r="E4" s="15" t="s">
        <v>45</v>
      </c>
      <c r="F4" s="15" t="s">
        <v>46</v>
      </c>
      <c r="G4" s="15" t="s">
        <v>47</v>
      </c>
      <c r="H4" s="15" t="s">
        <v>47</v>
      </c>
      <c r="I4" s="15" t="s">
        <v>48</v>
      </c>
      <c r="J4" s="15" t="s">
        <v>49</v>
      </c>
      <c r="K4" s="15" t="s">
        <v>50</v>
      </c>
      <c r="M4" s="15" t="s">
        <v>51</v>
      </c>
    </row>
    <row r="5" spans="1:14" x14ac:dyDescent="0.3">
      <c r="A5" s="15" t="s">
        <v>52</v>
      </c>
      <c r="B5" s="15" t="s">
        <v>53</v>
      </c>
      <c r="C5" s="15" t="s">
        <v>54</v>
      </c>
      <c r="F5" s="15" t="s">
        <v>55</v>
      </c>
      <c r="G5" s="15" t="s">
        <v>56</v>
      </c>
      <c r="H5" s="15" t="s">
        <v>56</v>
      </c>
      <c r="J5" s="15" t="s">
        <v>57</v>
      </c>
      <c r="M5" s="15" t="s">
        <v>58</v>
      </c>
    </row>
    <row r="6" spans="1:14" x14ac:dyDescent="0.3">
      <c r="B6" s="15" t="s">
        <v>59</v>
      </c>
      <c r="C6" s="15" t="s">
        <v>60</v>
      </c>
      <c r="F6" s="15" t="s">
        <v>61</v>
      </c>
      <c r="G6" s="15" t="s">
        <v>62</v>
      </c>
      <c r="H6" s="15" t="s">
        <v>62</v>
      </c>
      <c r="J6" s="15" t="s">
        <v>63</v>
      </c>
    </row>
    <row r="7" spans="1:14" x14ac:dyDescent="0.3">
      <c r="C7" s="15" t="s">
        <v>64</v>
      </c>
      <c r="G7" s="15" t="s">
        <v>65</v>
      </c>
      <c r="H7" s="15" t="s">
        <v>65</v>
      </c>
      <c r="J7" s="15" t="s">
        <v>66</v>
      </c>
    </row>
    <row r="8" spans="1:14" x14ac:dyDescent="0.3">
      <c r="C8" s="15" t="s">
        <v>67</v>
      </c>
    </row>
    <row r="9" spans="1:14" x14ac:dyDescent="0.3">
      <c r="C9" s="15" t="s">
        <v>68</v>
      </c>
    </row>
    <row r="10" spans="1:14" x14ac:dyDescent="0.3">
      <c r="C10" s="15" t="s">
        <v>69</v>
      </c>
    </row>
    <row r="11" spans="1:14" x14ac:dyDescent="0.3">
      <c r="C11" s="15" t="s">
        <v>70</v>
      </c>
    </row>
    <row r="12" spans="1:14" x14ac:dyDescent="0.3">
      <c r="C12" s="15" t="s">
        <v>71</v>
      </c>
    </row>
    <row r="20" spans="1:3" x14ac:dyDescent="0.3">
      <c r="A20" s="15" t="s">
        <v>72</v>
      </c>
      <c r="C20" s="15" t="s">
        <v>73</v>
      </c>
    </row>
    <row r="21" spans="1:3" x14ac:dyDescent="0.3">
      <c r="A21" s="46" t="s">
        <v>74</v>
      </c>
      <c r="C21" s="15" t="s">
        <v>75</v>
      </c>
    </row>
    <row r="22" spans="1:3" x14ac:dyDescent="0.3">
      <c r="A22" s="47" t="s">
        <v>76</v>
      </c>
      <c r="C22" s="15" t="s">
        <v>77</v>
      </c>
    </row>
    <row r="23" spans="1:3" x14ac:dyDescent="0.3">
      <c r="A23" s="48" t="s">
        <v>78</v>
      </c>
      <c r="C23" s="15" t="s">
        <v>79</v>
      </c>
    </row>
    <row r="24" spans="1:3" ht="24" x14ac:dyDescent="0.3">
      <c r="A24" s="49" t="s">
        <v>80</v>
      </c>
      <c r="C24" s="15" t="s">
        <v>52</v>
      </c>
    </row>
    <row r="25" spans="1:3" ht="46.8" x14ac:dyDescent="0.3">
      <c r="A25" s="50" t="s">
        <v>81</v>
      </c>
    </row>
    <row r="26" spans="1:3" ht="24" x14ac:dyDescent="0.3">
      <c r="A26" s="50" t="s">
        <v>82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showGridLines="0" zoomScaleNormal="100" workbookViewId="0">
      <selection activeCell="B2" sqref="B2:C2"/>
    </sheetView>
  </sheetViews>
  <sheetFormatPr defaultRowHeight="14.4" x14ac:dyDescent="0.3"/>
  <cols>
    <col min="1" max="1" width="29" customWidth="1"/>
    <col min="2" max="2" width="36.5546875" customWidth="1"/>
    <col min="3" max="3" width="49.6640625" customWidth="1"/>
    <col min="4" max="4" width="20.44140625" bestFit="1" customWidth="1"/>
    <col min="5" max="5" width="68.6640625" customWidth="1"/>
  </cols>
  <sheetData>
    <row r="1" spans="1:5" s="22" customFormat="1" ht="15.6" x14ac:dyDescent="0.3">
      <c r="A1" s="257" t="s">
        <v>83</v>
      </c>
      <c r="B1" s="257"/>
      <c r="C1" s="257"/>
      <c r="D1" s="257"/>
      <c r="E1" s="257"/>
    </row>
    <row r="2" spans="1:5" s="13" customFormat="1" ht="15.75" customHeight="1" x14ac:dyDescent="0.25">
      <c r="A2" s="32" t="s">
        <v>84</v>
      </c>
      <c r="B2" s="258"/>
      <c r="C2" s="258"/>
      <c r="D2" s="32" t="s">
        <v>85</v>
      </c>
      <c r="E2" s="115"/>
    </row>
    <row r="3" spans="1:5" s="13" customFormat="1" ht="26.4" x14ac:dyDescent="0.25">
      <c r="A3" s="32" t="s">
        <v>86</v>
      </c>
      <c r="B3" s="258"/>
      <c r="C3" s="258"/>
      <c r="D3" s="32" t="s">
        <v>87</v>
      </c>
      <c r="E3" s="115"/>
    </row>
    <row r="4" spans="1:5" s="13" customFormat="1" ht="13.2" x14ac:dyDescent="0.25">
      <c r="A4" s="32" t="s">
        <v>88</v>
      </c>
      <c r="B4" s="258"/>
      <c r="C4" s="258"/>
      <c r="D4" s="32" t="s">
        <v>89</v>
      </c>
      <c r="E4" s="115"/>
    </row>
    <row r="5" spans="1:5" s="13" customFormat="1" ht="15.75" customHeight="1" x14ac:dyDescent="0.25">
      <c r="A5" s="32" t="s">
        <v>90</v>
      </c>
      <c r="B5" s="258"/>
      <c r="C5" s="258"/>
      <c r="D5" s="32" t="s">
        <v>91</v>
      </c>
      <c r="E5" s="115"/>
    </row>
    <row r="6" spans="1:5" s="13" customFormat="1" ht="13.2" x14ac:dyDescent="0.25">
      <c r="A6" s="127" t="s">
        <v>92</v>
      </c>
      <c r="B6" s="127" t="s">
        <v>93</v>
      </c>
      <c r="C6" s="127" t="s">
        <v>94</v>
      </c>
      <c r="D6" s="127" t="s">
        <v>95</v>
      </c>
      <c r="E6" s="127" t="s">
        <v>96</v>
      </c>
    </row>
    <row r="7" spans="1:5" s="14" customFormat="1" ht="15.6" x14ac:dyDescent="0.3">
      <c r="A7" s="44" t="s">
        <v>97</v>
      </c>
      <c r="B7" s="153"/>
      <c r="C7" s="153"/>
      <c r="D7" s="153"/>
      <c r="E7" s="153"/>
    </row>
    <row r="8" spans="1:5" s="17" customFormat="1" ht="22.8" x14ac:dyDescent="0.3">
      <c r="A8" s="16">
        <v>1</v>
      </c>
      <c r="B8" s="16" t="s">
        <v>98</v>
      </c>
      <c r="C8" s="18" t="s">
        <v>99</v>
      </c>
      <c r="D8" s="116"/>
      <c r="E8" s="117"/>
    </row>
    <row r="9" spans="1:5" s="17" customFormat="1" ht="11.4" x14ac:dyDescent="0.3">
      <c r="A9" s="16">
        <v>2</v>
      </c>
      <c r="B9" s="16" t="s">
        <v>100</v>
      </c>
      <c r="C9" s="18" t="s">
        <v>101</v>
      </c>
      <c r="D9" s="116"/>
      <c r="E9" s="117"/>
    </row>
    <row r="10" spans="1:5" s="17" customFormat="1" ht="11.4" x14ac:dyDescent="0.3">
      <c r="A10" s="16">
        <v>3</v>
      </c>
      <c r="B10" s="16" t="s">
        <v>102</v>
      </c>
      <c r="C10" s="18" t="s">
        <v>103</v>
      </c>
      <c r="D10" s="116"/>
      <c r="E10" s="117"/>
    </row>
    <row r="11" spans="1:5" s="17" customFormat="1" ht="11.4" x14ac:dyDescent="0.3">
      <c r="A11" s="16">
        <v>4</v>
      </c>
      <c r="B11" s="16" t="s">
        <v>104</v>
      </c>
      <c r="C11" s="18" t="s">
        <v>105</v>
      </c>
      <c r="D11" s="116"/>
      <c r="E11" s="117"/>
    </row>
    <row r="12" spans="1:5" s="17" customFormat="1" ht="11.4" x14ac:dyDescent="0.3">
      <c r="A12" s="16">
        <v>5</v>
      </c>
      <c r="B12" s="16" t="s">
        <v>106</v>
      </c>
      <c r="C12" s="18" t="s">
        <v>107</v>
      </c>
      <c r="D12" s="118"/>
      <c r="E12" s="117"/>
    </row>
    <row r="13" spans="1:5" s="17" customFormat="1" ht="22.8" x14ac:dyDescent="0.3">
      <c r="A13" s="16">
        <v>6</v>
      </c>
      <c r="B13" s="16" t="s">
        <v>108</v>
      </c>
      <c r="C13" s="18" t="s">
        <v>109</v>
      </c>
      <c r="D13" s="118"/>
      <c r="E13" s="117"/>
    </row>
    <row r="14" spans="1:5" s="17" customFormat="1" ht="11.4" x14ac:dyDescent="0.3">
      <c r="A14" s="16">
        <v>7</v>
      </c>
      <c r="B14" s="16" t="s">
        <v>110</v>
      </c>
      <c r="C14" s="18" t="s">
        <v>111</v>
      </c>
      <c r="D14" s="118"/>
      <c r="E14" s="117"/>
    </row>
    <row r="15" spans="1:5" s="17" customFormat="1" ht="11.4" x14ac:dyDescent="0.3">
      <c r="A15" s="16">
        <v>8</v>
      </c>
      <c r="B15" s="16" t="s">
        <v>112</v>
      </c>
      <c r="C15" s="18" t="s">
        <v>113</v>
      </c>
      <c r="D15" s="118"/>
      <c r="E15" s="117"/>
    </row>
    <row r="16" spans="1:5" s="17" customFormat="1" ht="11.4" x14ac:dyDescent="0.3">
      <c r="A16" s="16">
        <v>9</v>
      </c>
      <c r="B16" s="16" t="s">
        <v>114</v>
      </c>
      <c r="C16" s="18" t="s">
        <v>115</v>
      </c>
      <c r="D16" s="117"/>
      <c r="E16" s="117"/>
    </row>
    <row r="17" spans="1:5" s="17" customFormat="1" ht="11.4" x14ac:dyDescent="0.3">
      <c r="A17" s="16">
        <v>10</v>
      </c>
      <c r="B17" s="16" t="s">
        <v>116</v>
      </c>
      <c r="C17" s="18" t="s">
        <v>117</v>
      </c>
      <c r="D17" s="116"/>
      <c r="E17" s="117"/>
    </row>
    <row r="18" spans="1:5" s="17" customFormat="1" ht="22.8" x14ac:dyDescent="0.3">
      <c r="A18" s="16">
        <v>11</v>
      </c>
      <c r="B18" s="16" t="s">
        <v>118</v>
      </c>
      <c r="C18" s="18" t="s">
        <v>119</v>
      </c>
      <c r="D18" s="116"/>
      <c r="E18" s="117"/>
    </row>
    <row r="19" spans="1:5" s="17" customFormat="1" ht="22.8" x14ac:dyDescent="0.3">
      <c r="A19" s="16">
        <v>12</v>
      </c>
      <c r="B19" s="16" t="s">
        <v>120</v>
      </c>
      <c r="C19" s="18" t="s">
        <v>121</v>
      </c>
      <c r="D19" s="116"/>
      <c r="E19" s="117"/>
    </row>
    <row r="20" spans="1:5" s="17" customFormat="1" ht="34.200000000000003" x14ac:dyDescent="0.3">
      <c r="A20" s="16">
        <v>13</v>
      </c>
      <c r="B20" s="16" t="s">
        <v>122</v>
      </c>
      <c r="C20" s="18" t="s">
        <v>123</v>
      </c>
      <c r="D20" s="116"/>
      <c r="E20" s="117"/>
    </row>
  </sheetData>
  <sheetProtection algorithmName="SHA-512" hashValue="gVOcgs5oUEf2ucwwdzuwf5x1Jj5OMBD1YtW30Ki0NoKPBWGZctr7UM/lSCA+Z6JWIE1dlbVCHBF9oXIvP+jNiA==" saltValue="kBDVnkMaxhpEiam0WOs7/g==" spinCount="100000" sheet="1" objects="1" scenarios="1" selectLockedCells="1"/>
  <mergeCells count="5">
    <mergeCell ref="A1:E1"/>
    <mergeCell ref="B2:C2"/>
    <mergeCell ref="B3:C3"/>
    <mergeCell ref="B4:C4"/>
    <mergeCell ref="B5:C5"/>
  </mergeCell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300-000000000000}">
          <x14:formula1>
            <xm:f>'Data Validation Key'!$C$2:$C$12</xm:f>
          </x14:formula1>
          <xm:sqref>D9</xm:sqref>
        </x14:dataValidation>
        <x14:dataValidation type="list" allowBlank="1" showInputMessage="1" showErrorMessage="1" xr:uid="{00000000-0002-0000-0300-000001000000}">
          <x14:formula1>
            <xm:f>'Data Validation Key'!$K$2:$K$4</xm:f>
          </x14:formula1>
          <xm:sqref>D10</xm:sqref>
        </x14:dataValidation>
        <x14:dataValidation type="list" allowBlank="1" showInputMessage="1" showErrorMessage="1" xr:uid="{00000000-0002-0000-0300-000002000000}">
          <x14:formula1>
            <xm:f>'Data Validation Key'!$I$2:$I$4</xm:f>
          </x14:formula1>
          <xm:sqref>D13</xm:sqref>
        </x14:dataValidation>
        <x14:dataValidation type="list" allowBlank="1" showInputMessage="1" showErrorMessage="1" xr:uid="{00000000-0002-0000-0300-000003000000}">
          <x14:formula1>
            <xm:f>'Data Validation Key'!$J$2:$J$7</xm:f>
          </x14:formula1>
          <xm:sqref>D17</xm:sqref>
        </x14:dataValidation>
        <x14:dataValidation type="list" allowBlank="1" showInputMessage="1" showErrorMessage="1" xr:uid="{00000000-0002-0000-0300-000004000000}">
          <x14:formula1>
            <xm:f>'Data Validation Key'!$A$2:$A$5</xm:f>
          </x14:formula1>
          <xm:sqref>D8 D11 D18:D20</xm:sqref>
        </x14:dataValidation>
        <x14:dataValidation type="list" allowBlank="1" showInputMessage="1" showErrorMessage="1" xr:uid="{00000000-0002-0000-0300-000005000000}">
          <x14:formula1>
            <xm:f>'Data Validation Key'!$M$2:$M$5</xm:f>
          </x14:formula1>
          <xm:sqref>D14:D15</xm:sqref>
        </x14:dataValidation>
        <x14:dataValidation type="list" allowBlank="1" showInputMessage="1" showErrorMessage="1" xr:uid="{00000000-0002-0000-0300-000006000000}">
          <x14:formula1>
            <xm:f>'Data Validation Key'!$F$2:$F$6</xm:f>
          </x14:formula1>
          <xm:sqref>D12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topLeftCell="A4" zoomScale="85" zoomScaleNormal="85" workbookViewId="0">
      <selection activeCell="H20" sqref="H20"/>
    </sheetView>
  </sheetViews>
  <sheetFormatPr defaultRowHeight="14.4" x14ac:dyDescent="0.3"/>
  <cols>
    <col min="1" max="1" width="23.88671875" customWidth="1"/>
    <col min="2" max="3" width="41.109375" customWidth="1"/>
    <col min="4" max="4" width="10.33203125" bestFit="1" customWidth="1"/>
    <col min="5" max="8" width="41.109375" customWidth="1"/>
  </cols>
  <sheetData>
    <row r="1" spans="1:8" s="22" customFormat="1" ht="16.8" thickTop="1" thickBot="1" x14ac:dyDescent="0.3">
      <c r="A1" s="30" t="s">
        <v>124</v>
      </c>
      <c r="B1" s="30"/>
      <c r="C1" s="30"/>
      <c r="D1" s="29"/>
      <c r="E1" s="29"/>
      <c r="F1" s="29"/>
      <c r="G1" s="29"/>
      <c r="H1" s="31"/>
    </row>
    <row r="2" spans="1:8" s="13" customFormat="1" ht="15.75" customHeight="1" thickTop="1" x14ac:dyDescent="0.25">
      <c r="A2" s="32" t="s">
        <v>125</v>
      </c>
      <c r="B2" s="260"/>
      <c r="C2" s="260"/>
      <c r="D2" s="32" t="s">
        <v>126</v>
      </c>
      <c r="E2" s="259"/>
      <c r="F2" s="259"/>
      <c r="G2" s="259"/>
      <c r="H2" s="26"/>
    </row>
    <row r="3" spans="1:8" s="13" customFormat="1" ht="26.4" x14ac:dyDescent="0.25">
      <c r="A3" s="32" t="s">
        <v>127</v>
      </c>
      <c r="B3" s="260"/>
      <c r="C3" s="260"/>
      <c r="D3" s="32" t="s">
        <v>128</v>
      </c>
      <c r="E3" s="259"/>
      <c r="F3" s="259"/>
      <c r="G3" s="259"/>
      <c r="H3" s="27"/>
    </row>
    <row r="4" spans="1:8" s="13" customFormat="1" ht="26.4" x14ac:dyDescent="0.25">
      <c r="A4" s="32" t="s">
        <v>88</v>
      </c>
      <c r="B4" s="260"/>
      <c r="C4" s="260"/>
      <c r="D4" s="32" t="s">
        <v>129</v>
      </c>
      <c r="E4" s="259"/>
      <c r="F4" s="259"/>
      <c r="G4" s="259"/>
      <c r="H4" s="27"/>
    </row>
    <row r="5" spans="1:8" s="13" customFormat="1" ht="15.75" customHeight="1" thickBot="1" x14ac:dyDescent="0.3">
      <c r="A5" s="32" t="s">
        <v>130</v>
      </c>
      <c r="B5" s="260"/>
      <c r="C5" s="260"/>
      <c r="D5" s="32" t="s">
        <v>131</v>
      </c>
      <c r="E5" s="259"/>
      <c r="F5" s="259"/>
      <c r="G5" s="259"/>
      <c r="H5" s="28"/>
    </row>
    <row r="6" spans="1:8" ht="15" thickTop="1" x14ac:dyDescent="0.3">
      <c r="A6" s="7" t="s">
        <v>92</v>
      </c>
      <c r="B6" s="7" t="s">
        <v>93</v>
      </c>
      <c r="C6" s="7" t="s">
        <v>94</v>
      </c>
      <c r="D6" s="7" t="s">
        <v>132</v>
      </c>
      <c r="E6" s="7" t="s">
        <v>133</v>
      </c>
      <c r="F6" s="7" t="s">
        <v>134</v>
      </c>
      <c r="G6" s="7" t="s">
        <v>135</v>
      </c>
      <c r="H6" s="8" t="s">
        <v>136</v>
      </c>
    </row>
    <row r="7" spans="1:8" ht="15.6" x14ac:dyDescent="0.3">
      <c r="A7" s="6" t="s">
        <v>137</v>
      </c>
      <c r="B7" s="5"/>
      <c r="C7" s="5"/>
      <c r="D7" s="5"/>
      <c r="E7" s="5"/>
      <c r="F7" s="5"/>
      <c r="G7" s="5"/>
      <c r="H7" s="9"/>
    </row>
    <row r="8" spans="1:8" x14ac:dyDescent="0.3">
      <c r="A8" s="3">
        <v>1.1000000000000001</v>
      </c>
      <c r="B8" s="3" t="s">
        <v>100</v>
      </c>
      <c r="C8" s="4" t="s">
        <v>138</v>
      </c>
      <c r="D8" s="33"/>
      <c r="E8" s="4"/>
      <c r="F8" s="4"/>
      <c r="G8" s="4" t="s">
        <v>52</v>
      </c>
      <c r="H8" s="4" t="s">
        <v>52</v>
      </c>
    </row>
    <row r="9" spans="1:8" x14ac:dyDescent="0.3">
      <c r="A9" s="12" t="s">
        <v>139</v>
      </c>
      <c r="B9" s="3" t="s">
        <v>100</v>
      </c>
      <c r="C9" s="1" t="s">
        <v>140</v>
      </c>
      <c r="D9" s="33"/>
      <c r="E9" s="4"/>
      <c r="F9" s="4"/>
      <c r="G9" s="4" t="s">
        <v>52</v>
      </c>
      <c r="H9" s="4" t="s">
        <v>52</v>
      </c>
    </row>
    <row r="10" spans="1:8" x14ac:dyDescent="0.3">
      <c r="A10" s="12" t="s">
        <v>141</v>
      </c>
      <c r="B10" s="3" t="s">
        <v>100</v>
      </c>
      <c r="C10" s="1" t="s">
        <v>142</v>
      </c>
      <c r="D10" s="33"/>
      <c r="E10" s="4"/>
      <c r="F10" s="4"/>
      <c r="G10" s="4" t="s">
        <v>52</v>
      </c>
      <c r="H10" s="4" t="s">
        <v>52</v>
      </c>
    </row>
    <row r="11" spans="1:8" x14ac:dyDescent="0.3">
      <c r="A11" s="12" t="s">
        <v>143</v>
      </c>
      <c r="B11" s="3" t="s">
        <v>100</v>
      </c>
      <c r="C11" s="1" t="s">
        <v>144</v>
      </c>
      <c r="D11" s="33"/>
      <c r="E11" s="4"/>
      <c r="F11" s="4"/>
      <c r="G11" s="4" t="s">
        <v>52</v>
      </c>
      <c r="H11" s="4" t="s">
        <v>52</v>
      </c>
    </row>
    <row r="12" spans="1:8" x14ac:dyDescent="0.3">
      <c r="A12" s="12" t="s">
        <v>145</v>
      </c>
      <c r="B12" s="3" t="s">
        <v>100</v>
      </c>
      <c r="C12" s="1" t="s">
        <v>146</v>
      </c>
      <c r="D12" s="33"/>
      <c r="E12" s="4"/>
      <c r="F12" s="4"/>
      <c r="G12" s="4" t="s">
        <v>52</v>
      </c>
      <c r="H12" s="4" t="s">
        <v>52</v>
      </c>
    </row>
    <row r="13" spans="1:8" x14ac:dyDescent="0.3">
      <c r="A13" s="12" t="s">
        <v>147</v>
      </c>
      <c r="B13" s="3" t="s">
        <v>100</v>
      </c>
      <c r="C13" s="1" t="s">
        <v>148</v>
      </c>
      <c r="D13" s="33"/>
      <c r="E13" s="4"/>
      <c r="F13" s="4"/>
      <c r="G13" s="4" t="s">
        <v>52</v>
      </c>
      <c r="H13" s="4" t="s">
        <v>52</v>
      </c>
    </row>
    <row r="14" spans="1:8" x14ac:dyDescent="0.3">
      <c r="A14" s="12" t="s">
        <v>149</v>
      </c>
      <c r="B14" s="3" t="s">
        <v>100</v>
      </c>
      <c r="C14" s="1" t="s">
        <v>150</v>
      </c>
      <c r="D14" s="33"/>
      <c r="E14" s="4"/>
      <c r="F14" s="4"/>
      <c r="G14" s="4" t="s">
        <v>52</v>
      </c>
      <c r="H14" s="4" t="s">
        <v>52</v>
      </c>
    </row>
    <row r="15" spans="1:8" ht="35.4" x14ac:dyDescent="0.3">
      <c r="A15" s="3">
        <v>1.2</v>
      </c>
      <c r="B15" s="3" t="s">
        <v>151</v>
      </c>
      <c r="C15" s="4" t="s">
        <v>152</v>
      </c>
      <c r="D15" s="33"/>
      <c r="E15" s="4"/>
      <c r="F15" s="4"/>
      <c r="G15" s="4" t="s">
        <v>52</v>
      </c>
      <c r="H15" s="4" t="s">
        <v>52</v>
      </c>
    </row>
    <row r="16" spans="1:8" ht="35.4" x14ac:dyDescent="0.3">
      <c r="A16" s="3">
        <v>1.3</v>
      </c>
      <c r="B16" s="3" t="s">
        <v>153</v>
      </c>
      <c r="C16" s="4" t="s">
        <v>154</v>
      </c>
      <c r="D16" s="33"/>
      <c r="E16" s="4"/>
      <c r="F16" s="4"/>
      <c r="G16" s="4" t="s">
        <v>52</v>
      </c>
      <c r="H16" s="4" t="s">
        <v>52</v>
      </c>
    </row>
    <row r="17" spans="1:8" x14ac:dyDescent="0.3">
      <c r="A17" s="12" t="s">
        <v>155</v>
      </c>
      <c r="B17" s="3" t="s">
        <v>153</v>
      </c>
      <c r="C17" s="1" t="s">
        <v>156</v>
      </c>
      <c r="D17" s="33"/>
      <c r="E17" s="4"/>
      <c r="F17" s="4" t="s">
        <v>157</v>
      </c>
      <c r="G17" s="4" t="s">
        <v>52</v>
      </c>
      <c r="H17" s="4" t="s">
        <v>52</v>
      </c>
    </row>
    <row r="18" spans="1:8" x14ac:dyDescent="0.3">
      <c r="A18" s="12" t="s">
        <v>158</v>
      </c>
      <c r="B18" s="3" t="s">
        <v>153</v>
      </c>
      <c r="C18" s="1" t="s">
        <v>159</v>
      </c>
      <c r="D18" s="33"/>
      <c r="E18" s="4"/>
      <c r="F18" s="4" t="s">
        <v>157</v>
      </c>
      <c r="G18" s="4" t="s">
        <v>52</v>
      </c>
      <c r="H18" s="4" t="s">
        <v>52</v>
      </c>
    </row>
    <row r="19" spans="1:8" x14ac:dyDescent="0.3">
      <c r="A19" s="12" t="s">
        <v>160</v>
      </c>
      <c r="B19" s="3" t="s">
        <v>153</v>
      </c>
      <c r="C19" s="1" t="s">
        <v>161</v>
      </c>
      <c r="D19" s="33"/>
      <c r="E19" s="4"/>
      <c r="F19" s="4" t="s">
        <v>157</v>
      </c>
      <c r="G19" s="4" t="s">
        <v>52</v>
      </c>
      <c r="H19" s="4" t="s">
        <v>52</v>
      </c>
    </row>
    <row r="20" spans="1:8" x14ac:dyDescent="0.3">
      <c r="A20" s="12" t="s">
        <v>162</v>
      </c>
      <c r="B20" s="3" t="s">
        <v>153</v>
      </c>
      <c r="C20" s="1" t="s">
        <v>163</v>
      </c>
      <c r="D20" s="33"/>
      <c r="E20" s="4"/>
      <c r="F20" s="4" t="s">
        <v>157</v>
      </c>
      <c r="G20" s="4" t="s">
        <v>52</v>
      </c>
      <c r="H20" s="4" t="s">
        <v>52</v>
      </c>
    </row>
    <row r="21" spans="1:8" x14ac:dyDescent="0.3">
      <c r="A21" s="12" t="s">
        <v>164</v>
      </c>
      <c r="B21" s="3" t="s">
        <v>153</v>
      </c>
      <c r="C21" s="1" t="s">
        <v>165</v>
      </c>
      <c r="D21" s="33"/>
      <c r="E21" s="4"/>
      <c r="F21" s="4" t="s">
        <v>157</v>
      </c>
      <c r="G21" s="4" t="s">
        <v>52</v>
      </c>
      <c r="H21" s="4" t="s">
        <v>52</v>
      </c>
    </row>
    <row r="22" spans="1:8" ht="24" x14ac:dyDescent="0.3">
      <c r="A22" s="12" t="s">
        <v>166</v>
      </c>
      <c r="B22" s="3" t="s">
        <v>153</v>
      </c>
      <c r="C22" s="1" t="s">
        <v>167</v>
      </c>
      <c r="D22" s="33"/>
      <c r="E22" s="4"/>
      <c r="F22" s="4" t="s">
        <v>157</v>
      </c>
      <c r="G22" s="4" t="s">
        <v>52</v>
      </c>
      <c r="H22" s="4" t="s">
        <v>52</v>
      </c>
    </row>
    <row r="23" spans="1:8" ht="24" x14ac:dyDescent="0.3">
      <c r="A23" s="12" t="s">
        <v>168</v>
      </c>
      <c r="B23" s="3" t="s">
        <v>153</v>
      </c>
      <c r="C23" s="1" t="s">
        <v>169</v>
      </c>
      <c r="D23" s="33"/>
      <c r="E23" s="4"/>
      <c r="F23" s="4" t="s">
        <v>157</v>
      </c>
      <c r="G23" s="4" t="s">
        <v>52</v>
      </c>
      <c r="H23" s="4" t="s">
        <v>52</v>
      </c>
    </row>
    <row r="24" spans="1:8" x14ac:dyDescent="0.3">
      <c r="A24" s="12" t="s">
        <v>170</v>
      </c>
      <c r="B24" s="3" t="s">
        <v>153</v>
      </c>
      <c r="C24" s="1" t="s">
        <v>171</v>
      </c>
      <c r="D24" s="33"/>
      <c r="E24" s="4"/>
      <c r="F24" s="4" t="s">
        <v>157</v>
      </c>
      <c r="G24" s="4" t="s">
        <v>52</v>
      </c>
      <c r="H24" s="4" t="s">
        <v>52</v>
      </c>
    </row>
    <row r="25" spans="1:8" ht="35.4" x14ac:dyDescent="0.3">
      <c r="A25" s="3">
        <v>1.4</v>
      </c>
      <c r="B25" s="3" t="s">
        <v>172</v>
      </c>
      <c r="C25" s="4" t="s">
        <v>173</v>
      </c>
      <c r="D25" s="33"/>
      <c r="E25" s="4"/>
      <c r="F25" s="4" t="s">
        <v>174</v>
      </c>
      <c r="G25" s="4" t="s">
        <v>52</v>
      </c>
      <c r="H25" s="4" t="s">
        <v>52</v>
      </c>
    </row>
    <row r="26" spans="1:8" ht="24" x14ac:dyDescent="0.3">
      <c r="A26" s="3">
        <v>1.5</v>
      </c>
      <c r="B26" s="3" t="s">
        <v>175</v>
      </c>
      <c r="C26" s="4" t="s">
        <v>176</v>
      </c>
      <c r="D26" s="33"/>
      <c r="E26" s="4" t="s">
        <v>177</v>
      </c>
      <c r="F26" s="4"/>
      <c r="G26" s="4" t="s">
        <v>52</v>
      </c>
      <c r="H26" s="4" t="s">
        <v>52</v>
      </c>
    </row>
    <row r="27" spans="1:8" ht="46.8" x14ac:dyDescent="0.3">
      <c r="A27" s="3">
        <v>1.6</v>
      </c>
      <c r="B27" s="3" t="s">
        <v>175</v>
      </c>
      <c r="C27" s="4" t="s">
        <v>178</v>
      </c>
      <c r="D27" s="33"/>
      <c r="E27" s="4" t="s">
        <v>179</v>
      </c>
      <c r="F27" s="4"/>
      <c r="G27" s="4" t="s">
        <v>52</v>
      </c>
      <c r="H27" s="4" t="s">
        <v>52</v>
      </c>
    </row>
    <row r="28" spans="1:8" ht="46.8" x14ac:dyDescent="0.3">
      <c r="A28" s="3">
        <v>1.7</v>
      </c>
      <c r="B28" s="3" t="s">
        <v>180</v>
      </c>
      <c r="C28" s="4" t="s">
        <v>181</v>
      </c>
      <c r="D28" s="33"/>
      <c r="E28" s="4"/>
      <c r="F28" s="4"/>
      <c r="G28" s="4" t="s">
        <v>182</v>
      </c>
      <c r="H28" s="4" t="s">
        <v>183</v>
      </c>
    </row>
    <row r="29" spans="1:8" ht="24" x14ac:dyDescent="0.3">
      <c r="A29" s="10">
        <v>1.8</v>
      </c>
      <c r="B29" s="3" t="s">
        <v>102</v>
      </c>
      <c r="C29" s="4" t="s">
        <v>184</v>
      </c>
      <c r="D29" s="33"/>
      <c r="E29" s="4"/>
      <c r="F29" s="4"/>
      <c r="G29" s="4" t="s">
        <v>52</v>
      </c>
      <c r="H29" s="4" t="s">
        <v>52</v>
      </c>
    </row>
    <row r="30" spans="1:8" ht="24" x14ac:dyDescent="0.3">
      <c r="A30" s="12" t="s">
        <v>185</v>
      </c>
      <c r="B30" s="3" t="s">
        <v>102</v>
      </c>
      <c r="C30" s="1" t="s">
        <v>186</v>
      </c>
      <c r="D30" s="33"/>
      <c r="E30" s="4"/>
      <c r="F30" s="4"/>
      <c r="G30" s="4" t="s">
        <v>52</v>
      </c>
      <c r="H30" s="4" t="s">
        <v>52</v>
      </c>
    </row>
    <row r="31" spans="1:8" ht="24" x14ac:dyDescent="0.3">
      <c r="A31" s="12" t="s">
        <v>187</v>
      </c>
      <c r="B31" s="3" t="s">
        <v>102</v>
      </c>
      <c r="C31" s="1" t="s">
        <v>188</v>
      </c>
      <c r="D31" s="33"/>
      <c r="E31" s="4"/>
      <c r="F31" s="4"/>
      <c r="G31" s="4" t="s">
        <v>52</v>
      </c>
      <c r="H31" s="4" t="s">
        <v>52</v>
      </c>
    </row>
    <row r="32" spans="1:8" ht="24" x14ac:dyDescent="0.3">
      <c r="A32" s="3">
        <v>1.9</v>
      </c>
      <c r="B32" s="3" t="s">
        <v>102</v>
      </c>
      <c r="C32" s="4" t="s">
        <v>189</v>
      </c>
      <c r="D32" s="33"/>
      <c r="E32" s="4" t="s">
        <v>190</v>
      </c>
      <c r="F32" s="4"/>
      <c r="G32" s="4" t="s">
        <v>191</v>
      </c>
      <c r="H32" s="4" t="s">
        <v>192</v>
      </c>
    </row>
    <row r="33" spans="1:8" ht="24" x14ac:dyDescent="0.3">
      <c r="A33" s="11">
        <v>1.1000000000000001</v>
      </c>
      <c r="B33" s="3" t="s">
        <v>193</v>
      </c>
      <c r="C33" s="4" t="s">
        <v>194</v>
      </c>
      <c r="D33" s="33"/>
      <c r="E33" s="4"/>
      <c r="F33" s="4"/>
      <c r="G33" s="4" t="s">
        <v>52</v>
      </c>
      <c r="H33" s="4" t="s">
        <v>52</v>
      </c>
    </row>
    <row r="34" spans="1:8" x14ac:dyDescent="0.3">
      <c r="A34" s="12" t="s">
        <v>195</v>
      </c>
      <c r="B34" s="3" t="s">
        <v>193</v>
      </c>
      <c r="C34" s="1" t="s">
        <v>196</v>
      </c>
      <c r="D34" s="33"/>
      <c r="E34" s="4"/>
      <c r="F34" s="4"/>
      <c r="G34" s="4" t="s">
        <v>52</v>
      </c>
      <c r="H34" s="4" t="s">
        <v>52</v>
      </c>
    </row>
    <row r="35" spans="1:8" x14ac:dyDescent="0.3">
      <c r="A35" s="12" t="s">
        <v>197</v>
      </c>
      <c r="B35" s="3" t="s">
        <v>193</v>
      </c>
      <c r="C35" s="1" t="s">
        <v>161</v>
      </c>
      <c r="D35" s="33"/>
      <c r="E35" s="4"/>
      <c r="F35" s="4"/>
      <c r="G35" s="4" t="s">
        <v>52</v>
      </c>
      <c r="H35" s="4" t="s">
        <v>52</v>
      </c>
    </row>
    <row r="36" spans="1:8" x14ac:dyDescent="0.3">
      <c r="A36" s="12" t="s">
        <v>198</v>
      </c>
      <c r="B36" s="3" t="s">
        <v>193</v>
      </c>
      <c r="C36" s="1" t="s">
        <v>159</v>
      </c>
      <c r="D36" s="33"/>
      <c r="E36" s="4"/>
      <c r="F36" s="4"/>
      <c r="G36" s="4" t="s">
        <v>52</v>
      </c>
      <c r="H36" s="4" t="s">
        <v>52</v>
      </c>
    </row>
    <row r="37" spans="1:8" x14ac:dyDescent="0.3">
      <c r="A37" s="12" t="s">
        <v>199</v>
      </c>
      <c r="B37" s="3" t="s">
        <v>193</v>
      </c>
      <c r="C37" s="1" t="s">
        <v>163</v>
      </c>
      <c r="D37" s="33"/>
      <c r="E37" s="4"/>
      <c r="F37" s="4"/>
      <c r="G37" s="4" t="s">
        <v>52</v>
      </c>
      <c r="H37" s="4" t="s">
        <v>52</v>
      </c>
    </row>
    <row r="38" spans="1:8" x14ac:dyDescent="0.3">
      <c r="A38" s="12" t="s">
        <v>200</v>
      </c>
      <c r="B38" s="3" t="s">
        <v>193</v>
      </c>
      <c r="C38" s="1" t="s">
        <v>165</v>
      </c>
      <c r="D38" s="33"/>
      <c r="E38" s="4"/>
      <c r="F38" s="4"/>
      <c r="G38" s="4" t="s">
        <v>52</v>
      </c>
      <c r="H38" s="4" t="s">
        <v>52</v>
      </c>
    </row>
    <row r="39" spans="1:8" ht="24" x14ac:dyDescent="0.3">
      <c r="A39" s="12" t="s">
        <v>201</v>
      </c>
      <c r="B39" s="3" t="s">
        <v>193</v>
      </c>
      <c r="C39" s="1" t="s">
        <v>167</v>
      </c>
      <c r="D39" s="33"/>
      <c r="E39" s="4"/>
      <c r="F39" s="4"/>
      <c r="G39" s="4" t="s">
        <v>52</v>
      </c>
      <c r="H39" s="4" t="s">
        <v>52</v>
      </c>
    </row>
    <row r="40" spans="1:8" ht="24" x14ac:dyDescent="0.3">
      <c r="A40" s="12" t="s">
        <v>202</v>
      </c>
      <c r="B40" s="3" t="s">
        <v>193</v>
      </c>
      <c r="C40" s="1" t="s">
        <v>169</v>
      </c>
      <c r="D40" s="33"/>
      <c r="E40" s="4"/>
      <c r="F40" s="4"/>
      <c r="G40" s="4" t="s">
        <v>52</v>
      </c>
      <c r="H40" s="4" t="s">
        <v>52</v>
      </c>
    </row>
    <row r="41" spans="1:8" x14ac:dyDescent="0.3">
      <c r="A41" s="12" t="s">
        <v>203</v>
      </c>
      <c r="B41" s="3" t="s">
        <v>193</v>
      </c>
      <c r="C41" s="1" t="s">
        <v>204</v>
      </c>
      <c r="D41" s="33"/>
      <c r="E41" s="4"/>
      <c r="F41" s="4"/>
      <c r="G41" s="4" t="s">
        <v>52</v>
      </c>
      <c r="H41" s="4" t="s">
        <v>52</v>
      </c>
    </row>
    <row r="42" spans="1:8" ht="24" x14ac:dyDescent="0.3">
      <c r="A42" s="3">
        <v>1.1100000000000001</v>
      </c>
      <c r="B42" s="3" t="s">
        <v>205</v>
      </c>
      <c r="C42" s="4" t="s">
        <v>206</v>
      </c>
      <c r="D42" s="33"/>
      <c r="E42" s="4"/>
      <c r="F42" s="4"/>
      <c r="G42" s="4" t="s">
        <v>52</v>
      </c>
      <c r="H42" s="4" t="s">
        <v>52</v>
      </c>
    </row>
  </sheetData>
  <mergeCells count="8">
    <mergeCell ref="E2:G2"/>
    <mergeCell ref="E3:G3"/>
    <mergeCell ref="E4:G4"/>
    <mergeCell ref="E5:G5"/>
    <mergeCell ref="B2:C2"/>
    <mergeCell ref="B3:C3"/>
    <mergeCell ref="B4:C4"/>
    <mergeCell ref="B5:C5"/>
  </mergeCells>
  <dataValidations count="1">
    <dataValidation type="list" showInputMessage="1" showErrorMessage="1" sqref="D8:D42" xr:uid="{00000000-0002-0000-0400-000000000000}">
      <formula1>"Yes, No, Partial, 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0"/>
  <sheetViews>
    <sheetView showGridLines="0" zoomScale="85" zoomScaleNormal="85" workbookViewId="0">
      <selection activeCell="E16" sqref="E16"/>
    </sheetView>
  </sheetViews>
  <sheetFormatPr defaultColWidth="8.88671875" defaultRowHeight="15" customHeight="1" x14ac:dyDescent="0.3"/>
  <cols>
    <col min="1" max="1" width="91" customWidth="1"/>
    <col min="2" max="2" width="40.33203125" customWidth="1"/>
    <col min="3" max="3" width="23.109375" customWidth="1"/>
    <col min="5" max="5" width="80.5546875" customWidth="1"/>
  </cols>
  <sheetData>
    <row r="1" spans="1:7" ht="40.5" customHeight="1" thickBot="1" x14ac:dyDescent="0.35">
      <c r="A1" s="265" t="s">
        <v>914</v>
      </c>
      <c r="B1" s="266"/>
      <c r="C1" s="266"/>
      <c r="D1" s="266"/>
      <c r="E1" s="267"/>
    </row>
    <row r="2" spans="1:7" ht="32.25" customHeight="1" thickTop="1" x14ac:dyDescent="0.3">
      <c r="A2" s="69" t="s">
        <v>911</v>
      </c>
      <c r="B2" s="70"/>
      <c r="C2" s="70"/>
      <c r="D2" s="71"/>
      <c r="E2" s="71"/>
      <c r="F2" s="72"/>
      <c r="G2" s="73"/>
    </row>
    <row r="3" spans="1:7" ht="15" customHeight="1" x14ac:dyDescent="0.3">
      <c r="A3" s="74" t="s">
        <v>125</v>
      </c>
      <c r="B3" s="258" t="s">
        <v>1030</v>
      </c>
      <c r="C3" s="258"/>
      <c r="D3" s="32" t="s">
        <v>126</v>
      </c>
      <c r="E3" s="114" t="s">
        <v>930</v>
      </c>
      <c r="F3" s="75"/>
      <c r="G3" s="76"/>
    </row>
    <row r="4" spans="1:7" ht="15" customHeight="1" x14ac:dyDescent="0.3">
      <c r="A4" s="32" t="s">
        <v>127</v>
      </c>
      <c r="B4" s="258" t="s">
        <v>1031</v>
      </c>
      <c r="C4" s="258"/>
      <c r="D4" s="32" t="s">
        <v>128</v>
      </c>
      <c r="E4" s="114" t="s">
        <v>931</v>
      </c>
      <c r="F4" s="75"/>
      <c r="G4" s="76"/>
    </row>
    <row r="5" spans="1:7" ht="15" customHeight="1" x14ac:dyDescent="0.3">
      <c r="A5" s="32" t="s">
        <v>88</v>
      </c>
      <c r="B5" s="268" t="s">
        <v>1032</v>
      </c>
      <c r="C5" s="258"/>
      <c r="D5" s="32" t="s">
        <v>129</v>
      </c>
      <c r="E5" s="248" t="s">
        <v>1033</v>
      </c>
      <c r="F5" s="75"/>
      <c r="G5" s="76"/>
    </row>
    <row r="6" spans="1:7" ht="15" customHeight="1" x14ac:dyDescent="0.3">
      <c r="A6" s="32" t="s">
        <v>130</v>
      </c>
      <c r="B6" s="269">
        <v>43817</v>
      </c>
      <c r="C6" s="258"/>
      <c r="D6" s="32" t="s">
        <v>131</v>
      </c>
      <c r="E6" s="114" t="s">
        <v>934</v>
      </c>
      <c r="F6" s="75"/>
      <c r="G6" s="76"/>
    </row>
    <row r="7" spans="1:7" ht="15.6" x14ac:dyDescent="0.3">
      <c r="A7" s="263" t="s">
        <v>137</v>
      </c>
      <c r="B7" s="264"/>
      <c r="C7" s="264"/>
      <c r="D7" s="264"/>
      <c r="E7" s="264"/>
      <c r="F7" s="77"/>
    </row>
    <row r="8" spans="1:7" ht="34.799999999999997" x14ac:dyDescent="0.3">
      <c r="A8" s="147" t="s">
        <v>207</v>
      </c>
      <c r="B8" s="147" t="s">
        <v>95</v>
      </c>
      <c r="C8" s="147" t="s">
        <v>208</v>
      </c>
      <c r="D8" s="272" t="s">
        <v>209</v>
      </c>
      <c r="E8" s="273"/>
      <c r="F8" s="77"/>
    </row>
    <row r="9" spans="1:7" x14ac:dyDescent="0.3">
      <c r="A9" s="78"/>
      <c r="B9" s="78"/>
      <c r="C9" s="79"/>
      <c r="D9" s="274"/>
      <c r="E9" s="275"/>
      <c r="F9" s="77"/>
    </row>
    <row r="10" spans="1:7" x14ac:dyDescent="0.3">
      <c r="A10" s="80" t="s">
        <v>915</v>
      </c>
      <c r="B10" s="81" t="s">
        <v>19</v>
      </c>
      <c r="C10" s="82" t="s">
        <v>19</v>
      </c>
      <c r="D10" s="276"/>
      <c r="E10" s="277"/>
      <c r="F10" s="77"/>
    </row>
    <row r="11" spans="1:7" x14ac:dyDescent="0.3">
      <c r="A11" s="83" t="s">
        <v>210</v>
      </c>
      <c r="B11" s="81" t="s">
        <v>930</v>
      </c>
      <c r="C11" s="82" t="s">
        <v>19</v>
      </c>
      <c r="D11" s="276"/>
      <c r="E11" s="277"/>
      <c r="F11" s="77"/>
    </row>
    <row r="12" spans="1:7" x14ac:dyDescent="0.3">
      <c r="A12" s="83" t="s">
        <v>211</v>
      </c>
      <c r="B12" s="81" t="s">
        <v>931</v>
      </c>
      <c r="C12" s="82" t="s">
        <v>19</v>
      </c>
      <c r="D12" s="276"/>
      <c r="E12" s="277"/>
      <c r="F12" s="77"/>
    </row>
    <row r="13" spans="1:7" x14ac:dyDescent="0.3">
      <c r="A13" s="83" t="s">
        <v>212</v>
      </c>
      <c r="B13" s="81" t="s">
        <v>932</v>
      </c>
      <c r="C13" s="82" t="s">
        <v>19</v>
      </c>
      <c r="D13" s="276"/>
      <c r="E13" s="277"/>
      <c r="F13" s="77"/>
    </row>
    <row r="14" spans="1:7" x14ac:dyDescent="0.3">
      <c r="A14" s="80" t="s">
        <v>916</v>
      </c>
      <c r="B14" s="81" t="s">
        <v>30</v>
      </c>
      <c r="C14" s="82" t="s">
        <v>19</v>
      </c>
      <c r="D14" s="276"/>
      <c r="E14" s="277"/>
      <c r="F14" s="77"/>
    </row>
    <row r="15" spans="1:7" x14ac:dyDescent="0.3">
      <c r="A15" s="84" t="s">
        <v>213</v>
      </c>
      <c r="B15" s="81" t="s">
        <v>936</v>
      </c>
      <c r="C15" s="82" t="s">
        <v>19</v>
      </c>
      <c r="D15" s="276"/>
      <c r="E15" s="278"/>
    </row>
    <row r="16" spans="1:7" x14ac:dyDescent="0.3">
      <c r="A16" s="80" t="s">
        <v>917</v>
      </c>
      <c r="B16" s="81"/>
      <c r="C16" s="82" t="s">
        <v>19</v>
      </c>
      <c r="D16" s="145"/>
      <c r="E16" s="146"/>
    </row>
    <row r="17" spans="1:5" x14ac:dyDescent="0.3">
      <c r="A17" s="83" t="s">
        <v>214</v>
      </c>
      <c r="B17" s="81" t="s">
        <v>930</v>
      </c>
      <c r="C17" s="82" t="s">
        <v>19</v>
      </c>
      <c r="D17" s="145"/>
      <c r="E17" s="146"/>
    </row>
    <row r="18" spans="1:5" x14ac:dyDescent="0.3">
      <c r="A18" s="83" t="s">
        <v>211</v>
      </c>
      <c r="B18" s="81" t="s">
        <v>931</v>
      </c>
      <c r="C18" s="82" t="s">
        <v>19</v>
      </c>
      <c r="D18" s="145"/>
      <c r="E18" s="146"/>
    </row>
    <row r="19" spans="1:5" x14ac:dyDescent="0.3">
      <c r="A19" s="83" t="s">
        <v>215</v>
      </c>
      <c r="B19" s="235" t="s">
        <v>933</v>
      </c>
      <c r="C19" s="82" t="s">
        <v>19</v>
      </c>
      <c r="D19" s="145"/>
      <c r="E19" s="146"/>
    </row>
    <row r="20" spans="1:5" x14ac:dyDescent="0.3">
      <c r="A20" s="83" t="s">
        <v>216</v>
      </c>
      <c r="B20" s="81" t="s">
        <v>934</v>
      </c>
      <c r="C20" s="82" t="s">
        <v>19</v>
      </c>
      <c r="D20" s="145"/>
      <c r="E20" s="146"/>
    </row>
    <row r="21" spans="1:5" ht="30" x14ac:dyDescent="0.3">
      <c r="A21" s="80" t="s">
        <v>918</v>
      </c>
      <c r="B21" s="81" t="s">
        <v>19</v>
      </c>
      <c r="C21" s="82" t="s">
        <v>19</v>
      </c>
      <c r="D21" s="276" t="s">
        <v>935</v>
      </c>
      <c r="E21" s="278"/>
    </row>
    <row r="22" spans="1:5" ht="30" x14ac:dyDescent="0.3">
      <c r="A22" s="80" t="s">
        <v>217</v>
      </c>
      <c r="B22" s="81" t="s">
        <v>19</v>
      </c>
      <c r="C22" s="81" t="s">
        <v>19</v>
      </c>
      <c r="D22" s="285" t="s">
        <v>937</v>
      </c>
      <c r="E22" s="286"/>
    </row>
    <row r="23" spans="1:5" x14ac:dyDescent="0.3">
      <c r="A23" s="80" t="s">
        <v>919</v>
      </c>
      <c r="B23" s="81" t="s">
        <v>19</v>
      </c>
      <c r="C23" s="81" t="s">
        <v>19</v>
      </c>
      <c r="D23" s="270"/>
      <c r="E23" s="271"/>
    </row>
    <row r="24" spans="1:5" ht="61.2" customHeight="1" x14ac:dyDescent="0.3">
      <c r="A24" s="80" t="s">
        <v>912</v>
      </c>
      <c r="B24" s="81" t="s">
        <v>30</v>
      </c>
      <c r="C24" s="81" t="s">
        <v>19</v>
      </c>
      <c r="D24" s="270" t="s">
        <v>938</v>
      </c>
      <c r="E24" s="271"/>
    </row>
    <row r="25" spans="1:5" x14ac:dyDescent="0.3">
      <c r="A25" s="80" t="s">
        <v>920</v>
      </c>
      <c r="B25" s="236">
        <v>36164</v>
      </c>
      <c r="C25" s="81" t="s">
        <v>19</v>
      </c>
      <c r="D25" s="270"/>
      <c r="E25" s="271"/>
    </row>
    <row r="26" spans="1:5" x14ac:dyDescent="0.3">
      <c r="A26" s="80" t="s">
        <v>921</v>
      </c>
      <c r="B26" s="81" t="s">
        <v>939</v>
      </c>
      <c r="C26" s="81" t="s">
        <v>19</v>
      </c>
      <c r="D26" s="270"/>
      <c r="E26" s="271"/>
    </row>
    <row r="27" spans="1:5" ht="15.6" x14ac:dyDescent="0.3">
      <c r="A27" s="85" t="s">
        <v>922</v>
      </c>
      <c r="B27" s="81" t="s">
        <v>30</v>
      </c>
      <c r="C27" s="81" t="s">
        <v>19</v>
      </c>
      <c r="D27" s="279"/>
      <c r="E27" s="280"/>
    </row>
    <row r="28" spans="1:5" x14ac:dyDescent="0.3">
      <c r="A28" s="80" t="s">
        <v>218</v>
      </c>
      <c r="B28" s="81" t="s">
        <v>19</v>
      </c>
      <c r="C28" s="81" t="s">
        <v>19</v>
      </c>
      <c r="D28" s="281"/>
      <c r="E28" s="282"/>
    </row>
    <row r="29" spans="1:5" ht="30" x14ac:dyDescent="0.3">
      <c r="A29" s="86" t="s">
        <v>923</v>
      </c>
      <c r="B29" s="81" t="s">
        <v>30</v>
      </c>
      <c r="C29" s="87" t="s">
        <v>19</v>
      </c>
      <c r="D29" s="283"/>
      <c r="E29" s="284"/>
    </row>
    <row r="30" spans="1:5" ht="39.75" customHeight="1" thickBot="1" x14ac:dyDescent="0.35">
      <c r="A30" s="142" t="s">
        <v>913</v>
      </c>
      <c r="B30" s="81" t="s">
        <v>940</v>
      </c>
      <c r="C30" s="143" t="s">
        <v>52</v>
      </c>
      <c r="D30" s="261"/>
      <c r="E30" s="262"/>
    </row>
  </sheetData>
  <sheetProtection selectLockedCells="1"/>
  <mergeCells count="24">
    <mergeCell ref="D27:E27"/>
    <mergeCell ref="D28:E28"/>
    <mergeCell ref="D29:E29"/>
    <mergeCell ref="D21:E21"/>
    <mergeCell ref="D22:E22"/>
    <mergeCell ref="D23:E23"/>
    <mergeCell ref="D25:E25"/>
    <mergeCell ref="D26:E26"/>
    <mergeCell ref="D30:E30"/>
    <mergeCell ref="A7:E7"/>
    <mergeCell ref="A1:E1"/>
    <mergeCell ref="B3:C3"/>
    <mergeCell ref="B4:C4"/>
    <mergeCell ref="B5:C5"/>
    <mergeCell ref="B6:C6"/>
    <mergeCell ref="D24:E24"/>
    <mergeCell ref="D8:E8"/>
    <mergeCell ref="D9:E9"/>
    <mergeCell ref="D10:E10"/>
    <mergeCell ref="D11:E11"/>
    <mergeCell ref="D12:E12"/>
    <mergeCell ref="D13:E13"/>
    <mergeCell ref="D14:E14"/>
    <mergeCell ref="D15:E15"/>
  </mergeCells>
  <dataValidations count="2">
    <dataValidation type="list" showInputMessage="1" showErrorMessage="1" sqref="C10:C29" xr:uid="{00000000-0002-0000-0500-000000000000}">
      <formula1>"Yes, No"</formula1>
    </dataValidation>
    <dataValidation type="list" allowBlank="1" showInputMessage="1" showErrorMessage="1" sqref="B10 B14 B21:B24 B27:B29 B16" xr:uid="{00000000-0002-0000-0500-000001000000}">
      <formula1>"Yes, No"</formula1>
    </dataValidation>
  </dataValidations>
  <hyperlinks>
    <hyperlink ref="B19" r:id="rId1" xr:uid="{4DB5628B-A383-4AB0-B509-90B8B7036ED0}"/>
    <hyperlink ref="B5" r:id="rId2" xr:uid="{47135554-A43C-4575-A242-77F4F7F669B5}"/>
    <hyperlink ref="E5" r:id="rId3" xr:uid="{31D5E4B1-140F-4965-9EC1-097C6ACF0039}"/>
  </hyperlinks>
  <pageMargins left="0.7" right="0.7" top="0.75" bottom="0.75" header="0.3" footer="0.3"/>
  <pageSetup orientation="portrait" horizontalDpi="4294967292" verticalDpi="4294967292"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5"/>
  <sheetViews>
    <sheetView showGridLines="0" zoomScale="72" zoomScaleNormal="85" zoomScalePageLayoutView="70" workbookViewId="0">
      <selection activeCell="F55" sqref="F55"/>
    </sheetView>
  </sheetViews>
  <sheetFormatPr defaultColWidth="9" defaultRowHeight="14.4" x14ac:dyDescent="0.3"/>
  <cols>
    <col min="1" max="1" width="61.109375" customWidth="1"/>
    <col min="2" max="2" width="50.5546875" bestFit="1" customWidth="1"/>
    <col min="3" max="3" width="46.44140625" customWidth="1"/>
    <col min="4" max="4" width="15.6640625" customWidth="1"/>
    <col min="5" max="5" width="26.6640625" customWidth="1"/>
    <col min="6" max="6" width="15.6640625" customWidth="1"/>
    <col min="7" max="7" width="26.6640625" customWidth="1"/>
    <col min="8" max="8" width="21.88671875" bestFit="1" customWidth="1"/>
  </cols>
  <sheetData>
    <row r="1" spans="1:7" ht="18" thickBot="1" x14ac:dyDescent="0.35">
      <c r="A1" s="290" t="s">
        <v>219</v>
      </c>
      <c r="B1" s="291"/>
      <c r="C1" s="291"/>
      <c r="D1" s="291"/>
      <c r="E1" s="291"/>
      <c r="F1" s="291"/>
      <c r="G1" s="291"/>
    </row>
    <row r="2" spans="1:7" ht="21.75" customHeight="1" x14ac:dyDescent="0.35">
      <c r="A2" s="292" t="s">
        <v>895</v>
      </c>
      <c r="B2" s="294" t="s">
        <v>220</v>
      </c>
      <c r="C2" s="295"/>
      <c r="D2" s="294" t="s">
        <v>221</v>
      </c>
      <c r="E2" s="295"/>
      <c r="F2" s="294" t="s">
        <v>222</v>
      </c>
      <c r="G2" s="295"/>
    </row>
    <row r="3" spans="1:7" ht="43.5" customHeight="1" x14ac:dyDescent="0.3">
      <c r="A3" s="293"/>
      <c r="B3" s="88" t="s">
        <v>95</v>
      </c>
      <c r="C3" s="89" t="s">
        <v>223</v>
      </c>
      <c r="D3" s="90" t="s">
        <v>95</v>
      </c>
      <c r="E3" s="91" t="s">
        <v>209</v>
      </c>
      <c r="F3" s="90" t="s">
        <v>95</v>
      </c>
      <c r="G3" s="91" t="s">
        <v>209</v>
      </c>
    </row>
    <row r="4" spans="1:7" ht="87.75" customHeight="1" thickBot="1" x14ac:dyDescent="0.35">
      <c r="A4" s="178" t="s">
        <v>224</v>
      </c>
      <c r="B4" s="237" t="s">
        <v>1028</v>
      </c>
      <c r="C4" s="238" t="s">
        <v>941</v>
      </c>
      <c r="D4" s="119"/>
      <c r="E4" s="120"/>
      <c r="F4" s="119"/>
      <c r="G4" s="120"/>
    </row>
    <row r="5" spans="1:7" ht="31.5" customHeight="1" x14ac:dyDescent="0.3">
      <c r="A5" s="92" t="s">
        <v>225</v>
      </c>
      <c r="B5" s="296"/>
      <c r="C5" s="297"/>
      <c r="D5" s="297"/>
      <c r="E5" s="297"/>
      <c r="F5" s="297"/>
      <c r="G5" s="297"/>
    </row>
    <row r="6" spans="1:7" ht="15" x14ac:dyDescent="0.3">
      <c r="A6" s="93" t="s">
        <v>226</v>
      </c>
      <c r="B6" s="94" t="s">
        <v>30</v>
      </c>
      <c r="C6" s="95"/>
      <c r="D6" s="94"/>
      <c r="E6" s="95"/>
      <c r="F6" s="94"/>
      <c r="G6" s="95"/>
    </row>
    <row r="7" spans="1:7" ht="15.6" thickBot="1" x14ac:dyDescent="0.35">
      <c r="A7" s="96" t="s">
        <v>227</v>
      </c>
      <c r="B7" s="97" t="s">
        <v>19</v>
      </c>
      <c r="C7" s="98"/>
      <c r="D7" s="97"/>
      <c r="E7" s="98"/>
      <c r="F7" s="97"/>
      <c r="G7" s="98"/>
    </row>
    <row r="8" spans="1:7" ht="75.599999999999994" thickBot="1" x14ac:dyDescent="0.35">
      <c r="A8" s="99" t="s">
        <v>896</v>
      </c>
      <c r="B8" s="239" t="s">
        <v>942</v>
      </c>
      <c r="C8" s="101"/>
      <c r="D8" s="100"/>
      <c r="E8" s="101"/>
      <c r="F8" s="100"/>
      <c r="G8" s="101"/>
    </row>
    <row r="9" spans="1:7" ht="31.5" customHeight="1" x14ac:dyDescent="0.3">
      <c r="A9" s="92" t="s">
        <v>228</v>
      </c>
      <c r="B9" s="298" t="s">
        <v>229</v>
      </c>
      <c r="C9" s="299"/>
      <c r="D9" s="299"/>
      <c r="E9" s="299"/>
      <c r="F9" s="299"/>
      <c r="G9" s="300"/>
    </row>
    <row r="10" spans="1:7" ht="45" x14ac:dyDescent="0.3">
      <c r="A10" s="93" t="s">
        <v>897</v>
      </c>
      <c r="B10" s="240" t="s">
        <v>19</v>
      </c>
      <c r="C10" s="241" t="s">
        <v>943</v>
      </c>
      <c r="D10" s="94"/>
      <c r="E10" s="95"/>
      <c r="F10" s="94"/>
      <c r="G10" s="95"/>
    </row>
    <row r="11" spans="1:7" ht="60" x14ac:dyDescent="0.3">
      <c r="A11" s="93" t="s">
        <v>898</v>
      </c>
      <c r="B11" s="240" t="s">
        <v>19</v>
      </c>
      <c r="C11" s="242" t="s">
        <v>944</v>
      </c>
      <c r="D11" s="102"/>
      <c r="E11" s="103"/>
      <c r="F11" s="102"/>
      <c r="G11" s="103"/>
    </row>
    <row r="12" spans="1:7" ht="30" x14ac:dyDescent="0.3">
      <c r="A12" s="93" t="s">
        <v>899</v>
      </c>
      <c r="B12" s="240" t="s">
        <v>30</v>
      </c>
      <c r="C12" s="242" t="s">
        <v>945</v>
      </c>
      <c r="D12" s="102"/>
      <c r="E12" s="103"/>
      <c r="F12" s="102"/>
      <c r="G12" s="103"/>
    </row>
    <row r="13" spans="1:7" ht="30" x14ac:dyDescent="0.3">
      <c r="A13" s="93" t="s">
        <v>900</v>
      </c>
      <c r="B13" s="240" t="s">
        <v>19</v>
      </c>
      <c r="C13" s="242" t="s">
        <v>946</v>
      </c>
      <c r="D13" s="102"/>
      <c r="E13" s="103"/>
      <c r="F13" s="102"/>
      <c r="G13" s="103"/>
    </row>
    <row r="14" spans="1:7" ht="15" x14ac:dyDescent="0.3">
      <c r="A14" s="93" t="s">
        <v>901</v>
      </c>
      <c r="B14" s="240" t="s">
        <v>19</v>
      </c>
      <c r="C14" s="242" t="s">
        <v>947</v>
      </c>
      <c r="D14" s="102"/>
      <c r="E14" s="103"/>
      <c r="F14" s="102"/>
      <c r="G14" s="103"/>
    </row>
    <row r="15" spans="1:7" ht="15.6" thickBot="1" x14ac:dyDescent="0.35">
      <c r="A15" s="96" t="s">
        <v>902</v>
      </c>
      <c r="B15" s="240" t="s">
        <v>30</v>
      </c>
      <c r="C15" s="243"/>
      <c r="D15" s="97"/>
      <c r="E15" s="98"/>
      <c r="F15" s="97"/>
      <c r="G15" s="98"/>
    </row>
    <row r="16" spans="1:7" ht="31.5" customHeight="1" x14ac:dyDescent="0.3">
      <c r="A16" s="92" t="s">
        <v>903</v>
      </c>
      <c r="B16" s="298" t="s">
        <v>229</v>
      </c>
      <c r="C16" s="299"/>
      <c r="D16" s="299"/>
      <c r="E16" s="299"/>
      <c r="F16" s="299"/>
      <c r="G16" s="300"/>
    </row>
    <row r="17" spans="1:7" ht="30" x14ac:dyDescent="0.3">
      <c r="A17" s="93" t="s">
        <v>140</v>
      </c>
      <c r="B17" s="102" t="s">
        <v>19</v>
      </c>
      <c r="C17" s="95" t="s">
        <v>948</v>
      </c>
      <c r="D17" s="94"/>
      <c r="E17" s="95"/>
      <c r="F17" s="94"/>
      <c r="G17" s="95"/>
    </row>
    <row r="18" spans="1:7" ht="15" x14ac:dyDescent="0.3">
      <c r="A18" s="93" t="s">
        <v>146</v>
      </c>
      <c r="B18" s="102" t="s">
        <v>30</v>
      </c>
      <c r="C18" s="103"/>
      <c r="D18" s="102"/>
      <c r="E18" s="103"/>
      <c r="F18" s="102"/>
      <c r="G18" s="103"/>
    </row>
    <row r="19" spans="1:7" ht="15" x14ac:dyDescent="0.3">
      <c r="A19" s="93" t="s">
        <v>148</v>
      </c>
      <c r="B19" s="102" t="s">
        <v>30</v>
      </c>
      <c r="C19" s="103"/>
      <c r="D19" s="102"/>
      <c r="E19" s="103"/>
      <c r="F19" s="102"/>
      <c r="G19" s="103"/>
    </row>
    <row r="20" spans="1:7" ht="15" x14ac:dyDescent="0.3">
      <c r="A20" s="93" t="s">
        <v>150</v>
      </c>
      <c r="B20" s="102" t="s">
        <v>30</v>
      </c>
      <c r="C20" s="103"/>
      <c r="D20" s="102"/>
      <c r="E20" s="103"/>
      <c r="F20" s="104"/>
      <c r="G20" s="105"/>
    </row>
    <row r="21" spans="1:7" ht="15.6" thickBot="1" x14ac:dyDescent="0.35">
      <c r="A21" s="96" t="s">
        <v>904</v>
      </c>
      <c r="B21" s="97" t="s">
        <v>30</v>
      </c>
      <c r="C21" s="98"/>
      <c r="D21" s="97"/>
      <c r="E21" s="98"/>
      <c r="F21" s="106"/>
      <c r="G21" s="107"/>
    </row>
    <row r="22" spans="1:7" ht="47.25" customHeight="1" x14ac:dyDescent="0.3">
      <c r="A22" s="92" t="s">
        <v>905</v>
      </c>
      <c r="B22" s="298" t="s">
        <v>229</v>
      </c>
      <c r="C22" s="299"/>
      <c r="D22" s="299"/>
      <c r="E22" s="299"/>
      <c r="F22" s="299"/>
      <c r="G22" s="300"/>
    </row>
    <row r="23" spans="1:7" ht="75" x14ac:dyDescent="0.3">
      <c r="A23" s="93" t="s">
        <v>906</v>
      </c>
      <c r="B23" s="94" t="s">
        <v>19</v>
      </c>
      <c r="C23" s="241" t="s">
        <v>1029</v>
      </c>
      <c r="D23" s="94"/>
      <c r="E23" s="95"/>
      <c r="F23" s="94"/>
      <c r="G23" s="95"/>
    </row>
    <row r="24" spans="1:7" ht="43.2" x14ac:dyDescent="0.3">
      <c r="A24" s="93" t="s">
        <v>924</v>
      </c>
      <c r="B24" s="94" t="s">
        <v>30</v>
      </c>
      <c r="C24" s="246" t="s">
        <v>954</v>
      </c>
      <c r="D24" s="94"/>
      <c r="E24" s="95"/>
      <c r="F24" s="94"/>
      <c r="G24" s="95"/>
    </row>
    <row r="25" spans="1:7" ht="15" x14ac:dyDescent="0.3">
      <c r="A25" s="93" t="s">
        <v>907</v>
      </c>
      <c r="B25" s="102" t="s">
        <v>30</v>
      </c>
      <c r="D25" s="102"/>
      <c r="E25" s="103"/>
      <c r="F25" s="102" t="s">
        <v>230</v>
      </c>
      <c r="G25" s="103"/>
    </row>
    <row r="26" spans="1:7" ht="15" x14ac:dyDescent="0.3">
      <c r="A26" s="93" t="s">
        <v>925</v>
      </c>
      <c r="B26" s="102" t="s">
        <v>30</v>
      </c>
      <c r="C26" s="103"/>
      <c r="D26" s="102"/>
      <c r="E26" s="103"/>
      <c r="F26" s="102"/>
      <c r="G26" s="103"/>
    </row>
    <row r="27" spans="1:7" ht="60" x14ac:dyDescent="0.3">
      <c r="A27" s="93" t="s">
        <v>231</v>
      </c>
      <c r="B27" s="102" t="s">
        <v>19</v>
      </c>
      <c r="C27" s="242" t="s">
        <v>949</v>
      </c>
      <c r="D27" s="102"/>
      <c r="E27" s="103"/>
      <c r="F27" s="102"/>
      <c r="G27" s="103"/>
    </row>
    <row r="28" spans="1:7" ht="15.6" thickBot="1" x14ac:dyDescent="0.35">
      <c r="A28" s="96" t="s">
        <v>232</v>
      </c>
      <c r="B28" s="97" t="s">
        <v>30</v>
      </c>
      <c r="C28" s="98"/>
      <c r="D28" s="97"/>
      <c r="E28" s="98"/>
      <c r="F28" s="106"/>
      <c r="G28" s="107"/>
    </row>
    <row r="29" spans="1:7" ht="31.5" customHeight="1" x14ac:dyDescent="0.3">
      <c r="A29" s="92" t="s">
        <v>233</v>
      </c>
      <c r="B29" s="298" t="s">
        <v>229</v>
      </c>
      <c r="C29" s="299"/>
      <c r="D29" s="299"/>
      <c r="E29" s="299"/>
      <c r="F29" s="299"/>
      <c r="G29" s="300"/>
    </row>
    <row r="30" spans="1:7" ht="75" x14ac:dyDescent="0.3">
      <c r="A30" s="93" t="s">
        <v>908</v>
      </c>
      <c r="B30" s="94" t="s">
        <v>19</v>
      </c>
      <c r="C30" s="241" t="s">
        <v>950</v>
      </c>
      <c r="D30" s="94"/>
      <c r="E30" s="95"/>
      <c r="F30" s="94"/>
      <c r="G30" s="95"/>
    </row>
    <row r="31" spans="1:7" ht="15" x14ac:dyDescent="0.3">
      <c r="A31" s="93" t="s">
        <v>926</v>
      </c>
      <c r="B31" s="102" t="s">
        <v>30</v>
      </c>
      <c r="C31" s="103"/>
      <c r="D31" s="102"/>
      <c r="E31" s="103"/>
      <c r="F31" s="102"/>
      <c r="G31" s="103"/>
    </row>
    <row r="32" spans="1:7" ht="15" x14ac:dyDescent="0.3">
      <c r="A32" s="93" t="s">
        <v>234</v>
      </c>
      <c r="B32" s="102" t="s">
        <v>30</v>
      </c>
      <c r="C32" s="103"/>
      <c r="D32" s="102"/>
      <c r="E32" s="103"/>
      <c r="F32" s="102"/>
      <c r="G32" s="103"/>
    </row>
    <row r="33" spans="1:7" ht="15" x14ac:dyDescent="0.3">
      <c r="A33" s="93" t="s">
        <v>906</v>
      </c>
      <c r="B33" s="102" t="s">
        <v>30</v>
      </c>
      <c r="C33" s="103"/>
      <c r="D33" s="102"/>
      <c r="E33" s="103"/>
      <c r="F33" s="102"/>
      <c r="G33" s="103"/>
    </row>
    <row r="34" spans="1:7" ht="15" x14ac:dyDescent="0.3">
      <c r="A34" s="93" t="s">
        <v>924</v>
      </c>
      <c r="B34" s="102" t="s">
        <v>30</v>
      </c>
      <c r="C34" s="103"/>
      <c r="D34" s="102"/>
      <c r="E34" s="103"/>
      <c r="F34" s="102"/>
      <c r="G34" s="103"/>
    </row>
    <row r="35" spans="1:7" ht="15" x14ac:dyDescent="0.3">
      <c r="A35" s="93" t="s">
        <v>907</v>
      </c>
      <c r="B35" s="102" t="s">
        <v>30</v>
      </c>
      <c r="C35" s="103"/>
      <c r="D35" s="102"/>
      <c r="E35" s="103"/>
      <c r="F35" s="102"/>
      <c r="G35" s="103"/>
    </row>
    <row r="36" spans="1:7" ht="15" x14ac:dyDescent="0.3">
      <c r="A36" s="93" t="s">
        <v>927</v>
      </c>
      <c r="B36" s="102" t="s">
        <v>30</v>
      </c>
      <c r="C36" s="103"/>
      <c r="D36" s="102"/>
      <c r="E36" s="103"/>
      <c r="F36" s="102"/>
      <c r="G36" s="103"/>
    </row>
    <row r="37" spans="1:7" ht="15" x14ac:dyDescent="0.3">
      <c r="A37" s="93" t="s">
        <v>231</v>
      </c>
      <c r="B37" s="102" t="s">
        <v>30</v>
      </c>
      <c r="C37" s="103"/>
      <c r="D37" s="102"/>
      <c r="E37" s="103"/>
      <c r="F37" s="102"/>
      <c r="G37" s="103"/>
    </row>
    <row r="38" spans="1:7" ht="15.6" thickBot="1" x14ac:dyDescent="0.35">
      <c r="A38" s="96" t="s">
        <v>235</v>
      </c>
      <c r="B38" s="102" t="s">
        <v>30</v>
      </c>
      <c r="C38" s="98"/>
      <c r="D38" s="97"/>
      <c r="E38" s="98"/>
      <c r="F38" s="106"/>
      <c r="G38" s="107"/>
    </row>
    <row r="39" spans="1:7" ht="30" x14ac:dyDescent="0.3">
      <c r="A39" s="92" t="s">
        <v>236</v>
      </c>
      <c r="B39" s="287"/>
      <c r="C39" s="288"/>
      <c r="D39" s="288"/>
      <c r="E39" s="288"/>
      <c r="F39" s="288"/>
      <c r="G39" s="289"/>
    </row>
    <row r="40" spans="1:7" ht="15.6" thickBot="1" x14ac:dyDescent="0.35">
      <c r="A40" s="93" t="s">
        <v>237</v>
      </c>
      <c r="B40" s="244" t="s">
        <v>30</v>
      </c>
      <c r="C40" s="241"/>
      <c r="D40" s="94"/>
      <c r="E40" s="95"/>
      <c r="F40" s="94"/>
      <c r="G40" s="95"/>
    </row>
    <row r="41" spans="1:7" ht="15.6" thickBot="1" x14ac:dyDescent="0.35">
      <c r="A41" s="93" t="s">
        <v>238</v>
      </c>
      <c r="B41" s="244" t="s">
        <v>30</v>
      </c>
      <c r="C41" s="242"/>
      <c r="D41" s="102"/>
      <c r="E41" s="103"/>
      <c r="F41" s="102"/>
      <c r="G41" s="103"/>
    </row>
    <row r="42" spans="1:7" ht="15.6" thickBot="1" x14ac:dyDescent="0.35">
      <c r="A42" s="93" t="s">
        <v>239</v>
      </c>
      <c r="B42" s="244" t="s">
        <v>30</v>
      </c>
      <c r="C42" s="242"/>
      <c r="D42" s="102"/>
      <c r="E42" s="103"/>
      <c r="F42" s="102"/>
      <c r="G42" s="103"/>
    </row>
    <row r="43" spans="1:7" ht="15.6" thickBot="1" x14ac:dyDescent="0.35">
      <c r="A43" s="93" t="s">
        <v>240</v>
      </c>
      <c r="B43" s="244" t="s">
        <v>30</v>
      </c>
      <c r="C43" s="242"/>
      <c r="D43" s="102"/>
      <c r="E43" s="103"/>
      <c r="F43" s="102"/>
      <c r="G43" s="103"/>
    </row>
    <row r="44" spans="1:7" ht="15.6" thickBot="1" x14ac:dyDescent="0.35">
      <c r="A44" s="93" t="s">
        <v>241</v>
      </c>
      <c r="B44" s="244" t="s">
        <v>30</v>
      </c>
      <c r="C44" s="242"/>
      <c r="D44" s="102"/>
      <c r="E44" s="103"/>
      <c r="F44" s="102"/>
      <c r="G44" s="103"/>
    </row>
    <row r="45" spans="1:7" ht="15.6" thickBot="1" x14ac:dyDescent="0.35">
      <c r="A45" s="93" t="s">
        <v>159</v>
      </c>
      <c r="B45" s="244" t="s">
        <v>30</v>
      </c>
      <c r="C45" s="242"/>
      <c r="D45" s="102"/>
      <c r="E45" s="103"/>
      <c r="F45" s="102"/>
      <c r="G45" s="103"/>
    </row>
    <row r="46" spans="1:7" ht="15.6" thickBot="1" x14ac:dyDescent="0.35">
      <c r="A46" s="93" t="s">
        <v>161</v>
      </c>
      <c r="B46" s="244" t="s">
        <v>30</v>
      </c>
      <c r="C46" s="242"/>
      <c r="D46" s="102"/>
      <c r="E46" s="103"/>
      <c r="F46" s="102"/>
      <c r="G46" s="103"/>
    </row>
    <row r="47" spans="1:7" ht="15.6" thickBot="1" x14ac:dyDescent="0.35">
      <c r="A47" s="93" t="s">
        <v>242</v>
      </c>
      <c r="B47" s="244" t="s">
        <v>30</v>
      </c>
      <c r="C47" s="242"/>
      <c r="D47" s="102"/>
      <c r="E47" s="103"/>
      <c r="F47" s="102"/>
      <c r="G47" s="103"/>
    </row>
    <row r="48" spans="1:7" ht="15.6" thickBot="1" x14ac:dyDescent="0.35">
      <c r="A48" s="93" t="s">
        <v>165</v>
      </c>
      <c r="B48" s="244" t="s">
        <v>30</v>
      </c>
      <c r="C48" s="242"/>
      <c r="D48" s="102"/>
      <c r="E48" s="103"/>
      <c r="F48" s="102"/>
      <c r="G48" s="103"/>
    </row>
    <row r="49" spans="1:7" ht="60" x14ac:dyDescent="0.3">
      <c r="A49" s="93" t="s">
        <v>167</v>
      </c>
      <c r="B49" s="240" t="s">
        <v>19</v>
      </c>
      <c r="C49" s="242" t="s">
        <v>956</v>
      </c>
      <c r="D49" s="102"/>
      <c r="E49" s="103"/>
      <c r="F49" s="102"/>
      <c r="G49" s="103"/>
    </row>
    <row r="50" spans="1:7" ht="45" x14ac:dyDescent="0.3">
      <c r="A50" s="93" t="s">
        <v>169</v>
      </c>
      <c r="B50" s="240" t="s">
        <v>30</v>
      </c>
      <c r="C50" s="242" t="s">
        <v>951</v>
      </c>
      <c r="D50" s="102"/>
      <c r="E50" s="103"/>
      <c r="F50" s="102"/>
      <c r="G50" s="103"/>
    </row>
    <row r="51" spans="1:7" ht="15.6" thickBot="1" x14ac:dyDescent="0.35">
      <c r="A51" s="96" t="s">
        <v>171</v>
      </c>
      <c r="B51" s="244" t="s">
        <v>30</v>
      </c>
      <c r="C51" s="243"/>
      <c r="D51" s="97"/>
      <c r="E51" s="98"/>
      <c r="F51" s="97"/>
      <c r="G51" s="98"/>
    </row>
    <row r="52" spans="1:7" ht="30.6" thickBot="1" x14ac:dyDescent="0.35">
      <c r="A52" s="99" t="s">
        <v>909</v>
      </c>
      <c r="B52" s="239" t="s">
        <v>30</v>
      </c>
      <c r="C52" s="121"/>
      <c r="D52" s="100"/>
      <c r="E52" s="121"/>
      <c r="F52" s="100"/>
      <c r="G52" s="121"/>
    </row>
    <row r="53" spans="1:7" ht="75.599999999999994" thickBot="1" x14ac:dyDescent="0.35">
      <c r="A53" s="108" t="s">
        <v>910</v>
      </c>
      <c r="B53" s="245" t="s">
        <v>30</v>
      </c>
      <c r="C53" s="122" t="s">
        <v>952</v>
      </c>
      <c r="D53" s="109"/>
      <c r="E53" s="122"/>
      <c r="F53" s="109"/>
      <c r="G53" s="122"/>
    </row>
    <row r="54" spans="1:7" ht="61.2" thickBot="1" x14ac:dyDescent="0.35">
      <c r="A54" s="110" t="s">
        <v>928</v>
      </c>
      <c r="B54" s="239" t="s">
        <v>19</v>
      </c>
      <c r="C54" s="121"/>
      <c r="D54" s="100"/>
      <c r="E54" s="121"/>
      <c r="F54" s="100"/>
      <c r="G54" s="121"/>
    </row>
    <row r="55" spans="1:7" ht="61.2" thickBot="1" x14ac:dyDescent="0.35">
      <c r="A55" s="111" t="s">
        <v>929</v>
      </c>
      <c r="B55" s="239" t="s">
        <v>19</v>
      </c>
      <c r="C55" s="121"/>
      <c r="D55" s="100"/>
      <c r="E55" s="121"/>
      <c r="F55" s="100"/>
      <c r="G55" s="121"/>
    </row>
  </sheetData>
  <sheetProtection selectLockedCells="1"/>
  <mergeCells count="11">
    <mergeCell ref="B39:G39"/>
    <mergeCell ref="A1:G1"/>
    <mergeCell ref="A2:A3"/>
    <mergeCell ref="B2:C2"/>
    <mergeCell ref="D2:E2"/>
    <mergeCell ref="F2:G2"/>
    <mergeCell ref="B5:G5"/>
    <mergeCell ref="B9:G9"/>
    <mergeCell ref="B16:G16"/>
    <mergeCell ref="B22:G22"/>
    <mergeCell ref="B29:G29"/>
  </mergeCells>
  <dataValidations count="2">
    <dataValidation showInputMessage="1" showErrorMessage="1" sqref="F8 D8 B8" xr:uid="{00000000-0002-0000-0600-000000000000}"/>
    <dataValidation type="list" showInputMessage="1" showErrorMessage="1" sqref="D6:D7 B6:B7 B23:B28 B17:B21 B30:B38 D40:D55 D30:D38 D23:D28 D17:D21 D10:D15 F6:F7 F10:F15 F17:F21 F23:F28 F30:F38 F40:F55 B10:B15 B40:B55" xr:uid="{00000000-0002-0000-0600-000001000000}">
      <formula1>"Yes, No"</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showGridLines="0" zoomScale="101" workbookViewId="0">
      <selection activeCell="I91" sqref="I91"/>
    </sheetView>
  </sheetViews>
  <sheetFormatPr defaultColWidth="9.109375" defaultRowHeight="14.4" x14ac:dyDescent="0.3"/>
  <cols>
    <col min="1" max="1" width="68.44140625" bestFit="1" customWidth="1"/>
    <col min="2" max="2" width="51.44140625" customWidth="1"/>
    <col min="3" max="3" width="66.44140625" bestFit="1" customWidth="1"/>
  </cols>
  <sheetData>
    <row r="1" spans="1:3" ht="20.25" customHeight="1" thickTop="1" x14ac:dyDescent="0.3">
      <c r="A1" s="124" t="s">
        <v>243</v>
      </c>
      <c r="B1" s="124" t="s">
        <v>244</v>
      </c>
      <c r="C1" s="124" t="s">
        <v>245</v>
      </c>
    </row>
    <row r="2" spans="1:3" ht="42" customHeight="1" x14ac:dyDescent="0.3">
      <c r="A2" s="42" t="s">
        <v>246</v>
      </c>
      <c r="B2" s="61"/>
      <c r="C2" s="42" t="s">
        <v>247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showGridLines="0" zoomScale="130" zoomScaleNormal="130" workbookViewId="0">
      <selection activeCell="B2" sqref="B2"/>
    </sheetView>
  </sheetViews>
  <sheetFormatPr defaultColWidth="9.109375" defaultRowHeight="14.4" x14ac:dyDescent="0.3"/>
  <cols>
    <col min="1" max="1" width="86.88671875" customWidth="1"/>
    <col min="2" max="2" width="66.6640625" customWidth="1"/>
    <col min="3" max="3" width="45.6640625" customWidth="1"/>
  </cols>
  <sheetData>
    <row r="1" spans="1:3" ht="15" thickTop="1" x14ac:dyDescent="0.3">
      <c r="A1" s="124" t="s">
        <v>243</v>
      </c>
      <c r="B1" s="124" t="s">
        <v>248</v>
      </c>
      <c r="C1" s="124" t="s">
        <v>245</v>
      </c>
    </row>
    <row r="2" spans="1:3" ht="117.75" customHeight="1" x14ac:dyDescent="0.3">
      <c r="A2" s="42" t="s">
        <v>881</v>
      </c>
      <c r="B2" s="61" t="s">
        <v>953</v>
      </c>
      <c r="C2" s="42" t="s">
        <v>249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showGridLines="0" tabSelected="1" topLeftCell="C1" zoomScale="99" zoomScaleNormal="99" workbookViewId="0">
      <pane ySplit="1" topLeftCell="A11" activePane="bottomLeft" state="frozen"/>
      <selection pane="bottomLeft" activeCell="D21" sqref="D21"/>
    </sheetView>
  </sheetViews>
  <sheetFormatPr defaultColWidth="9.109375" defaultRowHeight="13.8" x14ac:dyDescent="0.25"/>
  <cols>
    <col min="1" max="1" width="19.6640625" style="39" customWidth="1"/>
    <col min="2" max="2" width="37.44140625" style="39" customWidth="1"/>
    <col min="3" max="3" width="15.33203125" style="41" bestFit="1" customWidth="1"/>
    <col min="4" max="4" width="58.88671875" style="39" customWidth="1"/>
    <col min="5" max="5" width="23.109375" style="39" customWidth="1"/>
    <col min="6" max="6" width="102.88671875" style="39" customWidth="1"/>
    <col min="7" max="7" width="74.6640625" style="252" customWidth="1"/>
    <col min="8" max="16384" width="9.109375" style="39"/>
  </cols>
  <sheetData>
    <row r="1" spans="1:7" s="40" customFormat="1" ht="40.200000000000003" thickTop="1" x14ac:dyDescent="0.3">
      <c r="A1" s="124" t="s">
        <v>250</v>
      </c>
      <c r="B1" s="125" t="s">
        <v>251</v>
      </c>
      <c r="C1" s="126" t="s">
        <v>252</v>
      </c>
      <c r="D1" s="138" t="s">
        <v>253</v>
      </c>
      <c r="E1" s="139" t="s">
        <v>254</v>
      </c>
      <c r="F1" s="249" t="s">
        <v>255</v>
      </c>
      <c r="G1" s="42"/>
    </row>
    <row r="2" spans="1:7" s="40" customFormat="1" ht="39.6" x14ac:dyDescent="0.3">
      <c r="A2" s="42" t="s">
        <v>256</v>
      </c>
      <c r="B2" s="61" t="s">
        <v>257</v>
      </c>
      <c r="C2" s="62" t="s">
        <v>258</v>
      </c>
      <c r="D2" s="63" t="s">
        <v>259</v>
      </c>
      <c r="E2" s="141" t="s">
        <v>19</v>
      </c>
      <c r="F2" s="250" t="s">
        <v>1039</v>
      </c>
      <c r="G2" s="42"/>
    </row>
    <row r="3" spans="1:7" s="40" customFormat="1" ht="39.6" x14ac:dyDescent="0.3">
      <c r="A3" s="42" t="s">
        <v>260</v>
      </c>
      <c r="B3" s="42" t="s">
        <v>261</v>
      </c>
      <c r="C3" s="62" t="s">
        <v>262</v>
      </c>
      <c r="D3" s="64" t="s">
        <v>263</v>
      </c>
      <c r="E3" s="141" t="s">
        <v>19</v>
      </c>
      <c r="F3" s="250" t="s">
        <v>1040</v>
      </c>
      <c r="G3" s="250" t="s">
        <v>1034</v>
      </c>
    </row>
    <row r="4" spans="1:7" s="40" customFormat="1" ht="13.2" x14ac:dyDescent="0.3">
      <c r="A4" s="42" t="s">
        <v>264</v>
      </c>
      <c r="B4" s="42" t="s">
        <v>265</v>
      </c>
      <c r="C4" s="62" t="s">
        <v>266</v>
      </c>
      <c r="D4" s="63" t="s">
        <v>263</v>
      </c>
      <c r="E4" s="141" t="s">
        <v>19</v>
      </c>
      <c r="F4" s="250" t="s">
        <v>1040</v>
      </c>
      <c r="G4" s="42"/>
    </row>
    <row r="5" spans="1:7" s="40" customFormat="1" ht="39.6" x14ac:dyDescent="0.3">
      <c r="A5" s="42" t="s">
        <v>267</v>
      </c>
      <c r="B5" s="42" t="s">
        <v>268</v>
      </c>
      <c r="C5" s="62" t="s">
        <v>269</v>
      </c>
      <c r="D5" s="63" t="s">
        <v>270</v>
      </c>
      <c r="E5" s="141"/>
      <c r="F5" s="250"/>
      <c r="G5" s="42"/>
    </row>
    <row r="6" spans="1:7" s="40" customFormat="1" ht="13.2" x14ac:dyDescent="0.3">
      <c r="A6" s="42" t="s">
        <v>271</v>
      </c>
      <c r="B6" s="42" t="s">
        <v>272</v>
      </c>
      <c r="C6" s="62" t="s">
        <v>273</v>
      </c>
      <c r="D6" s="63" t="s">
        <v>274</v>
      </c>
      <c r="E6" s="141"/>
      <c r="F6" s="250"/>
      <c r="G6" s="42"/>
    </row>
    <row r="7" spans="1:7" s="40" customFormat="1" ht="26.4" x14ac:dyDescent="0.3">
      <c r="A7" s="42" t="s">
        <v>275</v>
      </c>
      <c r="B7" s="42" t="s">
        <v>276</v>
      </c>
      <c r="C7" s="62" t="s">
        <v>277</v>
      </c>
      <c r="D7" s="63" t="s">
        <v>278</v>
      </c>
      <c r="E7" s="141"/>
      <c r="F7" s="250"/>
      <c r="G7" s="42"/>
    </row>
    <row r="8" spans="1:7" ht="41.4" x14ac:dyDescent="0.25">
      <c r="A8" s="42" t="s">
        <v>279</v>
      </c>
      <c r="B8" s="61" t="s">
        <v>280</v>
      </c>
      <c r="C8" s="62" t="s">
        <v>281</v>
      </c>
      <c r="D8" s="64" t="s">
        <v>282</v>
      </c>
      <c r="E8" s="63" t="s">
        <v>19</v>
      </c>
      <c r="F8" s="63" t="s">
        <v>1040</v>
      </c>
      <c r="G8" s="251" t="s">
        <v>1035</v>
      </c>
    </row>
    <row r="9" spans="1:7" ht="250.8" x14ac:dyDescent="0.25">
      <c r="A9" s="42" t="s">
        <v>283</v>
      </c>
      <c r="B9" s="42" t="s">
        <v>284</v>
      </c>
      <c r="C9" s="62" t="s">
        <v>285</v>
      </c>
      <c r="D9" s="63" t="s">
        <v>286</v>
      </c>
      <c r="E9" s="63" t="s">
        <v>19</v>
      </c>
      <c r="F9" s="63" t="s">
        <v>1036</v>
      </c>
    </row>
    <row r="10" spans="1:7" ht="39.6" x14ac:dyDescent="0.25">
      <c r="A10" s="42" t="s">
        <v>287</v>
      </c>
      <c r="B10" s="42" t="s">
        <v>288</v>
      </c>
      <c r="C10" s="62" t="s">
        <v>289</v>
      </c>
      <c r="D10" s="63" t="s">
        <v>290</v>
      </c>
      <c r="E10" s="63" t="s">
        <v>52</v>
      </c>
      <c r="F10" s="63" t="s">
        <v>1041</v>
      </c>
      <c r="G10" s="252" t="s">
        <v>1037</v>
      </c>
    </row>
    <row r="11" spans="1:7" ht="39.6" x14ac:dyDescent="0.25">
      <c r="A11" s="42" t="s">
        <v>291</v>
      </c>
      <c r="B11" s="42" t="s">
        <v>292</v>
      </c>
      <c r="C11" s="65" t="s">
        <v>293</v>
      </c>
      <c r="D11" s="64" t="s">
        <v>294</v>
      </c>
      <c r="E11" s="63"/>
      <c r="F11" s="63" t="s">
        <v>1042</v>
      </c>
    </row>
    <row r="12" spans="1:7" ht="26.4" x14ac:dyDescent="0.25">
      <c r="A12" s="42" t="s">
        <v>295</v>
      </c>
      <c r="B12" s="42" t="s">
        <v>296</v>
      </c>
      <c r="C12" s="65" t="s">
        <v>297</v>
      </c>
      <c r="D12" s="64" t="s">
        <v>298</v>
      </c>
      <c r="E12" s="63"/>
      <c r="F12" s="63" t="s">
        <v>1042</v>
      </c>
    </row>
    <row r="13" spans="1:7" ht="39.6" x14ac:dyDescent="0.25">
      <c r="A13" s="42" t="s">
        <v>299</v>
      </c>
      <c r="B13" s="42" t="s">
        <v>300</v>
      </c>
      <c r="C13" s="65" t="s">
        <v>301</v>
      </c>
      <c r="D13" s="64" t="s">
        <v>302</v>
      </c>
      <c r="E13" s="63"/>
      <c r="F13" s="63" t="s">
        <v>1042</v>
      </c>
    </row>
    <row r="14" spans="1:7" ht="26.4" x14ac:dyDescent="0.25">
      <c r="A14" s="42" t="s">
        <v>303</v>
      </c>
      <c r="B14" s="61" t="s">
        <v>304</v>
      </c>
      <c r="C14" s="62" t="s">
        <v>305</v>
      </c>
      <c r="D14" s="64" t="s">
        <v>306</v>
      </c>
      <c r="E14" s="63"/>
      <c r="F14" s="63"/>
    </row>
    <row r="15" spans="1:7" ht="26.4" x14ac:dyDescent="0.25">
      <c r="A15" s="42" t="s">
        <v>307</v>
      </c>
      <c r="B15" s="61" t="s">
        <v>308</v>
      </c>
      <c r="C15" s="62" t="s">
        <v>309</v>
      </c>
      <c r="D15" s="64" t="s">
        <v>310</v>
      </c>
      <c r="E15" s="63"/>
      <c r="F15" s="63" t="s">
        <v>1042</v>
      </c>
    </row>
    <row r="16" spans="1:7" ht="26.25" customHeight="1" x14ac:dyDescent="0.25">
      <c r="A16" s="42" t="s">
        <v>311</v>
      </c>
      <c r="B16" s="61" t="s">
        <v>312</v>
      </c>
      <c r="C16" s="62" t="s">
        <v>313</v>
      </c>
      <c r="D16" s="64" t="s">
        <v>314</v>
      </c>
      <c r="E16" s="63" t="s">
        <v>52</v>
      </c>
      <c r="F16" s="63" t="s">
        <v>1038</v>
      </c>
    </row>
    <row r="17" spans="1:6" ht="26.4" x14ac:dyDescent="0.25">
      <c r="A17" s="42" t="s">
        <v>315</v>
      </c>
      <c r="B17" s="61" t="s">
        <v>316</v>
      </c>
      <c r="C17" s="62" t="s">
        <v>317</v>
      </c>
      <c r="D17" s="64" t="s">
        <v>318</v>
      </c>
      <c r="E17" s="63" t="s">
        <v>41</v>
      </c>
      <c r="F17" s="63" t="s">
        <v>1043</v>
      </c>
    </row>
    <row r="18" spans="1:6" ht="39.6" x14ac:dyDescent="0.25">
      <c r="A18" s="66" t="s">
        <v>319</v>
      </c>
      <c r="B18" s="42" t="s">
        <v>320</v>
      </c>
      <c r="C18" s="67" t="s">
        <v>321</v>
      </c>
      <c r="D18" s="137" t="s">
        <v>322</v>
      </c>
      <c r="E18" s="63"/>
      <c r="F18" s="63"/>
    </row>
    <row r="19" spans="1:6" ht="26.4" x14ac:dyDescent="0.25">
      <c r="A19" s="42" t="s">
        <v>323</v>
      </c>
      <c r="B19" s="61" t="s">
        <v>324</v>
      </c>
      <c r="C19" s="62" t="s">
        <v>325</v>
      </c>
      <c r="D19" s="64" t="s">
        <v>326</v>
      </c>
      <c r="E19" s="63"/>
      <c r="F19" s="63"/>
    </row>
    <row r="20" spans="1:6" ht="26.4" x14ac:dyDescent="0.25">
      <c r="A20" s="42" t="s">
        <v>327</v>
      </c>
      <c r="B20" s="61" t="s">
        <v>328</v>
      </c>
      <c r="C20" s="62" t="s">
        <v>329</v>
      </c>
      <c r="D20" s="64" t="s">
        <v>330</v>
      </c>
      <c r="E20" s="63" t="s">
        <v>30</v>
      </c>
      <c r="F20" s="63"/>
    </row>
    <row r="21" spans="1:6" ht="39.6" x14ac:dyDescent="0.25">
      <c r="A21" s="42" t="s">
        <v>331</v>
      </c>
      <c r="B21" s="42" t="s">
        <v>332</v>
      </c>
      <c r="C21" s="67" t="s">
        <v>333</v>
      </c>
      <c r="D21" s="63" t="s">
        <v>334</v>
      </c>
      <c r="E21" s="63" t="s">
        <v>19</v>
      </c>
      <c r="F21" s="63" t="s">
        <v>1044</v>
      </c>
    </row>
    <row r="22" spans="1:6" x14ac:dyDescent="0.25">
      <c r="A22" s="42" t="s">
        <v>335</v>
      </c>
      <c r="B22" s="42" t="s">
        <v>336</v>
      </c>
      <c r="C22" s="65" t="s">
        <v>337</v>
      </c>
      <c r="D22" s="64" t="s">
        <v>338</v>
      </c>
      <c r="E22" s="63" t="s">
        <v>30</v>
      </c>
      <c r="F22" s="63"/>
    </row>
    <row r="23" spans="1:6" x14ac:dyDescent="0.25">
      <c r="A23" s="140" t="s">
        <v>339</v>
      </c>
      <c r="B23" s="140" t="s">
        <v>340</v>
      </c>
      <c r="C23" s="67" t="s">
        <v>339</v>
      </c>
      <c r="D23" s="64" t="s">
        <v>338</v>
      </c>
      <c r="E23" s="63" t="s">
        <v>30</v>
      </c>
      <c r="F23" s="63"/>
    </row>
    <row r="24" spans="1:6" x14ac:dyDescent="0.25">
      <c r="A24" s="35" t="s">
        <v>341</v>
      </c>
      <c r="B24" s="35" t="s">
        <v>342</v>
      </c>
      <c r="C24" s="154" t="s">
        <v>341</v>
      </c>
      <c r="D24" s="36" t="s">
        <v>343</v>
      </c>
      <c r="E24" s="63" t="s">
        <v>19</v>
      </c>
      <c r="F24" s="63" t="s">
        <v>1042</v>
      </c>
    </row>
  </sheetData>
  <sheetProtection selectLockedCells="1"/>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 Validation Key'!$A$2:$A$5</xm:f>
          </x14:formula1>
          <xm:sqref>E2:E24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49C3-51E9-4092-B8F2-1E3310A9AA60}">
  <dimension ref="A1:D85"/>
  <sheetViews>
    <sheetView showGridLines="0" zoomScale="85" zoomScaleNormal="85" workbookViewId="0">
      <selection activeCell="C82" sqref="C82"/>
    </sheetView>
  </sheetViews>
  <sheetFormatPr defaultRowHeight="14.4" x14ac:dyDescent="0.3"/>
  <cols>
    <col min="1" max="1" width="75.109375" customWidth="1"/>
    <col min="2" max="2" width="49.33203125" customWidth="1"/>
    <col min="3" max="3" width="87.33203125" customWidth="1"/>
    <col min="4" max="4" width="45.44140625" customWidth="1"/>
    <col min="5" max="5" width="31.33203125" customWidth="1"/>
  </cols>
  <sheetData>
    <row r="1" spans="1:4" ht="28.2" thickBot="1" x14ac:dyDescent="0.35">
      <c r="A1" s="341" t="s">
        <v>808</v>
      </c>
      <c r="B1" s="342"/>
      <c r="C1" s="342"/>
      <c r="D1" s="343"/>
    </row>
    <row r="2" spans="1:4" ht="15.6" thickBot="1" x14ac:dyDescent="0.35">
      <c r="A2" s="194" t="s">
        <v>972</v>
      </c>
      <c r="B2" s="344" t="s">
        <v>975</v>
      </c>
      <c r="C2" s="195" t="s">
        <v>976</v>
      </c>
      <c r="D2" s="195" t="s">
        <v>978</v>
      </c>
    </row>
    <row r="3" spans="1:4" ht="15.6" thickBot="1" x14ac:dyDescent="0.35">
      <c r="A3" s="194" t="s">
        <v>973</v>
      </c>
      <c r="B3" s="345"/>
      <c r="C3" s="344" t="s">
        <v>977</v>
      </c>
      <c r="D3" s="344" t="s">
        <v>979</v>
      </c>
    </row>
    <row r="4" spans="1:4" ht="15.6" thickBot="1" x14ac:dyDescent="0.35">
      <c r="A4" s="194" t="s">
        <v>974</v>
      </c>
      <c r="B4" s="346"/>
      <c r="C4" s="346"/>
      <c r="D4" s="346"/>
    </row>
    <row r="5" spans="1:4" ht="18" thickBot="1" x14ac:dyDescent="0.35">
      <c r="A5" s="196" t="s">
        <v>207</v>
      </c>
      <c r="B5" s="197" t="s">
        <v>809</v>
      </c>
      <c r="C5" s="347" t="s">
        <v>209</v>
      </c>
      <c r="D5" s="348"/>
    </row>
    <row r="6" spans="1:4" ht="15.6" thickBot="1" x14ac:dyDescent="0.35">
      <c r="A6" s="338" t="s">
        <v>887</v>
      </c>
      <c r="B6" s="339"/>
      <c r="C6" s="339"/>
      <c r="D6" s="340"/>
    </row>
    <row r="7" spans="1:4" ht="15.6" thickBot="1" x14ac:dyDescent="0.35">
      <c r="A7" s="198" t="s">
        <v>810</v>
      </c>
      <c r="B7" s="199" t="s">
        <v>19</v>
      </c>
      <c r="C7" s="334"/>
      <c r="D7" s="335"/>
    </row>
    <row r="8" spans="1:4" ht="15.6" thickBot="1" x14ac:dyDescent="0.35">
      <c r="A8" s="198" t="s">
        <v>811</v>
      </c>
      <c r="B8" s="199" t="s">
        <v>19</v>
      </c>
      <c r="C8" s="334"/>
      <c r="D8" s="335"/>
    </row>
    <row r="9" spans="1:4" ht="15.6" thickBot="1" x14ac:dyDescent="0.35">
      <c r="A9" s="198" t="s">
        <v>812</v>
      </c>
      <c r="B9" s="199" t="s">
        <v>30</v>
      </c>
      <c r="C9" s="334"/>
      <c r="D9" s="335"/>
    </row>
    <row r="10" spans="1:4" ht="15.6" thickBot="1" x14ac:dyDescent="0.35">
      <c r="A10" s="198" t="s">
        <v>813</v>
      </c>
      <c r="B10" s="199" t="s">
        <v>30</v>
      </c>
      <c r="C10" s="349"/>
      <c r="D10" s="350"/>
    </row>
    <row r="11" spans="1:4" ht="15.6" thickBot="1" x14ac:dyDescent="0.35">
      <c r="A11" s="200" t="s">
        <v>814</v>
      </c>
      <c r="B11" s="201"/>
      <c r="C11" s="351"/>
      <c r="D11" s="352"/>
    </row>
    <row r="12" spans="1:4" ht="15.6" thickBot="1" x14ac:dyDescent="0.35">
      <c r="A12" s="338" t="s">
        <v>888</v>
      </c>
      <c r="B12" s="339"/>
      <c r="C12" s="339"/>
      <c r="D12" s="340"/>
    </row>
    <row r="13" spans="1:4" ht="15.6" thickBot="1" x14ac:dyDescent="0.35">
      <c r="A13" s="198" t="s">
        <v>815</v>
      </c>
      <c r="B13" s="199" t="s">
        <v>30</v>
      </c>
      <c r="C13" s="334"/>
      <c r="D13" s="335"/>
    </row>
    <row r="14" spans="1:4" ht="15.6" thickBot="1" x14ac:dyDescent="0.35">
      <c r="A14" s="198" t="s">
        <v>816</v>
      </c>
      <c r="B14" s="199" t="s">
        <v>19</v>
      </c>
      <c r="C14" s="334"/>
      <c r="D14" s="335"/>
    </row>
    <row r="15" spans="1:4" ht="15.6" thickBot="1" x14ac:dyDescent="0.35">
      <c r="A15" s="198" t="s">
        <v>817</v>
      </c>
      <c r="B15" s="199"/>
      <c r="C15" s="334"/>
      <c r="D15" s="335"/>
    </row>
    <row r="16" spans="1:4" ht="15.6" thickBot="1" x14ac:dyDescent="0.35">
      <c r="A16" s="198" t="s">
        <v>818</v>
      </c>
      <c r="B16" s="199"/>
      <c r="C16" s="334"/>
      <c r="D16" s="335"/>
    </row>
    <row r="17" spans="1:4" ht="44.25" customHeight="1" thickBot="1" x14ac:dyDescent="0.35">
      <c r="A17" s="202" t="s">
        <v>856</v>
      </c>
      <c r="B17" s="199" t="s">
        <v>19</v>
      </c>
      <c r="C17" s="334" t="s">
        <v>962</v>
      </c>
      <c r="D17" s="335"/>
    </row>
    <row r="18" spans="1:4" ht="45.6" thickBot="1" x14ac:dyDescent="0.35">
      <c r="A18" s="202" t="s">
        <v>857</v>
      </c>
      <c r="B18" s="199" t="s">
        <v>30</v>
      </c>
      <c r="C18" s="336" t="s">
        <v>963</v>
      </c>
      <c r="D18" s="337"/>
    </row>
    <row r="19" spans="1:4" ht="66.75" customHeight="1" thickBot="1" x14ac:dyDescent="0.35">
      <c r="A19" s="202" t="s">
        <v>889</v>
      </c>
      <c r="B19" s="199" t="s">
        <v>19</v>
      </c>
      <c r="C19" s="336" t="s">
        <v>980</v>
      </c>
      <c r="D19" s="337"/>
    </row>
    <row r="20" spans="1:4" ht="45.6" thickBot="1" x14ac:dyDescent="0.35">
      <c r="A20" s="202" t="s">
        <v>819</v>
      </c>
      <c r="B20" s="199" t="s">
        <v>19</v>
      </c>
      <c r="C20" s="336" t="s">
        <v>981</v>
      </c>
      <c r="D20" s="337"/>
    </row>
    <row r="21" spans="1:4" ht="76.5" customHeight="1" thickBot="1" x14ac:dyDescent="0.35">
      <c r="A21" s="202" t="s">
        <v>820</v>
      </c>
      <c r="B21" s="199" t="s">
        <v>19</v>
      </c>
      <c r="C21" s="336" t="s">
        <v>982</v>
      </c>
      <c r="D21" s="337"/>
    </row>
    <row r="22" spans="1:4" ht="78" customHeight="1" thickBot="1" x14ac:dyDescent="0.35">
      <c r="A22" s="202" t="s">
        <v>858</v>
      </c>
      <c r="B22" s="199" t="s">
        <v>19</v>
      </c>
      <c r="C22" s="334" t="s">
        <v>955</v>
      </c>
      <c r="D22" s="335"/>
    </row>
    <row r="23" spans="1:4" ht="60" customHeight="1" thickBot="1" x14ac:dyDescent="0.35">
      <c r="A23" s="202" t="s">
        <v>859</v>
      </c>
      <c r="B23" s="199"/>
      <c r="C23" s="334" t="s">
        <v>964</v>
      </c>
      <c r="D23" s="335"/>
    </row>
    <row r="24" spans="1:4" ht="15" thickBot="1" x14ac:dyDescent="0.35">
      <c r="A24" s="203"/>
      <c r="B24" s="203"/>
      <c r="C24" s="203"/>
      <c r="D24" s="203"/>
    </row>
    <row r="25" spans="1:4" ht="30.6" thickBot="1" x14ac:dyDescent="0.35">
      <c r="A25" s="331" t="s">
        <v>821</v>
      </c>
      <c r="B25" s="332"/>
      <c r="C25" s="333"/>
      <c r="D25" s="203"/>
    </row>
    <row r="26" spans="1:4" ht="18" thickBot="1" x14ac:dyDescent="0.35">
      <c r="A26" s="204" t="s">
        <v>345</v>
      </c>
      <c r="B26" s="205" t="s">
        <v>132</v>
      </c>
      <c r="C26" s="205" t="s">
        <v>822</v>
      </c>
      <c r="D26" s="203"/>
    </row>
    <row r="27" spans="1:4" ht="21" thickBot="1" x14ac:dyDescent="0.35">
      <c r="A27" s="313" t="s">
        <v>757</v>
      </c>
      <c r="B27" s="314"/>
      <c r="C27" s="315"/>
      <c r="D27" s="203"/>
    </row>
    <row r="28" spans="1:4" ht="15.6" thickBot="1" x14ac:dyDescent="0.35">
      <c r="A28" s="316" t="s">
        <v>860</v>
      </c>
      <c r="B28" s="317"/>
      <c r="C28" s="318"/>
      <c r="D28" s="203"/>
    </row>
    <row r="29" spans="1:4" ht="15.6" thickBot="1" x14ac:dyDescent="0.35">
      <c r="A29" s="206" t="s">
        <v>823</v>
      </c>
      <c r="B29" s="207" t="s">
        <v>30</v>
      </c>
      <c r="C29" s="208"/>
      <c r="D29" s="203"/>
    </row>
    <row r="30" spans="1:4" ht="15.6" thickBot="1" x14ac:dyDescent="0.35">
      <c r="A30" s="206" t="s">
        <v>824</v>
      </c>
      <c r="B30" s="207" t="s">
        <v>30</v>
      </c>
      <c r="C30" s="208"/>
      <c r="D30" s="203"/>
    </row>
    <row r="31" spans="1:4" ht="15.6" thickBot="1" x14ac:dyDescent="0.35">
      <c r="A31" s="206" t="s">
        <v>825</v>
      </c>
      <c r="B31" s="207" t="s">
        <v>30</v>
      </c>
      <c r="C31" s="208"/>
      <c r="D31" s="203"/>
    </row>
    <row r="32" spans="1:4" ht="15.6" thickBot="1" x14ac:dyDescent="0.35">
      <c r="A32" s="206" t="s">
        <v>826</v>
      </c>
      <c r="B32" s="207" t="s">
        <v>30</v>
      </c>
      <c r="C32" s="208"/>
      <c r="D32" s="203"/>
    </row>
    <row r="33" spans="1:4" ht="15.6" thickBot="1" x14ac:dyDescent="0.35">
      <c r="A33" s="206" t="s">
        <v>827</v>
      </c>
      <c r="B33" s="207" t="s">
        <v>30</v>
      </c>
      <c r="C33" s="209"/>
      <c r="D33" s="203"/>
    </row>
    <row r="34" spans="1:4" ht="15.6" thickBot="1" x14ac:dyDescent="0.35">
      <c r="A34" s="206" t="s">
        <v>828</v>
      </c>
      <c r="B34" s="207" t="s">
        <v>30</v>
      </c>
      <c r="C34" s="210"/>
      <c r="D34" s="203"/>
    </row>
    <row r="35" spans="1:4" ht="15.6" thickBot="1" x14ac:dyDescent="0.35">
      <c r="A35" s="206" t="s">
        <v>829</v>
      </c>
      <c r="B35" s="207" t="s">
        <v>30</v>
      </c>
      <c r="C35" s="210"/>
      <c r="D35" s="203"/>
    </row>
    <row r="36" spans="1:4" ht="28.95" customHeight="1" thickBot="1" x14ac:dyDescent="0.35">
      <c r="A36" s="206" t="s">
        <v>830</v>
      </c>
      <c r="B36" s="207" t="s">
        <v>30</v>
      </c>
      <c r="C36" s="210"/>
      <c r="D36" s="203"/>
    </row>
    <row r="37" spans="1:4" ht="15.6" thickBot="1" x14ac:dyDescent="0.35">
      <c r="A37" s="206" t="s">
        <v>831</v>
      </c>
      <c r="B37" s="207" t="s">
        <v>30</v>
      </c>
      <c r="C37" s="207"/>
      <c r="D37" s="203"/>
    </row>
    <row r="38" spans="1:4" ht="15.6" thickBot="1" x14ac:dyDescent="0.35">
      <c r="A38" s="319" t="s">
        <v>861</v>
      </c>
      <c r="B38" s="320"/>
      <c r="C38" s="321"/>
      <c r="D38" s="203"/>
    </row>
    <row r="39" spans="1:4" ht="15.6" thickBot="1" x14ac:dyDescent="0.35">
      <c r="A39" s="211" t="s">
        <v>832</v>
      </c>
      <c r="B39" s="207" t="s">
        <v>30</v>
      </c>
      <c r="C39" s="207"/>
      <c r="D39" s="203"/>
    </row>
    <row r="40" spans="1:4" ht="15.6" thickBot="1" x14ac:dyDescent="0.35">
      <c r="A40" s="211" t="s">
        <v>833</v>
      </c>
      <c r="B40" s="207" t="s">
        <v>30</v>
      </c>
      <c r="C40" s="207"/>
      <c r="D40" s="203"/>
    </row>
    <row r="41" spans="1:4" ht="15.6" thickBot="1" x14ac:dyDescent="0.35">
      <c r="A41" s="211" t="s">
        <v>834</v>
      </c>
      <c r="B41" s="207" t="s">
        <v>30</v>
      </c>
      <c r="C41" s="207"/>
      <c r="D41" s="203"/>
    </row>
    <row r="42" spans="1:4" ht="15.6" thickBot="1" x14ac:dyDescent="0.35">
      <c r="A42" s="211" t="s">
        <v>835</v>
      </c>
      <c r="B42" s="207" t="s">
        <v>30</v>
      </c>
      <c r="C42" s="207"/>
      <c r="D42" s="203"/>
    </row>
    <row r="43" spans="1:4" ht="15.6" thickBot="1" x14ac:dyDescent="0.35">
      <c r="A43" s="211" t="s">
        <v>836</v>
      </c>
      <c r="B43" s="207" t="s">
        <v>30</v>
      </c>
      <c r="C43" s="207"/>
      <c r="D43" s="203"/>
    </row>
    <row r="44" spans="1:4" ht="15.6" thickBot="1" x14ac:dyDescent="0.35">
      <c r="A44" s="211" t="s">
        <v>837</v>
      </c>
      <c r="B44" s="207" t="s">
        <v>30</v>
      </c>
      <c r="C44" s="207"/>
      <c r="D44" s="203"/>
    </row>
    <row r="45" spans="1:4" ht="15.6" thickBot="1" x14ac:dyDescent="0.35">
      <c r="A45" s="211" t="s">
        <v>838</v>
      </c>
      <c r="B45" s="207" t="s">
        <v>30</v>
      </c>
      <c r="C45" s="207"/>
      <c r="D45" s="203"/>
    </row>
    <row r="46" spans="1:4" ht="15.6" thickBot="1" x14ac:dyDescent="0.35">
      <c r="A46" s="211" t="s">
        <v>839</v>
      </c>
      <c r="B46" s="207" t="s">
        <v>30</v>
      </c>
      <c r="C46" s="207"/>
      <c r="D46" s="203"/>
    </row>
    <row r="47" spans="1:4" ht="21" thickBot="1" x14ac:dyDescent="0.35">
      <c r="A47" s="322" t="s">
        <v>840</v>
      </c>
      <c r="B47" s="323"/>
      <c r="C47" s="324"/>
      <c r="D47" s="203"/>
    </row>
    <row r="48" spans="1:4" ht="75.75" customHeight="1" thickBot="1" x14ac:dyDescent="0.35">
      <c r="A48" s="212" t="s">
        <v>862</v>
      </c>
      <c r="B48" s="213" t="s">
        <v>19</v>
      </c>
      <c r="C48" s="214"/>
      <c r="D48" s="203"/>
    </row>
    <row r="49" spans="1:4" ht="78" customHeight="1" thickBot="1" x14ac:dyDescent="0.35">
      <c r="A49" s="212" t="s">
        <v>863</v>
      </c>
      <c r="B49" s="213" t="s">
        <v>957</v>
      </c>
      <c r="C49" s="214" t="s">
        <v>958</v>
      </c>
      <c r="D49" s="203"/>
    </row>
    <row r="50" spans="1:4" ht="42.75" customHeight="1" thickBot="1" x14ac:dyDescent="0.35">
      <c r="A50" s="215" t="s">
        <v>841</v>
      </c>
      <c r="B50" s="213"/>
      <c r="C50" s="213"/>
      <c r="D50" s="203"/>
    </row>
    <row r="51" spans="1:4" ht="60.6" thickBot="1" x14ac:dyDescent="0.35">
      <c r="A51" s="212" t="s">
        <v>864</v>
      </c>
      <c r="B51" s="213" t="s">
        <v>30</v>
      </c>
      <c r="C51" s="213" t="s">
        <v>959</v>
      </c>
      <c r="D51" s="203"/>
    </row>
    <row r="52" spans="1:4" ht="75.599999999999994" thickBot="1" x14ac:dyDescent="0.35">
      <c r="A52" s="212" t="s">
        <v>865</v>
      </c>
      <c r="B52" s="213" t="s">
        <v>30</v>
      </c>
      <c r="C52" s="214" t="s">
        <v>960</v>
      </c>
      <c r="D52" s="203"/>
    </row>
    <row r="53" spans="1:4" ht="75.599999999999994" thickBot="1" x14ac:dyDescent="0.35">
      <c r="A53" s="212" t="s">
        <v>866</v>
      </c>
      <c r="B53" s="213" t="s">
        <v>957</v>
      </c>
      <c r="C53" s="214" t="s">
        <v>958</v>
      </c>
      <c r="D53" s="203"/>
    </row>
    <row r="54" spans="1:4" ht="71.25" customHeight="1" thickBot="1" x14ac:dyDescent="0.35">
      <c r="A54" s="212" t="s">
        <v>867</v>
      </c>
      <c r="B54" s="213" t="s">
        <v>30</v>
      </c>
      <c r="C54" s="214"/>
      <c r="D54" s="203"/>
    </row>
    <row r="55" spans="1:4" ht="21" thickBot="1" x14ac:dyDescent="0.35">
      <c r="A55" s="325" t="s">
        <v>842</v>
      </c>
      <c r="B55" s="326"/>
      <c r="C55" s="327"/>
      <c r="D55" s="203"/>
    </row>
    <row r="56" spans="1:4" ht="59.25" customHeight="1" thickBot="1" x14ac:dyDescent="0.35">
      <c r="A56" s="216" t="s">
        <v>868</v>
      </c>
      <c r="B56" s="217" t="s">
        <v>30</v>
      </c>
      <c r="C56" s="218" t="s">
        <v>965</v>
      </c>
      <c r="D56" s="203"/>
    </row>
    <row r="57" spans="1:4" ht="61.5" customHeight="1" thickBot="1" x14ac:dyDescent="0.35">
      <c r="A57" s="216" t="s">
        <v>869</v>
      </c>
      <c r="B57" s="217" t="s">
        <v>957</v>
      </c>
      <c r="C57" s="218" t="s">
        <v>961</v>
      </c>
      <c r="D57" s="203"/>
    </row>
    <row r="58" spans="1:4" ht="21" thickBot="1" x14ac:dyDescent="0.35">
      <c r="A58" s="328" t="s">
        <v>843</v>
      </c>
      <c r="B58" s="329"/>
      <c r="C58" s="330"/>
      <c r="D58" s="203"/>
    </row>
    <row r="59" spans="1:4" ht="67.5" customHeight="1" thickBot="1" x14ac:dyDescent="0.35">
      <c r="A59" s="219" t="s">
        <v>844</v>
      </c>
      <c r="B59" s="217" t="s">
        <v>19</v>
      </c>
      <c r="C59" s="220"/>
    </row>
    <row r="60" spans="1:4" ht="21" thickBot="1" x14ac:dyDescent="0.35">
      <c r="A60" s="301" t="s">
        <v>845</v>
      </c>
      <c r="B60" s="302"/>
      <c r="C60" s="303"/>
      <c r="D60" s="221"/>
    </row>
    <row r="61" spans="1:4" ht="45.6" thickBot="1" x14ac:dyDescent="0.35">
      <c r="A61" s="222" t="s">
        <v>870</v>
      </c>
      <c r="B61" s="223"/>
      <c r="C61" s="224"/>
      <c r="D61" s="203"/>
    </row>
    <row r="62" spans="1:4" ht="15.6" thickBot="1" x14ac:dyDescent="0.35">
      <c r="A62" s="225" t="s">
        <v>846</v>
      </c>
      <c r="B62" s="223" t="s">
        <v>19</v>
      </c>
      <c r="C62" s="224"/>
      <c r="D62" s="203"/>
    </row>
    <row r="63" spans="1:4" ht="15.6" thickBot="1" x14ac:dyDescent="0.35">
      <c r="A63" s="225" t="s">
        <v>847</v>
      </c>
      <c r="B63" s="223" t="s">
        <v>19</v>
      </c>
      <c r="C63" s="224"/>
      <c r="D63" s="203"/>
    </row>
    <row r="64" spans="1:4" ht="15.6" thickBot="1" x14ac:dyDescent="0.35">
      <c r="A64" s="225" t="s">
        <v>848</v>
      </c>
      <c r="B64" s="223" t="s">
        <v>19</v>
      </c>
      <c r="C64" s="224"/>
      <c r="D64" s="203"/>
    </row>
    <row r="65" spans="1:4" ht="15.6" thickBot="1" x14ac:dyDescent="0.35">
      <c r="A65" s="225" t="s">
        <v>849</v>
      </c>
      <c r="B65" s="223" t="s">
        <v>19</v>
      </c>
      <c r="C65" s="224"/>
      <c r="D65" s="203"/>
    </row>
    <row r="66" spans="1:4" ht="15.6" thickBot="1" x14ac:dyDescent="0.35">
      <c r="A66" s="225" t="s">
        <v>850</v>
      </c>
      <c r="B66" s="223" t="s">
        <v>19</v>
      </c>
      <c r="C66" s="224"/>
      <c r="D66" s="203"/>
    </row>
    <row r="67" spans="1:4" ht="15.6" thickBot="1" x14ac:dyDescent="0.35">
      <c r="A67" s="225" t="s">
        <v>851</v>
      </c>
      <c r="B67" s="223" t="s">
        <v>19</v>
      </c>
      <c r="C67" s="224"/>
      <c r="D67" s="203"/>
    </row>
    <row r="68" spans="1:4" ht="42.75" customHeight="1" thickBot="1" x14ac:dyDescent="0.35">
      <c r="A68" s="226" t="s">
        <v>890</v>
      </c>
      <c r="B68" s="223" t="s">
        <v>19</v>
      </c>
      <c r="C68" s="224" t="s">
        <v>966</v>
      </c>
      <c r="D68" s="203"/>
    </row>
    <row r="69" spans="1:4" ht="44.25" customHeight="1" thickBot="1" x14ac:dyDescent="0.35">
      <c r="A69" s="226" t="s">
        <v>891</v>
      </c>
      <c r="B69" s="223" t="s">
        <v>19</v>
      </c>
      <c r="C69" s="223"/>
      <c r="D69" s="203"/>
    </row>
    <row r="70" spans="1:4" ht="30.6" thickBot="1" x14ac:dyDescent="0.35">
      <c r="A70" s="226" t="s">
        <v>871</v>
      </c>
      <c r="B70" s="223" t="s">
        <v>19</v>
      </c>
      <c r="C70" s="223"/>
      <c r="D70" s="203"/>
    </row>
    <row r="71" spans="1:4" ht="21" thickBot="1" x14ac:dyDescent="0.35">
      <c r="A71" s="304" t="s">
        <v>852</v>
      </c>
      <c r="B71" s="305"/>
      <c r="C71" s="306"/>
      <c r="D71" s="203"/>
    </row>
    <row r="72" spans="1:4" ht="90" customHeight="1" thickBot="1" x14ac:dyDescent="0.35">
      <c r="A72" s="227" t="s">
        <v>892</v>
      </c>
      <c r="B72" s="217" t="s">
        <v>30</v>
      </c>
      <c r="C72" s="228"/>
      <c r="D72" s="203"/>
    </row>
    <row r="73" spans="1:4" ht="78" customHeight="1" thickBot="1" x14ac:dyDescent="0.35">
      <c r="A73" s="227" t="s">
        <v>893</v>
      </c>
      <c r="B73" s="217" t="s">
        <v>30</v>
      </c>
      <c r="C73" s="228" t="s">
        <v>967</v>
      </c>
      <c r="D73" s="203"/>
    </row>
    <row r="74" spans="1:4" ht="60.6" thickBot="1" x14ac:dyDescent="0.35">
      <c r="A74" s="227" t="s">
        <v>872</v>
      </c>
      <c r="B74" s="217" t="s">
        <v>957</v>
      </c>
      <c r="C74" s="228"/>
      <c r="D74" s="203"/>
    </row>
    <row r="75" spans="1:4" ht="63" customHeight="1" thickBot="1" x14ac:dyDescent="0.35">
      <c r="A75" s="227" t="s">
        <v>873</v>
      </c>
      <c r="B75" s="217" t="s">
        <v>957</v>
      </c>
      <c r="C75" s="228"/>
      <c r="D75" s="203"/>
    </row>
    <row r="76" spans="1:4" ht="21" thickBot="1" x14ac:dyDescent="0.35">
      <c r="A76" s="307" t="s">
        <v>853</v>
      </c>
      <c r="B76" s="308"/>
      <c r="C76" s="309"/>
      <c r="D76" s="203"/>
    </row>
    <row r="77" spans="1:4" ht="56.25" customHeight="1" thickBot="1" x14ac:dyDescent="0.35">
      <c r="A77" s="229" t="s">
        <v>874</v>
      </c>
      <c r="B77" s="230" t="s">
        <v>30</v>
      </c>
      <c r="C77" s="231"/>
      <c r="D77" s="203"/>
    </row>
    <row r="78" spans="1:4" ht="66" customHeight="1" thickBot="1" x14ac:dyDescent="0.35">
      <c r="A78" s="229" t="s">
        <v>875</v>
      </c>
      <c r="B78" s="230" t="s">
        <v>19</v>
      </c>
      <c r="C78" s="231" t="s">
        <v>983</v>
      </c>
      <c r="D78" s="203"/>
    </row>
    <row r="79" spans="1:4" ht="21" thickBot="1" x14ac:dyDescent="0.35">
      <c r="A79" s="310" t="s">
        <v>854</v>
      </c>
      <c r="B79" s="311"/>
      <c r="C79" s="312"/>
      <c r="D79" s="203"/>
    </row>
    <row r="80" spans="1:4" ht="59.25" customHeight="1" thickBot="1" x14ac:dyDescent="0.35">
      <c r="A80" s="232" t="s">
        <v>876</v>
      </c>
      <c r="B80" s="233" t="s">
        <v>968</v>
      </c>
      <c r="C80" s="234" t="s">
        <v>969</v>
      </c>
      <c r="D80" s="203"/>
    </row>
    <row r="81" spans="1:4" ht="57" customHeight="1" thickBot="1" x14ac:dyDescent="0.35">
      <c r="A81" s="232" t="s">
        <v>894</v>
      </c>
      <c r="B81" s="233" t="s">
        <v>968</v>
      </c>
      <c r="C81" s="234" t="s">
        <v>969</v>
      </c>
      <c r="D81" s="203"/>
    </row>
    <row r="82" spans="1:4" ht="57" customHeight="1" thickBot="1" x14ac:dyDescent="0.35">
      <c r="A82" s="232" t="s">
        <v>877</v>
      </c>
      <c r="B82" s="233" t="s">
        <v>30</v>
      </c>
      <c r="C82" s="233"/>
      <c r="D82" s="203"/>
    </row>
    <row r="83" spans="1:4" ht="78.75" customHeight="1" thickBot="1" x14ac:dyDescent="0.35">
      <c r="A83" s="232" t="s">
        <v>878</v>
      </c>
      <c r="B83" s="233" t="s">
        <v>19</v>
      </c>
      <c r="C83" s="233" t="s">
        <v>970</v>
      </c>
      <c r="D83" s="203"/>
    </row>
    <row r="84" spans="1:4" ht="63" customHeight="1" thickBot="1" x14ac:dyDescent="0.35">
      <c r="A84" s="232" t="s">
        <v>879</v>
      </c>
      <c r="B84" s="233" t="s">
        <v>968</v>
      </c>
      <c r="C84" s="233" t="s">
        <v>971</v>
      </c>
      <c r="D84" s="203"/>
    </row>
    <row r="85" spans="1:4" ht="49.5" customHeight="1" thickBot="1" x14ac:dyDescent="0.35">
      <c r="A85" s="232" t="s">
        <v>880</v>
      </c>
      <c r="B85" s="233" t="s">
        <v>957</v>
      </c>
      <c r="C85" s="233" t="s">
        <v>971</v>
      </c>
      <c r="D85" s="203"/>
    </row>
  </sheetData>
  <sheetProtection selectLockedCells="1"/>
  <mergeCells count="34">
    <mergeCell ref="A12:D12"/>
    <mergeCell ref="A1:D1"/>
    <mergeCell ref="B2:B4"/>
    <mergeCell ref="C3:C4"/>
    <mergeCell ref="D3:D4"/>
    <mergeCell ref="C5:D5"/>
    <mergeCell ref="A6:D6"/>
    <mergeCell ref="C7:D7"/>
    <mergeCell ref="C8:D8"/>
    <mergeCell ref="C9:D9"/>
    <mergeCell ref="C10:D10"/>
    <mergeCell ref="C11:D11"/>
    <mergeCell ref="A25:C25"/>
    <mergeCell ref="C13:D13"/>
    <mergeCell ref="C14:D14"/>
    <mergeCell ref="C15:D15"/>
    <mergeCell ref="C16:D16"/>
    <mergeCell ref="C17:D17"/>
    <mergeCell ref="C18:D18"/>
    <mergeCell ref="C19:D19"/>
    <mergeCell ref="C20:D20"/>
    <mergeCell ref="C21:D21"/>
    <mergeCell ref="C22:D22"/>
    <mergeCell ref="C23:D23"/>
    <mergeCell ref="A60:C60"/>
    <mergeCell ref="A71:C71"/>
    <mergeCell ref="A76:C76"/>
    <mergeCell ref="A79:C79"/>
    <mergeCell ref="A27:C27"/>
    <mergeCell ref="A28:C28"/>
    <mergeCell ref="A38:C38"/>
    <mergeCell ref="A47:C47"/>
    <mergeCell ref="A55:C55"/>
    <mergeCell ref="A58:C58"/>
  </mergeCells>
  <dataValidations count="4">
    <dataValidation type="list" allowBlank="1" showInputMessage="1" showErrorMessage="1" sqref="B7:B11 B13:B22 B39:B46" xr:uid="{D7BFB92F-FA92-4A39-953A-11C6C0914A8E}">
      <formula1>"Yes, No"</formula1>
    </dataValidation>
    <dataValidation type="list" allowBlank="1" showInputMessage="1" showErrorMessage="1" sqref="B56:B57 B77:B78 B61:B70 B59 B48:B49 B51:B54" xr:uid="{043FCC82-8FF9-435A-A403-1DEF62524CD0}">
      <formula1>"Yes, No, Partial (comment required), N/A (comment required)"</formula1>
    </dataValidation>
    <dataValidation type="list" allowBlank="1" showInputMessage="1" showErrorMessage="1" sqref="B72:B75" xr:uid="{3D108CB7-FC58-43BD-8292-0C15BD797506}">
      <formula1>"Yes, No, Partial (comment requried), N/A (comment required)"</formula1>
    </dataValidation>
    <dataValidation type="list" allowBlank="1" showInputMessage="1" showErrorMessage="1" sqref="B85 B82:B83" xr:uid="{848E3A40-4180-441F-84F5-7609B0CCAB27}">
      <formula1>"Yes, No, N/A (comment required)"</formula1>
    </dataValidation>
  </dataValidation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3"/>
  <sheetViews>
    <sheetView showGridLines="0" zoomScale="130" zoomScaleNormal="130" workbookViewId="0">
      <pane xSplit="2" ySplit="2" topLeftCell="C3" activePane="bottomRight" state="frozen"/>
      <selection pane="topRight" activeCell="D20" sqref="D20"/>
      <selection pane="bottomLeft" activeCell="D20" sqref="D20"/>
      <selection pane="bottomRight" activeCell="F13" sqref="F13"/>
    </sheetView>
  </sheetViews>
  <sheetFormatPr defaultRowHeight="14.4" x14ac:dyDescent="0.3"/>
  <cols>
    <col min="1" max="1" width="17.33203125" customWidth="1"/>
    <col min="2" max="2" width="17.5546875" customWidth="1"/>
    <col min="3" max="3" width="25.109375" bestFit="1" customWidth="1"/>
    <col min="4" max="4" width="25" bestFit="1" customWidth="1"/>
    <col min="5" max="5" width="51.4414062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x14ac:dyDescent="0.3">
      <c r="A2" s="353" t="s">
        <v>346</v>
      </c>
      <c r="B2" s="354"/>
      <c r="C2" s="354"/>
      <c r="D2" s="354"/>
      <c r="E2" s="354"/>
      <c r="F2" s="354"/>
      <c r="G2" s="354"/>
      <c r="H2" s="354"/>
      <c r="I2" s="354"/>
      <c r="J2" s="354"/>
      <c r="K2" s="354"/>
    </row>
    <row r="3" spans="1:11" ht="79.8" x14ac:dyDescent="0.3">
      <c r="A3" s="148" t="s">
        <v>347</v>
      </c>
      <c r="B3" s="152" t="s">
        <v>348</v>
      </c>
      <c r="C3" s="151" t="s">
        <v>349</v>
      </c>
      <c r="D3" s="148" t="s">
        <v>350</v>
      </c>
      <c r="E3" s="151" t="s">
        <v>351</v>
      </c>
      <c r="F3" s="33" t="s">
        <v>19</v>
      </c>
      <c r="G3" s="179" t="s">
        <v>352</v>
      </c>
      <c r="H3" s="33"/>
      <c r="I3" s="180" t="s">
        <v>352</v>
      </c>
      <c r="J3" s="33"/>
      <c r="K3" s="180" t="s">
        <v>352</v>
      </c>
    </row>
    <row r="4" spans="1:11" ht="193.8" x14ac:dyDescent="0.3">
      <c r="A4" s="148" t="s">
        <v>353</v>
      </c>
      <c r="B4" s="152" t="s">
        <v>354</v>
      </c>
      <c r="C4" s="151" t="s">
        <v>355</v>
      </c>
      <c r="D4" s="355" t="s">
        <v>356</v>
      </c>
      <c r="E4" s="151" t="s">
        <v>357</v>
      </c>
      <c r="F4" s="33" t="s">
        <v>19</v>
      </c>
      <c r="G4" s="179" t="s">
        <v>984</v>
      </c>
      <c r="H4" s="33"/>
      <c r="I4" s="179" t="s">
        <v>352</v>
      </c>
      <c r="J4" s="33"/>
      <c r="K4" s="179" t="s">
        <v>352</v>
      </c>
    </row>
    <row r="5" spans="1:11" ht="22.8" x14ac:dyDescent="0.3">
      <c r="A5" s="148" t="s">
        <v>358</v>
      </c>
      <c r="B5" s="144" t="s">
        <v>52</v>
      </c>
      <c r="C5" s="151"/>
      <c r="D5" s="356"/>
      <c r="E5" s="35" t="s">
        <v>359</v>
      </c>
      <c r="F5" s="33" t="s">
        <v>19</v>
      </c>
      <c r="G5" s="179" t="s">
        <v>352</v>
      </c>
      <c r="H5" s="33"/>
      <c r="I5" s="179" t="s">
        <v>352</v>
      </c>
      <c r="J5" s="33"/>
      <c r="K5" s="179" t="s">
        <v>352</v>
      </c>
    </row>
    <row r="6" spans="1:11" ht="22.8" x14ac:dyDescent="0.3">
      <c r="A6" s="148" t="s">
        <v>360</v>
      </c>
      <c r="B6" s="144" t="s">
        <v>52</v>
      </c>
      <c r="C6" s="151"/>
      <c r="D6" s="357"/>
      <c r="E6" s="35" t="s">
        <v>361</v>
      </c>
      <c r="F6" s="33" t="s">
        <v>19</v>
      </c>
      <c r="G6" s="179" t="s">
        <v>352</v>
      </c>
      <c r="H6" s="33"/>
      <c r="I6" s="179" t="s">
        <v>352</v>
      </c>
      <c r="J6" s="33"/>
      <c r="K6" s="179" t="s">
        <v>352</v>
      </c>
    </row>
    <row r="7" spans="1:11" ht="34.200000000000003" x14ac:dyDescent="0.3">
      <c r="A7" s="148" t="s">
        <v>362</v>
      </c>
      <c r="B7" s="152" t="s">
        <v>363</v>
      </c>
      <c r="C7" s="151"/>
      <c r="D7" s="148" t="s">
        <v>364</v>
      </c>
      <c r="E7" s="35" t="s">
        <v>365</v>
      </c>
      <c r="F7" s="33" t="s">
        <v>19</v>
      </c>
      <c r="G7" s="179" t="s">
        <v>985</v>
      </c>
      <c r="H7" s="33"/>
      <c r="I7" s="179" t="s">
        <v>352</v>
      </c>
      <c r="J7" s="33"/>
      <c r="K7" s="179" t="s">
        <v>352</v>
      </c>
    </row>
    <row r="8" spans="1:11" ht="22.8" x14ac:dyDescent="0.3">
      <c r="A8" s="148" t="s">
        <v>366</v>
      </c>
      <c r="B8" s="150" t="s">
        <v>367</v>
      </c>
      <c r="C8" s="151"/>
      <c r="D8" s="148" t="s">
        <v>368</v>
      </c>
      <c r="E8" s="151" t="s">
        <v>369</v>
      </c>
      <c r="F8" s="33" t="s">
        <v>30</v>
      </c>
      <c r="G8" s="179" t="s">
        <v>352</v>
      </c>
      <c r="H8" s="33"/>
      <c r="I8" s="179" t="s">
        <v>352</v>
      </c>
      <c r="J8" s="33"/>
      <c r="K8" s="179" t="s">
        <v>352</v>
      </c>
    </row>
    <row r="9" spans="1:11" ht="22.8" x14ac:dyDescent="0.3">
      <c r="A9" s="148" t="s">
        <v>370</v>
      </c>
      <c r="B9" s="150" t="s">
        <v>371</v>
      </c>
      <c r="C9" s="151"/>
      <c r="D9" s="148" t="s">
        <v>372</v>
      </c>
      <c r="E9" s="151" t="s">
        <v>373</v>
      </c>
      <c r="F9" s="33" t="s">
        <v>30</v>
      </c>
      <c r="G9" s="179" t="s">
        <v>352</v>
      </c>
      <c r="H9" s="33"/>
      <c r="I9" s="179" t="s">
        <v>352</v>
      </c>
      <c r="J9" s="33"/>
      <c r="K9" s="179" t="s">
        <v>352</v>
      </c>
    </row>
    <row r="10" spans="1:11" ht="22.8" x14ac:dyDescent="0.3">
      <c r="A10" s="148" t="s">
        <v>374</v>
      </c>
      <c r="B10" s="150" t="s">
        <v>375</v>
      </c>
      <c r="C10" s="151"/>
      <c r="D10" s="148" t="s">
        <v>376</v>
      </c>
      <c r="E10" s="35" t="s">
        <v>377</v>
      </c>
      <c r="F10" s="33" t="s">
        <v>30</v>
      </c>
      <c r="G10" s="179" t="s">
        <v>352</v>
      </c>
      <c r="H10" s="33"/>
      <c r="I10" s="179" t="s">
        <v>352</v>
      </c>
      <c r="J10" s="33"/>
      <c r="K10" s="179" t="s">
        <v>352</v>
      </c>
    </row>
    <row r="11" spans="1:11" ht="34.200000000000003" x14ac:dyDescent="0.3">
      <c r="A11" s="148" t="s">
        <v>378</v>
      </c>
      <c r="B11" s="152" t="s">
        <v>379</v>
      </c>
      <c r="C11" s="151" t="s">
        <v>380</v>
      </c>
      <c r="D11" s="148" t="s">
        <v>381</v>
      </c>
      <c r="E11" s="151" t="s">
        <v>382</v>
      </c>
      <c r="F11" s="33" t="s">
        <v>19</v>
      </c>
      <c r="G11" s="179" t="s">
        <v>352</v>
      </c>
      <c r="H11" s="33"/>
      <c r="I11" s="179" t="s">
        <v>352</v>
      </c>
      <c r="J11" s="33"/>
      <c r="K11" s="179" t="s">
        <v>352</v>
      </c>
    </row>
    <row r="12" spans="1:11" ht="34.200000000000003" x14ac:dyDescent="0.3">
      <c r="A12" s="148" t="s">
        <v>383</v>
      </c>
      <c r="B12" s="152" t="s">
        <v>384</v>
      </c>
      <c r="C12" s="151" t="s">
        <v>380</v>
      </c>
      <c r="D12" s="148" t="s">
        <v>385</v>
      </c>
      <c r="E12" s="151" t="s">
        <v>386</v>
      </c>
      <c r="F12" s="33" t="s">
        <v>30</v>
      </c>
      <c r="G12" s="179" t="s">
        <v>352</v>
      </c>
      <c r="H12" s="33"/>
      <c r="I12" s="179" t="s">
        <v>352</v>
      </c>
      <c r="J12" s="33"/>
      <c r="K12" s="179" t="s">
        <v>352</v>
      </c>
    </row>
    <row r="13" spans="1:11" ht="34.200000000000003" x14ac:dyDescent="0.3">
      <c r="A13" s="148" t="s">
        <v>387</v>
      </c>
      <c r="B13" s="150" t="s">
        <v>388</v>
      </c>
      <c r="C13" s="151"/>
      <c r="D13" s="148" t="s">
        <v>389</v>
      </c>
      <c r="E13" s="151" t="s">
        <v>390</v>
      </c>
      <c r="F13" s="33" t="s">
        <v>19</v>
      </c>
      <c r="G13" s="179" t="s">
        <v>352</v>
      </c>
      <c r="H13" s="33"/>
      <c r="I13" s="179" t="s">
        <v>352</v>
      </c>
      <c r="J13" s="33"/>
      <c r="K13" s="179" t="s">
        <v>352</v>
      </c>
    </row>
  </sheetData>
  <sheetProtection algorithmName="SHA-512" hashValue="MLdlEbHzHfZwplbMBVtx06rNIfrcdsF04XjW3v87qpSCX2GXvydehxcAi/XLApmnA2xU/2jxys+aY3LNhEw2jw==" saltValue="Tng8kbstFnjJY7GPqhIXSw==" spinCount="100000" sheet="1" selectLockedCells="1"/>
  <mergeCells count="2">
    <mergeCell ref="A2:K2"/>
    <mergeCell ref="D4:D6"/>
  </mergeCells>
  <conditionalFormatting sqref="G3">
    <cfRule type="expression" dxfId="139" priority="42">
      <formula>NOT(G3="Comment is required")</formula>
    </cfRule>
    <cfRule type="expression" dxfId="138" priority="47">
      <formula>AND(OR(F3="N/A",F3="Partial"),G3="Comment is required")</formula>
    </cfRule>
  </conditionalFormatting>
  <conditionalFormatting sqref="I3">
    <cfRule type="expression" dxfId="137" priority="45">
      <formula>NOT(I3="Comment is required")</formula>
    </cfRule>
    <cfRule type="expression" dxfId="136" priority="46">
      <formula>AND(OR(H3="N/A",H3="Partial"),I3="Comment is required")</formula>
    </cfRule>
  </conditionalFormatting>
  <conditionalFormatting sqref="K3">
    <cfRule type="expression" dxfId="135" priority="43">
      <formula>NOT(K3="Comment is required")</formula>
    </cfRule>
    <cfRule type="expression" dxfId="134" priority="44">
      <formula>AND(OR(J3="N/A",J3="Partial"),K3="Comment is required")</formula>
    </cfRule>
  </conditionalFormatting>
  <conditionalFormatting sqref="G4">
    <cfRule type="expression" dxfId="133" priority="33">
      <formula>NOT(G4="Comment is required")</formula>
    </cfRule>
    <cfRule type="expression" dxfId="132" priority="41">
      <formula>AND(OR(F4="N/A",F4="Partial"),G4="Comment is required")</formula>
    </cfRule>
  </conditionalFormatting>
  <conditionalFormatting sqref="G4">
    <cfRule type="expression" dxfId="131" priority="40">
      <formula>F4="Yes"</formula>
    </cfRule>
  </conditionalFormatting>
  <conditionalFormatting sqref="I4">
    <cfRule type="expression" dxfId="130" priority="38">
      <formula>NOT(I4="Comment is required")</formula>
    </cfRule>
    <cfRule type="expression" dxfId="129" priority="39">
      <formula>AND(OR(H4="N/A",H4="Partial"),I4="Comment is required")</formula>
    </cfRule>
  </conditionalFormatting>
  <conditionalFormatting sqref="I4">
    <cfRule type="expression" dxfId="128" priority="37">
      <formula>H4="Yes"</formula>
    </cfRule>
  </conditionalFormatting>
  <conditionalFormatting sqref="K4">
    <cfRule type="expression" dxfId="127" priority="35">
      <formula>NOT(K4="Comment is required")</formula>
    </cfRule>
    <cfRule type="expression" dxfId="126" priority="36">
      <formula>AND(OR(J4="N/A",J4="Partial"),K4="Comment is required")</formula>
    </cfRule>
  </conditionalFormatting>
  <conditionalFormatting sqref="K4">
    <cfRule type="expression" dxfId="125" priority="34">
      <formula>J4="Yes"</formula>
    </cfRule>
  </conditionalFormatting>
  <conditionalFormatting sqref="G5:G6">
    <cfRule type="expression" dxfId="124" priority="27">
      <formula>NOT(G5="Comment is required")</formula>
    </cfRule>
    <cfRule type="expression" dxfId="123" priority="32">
      <formula>AND(OR(F5="N/A",F5="Partial"),G5="Comment is required")</formula>
    </cfRule>
  </conditionalFormatting>
  <conditionalFormatting sqref="I5:I6">
    <cfRule type="expression" dxfId="122" priority="30">
      <formula>NOT(I5="Comment is required")</formula>
    </cfRule>
    <cfRule type="expression" dxfId="121" priority="31">
      <formula>AND(OR(H5="N/A",H5="Partial"),I5="Comment is required")</formula>
    </cfRule>
  </conditionalFormatting>
  <conditionalFormatting sqref="K5:K6">
    <cfRule type="expression" dxfId="120" priority="28">
      <formula>NOT(K5="Comment is required")</formula>
    </cfRule>
    <cfRule type="expression" dxfId="119" priority="29">
      <formula>AND(OR(J5="N/A",J5="Partial"),K5="Comment is required")</formula>
    </cfRule>
  </conditionalFormatting>
  <conditionalFormatting sqref="G7:G13">
    <cfRule type="expression" dxfId="118" priority="7">
      <formula>NOT(G7="Comment is required")</formula>
    </cfRule>
    <cfRule type="expression" dxfId="117" priority="13">
      <formula>AND(OR(F7="N/A",F7="Partial"),G7="Comment is required")</formula>
    </cfRule>
  </conditionalFormatting>
  <conditionalFormatting sqref="I8:I13">
    <cfRule type="expression" dxfId="116" priority="10">
      <formula>NOT(I8="Comment is required")</formula>
    </cfRule>
    <cfRule type="expression" dxfId="115" priority="11">
      <formula>AND(OR(H8="N/A",H8="Partial"),I8="Comment is required")</formula>
    </cfRule>
  </conditionalFormatting>
  <conditionalFormatting sqref="K8:K13">
    <cfRule type="expression" dxfId="114" priority="8">
      <formula>NOT(K8="Comment is required")</formula>
    </cfRule>
    <cfRule type="expression" dxfId="113" priority="9">
      <formula>AND(OR(J8="N/A",J8="Partial"),K8="Comment is required")</formula>
    </cfRule>
  </conditionalFormatting>
  <conditionalFormatting sqref="G7">
    <cfRule type="expression" dxfId="112" priority="12">
      <formula>F7="Yes"</formula>
    </cfRule>
  </conditionalFormatting>
  <conditionalFormatting sqref="I7">
    <cfRule type="expression" dxfId="111" priority="5">
      <formula>NOT(I7="Comment is required")</formula>
    </cfRule>
    <cfRule type="expression" dxfId="110" priority="6">
      <formula>AND(OR(H7="N/A",H7="Partial"),I7="Comment is required")</formula>
    </cfRule>
  </conditionalFormatting>
  <conditionalFormatting sqref="I7">
    <cfRule type="expression" dxfId="109" priority="4">
      <formula>H7="YES"</formula>
    </cfRule>
  </conditionalFormatting>
  <conditionalFormatting sqref="K7">
    <cfRule type="expression" dxfId="108" priority="2">
      <formula>NOT(K7="Comment is required")</formula>
    </cfRule>
    <cfRule type="expression" dxfId="107" priority="3">
      <formula>AND(OR(J7="N/A",J7="Partial"),K7="Comment is required")</formula>
    </cfRule>
  </conditionalFormatting>
  <conditionalFormatting sqref="K7">
    <cfRule type="expression" dxfId="106" priority="1">
      <formula>J7="YES"</formula>
    </cfRule>
  </conditionalFormatting>
  <dataValidations count="2">
    <dataValidation type="list" showInputMessage="1" showErrorMessage="1" sqref="F3:F13 J3:J13 H3:H13" xr:uid="{00000000-0002-0000-0A00-000000000000}">
      <formula1>"Yes, No, Partial, N/A"</formula1>
    </dataValidation>
    <dataValidation showInputMessage="1" showErrorMessage="1" sqref="G3:G13 I3:I13 K3:K13" xr:uid="{00000000-0002-0000-0A00-000001000000}"/>
  </dataValidations>
  <hyperlinks>
    <hyperlink ref="B3" r:id="rId1" xr:uid="{00000000-0004-0000-0A00-000000000000}"/>
    <hyperlink ref="B4" r:id="rId2" xr:uid="{00000000-0004-0000-0A00-000001000000}"/>
    <hyperlink ref="B7" r:id="rId3" xr:uid="{00000000-0004-0000-0A00-000002000000}"/>
    <hyperlink ref="B8" r:id="rId4" xr:uid="{00000000-0004-0000-0A00-000003000000}"/>
    <hyperlink ref="B9" r:id="rId5" xr:uid="{00000000-0004-0000-0A00-000004000000}"/>
    <hyperlink ref="B10" r:id="rId6" xr:uid="{00000000-0004-0000-0A00-000005000000}"/>
    <hyperlink ref="B11" r:id="rId7" xr:uid="{00000000-0004-0000-0A00-000006000000}"/>
    <hyperlink ref="B12" r:id="rId8" xr:uid="{00000000-0004-0000-0A00-000007000000}"/>
    <hyperlink ref="B13" r:id="rId9" xr:uid="{00000000-0004-0000-0A00-000008000000}"/>
  </hyperlinks>
  <pageMargins left="0.7" right="0.7" top="0.75" bottom="0.75" header="0.3" footer="0.3"/>
  <pageSetup orientation="portrait"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
  <sheetViews>
    <sheetView showGridLines="0" zoomScale="145" zoomScaleNormal="145" workbookViewId="0">
      <pane xSplit="2" ySplit="2" topLeftCell="C3" activePane="bottomRight" state="frozen"/>
      <selection pane="topRight" activeCell="D20" sqref="D20"/>
      <selection pane="bottomLeft" activeCell="D20" sqref="D20"/>
      <selection pane="bottomRight" activeCell="F7" sqref="F7"/>
    </sheetView>
  </sheetViews>
  <sheetFormatPr defaultRowHeight="14.4" x14ac:dyDescent="0.3"/>
  <cols>
    <col min="1" max="1" width="17.5546875" customWidth="1"/>
    <col min="2" max="2" width="20.6640625" customWidth="1"/>
    <col min="3" max="3" width="28.88671875" customWidth="1"/>
    <col min="4" max="4" width="21.109375" customWidth="1"/>
    <col min="5" max="5" width="55.10937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6.5" customHeight="1" x14ac:dyDescent="0.3">
      <c r="A2" s="358" t="s">
        <v>391</v>
      </c>
      <c r="B2" s="358"/>
      <c r="C2" s="358"/>
      <c r="D2" s="358"/>
      <c r="E2" s="358"/>
      <c r="F2" s="358"/>
      <c r="G2" s="358"/>
      <c r="H2" s="358"/>
      <c r="I2" s="358"/>
      <c r="J2" s="358"/>
      <c r="K2" s="358"/>
    </row>
    <row r="3" spans="1:11" ht="34.200000000000003" x14ac:dyDescent="0.3">
      <c r="A3" s="148" t="s">
        <v>392</v>
      </c>
      <c r="B3" s="152" t="s">
        <v>393</v>
      </c>
      <c r="C3" s="151" t="s">
        <v>394</v>
      </c>
      <c r="D3" s="148" t="s">
        <v>395</v>
      </c>
      <c r="E3" s="151" t="s">
        <v>396</v>
      </c>
      <c r="F3" s="33" t="s">
        <v>19</v>
      </c>
      <c r="G3" s="179" t="s">
        <v>352</v>
      </c>
      <c r="H3" s="33"/>
      <c r="I3" s="179" t="s">
        <v>352</v>
      </c>
      <c r="J3" s="33"/>
      <c r="K3" s="179" t="s">
        <v>352</v>
      </c>
    </row>
    <row r="4" spans="1:11" ht="22.8" x14ac:dyDescent="0.3">
      <c r="A4" s="148" t="s">
        <v>397</v>
      </c>
      <c r="B4" s="268" t="s">
        <v>398</v>
      </c>
      <c r="C4" s="359" t="s">
        <v>399</v>
      </c>
      <c r="D4" s="360" t="s">
        <v>400</v>
      </c>
      <c r="E4" s="151" t="s">
        <v>401</v>
      </c>
      <c r="F4" s="33" t="s">
        <v>19</v>
      </c>
      <c r="G4" s="179" t="s">
        <v>352</v>
      </c>
      <c r="H4" s="33"/>
      <c r="I4" s="179" t="s">
        <v>352</v>
      </c>
      <c r="J4" s="33"/>
      <c r="K4" s="179" t="s">
        <v>352</v>
      </c>
    </row>
    <row r="5" spans="1:11" ht="21.75" customHeight="1" x14ac:dyDescent="0.3">
      <c r="A5" s="148" t="s">
        <v>402</v>
      </c>
      <c r="B5" s="268"/>
      <c r="C5" s="359"/>
      <c r="D5" s="360"/>
      <c r="E5" s="151" t="s">
        <v>403</v>
      </c>
      <c r="F5" s="33" t="s">
        <v>19</v>
      </c>
      <c r="G5" s="179" t="s">
        <v>986</v>
      </c>
      <c r="H5" s="33"/>
      <c r="I5" s="179" t="s">
        <v>352</v>
      </c>
      <c r="J5" s="33"/>
      <c r="K5" s="179" t="s">
        <v>352</v>
      </c>
    </row>
    <row r="6" spans="1:11" ht="34.200000000000003" x14ac:dyDescent="0.3">
      <c r="A6" s="148" t="s">
        <v>404</v>
      </c>
      <c r="B6" s="152" t="s">
        <v>405</v>
      </c>
      <c r="C6" s="151" t="s">
        <v>394</v>
      </c>
      <c r="D6" s="148" t="s">
        <v>406</v>
      </c>
      <c r="E6" s="151" t="s">
        <v>407</v>
      </c>
      <c r="F6" s="33" t="s">
        <v>30</v>
      </c>
      <c r="G6" s="179" t="s">
        <v>987</v>
      </c>
      <c r="H6" s="33"/>
      <c r="I6" s="179" t="s">
        <v>352</v>
      </c>
      <c r="J6" s="33"/>
      <c r="K6" s="179" t="s">
        <v>352</v>
      </c>
    </row>
    <row r="7" spans="1:11" ht="22.8" x14ac:dyDescent="0.3">
      <c r="A7" s="148" t="s">
        <v>408</v>
      </c>
      <c r="B7" s="152" t="s">
        <v>409</v>
      </c>
      <c r="C7" s="151" t="s">
        <v>394</v>
      </c>
      <c r="D7" s="148" t="s">
        <v>410</v>
      </c>
      <c r="E7" s="151" t="s">
        <v>411</v>
      </c>
      <c r="F7" s="33" t="s">
        <v>30</v>
      </c>
      <c r="G7" s="179" t="s">
        <v>352</v>
      </c>
      <c r="H7" s="33"/>
      <c r="I7" s="179" t="s">
        <v>352</v>
      </c>
      <c r="J7" s="33"/>
      <c r="K7" s="179" t="s">
        <v>352</v>
      </c>
    </row>
  </sheetData>
  <sheetProtection algorithmName="SHA-512" hashValue="oKysM4N3I/IjC98JgJHMQVPdB0H9Ixt67SJpedQKH5zorXCUdfCHM7iF0uqq/SXbpEagmKi8g+6WVE7idVYMqw==" saltValue="J3/5u3w4XLxwFgA/ffpA6A==" spinCount="100000" sheet="1" selectLockedCells="1"/>
  <mergeCells count="4">
    <mergeCell ref="A2:K2"/>
    <mergeCell ref="B4:B5"/>
    <mergeCell ref="C4:C5"/>
    <mergeCell ref="D4:D5"/>
  </mergeCells>
  <conditionalFormatting sqref="G3:G7">
    <cfRule type="expression" dxfId="105" priority="3">
      <formula>NOT(G3="Comment is required")</formula>
    </cfRule>
    <cfRule type="expression" dxfId="104" priority="4">
      <formula>AND(OR(F3="N/A",F3="Partial"),G3="Comment is required")</formula>
    </cfRule>
  </conditionalFormatting>
  <conditionalFormatting sqref="K3:K7 I3:I7">
    <cfRule type="expression" dxfId="103" priority="1">
      <formula>NOT(I3="Comment is required")</formula>
    </cfRule>
    <cfRule type="expression" dxfId="102" priority="2">
      <formula>AND(OR(H3="N/A",H3="Partial"),I3="Comment is required")</formula>
    </cfRule>
  </conditionalFormatting>
  <dataValidations count="2">
    <dataValidation type="list" showInputMessage="1" showErrorMessage="1" sqref="J3:J7 F3:F7 H3:H7" xr:uid="{285DA79E-58A6-4258-93D7-6480F160A93B}">
      <formula1>"Yes, No, Partial, N/A"</formula1>
    </dataValidation>
    <dataValidation showInputMessage="1" showErrorMessage="1" sqref="G3:G7 I3:I7 K3:K7" xr:uid="{EB62368A-DF90-42A1-8188-B003A7629BB5}"/>
  </dataValidations>
  <hyperlinks>
    <hyperlink ref="B3" r:id="rId1" xr:uid="{00000000-0004-0000-0B00-000000000000}"/>
    <hyperlink ref="B4:B5" r:id="rId2" display="AT-2" xr:uid="{00000000-0004-0000-0B00-000001000000}"/>
    <hyperlink ref="B6" r:id="rId3" xr:uid="{00000000-0004-0000-0B00-000002000000}"/>
    <hyperlink ref="B7" r:id="rId4" xr:uid="{00000000-0004-0000-0B00-000003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1"/>
  <sheetViews>
    <sheetView showGridLines="0" zoomScale="130" zoomScaleNormal="130" workbookViewId="0">
      <pane xSplit="2" ySplit="2" topLeftCell="C3" activePane="bottomRight" state="frozen"/>
      <selection pane="topRight" activeCell="D20" sqref="D20"/>
      <selection pane="bottomLeft" activeCell="D20" sqref="D20"/>
      <selection pane="bottomRight" activeCell="F11" sqref="F11"/>
    </sheetView>
  </sheetViews>
  <sheetFormatPr defaultRowHeight="14.4" x14ac:dyDescent="0.3"/>
  <cols>
    <col min="1" max="1" width="17.5546875" customWidth="1"/>
    <col min="2" max="2" width="19.5546875" customWidth="1"/>
    <col min="3" max="3" width="23" customWidth="1"/>
    <col min="4" max="4" width="20" customWidth="1"/>
    <col min="5" max="5" width="52"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58" t="s">
        <v>412</v>
      </c>
      <c r="B2" s="358"/>
      <c r="C2" s="358"/>
      <c r="D2" s="358"/>
      <c r="E2" s="358"/>
      <c r="F2" s="358"/>
      <c r="G2" s="358"/>
      <c r="H2" s="358"/>
      <c r="I2" s="358"/>
      <c r="J2" s="358"/>
      <c r="K2" s="358"/>
    </row>
    <row r="3" spans="1:11" ht="114" x14ac:dyDescent="0.3">
      <c r="A3" s="148" t="s">
        <v>413</v>
      </c>
      <c r="B3" s="268" t="s">
        <v>414</v>
      </c>
      <c r="C3" s="359" t="s">
        <v>415</v>
      </c>
      <c r="D3" s="360" t="s">
        <v>416</v>
      </c>
      <c r="E3" s="34" t="s">
        <v>417</v>
      </c>
      <c r="F3" s="33" t="s">
        <v>19</v>
      </c>
      <c r="G3" s="179" t="s">
        <v>995</v>
      </c>
      <c r="H3" s="33"/>
      <c r="I3" s="179" t="s">
        <v>352</v>
      </c>
      <c r="J3" s="33"/>
      <c r="K3" s="179" t="s">
        <v>352</v>
      </c>
    </row>
    <row r="4" spans="1:11" ht="22.8" x14ac:dyDescent="0.3">
      <c r="A4" s="148" t="s">
        <v>418</v>
      </c>
      <c r="B4" s="268"/>
      <c r="C4" s="359"/>
      <c r="D4" s="360"/>
      <c r="E4" s="34" t="s">
        <v>419</v>
      </c>
      <c r="F4" s="33" t="s">
        <v>19</v>
      </c>
      <c r="G4" s="179" t="s">
        <v>352</v>
      </c>
      <c r="H4" s="33"/>
      <c r="I4" s="179" t="s">
        <v>352</v>
      </c>
      <c r="J4" s="33"/>
      <c r="K4" s="179" t="s">
        <v>352</v>
      </c>
    </row>
    <row r="5" spans="1:11" ht="57" x14ac:dyDescent="0.3">
      <c r="A5" s="148" t="s">
        <v>420</v>
      </c>
      <c r="B5" s="152" t="s">
        <v>421</v>
      </c>
      <c r="C5" s="151" t="s">
        <v>422</v>
      </c>
      <c r="D5" s="148" t="s">
        <v>423</v>
      </c>
      <c r="E5" s="34" t="s">
        <v>424</v>
      </c>
      <c r="F5" s="33" t="s">
        <v>19</v>
      </c>
      <c r="G5" s="179" t="s">
        <v>352</v>
      </c>
      <c r="H5" s="33"/>
      <c r="I5" s="179" t="s">
        <v>352</v>
      </c>
      <c r="J5" s="33"/>
      <c r="K5" s="179" t="s">
        <v>352</v>
      </c>
    </row>
    <row r="6" spans="1:11" ht="22.8" x14ac:dyDescent="0.3">
      <c r="A6" s="148" t="s">
        <v>425</v>
      </c>
      <c r="B6" s="152" t="s">
        <v>426</v>
      </c>
      <c r="C6" s="151"/>
      <c r="D6" s="148" t="s">
        <v>427</v>
      </c>
      <c r="E6" s="34" t="s">
        <v>428</v>
      </c>
      <c r="F6" s="33" t="s">
        <v>30</v>
      </c>
      <c r="G6" s="179" t="s">
        <v>352</v>
      </c>
      <c r="H6" s="33"/>
      <c r="I6" s="179" t="s">
        <v>352</v>
      </c>
      <c r="J6" s="33"/>
      <c r="K6" s="179" t="s">
        <v>352</v>
      </c>
    </row>
    <row r="7" spans="1:11" ht="22.8" x14ac:dyDescent="0.3">
      <c r="A7" s="148" t="s">
        <v>429</v>
      </c>
      <c r="B7" s="268" t="s">
        <v>430</v>
      </c>
      <c r="C7" s="359" t="s">
        <v>431</v>
      </c>
      <c r="D7" s="360" t="s">
        <v>432</v>
      </c>
      <c r="E7" s="34" t="s">
        <v>433</v>
      </c>
      <c r="F7" s="33" t="s">
        <v>30</v>
      </c>
      <c r="G7" s="179" t="s">
        <v>352</v>
      </c>
      <c r="H7" s="33"/>
      <c r="I7" s="179" t="s">
        <v>352</v>
      </c>
      <c r="J7" s="33"/>
      <c r="K7" s="179" t="s">
        <v>352</v>
      </c>
    </row>
    <row r="8" spans="1:11" ht="22.8" x14ac:dyDescent="0.3">
      <c r="A8" s="148" t="s">
        <v>434</v>
      </c>
      <c r="B8" s="268"/>
      <c r="C8" s="359"/>
      <c r="D8" s="360"/>
      <c r="E8" s="151" t="s">
        <v>435</v>
      </c>
      <c r="F8" s="33" t="s">
        <v>30</v>
      </c>
      <c r="G8" s="179" t="s">
        <v>352</v>
      </c>
      <c r="H8" s="33"/>
      <c r="I8" s="179" t="s">
        <v>352</v>
      </c>
      <c r="J8" s="33"/>
      <c r="K8" s="179" t="s">
        <v>352</v>
      </c>
    </row>
    <row r="9" spans="1:11" x14ac:dyDescent="0.3">
      <c r="A9" s="148" t="s">
        <v>436</v>
      </c>
      <c r="B9" s="152" t="s">
        <v>437</v>
      </c>
      <c r="C9" s="151"/>
      <c r="D9" s="148" t="s">
        <v>438</v>
      </c>
      <c r="E9" s="34" t="s">
        <v>439</v>
      </c>
      <c r="F9" s="33" t="s">
        <v>19</v>
      </c>
      <c r="G9" s="179" t="s">
        <v>352</v>
      </c>
      <c r="H9" s="33"/>
      <c r="I9" s="179" t="s">
        <v>352</v>
      </c>
      <c r="J9" s="33"/>
      <c r="K9" s="179" t="s">
        <v>352</v>
      </c>
    </row>
    <row r="10" spans="1:11" ht="22.8" x14ac:dyDescent="0.3">
      <c r="A10" s="148" t="s">
        <v>440</v>
      </c>
      <c r="B10" s="152" t="s">
        <v>441</v>
      </c>
      <c r="C10" s="151"/>
      <c r="D10" s="148" t="s">
        <v>442</v>
      </c>
      <c r="E10" s="34" t="s">
        <v>443</v>
      </c>
      <c r="F10" s="33" t="s">
        <v>19</v>
      </c>
      <c r="G10" s="179" t="s">
        <v>352</v>
      </c>
      <c r="H10" s="33"/>
      <c r="I10" s="179" t="s">
        <v>352</v>
      </c>
      <c r="J10" s="33"/>
      <c r="K10" s="179" t="s">
        <v>352</v>
      </c>
    </row>
    <row r="11" spans="1:11" ht="22.8" x14ac:dyDescent="0.3">
      <c r="A11" s="148" t="s">
        <v>444</v>
      </c>
      <c r="B11" s="152" t="s">
        <v>445</v>
      </c>
      <c r="C11" s="151"/>
      <c r="D11" s="148" t="s">
        <v>446</v>
      </c>
      <c r="E11" s="34" t="s">
        <v>447</v>
      </c>
      <c r="F11" s="33" t="s">
        <v>30</v>
      </c>
      <c r="G11" s="179" t="s">
        <v>352</v>
      </c>
      <c r="H11" s="33"/>
      <c r="I11" s="179" t="s">
        <v>352</v>
      </c>
      <c r="J11" s="33"/>
      <c r="K11" s="179" t="s">
        <v>352</v>
      </c>
    </row>
  </sheetData>
  <sheetProtection algorithmName="SHA-512" hashValue="1fFMVgP5IqJAV3iImsV7m1EG1qnFWR7t6oaXMVqKKuey3movSNzau5KwkNqY6zfaNbAow6lHp3GbEDDVM/l9bQ==" saltValue="GRqYoXV5quzkTpzoTQw9yw==" spinCount="100000" sheet="1" selectLockedCells="1"/>
  <mergeCells count="7">
    <mergeCell ref="A2:K2"/>
    <mergeCell ref="B3:B4"/>
    <mergeCell ref="C3:C4"/>
    <mergeCell ref="B7:B8"/>
    <mergeCell ref="C7:C8"/>
    <mergeCell ref="D3:D4"/>
    <mergeCell ref="D7:D8"/>
  </mergeCells>
  <conditionalFormatting sqref="G4:G11 I4:I11 K4:K11">
    <cfRule type="expression" dxfId="101" priority="1">
      <formula>NOT(G4="Comment is required")</formula>
    </cfRule>
    <cfRule type="expression" dxfId="100" priority="2">
      <formula>AND(OR(F4="N/A",F4="Partial"),G4="Comment is required")</formula>
    </cfRule>
  </conditionalFormatting>
  <conditionalFormatting sqref="G3 I3 K3">
    <cfRule type="expression" dxfId="99" priority="6">
      <formula>NOT(G3="Comment is required")</formula>
    </cfRule>
    <cfRule type="expression" dxfId="98" priority="7">
      <formula>AND(OR(F3="N/A",F3="Partial"),G3="Comment is required")</formula>
    </cfRule>
  </conditionalFormatting>
  <conditionalFormatting sqref="G3">
    <cfRule type="expression" dxfId="97" priority="5">
      <formula>F3="Yes"</formula>
    </cfRule>
  </conditionalFormatting>
  <conditionalFormatting sqref="I3">
    <cfRule type="expression" dxfId="96" priority="4">
      <formula>H3="Yes"</formula>
    </cfRule>
  </conditionalFormatting>
  <conditionalFormatting sqref="K3">
    <cfRule type="expression" dxfId="95" priority="3">
      <formula>J3="Yes"</formula>
    </cfRule>
  </conditionalFormatting>
  <dataValidations count="2">
    <dataValidation type="list" showInputMessage="1" showErrorMessage="1" sqref="H3:H11 J3:J11 F3:F11" xr:uid="{00000000-0002-0000-0C00-000000000000}">
      <formula1>"Yes, No, Partial, N/A"</formula1>
    </dataValidation>
    <dataValidation showInputMessage="1" showErrorMessage="1" sqref="G3:G11 I3:I11" xr:uid="{00000000-0002-0000-0C00-000001000000}"/>
  </dataValidations>
  <hyperlinks>
    <hyperlink ref="B3:B4" r:id="rId1" display="AU-2" xr:uid="{00000000-0004-0000-0C00-000000000000}"/>
    <hyperlink ref="B5" r:id="rId2" xr:uid="{00000000-0004-0000-0C00-000001000000}"/>
    <hyperlink ref="B6" r:id="rId3" xr:uid="{00000000-0004-0000-0C00-000002000000}"/>
    <hyperlink ref="B7:B8" r:id="rId4" display="AU-7" xr:uid="{00000000-0004-0000-0C00-000003000000}"/>
    <hyperlink ref="B9" r:id="rId5" xr:uid="{00000000-0004-0000-0C00-000004000000}"/>
    <hyperlink ref="B10" r:id="rId6" xr:uid="{00000000-0004-0000-0C00-000005000000}"/>
    <hyperlink ref="B11" r:id="rId7" xr:uid="{00000000-0004-0000-0C00-000006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7"/>
  <sheetViews>
    <sheetView showGridLines="0" zoomScale="145" zoomScaleNormal="145" workbookViewId="0">
      <pane xSplit="2" ySplit="2" topLeftCell="E3" activePane="bottomRight" state="frozen"/>
      <selection pane="topRight" activeCell="D19" sqref="D19:D22"/>
      <selection pane="bottomLeft" activeCell="D19" sqref="D19:D22"/>
      <selection pane="bottomRight" activeCell="G27" sqref="G27"/>
    </sheetView>
  </sheetViews>
  <sheetFormatPr defaultColWidth="9" defaultRowHeight="14.4" x14ac:dyDescent="0.3"/>
  <cols>
    <col min="1" max="1" width="17.5546875" customWidth="1"/>
    <col min="2" max="2" width="20.44140625" customWidth="1"/>
    <col min="3" max="3" width="18.5546875" customWidth="1"/>
    <col min="4" max="4" width="24.6640625" customWidth="1"/>
    <col min="5" max="5" width="55.664062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58" t="s">
        <v>448</v>
      </c>
      <c r="B2" s="358"/>
      <c r="C2" s="358"/>
      <c r="D2" s="358"/>
      <c r="E2" s="358"/>
      <c r="F2" s="358"/>
      <c r="G2" s="358"/>
      <c r="H2" s="358"/>
      <c r="I2" s="358"/>
      <c r="J2" s="358"/>
      <c r="K2" s="358"/>
    </row>
    <row r="3" spans="1:11" ht="34.200000000000003" x14ac:dyDescent="0.3">
      <c r="A3" s="148" t="s">
        <v>449</v>
      </c>
      <c r="B3" s="150" t="s">
        <v>450</v>
      </c>
      <c r="C3" s="151"/>
      <c r="D3" s="148" t="s">
        <v>451</v>
      </c>
      <c r="E3" s="151" t="s">
        <v>452</v>
      </c>
      <c r="F3" s="33" t="s">
        <v>19</v>
      </c>
      <c r="G3" s="179" t="s">
        <v>352</v>
      </c>
      <c r="H3" s="33"/>
      <c r="I3" s="179" t="s">
        <v>352</v>
      </c>
      <c r="J3" s="33"/>
      <c r="K3" s="179" t="s">
        <v>352</v>
      </c>
    </row>
    <row r="4" spans="1:11" ht="125.4" x14ac:dyDescent="0.3">
      <c r="A4" s="148" t="s">
        <v>256</v>
      </c>
      <c r="B4" s="152" t="s">
        <v>258</v>
      </c>
      <c r="C4" s="151"/>
      <c r="D4" s="148" t="s">
        <v>257</v>
      </c>
      <c r="E4" s="34" t="s">
        <v>453</v>
      </c>
      <c r="F4" s="33" t="s">
        <v>30</v>
      </c>
      <c r="G4" s="179" t="s">
        <v>996</v>
      </c>
      <c r="H4" s="33"/>
      <c r="I4" s="179" t="s">
        <v>352</v>
      </c>
      <c r="J4" s="33"/>
      <c r="K4" s="179" t="s">
        <v>352</v>
      </c>
    </row>
    <row r="5" spans="1:11" ht="24" customHeight="1" x14ac:dyDescent="0.3">
      <c r="A5" s="148" t="s">
        <v>454</v>
      </c>
      <c r="B5" s="268" t="s">
        <v>262</v>
      </c>
      <c r="C5" s="360"/>
      <c r="D5" s="360" t="s">
        <v>261</v>
      </c>
      <c r="E5" s="36" t="s">
        <v>455</v>
      </c>
      <c r="F5" s="33" t="s">
        <v>30</v>
      </c>
      <c r="G5" s="179" t="s">
        <v>997</v>
      </c>
      <c r="H5" s="33"/>
      <c r="I5" s="179" t="s">
        <v>352</v>
      </c>
      <c r="J5" s="33"/>
      <c r="K5" s="179" t="s">
        <v>352</v>
      </c>
    </row>
    <row r="6" spans="1:11" ht="22.8" x14ac:dyDescent="0.3">
      <c r="A6" s="148" t="s">
        <v>456</v>
      </c>
      <c r="B6" s="268"/>
      <c r="C6" s="360"/>
      <c r="D6" s="360"/>
      <c r="E6" s="36" t="s">
        <v>457</v>
      </c>
      <c r="F6" s="33" t="s">
        <v>19</v>
      </c>
      <c r="G6" s="179" t="s">
        <v>352</v>
      </c>
      <c r="H6" s="33"/>
      <c r="I6" s="179" t="s">
        <v>352</v>
      </c>
      <c r="J6" s="33"/>
      <c r="K6" s="179" t="s">
        <v>352</v>
      </c>
    </row>
    <row r="7" spans="1:11" ht="22.8" x14ac:dyDescent="0.3">
      <c r="A7" s="148" t="s">
        <v>458</v>
      </c>
      <c r="B7" s="268"/>
      <c r="C7" s="360"/>
      <c r="D7" s="360"/>
      <c r="E7" s="36" t="s">
        <v>459</v>
      </c>
      <c r="F7" s="33" t="s">
        <v>19</v>
      </c>
      <c r="G7" s="179" t="s">
        <v>998</v>
      </c>
      <c r="H7" s="33"/>
      <c r="I7" s="179" t="s">
        <v>352</v>
      </c>
      <c r="J7" s="33"/>
      <c r="K7" s="179" t="s">
        <v>352</v>
      </c>
    </row>
    <row r="8" spans="1:11" ht="22.8" x14ac:dyDescent="0.3">
      <c r="A8" s="148" t="s">
        <v>460</v>
      </c>
      <c r="B8" s="268"/>
      <c r="C8" s="360"/>
      <c r="D8" s="360"/>
      <c r="E8" s="36" t="s">
        <v>461</v>
      </c>
      <c r="F8" s="33" t="s">
        <v>19</v>
      </c>
      <c r="G8" s="179" t="s">
        <v>998</v>
      </c>
      <c r="H8" s="33"/>
      <c r="I8" s="179" t="s">
        <v>352</v>
      </c>
      <c r="J8" s="33"/>
      <c r="K8" s="179" t="s">
        <v>352</v>
      </c>
    </row>
    <row r="9" spans="1:11" ht="57" x14ac:dyDescent="0.3">
      <c r="A9" s="148" t="s">
        <v>462</v>
      </c>
      <c r="B9" s="268"/>
      <c r="C9" s="360"/>
      <c r="D9" s="360"/>
      <c r="E9" s="36" t="s">
        <v>463</v>
      </c>
      <c r="F9" s="33" t="s">
        <v>19</v>
      </c>
      <c r="G9" s="179" t="s">
        <v>999</v>
      </c>
      <c r="H9" s="33"/>
      <c r="I9" s="179" t="s">
        <v>352</v>
      </c>
      <c r="J9" s="33"/>
      <c r="K9" s="179" t="s">
        <v>352</v>
      </c>
    </row>
    <row r="10" spans="1:11" ht="114" x14ac:dyDescent="0.3">
      <c r="A10" s="148" t="s">
        <v>464</v>
      </c>
      <c r="B10" s="268"/>
      <c r="C10" s="360"/>
      <c r="D10" s="360"/>
      <c r="E10" s="36" t="s">
        <v>465</v>
      </c>
      <c r="F10" s="33" t="s">
        <v>41</v>
      </c>
      <c r="G10" s="179" t="s">
        <v>1000</v>
      </c>
      <c r="H10" s="33"/>
      <c r="I10" s="179" t="s">
        <v>352</v>
      </c>
      <c r="J10" s="33"/>
      <c r="K10" s="179" t="s">
        <v>352</v>
      </c>
    </row>
    <row r="11" spans="1:11" ht="22.8" x14ac:dyDescent="0.3">
      <c r="A11" s="148" t="s">
        <v>466</v>
      </c>
      <c r="B11" s="152" t="s">
        <v>467</v>
      </c>
      <c r="C11" s="151"/>
      <c r="D11" s="148" t="s">
        <v>468</v>
      </c>
      <c r="E11" s="34" t="s">
        <v>469</v>
      </c>
      <c r="F11" s="33" t="s">
        <v>30</v>
      </c>
      <c r="G11" s="179"/>
      <c r="H11" s="33"/>
      <c r="I11" s="179" t="s">
        <v>352</v>
      </c>
      <c r="J11" s="33"/>
      <c r="K11" s="179" t="s">
        <v>352</v>
      </c>
    </row>
    <row r="12" spans="1:11" ht="45.6" x14ac:dyDescent="0.3">
      <c r="A12" s="148" t="s">
        <v>470</v>
      </c>
      <c r="B12" s="268" t="s">
        <v>269</v>
      </c>
      <c r="C12" s="359"/>
      <c r="D12" s="360" t="s">
        <v>471</v>
      </c>
      <c r="E12" s="34" t="s">
        <v>472</v>
      </c>
      <c r="F12" s="33" t="s">
        <v>30</v>
      </c>
      <c r="G12" s="179" t="s">
        <v>1001</v>
      </c>
      <c r="H12" s="33"/>
      <c r="I12" s="179" t="s">
        <v>352</v>
      </c>
      <c r="J12" s="33"/>
      <c r="K12" s="179" t="s">
        <v>352</v>
      </c>
    </row>
    <row r="13" spans="1:11" ht="22.8" x14ac:dyDescent="0.3">
      <c r="A13" s="148" t="s">
        <v>473</v>
      </c>
      <c r="B13" s="268"/>
      <c r="C13" s="359"/>
      <c r="D13" s="360"/>
      <c r="E13" s="34" t="s">
        <v>474</v>
      </c>
      <c r="F13" s="33" t="s">
        <v>30</v>
      </c>
      <c r="G13" s="179" t="s">
        <v>352</v>
      </c>
      <c r="H13" s="33"/>
      <c r="I13" s="179" t="s">
        <v>352</v>
      </c>
      <c r="J13" s="33"/>
      <c r="K13" s="179" t="s">
        <v>352</v>
      </c>
    </row>
    <row r="14" spans="1:11" ht="22.8" x14ac:dyDescent="0.3">
      <c r="A14" s="148" t="s">
        <v>475</v>
      </c>
      <c r="B14" s="268"/>
      <c r="C14" s="359"/>
      <c r="D14" s="360"/>
      <c r="E14" s="34" t="s">
        <v>476</v>
      </c>
      <c r="F14" s="33" t="s">
        <v>30</v>
      </c>
      <c r="G14" s="179" t="s">
        <v>352</v>
      </c>
      <c r="H14" s="33"/>
      <c r="I14" s="179" t="s">
        <v>352</v>
      </c>
      <c r="J14" s="33"/>
      <c r="K14" s="179" t="s">
        <v>352</v>
      </c>
    </row>
    <row r="15" spans="1:11" ht="22.8" x14ac:dyDescent="0.3">
      <c r="A15" s="148" t="s">
        <v>271</v>
      </c>
      <c r="B15" s="152" t="s">
        <v>273</v>
      </c>
      <c r="C15" s="151"/>
      <c r="D15" s="148" t="s">
        <v>272</v>
      </c>
      <c r="E15" s="34" t="s">
        <v>477</v>
      </c>
      <c r="F15" s="33" t="s">
        <v>19</v>
      </c>
      <c r="G15" s="179" t="s">
        <v>352</v>
      </c>
      <c r="H15" s="33"/>
      <c r="I15" s="179" t="s">
        <v>352</v>
      </c>
      <c r="J15" s="33"/>
      <c r="K15" s="179" t="s">
        <v>352</v>
      </c>
    </row>
    <row r="16" spans="1:11" ht="24" customHeight="1" x14ac:dyDescent="0.3">
      <c r="A16" s="148" t="s">
        <v>478</v>
      </c>
      <c r="B16" s="268" t="s">
        <v>277</v>
      </c>
      <c r="C16" s="359" t="s">
        <v>479</v>
      </c>
      <c r="D16" s="360" t="s">
        <v>480</v>
      </c>
      <c r="E16" s="34" t="s">
        <v>481</v>
      </c>
      <c r="F16" s="33" t="s">
        <v>19</v>
      </c>
      <c r="G16" s="179" t="s">
        <v>352</v>
      </c>
      <c r="H16" s="33"/>
      <c r="I16" s="179" t="s">
        <v>352</v>
      </c>
      <c r="J16" s="33"/>
      <c r="K16" s="179" t="s">
        <v>352</v>
      </c>
    </row>
    <row r="17" spans="1:11" ht="34.200000000000003" x14ac:dyDescent="0.3">
      <c r="A17" s="148" t="s">
        <v>482</v>
      </c>
      <c r="B17" s="268"/>
      <c r="C17" s="359"/>
      <c r="D17" s="360"/>
      <c r="E17" s="34" t="s">
        <v>483</v>
      </c>
      <c r="F17" s="33" t="s">
        <v>19</v>
      </c>
      <c r="G17" s="179" t="s">
        <v>1002</v>
      </c>
      <c r="H17" s="33"/>
      <c r="I17" s="179" t="s">
        <v>352</v>
      </c>
      <c r="J17" s="33"/>
      <c r="K17" s="179" t="s">
        <v>352</v>
      </c>
    </row>
    <row r="18" spans="1:11" ht="36" customHeight="1" x14ac:dyDescent="0.3">
      <c r="A18" s="148" t="s">
        <v>484</v>
      </c>
      <c r="B18" s="268" t="s">
        <v>281</v>
      </c>
      <c r="C18" s="360"/>
      <c r="D18" s="360" t="s">
        <v>280</v>
      </c>
      <c r="E18" s="34" t="s">
        <v>485</v>
      </c>
      <c r="F18" s="33" t="s">
        <v>30</v>
      </c>
      <c r="G18" s="179" t="s">
        <v>1003</v>
      </c>
      <c r="H18" s="33"/>
      <c r="I18" s="179" t="s">
        <v>352</v>
      </c>
      <c r="J18" s="33"/>
      <c r="K18" s="179" t="s">
        <v>352</v>
      </c>
    </row>
    <row r="19" spans="1:11" ht="57" x14ac:dyDescent="0.3">
      <c r="A19" s="148" t="s">
        <v>486</v>
      </c>
      <c r="B19" s="268"/>
      <c r="C19" s="360"/>
      <c r="D19" s="360"/>
      <c r="E19" s="34" t="s">
        <v>487</v>
      </c>
      <c r="F19" s="33" t="s">
        <v>19</v>
      </c>
      <c r="G19" s="179" t="s">
        <v>1004</v>
      </c>
      <c r="H19" s="33"/>
      <c r="I19" s="179" t="s">
        <v>352</v>
      </c>
      <c r="J19" s="33"/>
      <c r="K19" s="179" t="s">
        <v>352</v>
      </c>
    </row>
    <row r="20" spans="1:11" ht="79.8" x14ac:dyDescent="0.3">
      <c r="A20" s="148" t="s">
        <v>488</v>
      </c>
      <c r="B20" s="268"/>
      <c r="C20" s="360"/>
      <c r="D20" s="360"/>
      <c r="E20" s="34" t="s">
        <v>489</v>
      </c>
      <c r="F20" s="33" t="s">
        <v>19</v>
      </c>
      <c r="G20" s="179" t="s">
        <v>1005</v>
      </c>
      <c r="H20" s="33"/>
      <c r="I20" s="179" t="s">
        <v>352</v>
      </c>
      <c r="J20" s="33"/>
      <c r="K20" s="179" t="s">
        <v>352</v>
      </c>
    </row>
    <row r="21" spans="1:11" ht="22.8" x14ac:dyDescent="0.3">
      <c r="A21" s="148" t="s">
        <v>490</v>
      </c>
      <c r="B21" s="268"/>
      <c r="C21" s="360"/>
      <c r="D21" s="360"/>
      <c r="E21" s="34" t="s">
        <v>491</v>
      </c>
      <c r="F21" s="33" t="s">
        <v>19</v>
      </c>
      <c r="G21" s="179" t="s">
        <v>352</v>
      </c>
      <c r="H21" s="33"/>
      <c r="I21" s="179" t="s">
        <v>352</v>
      </c>
      <c r="J21" s="33"/>
      <c r="K21" s="179" t="s">
        <v>352</v>
      </c>
    </row>
    <row r="22" spans="1:11" ht="57" x14ac:dyDescent="0.3">
      <c r="A22" s="148" t="s">
        <v>287</v>
      </c>
      <c r="B22" s="152" t="s">
        <v>289</v>
      </c>
      <c r="C22" s="148"/>
      <c r="D22" s="148" t="s">
        <v>288</v>
      </c>
      <c r="E22" s="151" t="s">
        <v>492</v>
      </c>
      <c r="F22" s="33" t="s">
        <v>52</v>
      </c>
      <c r="G22" s="179" t="s">
        <v>1006</v>
      </c>
      <c r="H22" s="33"/>
      <c r="I22" s="179" t="s">
        <v>352</v>
      </c>
      <c r="J22" s="33"/>
      <c r="K22" s="179" t="s">
        <v>352</v>
      </c>
    </row>
    <row r="23" spans="1:11" ht="22.8" x14ac:dyDescent="0.3">
      <c r="A23" s="154" t="s">
        <v>493</v>
      </c>
      <c r="B23" s="362" t="s">
        <v>52</v>
      </c>
      <c r="C23" s="355"/>
      <c r="D23" s="148" t="s">
        <v>494</v>
      </c>
      <c r="E23" s="36" t="s">
        <v>495</v>
      </c>
      <c r="F23" s="33" t="s">
        <v>19</v>
      </c>
      <c r="G23" s="179" t="s">
        <v>1007</v>
      </c>
      <c r="H23" s="33"/>
      <c r="I23" s="179" t="s">
        <v>352</v>
      </c>
      <c r="J23" s="33"/>
      <c r="K23" s="179" t="s">
        <v>352</v>
      </c>
    </row>
    <row r="24" spans="1:11" ht="22.8" x14ac:dyDescent="0.3">
      <c r="A24" s="154" t="s">
        <v>496</v>
      </c>
      <c r="B24" s="363"/>
      <c r="C24" s="357"/>
      <c r="D24" s="148" t="s">
        <v>497</v>
      </c>
      <c r="E24" s="36" t="s">
        <v>498</v>
      </c>
      <c r="F24" s="33" t="s">
        <v>30</v>
      </c>
      <c r="G24" s="179" t="s">
        <v>1007</v>
      </c>
      <c r="H24" s="33"/>
      <c r="I24" s="179" t="s">
        <v>352</v>
      </c>
      <c r="J24" s="33"/>
      <c r="K24" s="179" t="s">
        <v>352</v>
      </c>
    </row>
    <row r="25" spans="1:11" ht="91.2" x14ac:dyDescent="0.3">
      <c r="A25" s="154" t="s">
        <v>499</v>
      </c>
      <c r="B25" s="33" t="s">
        <v>52</v>
      </c>
      <c r="C25" s="148"/>
      <c r="D25" s="149" t="s">
        <v>500</v>
      </c>
      <c r="E25" s="36" t="s">
        <v>501</v>
      </c>
      <c r="F25" s="33" t="s">
        <v>19</v>
      </c>
      <c r="G25" s="179" t="s">
        <v>1008</v>
      </c>
      <c r="H25" s="33"/>
      <c r="I25" s="179" t="s">
        <v>352</v>
      </c>
      <c r="J25" s="33"/>
      <c r="K25" s="179" t="s">
        <v>352</v>
      </c>
    </row>
    <row r="26" spans="1:11" ht="34.200000000000003" x14ac:dyDescent="0.3">
      <c r="A26" s="154" t="s">
        <v>502</v>
      </c>
      <c r="B26" s="144" t="s">
        <v>52</v>
      </c>
      <c r="C26" s="154"/>
      <c r="D26" s="361" t="s">
        <v>503</v>
      </c>
      <c r="E26" s="36" t="s">
        <v>504</v>
      </c>
      <c r="F26" s="33" t="s">
        <v>30</v>
      </c>
      <c r="G26" s="179" t="s">
        <v>1009</v>
      </c>
      <c r="H26" s="33"/>
      <c r="I26" s="179" t="s">
        <v>352</v>
      </c>
      <c r="J26" s="33"/>
      <c r="K26" s="179" t="s">
        <v>352</v>
      </c>
    </row>
    <row r="27" spans="1:11" ht="22.8" x14ac:dyDescent="0.3">
      <c r="A27" s="154" t="s">
        <v>505</v>
      </c>
      <c r="B27" s="144" t="s">
        <v>52</v>
      </c>
      <c r="C27" s="154"/>
      <c r="D27" s="361"/>
      <c r="E27" s="36" t="s">
        <v>506</v>
      </c>
      <c r="F27" s="33" t="s">
        <v>41</v>
      </c>
      <c r="G27" s="179" t="s">
        <v>1009</v>
      </c>
      <c r="H27" s="33"/>
      <c r="I27" s="179" t="s">
        <v>352</v>
      </c>
      <c r="J27" s="33"/>
      <c r="K27" s="179" t="s">
        <v>352</v>
      </c>
    </row>
  </sheetData>
  <sheetProtection algorithmName="SHA-512" hashValue="HY2CHAXmwBKVO9Q/0uDtbD44CODZOHJjtA1sgyf3kbmUKt0qdzliVdzk4+W5TkocBs4OABOlTL9xt+c33l9LHA==" saltValue="Bm0glP0A+BelFpGRapOtgQ==" spinCount="100000" sheet="1" selectLockedCells="1"/>
  <mergeCells count="16">
    <mergeCell ref="B16:B17"/>
    <mergeCell ref="C16:C17"/>
    <mergeCell ref="D16:D17"/>
    <mergeCell ref="D26:D27"/>
    <mergeCell ref="B18:B21"/>
    <mergeCell ref="C18:C21"/>
    <mergeCell ref="D18:D21"/>
    <mergeCell ref="B23:B24"/>
    <mergeCell ref="C23:C24"/>
    <mergeCell ref="A2:K2"/>
    <mergeCell ref="B5:B10"/>
    <mergeCell ref="C5:C10"/>
    <mergeCell ref="D5:D10"/>
    <mergeCell ref="B12:B14"/>
    <mergeCell ref="C12:C14"/>
    <mergeCell ref="D12:D14"/>
  </mergeCells>
  <conditionalFormatting sqref="I3:I21 G3:G21">
    <cfRule type="expression" dxfId="94" priority="22">
      <formula>NOT(G3="Comment is required")</formula>
    </cfRule>
    <cfRule type="expression" dxfId="93" priority="23">
      <formula>AND(OR(F3="N/A",F3="Partial"),G3="Comment is required")</formula>
    </cfRule>
  </conditionalFormatting>
  <conditionalFormatting sqref="K3:K21">
    <cfRule type="expression" dxfId="92" priority="20">
      <formula>NOT(K3="Comment is required")</formula>
    </cfRule>
    <cfRule type="expression" dxfId="91" priority="21">
      <formula>AND(OR(J3="N/A",J3="Partial"),K3="Comment is required")</formula>
    </cfRule>
  </conditionalFormatting>
  <conditionalFormatting sqref="I22 G22 I24 I27">
    <cfRule type="expression" dxfId="90" priority="18">
      <formula>NOT(G22="Comment is required")</formula>
    </cfRule>
    <cfRule type="expression" dxfId="89" priority="19">
      <formula>AND(OR(F22="N/A",F22="Partial"),G22="Comment is required")</formula>
    </cfRule>
  </conditionalFormatting>
  <conditionalFormatting sqref="K22 K24 K27">
    <cfRule type="expression" dxfId="88" priority="16">
      <formula>NOT(K22="Comment is required")</formula>
    </cfRule>
    <cfRule type="expression" dxfId="87" priority="17">
      <formula>AND(OR(J22="N/A",J22="Partial"),K22="Comment is required")</formula>
    </cfRule>
  </conditionalFormatting>
  <conditionalFormatting sqref="K26 I26 G26 K23 I23 G23">
    <cfRule type="expression" dxfId="86" priority="14">
      <formula>NOT(G23="Comment is required")</formula>
    </cfRule>
    <cfRule type="expression" dxfId="85" priority="15">
      <formula>AND(OR(F23="N/A",F23="Partial"),G23="Comment is required")</formula>
    </cfRule>
  </conditionalFormatting>
  <conditionalFormatting sqref="K26 I26 G26 K23 I23 G23">
    <cfRule type="expression" dxfId="84" priority="13">
      <formula>F23="Yes"</formula>
    </cfRule>
  </conditionalFormatting>
  <conditionalFormatting sqref="G25">
    <cfRule type="expression" dxfId="83" priority="11">
      <formula>NOT(G25="Comment is required")</formula>
    </cfRule>
    <cfRule type="expression" dxfId="82" priority="12">
      <formula>AND(OR(F25="N/A",F25="Partial"),G25="Comment is required")</formula>
    </cfRule>
  </conditionalFormatting>
  <conditionalFormatting sqref="G25">
    <cfRule type="expression" dxfId="81" priority="10">
      <formula>F25="Yes"</formula>
    </cfRule>
  </conditionalFormatting>
  <conditionalFormatting sqref="K25 I25">
    <cfRule type="expression" dxfId="80" priority="8">
      <formula>NOT(I25="Comment is required")</formula>
    </cfRule>
    <cfRule type="expression" dxfId="79" priority="9">
      <formula>AND(OR(H25="N/A",H25="Partial"),I25="Comment is required")</formula>
    </cfRule>
  </conditionalFormatting>
  <conditionalFormatting sqref="K25 I25">
    <cfRule type="expression" dxfId="78" priority="7">
      <formula>H25="Yes"</formula>
    </cfRule>
  </conditionalFormatting>
  <conditionalFormatting sqref="G24">
    <cfRule type="expression" dxfId="77" priority="5">
      <formula>NOT(G24="Comment is required")</formula>
    </cfRule>
    <cfRule type="expression" dxfId="76" priority="6">
      <formula>AND(OR(F24="N/A",F24="Partial"),G24="Comment is required")</formula>
    </cfRule>
  </conditionalFormatting>
  <conditionalFormatting sqref="G24">
    <cfRule type="expression" dxfId="75" priority="4">
      <formula>F24="Yes"</formula>
    </cfRule>
  </conditionalFormatting>
  <conditionalFormatting sqref="G27">
    <cfRule type="expression" dxfId="74" priority="2">
      <formula>NOT(G27="Comment is required")</formula>
    </cfRule>
    <cfRule type="expression" dxfId="73" priority="3">
      <formula>AND(OR(F27="N/A",F27="Partial"),G27="Comment is required")</formula>
    </cfRule>
  </conditionalFormatting>
  <conditionalFormatting sqref="G27">
    <cfRule type="expression" dxfId="72" priority="1">
      <formula>F27="Yes"</formula>
    </cfRule>
  </conditionalFormatting>
  <dataValidations count="2">
    <dataValidation type="list" showInputMessage="1" showErrorMessage="1" sqref="J3:J27 H3:H27 F3:F27" xr:uid="{00000000-0002-0000-0D00-000000000000}">
      <formula1>"Yes, No, Partial, N/A"</formula1>
    </dataValidation>
    <dataValidation showInputMessage="1" showErrorMessage="1" sqref="K3:K27 G3:G27 I3:I27" xr:uid="{00000000-0002-0000-0D00-000001000000}"/>
  </dataValidations>
  <hyperlinks>
    <hyperlink ref="B3" r:id="rId1" xr:uid="{00000000-0004-0000-0D00-000000000000}"/>
    <hyperlink ref="B4" r:id="rId2" xr:uid="{00000000-0004-0000-0D00-000001000000}"/>
    <hyperlink ref="B5:B10" r:id="rId3" display="CM-3" xr:uid="{00000000-0004-0000-0D00-000002000000}"/>
    <hyperlink ref="B11" r:id="rId4" xr:uid="{00000000-0004-0000-0D00-000003000000}"/>
    <hyperlink ref="B12:B14" r:id="rId5" display="CM-6" xr:uid="{00000000-0004-0000-0D00-000004000000}"/>
    <hyperlink ref="B15" r:id="rId6" xr:uid="{00000000-0004-0000-0D00-000005000000}"/>
    <hyperlink ref="B16:B17" r:id="rId7" display="CM-8" xr:uid="{00000000-0004-0000-0D00-000006000000}"/>
    <hyperlink ref="B18:B21" r:id="rId8" display="CM-9" xr:uid="{00000000-0004-0000-0D00-000007000000}"/>
    <hyperlink ref="B22" r:id="rId9" xr:uid="{00000000-0004-0000-0D00-000008000000}"/>
  </hyperlinks>
  <pageMargins left="0.7" right="0.7" top="0.75" bottom="0.75" header="0.3" footer="0.3"/>
  <pageSetup orientation="portrait" r:id="rId1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4"/>
  <sheetViews>
    <sheetView showGridLines="0" zoomScale="145" zoomScaleNormal="145" workbookViewId="0">
      <pane xSplit="2" ySplit="2" topLeftCell="C3" activePane="bottomRight" state="frozen"/>
      <selection pane="topRight" activeCell="D19" sqref="D19:D22"/>
      <selection pane="bottomLeft" activeCell="D19" sqref="D19:D22"/>
      <selection pane="bottomRight" activeCell="F14" sqref="F14"/>
    </sheetView>
  </sheetViews>
  <sheetFormatPr defaultColWidth="9" defaultRowHeight="14.4" x14ac:dyDescent="0.3"/>
  <cols>
    <col min="1" max="1" width="17.5546875" customWidth="1"/>
    <col min="2" max="2" width="19.6640625" customWidth="1"/>
    <col min="3" max="3" width="21.6640625" customWidth="1"/>
    <col min="4" max="4" width="19.6640625" customWidth="1"/>
    <col min="5" max="5" width="59.664062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58" t="s">
        <v>507</v>
      </c>
      <c r="B2" s="358"/>
      <c r="C2" s="358"/>
      <c r="D2" s="358"/>
      <c r="E2" s="358"/>
      <c r="F2" s="358"/>
      <c r="G2" s="358"/>
      <c r="H2" s="358"/>
      <c r="I2" s="358"/>
      <c r="J2" s="358"/>
      <c r="K2" s="358"/>
    </row>
    <row r="3" spans="1:11" ht="24" customHeight="1" x14ac:dyDescent="0.3">
      <c r="A3" s="148" t="s">
        <v>508</v>
      </c>
      <c r="B3" s="150" t="s">
        <v>509</v>
      </c>
      <c r="C3" s="151"/>
      <c r="D3" s="148" t="s">
        <v>510</v>
      </c>
      <c r="E3" s="36" t="s">
        <v>511</v>
      </c>
      <c r="F3" s="33" t="s">
        <v>19</v>
      </c>
      <c r="G3" s="179" t="s">
        <v>1010</v>
      </c>
      <c r="H3" s="33"/>
      <c r="I3" s="179" t="s">
        <v>352</v>
      </c>
      <c r="J3" s="33"/>
      <c r="K3" s="179" t="s">
        <v>352</v>
      </c>
    </row>
    <row r="4" spans="1:11" ht="45.6" x14ac:dyDescent="0.3">
      <c r="A4" s="148" t="s">
        <v>512</v>
      </c>
      <c r="B4" s="150" t="s">
        <v>513</v>
      </c>
      <c r="C4" s="151" t="s">
        <v>514</v>
      </c>
      <c r="D4" s="148" t="s">
        <v>515</v>
      </c>
      <c r="E4" s="34" t="s">
        <v>516</v>
      </c>
      <c r="F4" s="33" t="s">
        <v>30</v>
      </c>
      <c r="G4" s="179" t="s">
        <v>352</v>
      </c>
      <c r="H4" s="33"/>
      <c r="I4" s="179" t="s">
        <v>352</v>
      </c>
      <c r="J4" s="33"/>
      <c r="K4" s="179" t="s">
        <v>352</v>
      </c>
    </row>
    <row r="5" spans="1:11" ht="45.6" x14ac:dyDescent="0.3">
      <c r="A5" s="148" t="s">
        <v>517</v>
      </c>
      <c r="B5" s="152" t="s">
        <v>518</v>
      </c>
      <c r="C5" s="151" t="s">
        <v>519</v>
      </c>
      <c r="D5" s="148" t="s">
        <v>520</v>
      </c>
      <c r="E5" s="34" t="s">
        <v>521</v>
      </c>
      <c r="F5" s="33" t="s">
        <v>19</v>
      </c>
      <c r="G5" s="179" t="s">
        <v>1011</v>
      </c>
      <c r="H5" s="33"/>
      <c r="I5" s="179" t="s">
        <v>352</v>
      </c>
      <c r="J5" s="33"/>
      <c r="K5" s="179" t="s">
        <v>352</v>
      </c>
    </row>
    <row r="6" spans="1:11" x14ac:dyDescent="0.3">
      <c r="A6" s="148" t="s">
        <v>522</v>
      </c>
      <c r="B6" s="268"/>
      <c r="C6" s="359"/>
      <c r="D6" s="360" t="s">
        <v>523</v>
      </c>
      <c r="E6" s="34" t="s">
        <v>524</v>
      </c>
      <c r="F6" s="33" t="s">
        <v>19</v>
      </c>
      <c r="G6" s="179" t="s">
        <v>352</v>
      </c>
      <c r="H6" s="33"/>
      <c r="I6" s="179" t="s">
        <v>352</v>
      </c>
      <c r="J6" s="33"/>
      <c r="K6" s="179" t="s">
        <v>352</v>
      </c>
    </row>
    <row r="7" spans="1:11" ht="22.8" x14ac:dyDescent="0.3">
      <c r="A7" s="148" t="s">
        <v>525</v>
      </c>
      <c r="B7" s="268"/>
      <c r="C7" s="359"/>
      <c r="D7" s="360"/>
      <c r="E7" s="34" t="s">
        <v>526</v>
      </c>
      <c r="F7" s="33" t="s">
        <v>19</v>
      </c>
      <c r="G7" s="179" t="s">
        <v>352</v>
      </c>
      <c r="H7" s="33"/>
      <c r="I7" s="179" t="s">
        <v>352</v>
      </c>
      <c r="J7" s="33"/>
      <c r="K7" s="179" t="s">
        <v>352</v>
      </c>
    </row>
    <row r="8" spans="1:11" ht="24" customHeight="1" x14ac:dyDescent="0.3">
      <c r="A8" s="148" t="s">
        <v>527</v>
      </c>
      <c r="B8" s="268" t="s">
        <v>293</v>
      </c>
      <c r="C8" s="359" t="s">
        <v>528</v>
      </c>
      <c r="D8" s="360" t="s">
        <v>292</v>
      </c>
      <c r="E8" s="34" t="s">
        <v>529</v>
      </c>
      <c r="F8" s="33" t="s">
        <v>52</v>
      </c>
      <c r="G8" s="179" t="s">
        <v>1012</v>
      </c>
      <c r="H8" s="33"/>
      <c r="I8" s="179" t="s">
        <v>352</v>
      </c>
      <c r="J8" s="33"/>
      <c r="K8" s="179" t="s">
        <v>352</v>
      </c>
    </row>
    <row r="9" spans="1:11" ht="114" x14ac:dyDescent="0.3">
      <c r="A9" s="148" t="s">
        <v>530</v>
      </c>
      <c r="B9" s="268"/>
      <c r="C9" s="359"/>
      <c r="D9" s="360"/>
      <c r="E9" s="36" t="s">
        <v>531</v>
      </c>
      <c r="F9" s="33" t="s">
        <v>52</v>
      </c>
      <c r="G9" s="179" t="s">
        <v>1012</v>
      </c>
      <c r="H9" s="33"/>
      <c r="I9" s="179" t="s">
        <v>352</v>
      </c>
      <c r="J9" s="33"/>
      <c r="K9" s="179" t="s">
        <v>352</v>
      </c>
    </row>
    <row r="10" spans="1:11" ht="22.8" x14ac:dyDescent="0.3">
      <c r="A10" s="148" t="s">
        <v>532</v>
      </c>
      <c r="B10" s="268"/>
      <c r="C10" s="359"/>
      <c r="D10" s="360"/>
      <c r="E10" s="34" t="s">
        <v>533</v>
      </c>
      <c r="F10" s="33" t="s">
        <v>19</v>
      </c>
      <c r="G10" s="179" t="s">
        <v>352</v>
      </c>
      <c r="H10" s="33"/>
      <c r="I10" s="179" t="s">
        <v>352</v>
      </c>
      <c r="J10" s="33"/>
      <c r="K10" s="179" t="s">
        <v>352</v>
      </c>
    </row>
    <row r="11" spans="1:11" ht="22.8" x14ac:dyDescent="0.3">
      <c r="A11" s="148" t="s">
        <v>534</v>
      </c>
      <c r="B11" s="268"/>
      <c r="C11" s="359"/>
      <c r="D11" s="360"/>
      <c r="E11" s="34" t="s">
        <v>535</v>
      </c>
      <c r="F11" s="33" t="s">
        <v>19</v>
      </c>
      <c r="G11" s="179" t="s">
        <v>352</v>
      </c>
      <c r="H11" s="33"/>
      <c r="I11" s="179" t="s">
        <v>352</v>
      </c>
      <c r="J11" s="33"/>
      <c r="K11" s="179" t="s">
        <v>352</v>
      </c>
    </row>
    <row r="12" spans="1:11" x14ac:dyDescent="0.3">
      <c r="A12" s="148" t="s">
        <v>536</v>
      </c>
      <c r="B12" s="268"/>
      <c r="C12" s="359"/>
      <c r="D12" s="360"/>
      <c r="E12" s="34" t="s">
        <v>537</v>
      </c>
      <c r="F12" s="33" t="s">
        <v>19</v>
      </c>
      <c r="G12" s="179" t="s">
        <v>1012</v>
      </c>
      <c r="H12" s="33"/>
      <c r="I12" s="179" t="s">
        <v>352</v>
      </c>
      <c r="J12" s="33"/>
      <c r="K12" s="179" t="s">
        <v>352</v>
      </c>
    </row>
    <row r="13" spans="1:11" ht="22.8" x14ac:dyDescent="0.3">
      <c r="A13" s="148" t="s">
        <v>538</v>
      </c>
      <c r="B13" s="150" t="s">
        <v>539</v>
      </c>
      <c r="C13" s="151" t="s">
        <v>528</v>
      </c>
      <c r="D13" s="148" t="s">
        <v>540</v>
      </c>
      <c r="E13" s="34" t="s">
        <v>541</v>
      </c>
      <c r="F13" s="33" t="s">
        <v>19</v>
      </c>
      <c r="G13" s="179" t="s">
        <v>352</v>
      </c>
      <c r="H13" s="33"/>
      <c r="I13" s="179" t="s">
        <v>352</v>
      </c>
      <c r="J13" s="33"/>
      <c r="K13" s="179" t="s">
        <v>352</v>
      </c>
    </row>
    <row r="14" spans="1:11" ht="34.200000000000003" x14ac:dyDescent="0.3">
      <c r="A14" s="148" t="s">
        <v>542</v>
      </c>
      <c r="B14" s="150" t="s">
        <v>543</v>
      </c>
      <c r="C14" s="151" t="s">
        <v>528</v>
      </c>
      <c r="D14" s="148" t="s">
        <v>544</v>
      </c>
      <c r="E14" s="34" t="s">
        <v>545</v>
      </c>
      <c r="F14" s="33" t="s">
        <v>30</v>
      </c>
      <c r="G14" s="179" t="s">
        <v>352</v>
      </c>
      <c r="H14" s="33"/>
      <c r="I14" s="179" t="s">
        <v>352</v>
      </c>
      <c r="J14" s="33"/>
      <c r="K14" s="179" t="s">
        <v>352</v>
      </c>
    </row>
  </sheetData>
  <sheetProtection algorithmName="SHA-512" hashValue="YyB/tXh2xAWjyoybcQOvJccJl1KBoLieOs7KkCzSwirYhhGPmSMdetM9pL3ORst0qhOQWuOB/g2rdU+IM6MUgQ==" saltValue="9uh3GTfTEAXNB4BwtVXDFQ==" spinCount="100000" sheet="1" selectLockedCells="1"/>
  <mergeCells count="7">
    <mergeCell ref="B8:B12"/>
    <mergeCell ref="C8:C12"/>
    <mergeCell ref="D8:D12"/>
    <mergeCell ref="A2:K2"/>
    <mergeCell ref="B6:B7"/>
    <mergeCell ref="C6:C7"/>
    <mergeCell ref="D6:D7"/>
  </mergeCells>
  <conditionalFormatting sqref="K3 I3 G3">
    <cfRule type="expression" dxfId="71" priority="14">
      <formula>NOT(G3="Comment is required")</formula>
    </cfRule>
    <cfRule type="expression" dxfId="70" priority="15">
      <formula>AND(OR(F3="N/A",F3="Partial"),G3="Comment is required")</formula>
    </cfRule>
  </conditionalFormatting>
  <conditionalFormatting sqref="K3 I3 G3">
    <cfRule type="expression" dxfId="69" priority="13">
      <formula>F3="No"</formula>
    </cfRule>
  </conditionalFormatting>
  <conditionalFormatting sqref="K4:K5 I4:I5 G4:G5">
    <cfRule type="expression" dxfId="68" priority="11">
      <formula>NOT(G4="Comment is required")</formula>
    </cfRule>
    <cfRule type="expression" dxfId="67" priority="12">
      <formula>AND(OR(F4="N/A",F4="Partial"),G4="Comment is required")</formula>
    </cfRule>
  </conditionalFormatting>
  <conditionalFormatting sqref="K6:K10 I6:I10 G6:G10">
    <cfRule type="expression" dxfId="66" priority="9">
      <formula>NOT(G6="Comment is required")</formula>
    </cfRule>
    <cfRule type="expression" dxfId="65" priority="10">
      <formula>AND(OR(F6="N/A",F6="Partial"),G6="Comment is required")</formula>
    </cfRule>
  </conditionalFormatting>
  <conditionalFormatting sqref="K11 I11 G11">
    <cfRule type="expression" dxfId="64" priority="7">
      <formula>NOT(G11="Comment is required")</formula>
    </cfRule>
    <cfRule type="expression" dxfId="63" priority="8">
      <formula>AND(OR(F11="N/A",F11="Partial"),G11="Comment is required")</formula>
    </cfRule>
  </conditionalFormatting>
  <conditionalFormatting sqref="K12 I12">
    <cfRule type="expression" dxfId="62" priority="5">
      <formula>NOT(I12="Comment is required")</formula>
    </cfRule>
    <cfRule type="expression" dxfId="61" priority="6">
      <formula>AND(OR(H12="N/A",H12="Partial"),I12="Comment is required")</formula>
    </cfRule>
  </conditionalFormatting>
  <conditionalFormatting sqref="K13:K14 I13:I14 G13:G14">
    <cfRule type="expression" dxfId="60" priority="3">
      <formula>NOT(G13="Comment is required")</formula>
    </cfRule>
    <cfRule type="expression" dxfId="59" priority="4">
      <formula>AND(OR(F13="N/A",F13="Partial"),G13="Comment is required")</formula>
    </cfRule>
  </conditionalFormatting>
  <conditionalFormatting sqref="G12">
    <cfRule type="expression" dxfId="58" priority="1">
      <formula>NOT(G12="Comment is required")</formula>
    </cfRule>
    <cfRule type="expression" dxfId="57" priority="2">
      <formula>AND(OR(F12="N/A",F12="Partial"),G12="Comment is required")</formula>
    </cfRule>
  </conditionalFormatting>
  <dataValidations count="2">
    <dataValidation type="list" showInputMessage="1" showErrorMessage="1" sqref="J3:J14 H3:H14 F3:F14" xr:uid="{00000000-0002-0000-0E00-000000000000}">
      <formula1>"Yes, No, Partial, N/A"</formula1>
    </dataValidation>
    <dataValidation showInputMessage="1" showErrorMessage="1" sqref="K3:K14 I3:I14 G3:G14" xr:uid="{00000000-0002-0000-0E00-000001000000}"/>
  </dataValidations>
  <hyperlinks>
    <hyperlink ref="B3" r:id="rId1" xr:uid="{00000000-0004-0000-0E00-000000000000}"/>
    <hyperlink ref="B4" r:id="rId2" xr:uid="{00000000-0004-0000-0E00-000001000000}"/>
    <hyperlink ref="B5" r:id="rId3" xr:uid="{00000000-0004-0000-0E00-000002000000}"/>
    <hyperlink ref="B6:B7" r:id="rId4" display="IA-4" xr:uid="{00000000-0004-0000-0E00-000003000000}"/>
    <hyperlink ref="B8:B12" r:id="rId5" display="IA-5" xr:uid="{00000000-0004-0000-0E00-000004000000}"/>
    <hyperlink ref="B13" r:id="rId6" xr:uid="{00000000-0004-0000-0E00-000005000000}"/>
    <hyperlink ref="B14" r:id="rId7" xr:uid="{00000000-0004-0000-0E00-000006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3"/>
  <sheetViews>
    <sheetView showGridLines="0" zoomScale="160" zoomScaleNormal="160" workbookViewId="0">
      <pane xSplit="2" ySplit="2" topLeftCell="C3" activePane="bottomRight" state="frozen"/>
      <selection pane="topRight" activeCell="D19" sqref="D19:D22"/>
      <selection pane="bottomLeft" activeCell="D19" sqref="D19:D22"/>
      <selection pane="bottomRight" activeCell="B13" sqref="B13"/>
    </sheetView>
  </sheetViews>
  <sheetFormatPr defaultColWidth="9" defaultRowHeight="14.4" x14ac:dyDescent="0.3"/>
  <cols>
    <col min="1" max="1" width="17.5546875" customWidth="1"/>
    <col min="2" max="2" width="17.6640625" bestFit="1" customWidth="1"/>
    <col min="3" max="3" width="18.44140625" bestFit="1" customWidth="1"/>
    <col min="4" max="4" width="23.109375" bestFit="1" customWidth="1"/>
    <col min="5" max="5" width="50"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58" t="s">
        <v>546</v>
      </c>
      <c r="B2" s="358"/>
      <c r="C2" s="358"/>
      <c r="D2" s="358"/>
      <c r="E2" s="358"/>
      <c r="F2" s="358"/>
      <c r="G2" s="358"/>
      <c r="H2" s="358"/>
      <c r="I2" s="358"/>
      <c r="J2" s="358"/>
      <c r="K2" s="358"/>
    </row>
    <row r="3" spans="1:11" ht="22.8" x14ac:dyDescent="0.3">
      <c r="A3" s="148" t="s">
        <v>547</v>
      </c>
      <c r="B3" s="152" t="s">
        <v>548</v>
      </c>
      <c r="C3" s="38" t="s">
        <v>549</v>
      </c>
      <c r="D3" s="148" t="s">
        <v>550</v>
      </c>
      <c r="E3" s="151" t="s">
        <v>551</v>
      </c>
      <c r="F3" s="33" t="s">
        <v>19</v>
      </c>
      <c r="G3" s="179" t="s">
        <v>352</v>
      </c>
      <c r="H3" s="33"/>
      <c r="I3" s="179" t="s">
        <v>352</v>
      </c>
      <c r="J3" s="33"/>
      <c r="K3" s="179" t="s">
        <v>352</v>
      </c>
    </row>
    <row r="4" spans="1:11" x14ac:dyDescent="0.3">
      <c r="A4" s="148" t="s">
        <v>552</v>
      </c>
      <c r="B4" s="268" t="s">
        <v>553</v>
      </c>
      <c r="C4" s="364" t="s">
        <v>549</v>
      </c>
      <c r="D4" s="360" t="s">
        <v>554</v>
      </c>
      <c r="E4" s="34" t="s">
        <v>555</v>
      </c>
      <c r="F4" s="33" t="s">
        <v>19</v>
      </c>
      <c r="G4" s="179" t="s">
        <v>352</v>
      </c>
      <c r="H4" s="33"/>
      <c r="I4" s="179" t="s">
        <v>352</v>
      </c>
      <c r="J4" s="33"/>
      <c r="K4" s="179" t="s">
        <v>352</v>
      </c>
    </row>
    <row r="5" spans="1:11" ht="22.8" x14ac:dyDescent="0.3">
      <c r="A5" s="148" t="s">
        <v>556</v>
      </c>
      <c r="B5" s="268"/>
      <c r="C5" s="364"/>
      <c r="D5" s="360"/>
      <c r="E5" s="34" t="s">
        <v>557</v>
      </c>
      <c r="F5" s="33" t="s">
        <v>19</v>
      </c>
      <c r="G5" s="179" t="s">
        <v>352</v>
      </c>
      <c r="H5" s="33"/>
      <c r="I5" s="179" t="s">
        <v>352</v>
      </c>
      <c r="J5" s="33"/>
      <c r="K5" s="179" t="s">
        <v>352</v>
      </c>
    </row>
    <row r="6" spans="1:11" x14ac:dyDescent="0.3">
      <c r="A6" s="148" t="s">
        <v>558</v>
      </c>
      <c r="B6" s="268" t="s">
        <v>559</v>
      </c>
      <c r="C6" s="364" t="s">
        <v>549</v>
      </c>
      <c r="D6" s="360" t="s">
        <v>560</v>
      </c>
      <c r="E6" s="34" t="s">
        <v>561</v>
      </c>
      <c r="F6" s="33" t="s">
        <v>30</v>
      </c>
      <c r="G6" s="179" t="s">
        <v>352</v>
      </c>
      <c r="H6" s="33"/>
      <c r="I6" s="179" t="s">
        <v>352</v>
      </c>
      <c r="J6" s="33"/>
      <c r="K6" s="179" t="s">
        <v>352</v>
      </c>
    </row>
    <row r="7" spans="1:11" x14ac:dyDescent="0.3">
      <c r="A7" s="148" t="s">
        <v>562</v>
      </c>
      <c r="B7" s="268"/>
      <c r="C7" s="364"/>
      <c r="D7" s="360"/>
      <c r="E7" s="34" t="s">
        <v>563</v>
      </c>
      <c r="F7" s="33" t="s">
        <v>30</v>
      </c>
      <c r="G7" s="179" t="s">
        <v>352</v>
      </c>
      <c r="H7" s="33"/>
      <c r="I7" s="179" t="s">
        <v>352</v>
      </c>
      <c r="J7" s="33"/>
      <c r="K7" s="179" t="s">
        <v>352</v>
      </c>
    </row>
    <row r="8" spans="1:11" ht="15" customHeight="1" x14ac:dyDescent="0.3">
      <c r="A8" s="148" t="s">
        <v>564</v>
      </c>
      <c r="B8" s="152" t="s">
        <v>565</v>
      </c>
      <c r="C8" s="155" t="s">
        <v>566</v>
      </c>
      <c r="D8" s="148" t="s">
        <v>567</v>
      </c>
      <c r="E8" s="34" t="s">
        <v>568</v>
      </c>
      <c r="F8" s="33" t="s">
        <v>19</v>
      </c>
      <c r="G8" s="179" t="s">
        <v>352</v>
      </c>
      <c r="H8" s="33"/>
      <c r="I8" s="179" t="s">
        <v>352</v>
      </c>
      <c r="J8" s="33"/>
      <c r="K8" s="179" t="s">
        <v>352</v>
      </c>
    </row>
    <row r="9" spans="1:11" ht="34.200000000000003" x14ac:dyDescent="0.3">
      <c r="A9" s="148" t="s">
        <v>569</v>
      </c>
      <c r="B9" s="152" t="s">
        <v>570</v>
      </c>
      <c r="C9" s="155" t="s">
        <v>571</v>
      </c>
      <c r="D9" s="148" t="s">
        <v>572</v>
      </c>
      <c r="E9" s="34" t="s">
        <v>573</v>
      </c>
      <c r="F9" s="33" t="s">
        <v>19</v>
      </c>
      <c r="G9" s="179" t="s">
        <v>352</v>
      </c>
      <c r="H9" s="33"/>
      <c r="I9" s="179" t="s">
        <v>352</v>
      </c>
      <c r="J9" s="33"/>
      <c r="K9" s="179" t="s">
        <v>352</v>
      </c>
    </row>
    <row r="10" spans="1:11" ht="45.6" x14ac:dyDescent="0.3">
      <c r="A10" s="148" t="s">
        <v>574</v>
      </c>
      <c r="B10" s="152" t="s">
        <v>575</v>
      </c>
      <c r="C10" s="155" t="s">
        <v>576</v>
      </c>
      <c r="D10" s="148" t="s">
        <v>577</v>
      </c>
      <c r="E10" s="34" t="s">
        <v>578</v>
      </c>
      <c r="F10" s="33" t="s">
        <v>19</v>
      </c>
      <c r="G10" s="179" t="s">
        <v>352</v>
      </c>
      <c r="H10" s="33"/>
      <c r="I10" s="179" t="s">
        <v>352</v>
      </c>
      <c r="J10" s="33"/>
      <c r="K10" s="179" t="s">
        <v>352</v>
      </c>
    </row>
    <row r="11" spans="1:11" ht="22.8" x14ac:dyDescent="0.3">
      <c r="A11" s="148" t="s">
        <v>579</v>
      </c>
      <c r="B11" s="152" t="s">
        <v>580</v>
      </c>
      <c r="C11" s="155" t="s">
        <v>581</v>
      </c>
      <c r="D11" s="148" t="s">
        <v>582</v>
      </c>
      <c r="E11" s="34" t="s">
        <v>583</v>
      </c>
      <c r="F11" s="33" t="s">
        <v>19</v>
      </c>
      <c r="G11" s="179" t="s">
        <v>1013</v>
      </c>
      <c r="H11" s="33"/>
      <c r="I11" s="179" t="s">
        <v>352</v>
      </c>
      <c r="J11" s="33"/>
      <c r="K11" s="179" t="s">
        <v>352</v>
      </c>
    </row>
    <row r="12" spans="1:11" ht="22.8" x14ac:dyDescent="0.3">
      <c r="A12" s="148" t="s">
        <v>584</v>
      </c>
      <c r="B12" s="152" t="s">
        <v>341</v>
      </c>
      <c r="C12" s="155"/>
      <c r="D12" s="148" t="s">
        <v>342</v>
      </c>
      <c r="E12" s="34" t="s">
        <v>585</v>
      </c>
      <c r="F12" s="33" t="s">
        <v>19</v>
      </c>
      <c r="G12" s="179" t="s">
        <v>1014</v>
      </c>
      <c r="H12" s="33"/>
      <c r="I12" s="179" t="s">
        <v>352</v>
      </c>
      <c r="J12" s="33"/>
      <c r="K12" s="179" t="s">
        <v>352</v>
      </c>
    </row>
    <row r="13" spans="1:11" ht="22.8" x14ac:dyDescent="0.3">
      <c r="A13" s="148" t="s">
        <v>586</v>
      </c>
      <c r="B13" s="152" t="s">
        <v>587</v>
      </c>
      <c r="C13" s="155"/>
      <c r="D13" s="148" t="s">
        <v>588</v>
      </c>
      <c r="E13" s="36" t="s">
        <v>589</v>
      </c>
      <c r="F13" s="33" t="s">
        <v>19</v>
      </c>
      <c r="G13" s="179" t="s">
        <v>352</v>
      </c>
      <c r="H13" s="33"/>
      <c r="I13" s="179" t="s">
        <v>352</v>
      </c>
      <c r="J13" s="33"/>
      <c r="K13" s="179" t="s">
        <v>352</v>
      </c>
    </row>
  </sheetData>
  <sheetProtection algorithmName="SHA-512" hashValue="7WtG4/48S/epoVaJCS6qNl0xjYWIN3tFfPsbb55oDvHI3MDnzE3tAV74RDeHPBtSLYL08x12vuKvqX/Fe8TbUA==" saltValue="PQJlGEq00Zb4XxhqDqTaUw==" spinCount="100000" sheet="1" selectLockedCells="1"/>
  <mergeCells count="7">
    <mergeCell ref="B6:B7"/>
    <mergeCell ref="C6:C7"/>
    <mergeCell ref="D6:D7"/>
    <mergeCell ref="A2:K2"/>
    <mergeCell ref="B4:B5"/>
    <mergeCell ref="C4:C5"/>
    <mergeCell ref="D4:D5"/>
  </mergeCells>
  <conditionalFormatting sqref="I3:I7 K3:K7 G3:G7">
    <cfRule type="expression" dxfId="56" priority="5">
      <formula>NOT(G3="Comment is required")</formula>
    </cfRule>
    <cfRule type="expression" dxfId="55" priority="6">
      <formula>AND(OR(F3="N/A",F3="Partial"),G3="Comment is required")</formula>
    </cfRule>
  </conditionalFormatting>
  <conditionalFormatting sqref="I8 K8 G8">
    <cfRule type="expression" dxfId="54" priority="3">
      <formula>NOT(G8="Comment is required")</formula>
    </cfRule>
    <cfRule type="expression" dxfId="53" priority="4">
      <formula>AND(OR(F8="N/A",F8="Partial"),G8="Comment is required")</formula>
    </cfRule>
  </conditionalFormatting>
  <conditionalFormatting sqref="I9:I13 K9:K13 G9:G13">
    <cfRule type="expression" dxfId="52" priority="1">
      <formula>NOT(G9="Comment is required")</formula>
    </cfRule>
    <cfRule type="expression" dxfId="51" priority="2">
      <formula>AND(OR(F9="N/A",F9="Partial"),G9="Comment is required")</formula>
    </cfRule>
  </conditionalFormatting>
  <dataValidations count="2">
    <dataValidation type="list" showInputMessage="1" showErrorMessage="1" sqref="H3:H13 F3:F13 J3:J13" xr:uid="{00000000-0002-0000-0F00-000000000000}">
      <formula1>"Yes, No, Partial, N/A"</formula1>
    </dataValidation>
    <dataValidation showInputMessage="1" showErrorMessage="1" sqref="I3:I13 G3:G13 K3:K13" xr:uid="{00000000-0002-0000-0F00-000001000000}"/>
  </dataValidations>
  <hyperlinks>
    <hyperlink ref="B3" r:id="rId1" xr:uid="{00000000-0004-0000-0F00-000000000000}"/>
    <hyperlink ref="B4:B5" r:id="rId2" display="IR-2" xr:uid="{00000000-0004-0000-0F00-000001000000}"/>
    <hyperlink ref="B6:B7" r:id="rId3" display="IR-3" xr:uid="{00000000-0004-0000-0F00-000002000000}"/>
    <hyperlink ref="B8" r:id="rId4" xr:uid="{00000000-0004-0000-0F00-000003000000}"/>
    <hyperlink ref="B9" r:id="rId5" xr:uid="{00000000-0004-0000-0F00-000004000000}"/>
    <hyperlink ref="B10" r:id="rId6" xr:uid="{00000000-0004-0000-0F00-000005000000}"/>
    <hyperlink ref="B11" r:id="rId7" xr:uid="{00000000-0004-0000-0F00-000006000000}"/>
    <hyperlink ref="B12" r:id="rId8" xr:uid="{00000000-0004-0000-0F00-000007000000}"/>
    <hyperlink ref="B13" r:id="rId9" xr:uid="{00000000-0004-0000-0F00-000008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2"/>
  <sheetViews>
    <sheetView showGridLines="0" zoomScaleNormal="100" workbookViewId="0">
      <pane xSplit="2" ySplit="2" topLeftCell="C3" activePane="bottomRight" state="frozen"/>
      <selection pane="topRight" activeCell="D19" sqref="D19:D22"/>
      <selection pane="bottomLeft" activeCell="D19" sqref="D19:D22"/>
      <selection pane="bottomRight" activeCell="G4" sqref="G4"/>
    </sheetView>
  </sheetViews>
  <sheetFormatPr defaultColWidth="9" defaultRowHeight="14.4" x14ac:dyDescent="0.3"/>
  <cols>
    <col min="1" max="2" width="17.5546875" customWidth="1"/>
    <col min="3" max="3" width="16.109375" customWidth="1"/>
    <col min="4" max="4" width="26.33203125" bestFit="1" customWidth="1"/>
    <col min="5" max="5" width="58.8867187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58" t="s">
        <v>590</v>
      </c>
      <c r="B2" s="358"/>
      <c r="C2" s="358"/>
      <c r="D2" s="358"/>
      <c r="E2" s="358"/>
      <c r="F2" s="358"/>
      <c r="G2" s="358"/>
      <c r="H2" s="358"/>
      <c r="I2" s="358"/>
      <c r="J2" s="358"/>
      <c r="K2" s="358"/>
    </row>
    <row r="3" spans="1:11" ht="34.200000000000003" x14ac:dyDescent="0.3">
      <c r="A3" s="148" t="s">
        <v>591</v>
      </c>
      <c r="B3" s="150" t="s">
        <v>592</v>
      </c>
      <c r="C3" s="151" t="s">
        <v>593</v>
      </c>
      <c r="D3" s="148" t="s">
        <v>594</v>
      </c>
      <c r="E3" s="151" t="s">
        <v>595</v>
      </c>
      <c r="F3" s="33" t="s">
        <v>19</v>
      </c>
      <c r="G3" s="180" t="s">
        <v>988</v>
      </c>
      <c r="H3" s="33"/>
      <c r="I3" s="180" t="s">
        <v>352</v>
      </c>
      <c r="J3" s="33"/>
      <c r="K3" s="180" t="s">
        <v>352</v>
      </c>
    </row>
    <row r="4" spans="1:11" s="58" customFormat="1" ht="68.400000000000006" x14ac:dyDescent="0.3">
      <c r="A4" s="156" t="s">
        <v>596</v>
      </c>
      <c r="B4" s="160"/>
      <c r="C4" s="159"/>
      <c r="D4" s="158" t="s">
        <v>597</v>
      </c>
      <c r="E4" s="34" t="s">
        <v>598</v>
      </c>
      <c r="F4" s="33" t="s">
        <v>41</v>
      </c>
      <c r="G4" s="180" t="s">
        <v>1027</v>
      </c>
      <c r="H4" s="33"/>
      <c r="I4" s="180" t="s">
        <v>352</v>
      </c>
      <c r="J4" s="33"/>
      <c r="K4" s="180" t="s">
        <v>352</v>
      </c>
    </row>
    <row r="5" spans="1:11" ht="79.8" x14ac:dyDescent="0.3">
      <c r="A5" s="148" t="s">
        <v>599</v>
      </c>
      <c r="B5" s="150" t="s">
        <v>600</v>
      </c>
      <c r="C5" s="151"/>
      <c r="D5" s="148" t="s">
        <v>601</v>
      </c>
      <c r="E5" s="36" t="s">
        <v>602</v>
      </c>
      <c r="F5" s="33" t="s">
        <v>19</v>
      </c>
      <c r="G5" s="180" t="s">
        <v>989</v>
      </c>
      <c r="H5" s="33"/>
      <c r="I5" s="180" t="s">
        <v>352</v>
      </c>
      <c r="J5" s="33"/>
      <c r="K5" s="180" t="s">
        <v>352</v>
      </c>
    </row>
    <row r="6" spans="1:11" ht="34.200000000000003" x14ac:dyDescent="0.3">
      <c r="A6" s="148" t="s">
        <v>603</v>
      </c>
      <c r="B6" s="268" t="s">
        <v>297</v>
      </c>
      <c r="C6" s="359"/>
      <c r="D6" s="360" t="s">
        <v>604</v>
      </c>
      <c r="E6" s="34" t="s">
        <v>605</v>
      </c>
      <c r="F6" s="33" t="s">
        <v>19</v>
      </c>
      <c r="G6" s="180" t="s">
        <v>352</v>
      </c>
      <c r="H6" s="33"/>
      <c r="I6" s="180" t="s">
        <v>352</v>
      </c>
      <c r="J6" s="33"/>
      <c r="K6" s="180" t="s">
        <v>352</v>
      </c>
    </row>
    <row r="7" spans="1:11" ht="159.6" x14ac:dyDescent="0.3">
      <c r="A7" s="148" t="s">
        <v>606</v>
      </c>
      <c r="B7" s="268"/>
      <c r="C7" s="359"/>
      <c r="D7" s="360"/>
      <c r="E7" s="36" t="s">
        <v>607</v>
      </c>
      <c r="F7" s="33" t="s">
        <v>19</v>
      </c>
      <c r="G7" s="180" t="s">
        <v>990</v>
      </c>
      <c r="H7" s="33"/>
      <c r="I7" s="180" t="s">
        <v>352</v>
      </c>
      <c r="J7" s="33"/>
      <c r="K7" s="180" t="s">
        <v>352</v>
      </c>
    </row>
    <row r="8" spans="1:11" ht="22.8" x14ac:dyDescent="0.3">
      <c r="A8" s="148" t="s">
        <v>608</v>
      </c>
      <c r="B8" s="268"/>
      <c r="C8" s="359"/>
      <c r="D8" s="360"/>
      <c r="E8" s="36" t="s">
        <v>609</v>
      </c>
      <c r="F8" s="33" t="s">
        <v>19</v>
      </c>
      <c r="G8" s="180" t="s">
        <v>352</v>
      </c>
      <c r="H8" s="33"/>
      <c r="I8" s="180" t="s">
        <v>352</v>
      </c>
      <c r="J8" s="33"/>
      <c r="K8" s="180" t="s">
        <v>352</v>
      </c>
    </row>
    <row r="9" spans="1:11" ht="22.8" x14ac:dyDescent="0.3">
      <c r="A9" s="148" t="s">
        <v>610</v>
      </c>
      <c r="B9" s="268"/>
      <c r="C9" s="359"/>
      <c r="D9" s="360"/>
      <c r="E9" s="36" t="s">
        <v>611</v>
      </c>
      <c r="F9" s="33" t="s">
        <v>19</v>
      </c>
      <c r="G9" s="180" t="s">
        <v>991</v>
      </c>
      <c r="H9" s="33"/>
      <c r="I9" s="180" t="s">
        <v>352</v>
      </c>
      <c r="J9" s="33"/>
      <c r="K9" s="180" t="s">
        <v>352</v>
      </c>
    </row>
    <row r="10" spans="1:11" ht="22.8" x14ac:dyDescent="0.3">
      <c r="A10" s="148" t="s">
        <v>612</v>
      </c>
      <c r="B10" s="268"/>
      <c r="C10" s="359"/>
      <c r="D10" s="360"/>
      <c r="E10" s="36" t="s">
        <v>613</v>
      </c>
      <c r="F10" s="33" t="s">
        <v>19</v>
      </c>
      <c r="G10" s="180" t="s">
        <v>352</v>
      </c>
      <c r="H10" s="33"/>
      <c r="I10" s="180" t="s">
        <v>352</v>
      </c>
      <c r="J10" s="33"/>
      <c r="K10" s="180" t="s">
        <v>352</v>
      </c>
    </row>
    <row r="11" spans="1:11" ht="45.6" x14ac:dyDescent="0.3">
      <c r="A11" s="156" t="s">
        <v>614</v>
      </c>
      <c r="B11" s="365" t="s">
        <v>615</v>
      </c>
      <c r="C11" s="359" t="s">
        <v>616</v>
      </c>
      <c r="D11" s="367" t="s">
        <v>617</v>
      </c>
      <c r="E11" s="34" t="s">
        <v>618</v>
      </c>
      <c r="F11" s="247" t="s">
        <v>19</v>
      </c>
      <c r="G11" s="33" t="s">
        <v>992</v>
      </c>
      <c r="H11" s="33"/>
      <c r="I11" s="180" t="s">
        <v>352</v>
      </c>
      <c r="J11" s="33"/>
      <c r="K11" s="180" t="s">
        <v>352</v>
      </c>
    </row>
    <row r="12" spans="1:11" ht="22.8" x14ac:dyDescent="0.3">
      <c r="A12" s="156" t="s">
        <v>619</v>
      </c>
      <c r="B12" s="365"/>
      <c r="C12" s="366"/>
      <c r="D12" s="367"/>
      <c r="E12" s="34" t="s">
        <v>620</v>
      </c>
      <c r="F12" s="247" t="s">
        <v>19</v>
      </c>
      <c r="G12" s="180" t="s">
        <v>352</v>
      </c>
      <c r="H12" s="33"/>
      <c r="I12" s="180" t="s">
        <v>352</v>
      </c>
      <c r="J12" s="33"/>
      <c r="K12" s="180" t="s">
        <v>352</v>
      </c>
    </row>
  </sheetData>
  <sheetProtection algorithmName="SHA-512" hashValue="c08NMSLIPh0OYpDuslsnKnqp5AQTks+A46aHx4hYVO9t4/JNWn1Px8JFZH9YJeS7jAMBJ5/EUlrCanvGa/BekQ==" saltValue="MGPwKLY4dpIS9Whn/5KqtQ==" spinCount="100000" sheet="1" selectLockedCells="1"/>
  <mergeCells count="7">
    <mergeCell ref="B11:B12"/>
    <mergeCell ref="C11:C12"/>
    <mergeCell ref="D11:D12"/>
    <mergeCell ref="A2:K2"/>
    <mergeCell ref="B6:B10"/>
    <mergeCell ref="C6:C10"/>
    <mergeCell ref="D6:D10"/>
  </mergeCells>
  <conditionalFormatting sqref="K3 I3">
    <cfRule type="expression" dxfId="50" priority="7">
      <formula>NOT(I3="Comment is required")</formula>
    </cfRule>
    <cfRule type="expression" dxfId="49" priority="8">
      <formula>AND(OR(H3="N/A",H3="Partial"),I3="Comment is required")</formula>
    </cfRule>
  </conditionalFormatting>
  <conditionalFormatting sqref="K4:K12 I4:I12">
    <cfRule type="expression" dxfId="48" priority="5">
      <formula>NOT(I4="Comment is required")</formula>
    </cfRule>
    <cfRule type="expression" dxfId="47" priority="6">
      <formula>AND(OR(H4="N/A",H4="Partial"),I4="Comment is required")</formula>
    </cfRule>
  </conditionalFormatting>
  <conditionalFormatting sqref="G3">
    <cfRule type="expression" dxfId="46" priority="3">
      <formula>NOT(G3="Comment is required")</formula>
    </cfRule>
    <cfRule type="expression" dxfId="45" priority="4">
      <formula>AND(OR(F3="N/A",F3="Partial"),G3="Comment is required")</formula>
    </cfRule>
  </conditionalFormatting>
  <conditionalFormatting sqref="G4:G10 G12">
    <cfRule type="expression" dxfId="44" priority="1">
      <formula>NOT(G4="Comment is required")</formula>
    </cfRule>
    <cfRule type="expression" dxfId="43" priority="2">
      <formula>AND(OR(F4="N/A",F4="Partial"),G4="Comment is required")</formula>
    </cfRule>
  </conditionalFormatting>
  <dataValidations count="2">
    <dataValidation type="list" showInputMessage="1" showErrorMessage="1" sqref="H3:H12 J3:J12 F3:F12" xr:uid="{00000000-0002-0000-1000-000000000000}">
      <formula1>"Yes, No, Partial, N/A"</formula1>
    </dataValidation>
    <dataValidation showInputMessage="1" showErrorMessage="1" sqref="I3:I12 K3:K12 G3:G12" xr:uid="{00000000-0002-0000-1000-000001000000}"/>
  </dataValidations>
  <hyperlinks>
    <hyperlink ref="B3" r:id="rId1" xr:uid="{00000000-0004-0000-1000-000000000000}"/>
    <hyperlink ref="B4" r:id="rId2" display="MA-2" xr:uid="{00000000-0004-0000-1000-000001000000}"/>
    <hyperlink ref="B5" r:id="rId3" xr:uid="{00000000-0004-0000-1000-000002000000}"/>
    <hyperlink ref="B6:B10" r:id="rId4" display="MA-4" xr:uid="{00000000-0004-0000-1000-000003000000}"/>
    <hyperlink ref="B11:B12" r:id="rId5" display="MA-5" xr:uid="{00000000-0004-0000-1000-000004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3"/>
  <sheetViews>
    <sheetView showGridLines="0" zoomScaleNormal="100" workbookViewId="0">
      <pane xSplit="2" ySplit="2" topLeftCell="C3" activePane="bottomRight" state="frozen"/>
      <selection pane="topRight" activeCell="D19" sqref="D19:D22"/>
      <selection pane="bottomLeft" activeCell="D19" sqref="D19:D22"/>
      <selection pane="bottomRight" activeCell="F3" sqref="F3:G13"/>
    </sheetView>
  </sheetViews>
  <sheetFormatPr defaultColWidth="9" defaultRowHeight="14.4" x14ac:dyDescent="0.3"/>
  <cols>
    <col min="1" max="1" width="17.5546875" customWidth="1"/>
    <col min="2" max="2" width="18.109375" customWidth="1"/>
    <col min="3" max="3" width="18.44140625" bestFit="1" customWidth="1"/>
    <col min="4" max="4" width="26.44140625" bestFit="1" customWidth="1"/>
    <col min="5" max="5" width="48.3320312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58" t="s">
        <v>621</v>
      </c>
      <c r="B2" s="358"/>
      <c r="C2" s="358"/>
      <c r="D2" s="358"/>
      <c r="E2" s="358"/>
      <c r="F2" s="358"/>
      <c r="G2" s="358"/>
      <c r="H2" s="358"/>
      <c r="I2" s="358"/>
      <c r="J2" s="358"/>
      <c r="K2" s="358"/>
    </row>
    <row r="3" spans="1:11" ht="45.6" x14ac:dyDescent="0.3">
      <c r="A3" s="148" t="s">
        <v>622</v>
      </c>
      <c r="B3" s="150" t="s">
        <v>623</v>
      </c>
      <c r="C3" s="151" t="s">
        <v>624</v>
      </c>
      <c r="D3" s="148" t="s">
        <v>625</v>
      </c>
      <c r="E3" s="35" t="s">
        <v>626</v>
      </c>
      <c r="F3" s="33" t="s">
        <v>19</v>
      </c>
      <c r="G3" s="33"/>
      <c r="H3" s="33"/>
      <c r="I3" s="180" t="s">
        <v>352</v>
      </c>
      <c r="J3" s="33"/>
      <c r="K3" s="180" t="s">
        <v>352</v>
      </c>
    </row>
    <row r="4" spans="1:11" x14ac:dyDescent="0.3">
      <c r="A4" s="148" t="s">
        <v>627</v>
      </c>
      <c r="B4" s="368" t="s">
        <v>628</v>
      </c>
      <c r="C4" s="359" t="s">
        <v>183</v>
      </c>
      <c r="D4" s="360" t="s">
        <v>629</v>
      </c>
      <c r="E4" s="36" t="s">
        <v>630</v>
      </c>
      <c r="F4" s="33" t="s">
        <v>30</v>
      </c>
      <c r="G4" s="33"/>
      <c r="H4" s="33"/>
      <c r="I4" s="180" t="s">
        <v>352</v>
      </c>
      <c r="J4" s="33"/>
      <c r="K4" s="180" t="s">
        <v>352</v>
      </c>
    </row>
    <row r="5" spans="1:11" ht="34.200000000000003" x14ac:dyDescent="0.3">
      <c r="A5" s="148" t="s">
        <v>631</v>
      </c>
      <c r="B5" s="368"/>
      <c r="C5" s="359"/>
      <c r="D5" s="360"/>
      <c r="E5" s="36" t="s">
        <v>632</v>
      </c>
      <c r="F5" s="33" t="s">
        <v>19</v>
      </c>
      <c r="G5" s="33" t="s">
        <v>993</v>
      </c>
      <c r="H5" s="33"/>
      <c r="I5" s="180" t="s">
        <v>352</v>
      </c>
      <c r="J5" s="33"/>
      <c r="K5" s="180" t="s">
        <v>352</v>
      </c>
    </row>
    <row r="6" spans="1:11" ht="22.8" x14ac:dyDescent="0.3">
      <c r="A6" s="148" t="s">
        <v>633</v>
      </c>
      <c r="B6" s="368"/>
      <c r="C6" s="359"/>
      <c r="D6" s="360"/>
      <c r="E6" s="36" t="s">
        <v>634</v>
      </c>
      <c r="F6" s="33" t="s">
        <v>30</v>
      </c>
      <c r="G6" s="33"/>
      <c r="H6" s="33"/>
      <c r="I6" s="180" t="s">
        <v>352</v>
      </c>
      <c r="J6" s="33"/>
      <c r="K6" s="180" t="s">
        <v>352</v>
      </c>
    </row>
    <row r="7" spans="1:11" ht="34.200000000000003" x14ac:dyDescent="0.3">
      <c r="A7" s="148" t="s">
        <v>635</v>
      </c>
      <c r="B7" s="368" t="s">
        <v>182</v>
      </c>
      <c r="C7" s="359" t="s">
        <v>183</v>
      </c>
      <c r="D7" s="360" t="s">
        <v>636</v>
      </c>
      <c r="E7" s="36" t="s">
        <v>637</v>
      </c>
      <c r="F7" s="33" t="s">
        <v>19</v>
      </c>
      <c r="G7" s="33" t="s">
        <v>993</v>
      </c>
      <c r="H7" s="33"/>
      <c r="I7" s="180" t="s">
        <v>352</v>
      </c>
      <c r="J7" s="33"/>
      <c r="K7" s="180" t="s">
        <v>352</v>
      </c>
    </row>
    <row r="8" spans="1:11" ht="22.8" x14ac:dyDescent="0.3">
      <c r="A8" s="148" t="s">
        <v>638</v>
      </c>
      <c r="B8" s="368"/>
      <c r="C8" s="359"/>
      <c r="D8" s="360"/>
      <c r="E8" s="36" t="s">
        <v>639</v>
      </c>
      <c r="F8" s="33" t="s">
        <v>30</v>
      </c>
      <c r="G8" s="33"/>
      <c r="H8" s="33"/>
      <c r="I8" s="180" t="s">
        <v>352</v>
      </c>
      <c r="J8" s="33"/>
      <c r="K8" s="180" t="s">
        <v>352</v>
      </c>
    </row>
    <row r="9" spans="1:11" ht="22.8" x14ac:dyDescent="0.3">
      <c r="A9" s="148" t="s">
        <v>640</v>
      </c>
      <c r="B9" s="150" t="s">
        <v>641</v>
      </c>
      <c r="C9" s="151" t="s">
        <v>642</v>
      </c>
      <c r="D9" s="148" t="s">
        <v>643</v>
      </c>
      <c r="E9" s="36" t="s">
        <v>644</v>
      </c>
      <c r="F9" s="33" t="s">
        <v>19</v>
      </c>
      <c r="G9" s="33"/>
      <c r="H9" s="33"/>
      <c r="I9" s="180" t="s">
        <v>352</v>
      </c>
      <c r="J9" s="33"/>
      <c r="K9" s="180" t="s">
        <v>352</v>
      </c>
    </row>
    <row r="10" spans="1:11" ht="22.8" x14ac:dyDescent="0.3">
      <c r="A10" s="148" t="s">
        <v>645</v>
      </c>
      <c r="B10" s="150" t="s">
        <v>646</v>
      </c>
      <c r="C10" s="151" t="s">
        <v>642</v>
      </c>
      <c r="D10" s="148" t="s">
        <v>647</v>
      </c>
      <c r="E10" s="36" t="s">
        <v>648</v>
      </c>
      <c r="F10" s="33" t="s">
        <v>30</v>
      </c>
      <c r="G10" s="33"/>
      <c r="H10" s="33"/>
      <c r="I10" s="180" t="s">
        <v>352</v>
      </c>
      <c r="J10" s="33"/>
      <c r="K10" s="180" t="s">
        <v>352</v>
      </c>
    </row>
    <row r="11" spans="1:11" ht="182.4" x14ac:dyDescent="0.3">
      <c r="A11" s="148" t="s">
        <v>649</v>
      </c>
      <c r="B11" s="150" t="s">
        <v>650</v>
      </c>
      <c r="C11" s="151" t="s">
        <v>651</v>
      </c>
      <c r="D11" s="148" t="s">
        <v>652</v>
      </c>
      <c r="E11" s="36" t="s">
        <v>653</v>
      </c>
      <c r="F11" s="33" t="s">
        <v>41</v>
      </c>
      <c r="G11" s="33" t="s">
        <v>994</v>
      </c>
      <c r="H11" s="33"/>
      <c r="I11" s="180" t="s">
        <v>352</v>
      </c>
      <c r="J11" s="33"/>
      <c r="K11" s="180" t="s">
        <v>352</v>
      </c>
    </row>
    <row r="12" spans="1:11" ht="79.8" x14ac:dyDescent="0.3">
      <c r="A12" s="148" t="s">
        <v>654</v>
      </c>
      <c r="B12" s="150" t="s">
        <v>655</v>
      </c>
      <c r="C12" s="151" t="s">
        <v>656</v>
      </c>
      <c r="D12" s="148" t="s">
        <v>657</v>
      </c>
      <c r="E12" s="36" t="s">
        <v>658</v>
      </c>
      <c r="F12" s="33" t="s">
        <v>19</v>
      </c>
      <c r="G12" s="33"/>
      <c r="H12" s="33"/>
      <c r="I12" s="180" t="s">
        <v>352</v>
      </c>
      <c r="J12" s="33"/>
      <c r="K12" s="180" t="s">
        <v>352</v>
      </c>
    </row>
    <row r="13" spans="1:11" ht="22.8" x14ac:dyDescent="0.3">
      <c r="A13" s="148" t="s">
        <v>659</v>
      </c>
      <c r="B13" s="150" t="s">
        <v>660</v>
      </c>
      <c r="C13" s="37" t="s">
        <v>661</v>
      </c>
      <c r="D13" s="148" t="s">
        <v>662</v>
      </c>
      <c r="E13" s="36" t="s">
        <v>663</v>
      </c>
      <c r="F13" s="33" t="s">
        <v>19</v>
      </c>
      <c r="G13" s="33"/>
      <c r="H13" s="33"/>
      <c r="I13" s="180" t="s">
        <v>352</v>
      </c>
      <c r="J13" s="33"/>
      <c r="K13" s="180" t="s">
        <v>352</v>
      </c>
    </row>
  </sheetData>
  <sheetProtection algorithmName="SHA-512" hashValue="W1PqDjhW3HtpVmVMSLvhYIjFbxyAuiU5iHGjdLIQvdzKS08EEVU7Py/wxZVVcAmDxdjSF/FOKTTurlIQFkKPMA==" saltValue="+YAfkBu/0eUyYGQNaFXWQQ==" spinCount="100000" sheet="1" selectLockedCells="1"/>
  <mergeCells count="7">
    <mergeCell ref="B7:B8"/>
    <mergeCell ref="C7:C8"/>
    <mergeCell ref="D7:D8"/>
    <mergeCell ref="A2:K2"/>
    <mergeCell ref="B4:B6"/>
    <mergeCell ref="C4:C6"/>
    <mergeCell ref="D4:D6"/>
  </mergeCells>
  <conditionalFormatting sqref="K3:K13 I3:I13">
    <cfRule type="expression" dxfId="42" priority="3">
      <formula>NOT(I3="Comment is required")</formula>
    </cfRule>
    <cfRule type="expression" dxfId="41" priority="4">
      <formula>AND(OR(H3="N/A",H3="Partial"),I3="Comment is required")</formula>
    </cfRule>
  </conditionalFormatting>
  <conditionalFormatting sqref="G3:G13">
    <cfRule type="expression" dxfId="40" priority="1">
      <formula>NOT(G3="Comment is required")</formula>
    </cfRule>
    <cfRule type="expression" dxfId="39" priority="2">
      <formula>AND(OR(F3="N/A",F3="Partial"),G3="Comment is required")</formula>
    </cfRule>
  </conditionalFormatting>
  <dataValidations count="2">
    <dataValidation type="list" showInputMessage="1" showErrorMessage="1" sqref="H3:H13 F3:F13 J3:J13" xr:uid="{E845B263-AC5D-45D7-8F09-AD0437A30421}">
      <formula1>"Yes, No, Partial, N/A"</formula1>
    </dataValidation>
    <dataValidation showInputMessage="1" showErrorMessage="1" sqref="G3:G13 I3:I13 K3:K13" xr:uid="{174332A5-AA17-43C6-BAF9-73227EA3C360}"/>
  </dataValidations>
  <hyperlinks>
    <hyperlink ref="B3" r:id="rId1" xr:uid="{00000000-0004-0000-1100-000000000000}"/>
    <hyperlink ref="B4:B6" r:id="rId2" display="PS-2" xr:uid="{00000000-0004-0000-1100-000001000000}"/>
    <hyperlink ref="B7:B8" r:id="rId3" display="PS-3" xr:uid="{00000000-0004-0000-1100-000002000000}"/>
    <hyperlink ref="B9" r:id="rId4" xr:uid="{00000000-0004-0000-1100-000003000000}"/>
    <hyperlink ref="B10" r:id="rId5" xr:uid="{00000000-0004-0000-1100-000004000000}"/>
    <hyperlink ref="B11" r:id="rId6" xr:uid="{00000000-0004-0000-1100-000005000000}"/>
    <hyperlink ref="B12" r:id="rId7" xr:uid="{00000000-0004-0000-1100-000006000000}"/>
    <hyperlink ref="B13" r:id="rId8" xr:uid="{00000000-0004-0000-1100-000007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showGridLines="0" zoomScale="130" zoomScaleNormal="130" workbookViewId="0">
      <pane xSplit="2" ySplit="2" topLeftCell="C6" activePane="bottomRight" state="frozen"/>
      <selection pane="topRight" activeCell="D19" sqref="D19:D22"/>
      <selection pane="bottomLeft" activeCell="D19" sqref="D19:D22"/>
      <selection pane="bottomRight" activeCell="F11" sqref="F11"/>
    </sheetView>
  </sheetViews>
  <sheetFormatPr defaultColWidth="9" defaultRowHeight="14.4" x14ac:dyDescent="0.3"/>
  <cols>
    <col min="1" max="1" width="17.5546875" customWidth="1"/>
    <col min="2" max="2" width="18" customWidth="1"/>
    <col min="3" max="3" width="18.6640625" customWidth="1"/>
    <col min="4" max="4" width="26.6640625" customWidth="1"/>
    <col min="5" max="5" width="45.10937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58" t="s">
        <v>664</v>
      </c>
      <c r="B2" s="358"/>
      <c r="C2" s="358"/>
      <c r="D2" s="358"/>
      <c r="E2" s="358"/>
      <c r="F2" s="358"/>
      <c r="G2" s="358"/>
      <c r="H2" s="358"/>
      <c r="I2" s="358"/>
      <c r="J2" s="358"/>
      <c r="K2" s="358"/>
    </row>
    <row r="3" spans="1:11" ht="22.8" x14ac:dyDescent="0.3">
      <c r="A3" s="148" t="s">
        <v>665</v>
      </c>
      <c r="B3" s="150" t="s">
        <v>666</v>
      </c>
      <c r="C3" s="151"/>
      <c r="D3" s="148" t="s">
        <v>667</v>
      </c>
      <c r="E3" s="35" t="s">
        <v>668</v>
      </c>
      <c r="F3" s="33" t="s">
        <v>30</v>
      </c>
      <c r="G3" s="180" t="s">
        <v>352</v>
      </c>
      <c r="H3" s="33"/>
      <c r="I3" s="180" t="s">
        <v>352</v>
      </c>
      <c r="J3" s="33"/>
      <c r="K3" s="180" t="s">
        <v>352</v>
      </c>
    </row>
    <row r="4" spans="1:11" ht="22.8" x14ac:dyDescent="0.3">
      <c r="A4" s="148" t="s">
        <v>669</v>
      </c>
      <c r="B4" s="150" t="s">
        <v>670</v>
      </c>
      <c r="C4" s="151"/>
      <c r="D4" s="148" t="s">
        <v>671</v>
      </c>
      <c r="E4" s="36" t="s">
        <v>672</v>
      </c>
      <c r="F4" s="33" t="s">
        <v>19</v>
      </c>
      <c r="G4" s="180" t="s">
        <v>352</v>
      </c>
      <c r="H4" s="33"/>
      <c r="I4" s="180" t="s">
        <v>352</v>
      </c>
      <c r="J4" s="33"/>
      <c r="K4" s="180" t="s">
        <v>352</v>
      </c>
    </row>
    <row r="5" spans="1:11" ht="79.8" x14ac:dyDescent="0.3">
      <c r="A5" s="148" t="s">
        <v>335</v>
      </c>
      <c r="B5" s="152" t="s">
        <v>337</v>
      </c>
      <c r="C5" s="151" t="s">
        <v>673</v>
      </c>
      <c r="D5" s="148" t="s">
        <v>336</v>
      </c>
      <c r="E5" s="36" t="s">
        <v>674</v>
      </c>
      <c r="F5" s="33" t="s">
        <v>19</v>
      </c>
      <c r="G5" s="180" t="s">
        <v>1024</v>
      </c>
      <c r="H5" s="33"/>
      <c r="I5" s="180" t="s">
        <v>352</v>
      </c>
      <c r="J5" s="33"/>
      <c r="K5" s="180" t="s">
        <v>352</v>
      </c>
    </row>
    <row r="6" spans="1:11" ht="102.6" x14ac:dyDescent="0.3">
      <c r="A6" s="148" t="s">
        <v>675</v>
      </c>
      <c r="B6" s="368" t="s">
        <v>676</v>
      </c>
      <c r="C6" s="360"/>
      <c r="D6" s="360" t="s">
        <v>677</v>
      </c>
      <c r="E6" s="151" t="s">
        <v>678</v>
      </c>
      <c r="F6" s="33" t="s">
        <v>19</v>
      </c>
      <c r="G6" s="180" t="s">
        <v>352</v>
      </c>
      <c r="H6" s="33"/>
      <c r="I6" s="180" t="s">
        <v>352</v>
      </c>
      <c r="J6" s="33"/>
      <c r="K6" s="180" t="s">
        <v>352</v>
      </c>
    </row>
    <row r="7" spans="1:11" ht="114" x14ac:dyDescent="0.3">
      <c r="A7" s="148" t="s">
        <v>679</v>
      </c>
      <c r="B7" s="368"/>
      <c r="C7" s="360"/>
      <c r="D7" s="360"/>
      <c r="E7" s="151" t="s">
        <v>680</v>
      </c>
      <c r="F7" s="33" t="s">
        <v>41</v>
      </c>
      <c r="G7" s="180" t="s">
        <v>1025</v>
      </c>
      <c r="H7" s="33"/>
      <c r="I7" s="180" t="s">
        <v>352</v>
      </c>
      <c r="J7" s="33"/>
      <c r="K7" s="180" t="s">
        <v>352</v>
      </c>
    </row>
    <row r="8" spans="1:11" ht="91.2" x14ac:dyDescent="0.3">
      <c r="A8" s="148" t="s">
        <v>681</v>
      </c>
      <c r="B8" s="368"/>
      <c r="C8" s="360"/>
      <c r="D8" s="360"/>
      <c r="E8" s="35" t="s">
        <v>682</v>
      </c>
      <c r="F8" s="33" t="s">
        <v>30</v>
      </c>
      <c r="G8" s="180" t="s">
        <v>1026</v>
      </c>
      <c r="H8" s="33"/>
      <c r="I8" s="180" t="s">
        <v>352</v>
      </c>
      <c r="J8" s="33"/>
      <c r="K8" s="180" t="s">
        <v>352</v>
      </c>
    </row>
    <row r="9" spans="1:11" ht="45.6" x14ac:dyDescent="0.3">
      <c r="A9" s="148" t="s">
        <v>683</v>
      </c>
      <c r="B9" s="150" t="s">
        <v>684</v>
      </c>
      <c r="C9" s="151"/>
      <c r="D9" s="148" t="s">
        <v>685</v>
      </c>
      <c r="E9" s="36" t="s">
        <v>686</v>
      </c>
      <c r="F9" s="33" t="s">
        <v>19</v>
      </c>
      <c r="G9" s="180" t="s">
        <v>352</v>
      </c>
      <c r="H9" s="33"/>
      <c r="I9" s="180" t="s">
        <v>352</v>
      </c>
      <c r="J9" s="33"/>
      <c r="K9" s="180" t="s">
        <v>352</v>
      </c>
    </row>
    <row r="10" spans="1:11" ht="57" x14ac:dyDescent="0.3">
      <c r="A10" s="148" t="s">
        <v>687</v>
      </c>
      <c r="B10" s="150" t="s">
        <v>688</v>
      </c>
      <c r="C10" s="151"/>
      <c r="D10" s="148" t="s">
        <v>689</v>
      </c>
      <c r="E10" s="36" t="s">
        <v>690</v>
      </c>
      <c r="F10" s="33" t="s">
        <v>19</v>
      </c>
      <c r="G10" s="180" t="s">
        <v>352</v>
      </c>
      <c r="H10" s="33"/>
      <c r="I10" s="180" t="s">
        <v>352</v>
      </c>
      <c r="J10" s="33"/>
      <c r="K10" s="180" t="s">
        <v>352</v>
      </c>
    </row>
    <row r="11" spans="1:11" ht="57" x14ac:dyDescent="0.3">
      <c r="A11" s="148" t="s">
        <v>691</v>
      </c>
      <c r="B11" s="152" t="s">
        <v>692</v>
      </c>
      <c r="C11" s="151"/>
      <c r="D11" s="148" t="s">
        <v>693</v>
      </c>
      <c r="E11" s="36" t="s">
        <v>694</v>
      </c>
      <c r="F11" s="33" t="s">
        <v>19</v>
      </c>
      <c r="G11" s="180" t="s">
        <v>352</v>
      </c>
      <c r="H11" s="33"/>
      <c r="I11" s="180" t="s">
        <v>352</v>
      </c>
      <c r="J11" s="33"/>
      <c r="K11" s="180" t="s">
        <v>352</v>
      </c>
    </row>
    <row r="12" spans="1:11" ht="15" x14ac:dyDescent="0.3">
      <c r="C12" s="129"/>
    </row>
    <row r="13" spans="1:11" ht="15" x14ac:dyDescent="0.3">
      <c r="C13" s="129"/>
    </row>
    <row r="14" spans="1:11" ht="15" x14ac:dyDescent="0.3">
      <c r="C14" s="129"/>
    </row>
  </sheetData>
  <sheetProtection algorithmName="SHA-512" hashValue="/bhBdLits23vtAxgOYfiMqVFGcMhLnXJj9UEwa+0mbH2/CZ16i3I/COHv/3CaW4cfHOHgpDmF0oyCLftaRttFA==" saltValue="1rjJ1ndxRjkgutRF3mI8TA==" spinCount="100000" sheet="1" selectLockedCells="1"/>
  <mergeCells count="4">
    <mergeCell ref="A2:K2"/>
    <mergeCell ref="B6:B8"/>
    <mergeCell ref="C6:C8"/>
    <mergeCell ref="D6:D8"/>
  </mergeCells>
  <conditionalFormatting sqref="G3 I3 K3">
    <cfRule type="expression" dxfId="38" priority="7">
      <formula>NOT(G3="Comment is required")</formula>
    </cfRule>
    <cfRule type="expression" dxfId="37" priority="8">
      <formula>AND(OR(F3="N/A",F3="Partial"),G3="Comment is required")</formula>
    </cfRule>
  </conditionalFormatting>
  <conditionalFormatting sqref="G10:G11 I10:I11 K10:K11">
    <cfRule type="expression" dxfId="36" priority="1">
      <formula>NOT(G10="Comment is required")</formula>
    </cfRule>
    <cfRule type="expression" dxfId="35" priority="2">
      <formula>AND(OR(F10="N/A",F10="Partial"),G10="Comment is required")</formula>
    </cfRule>
  </conditionalFormatting>
  <conditionalFormatting sqref="G4:G7 I4:I7 K4:K7">
    <cfRule type="expression" dxfId="34" priority="5">
      <formula>NOT(G4="Comment is required")</formula>
    </cfRule>
    <cfRule type="expression" dxfId="33" priority="6">
      <formula>AND(OR(F4="N/A",F4="Partial"),G4="Comment is required")</formula>
    </cfRule>
  </conditionalFormatting>
  <conditionalFormatting sqref="G8:G9 I8:I9 K8:K9">
    <cfRule type="expression" dxfId="32" priority="3">
      <formula>NOT(G8="Comment is required")</formula>
    </cfRule>
    <cfRule type="expression" dxfId="31" priority="4">
      <formula>AND(OR(F8="N/A",F8="Partial"),G8="Comment is required")</formula>
    </cfRule>
  </conditionalFormatting>
  <dataValidations count="2">
    <dataValidation type="list" showInputMessage="1" showErrorMessage="1" sqref="H3:H11 J3:J11 F3:F11" xr:uid="{00000000-0002-0000-1200-000000000000}">
      <formula1>"Yes, No, Partial, N/A"</formula1>
    </dataValidation>
    <dataValidation showInputMessage="1" showErrorMessage="1" sqref="I3:I11 K3:K11 G3:G11" xr:uid="{00000000-0002-0000-1200-000001000000}"/>
  </dataValidations>
  <hyperlinks>
    <hyperlink ref="B3" r:id="rId1" xr:uid="{00000000-0004-0000-1200-000000000000}"/>
    <hyperlink ref="B4" r:id="rId2" xr:uid="{00000000-0004-0000-1200-000001000000}"/>
    <hyperlink ref="B5" r:id="rId3" xr:uid="{00000000-0004-0000-1200-000002000000}"/>
    <hyperlink ref="B6:B8" r:id="rId4" display="SA-5" xr:uid="{00000000-0004-0000-1200-000003000000}"/>
    <hyperlink ref="B9" r:id="rId5" xr:uid="{00000000-0004-0000-1200-000004000000}"/>
    <hyperlink ref="B10" r:id="rId6" xr:uid="{00000000-0004-0000-1200-000005000000}"/>
    <hyperlink ref="B11" r:id="rId7" xr:uid="{00000000-0004-0000-1200-000006000000}"/>
  </hyperlinks>
  <pageMargins left="0.7" right="0.7" top="0.75" bottom="0.75" header="0.3" footer="0.3"/>
  <pageSetup orientation="portrait" r:id="rId8"/>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5"/>
  <sheetViews>
    <sheetView showGridLines="0" zoomScaleNormal="100" workbookViewId="0">
      <pane xSplit="2" ySplit="2" topLeftCell="C3" activePane="bottomRight" state="frozen"/>
      <selection pane="topRight" activeCell="D19" sqref="D19:D22"/>
      <selection pane="bottomLeft" activeCell="D19" sqref="D19:D22"/>
      <selection pane="bottomRight" activeCell="H3" sqref="H3"/>
    </sheetView>
  </sheetViews>
  <sheetFormatPr defaultColWidth="9" defaultRowHeight="14.4" x14ac:dyDescent="0.3"/>
  <cols>
    <col min="1" max="1" width="17.5546875" customWidth="1"/>
    <col min="2" max="4" width="25.44140625" customWidth="1"/>
    <col min="5" max="5" width="54.8867187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58" t="s">
        <v>695</v>
      </c>
      <c r="B2" s="358"/>
      <c r="C2" s="358"/>
      <c r="D2" s="358"/>
      <c r="E2" s="358"/>
      <c r="F2" s="358"/>
      <c r="G2" s="358"/>
      <c r="H2" s="358"/>
      <c r="I2" s="358"/>
      <c r="J2" s="358"/>
      <c r="K2" s="358"/>
    </row>
    <row r="3" spans="1:11" ht="34.200000000000003" x14ac:dyDescent="0.3">
      <c r="A3" s="148" t="s">
        <v>696</v>
      </c>
      <c r="B3" s="150" t="s">
        <v>697</v>
      </c>
      <c r="C3" s="151"/>
      <c r="D3" s="148" t="s">
        <v>698</v>
      </c>
      <c r="E3" s="151" t="s">
        <v>699</v>
      </c>
      <c r="F3" s="33" t="s">
        <v>30</v>
      </c>
      <c r="G3" s="180" t="s">
        <v>352</v>
      </c>
      <c r="H3" s="33"/>
      <c r="I3" s="180" t="s">
        <v>352</v>
      </c>
      <c r="J3" s="33"/>
      <c r="K3" s="180" t="s">
        <v>352</v>
      </c>
    </row>
    <row r="4" spans="1:11" ht="22.8" x14ac:dyDescent="0.3">
      <c r="A4" s="148" t="s">
        <v>700</v>
      </c>
      <c r="B4" s="150" t="s">
        <v>701</v>
      </c>
      <c r="C4" s="151"/>
      <c r="D4" s="148" t="s">
        <v>702</v>
      </c>
      <c r="E4" s="35" t="s">
        <v>703</v>
      </c>
      <c r="F4" s="33" t="s">
        <v>19</v>
      </c>
      <c r="G4" s="180" t="s">
        <v>352</v>
      </c>
      <c r="H4" s="33"/>
      <c r="I4" s="180" t="s">
        <v>352</v>
      </c>
      <c r="J4" s="33"/>
      <c r="K4" s="180" t="s">
        <v>352</v>
      </c>
    </row>
    <row r="5" spans="1:11" ht="34.200000000000003" x14ac:dyDescent="0.3">
      <c r="A5" s="156" t="s">
        <v>704</v>
      </c>
      <c r="B5" s="369" t="s">
        <v>705</v>
      </c>
      <c r="C5" s="359" t="s">
        <v>706</v>
      </c>
      <c r="D5" s="360" t="s">
        <v>707</v>
      </c>
      <c r="E5" s="36" t="s">
        <v>708</v>
      </c>
      <c r="F5" s="33" t="s">
        <v>30</v>
      </c>
      <c r="G5" s="179" t="s">
        <v>352</v>
      </c>
      <c r="H5" s="33"/>
      <c r="I5" s="179" t="s">
        <v>352</v>
      </c>
      <c r="J5" s="33"/>
      <c r="K5" s="179" t="s">
        <v>352</v>
      </c>
    </row>
    <row r="6" spans="1:11" ht="34.200000000000003" x14ac:dyDescent="0.3">
      <c r="A6" s="156" t="s">
        <v>709</v>
      </c>
      <c r="B6" s="369"/>
      <c r="C6" s="366"/>
      <c r="D6" s="360"/>
      <c r="E6" s="34" t="s">
        <v>710</v>
      </c>
      <c r="F6" s="33" t="s">
        <v>30</v>
      </c>
      <c r="G6" s="180" t="s">
        <v>352</v>
      </c>
      <c r="H6" s="33"/>
      <c r="I6" s="180" t="s">
        <v>352</v>
      </c>
      <c r="J6" s="33"/>
      <c r="K6" s="180" t="s">
        <v>352</v>
      </c>
    </row>
    <row r="7" spans="1:11" ht="34.200000000000003" x14ac:dyDescent="0.3">
      <c r="A7" s="148" t="s">
        <v>711</v>
      </c>
      <c r="B7" s="150" t="s">
        <v>712</v>
      </c>
      <c r="C7" s="151"/>
      <c r="D7" s="148" t="s">
        <v>713</v>
      </c>
      <c r="E7" s="36" t="s">
        <v>714</v>
      </c>
      <c r="F7" s="33" t="s">
        <v>19</v>
      </c>
      <c r="G7" s="180" t="s">
        <v>352</v>
      </c>
      <c r="H7" s="33"/>
      <c r="I7" s="180" t="s">
        <v>352</v>
      </c>
      <c r="J7" s="33"/>
      <c r="K7" s="180" t="s">
        <v>352</v>
      </c>
    </row>
    <row r="8" spans="1:11" ht="45.6" x14ac:dyDescent="0.3">
      <c r="A8" s="148" t="s">
        <v>715</v>
      </c>
      <c r="B8" s="150" t="s">
        <v>191</v>
      </c>
      <c r="C8" s="151" t="s">
        <v>716</v>
      </c>
      <c r="D8" s="148" t="s">
        <v>717</v>
      </c>
      <c r="E8" s="36" t="s">
        <v>718</v>
      </c>
      <c r="F8" s="33" t="s">
        <v>41</v>
      </c>
      <c r="G8" s="179" t="s">
        <v>1017</v>
      </c>
      <c r="H8" s="33"/>
      <c r="I8" s="179" t="s">
        <v>352</v>
      </c>
      <c r="J8" s="33"/>
      <c r="K8" s="179" t="s">
        <v>352</v>
      </c>
    </row>
    <row r="9" spans="1:11" ht="22.8" x14ac:dyDescent="0.3">
      <c r="A9" s="148" t="s">
        <v>719</v>
      </c>
      <c r="B9" s="268" t="s">
        <v>305</v>
      </c>
      <c r="C9" s="359"/>
      <c r="D9" s="360" t="s">
        <v>304</v>
      </c>
      <c r="E9" s="34" t="s">
        <v>720</v>
      </c>
      <c r="F9" s="33" t="s">
        <v>30</v>
      </c>
      <c r="G9" s="180" t="s">
        <v>352</v>
      </c>
      <c r="H9" s="33"/>
      <c r="I9" s="180" t="s">
        <v>352</v>
      </c>
      <c r="J9" s="33"/>
      <c r="K9" s="180" t="s">
        <v>352</v>
      </c>
    </row>
    <row r="10" spans="1:11" ht="22.8" x14ac:dyDescent="0.3">
      <c r="A10" s="148" t="s">
        <v>721</v>
      </c>
      <c r="B10" s="268"/>
      <c r="C10" s="359"/>
      <c r="D10" s="360"/>
      <c r="E10" s="36" t="s">
        <v>722</v>
      </c>
      <c r="F10" s="33" t="s">
        <v>52</v>
      </c>
      <c r="G10" s="180" t="s">
        <v>1018</v>
      </c>
      <c r="H10" s="33"/>
      <c r="I10" s="180" t="s">
        <v>352</v>
      </c>
      <c r="J10" s="33"/>
      <c r="K10" s="180" t="s">
        <v>352</v>
      </c>
    </row>
    <row r="11" spans="1:11" ht="68.400000000000006" x14ac:dyDescent="0.3">
      <c r="A11" s="148" t="s">
        <v>723</v>
      </c>
      <c r="B11" s="268"/>
      <c r="C11" s="359"/>
      <c r="D11" s="360"/>
      <c r="E11" s="36" t="s">
        <v>724</v>
      </c>
      <c r="F11" s="33" t="s">
        <v>52</v>
      </c>
      <c r="G11" s="180" t="s">
        <v>1019</v>
      </c>
      <c r="H11" s="33"/>
      <c r="I11" s="180" t="s">
        <v>352</v>
      </c>
      <c r="J11" s="33"/>
      <c r="K11" s="180" t="s">
        <v>352</v>
      </c>
    </row>
    <row r="12" spans="1:11" ht="114" x14ac:dyDescent="0.3">
      <c r="A12" s="148" t="s">
        <v>725</v>
      </c>
      <c r="B12" s="150" t="s">
        <v>726</v>
      </c>
      <c r="C12" s="151"/>
      <c r="D12" s="148" t="s">
        <v>727</v>
      </c>
      <c r="E12" s="36" t="s">
        <v>728</v>
      </c>
      <c r="F12" s="33" t="s">
        <v>19</v>
      </c>
      <c r="G12" s="180" t="s">
        <v>1020</v>
      </c>
      <c r="H12" s="33"/>
      <c r="I12" s="180" t="s">
        <v>352</v>
      </c>
      <c r="J12" s="33"/>
      <c r="K12" s="180" t="s">
        <v>352</v>
      </c>
    </row>
    <row r="13" spans="1:11" ht="34.200000000000003" x14ac:dyDescent="0.3">
      <c r="A13" s="148" t="s">
        <v>729</v>
      </c>
      <c r="B13" s="150" t="s">
        <v>730</v>
      </c>
      <c r="C13" s="151"/>
      <c r="D13" s="148" t="s">
        <v>731</v>
      </c>
      <c r="E13" s="36" t="s">
        <v>732</v>
      </c>
      <c r="F13" s="33" t="s">
        <v>19</v>
      </c>
      <c r="G13" s="180" t="s">
        <v>1021</v>
      </c>
      <c r="H13" s="33"/>
      <c r="I13" s="180" t="s">
        <v>352</v>
      </c>
      <c r="J13" s="33"/>
      <c r="K13" s="180" t="s">
        <v>352</v>
      </c>
    </row>
    <row r="14" spans="1:11" ht="22.8" x14ac:dyDescent="0.3">
      <c r="A14" s="148" t="s">
        <v>733</v>
      </c>
      <c r="B14" s="152" t="s">
        <v>734</v>
      </c>
      <c r="C14" s="151"/>
      <c r="D14" s="148" t="s">
        <v>735</v>
      </c>
      <c r="E14" s="36" t="s">
        <v>736</v>
      </c>
      <c r="F14" s="33" t="s">
        <v>19</v>
      </c>
      <c r="G14" s="180" t="s">
        <v>1022</v>
      </c>
      <c r="H14" s="33"/>
      <c r="I14" s="180" t="s">
        <v>352</v>
      </c>
      <c r="J14" s="33"/>
      <c r="K14" s="180" t="s">
        <v>352</v>
      </c>
    </row>
    <row r="15" spans="1:11" ht="34.200000000000003" x14ac:dyDescent="0.3">
      <c r="A15" s="148" t="s">
        <v>737</v>
      </c>
      <c r="B15" s="152" t="s">
        <v>738</v>
      </c>
      <c r="C15" s="151"/>
      <c r="D15" s="148" t="s">
        <v>739</v>
      </c>
      <c r="E15" s="36" t="s">
        <v>740</v>
      </c>
      <c r="F15" s="33" t="s">
        <v>30</v>
      </c>
      <c r="G15" s="179" t="s">
        <v>1023</v>
      </c>
      <c r="H15" s="33"/>
      <c r="I15" s="179" t="s">
        <v>352</v>
      </c>
      <c r="J15" s="33"/>
      <c r="K15" s="179" t="s">
        <v>352</v>
      </c>
    </row>
  </sheetData>
  <sheetProtection algorithmName="SHA-512" hashValue="dzkCuqRGyzM3a633p1rzVEE9UsvBgM/WT49WmMLQVrP0Cey5qa30tjvUk9gHihb+qHvN8YXI8VXf65i0soY9Yg==" saltValue="cv+FJvdlQjgJuit0GXH0dA==" spinCount="100000" sheet="1" selectLockedCells="1"/>
  <mergeCells count="7">
    <mergeCell ref="B9:B11"/>
    <mergeCell ref="C9:C11"/>
    <mergeCell ref="D9:D11"/>
    <mergeCell ref="A2:K2"/>
    <mergeCell ref="B5:B6"/>
    <mergeCell ref="C5:C6"/>
    <mergeCell ref="D5:D6"/>
  </mergeCells>
  <conditionalFormatting sqref="K3:K4 I3:I4 G3:G4">
    <cfRule type="expression" dxfId="30" priority="18">
      <formula>NOT(G3="Comment is required")</formula>
    </cfRule>
    <cfRule type="expression" dxfId="29" priority="19">
      <formula>AND(OR(F3="N/A",F3="Partial"),G3="Comment is required")</formula>
    </cfRule>
  </conditionalFormatting>
  <conditionalFormatting sqref="G6:G7 I6:I7 K6:K7">
    <cfRule type="expression" dxfId="28" priority="16">
      <formula>NOT(G6="Comment is required")</formula>
    </cfRule>
    <cfRule type="expression" dxfId="27" priority="17">
      <formula>AND(OR(F6="N/A",F6="Partial"),G6="Comment is required")</formula>
    </cfRule>
  </conditionalFormatting>
  <conditionalFormatting sqref="K5 I5 G5">
    <cfRule type="expression" dxfId="26" priority="14">
      <formula>NOT(G5="Comment is required")</formula>
    </cfRule>
    <cfRule type="expression" dxfId="25" priority="15">
      <formula>AND(OR(F5="N/A",F5="Partial"),G5="Comment is required")</formula>
    </cfRule>
  </conditionalFormatting>
  <conditionalFormatting sqref="K5 I5 G5">
    <cfRule type="expression" dxfId="24" priority="13">
      <formula>F5="Yes"</formula>
    </cfRule>
  </conditionalFormatting>
  <conditionalFormatting sqref="G9:G11 I9:I11 K9:K11">
    <cfRule type="expression" dxfId="23" priority="11">
      <formula>NOT(G9="Comment is required")</formula>
    </cfRule>
    <cfRule type="expression" dxfId="22" priority="12">
      <formula>AND(OR(F9="N/A",F9="Partial"),G9="Comment is required")</formula>
    </cfRule>
  </conditionalFormatting>
  <conditionalFormatting sqref="K8 I8 G8">
    <cfRule type="expression" dxfId="21" priority="9">
      <formula>NOT(G8="Comment is required")</formula>
    </cfRule>
    <cfRule type="expression" dxfId="20" priority="10">
      <formula>AND(OR(F8="N/A",F8="Partial"),G8="Comment is required")</formula>
    </cfRule>
  </conditionalFormatting>
  <conditionalFormatting sqref="K8 I8 G8">
    <cfRule type="expression" dxfId="19" priority="8">
      <formula>F8="Yes"</formula>
    </cfRule>
  </conditionalFormatting>
  <conditionalFormatting sqref="G12:G13 I12:I13 K12:K13">
    <cfRule type="expression" dxfId="18" priority="6">
      <formula>NOT(G12="Comment is required")</formula>
    </cfRule>
    <cfRule type="expression" dxfId="17" priority="7">
      <formula>AND(OR(F12="N/A",F12="Partial"),G12="Comment is required")</formula>
    </cfRule>
  </conditionalFormatting>
  <conditionalFormatting sqref="G14 I14 K14">
    <cfRule type="expression" dxfId="16" priority="4">
      <formula>NOT(G14="Comment is required")</formula>
    </cfRule>
    <cfRule type="expression" dxfId="15" priority="5">
      <formula>AND(OR(F14="N/A",F14="Partial"),G14="Comment is required")</formula>
    </cfRule>
  </conditionalFormatting>
  <conditionalFormatting sqref="K15 I15 G15">
    <cfRule type="expression" dxfId="14" priority="2">
      <formula>NOT(G15="Comment is required")</formula>
    </cfRule>
    <cfRule type="expression" dxfId="13" priority="3">
      <formula>AND(OR(F15="N/A",F15="Partial"),G15="Comment is required")</formula>
    </cfRule>
  </conditionalFormatting>
  <conditionalFormatting sqref="K15 I15 G15">
    <cfRule type="expression" dxfId="12" priority="1">
      <formula>F15="Yes"</formula>
    </cfRule>
  </conditionalFormatting>
  <dataValidations count="2">
    <dataValidation type="list" showInputMessage="1" showErrorMessage="1" sqref="H3:H15 F3:F15 J3:J15" xr:uid="{00000000-0002-0000-1300-000000000000}">
      <formula1>"Yes, No, Partial, N/A"</formula1>
    </dataValidation>
    <dataValidation showInputMessage="1" showErrorMessage="1" sqref="I3:I15 G3:G15 K3:K15" xr:uid="{00000000-0002-0000-1300-000001000000}"/>
  </dataValidations>
  <hyperlinks>
    <hyperlink ref="B3" r:id="rId1" xr:uid="{00000000-0004-0000-1300-000000000000}"/>
    <hyperlink ref="B4" r:id="rId2" xr:uid="{00000000-0004-0000-1300-000001000000}"/>
    <hyperlink ref="B5:B6" r:id="rId3" display="SC-8" xr:uid="{00000000-0004-0000-1300-000002000000}"/>
    <hyperlink ref="B7" r:id="rId4" xr:uid="{00000000-0004-0000-1300-000003000000}"/>
    <hyperlink ref="B8" r:id="rId5" xr:uid="{00000000-0004-0000-1300-000004000000}"/>
    <hyperlink ref="B9:B11" r:id="rId6" display="SC-15" xr:uid="{00000000-0004-0000-1300-000005000000}"/>
    <hyperlink ref="B12" r:id="rId7" xr:uid="{00000000-0004-0000-1300-000006000000}"/>
    <hyperlink ref="B13" r:id="rId8" xr:uid="{00000000-0004-0000-1300-000007000000}"/>
    <hyperlink ref="B14" r:id="rId9" xr:uid="{00000000-0004-0000-1300-000008000000}"/>
    <hyperlink ref="B15" r:id="rId10" xr:uid="{00000000-0004-0000-1300-000009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6"/>
  <sheetViews>
    <sheetView showGridLines="0" zoomScaleNormal="100" workbookViewId="0">
      <pane xSplit="2" ySplit="2" topLeftCell="C3" activePane="bottomRight" state="frozen"/>
      <selection pane="topRight" activeCell="D19" sqref="D19:D22"/>
      <selection pane="bottomLeft" activeCell="D19" sqref="D19:D22"/>
      <selection pane="bottomRight" activeCell="H3" sqref="H3"/>
    </sheetView>
  </sheetViews>
  <sheetFormatPr defaultColWidth="9" defaultRowHeight="14.4" x14ac:dyDescent="0.3"/>
  <cols>
    <col min="1" max="1" width="17.5546875" customWidth="1"/>
    <col min="2" max="2" width="26.6640625" bestFit="1" customWidth="1"/>
    <col min="3" max="3" width="18.44140625" bestFit="1" customWidth="1"/>
    <col min="4" max="4" width="23" customWidth="1"/>
    <col min="5" max="5" width="51.554687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58" t="s">
        <v>741</v>
      </c>
      <c r="B2" s="358"/>
      <c r="C2" s="358"/>
      <c r="D2" s="358"/>
      <c r="E2" s="358"/>
      <c r="F2" s="358"/>
      <c r="G2" s="358"/>
      <c r="H2" s="358"/>
      <c r="I2" s="358"/>
      <c r="J2" s="358"/>
      <c r="K2" s="358"/>
    </row>
    <row r="3" spans="1:11" ht="34.200000000000003" x14ac:dyDescent="0.3">
      <c r="A3" s="148" t="s">
        <v>742</v>
      </c>
      <c r="B3" s="150" t="s">
        <v>743</v>
      </c>
      <c r="C3" s="151" t="s">
        <v>744</v>
      </c>
      <c r="D3" s="148" t="s">
        <v>745</v>
      </c>
      <c r="E3" s="151" t="s">
        <v>746</v>
      </c>
      <c r="F3" s="33" t="s">
        <v>30</v>
      </c>
      <c r="G3" s="180" t="s">
        <v>352</v>
      </c>
      <c r="H3" s="33"/>
      <c r="I3" s="180" t="s">
        <v>352</v>
      </c>
      <c r="J3" s="33"/>
      <c r="K3" s="180" t="s">
        <v>352</v>
      </c>
    </row>
    <row r="4" spans="1:11" ht="34.200000000000003" x14ac:dyDescent="0.3">
      <c r="A4" s="148" t="s">
        <v>747</v>
      </c>
      <c r="B4" s="268" t="s">
        <v>317</v>
      </c>
      <c r="C4" s="359"/>
      <c r="D4" s="360" t="s">
        <v>316</v>
      </c>
      <c r="E4" s="34" t="s">
        <v>748</v>
      </c>
      <c r="F4" s="33" t="s">
        <v>30</v>
      </c>
      <c r="G4" s="180" t="s">
        <v>1015</v>
      </c>
      <c r="H4" s="33"/>
      <c r="I4" s="180" t="s">
        <v>352</v>
      </c>
      <c r="J4" s="33"/>
      <c r="K4" s="180" t="s">
        <v>352</v>
      </c>
    </row>
    <row r="5" spans="1:11" ht="22.8" x14ac:dyDescent="0.3">
      <c r="A5" s="148" t="s">
        <v>749</v>
      </c>
      <c r="B5" s="268"/>
      <c r="C5" s="359"/>
      <c r="D5" s="360"/>
      <c r="E5" s="34" t="s">
        <v>750</v>
      </c>
      <c r="F5" s="33" t="s">
        <v>19</v>
      </c>
      <c r="G5" s="180" t="s">
        <v>352</v>
      </c>
      <c r="H5" s="33"/>
      <c r="I5" s="180" t="s">
        <v>352</v>
      </c>
      <c r="J5" s="33"/>
      <c r="K5" s="180" t="s">
        <v>352</v>
      </c>
    </row>
    <row r="6" spans="1:11" ht="79.8" x14ac:dyDescent="0.3">
      <c r="A6" s="148" t="s">
        <v>751</v>
      </c>
      <c r="B6" s="268"/>
      <c r="C6" s="359"/>
      <c r="D6" s="360"/>
      <c r="E6" s="34" t="s">
        <v>752</v>
      </c>
      <c r="F6" s="33" t="s">
        <v>19</v>
      </c>
      <c r="G6" s="180" t="s">
        <v>1016</v>
      </c>
      <c r="H6" s="33"/>
      <c r="I6" s="180" t="s">
        <v>352</v>
      </c>
      <c r="J6" s="33"/>
      <c r="K6" s="180" t="s">
        <v>352</v>
      </c>
    </row>
  </sheetData>
  <sheetProtection algorithmName="SHA-512" hashValue="DRYJNGG/wJB9qmo5j5fsn72oByoSq7VeyBq6gnIIogU4S0btrQ3bbwsBkOSxUDZ1NdXBl/aM6m2FWZQVbd1f+g==" saltValue="VGoj79ri4IRstTYVMghH8A==" spinCount="100000" sheet="1" selectLockedCells="1"/>
  <mergeCells count="4">
    <mergeCell ref="A2:K2"/>
    <mergeCell ref="B4:B6"/>
    <mergeCell ref="C4:C6"/>
    <mergeCell ref="D4:D6"/>
  </mergeCells>
  <conditionalFormatting sqref="G3:G6 I3:I6 K3:K6">
    <cfRule type="expression" dxfId="11" priority="1">
      <formula>NOT(G3="Comment is required")</formula>
    </cfRule>
    <cfRule type="expression" dxfId="10" priority="2">
      <formula>AND(OR(F3="N/A",F3="Partial"),G3="Comment is required")</formula>
    </cfRule>
  </conditionalFormatting>
  <dataValidations count="2">
    <dataValidation type="list" showInputMessage="1" showErrorMessage="1" sqref="H3:H6 F3:F6 J3:J6" xr:uid="{BBEB81C0-FB6C-48DA-96A4-BAC11ADFB8F6}">
      <formula1>"Yes, No, Partial, N/A"</formula1>
    </dataValidation>
    <dataValidation showInputMessage="1" showErrorMessage="1" sqref="I3:I6 G3:G6 K3:K6" xr:uid="{3E570BEE-5FA8-4D03-93CB-35E828F8E183}"/>
  </dataValidations>
  <hyperlinks>
    <hyperlink ref="B3" r:id="rId1" xr:uid="{00000000-0004-0000-1400-000000000000}"/>
    <hyperlink ref="B4:B6" r:id="rId2" display="SI-2" xr:uid="{00000000-0004-0000-14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128"/>
  <sheetViews>
    <sheetView topLeftCell="C1" zoomScaleNormal="100" workbookViewId="0">
      <pane ySplit="8" topLeftCell="A9" activePane="bottomLeft" state="frozen"/>
      <selection activeCell="H20" sqref="H20"/>
      <selection pane="bottomLeft" activeCell="M13" sqref="M13"/>
    </sheetView>
  </sheetViews>
  <sheetFormatPr defaultRowHeight="14.4" x14ac:dyDescent="0.3"/>
  <cols>
    <col min="1" max="1" width="4.44140625" bestFit="1" customWidth="1"/>
    <col min="2" max="2" width="8.88671875" bestFit="1" customWidth="1"/>
    <col min="3" max="3" width="7.44140625" bestFit="1" customWidth="1"/>
    <col min="4" max="4" width="18.109375" customWidth="1"/>
    <col min="5" max="5" width="12.5546875" customWidth="1"/>
    <col min="6" max="6" width="29.44140625" style="58" customWidth="1"/>
    <col min="7" max="7" width="86.5546875" style="136" customWidth="1"/>
    <col min="8" max="8" width="20.33203125" style="136" customWidth="1"/>
    <col min="9" max="9" width="9.5546875" bestFit="1" customWidth="1"/>
    <col min="10" max="10" width="13.6640625" bestFit="1" customWidth="1"/>
    <col min="11" max="11" width="11.88671875" bestFit="1" customWidth="1"/>
    <col min="12" max="12" width="14.44140625" bestFit="1" customWidth="1"/>
    <col min="13" max="13" width="14.44140625" customWidth="1"/>
    <col min="14" max="14" width="20.44140625" customWidth="1"/>
    <col min="15" max="15" width="10.109375" customWidth="1"/>
    <col min="16" max="16" width="18" customWidth="1"/>
    <col min="17" max="17" width="14" customWidth="1"/>
    <col min="18" max="18" width="9.6640625" customWidth="1"/>
    <col min="19" max="19" width="12.33203125" customWidth="1"/>
    <col min="20" max="20" width="22" customWidth="1"/>
  </cols>
  <sheetData>
    <row r="1" spans="1:20" ht="15" thickBot="1" x14ac:dyDescent="0.35">
      <c r="F1" s="370" t="s">
        <v>753</v>
      </c>
      <c r="G1" s="370"/>
      <c r="H1" s="370"/>
      <c r="I1" s="370"/>
      <c r="J1" s="370"/>
    </row>
    <row r="2" spans="1:20" ht="28.8" x14ac:dyDescent="0.3">
      <c r="F2" s="182" t="s">
        <v>754</v>
      </c>
      <c r="G2" s="183" t="s">
        <v>755</v>
      </c>
      <c r="H2" s="183" t="s">
        <v>756</v>
      </c>
      <c r="I2" s="182" t="s">
        <v>757</v>
      </c>
      <c r="J2" s="182" t="s">
        <v>758</v>
      </c>
    </row>
    <row r="3" spans="1:20" ht="158.4" x14ac:dyDescent="0.3">
      <c r="F3" s="184" t="str">
        <f>IF(Scope!B6="Yes",_xlfn.CONCAT("Service ")&amp;IF(Scope!B7="Yes",_xlfn.CONCAT("Product"),""),IF(Scope!B7="Yes",_xlfn.CONCAT("Product"),"Blank"))</f>
        <v>Product</v>
      </c>
      <c r="G3" s="185" t="e">
        <f>IF(Scope!#REF!="Yes","PHI","No PHI")</f>
        <v>#REF!</v>
      </c>
      <c r="H3" s="185" t="str">
        <f>IF(OR(Scope!B23="Yes",NOT(Scope!C23="")),"Workstation"&amp;_xlfn.CONCAT(" ,",Scope!C23),"")</f>
        <v>Workstation ,The PeriCALM application is installed on workstation at the bedside and nursing stations. Data is communicated between workstations and server. Not data is cached or saved on the workstation.</v>
      </c>
      <c r="I3" s="186" t="str">
        <f>IF(Scope!B40="Yes",_xlfn.CONCAT("SOC 1 Type 1 ")&amp;IF(Scope!B41="Yes",_xlfn.CONCAT("SOC 1 Type 2"),""),IF(Scope!B41="Yes",_xlfn.CONCAT("SOC 1 Type 2"),"No SOC 1"))</f>
        <v>No SOC 1</v>
      </c>
      <c r="J3" s="187" t="str">
        <f>IF(Scope!B10="Yes",_xlfn.CONCAT("Remote Access Client Network ")&amp;IF(Scope!B11="Yes",_xlfn.CONCAT("Onsite Network Access"),""),IF(Scope!B11="Yes",_xlfn.CONCAT("Onsite Network Access"),""))</f>
        <v>Remote Access Client Network Onsite Network Access</v>
      </c>
    </row>
    <row r="4" spans="1:20" ht="43.2" x14ac:dyDescent="0.3">
      <c r="F4" s="184" t="str">
        <f>IF(Scope!B6="Yes",Scope!C6,"")&amp; " "&amp;IF(Scope!B7="Yes",Scope!C7,"")</f>
        <v xml:space="preserve"> </v>
      </c>
      <c r="G4" s="185" t="str">
        <f>IF(Scope!B17="Yes","PII","No PII")</f>
        <v>PII</v>
      </c>
      <c r="H4" s="185" t="e">
        <f>IF(OR(Scope!B25="Yes",NOT(Scope!#REF!="")),"Mobile Device"&amp;_xlfn.CONCAT(" ,",Scope!#REF!),"")</f>
        <v>#REF!</v>
      </c>
      <c r="I4" s="186" t="str">
        <f>IF(Scope!B42="Yes",_xlfn.CONCAT("SOC 2 Type 1 ")&amp;IF(Scope!B43="Yes",_xlfn.CONCAT("SOC 2 Type 2"),""),IF(Scope!B43="Yes",_xlfn.CONCAT("SOC 2 Type 2"),"No SOC 2"))</f>
        <v>No SOC 2</v>
      </c>
      <c r="J4" s="187" t="str">
        <f>IF(Scope!B12="Yes",_xlfn.CONCAT("Access Client Infrastructure ")&amp;IF(Scope!B13="Yes",_xlfn.CONCAT("Access Application/Database"),""),IF(Scope!B13="Yes",_xlfn.CONCAT("Access Application/Database"),""))</f>
        <v>Access Application/Database</v>
      </c>
    </row>
    <row r="5" spans="1:20" ht="129.6" x14ac:dyDescent="0.3">
      <c r="F5" s="188"/>
      <c r="G5" s="185" t="str">
        <f>IF(Scope!B18="Yes","PCI","No PCI")</f>
        <v>No PCI</v>
      </c>
      <c r="H5" s="185" t="str">
        <f>IF(OR(Scope!B27="Yes",NOT(Scope!C27="")),"Medical Device"&amp;_xlfn.CONCAT(" ,",Scope!C27),"")</f>
        <v>Medical Device ,The system interfaces to fetal monitor to collect the fetal tracing, trasmit it to the main server which publishes it to all open client application instances on the network</v>
      </c>
      <c r="I5" s="188" t="str">
        <f>IF(Scope!B44="Yes",_xlfn.CONCAT("SOC 3 ")&amp;IF(Scope!B45="Yes",_xlfn.CONCAT("HITRUST"),""),IF(Scope!B45="Yes",_xlfn.CONCAT("HITRUST"),""))</f>
        <v/>
      </c>
      <c r="J5" s="187" t="str">
        <f>IF(Scope!B14="Yes",_xlfn.CONCAT("Receive Client Data ")&amp;IF(Scope!B15="Yes",_xlfn.CONCAT("No Access"),""),IF(Scope!B15="Yes",_xlfn.CONCAT("No Access"),""))</f>
        <v xml:space="preserve">Receive Client Data </v>
      </c>
    </row>
    <row r="6" spans="1:20" x14ac:dyDescent="0.3">
      <c r="F6" s="184"/>
      <c r="G6" s="185" t="str">
        <f>IF(Scope!B20="Yes",_xlfn.CONCAT("Employee Information ")&amp;IF(Scope!B21="Yes",_xlfn.CONCAT(" Proprietary Information")),IF(Scope!B21="Yes",_xlfn.CONCAT("Proprietary Information"),"No Employee or Proprietary Informaiton"))</f>
        <v>No Employee or Proprietary Informaiton</v>
      </c>
      <c r="H6" s="185" t="str">
        <f>IF(OR(Scope!B28="Yes",NOT(Scope!C28="")),"Other"&amp;_xlfn.CONCAT(" ,",Scope!C28),"")</f>
        <v/>
      </c>
      <c r="I6" s="188" t="str">
        <f>IF(Scope!B46="Yes",_xlfn.CONCAT("PCI DSS ")&amp;IF(Scope!B46="Yes",_xlfn.CONCAT("ISO 27001"),""),IF(Scope!B46="Yes",_xlfn.CONCAT("ISO 27001"),""))</f>
        <v/>
      </c>
      <c r="J6" s="188"/>
    </row>
    <row r="7" spans="1:20" x14ac:dyDescent="0.3">
      <c r="F7" s="184"/>
      <c r="G7" s="185"/>
      <c r="H7" s="185"/>
      <c r="I7" s="188" t="str">
        <f>IF(Scope!B48="Yes",_xlfn.CONCAT("FedRamp ")&amp;IF(Scope!B49="Yes",_xlfn.CONCAT("HIPAA"),""),IF(Scope!B47="Yes",_xlfn.CONCAT("HIPAA"),""))</f>
        <v/>
      </c>
      <c r="J7" s="188"/>
    </row>
    <row r="8" spans="1:20" x14ac:dyDescent="0.3">
      <c r="A8" s="52" t="s">
        <v>759</v>
      </c>
      <c r="B8" s="52" t="s">
        <v>760</v>
      </c>
      <c r="C8" s="52" t="s">
        <v>761</v>
      </c>
      <c r="D8" s="52" t="s">
        <v>762</v>
      </c>
      <c r="E8" s="52" t="s">
        <v>92</v>
      </c>
      <c r="F8" s="56" t="s">
        <v>93</v>
      </c>
      <c r="G8" s="130" t="s">
        <v>763</v>
      </c>
      <c r="H8" s="130" t="s">
        <v>764</v>
      </c>
      <c r="I8" s="52" t="s">
        <v>95</v>
      </c>
      <c r="J8" s="52" t="s">
        <v>765</v>
      </c>
      <c r="K8" s="52" t="s">
        <v>766</v>
      </c>
      <c r="L8" s="52" t="s">
        <v>767</v>
      </c>
      <c r="M8" s="52" t="s">
        <v>768</v>
      </c>
      <c r="N8" s="68" t="s">
        <v>769</v>
      </c>
      <c r="O8" s="68" t="s">
        <v>132</v>
      </c>
      <c r="P8" s="68" t="s">
        <v>133</v>
      </c>
      <c r="Q8" s="68" t="s">
        <v>770</v>
      </c>
      <c r="R8" s="68" t="s">
        <v>73</v>
      </c>
      <c r="S8" s="68" t="s">
        <v>771</v>
      </c>
      <c r="T8" s="68" t="s">
        <v>772</v>
      </c>
    </row>
    <row r="9" spans="1:20" x14ac:dyDescent="0.3">
      <c r="A9" s="181">
        <v>3</v>
      </c>
      <c r="C9">
        <f>IF($B9="",$A9,$B9)</f>
        <v>3</v>
      </c>
      <c r="D9" t="s">
        <v>773</v>
      </c>
      <c r="E9" s="51" t="s">
        <v>347</v>
      </c>
      <c r="F9" s="57" t="s">
        <v>350</v>
      </c>
      <c r="G9" s="131" t="s">
        <v>351</v>
      </c>
      <c r="H9" s="131" t="str">
        <f>'1. Access Controls'!$G3</f>
        <v>Comment is required</v>
      </c>
      <c r="I9" t="str">
        <f>'1. Access Controls'!$F3</f>
        <v>Yes</v>
      </c>
      <c r="J9" t="str">
        <f t="shared" ref="J9:J12" si="0">IF($I9="Yes","Adequate",IF($I9="No","Inadequate",IF($I9="Partial","Inadequate",IF($I9="N/A","Inadequate",IF(OR($I9="",$I9=0),"Blank","Error")))))</f>
        <v>Adequate</v>
      </c>
      <c r="K9" s="123" t="s">
        <v>75</v>
      </c>
      <c r="L9" t="str">
        <f t="shared" ref="L9:L33" si="1">IF($K9="No Override",$J9,$K9)</f>
        <v>Adequate</v>
      </c>
      <c r="N9" t="str">
        <f>IF($J9=$L9,"","***")</f>
        <v/>
      </c>
      <c r="O9" t="str">
        <f>IF(OR($I9="",$I9=0),"",$I9)</f>
        <v>Yes</v>
      </c>
      <c r="P9" t="str">
        <f>IF(OR($H9="",$H9=0),"",$H9)</f>
        <v>Comment is required</v>
      </c>
      <c r="Q9" t="str">
        <f>$L9</f>
        <v>Adequate</v>
      </c>
      <c r="R9" t="str">
        <f>$K9</f>
        <v>No Override</v>
      </c>
      <c r="S9">
        <f>$C9</f>
        <v>3</v>
      </c>
      <c r="T9" t="str">
        <f>IF($L9=$Q9,"","***")</f>
        <v/>
      </c>
    </row>
    <row r="10" spans="1:20" ht="193.8" x14ac:dyDescent="0.3">
      <c r="A10" s="181">
        <v>1</v>
      </c>
      <c r="C10">
        <f>IF($B10="",$A10,$B10)</f>
        <v>1</v>
      </c>
      <c r="D10" t="s">
        <v>773</v>
      </c>
      <c r="E10" s="51" t="s">
        <v>353</v>
      </c>
      <c r="F10" s="57" t="s">
        <v>356</v>
      </c>
      <c r="G10" s="131" t="s">
        <v>357</v>
      </c>
      <c r="H10" s="131" t="str">
        <f>'1. Access Controls'!$G4</f>
        <v>Access controlled is enforced by groups membership. An AD user must belong to an AD group that is identical by name to an internal PeriCALM group. An authenticated user that belong to such a group inherits its access rights. These rights are controlled by the customer application administrators where AD group membership is controlled by customer IT administrators.</v>
      </c>
      <c r="I10" t="str">
        <f>'1. Access Controls'!$F4</f>
        <v>Yes</v>
      </c>
      <c r="J10" t="str">
        <f t="shared" si="0"/>
        <v>Adequate</v>
      </c>
      <c r="K10" s="123" t="s">
        <v>75</v>
      </c>
      <c r="L10" t="str">
        <f t="shared" si="1"/>
        <v>Adequate</v>
      </c>
      <c r="N10" t="str">
        <f t="shared" ref="N10:N33" si="2">IF($J10=$L10,"","***")</f>
        <v/>
      </c>
      <c r="O10" t="str">
        <f t="shared" ref="O10:O33" si="3">IF(OR($I10="",$I10=0),"",$I10)</f>
        <v>Yes</v>
      </c>
      <c r="P10" t="str">
        <f t="shared" ref="P10:P33" si="4">IF(OR($H10="",$H10=0),"",$H10)</f>
        <v>Access controlled is enforced by groups membership. An AD user must belong to an AD group that is identical by name to an internal PeriCALM group. An authenticated user that belong to such a group inherits its access rights. These rights are controlled by the customer application administrators where AD group membership is controlled by customer IT administrators.</v>
      </c>
      <c r="Q10" t="str">
        <f t="shared" ref="Q10:Q33" si="5">$L10</f>
        <v>Adequate</v>
      </c>
      <c r="R10" t="str">
        <f t="shared" ref="R10:R33" si="6">$K10</f>
        <v>No Override</v>
      </c>
      <c r="S10">
        <f t="shared" ref="S10:S33" si="7">$C10</f>
        <v>1</v>
      </c>
      <c r="T10" t="str">
        <f t="shared" ref="T10:T33" si="8">IF($L10=$Q10,"","***")</f>
        <v/>
      </c>
    </row>
    <row r="11" spans="1:20" x14ac:dyDescent="0.3">
      <c r="A11" s="181">
        <v>3</v>
      </c>
      <c r="C11">
        <f>IF($B11="",$A11,$B11)</f>
        <v>3</v>
      </c>
      <c r="D11" t="s">
        <v>773</v>
      </c>
      <c r="E11" s="51" t="s">
        <v>358</v>
      </c>
      <c r="F11" s="57" t="s">
        <v>356</v>
      </c>
      <c r="G11" s="131" t="s">
        <v>359</v>
      </c>
      <c r="H11" s="131" t="str">
        <f>'1. Access Controls'!$G5</f>
        <v>Comment is required</v>
      </c>
      <c r="I11" t="str">
        <f>'1. Access Controls'!$F5</f>
        <v>Yes</v>
      </c>
      <c r="J11" t="str">
        <f t="shared" si="0"/>
        <v>Adequate</v>
      </c>
      <c r="K11" s="123" t="s">
        <v>75</v>
      </c>
      <c r="L11" t="str">
        <f t="shared" si="1"/>
        <v>Adequate</v>
      </c>
      <c r="N11" t="str">
        <f t="shared" si="2"/>
        <v/>
      </c>
      <c r="O11" t="str">
        <f t="shared" si="3"/>
        <v>Yes</v>
      </c>
      <c r="P11" t="str">
        <f t="shared" si="4"/>
        <v>Comment is required</v>
      </c>
      <c r="Q11" t="str">
        <f t="shared" si="5"/>
        <v>Adequate</v>
      </c>
      <c r="R11" t="str">
        <f t="shared" si="6"/>
        <v>No Override</v>
      </c>
      <c r="S11">
        <f t="shared" si="7"/>
        <v>3</v>
      </c>
      <c r="T11" t="str">
        <f t="shared" si="8"/>
        <v/>
      </c>
    </row>
    <row r="12" spans="1:20" x14ac:dyDescent="0.3">
      <c r="A12" s="181">
        <v>4</v>
      </c>
      <c r="C12">
        <f>IF($B12="",$A12,$B12)</f>
        <v>4</v>
      </c>
      <c r="D12" t="s">
        <v>773</v>
      </c>
      <c r="E12" s="51" t="s">
        <v>360</v>
      </c>
      <c r="F12" s="57" t="s">
        <v>356</v>
      </c>
      <c r="G12" s="131" t="s">
        <v>361</v>
      </c>
      <c r="H12" s="131" t="str">
        <f>'1. Access Controls'!$G6</f>
        <v>Comment is required</v>
      </c>
      <c r="I12" t="str">
        <f>'1. Access Controls'!$F6</f>
        <v>Yes</v>
      </c>
      <c r="J12" t="str">
        <f t="shared" si="0"/>
        <v>Adequate</v>
      </c>
      <c r="K12" s="123" t="s">
        <v>75</v>
      </c>
      <c r="L12" t="str">
        <f t="shared" si="1"/>
        <v>Adequate</v>
      </c>
      <c r="N12" t="str">
        <f t="shared" si="2"/>
        <v/>
      </c>
      <c r="O12" t="str">
        <f t="shared" si="3"/>
        <v>Yes</v>
      </c>
      <c r="P12" t="str">
        <f t="shared" si="4"/>
        <v>Comment is required</v>
      </c>
      <c r="Q12" t="str">
        <f t="shared" si="5"/>
        <v>Adequate</v>
      </c>
      <c r="R12" t="str">
        <f t="shared" si="6"/>
        <v>No Override</v>
      </c>
      <c r="S12">
        <f t="shared" si="7"/>
        <v>4</v>
      </c>
      <c r="T12" t="str">
        <f t="shared" si="8"/>
        <v/>
      </c>
    </row>
    <row r="13" spans="1:20" ht="22.8" x14ac:dyDescent="0.3">
      <c r="A13" s="181">
        <v>2</v>
      </c>
      <c r="C13">
        <f t="shared" ref="C13:C33" si="9">IF($B13="",$A13,$B13)</f>
        <v>2</v>
      </c>
      <c r="D13" t="s">
        <v>773</v>
      </c>
      <c r="E13" s="51" t="s">
        <v>362</v>
      </c>
      <c r="F13" s="57" t="s">
        <v>364</v>
      </c>
      <c r="G13" s="131" t="s">
        <v>774</v>
      </c>
      <c r="H13" s="131" t="str">
        <f>'1. Access Controls'!$G7</f>
        <v>Via AD authentication controls.</v>
      </c>
      <c r="I13" t="str">
        <f>'1. Access Controls'!$F7</f>
        <v>Yes</v>
      </c>
      <c r="J13" t="str">
        <f t="shared" ref="J13:J19" si="10">IF($I13="Yes","Adequate",IF($I13="No","Inadequate",IF($I13="Partial","Inadequate",IF($I13="N/A","Inadequate",IF(OR($I13="",$I13=0),"Blank","Error")))))</f>
        <v>Adequate</v>
      </c>
      <c r="K13" s="123" t="s">
        <v>75</v>
      </c>
      <c r="L13" t="str">
        <f t="shared" si="1"/>
        <v>Adequate</v>
      </c>
      <c r="N13" t="str">
        <f t="shared" si="2"/>
        <v/>
      </c>
      <c r="O13" t="str">
        <f t="shared" si="3"/>
        <v>Yes</v>
      </c>
      <c r="P13" t="str">
        <f t="shared" si="4"/>
        <v>Via AD authentication controls.</v>
      </c>
      <c r="Q13" t="str">
        <f t="shared" si="5"/>
        <v>Adequate</v>
      </c>
      <c r="R13" t="str">
        <f t="shared" si="6"/>
        <v>No Override</v>
      </c>
      <c r="S13">
        <f t="shared" si="7"/>
        <v>2</v>
      </c>
      <c r="T13" t="str">
        <f t="shared" si="8"/>
        <v/>
      </c>
    </row>
    <row r="14" spans="1:20" x14ac:dyDescent="0.3">
      <c r="A14" s="181">
        <v>4</v>
      </c>
      <c r="C14">
        <f t="shared" si="9"/>
        <v>4</v>
      </c>
      <c r="D14" t="s">
        <v>773</v>
      </c>
      <c r="E14" s="51" t="s">
        <v>366</v>
      </c>
      <c r="F14" s="57" t="s">
        <v>368</v>
      </c>
      <c r="G14" s="131" t="s">
        <v>369</v>
      </c>
      <c r="H14" s="131" t="str">
        <f>'1. Access Controls'!$G8</f>
        <v>Comment is required</v>
      </c>
      <c r="I14" t="str">
        <f>'1. Access Controls'!$F8</f>
        <v>No</v>
      </c>
      <c r="J14" t="str">
        <f t="shared" si="10"/>
        <v>Inadequate</v>
      </c>
      <c r="K14" s="123" t="s">
        <v>75</v>
      </c>
      <c r="L14" t="str">
        <f t="shared" si="1"/>
        <v>Inadequate</v>
      </c>
      <c r="N14" t="str">
        <f t="shared" si="2"/>
        <v/>
      </c>
      <c r="O14" t="str">
        <f t="shared" si="3"/>
        <v>No</v>
      </c>
      <c r="P14" t="str">
        <f t="shared" si="4"/>
        <v>Comment is required</v>
      </c>
      <c r="Q14" t="str">
        <f t="shared" si="5"/>
        <v>Inadequate</v>
      </c>
      <c r="R14" t="str">
        <f t="shared" si="6"/>
        <v>No Override</v>
      </c>
      <c r="S14">
        <f t="shared" si="7"/>
        <v>4</v>
      </c>
      <c r="T14" t="str">
        <f t="shared" si="8"/>
        <v/>
      </c>
    </row>
    <row r="15" spans="1:20" x14ac:dyDescent="0.3">
      <c r="A15" s="181">
        <v>4</v>
      </c>
      <c r="C15">
        <f t="shared" si="9"/>
        <v>4</v>
      </c>
      <c r="D15" t="s">
        <v>773</v>
      </c>
      <c r="E15" s="51" t="s">
        <v>370</v>
      </c>
      <c r="F15" s="57" t="s">
        <v>372</v>
      </c>
      <c r="G15" s="131" t="s">
        <v>373</v>
      </c>
      <c r="H15" s="131" t="str">
        <f>'1. Access Controls'!$G9</f>
        <v>Comment is required</v>
      </c>
      <c r="I15" t="str">
        <f>'1. Access Controls'!$F9</f>
        <v>No</v>
      </c>
      <c r="J15" t="str">
        <f t="shared" si="10"/>
        <v>Inadequate</v>
      </c>
      <c r="K15" s="123" t="s">
        <v>75</v>
      </c>
      <c r="L15" t="str">
        <f t="shared" si="1"/>
        <v>Inadequate</v>
      </c>
      <c r="N15" t="str">
        <f t="shared" si="2"/>
        <v/>
      </c>
      <c r="O15" t="str">
        <f t="shared" si="3"/>
        <v>No</v>
      </c>
      <c r="P15" t="str">
        <f t="shared" si="4"/>
        <v>Comment is required</v>
      </c>
      <c r="Q15" t="str">
        <f t="shared" si="5"/>
        <v>Inadequate</v>
      </c>
      <c r="R15" t="str">
        <f t="shared" si="6"/>
        <v>No Override</v>
      </c>
      <c r="S15">
        <f t="shared" si="7"/>
        <v>4</v>
      </c>
      <c r="T15" t="str">
        <f t="shared" si="8"/>
        <v/>
      </c>
    </row>
    <row r="16" spans="1:20" x14ac:dyDescent="0.3">
      <c r="A16" s="181">
        <v>4</v>
      </c>
      <c r="C16">
        <f t="shared" si="9"/>
        <v>4</v>
      </c>
      <c r="D16" t="s">
        <v>773</v>
      </c>
      <c r="E16" s="51" t="s">
        <v>374</v>
      </c>
      <c r="F16" s="57" t="s">
        <v>376</v>
      </c>
      <c r="G16" s="131" t="s">
        <v>377</v>
      </c>
      <c r="H16" s="131" t="str">
        <f>'1. Access Controls'!$G10</f>
        <v>Comment is required</v>
      </c>
      <c r="I16" t="str">
        <f>'1. Access Controls'!$F10</f>
        <v>No</v>
      </c>
      <c r="J16" t="str">
        <f t="shared" si="10"/>
        <v>Inadequate</v>
      </c>
      <c r="K16" s="123" t="s">
        <v>75</v>
      </c>
      <c r="L16" t="str">
        <f t="shared" si="1"/>
        <v>Inadequate</v>
      </c>
      <c r="N16" t="str">
        <f t="shared" si="2"/>
        <v/>
      </c>
      <c r="O16" t="str">
        <f t="shared" si="3"/>
        <v>No</v>
      </c>
      <c r="P16" t="str">
        <f t="shared" si="4"/>
        <v>Comment is required</v>
      </c>
      <c r="Q16" t="str">
        <f t="shared" si="5"/>
        <v>Inadequate</v>
      </c>
      <c r="R16" t="str">
        <f t="shared" si="6"/>
        <v>No Override</v>
      </c>
      <c r="S16">
        <f t="shared" si="7"/>
        <v>4</v>
      </c>
      <c r="T16" t="str">
        <f t="shared" si="8"/>
        <v/>
      </c>
    </row>
    <row r="17" spans="1:20" x14ac:dyDescent="0.3">
      <c r="A17" s="181">
        <v>2</v>
      </c>
      <c r="C17">
        <f t="shared" si="9"/>
        <v>2</v>
      </c>
      <c r="D17" t="s">
        <v>773</v>
      </c>
      <c r="E17" s="51" t="s">
        <v>378</v>
      </c>
      <c r="F17" s="57" t="s">
        <v>381</v>
      </c>
      <c r="G17" s="131" t="s">
        <v>382</v>
      </c>
      <c r="H17" s="131" t="str">
        <f>'1. Access Controls'!$G11</f>
        <v>Comment is required</v>
      </c>
      <c r="I17" t="str">
        <f>'1. Access Controls'!$F11</f>
        <v>Yes</v>
      </c>
      <c r="J17" t="str">
        <f t="shared" si="10"/>
        <v>Adequate</v>
      </c>
      <c r="K17" s="123" t="s">
        <v>75</v>
      </c>
      <c r="L17" t="str">
        <f t="shared" si="1"/>
        <v>Adequate</v>
      </c>
      <c r="N17" t="str">
        <f t="shared" si="2"/>
        <v/>
      </c>
      <c r="O17" t="str">
        <f t="shared" si="3"/>
        <v>Yes</v>
      </c>
      <c r="P17" t="str">
        <f t="shared" si="4"/>
        <v>Comment is required</v>
      </c>
      <c r="Q17" t="str">
        <f t="shared" si="5"/>
        <v>Adequate</v>
      </c>
      <c r="R17" t="str">
        <f t="shared" si="6"/>
        <v>No Override</v>
      </c>
      <c r="S17">
        <f t="shared" si="7"/>
        <v>2</v>
      </c>
      <c r="T17" t="str">
        <f t="shared" si="8"/>
        <v/>
      </c>
    </row>
    <row r="18" spans="1:20" x14ac:dyDescent="0.3">
      <c r="A18" s="181">
        <v>2</v>
      </c>
      <c r="C18">
        <f t="shared" si="9"/>
        <v>2</v>
      </c>
      <c r="D18" t="s">
        <v>773</v>
      </c>
      <c r="E18" s="51" t="s">
        <v>383</v>
      </c>
      <c r="F18" s="57" t="s">
        <v>385</v>
      </c>
      <c r="G18" s="131" t="s">
        <v>386</v>
      </c>
      <c r="H18" s="131" t="str">
        <f>'1. Access Controls'!$G12</f>
        <v>Comment is required</v>
      </c>
      <c r="I18" t="str">
        <f>'1. Access Controls'!$F12</f>
        <v>No</v>
      </c>
      <c r="J18" t="str">
        <f t="shared" si="10"/>
        <v>Inadequate</v>
      </c>
      <c r="K18" s="123" t="s">
        <v>75</v>
      </c>
      <c r="L18" t="str">
        <f t="shared" si="1"/>
        <v>Inadequate</v>
      </c>
      <c r="N18" t="str">
        <f t="shared" si="2"/>
        <v/>
      </c>
      <c r="O18" t="str">
        <f t="shared" si="3"/>
        <v>No</v>
      </c>
      <c r="P18" t="str">
        <f t="shared" si="4"/>
        <v>Comment is required</v>
      </c>
      <c r="Q18" t="str">
        <f t="shared" si="5"/>
        <v>Inadequate</v>
      </c>
      <c r="R18" t="str">
        <f t="shared" si="6"/>
        <v>No Override</v>
      </c>
      <c r="S18">
        <f t="shared" si="7"/>
        <v>2</v>
      </c>
      <c r="T18" t="str">
        <f t="shared" si="8"/>
        <v/>
      </c>
    </row>
    <row r="19" spans="1:20" x14ac:dyDescent="0.3">
      <c r="A19" s="181">
        <v>2</v>
      </c>
      <c r="C19">
        <f t="shared" si="9"/>
        <v>2</v>
      </c>
      <c r="D19" t="s">
        <v>773</v>
      </c>
      <c r="E19" s="51" t="s">
        <v>387</v>
      </c>
      <c r="F19" s="57" t="s">
        <v>389</v>
      </c>
      <c r="G19" s="131" t="s">
        <v>390</v>
      </c>
      <c r="H19" s="131" t="str">
        <f>'1. Access Controls'!$G13</f>
        <v>Comment is required</v>
      </c>
      <c r="I19" t="str">
        <f>'1. Access Controls'!$F13</f>
        <v>Yes</v>
      </c>
      <c r="J19" t="str">
        <f t="shared" si="10"/>
        <v>Adequate</v>
      </c>
      <c r="K19" s="123" t="s">
        <v>75</v>
      </c>
      <c r="L19" t="str">
        <f t="shared" si="1"/>
        <v>Adequate</v>
      </c>
      <c r="N19" t="str">
        <f t="shared" si="2"/>
        <v/>
      </c>
      <c r="O19" t="str">
        <f t="shared" si="3"/>
        <v>Yes</v>
      </c>
      <c r="P19" t="str">
        <f t="shared" si="4"/>
        <v>Comment is required</v>
      </c>
      <c r="Q19" t="str">
        <f t="shared" si="5"/>
        <v>Adequate</v>
      </c>
      <c r="R19" t="str">
        <f t="shared" si="6"/>
        <v>No Override</v>
      </c>
      <c r="S19">
        <f t="shared" si="7"/>
        <v>2</v>
      </c>
      <c r="T19" t="str">
        <f t="shared" si="8"/>
        <v/>
      </c>
    </row>
    <row r="20" spans="1:20" ht="22.8" x14ac:dyDescent="0.3">
      <c r="A20" s="181">
        <v>2</v>
      </c>
      <c r="C20">
        <f t="shared" si="9"/>
        <v>2</v>
      </c>
      <c r="D20" t="s">
        <v>391</v>
      </c>
      <c r="E20" s="51" t="s">
        <v>392</v>
      </c>
      <c r="F20" s="57" t="s">
        <v>395</v>
      </c>
      <c r="G20" s="131" t="s">
        <v>396</v>
      </c>
      <c r="H20" s="131" t="str">
        <f>'2. Awareness and Training'!$G3</f>
        <v>Comment is required</v>
      </c>
      <c r="I20" t="str">
        <f>'2. Awareness and Training'!$F3</f>
        <v>Yes</v>
      </c>
      <c r="J20" t="str">
        <f>IF($I20="Yes","Adequate",IF($I20="No","Inadequate",IF($I20="Partial","Inadequate",IF($I20="N/A","Inadequate",IF(OR($I20="",$I20=0),"Blank","Error")))))</f>
        <v>Adequate</v>
      </c>
      <c r="K20" s="123" t="s">
        <v>75</v>
      </c>
      <c r="L20" t="str">
        <f t="shared" si="1"/>
        <v>Adequate</v>
      </c>
      <c r="N20" t="str">
        <f t="shared" si="2"/>
        <v/>
      </c>
      <c r="O20" t="str">
        <f t="shared" si="3"/>
        <v>Yes</v>
      </c>
      <c r="P20" t="str">
        <f t="shared" si="4"/>
        <v>Comment is required</v>
      </c>
      <c r="Q20" t="str">
        <f t="shared" si="5"/>
        <v>Adequate</v>
      </c>
      <c r="R20" t="str">
        <f t="shared" si="6"/>
        <v>No Override</v>
      </c>
      <c r="S20">
        <f t="shared" si="7"/>
        <v>2</v>
      </c>
      <c r="T20" t="str">
        <f t="shared" si="8"/>
        <v/>
      </c>
    </row>
    <row r="21" spans="1:20" x14ac:dyDescent="0.3">
      <c r="A21" s="181">
        <v>2</v>
      </c>
      <c r="C21">
        <f t="shared" si="9"/>
        <v>2</v>
      </c>
      <c r="D21" t="s">
        <v>391</v>
      </c>
      <c r="E21" s="51" t="s">
        <v>397</v>
      </c>
      <c r="F21" s="59" t="s">
        <v>400</v>
      </c>
      <c r="G21" s="131" t="s">
        <v>401</v>
      </c>
      <c r="H21" s="131" t="str">
        <f>'2. Awareness and Training'!$G4</f>
        <v>Comment is required</v>
      </c>
      <c r="I21" t="str">
        <f>'2. Awareness and Training'!$F4</f>
        <v>Yes</v>
      </c>
      <c r="J21" t="str">
        <f>IF($I21="Yes","Adequate",IF($I21="No","Inadequate",IF($I21="Partial","Inadequate",IF($I21="N/A","Inadequate",IF(OR($I21="",$I21=0),"Blank","Error")))))</f>
        <v>Adequate</v>
      </c>
      <c r="K21" s="123" t="s">
        <v>75</v>
      </c>
      <c r="L21" t="str">
        <f t="shared" si="1"/>
        <v>Adequate</v>
      </c>
      <c r="N21" t="str">
        <f t="shared" si="2"/>
        <v/>
      </c>
      <c r="O21" t="str">
        <f t="shared" si="3"/>
        <v>Yes</v>
      </c>
      <c r="P21" t="str">
        <f t="shared" si="4"/>
        <v>Comment is required</v>
      </c>
      <c r="Q21" t="str">
        <f t="shared" si="5"/>
        <v>Adequate</v>
      </c>
      <c r="R21" t="str">
        <f t="shared" si="6"/>
        <v>No Override</v>
      </c>
      <c r="S21">
        <f t="shared" si="7"/>
        <v>2</v>
      </c>
      <c r="T21" t="str">
        <f t="shared" si="8"/>
        <v/>
      </c>
    </row>
    <row r="22" spans="1:20" ht="57" x14ac:dyDescent="0.3">
      <c r="A22" s="181">
        <v>2</v>
      </c>
      <c r="C22">
        <f t="shared" si="9"/>
        <v>2</v>
      </c>
      <c r="D22" t="s">
        <v>391</v>
      </c>
      <c r="E22" s="51" t="s">
        <v>402</v>
      </c>
      <c r="F22" s="59" t="s">
        <v>400</v>
      </c>
      <c r="G22" s="131" t="s">
        <v>403</v>
      </c>
      <c r="H22" s="131" t="str">
        <f>'2. Awareness and Training'!$G5</f>
        <v>Customer responsibility to train their internal administrators/super-users to periodically train end-users</v>
      </c>
      <c r="I22" t="str">
        <f>'2. Awareness and Training'!$F5</f>
        <v>Yes</v>
      </c>
      <c r="J22" t="str">
        <f>IF($I22="Yes","Adequate",IF($I22="No","Inadequate",IF($I22="Partial","Inadequate",IF($I22="N/A","Inadequate",IF(OR($I22="",$I22=0),"Blank","Error")))))</f>
        <v>Adequate</v>
      </c>
      <c r="K22" s="123" t="s">
        <v>75</v>
      </c>
      <c r="L22" t="str">
        <f t="shared" si="1"/>
        <v>Adequate</v>
      </c>
      <c r="N22" t="str">
        <f t="shared" si="2"/>
        <v/>
      </c>
      <c r="O22" t="str">
        <f t="shared" si="3"/>
        <v>Yes</v>
      </c>
      <c r="P22" t="str">
        <f t="shared" si="4"/>
        <v>Customer responsibility to train their internal administrators/super-users to periodically train end-users</v>
      </c>
      <c r="Q22" t="str">
        <f t="shared" si="5"/>
        <v>Adequate</v>
      </c>
      <c r="R22" t="str">
        <f t="shared" si="6"/>
        <v>No Override</v>
      </c>
      <c r="S22">
        <f t="shared" si="7"/>
        <v>2</v>
      </c>
      <c r="T22" t="str">
        <f t="shared" si="8"/>
        <v/>
      </c>
    </row>
    <row r="23" spans="1:20" ht="34.200000000000003" x14ac:dyDescent="0.3">
      <c r="A23" s="181">
        <v>2</v>
      </c>
      <c r="C23">
        <f t="shared" si="9"/>
        <v>2</v>
      </c>
      <c r="D23" t="s">
        <v>391</v>
      </c>
      <c r="E23" s="51" t="s">
        <v>404</v>
      </c>
      <c r="F23" s="59" t="s">
        <v>406</v>
      </c>
      <c r="G23" s="132" t="s">
        <v>407</v>
      </c>
      <c r="H23" s="131" t="str">
        <f>'2. Awareness and Training'!$G6</f>
        <v>All security related topics are cover during initial training and user guides</v>
      </c>
      <c r="I23" t="str">
        <f>'2. Awareness and Training'!$F6</f>
        <v>No</v>
      </c>
      <c r="J23" t="str">
        <f t="shared" ref="J23:J29" si="11">IF($I23="Yes","Adequate",IF($I23="No","Inadequate",IF($I23="Partial","Inadequate",IF($I23="N/A","Inadequate",IF(OR($I23="",$I23=0),"Blank","Error")))))</f>
        <v>Inadequate</v>
      </c>
      <c r="K23" s="123" t="s">
        <v>75</v>
      </c>
      <c r="L23" t="str">
        <f t="shared" si="1"/>
        <v>Inadequate</v>
      </c>
      <c r="N23" t="str">
        <f t="shared" si="2"/>
        <v/>
      </c>
      <c r="O23" t="str">
        <f t="shared" si="3"/>
        <v>No</v>
      </c>
      <c r="P23" t="str">
        <f t="shared" si="4"/>
        <v>All security related topics are cover during initial training and user guides</v>
      </c>
      <c r="Q23" t="str">
        <f t="shared" si="5"/>
        <v>Inadequate</v>
      </c>
      <c r="R23" t="str">
        <f t="shared" si="6"/>
        <v>No Override</v>
      </c>
      <c r="S23">
        <f t="shared" si="7"/>
        <v>2</v>
      </c>
      <c r="T23" t="str">
        <f t="shared" si="8"/>
        <v/>
      </c>
    </row>
    <row r="24" spans="1:20" x14ac:dyDescent="0.3">
      <c r="A24" s="181">
        <v>2</v>
      </c>
      <c r="C24">
        <f t="shared" si="9"/>
        <v>2</v>
      </c>
      <c r="D24" t="s">
        <v>391</v>
      </c>
      <c r="E24" s="51" t="s">
        <v>408</v>
      </c>
      <c r="F24" s="59" t="s">
        <v>410</v>
      </c>
      <c r="G24" s="132" t="s">
        <v>411</v>
      </c>
      <c r="H24" s="131" t="str">
        <f>'2. Awareness and Training'!$G7</f>
        <v>Comment is required</v>
      </c>
      <c r="I24" t="str">
        <f>'2. Awareness and Training'!$F7</f>
        <v>No</v>
      </c>
      <c r="J24" t="str">
        <f t="shared" si="11"/>
        <v>Inadequate</v>
      </c>
      <c r="K24" s="123" t="s">
        <v>75</v>
      </c>
      <c r="L24" t="str">
        <f t="shared" si="1"/>
        <v>Inadequate</v>
      </c>
      <c r="N24" t="str">
        <f t="shared" si="2"/>
        <v/>
      </c>
      <c r="O24" t="str">
        <f t="shared" si="3"/>
        <v>No</v>
      </c>
      <c r="P24" t="str">
        <f t="shared" si="4"/>
        <v>Comment is required</v>
      </c>
      <c r="Q24" t="str">
        <f t="shared" si="5"/>
        <v>Inadequate</v>
      </c>
      <c r="R24" t="str">
        <f t="shared" si="6"/>
        <v>No Override</v>
      </c>
      <c r="S24">
        <f t="shared" si="7"/>
        <v>2</v>
      </c>
      <c r="T24" t="str">
        <f t="shared" si="8"/>
        <v/>
      </c>
    </row>
    <row r="25" spans="1:20" ht="114" x14ac:dyDescent="0.3">
      <c r="A25" s="181">
        <v>2</v>
      </c>
      <c r="C25">
        <f t="shared" si="9"/>
        <v>2</v>
      </c>
      <c r="D25" t="s">
        <v>412</v>
      </c>
      <c r="E25" s="51" t="s">
        <v>413</v>
      </c>
      <c r="F25" s="59" t="s">
        <v>416</v>
      </c>
      <c r="G25" s="133" t="s">
        <v>417</v>
      </c>
      <c r="H25" s="131" t="str">
        <f>'3. Audit and Accountability'!$G3</f>
        <v>* logon/logoff
* Access from station (hostname)
* Screens access by user
* All data changes (old values, new values, user, dataTime)
All the above include username and dataTime</v>
      </c>
      <c r="I25" t="str">
        <f>'3. Audit and Accountability'!$F3</f>
        <v>Yes</v>
      </c>
      <c r="J25" t="str">
        <f t="shared" si="11"/>
        <v>Adequate</v>
      </c>
      <c r="K25" s="123" t="s">
        <v>75</v>
      </c>
      <c r="L25" t="str">
        <f t="shared" si="1"/>
        <v>Adequate</v>
      </c>
      <c r="N25" t="str">
        <f t="shared" si="2"/>
        <v/>
      </c>
      <c r="O25" t="str">
        <f t="shared" si="3"/>
        <v>Yes</v>
      </c>
      <c r="P25" t="str">
        <f t="shared" si="4"/>
        <v>* logon/logoff
* Access from station (hostname)
* Screens access by user
* All data changes (old values, new values, user, dataTime)
All the above include username and dataTime</v>
      </c>
      <c r="Q25" t="str">
        <f t="shared" si="5"/>
        <v>Adequate</v>
      </c>
      <c r="R25" t="str">
        <f t="shared" si="6"/>
        <v>No Override</v>
      </c>
      <c r="S25">
        <f t="shared" si="7"/>
        <v>2</v>
      </c>
      <c r="T25" t="str">
        <f t="shared" si="8"/>
        <v/>
      </c>
    </row>
    <row r="26" spans="1:20" x14ac:dyDescent="0.3">
      <c r="A26" s="181">
        <v>2</v>
      </c>
      <c r="C26">
        <f t="shared" si="9"/>
        <v>2</v>
      </c>
      <c r="D26" t="s">
        <v>412</v>
      </c>
      <c r="E26" s="51" t="s">
        <v>418</v>
      </c>
      <c r="F26" s="59" t="s">
        <v>416</v>
      </c>
      <c r="G26" s="133" t="s">
        <v>419</v>
      </c>
      <c r="H26" s="131" t="str">
        <f>'3. Audit and Accountability'!$G4</f>
        <v>Comment is required</v>
      </c>
      <c r="I26" t="str">
        <f>'3. Audit and Accountability'!$F4</f>
        <v>Yes</v>
      </c>
      <c r="J26" t="str">
        <f t="shared" si="11"/>
        <v>Adequate</v>
      </c>
      <c r="K26" s="123" t="s">
        <v>75</v>
      </c>
      <c r="L26" t="str">
        <f t="shared" si="1"/>
        <v>Adequate</v>
      </c>
      <c r="N26" t="str">
        <f t="shared" si="2"/>
        <v/>
      </c>
      <c r="O26" t="str">
        <f t="shared" si="3"/>
        <v>Yes</v>
      </c>
      <c r="P26" t="str">
        <f t="shared" si="4"/>
        <v>Comment is required</v>
      </c>
      <c r="Q26" t="str">
        <f t="shared" si="5"/>
        <v>Adequate</v>
      </c>
      <c r="R26" t="str">
        <f t="shared" si="6"/>
        <v>No Override</v>
      </c>
      <c r="S26">
        <f t="shared" si="7"/>
        <v>2</v>
      </c>
      <c r="T26" t="str">
        <f t="shared" si="8"/>
        <v/>
      </c>
    </row>
    <row r="27" spans="1:20" ht="34.200000000000003" x14ac:dyDescent="0.3">
      <c r="A27" s="181">
        <v>2</v>
      </c>
      <c r="C27">
        <f t="shared" si="9"/>
        <v>2</v>
      </c>
      <c r="D27" t="s">
        <v>412</v>
      </c>
      <c r="E27" s="51" t="s">
        <v>420</v>
      </c>
      <c r="F27" s="59" t="s">
        <v>423</v>
      </c>
      <c r="G27" s="133" t="s">
        <v>424</v>
      </c>
      <c r="H27" s="131" t="str">
        <f>'3. Audit and Accountability'!$G5</f>
        <v>Comment is required</v>
      </c>
      <c r="I27" t="str">
        <f>'3. Audit and Accountability'!$F5</f>
        <v>Yes</v>
      </c>
      <c r="J27" t="str">
        <f t="shared" si="11"/>
        <v>Adequate</v>
      </c>
      <c r="K27" s="123" t="s">
        <v>75</v>
      </c>
      <c r="L27" t="str">
        <f t="shared" si="1"/>
        <v>Adequate</v>
      </c>
      <c r="N27" t="str">
        <f t="shared" si="2"/>
        <v/>
      </c>
      <c r="O27" t="str">
        <f t="shared" si="3"/>
        <v>Yes</v>
      </c>
      <c r="P27" t="str">
        <f t="shared" si="4"/>
        <v>Comment is required</v>
      </c>
      <c r="Q27" t="str">
        <f t="shared" si="5"/>
        <v>Adequate</v>
      </c>
      <c r="R27" t="str">
        <f t="shared" si="6"/>
        <v>No Override</v>
      </c>
      <c r="S27">
        <f t="shared" si="7"/>
        <v>2</v>
      </c>
      <c r="T27" t="str">
        <f t="shared" si="8"/>
        <v/>
      </c>
    </row>
    <row r="28" spans="1:20" x14ac:dyDescent="0.3">
      <c r="A28" s="181">
        <v>3</v>
      </c>
      <c r="C28">
        <f t="shared" si="9"/>
        <v>3</v>
      </c>
      <c r="D28" t="s">
        <v>412</v>
      </c>
      <c r="E28" s="51" t="s">
        <v>425</v>
      </c>
      <c r="F28" s="59" t="s">
        <v>427</v>
      </c>
      <c r="G28" s="133" t="s">
        <v>428</v>
      </c>
      <c r="H28" s="131" t="str">
        <f>'3. Audit and Accountability'!$G6</f>
        <v>Comment is required</v>
      </c>
      <c r="I28" t="str">
        <f>'3. Audit and Accountability'!$F6</f>
        <v>No</v>
      </c>
      <c r="J28" t="str">
        <f t="shared" si="11"/>
        <v>Inadequate</v>
      </c>
      <c r="K28" s="123" t="s">
        <v>75</v>
      </c>
      <c r="L28" t="str">
        <f t="shared" si="1"/>
        <v>Inadequate</v>
      </c>
      <c r="N28" t="str">
        <f t="shared" si="2"/>
        <v/>
      </c>
      <c r="O28" t="str">
        <f t="shared" si="3"/>
        <v>No</v>
      </c>
      <c r="P28" t="str">
        <f t="shared" si="4"/>
        <v>Comment is required</v>
      </c>
      <c r="Q28" t="str">
        <f t="shared" si="5"/>
        <v>Inadequate</v>
      </c>
      <c r="R28" t="str">
        <f t="shared" si="6"/>
        <v>No Override</v>
      </c>
      <c r="S28">
        <f t="shared" si="7"/>
        <v>3</v>
      </c>
      <c r="T28" t="str">
        <f t="shared" si="8"/>
        <v/>
      </c>
    </row>
    <row r="29" spans="1:20" x14ac:dyDescent="0.3">
      <c r="A29" s="181">
        <v>3</v>
      </c>
      <c r="C29">
        <f t="shared" si="9"/>
        <v>3</v>
      </c>
      <c r="D29" t="s">
        <v>412</v>
      </c>
      <c r="E29" s="51" t="s">
        <v>429</v>
      </c>
      <c r="F29" s="59" t="s">
        <v>432</v>
      </c>
      <c r="G29" s="133" t="s">
        <v>433</v>
      </c>
      <c r="H29" s="131" t="str">
        <f>'3. Audit and Accountability'!$G7</f>
        <v>Comment is required</v>
      </c>
      <c r="I29" t="str">
        <f>'3. Audit and Accountability'!$F7</f>
        <v>No</v>
      </c>
      <c r="J29" t="str">
        <f t="shared" si="11"/>
        <v>Inadequate</v>
      </c>
      <c r="K29" s="123" t="s">
        <v>75</v>
      </c>
      <c r="L29" t="str">
        <f t="shared" si="1"/>
        <v>Inadequate</v>
      </c>
      <c r="N29" t="str">
        <f t="shared" si="2"/>
        <v/>
      </c>
      <c r="O29" t="str">
        <f t="shared" si="3"/>
        <v>No</v>
      </c>
      <c r="P29" t="str">
        <f t="shared" si="4"/>
        <v>Comment is required</v>
      </c>
      <c r="Q29" t="str">
        <f t="shared" si="5"/>
        <v>Inadequate</v>
      </c>
      <c r="R29" t="str">
        <f t="shared" si="6"/>
        <v>No Override</v>
      </c>
      <c r="S29">
        <f t="shared" si="7"/>
        <v>3</v>
      </c>
      <c r="T29" t="str">
        <f t="shared" si="8"/>
        <v/>
      </c>
    </row>
    <row r="30" spans="1:20" x14ac:dyDescent="0.3">
      <c r="A30" s="181">
        <v>4</v>
      </c>
      <c r="C30">
        <f t="shared" si="9"/>
        <v>4</v>
      </c>
      <c r="D30" t="s">
        <v>412</v>
      </c>
      <c r="E30" s="51" t="s">
        <v>434</v>
      </c>
      <c r="F30" s="59" t="s">
        <v>432</v>
      </c>
      <c r="G30" s="50" t="s">
        <v>435</v>
      </c>
      <c r="H30" s="131" t="str">
        <f>'3. Audit and Accountability'!$G8</f>
        <v>Comment is required</v>
      </c>
      <c r="I30" t="str">
        <f>'3. Audit and Accountability'!$F8</f>
        <v>No</v>
      </c>
      <c r="J30" t="str">
        <f>IF($I30="Yes","Inadequate",IF($I30="No","Adequate",IF($I30="Partial","Inadequate",IF($I30="N/A","Inadequate",IF(OR($I30="",$I30=0),"Blank","Error")))))</f>
        <v>Adequate</v>
      </c>
      <c r="K30" s="123" t="s">
        <v>75</v>
      </c>
      <c r="L30" t="str">
        <f t="shared" si="1"/>
        <v>Adequate</v>
      </c>
      <c r="N30" t="str">
        <f t="shared" si="2"/>
        <v/>
      </c>
      <c r="O30" t="str">
        <f t="shared" si="3"/>
        <v>No</v>
      </c>
      <c r="P30" t="str">
        <f t="shared" si="4"/>
        <v>Comment is required</v>
      </c>
      <c r="Q30" t="str">
        <f t="shared" si="5"/>
        <v>Adequate</v>
      </c>
      <c r="R30" t="str">
        <f t="shared" si="6"/>
        <v>No Override</v>
      </c>
      <c r="S30">
        <f t="shared" si="7"/>
        <v>4</v>
      </c>
      <c r="T30" t="str">
        <f t="shared" si="8"/>
        <v/>
      </c>
    </row>
    <row r="31" spans="1:20" x14ac:dyDescent="0.3">
      <c r="A31" s="181">
        <v>2</v>
      </c>
      <c r="C31">
        <f t="shared" si="9"/>
        <v>2</v>
      </c>
      <c r="D31" t="s">
        <v>412</v>
      </c>
      <c r="E31" s="51" t="s">
        <v>436</v>
      </c>
      <c r="F31" s="59" t="s">
        <v>438</v>
      </c>
      <c r="G31" s="133" t="s">
        <v>439</v>
      </c>
      <c r="H31" s="131" t="str">
        <f>'3. Audit and Accountability'!$G9</f>
        <v>Comment is required</v>
      </c>
      <c r="I31" t="str">
        <f>'3. Audit and Accountability'!$F9</f>
        <v>Yes</v>
      </c>
      <c r="J31" t="str">
        <f t="shared" ref="J31:J33" si="12">IF($I31="Yes","Adequate",IF($I31="No","Inadequate",IF($I31="Partial","Inadequate",IF($I31="N/A","Inadequate",IF(OR($I31="",$I31=0),"Blank","Error")))))</f>
        <v>Adequate</v>
      </c>
      <c r="K31" s="123" t="s">
        <v>75</v>
      </c>
      <c r="L31" t="str">
        <f t="shared" si="1"/>
        <v>Adequate</v>
      </c>
      <c r="N31" t="str">
        <f t="shared" si="2"/>
        <v/>
      </c>
      <c r="O31" t="str">
        <f t="shared" si="3"/>
        <v>Yes</v>
      </c>
      <c r="P31" t="str">
        <f t="shared" si="4"/>
        <v>Comment is required</v>
      </c>
      <c r="Q31" t="str">
        <f t="shared" si="5"/>
        <v>Adequate</v>
      </c>
      <c r="R31" t="str">
        <f t="shared" si="6"/>
        <v>No Override</v>
      </c>
      <c r="S31">
        <f t="shared" si="7"/>
        <v>2</v>
      </c>
      <c r="T31" t="str">
        <f t="shared" si="8"/>
        <v/>
      </c>
    </row>
    <row r="32" spans="1:20" x14ac:dyDescent="0.3">
      <c r="A32" s="181">
        <v>2</v>
      </c>
      <c r="C32">
        <f t="shared" si="9"/>
        <v>2</v>
      </c>
      <c r="D32" t="s">
        <v>412</v>
      </c>
      <c r="E32" s="51" t="s">
        <v>440</v>
      </c>
      <c r="F32" s="59" t="s">
        <v>442</v>
      </c>
      <c r="G32" s="133" t="s">
        <v>443</v>
      </c>
      <c r="H32" s="131" t="str">
        <f>'3. Audit and Accountability'!$G10</f>
        <v>Comment is required</v>
      </c>
      <c r="I32" t="str">
        <f>'3. Audit and Accountability'!$F10</f>
        <v>Yes</v>
      </c>
      <c r="J32" t="str">
        <f t="shared" si="12"/>
        <v>Adequate</v>
      </c>
      <c r="K32" s="123" t="s">
        <v>75</v>
      </c>
      <c r="L32" t="str">
        <f t="shared" si="1"/>
        <v>Adequate</v>
      </c>
      <c r="N32" t="str">
        <f t="shared" si="2"/>
        <v/>
      </c>
      <c r="O32" t="str">
        <f t="shared" si="3"/>
        <v>Yes</v>
      </c>
      <c r="P32" t="str">
        <f t="shared" si="4"/>
        <v>Comment is required</v>
      </c>
      <c r="Q32" t="str">
        <f t="shared" si="5"/>
        <v>Adequate</v>
      </c>
      <c r="R32" t="str">
        <f t="shared" si="6"/>
        <v>No Override</v>
      </c>
      <c r="S32">
        <f t="shared" si="7"/>
        <v>2</v>
      </c>
      <c r="T32" t="str">
        <f t="shared" si="8"/>
        <v/>
      </c>
    </row>
    <row r="33" spans="1:20" x14ac:dyDescent="0.3">
      <c r="A33" s="181">
        <v>3</v>
      </c>
      <c r="C33">
        <f t="shared" si="9"/>
        <v>3</v>
      </c>
      <c r="D33" t="s">
        <v>412</v>
      </c>
      <c r="E33" s="51" t="s">
        <v>444</v>
      </c>
      <c r="F33" s="59" t="s">
        <v>446</v>
      </c>
      <c r="G33" s="133" t="s">
        <v>447</v>
      </c>
      <c r="H33" s="131" t="str">
        <f>'3. Audit and Accountability'!$G11</f>
        <v>Comment is required</v>
      </c>
      <c r="I33" t="str">
        <f>'3. Audit and Accountability'!$F11</f>
        <v>No</v>
      </c>
      <c r="J33" t="str">
        <f t="shared" si="12"/>
        <v>Inadequate</v>
      </c>
      <c r="K33" s="123" t="s">
        <v>75</v>
      </c>
      <c r="L33" t="str">
        <f t="shared" si="1"/>
        <v>Inadequate</v>
      </c>
      <c r="N33" t="str">
        <f t="shared" si="2"/>
        <v/>
      </c>
      <c r="O33" t="str">
        <f t="shared" si="3"/>
        <v>No</v>
      </c>
      <c r="P33" t="str">
        <f t="shared" si="4"/>
        <v>Comment is required</v>
      </c>
      <c r="Q33" t="str">
        <f t="shared" si="5"/>
        <v>Inadequate</v>
      </c>
      <c r="R33" t="str">
        <f t="shared" si="6"/>
        <v>No Override</v>
      </c>
      <c r="S33">
        <f t="shared" si="7"/>
        <v>3</v>
      </c>
      <c r="T33" t="str">
        <f t="shared" si="8"/>
        <v/>
      </c>
    </row>
    <row r="34" spans="1:20" ht="22.8" x14ac:dyDescent="0.3">
      <c r="A34" s="181">
        <v>4</v>
      </c>
      <c r="C34">
        <f t="shared" ref="C34:C79" si="13">IF($B34="",$A34,$B34)</f>
        <v>4</v>
      </c>
      <c r="D34" t="s">
        <v>448</v>
      </c>
      <c r="E34" s="51" t="s">
        <v>449</v>
      </c>
      <c r="F34" s="57" t="s">
        <v>451</v>
      </c>
      <c r="G34" s="131" t="s">
        <v>452</v>
      </c>
      <c r="H34" s="131" t="str">
        <f>'5. Configuration'!$G3</f>
        <v>Comment is required</v>
      </c>
      <c r="I34" t="str">
        <f>'5. Configuration'!$F3</f>
        <v>Yes</v>
      </c>
      <c r="J34" t="str">
        <f t="shared" ref="J34:J58" si="14">IF($I34="Yes","Adequate",IF($I34="No","Inadequate",IF($I34="Partial","Inadequate",IF($I34="N/A","Inadequate",IF(OR($I34="",$I34=0),"Blank","Error")))))</f>
        <v>Adequate</v>
      </c>
      <c r="K34" s="123" t="s">
        <v>75</v>
      </c>
      <c r="L34" t="str">
        <f t="shared" ref="L34:L78" si="15">IF($K34="No Override",$J34,$K34)</f>
        <v>Adequate</v>
      </c>
      <c r="N34" t="str">
        <f t="shared" ref="N34:N79" si="16">IF($J34=$L34,"","***")</f>
        <v/>
      </c>
      <c r="O34" t="str">
        <f t="shared" ref="O34:O79" si="17">IF(OR($I34="",$I34=0),"",$I34)</f>
        <v>Yes</v>
      </c>
      <c r="P34" t="str">
        <f t="shared" ref="P34:P79" si="18">IF(OR($H34="",$H34=0),"",$H34)</f>
        <v>Comment is required</v>
      </c>
      <c r="Q34" t="str">
        <f t="shared" ref="Q34:Q79" si="19">$L34</f>
        <v>Adequate</v>
      </c>
      <c r="R34" t="str">
        <f t="shared" ref="R34:R79" si="20">$K34</f>
        <v>No Override</v>
      </c>
      <c r="S34">
        <f t="shared" ref="S34:S79" si="21">$C34</f>
        <v>4</v>
      </c>
      <c r="T34" t="str">
        <f t="shared" ref="T34:T73" si="22">IF($L34=$Q34,"","***")</f>
        <v/>
      </c>
    </row>
    <row r="35" spans="1:20" ht="125.4" x14ac:dyDescent="0.3">
      <c r="A35" s="181">
        <v>1</v>
      </c>
      <c r="C35">
        <f t="shared" si="13"/>
        <v>1</v>
      </c>
      <c r="D35" t="s">
        <v>448</v>
      </c>
      <c r="E35" s="51" t="s">
        <v>256</v>
      </c>
      <c r="F35" s="57" t="s">
        <v>257</v>
      </c>
      <c r="G35" s="135" t="s">
        <v>453</v>
      </c>
      <c r="H35" s="131" t="str">
        <f>'5. Configuration'!$G4</f>
        <v>Configuration is a site/customer specific. The system comes with some defaults (ex: everything is logged) but other configurations like AD/LDAP servers for authentication, interfaces, bed-configurations are all done according to customer needs.</v>
      </c>
      <c r="I35" t="str">
        <f>'5. Configuration'!$F4</f>
        <v>No</v>
      </c>
      <c r="J35" t="str">
        <f t="shared" si="14"/>
        <v>Inadequate</v>
      </c>
      <c r="K35" s="123" t="s">
        <v>75</v>
      </c>
      <c r="L35" t="str">
        <f t="shared" si="15"/>
        <v>Inadequate</v>
      </c>
      <c r="N35" t="str">
        <f t="shared" si="16"/>
        <v/>
      </c>
      <c r="O35" t="str">
        <f t="shared" si="17"/>
        <v>No</v>
      </c>
      <c r="P35" t="str">
        <f t="shared" si="18"/>
        <v>Configuration is a site/customer specific. The system comes with some defaults (ex: everything is logged) but other configurations like AD/LDAP servers for authentication, interfaces, bed-configurations are all done according to customer needs.</v>
      </c>
      <c r="Q35" t="str">
        <f t="shared" si="19"/>
        <v>Inadequate</v>
      </c>
      <c r="R35" t="str">
        <f t="shared" si="20"/>
        <v>No Override</v>
      </c>
      <c r="S35">
        <f t="shared" si="21"/>
        <v>1</v>
      </c>
      <c r="T35" t="str">
        <f t="shared" si="22"/>
        <v/>
      </c>
    </row>
    <row r="36" spans="1:20" ht="45.6" x14ac:dyDescent="0.3">
      <c r="A36" s="181">
        <v>1</v>
      </c>
      <c r="C36">
        <f t="shared" si="13"/>
        <v>1</v>
      </c>
      <c r="D36" t="s">
        <v>448</v>
      </c>
      <c r="E36" s="51" t="s">
        <v>454</v>
      </c>
      <c r="F36" s="57" t="s">
        <v>261</v>
      </c>
      <c r="G36" s="135" t="s">
        <v>455</v>
      </c>
      <c r="H36" s="131" t="str">
        <f>'5. Configuration'!$G5</f>
        <v xml:space="preserve">All changes to the system are coordinated with the csustomer and require customer approval. </v>
      </c>
      <c r="I36" t="str">
        <f>'5. Configuration'!$F5</f>
        <v>No</v>
      </c>
      <c r="J36" t="str">
        <f t="shared" si="14"/>
        <v>Inadequate</v>
      </c>
      <c r="K36" s="123" t="s">
        <v>75</v>
      </c>
      <c r="L36" t="str">
        <f t="shared" si="15"/>
        <v>Inadequate</v>
      </c>
      <c r="N36" t="str">
        <f t="shared" si="16"/>
        <v/>
      </c>
      <c r="O36" t="str">
        <f t="shared" si="17"/>
        <v>No</v>
      </c>
      <c r="P36" t="str">
        <f t="shared" si="18"/>
        <v xml:space="preserve">All changes to the system are coordinated with the csustomer and require customer approval. </v>
      </c>
      <c r="Q36" t="str">
        <f t="shared" si="19"/>
        <v>Inadequate</v>
      </c>
      <c r="R36" t="str">
        <f t="shared" si="20"/>
        <v>No Override</v>
      </c>
      <c r="S36">
        <f t="shared" si="21"/>
        <v>1</v>
      </c>
      <c r="T36" t="str">
        <f t="shared" si="22"/>
        <v/>
      </c>
    </row>
    <row r="37" spans="1:20" ht="22.8" x14ac:dyDescent="0.3">
      <c r="A37" s="181">
        <v>1</v>
      </c>
      <c r="C37">
        <f t="shared" si="13"/>
        <v>1</v>
      </c>
      <c r="D37" t="s">
        <v>448</v>
      </c>
      <c r="E37" s="51" t="s">
        <v>456</v>
      </c>
      <c r="F37" s="57" t="s">
        <v>261</v>
      </c>
      <c r="G37" s="135" t="s">
        <v>457</v>
      </c>
      <c r="H37" s="131" t="str">
        <f>'5. Configuration'!$G6</f>
        <v>Comment is required</v>
      </c>
      <c r="I37" t="str">
        <f>'5. Configuration'!$F6</f>
        <v>Yes</v>
      </c>
      <c r="J37" t="str">
        <f t="shared" si="14"/>
        <v>Adequate</v>
      </c>
      <c r="K37" s="123" t="s">
        <v>75</v>
      </c>
      <c r="L37" t="str">
        <f t="shared" si="15"/>
        <v>Adequate</v>
      </c>
      <c r="N37" t="str">
        <f t="shared" si="16"/>
        <v/>
      </c>
      <c r="O37" t="str">
        <f t="shared" si="17"/>
        <v>Yes</v>
      </c>
      <c r="P37" t="str">
        <f t="shared" si="18"/>
        <v>Comment is required</v>
      </c>
      <c r="Q37" t="str">
        <f t="shared" si="19"/>
        <v>Adequate</v>
      </c>
      <c r="R37" t="str">
        <f t="shared" si="20"/>
        <v>No Override</v>
      </c>
      <c r="S37">
        <f t="shared" si="21"/>
        <v>1</v>
      </c>
      <c r="T37" t="str">
        <f t="shared" si="22"/>
        <v/>
      </c>
    </row>
    <row r="38" spans="1:20" ht="22.8" x14ac:dyDescent="0.3">
      <c r="A38" s="181">
        <v>1</v>
      </c>
      <c r="C38">
        <f t="shared" si="13"/>
        <v>1</v>
      </c>
      <c r="D38" t="s">
        <v>448</v>
      </c>
      <c r="E38" s="51" t="s">
        <v>458</v>
      </c>
      <c r="F38" s="57" t="s">
        <v>261</v>
      </c>
      <c r="G38" s="135" t="s">
        <v>459</v>
      </c>
      <c r="H38" s="131" t="str">
        <f>'5. Configuration'!$G7</f>
        <v>Always coordinated with the customer</v>
      </c>
      <c r="I38" t="str">
        <f>'5. Configuration'!$F7</f>
        <v>Yes</v>
      </c>
      <c r="J38" t="str">
        <f t="shared" si="14"/>
        <v>Adequate</v>
      </c>
      <c r="K38" s="123" t="s">
        <v>75</v>
      </c>
      <c r="L38" t="str">
        <f t="shared" si="15"/>
        <v>Adequate</v>
      </c>
      <c r="N38" t="str">
        <f t="shared" si="16"/>
        <v/>
      </c>
      <c r="O38" t="str">
        <f t="shared" si="17"/>
        <v>Yes</v>
      </c>
      <c r="P38" t="str">
        <f t="shared" si="18"/>
        <v>Always coordinated with the customer</v>
      </c>
      <c r="Q38" t="str">
        <f t="shared" si="19"/>
        <v>Adequate</v>
      </c>
      <c r="R38" t="str">
        <f t="shared" si="20"/>
        <v>No Override</v>
      </c>
      <c r="S38">
        <f t="shared" si="21"/>
        <v>1</v>
      </c>
      <c r="T38" t="str">
        <f t="shared" si="22"/>
        <v/>
      </c>
    </row>
    <row r="39" spans="1:20" ht="22.8" x14ac:dyDescent="0.3">
      <c r="A39" s="181">
        <v>1</v>
      </c>
      <c r="C39">
        <f t="shared" si="13"/>
        <v>1</v>
      </c>
      <c r="D39" t="s">
        <v>448</v>
      </c>
      <c r="E39" s="51" t="s">
        <v>460</v>
      </c>
      <c r="F39" s="57" t="s">
        <v>261</v>
      </c>
      <c r="G39" s="135" t="s">
        <v>461</v>
      </c>
      <c r="H39" s="131" t="str">
        <f>'5. Configuration'!$G8</f>
        <v>Always coordinated with the customer</v>
      </c>
      <c r="I39" t="str">
        <f>'5. Configuration'!$F8</f>
        <v>Yes</v>
      </c>
      <c r="J39" t="str">
        <f t="shared" si="14"/>
        <v>Adequate</v>
      </c>
      <c r="K39" s="123" t="s">
        <v>75</v>
      </c>
      <c r="L39" t="str">
        <f t="shared" si="15"/>
        <v>Adequate</v>
      </c>
      <c r="N39" t="str">
        <f t="shared" si="16"/>
        <v/>
      </c>
      <c r="O39" t="str">
        <f t="shared" si="17"/>
        <v>Yes</v>
      </c>
      <c r="P39" t="str">
        <f t="shared" si="18"/>
        <v>Always coordinated with the customer</v>
      </c>
      <c r="Q39" t="str">
        <f t="shared" si="19"/>
        <v>Adequate</v>
      </c>
      <c r="R39" t="str">
        <f t="shared" si="20"/>
        <v>No Override</v>
      </c>
      <c r="S39">
        <f t="shared" si="21"/>
        <v>1</v>
      </c>
      <c r="T39" t="str">
        <f t="shared" si="22"/>
        <v/>
      </c>
    </row>
    <row r="40" spans="1:20" ht="68.400000000000006" x14ac:dyDescent="0.3">
      <c r="A40" s="181">
        <v>1</v>
      </c>
      <c r="C40">
        <f t="shared" si="13"/>
        <v>1</v>
      </c>
      <c r="D40" t="s">
        <v>448</v>
      </c>
      <c r="E40" s="51" t="s">
        <v>462</v>
      </c>
      <c r="F40" s="57" t="s">
        <v>261</v>
      </c>
      <c r="G40" s="135" t="s">
        <v>463</v>
      </c>
      <c r="H40" s="131" t="str">
        <f>'5. Configuration'!$G9</f>
        <v>Records are maintained in our corporate ticketing system or as part of formal project(s) to add/change aspects of the system</v>
      </c>
      <c r="I40" t="str">
        <f>'5. Configuration'!$F9</f>
        <v>Yes</v>
      </c>
      <c r="J40" t="str">
        <f t="shared" si="14"/>
        <v>Adequate</v>
      </c>
      <c r="K40" s="123" t="s">
        <v>75</v>
      </c>
      <c r="L40" t="str">
        <f t="shared" si="15"/>
        <v>Adequate</v>
      </c>
      <c r="N40" t="str">
        <f t="shared" si="16"/>
        <v/>
      </c>
      <c r="O40" t="str">
        <f t="shared" si="17"/>
        <v>Yes</v>
      </c>
      <c r="P40" t="str">
        <f t="shared" si="18"/>
        <v>Records are maintained in our corporate ticketing system or as part of formal project(s) to add/change aspects of the system</v>
      </c>
      <c r="Q40" t="str">
        <f t="shared" si="19"/>
        <v>Adequate</v>
      </c>
      <c r="R40" t="str">
        <f t="shared" si="20"/>
        <v>No Override</v>
      </c>
      <c r="S40">
        <f t="shared" si="21"/>
        <v>1</v>
      </c>
      <c r="T40" t="str">
        <f t="shared" si="22"/>
        <v/>
      </c>
    </row>
    <row r="41" spans="1:20" ht="114" x14ac:dyDescent="0.3">
      <c r="A41" s="181">
        <v>1</v>
      </c>
      <c r="C41">
        <f t="shared" si="13"/>
        <v>1</v>
      </c>
      <c r="D41" t="s">
        <v>448</v>
      </c>
      <c r="E41" s="51" t="s">
        <v>464</v>
      </c>
      <c r="F41" s="57" t="s">
        <v>261</v>
      </c>
      <c r="G41" s="135" t="s">
        <v>465</v>
      </c>
      <c r="H41" s="131" t="str">
        <f>'5. Configuration'!$G10</f>
        <v>Some changes have auditable controls associated, others do not. For example, adding a mapped field from HL7. The new field will show in the audit trail but the action of adding the field in the mapping tables in the DB do not.</v>
      </c>
      <c r="I41" t="str">
        <f>'5. Configuration'!$F10</f>
        <v>Partial</v>
      </c>
      <c r="J41" t="str">
        <f t="shared" si="14"/>
        <v>Inadequate</v>
      </c>
      <c r="K41" s="123" t="s">
        <v>75</v>
      </c>
      <c r="L41" t="str">
        <f t="shared" si="15"/>
        <v>Inadequate</v>
      </c>
      <c r="N41" t="str">
        <f t="shared" si="16"/>
        <v/>
      </c>
      <c r="O41" t="str">
        <f t="shared" si="17"/>
        <v>Partial</v>
      </c>
      <c r="P41" t="str">
        <f t="shared" si="18"/>
        <v>Some changes have auditable controls associated, others do not. For example, adding a mapped field from HL7. The new field will show in the audit trail but the action of adding the field in the mapping tables in the DB do not.</v>
      </c>
      <c r="Q41" t="str">
        <f t="shared" si="19"/>
        <v>Inadequate</v>
      </c>
      <c r="R41" t="str">
        <f t="shared" si="20"/>
        <v>No Override</v>
      </c>
      <c r="S41">
        <f t="shared" si="21"/>
        <v>1</v>
      </c>
      <c r="T41" t="str">
        <f t="shared" si="22"/>
        <v/>
      </c>
    </row>
    <row r="42" spans="1:20" ht="22.8" x14ac:dyDescent="0.3">
      <c r="A42" s="181">
        <v>3</v>
      </c>
      <c r="C42">
        <f t="shared" si="13"/>
        <v>3</v>
      </c>
      <c r="D42" t="s">
        <v>448</v>
      </c>
      <c r="E42" s="51" t="s">
        <v>466</v>
      </c>
      <c r="F42" s="57" t="s">
        <v>468</v>
      </c>
      <c r="G42" s="135" t="s">
        <v>469</v>
      </c>
      <c r="H42" s="131">
        <f>'5. Configuration'!$G11</f>
        <v>0</v>
      </c>
      <c r="I42" t="str">
        <f>'5. Configuration'!$F11</f>
        <v>No</v>
      </c>
      <c r="J42" t="str">
        <f t="shared" si="14"/>
        <v>Inadequate</v>
      </c>
      <c r="K42" s="123" t="s">
        <v>75</v>
      </c>
      <c r="L42" t="str">
        <f t="shared" si="15"/>
        <v>Inadequate</v>
      </c>
      <c r="N42" t="str">
        <f t="shared" si="16"/>
        <v/>
      </c>
      <c r="O42" t="str">
        <f t="shared" si="17"/>
        <v>No</v>
      </c>
      <c r="P42" t="str">
        <f t="shared" si="18"/>
        <v/>
      </c>
      <c r="Q42" t="str">
        <f t="shared" si="19"/>
        <v>Inadequate</v>
      </c>
      <c r="R42" t="str">
        <f t="shared" si="20"/>
        <v>No Override</v>
      </c>
      <c r="S42">
        <f t="shared" si="21"/>
        <v>3</v>
      </c>
      <c r="T42" t="str">
        <f t="shared" si="22"/>
        <v/>
      </c>
    </row>
    <row r="43" spans="1:20" ht="45.6" x14ac:dyDescent="0.3">
      <c r="A43" s="181">
        <v>1</v>
      </c>
      <c r="C43">
        <f t="shared" si="13"/>
        <v>1</v>
      </c>
      <c r="D43" t="s">
        <v>448</v>
      </c>
      <c r="E43" s="51" t="s">
        <v>470</v>
      </c>
      <c r="F43" s="57" t="s">
        <v>471</v>
      </c>
      <c r="G43" s="135" t="s">
        <v>472</v>
      </c>
      <c r="H43" s="131" t="str">
        <f>'5. Configuration'!$G12</f>
        <v>common best practices are used with the limited controls offered by PeriCALM Tracings</v>
      </c>
      <c r="I43" t="str">
        <f>'5. Configuration'!$F12</f>
        <v>No</v>
      </c>
      <c r="J43" t="str">
        <f t="shared" si="14"/>
        <v>Inadequate</v>
      </c>
      <c r="K43" s="123" t="s">
        <v>75</v>
      </c>
      <c r="L43" t="str">
        <f t="shared" si="15"/>
        <v>Inadequate</v>
      </c>
      <c r="N43" t="str">
        <f t="shared" si="16"/>
        <v/>
      </c>
      <c r="O43" t="str">
        <f t="shared" si="17"/>
        <v>No</v>
      </c>
      <c r="P43" t="str">
        <f t="shared" si="18"/>
        <v>common best practices are used with the limited controls offered by PeriCALM Tracings</v>
      </c>
      <c r="Q43" t="str">
        <f t="shared" si="19"/>
        <v>Inadequate</v>
      </c>
      <c r="R43" t="str">
        <f t="shared" si="20"/>
        <v>No Override</v>
      </c>
      <c r="S43">
        <f t="shared" si="21"/>
        <v>1</v>
      </c>
      <c r="T43" t="str">
        <f t="shared" si="22"/>
        <v/>
      </c>
    </row>
    <row r="44" spans="1:20" x14ac:dyDescent="0.3">
      <c r="A44" s="181">
        <v>1</v>
      </c>
      <c r="C44">
        <f t="shared" si="13"/>
        <v>1</v>
      </c>
      <c r="D44" t="s">
        <v>448</v>
      </c>
      <c r="E44" s="51" t="s">
        <v>473</v>
      </c>
      <c r="F44" s="57" t="s">
        <v>471</v>
      </c>
      <c r="G44" s="135" t="s">
        <v>474</v>
      </c>
      <c r="H44" s="131" t="str">
        <f>'5. Configuration'!$G13</f>
        <v>Comment is required</v>
      </c>
      <c r="I44" t="str">
        <f>'5. Configuration'!$F13</f>
        <v>No</v>
      </c>
      <c r="J44" t="str">
        <f t="shared" si="14"/>
        <v>Inadequate</v>
      </c>
      <c r="K44" s="123" t="s">
        <v>75</v>
      </c>
      <c r="L44" t="str">
        <f t="shared" si="15"/>
        <v>Inadequate</v>
      </c>
      <c r="N44" t="str">
        <f t="shared" si="16"/>
        <v/>
      </c>
      <c r="O44" t="str">
        <f t="shared" si="17"/>
        <v>No</v>
      </c>
      <c r="P44" t="str">
        <f t="shared" si="18"/>
        <v>Comment is required</v>
      </c>
      <c r="Q44" t="str">
        <f t="shared" si="19"/>
        <v>Inadequate</v>
      </c>
      <c r="R44" t="str">
        <f t="shared" si="20"/>
        <v>No Override</v>
      </c>
      <c r="S44">
        <f t="shared" si="21"/>
        <v>1</v>
      </c>
      <c r="T44" t="str">
        <f t="shared" si="22"/>
        <v/>
      </c>
    </row>
    <row r="45" spans="1:20" x14ac:dyDescent="0.3">
      <c r="A45" s="181">
        <v>1</v>
      </c>
      <c r="C45">
        <f t="shared" si="13"/>
        <v>1</v>
      </c>
      <c r="D45" t="s">
        <v>448</v>
      </c>
      <c r="E45" s="51" t="s">
        <v>475</v>
      </c>
      <c r="F45" s="57" t="s">
        <v>471</v>
      </c>
      <c r="G45" s="135" t="s">
        <v>476</v>
      </c>
      <c r="H45" s="131" t="str">
        <f>'5. Configuration'!$G14</f>
        <v>Comment is required</v>
      </c>
      <c r="I45" t="str">
        <f>'5. Configuration'!$F14</f>
        <v>No</v>
      </c>
      <c r="J45" t="str">
        <f t="shared" si="14"/>
        <v>Inadequate</v>
      </c>
      <c r="K45" s="123" t="s">
        <v>75</v>
      </c>
      <c r="L45" t="str">
        <f t="shared" si="15"/>
        <v>Inadequate</v>
      </c>
      <c r="N45" t="str">
        <f t="shared" si="16"/>
        <v/>
      </c>
      <c r="O45" t="str">
        <f t="shared" si="17"/>
        <v>No</v>
      </c>
      <c r="P45" t="str">
        <f t="shared" si="18"/>
        <v>Comment is required</v>
      </c>
      <c r="Q45" t="str">
        <f t="shared" si="19"/>
        <v>Inadequate</v>
      </c>
      <c r="R45" t="str">
        <f t="shared" si="20"/>
        <v>No Override</v>
      </c>
      <c r="S45">
        <f t="shared" si="21"/>
        <v>1</v>
      </c>
      <c r="T45" t="str">
        <f t="shared" si="22"/>
        <v/>
      </c>
    </row>
    <row r="46" spans="1:20" ht="22.8" x14ac:dyDescent="0.3">
      <c r="A46" s="181">
        <v>1</v>
      </c>
      <c r="C46">
        <f t="shared" si="13"/>
        <v>1</v>
      </c>
      <c r="D46" t="s">
        <v>448</v>
      </c>
      <c r="E46" s="51" t="s">
        <v>271</v>
      </c>
      <c r="F46" s="57" t="s">
        <v>272</v>
      </c>
      <c r="G46" s="135" t="s">
        <v>477</v>
      </c>
      <c r="H46" s="131" t="str">
        <f>'5. Configuration'!$G15</f>
        <v>Comment is required</v>
      </c>
      <c r="I46" t="str">
        <f>'5. Configuration'!$F15</f>
        <v>Yes</v>
      </c>
      <c r="J46" t="str">
        <f t="shared" si="14"/>
        <v>Adequate</v>
      </c>
      <c r="K46" s="123" t="s">
        <v>75</v>
      </c>
      <c r="L46" t="str">
        <f t="shared" si="15"/>
        <v>Adequate</v>
      </c>
      <c r="N46" t="str">
        <f t="shared" si="16"/>
        <v/>
      </c>
      <c r="O46" t="str">
        <f t="shared" si="17"/>
        <v>Yes</v>
      </c>
      <c r="P46" t="str">
        <f t="shared" si="18"/>
        <v>Comment is required</v>
      </c>
      <c r="Q46" t="str">
        <f t="shared" si="19"/>
        <v>Adequate</v>
      </c>
      <c r="R46" t="str">
        <f t="shared" si="20"/>
        <v>No Override</v>
      </c>
      <c r="S46">
        <f t="shared" si="21"/>
        <v>1</v>
      </c>
      <c r="T46" t="str">
        <f t="shared" si="22"/>
        <v/>
      </c>
    </row>
    <row r="47" spans="1:20" x14ac:dyDescent="0.3">
      <c r="A47" s="181">
        <v>1</v>
      </c>
      <c r="C47">
        <f t="shared" si="13"/>
        <v>1</v>
      </c>
      <c r="D47" t="s">
        <v>448</v>
      </c>
      <c r="E47" s="51" t="s">
        <v>478</v>
      </c>
      <c r="F47" s="57" t="s">
        <v>480</v>
      </c>
      <c r="G47" s="135" t="s">
        <v>481</v>
      </c>
      <c r="H47" s="131" t="str">
        <f>'5. Configuration'!$G16</f>
        <v>Comment is required</v>
      </c>
      <c r="I47" t="str">
        <f>'5. Configuration'!$F16</f>
        <v>Yes</v>
      </c>
      <c r="J47" t="str">
        <f t="shared" si="14"/>
        <v>Adequate</v>
      </c>
      <c r="K47" s="123" t="s">
        <v>75</v>
      </c>
      <c r="L47" t="str">
        <f t="shared" si="15"/>
        <v>Adequate</v>
      </c>
      <c r="N47" t="str">
        <f t="shared" si="16"/>
        <v/>
      </c>
      <c r="O47" t="str">
        <f t="shared" si="17"/>
        <v>Yes</v>
      </c>
      <c r="P47" t="str">
        <f t="shared" si="18"/>
        <v>Comment is required</v>
      </c>
      <c r="Q47" t="str">
        <f t="shared" si="19"/>
        <v>Adequate</v>
      </c>
      <c r="R47" t="str">
        <f t="shared" si="20"/>
        <v>No Override</v>
      </c>
      <c r="S47">
        <f t="shared" si="21"/>
        <v>1</v>
      </c>
      <c r="T47" t="str">
        <f t="shared" si="22"/>
        <v/>
      </c>
    </row>
    <row r="48" spans="1:20" ht="34.200000000000003" x14ac:dyDescent="0.3">
      <c r="A48" s="181">
        <v>1</v>
      </c>
      <c r="C48">
        <f t="shared" si="13"/>
        <v>1</v>
      </c>
      <c r="D48" t="s">
        <v>448</v>
      </c>
      <c r="E48" s="51" t="s">
        <v>482</v>
      </c>
      <c r="F48" s="57" t="s">
        <v>480</v>
      </c>
      <c r="G48" s="135" t="s">
        <v>483</v>
      </c>
      <c r="H48" s="131" t="str">
        <f>'5. Configuration'!$G17</f>
        <v>We review all components and 3rd party tools when planning major releases</v>
      </c>
      <c r="I48" t="str">
        <f>'5. Configuration'!$F17</f>
        <v>Yes</v>
      </c>
      <c r="J48" t="str">
        <f t="shared" si="14"/>
        <v>Adequate</v>
      </c>
      <c r="K48" s="123" t="s">
        <v>75</v>
      </c>
      <c r="L48" t="str">
        <f t="shared" si="15"/>
        <v>Adequate</v>
      </c>
      <c r="N48" t="str">
        <f t="shared" si="16"/>
        <v/>
      </c>
      <c r="O48" t="str">
        <f t="shared" si="17"/>
        <v>Yes</v>
      </c>
      <c r="P48" t="str">
        <f t="shared" si="18"/>
        <v>We review all components and 3rd party tools when planning major releases</v>
      </c>
      <c r="Q48" t="str">
        <f t="shared" si="19"/>
        <v>Adequate</v>
      </c>
      <c r="R48" t="str">
        <f t="shared" si="20"/>
        <v>No Override</v>
      </c>
      <c r="S48">
        <f t="shared" si="21"/>
        <v>1</v>
      </c>
      <c r="T48" t="str">
        <f t="shared" si="22"/>
        <v/>
      </c>
    </row>
    <row r="49" spans="1:20" ht="22.8" x14ac:dyDescent="0.3">
      <c r="A49" s="181">
        <v>1</v>
      </c>
      <c r="C49">
        <f t="shared" si="13"/>
        <v>1</v>
      </c>
      <c r="D49" t="s">
        <v>448</v>
      </c>
      <c r="E49" s="51" t="s">
        <v>484</v>
      </c>
      <c r="F49" s="57" t="s">
        <v>280</v>
      </c>
      <c r="G49" s="135" t="s">
        <v>485</v>
      </c>
      <c r="H49" s="131" t="str">
        <f>'5. Configuration'!$G18</f>
        <v>This is customer responsibility</v>
      </c>
      <c r="I49" t="str">
        <f>'5. Configuration'!$F18</f>
        <v>No</v>
      </c>
      <c r="J49" t="str">
        <f t="shared" si="14"/>
        <v>Inadequate</v>
      </c>
      <c r="K49" s="123" t="s">
        <v>75</v>
      </c>
      <c r="L49" t="str">
        <f t="shared" si="15"/>
        <v>Inadequate</v>
      </c>
      <c r="N49" t="str">
        <f t="shared" si="16"/>
        <v/>
      </c>
      <c r="O49" t="str">
        <f t="shared" si="17"/>
        <v>No</v>
      </c>
      <c r="P49" t="str">
        <f t="shared" si="18"/>
        <v>This is customer responsibility</v>
      </c>
      <c r="Q49" t="str">
        <f t="shared" si="19"/>
        <v>Inadequate</v>
      </c>
      <c r="R49" t="str">
        <f t="shared" si="20"/>
        <v>No Override</v>
      </c>
      <c r="S49">
        <f t="shared" si="21"/>
        <v>1</v>
      </c>
      <c r="T49" t="str">
        <f t="shared" si="22"/>
        <v/>
      </c>
    </row>
    <row r="50" spans="1:20" ht="57" x14ac:dyDescent="0.3">
      <c r="A50" s="181">
        <v>1</v>
      </c>
      <c r="C50">
        <f t="shared" si="13"/>
        <v>1</v>
      </c>
      <c r="D50" t="s">
        <v>448</v>
      </c>
      <c r="E50" s="51" t="s">
        <v>486</v>
      </c>
      <c r="F50" s="57" t="s">
        <v>280</v>
      </c>
      <c r="G50" s="135" t="s">
        <v>487</v>
      </c>
      <c r="H50" s="131" t="str">
        <f>'5. Configuration'!$G19</f>
        <v>All configuration and development items are tracked  as part of the product development process</v>
      </c>
      <c r="I50" t="str">
        <f>'5. Configuration'!$F19</f>
        <v>Yes</v>
      </c>
      <c r="J50" t="str">
        <f t="shared" si="14"/>
        <v>Adequate</v>
      </c>
      <c r="K50" s="123" t="s">
        <v>75</v>
      </c>
      <c r="L50" t="str">
        <f t="shared" si="15"/>
        <v>Adequate</v>
      </c>
      <c r="N50" t="str">
        <f t="shared" si="16"/>
        <v/>
      </c>
      <c r="O50" t="str">
        <f t="shared" si="17"/>
        <v>Yes</v>
      </c>
      <c r="P50" t="str">
        <f t="shared" si="18"/>
        <v>All configuration and development items are tracked  as part of the product development process</v>
      </c>
      <c r="Q50" t="str">
        <f t="shared" si="19"/>
        <v>Adequate</v>
      </c>
      <c r="R50" t="str">
        <f t="shared" si="20"/>
        <v>No Override</v>
      </c>
      <c r="S50">
        <f t="shared" si="21"/>
        <v>1</v>
      </c>
      <c r="T50" t="str">
        <f t="shared" si="22"/>
        <v/>
      </c>
    </row>
    <row r="51" spans="1:20" ht="79.8" x14ac:dyDescent="0.3">
      <c r="A51" s="181">
        <v>1</v>
      </c>
      <c r="C51">
        <f t="shared" si="13"/>
        <v>1</v>
      </c>
      <c r="D51" t="s">
        <v>448</v>
      </c>
      <c r="E51" s="51" t="s">
        <v>488</v>
      </c>
      <c r="F51" s="57" t="s">
        <v>280</v>
      </c>
      <c r="G51" s="135" t="s">
        <v>489</v>
      </c>
      <c r="H51" s="131" t="str">
        <f>'5. Configuration'!$G20</f>
        <v xml:space="preserve">Hardware specifications, data acquisition devices are documented per release and communicated to the customer when they change </v>
      </c>
      <c r="I51" t="str">
        <f>'5. Configuration'!$F20</f>
        <v>Yes</v>
      </c>
      <c r="J51" t="str">
        <f t="shared" si="14"/>
        <v>Adequate</v>
      </c>
      <c r="K51" s="123" t="s">
        <v>75</v>
      </c>
      <c r="L51" t="str">
        <f t="shared" si="15"/>
        <v>Adequate</v>
      </c>
      <c r="N51" t="str">
        <f t="shared" si="16"/>
        <v/>
      </c>
      <c r="O51" t="str">
        <f t="shared" si="17"/>
        <v>Yes</v>
      </c>
      <c r="P51" t="str">
        <f t="shared" si="18"/>
        <v xml:space="preserve">Hardware specifications, data acquisition devices are documented per release and communicated to the customer when they change </v>
      </c>
      <c r="Q51" t="str">
        <f t="shared" si="19"/>
        <v>Adequate</v>
      </c>
      <c r="R51" t="str">
        <f t="shared" si="20"/>
        <v>No Override</v>
      </c>
      <c r="S51">
        <f t="shared" si="21"/>
        <v>1</v>
      </c>
      <c r="T51" t="str">
        <f t="shared" si="22"/>
        <v/>
      </c>
    </row>
    <row r="52" spans="1:20" x14ac:dyDescent="0.3">
      <c r="A52" s="181">
        <v>1</v>
      </c>
      <c r="C52">
        <f t="shared" si="13"/>
        <v>1</v>
      </c>
      <c r="D52" t="s">
        <v>448</v>
      </c>
      <c r="E52" s="51" t="s">
        <v>490</v>
      </c>
      <c r="F52" s="57" t="s">
        <v>280</v>
      </c>
      <c r="G52" s="135" t="s">
        <v>491</v>
      </c>
      <c r="H52" s="131" t="str">
        <f>'5. Configuration'!$G21</f>
        <v>Comment is required</v>
      </c>
      <c r="I52" t="str">
        <f>'5. Configuration'!$F21</f>
        <v>Yes</v>
      </c>
      <c r="J52" t="str">
        <f t="shared" si="14"/>
        <v>Adequate</v>
      </c>
      <c r="K52" s="123" t="s">
        <v>75</v>
      </c>
      <c r="L52" t="str">
        <f t="shared" si="15"/>
        <v>Adequate</v>
      </c>
      <c r="N52" t="str">
        <f t="shared" si="16"/>
        <v/>
      </c>
      <c r="O52" t="str">
        <f t="shared" si="17"/>
        <v>Yes</v>
      </c>
      <c r="P52" t="str">
        <f t="shared" si="18"/>
        <v>Comment is required</v>
      </c>
      <c r="Q52" t="str">
        <f t="shared" si="19"/>
        <v>Adequate</v>
      </c>
      <c r="R52" t="str">
        <f t="shared" si="20"/>
        <v>No Override</v>
      </c>
      <c r="S52">
        <f t="shared" si="21"/>
        <v>1</v>
      </c>
      <c r="T52" t="str">
        <f t="shared" si="22"/>
        <v/>
      </c>
    </row>
    <row r="53" spans="1:20" ht="57" x14ac:dyDescent="0.3">
      <c r="A53" s="181">
        <v>1</v>
      </c>
      <c r="C53">
        <f t="shared" si="13"/>
        <v>1</v>
      </c>
      <c r="D53" t="s">
        <v>448</v>
      </c>
      <c r="E53" s="51" t="s">
        <v>287</v>
      </c>
      <c r="F53" s="57" t="s">
        <v>288</v>
      </c>
      <c r="G53" s="131" t="s">
        <v>492</v>
      </c>
      <c r="H53" s="131" t="str">
        <f>'5. Configuration'!$G22</f>
        <v>Only designated PeriGen personnel or trained customer IT personnel can install elements of the system</v>
      </c>
      <c r="I53" t="str">
        <f>'5. Configuration'!$F22</f>
        <v>N/A</v>
      </c>
      <c r="J53" t="str">
        <f t="shared" si="14"/>
        <v>Inadequate</v>
      </c>
      <c r="K53" s="123" t="s">
        <v>75</v>
      </c>
      <c r="L53" t="str">
        <f t="shared" si="15"/>
        <v>Inadequate</v>
      </c>
      <c r="N53" t="str">
        <f t="shared" si="16"/>
        <v/>
      </c>
      <c r="O53" t="str">
        <f t="shared" si="17"/>
        <v>N/A</v>
      </c>
      <c r="P53" t="str">
        <f t="shared" si="18"/>
        <v>Only designated PeriGen personnel or trained customer IT personnel can install elements of the system</v>
      </c>
      <c r="Q53" t="str">
        <f t="shared" si="19"/>
        <v>Inadequate</v>
      </c>
      <c r="R53" t="str">
        <f t="shared" si="20"/>
        <v>No Override</v>
      </c>
      <c r="S53">
        <f t="shared" si="21"/>
        <v>1</v>
      </c>
      <c r="T53" t="str">
        <f t="shared" si="22"/>
        <v/>
      </c>
    </row>
    <row r="54" spans="1:20" x14ac:dyDescent="0.3">
      <c r="A54" s="181">
        <v>1</v>
      </c>
      <c r="C54">
        <f t="shared" si="13"/>
        <v>1</v>
      </c>
      <c r="D54" t="s">
        <v>448</v>
      </c>
      <c r="E54" s="51" t="s">
        <v>493</v>
      </c>
      <c r="F54" s="131" t="s">
        <v>494</v>
      </c>
      <c r="G54" s="135" t="s">
        <v>495</v>
      </c>
      <c r="H54" s="131" t="str">
        <f>'5. Configuration'!$G23</f>
        <v>Customer controlled</v>
      </c>
      <c r="I54" t="str">
        <f>'5. Configuration'!$F23</f>
        <v>Yes</v>
      </c>
      <c r="J54" t="str">
        <f t="shared" si="14"/>
        <v>Adequate</v>
      </c>
      <c r="K54" s="123" t="s">
        <v>75</v>
      </c>
      <c r="L54" t="str">
        <f t="shared" si="15"/>
        <v>Adequate</v>
      </c>
      <c r="N54" t="str">
        <f t="shared" si="16"/>
        <v/>
      </c>
      <c r="O54" t="str">
        <f t="shared" si="17"/>
        <v>Yes</v>
      </c>
      <c r="P54" t="str">
        <f t="shared" si="18"/>
        <v>Customer controlled</v>
      </c>
      <c r="Q54" t="str">
        <f t="shared" si="19"/>
        <v>Adequate</v>
      </c>
      <c r="R54" t="str">
        <f t="shared" si="20"/>
        <v>No Override</v>
      </c>
      <c r="S54">
        <f t="shared" si="21"/>
        <v>1</v>
      </c>
      <c r="T54" t="str">
        <f t="shared" si="22"/>
        <v/>
      </c>
    </row>
    <row r="55" spans="1:20" x14ac:dyDescent="0.3">
      <c r="A55" s="181">
        <v>3</v>
      </c>
      <c r="C55">
        <f t="shared" si="13"/>
        <v>3</v>
      </c>
      <c r="D55" t="s">
        <v>448</v>
      </c>
      <c r="E55" s="51" t="s">
        <v>496</v>
      </c>
      <c r="F55" s="131" t="s">
        <v>497</v>
      </c>
      <c r="G55" s="135" t="s">
        <v>498</v>
      </c>
      <c r="H55" s="131" t="str">
        <f>'5. Configuration'!$G24</f>
        <v>Customer controlled</v>
      </c>
      <c r="I55" t="str">
        <f>'5. Configuration'!$F24</f>
        <v>No</v>
      </c>
      <c r="J55" t="str">
        <f t="shared" si="14"/>
        <v>Inadequate</v>
      </c>
      <c r="K55" s="123" t="s">
        <v>75</v>
      </c>
      <c r="L55" t="str">
        <f t="shared" si="15"/>
        <v>Inadequate</v>
      </c>
      <c r="N55" t="str">
        <f t="shared" si="16"/>
        <v/>
      </c>
      <c r="O55" t="str">
        <f t="shared" si="17"/>
        <v>No</v>
      </c>
      <c r="P55" t="str">
        <f t="shared" si="18"/>
        <v>Customer controlled</v>
      </c>
      <c r="Q55" t="str">
        <f t="shared" si="19"/>
        <v>Inadequate</v>
      </c>
      <c r="R55" t="str">
        <f t="shared" si="20"/>
        <v>No Override</v>
      </c>
      <c r="S55">
        <f t="shared" si="21"/>
        <v>3</v>
      </c>
      <c r="T55" t="str">
        <f t="shared" si="22"/>
        <v/>
      </c>
    </row>
    <row r="56" spans="1:20" ht="91.2" x14ac:dyDescent="0.3">
      <c r="A56" s="181">
        <v>4</v>
      </c>
      <c r="C56">
        <f t="shared" si="13"/>
        <v>4</v>
      </c>
      <c r="D56" t="s">
        <v>448</v>
      </c>
      <c r="E56" s="51" t="s">
        <v>499</v>
      </c>
      <c r="F56" s="131" t="s">
        <v>500</v>
      </c>
      <c r="G56" s="135" t="s">
        <v>501</v>
      </c>
      <c r="H56" s="131" t="str">
        <f>'5. Configuration'!$G25</f>
        <v>Mostly, OS hot-fixes and patches are pushed directly to all environments. PeriGen software is always loaded on the TEST system and only pushed to PROD upon customer approval</v>
      </c>
      <c r="I56" t="str">
        <f>'5. Configuration'!$F25</f>
        <v>Yes</v>
      </c>
      <c r="J56" t="str">
        <f t="shared" si="14"/>
        <v>Adequate</v>
      </c>
      <c r="K56" s="123" t="s">
        <v>75</v>
      </c>
      <c r="L56" t="str">
        <f t="shared" si="15"/>
        <v>Adequate</v>
      </c>
      <c r="N56" t="str">
        <f t="shared" si="16"/>
        <v/>
      </c>
      <c r="O56" t="str">
        <f t="shared" si="17"/>
        <v>Yes</v>
      </c>
      <c r="P56" t="str">
        <f t="shared" si="18"/>
        <v>Mostly, OS hot-fixes and patches are pushed directly to all environments. PeriGen software is always loaded on the TEST system and only pushed to PROD upon customer approval</v>
      </c>
      <c r="Q56" t="str">
        <f t="shared" si="19"/>
        <v>Adequate</v>
      </c>
      <c r="R56" t="str">
        <f t="shared" si="20"/>
        <v>No Override</v>
      </c>
      <c r="S56">
        <f t="shared" si="21"/>
        <v>4</v>
      </c>
      <c r="T56" t="str">
        <f t="shared" si="22"/>
        <v/>
      </c>
    </row>
    <row r="57" spans="1:20" ht="22.8" x14ac:dyDescent="0.3">
      <c r="A57" s="181">
        <v>2</v>
      </c>
      <c r="C57">
        <f t="shared" si="13"/>
        <v>2</v>
      </c>
      <c r="D57" t="s">
        <v>448</v>
      </c>
      <c r="E57" s="51" t="s">
        <v>502</v>
      </c>
      <c r="F57" s="132" t="s">
        <v>503</v>
      </c>
      <c r="G57" s="135" t="s">
        <v>504</v>
      </c>
      <c r="H57" s="131" t="str">
        <f>'5. Configuration'!$G26</f>
        <v>Case by case basis</v>
      </c>
      <c r="I57" t="str">
        <f>'5. Configuration'!$F26</f>
        <v>No</v>
      </c>
      <c r="J57" t="str">
        <f t="shared" si="14"/>
        <v>Inadequate</v>
      </c>
      <c r="K57" s="123" t="s">
        <v>75</v>
      </c>
      <c r="L57" t="str">
        <f>IF($K57="No Override",$J57,$K57)</f>
        <v>Inadequate</v>
      </c>
      <c r="N57" t="str">
        <f t="shared" si="16"/>
        <v/>
      </c>
      <c r="O57" t="str">
        <f t="shared" si="17"/>
        <v>No</v>
      </c>
      <c r="P57" t="str">
        <f t="shared" si="18"/>
        <v>Case by case basis</v>
      </c>
      <c r="Q57" t="str">
        <f t="shared" si="19"/>
        <v>Inadequate</v>
      </c>
      <c r="R57" t="str">
        <f t="shared" si="20"/>
        <v>No Override</v>
      </c>
      <c r="S57">
        <f t="shared" si="21"/>
        <v>2</v>
      </c>
      <c r="T57" t="str">
        <f t="shared" si="22"/>
        <v/>
      </c>
    </row>
    <row r="58" spans="1:20" x14ac:dyDescent="0.3">
      <c r="A58" s="181">
        <v>2</v>
      </c>
      <c r="C58">
        <f t="shared" si="13"/>
        <v>2</v>
      </c>
      <c r="D58" t="s">
        <v>448</v>
      </c>
      <c r="E58" s="51" t="s">
        <v>505</v>
      </c>
      <c r="F58" s="132" t="s">
        <v>503</v>
      </c>
      <c r="G58" s="135" t="s">
        <v>506</v>
      </c>
      <c r="H58" s="131" t="str">
        <f>'5. Configuration'!$G27</f>
        <v>Case by case basis</v>
      </c>
      <c r="I58" t="str">
        <f>'5. Configuration'!$F27</f>
        <v>Partial</v>
      </c>
      <c r="J58" t="str">
        <f t="shared" si="14"/>
        <v>Inadequate</v>
      </c>
      <c r="K58" s="123" t="s">
        <v>75</v>
      </c>
      <c r="L58" t="str">
        <f t="shared" si="15"/>
        <v>Inadequate</v>
      </c>
      <c r="N58" t="str">
        <f t="shared" si="16"/>
        <v/>
      </c>
      <c r="O58" t="str">
        <f t="shared" si="17"/>
        <v>Partial</v>
      </c>
      <c r="P58" t="str">
        <f t="shared" si="18"/>
        <v>Case by case basis</v>
      </c>
      <c r="Q58" t="str">
        <f t="shared" si="19"/>
        <v>Inadequate</v>
      </c>
      <c r="R58" t="str">
        <f t="shared" si="20"/>
        <v>No Override</v>
      </c>
      <c r="S58">
        <f t="shared" si="21"/>
        <v>2</v>
      </c>
      <c r="T58" t="str">
        <f t="shared" si="22"/>
        <v/>
      </c>
    </row>
    <row r="59" spans="1:20" ht="45.6" x14ac:dyDescent="0.3">
      <c r="A59" s="181">
        <v>4</v>
      </c>
      <c r="C59">
        <f t="shared" si="13"/>
        <v>4</v>
      </c>
      <c r="D59" t="s">
        <v>775</v>
      </c>
      <c r="E59" s="51" t="s">
        <v>508</v>
      </c>
      <c r="F59" s="57" t="s">
        <v>510</v>
      </c>
      <c r="G59" s="135" t="s">
        <v>511</v>
      </c>
      <c r="H59" s="135" t="str">
        <f>'7. Authentication&amp;Authorization'!$G3</f>
        <v>Customer responsibility to provide. PeriCALM Tracings supports authentication via LDAP</v>
      </c>
      <c r="I59" t="str">
        <f>'7. Authentication&amp;Authorization'!$F3</f>
        <v>Yes</v>
      </c>
      <c r="J59" t="str">
        <f>IF($I59="Yes","Adequate",IF($I59="No","Adequate",IF($I59="Partial","Inadequate",IF($I59="N/A","Inadequate",IF(OR($I59="",$I59=0),"Blank","Error")))))</f>
        <v>Adequate</v>
      </c>
      <c r="K59" s="123" t="s">
        <v>75</v>
      </c>
      <c r="L59" t="str">
        <f t="shared" si="15"/>
        <v>Adequate</v>
      </c>
      <c r="N59" t="str">
        <f t="shared" si="16"/>
        <v/>
      </c>
      <c r="O59" t="str">
        <f t="shared" si="17"/>
        <v>Yes</v>
      </c>
      <c r="P59" t="str">
        <f t="shared" si="18"/>
        <v>Customer responsibility to provide. PeriCALM Tracings supports authentication via LDAP</v>
      </c>
      <c r="Q59" t="str">
        <f t="shared" si="19"/>
        <v>Adequate</v>
      </c>
      <c r="R59" t="str">
        <f t="shared" si="20"/>
        <v>No Override</v>
      </c>
      <c r="S59">
        <f t="shared" si="21"/>
        <v>4</v>
      </c>
      <c r="T59" t="str">
        <f t="shared" si="22"/>
        <v/>
      </c>
    </row>
    <row r="60" spans="1:20" ht="22.8" x14ac:dyDescent="0.3">
      <c r="A60" s="181">
        <v>4</v>
      </c>
      <c r="C60">
        <f t="shared" si="13"/>
        <v>4</v>
      </c>
      <c r="D60" t="s">
        <v>775</v>
      </c>
      <c r="E60" s="51" t="s">
        <v>512</v>
      </c>
      <c r="F60" s="57" t="s">
        <v>515</v>
      </c>
      <c r="G60" s="135" t="s">
        <v>516</v>
      </c>
      <c r="H60" s="135" t="str">
        <f>'7. Authentication&amp;Authorization'!$G4</f>
        <v>Comment is required</v>
      </c>
      <c r="I60" t="str">
        <f>'7. Authentication&amp;Authorization'!$F4</f>
        <v>No</v>
      </c>
      <c r="J60" t="str">
        <f t="shared" ref="J60:J78" si="23">IF($I60="Yes","Adequate",IF($I60="No","Inadequate",IF($I60="Partial","Inadequate",IF($I60="N/A","Inadequate",IF(OR($I60="",$I60=0),"Blank","Error")))))</f>
        <v>Inadequate</v>
      </c>
      <c r="K60" s="123" t="s">
        <v>75</v>
      </c>
      <c r="L60" t="str">
        <f t="shared" si="15"/>
        <v>Inadequate</v>
      </c>
      <c r="N60" t="str">
        <f t="shared" si="16"/>
        <v/>
      </c>
      <c r="O60" t="str">
        <f t="shared" si="17"/>
        <v>No</v>
      </c>
      <c r="P60" t="str">
        <f t="shared" si="18"/>
        <v>Comment is required</v>
      </c>
      <c r="Q60" t="str">
        <f t="shared" si="19"/>
        <v>Inadequate</v>
      </c>
      <c r="R60" t="str">
        <f t="shared" si="20"/>
        <v>No Override</v>
      </c>
      <c r="S60">
        <f t="shared" si="21"/>
        <v>4</v>
      </c>
      <c r="T60" t="str">
        <f t="shared" si="22"/>
        <v/>
      </c>
    </row>
    <row r="61" spans="1:20" ht="45.6" x14ac:dyDescent="0.3">
      <c r="A61" s="181">
        <v>2</v>
      </c>
      <c r="C61">
        <f t="shared" si="13"/>
        <v>2</v>
      </c>
      <c r="D61" t="s">
        <v>775</v>
      </c>
      <c r="E61" s="51" t="s">
        <v>517</v>
      </c>
      <c r="F61" s="57" t="s">
        <v>520</v>
      </c>
      <c r="G61" s="135" t="s">
        <v>521</v>
      </c>
      <c r="H61" s="135" t="str">
        <f>'7. Authentication&amp;Authorization'!$G5</f>
        <v>All stations must be configured for access on the server. Identification is done by hostname (DNS)</v>
      </c>
      <c r="I61" t="str">
        <f>'7. Authentication&amp;Authorization'!$F5</f>
        <v>Yes</v>
      </c>
      <c r="J61" t="str">
        <f t="shared" si="23"/>
        <v>Adequate</v>
      </c>
      <c r="K61" s="123" t="s">
        <v>75</v>
      </c>
      <c r="L61" t="str">
        <f t="shared" si="15"/>
        <v>Adequate</v>
      </c>
      <c r="N61" t="str">
        <f t="shared" si="16"/>
        <v/>
      </c>
      <c r="O61" t="str">
        <f t="shared" si="17"/>
        <v>Yes</v>
      </c>
      <c r="P61" t="str">
        <f t="shared" si="18"/>
        <v>All stations must be configured for access on the server. Identification is done by hostname (DNS)</v>
      </c>
      <c r="Q61" t="str">
        <f t="shared" si="19"/>
        <v>Adequate</v>
      </c>
      <c r="R61" t="str">
        <f t="shared" si="20"/>
        <v>No Override</v>
      </c>
      <c r="S61">
        <f t="shared" si="21"/>
        <v>2</v>
      </c>
      <c r="T61" t="str">
        <f t="shared" si="22"/>
        <v/>
      </c>
    </row>
    <row r="62" spans="1:20" x14ac:dyDescent="0.3">
      <c r="A62" s="181">
        <v>3</v>
      </c>
      <c r="C62">
        <f t="shared" si="13"/>
        <v>3</v>
      </c>
      <c r="D62" t="s">
        <v>775</v>
      </c>
      <c r="E62" s="51" t="s">
        <v>522</v>
      </c>
      <c r="F62" s="57" t="s">
        <v>523</v>
      </c>
      <c r="G62" s="135" t="s">
        <v>524</v>
      </c>
      <c r="H62" s="135" t="str">
        <f>'7. Authentication&amp;Authorization'!$G6</f>
        <v>Comment is required</v>
      </c>
      <c r="I62" t="str">
        <f>'7. Authentication&amp;Authorization'!$F6</f>
        <v>Yes</v>
      </c>
      <c r="J62" t="str">
        <f t="shared" si="23"/>
        <v>Adequate</v>
      </c>
      <c r="K62" s="123" t="s">
        <v>75</v>
      </c>
      <c r="L62" t="str">
        <f t="shared" si="15"/>
        <v>Adequate</v>
      </c>
      <c r="N62" t="str">
        <f t="shared" si="16"/>
        <v/>
      </c>
      <c r="O62" t="str">
        <f t="shared" si="17"/>
        <v>Yes</v>
      </c>
      <c r="P62" t="str">
        <f t="shared" si="18"/>
        <v>Comment is required</v>
      </c>
      <c r="Q62" t="str">
        <f t="shared" si="19"/>
        <v>Adequate</v>
      </c>
      <c r="R62" t="str">
        <f t="shared" si="20"/>
        <v>No Override</v>
      </c>
      <c r="S62">
        <f t="shared" si="21"/>
        <v>3</v>
      </c>
      <c r="T62" t="str">
        <f t="shared" si="22"/>
        <v/>
      </c>
    </row>
    <row r="63" spans="1:20" x14ac:dyDescent="0.3">
      <c r="A63" s="181">
        <v>2</v>
      </c>
      <c r="C63">
        <f t="shared" si="13"/>
        <v>2</v>
      </c>
      <c r="D63" t="s">
        <v>775</v>
      </c>
      <c r="E63" s="51" t="s">
        <v>525</v>
      </c>
      <c r="F63" s="57" t="s">
        <v>523</v>
      </c>
      <c r="G63" s="135" t="s">
        <v>526</v>
      </c>
      <c r="H63" s="135" t="str">
        <f>'7. Authentication&amp;Authorization'!$G7</f>
        <v>Comment is required</v>
      </c>
      <c r="I63" t="str">
        <f>'7. Authentication&amp;Authorization'!$F7</f>
        <v>Yes</v>
      </c>
      <c r="J63" t="str">
        <f t="shared" si="23"/>
        <v>Adequate</v>
      </c>
      <c r="K63" s="123" t="s">
        <v>75</v>
      </c>
      <c r="L63" t="str">
        <f t="shared" si="15"/>
        <v>Adequate</v>
      </c>
      <c r="N63" t="str">
        <f t="shared" si="16"/>
        <v/>
      </c>
      <c r="O63" t="str">
        <f t="shared" si="17"/>
        <v>Yes</v>
      </c>
      <c r="P63" t="str">
        <f t="shared" si="18"/>
        <v>Comment is required</v>
      </c>
      <c r="Q63" t="str">
        <f t="shared" si="19"/>
        <v>Adequate</v>
      </c>
      <c r="R63" t="str">
        <f t="shared" si="20"/>
        <v>No Override</v>
      </c>
      <c r="S63">
        <f t="shared" si="21"/>
        <v>2</v>
      </c>
      <c r="T63" t="str">
        <f t="shared" si="22"/>
        <v/>
      </c>
    </row>
    <row r="64" spans="1:20" x14ac:dyDescent="0.3">
      <c r="A64" s="181">
        <v>3</v>
      </c>
      <c r="C64">
        <f t="shared" si="13"/>
        <v>3</v>
      </c>
      <c r="D64" t="s">
        <v>775</v>
      </c>
      <c r="E64" s="51" t="s">
        <v>527</v>
      </c>
      <c r="F64" s="57" t="s">
        <v>292</v>
      </c>
      <c r="G64" s="135" t="s">
        <v>529</v>
      </c>
      <c r="H64" s="135" t="str">
        <f>'7. Authentication&amp;Authorization'!$G8</f>
        <v>AD controlled</v>
      </c>
      <c r="I64" t="str">
        <f>'7. Authentication&amp;Authorization'!$F8</f>
        <v>N/A</v>
      </c>
      <c r="J64" t="str">
        <f t="shared" si="23"/>
        <v>Inadequate</v>
      </c>
      <c r="K64" s="123" t="s">
        <v>75</v>
      </c>
      <c r="L64" t="str">
        <f t="shared" si="15"/>
        <v>Inadequate</v>
      </c>
      <c r="N64" t="str">
        <f t="shared" si="16"/>
        <v/>
      </c>
      <c r="O64" t="str">
        <f t="shared" si="17"/>
        <v>N/A</v>
      </c>
      <c r="P64" t="str">
        <f t="shared" si="18"/>
        <v>AD controlled</v>
      </c>
      <c r="Q64" t="str">
        <f t="shared" si="19"/>
        <v>Inadequate</v>
      </c>
      <c r="R64" t="str">
        <f t="shared" si="20"/>
        <v>No Override</v>
      </c>
      <c r="S64">
        <f t="shared" si="21"/>
        <v>3</v>
      </c>
      <c r="T64" t="str">
        <f t="shared" si="22"/>
        <v/>
      </c>
    </row>
    <row r="65" spans="1:20" ht="114" x14ac:dyDescent="0.3">
      <c r="A65" s="181">
        <v>1</v>
      </c>
      <c r="C65">
        <f t="shared" si="13"/>
        <v>1</v>
      </c>
      <c r="D65" t="s">
        <v>775</v>
      </c>
      <c r="E65" s="51" t="s">
        <v>530</v>
      </c>
      <c r="F65" s="57" t="s">
        <v>292</v>
      </c>
      <c r="G65" s="135" t="s">
        <v>531</v>
      </c>
      <c r="H65" s="135" t="str">
        <f>'7. Authentication&amp;Authorization'!$G9</f>
        <v>AD controlled</v>
      </c>
      <c r="I65" t="str">
        <f>'7. Authentication&amp;Authorization'!$F9</f>
        <v>N/A</v>
      </c>
      <c r="J65" t="str">
        <f t="shared" si="23"/>
        <v>Inadequate</v>
      </c>
      <c r="K65" s="123" t="s">
        <v>75</v>
      </c>
      <c r="L65" t="str">
        <f t="shared" si="15"/>
        <v>Inadequate</v>
      </c>
      <c r="N65" t="str">
        <f t="shared" si="16"/>
        <v/>
      </c>
      <c r="O65" t="str">
        <f t="shared" si="17"/>
        <v>N/A</v>
      </c>
      <c r="P65" t="str">
        <f t="shared" si="18"/>
        <v>AD controlled</v>
      </c>
      <c r="Q65" t="str">
        <f t="shared" si="19"/>
        <v>Inadequate</v>
      </c>
      <c r="R65" t="str">
        <f t="shared" si="20"/>
        <v>No Override</v>
      </c>
      <c r="S65">
        <f t="shared" si="21"/>
        <v>1</v>
      </c>
      <c r="T65" t="str">
        <f t="shared" si="22"/>
        <v/>
      </c>
    </row>
    <row r="66" spans="1:20" x14ac:dyDescent="0.3">
      <c r="A66" s="181">
        <v>1</v>
      </c>
      <c r="C66">
        <f t="shared" si="13"/>
        <v>1</v>
      </c>
      <c r="D66" t="s">
        <v>775</v>
      </c>
      <c r="E66" s="51" t="s">
        <v>532</v>
      </c>
      <c r="F66" s="57" t="s">
        <v>292</v>
      </c>
      <c r="G66" s="135" t="s">
        <v>533</v>
      </c>
      <c r="H66" s="135" t="str">
        <f>'7. Authentication&amp;Authorization'!$G10</f>
        <v>Comment is required</v>
      </c>
      <c r="I66" t="str">
        <f>'7. Authentication&amp;Authorization'!$F10</f>
        <v>Yes</v>
      </c>
      <c r="J66" t="str">
        <f t="shared" si="23"/>
        <v>Adequate</v>
      </c>
      <c r="K66" s="123" t="s">
        <v>75</v>
      </c>
      <c r="L66" t="str">
        <f t="shared" si="15"/>
        <v>Adequate</v>
      </c>
      <c r="N66" t="str">
        <f t="shared" si="16"/>
        <v/>
      </c>
      <c r="O66" t="str">
        <f t="shared" si="17"/>
        <v>Yes</v>
      </c>
      <c r="P66" t="str">
        <f t="shared" si="18"/>
        <v>Comment is required</v>
      </c>
      <c r="Q66" t="str">
        <f t="shared" si="19"/>
        <v>Adequate</v>
      </c>
      <c r="R66" t="str">
        <f t="shared" si="20"/>
        <v>No Override</v>
      </c>
      <c r="S66">
        <f t="shared" si="21"/>
        <v>1</v>
      </c>
      <c r="T66" t="str">
        <f t="shared" si="22"/>
        <v/>
      </c>
    </row>
    <row r="67" spans="1:20" x14ac:dyDescent="0.3">
      <c r="A67" s="181">
        <v>3</v>
      </c>
      <c r="C67">
        <f t="shared" si="13"/>
        <v>3</v>
      </c>
      <c r="D67" t="s">
        <v>775</v>
      </c>
      <c r="E67" s="51" t="s">
        <v>534</v>
      </c>
      <c r="F67" s="57" t="s">
        <v>292</v>
      </c>
      <c r="G67" s="135" t="s">
        <v>535</v>
      </c>
      <c r="H67" s="135" t="str">
        <f>'7. Authentication&amp;Authorization'!$G11</f>
        <v>Comment is required</v>
      </c>
      <c r="I67" t="str">
        <f>'7. Authentication&amp;Authorization'!$F11</f>
        <v>Yes</v>
      </c>
      <c r="J67" t="str">
        <f t="shared" si="23"/>
        <v>Adequate</v>
      </c>
      <c r="K67" s="123" t="s">
        <v>75</v>
      </c>
      <c r="L67" t="str">
        <f t="shared" si="15"/>
        <v>Adequate</v>
      </c>
      <c r="N67" t="str">
        <f t="shared" si="16"/>
        <v/>
      </c>
      <c r="O67" t="str">
        <f t="shared" si="17"/>
        <v>Yes</v>
      </c>
      <c r="P67" t="str">
        <f t="shared" si="18"/>
        <v>Comment is required</v>
      </c>
      <c r="Q67" t="str">
        <f t="shared" si="19"/>
        <v>Adequate</v>
      </c>
      <c r="R67" t="str">
        <f t="shared" si="20"/>
        <v>No Override</v>
      </c>
      <c r="S67">
        <f t="shared" si="21"/>
        <v>3</v>
      </c>
      <c r="T67" t="str">
        <f t="shared" si="22"/>
        <v/>
      </c>
    </row>
    <row r="68" spans="1:20" x14ac:dyDescent="0.3">
      <c r="A68" s="181">
        <v>3</v>
      </c>
      <c r="C68">
        <f t="shared" si="13"/>
        <v>3</v>
      </c>
      <c r="D68" t="s">
        <v>775</v>
      </c>
      <c r="E68" s="51" t="s">
        <v>536</v>
      </c>
      <c r="F68" s="57" t="s">
        <v>292</v>
      </c>
      <c r="G68" s="135" t="s">
        <v>776</v>
      </c>
      <c r="H68" s="135" t="str">
        <f>'7. Authentication&amp;Authorization'!$G12</f>
        <v>AD controlled</v>
      </c>
      <c r="I68" t="str">
        <f>'7. Authentication&amp;Authorization'!$F12</f>
        <v>Yes</v>
      </c>
      <c r="J68" t="str">
        <f t="shared" si="23"/>
        <v>Adequate</v>
      </c>
      <c r="K68" s="123" t="s">
        <v>75</v>
      </c>
      <c r="L68" t="str">
        <f t="shared" si="15"/>
        <v>Adequate</v>
      </c>
      <c r="N68" t="str">
        <f t="shared" si="16"/>
        <v/>
      </c>
      <c r="O68" t="str">
        <f t="shared" si="17"/>
        <v>Yes</v>
      </c>
      <c r="P68" t="str">
        <f t="shared" si="18"/>
        <v>AD controlled</v>
      </c>
      <c r="Q68" t="str">
        <f t="shared" si="19"/>
        <v>Adequate</v>
      </c>
      <c r="R68" t="str">
        <f t="shared" si="20"/>
        <v>No Override</v>
      </c>
      <c r="S68">
        <f t="shared" si="21"/>
        <v>3</v>
      </c>
      <c r="T68" t="str">
        <f t="shared" si="22"/>
        <v/>
      </c>
    </row>
    <row r="69" spans="1:20" x14ac:dyDescent="0.3">
      <c r="A69" s="181">
        <v>4</v>
      </c>
      <c r="C69">
        <f t="shared" si="13"/>
        <v>4</v>
      </c>
      <c r="D69" t="s">
        <v>775</v>
      </c>
      <c r="E69" s="51" t="s">
        <v>538</v>
      </c>
      <c r="F69" s="57" t="s">
        <v>540</v>
      </c>
      <c r="G69" s="135" t="s">
        <v>541</v>
      </c>
      <c r="H69" s="135" t="str">
        <f>'7. Authentication&amp;Authorization'!$G13</f>
        <v>Comment is required</v>
      </c>
      <c r="I69" t="str">
        <f>'7. Authentication&amp;Authorization'!$F13</f>
        <v>Yes</v>
      </c>
      <c r="J69" t="str">
        <f t="shared" si="23"/>
        <v>Adequate</v>
      </c>
      <c r="K69" s="123" t="s">
        <v>75</v>
      </c>
      <c r="L69" t="str">
        <f t="shared" si="15"/>
        <v>Adequate</v>
      </c>
      <c r="N69" t="str">
        <f t="shared" si="16"/>
        <v/>
      </c>
      <c r="O69" t="str">
        <f t="shared" si="17"/>
        <v>Yes</v>
      </c>
      <c r="P69" t="str">
        <f t="shared" si="18"/>
        <v>Comment is required</v>
      </c>
      <c r="Q69" t="str">
        <f t="shared" si="19"/>
        <v>Adequate</v>
      </c>
      <c r="R69" t="str">
        <f t="shared" si="20"/>
        <v>No Override</v>
      </c>
      <c r="S69">
        <f t="shared" si="21"/>
        <v>4</v>
      </c>
      <c r="T69" t="str">
        <f t="shared" si="22"/>
        <v/>
      </c>
    </row>
    <row r="70" spans="1:20" ht="22.8" x14ac:dyDescent="0.3">
      <c r="A70" s="181">
        <v>4</v>
      </c>
      <c r="C70">
        <f t="shared" si="13"/>
        <v>4</v>
      </c>
      <c r="D70" t="s">
        <v>775</v>
      </c>
      <c r="E70" s="51" t="s">
        <v>542</v>
      </c>
      <c r="F70" s="57" t="s">
        <v>544</v>
      </c>
      <c r="G70" s="135" t="s">
        <v>545</v>
      </c>
      <c r="H70" s="135" t="str">
        <f>'7. Authentication&amp;Authorization'!$G14</f>
        <v>Comment is required</v>
      </c>
      <c r="I70" t="str">
        <f>'7. Authentication&amp;Authorization'!$F14</f>
        <v>No</v>
      </c>
      <c r="J70" t="str">
        <f t="shared" si="23"/>
        <v>Inadequate</v>
      </c>
      <c r="K70" s="123" t="s">
        <v>75</v>
      </c>
      <c r="L70" t="str">
        <f t="shared" si="15"/>
        <v>Inadequate</v>
      </c>
      <c r="N70" t="str">
        <f t="shared" si="16"/>
        <v/>
      </c>
      <c r="O70" t="str">
        <f t="shared" si="17"/>
        <v>No</v>
      </c>
      <c r="P70" t="str">
        <f t="shared" si="18"/>
        <v>Comment is required</v>
      </c>
      <c r="Q70" t="str">
        <f t="shared" si="19"/>
        <v>Inadequate</v>
      </c>
      <c r="R70" t="str">
        <f t="shared" si="20"/>
        <v>No Override</v>
      </c>
      <c r="S70">
        <f t="shared" si="21"/>
        <v>4</v>
      </c>
      <c r="T70" t="str">
        <f t="shared" si="22"/>
        <v/>
      </c>
    </row>
    <row r="71" spans="1:20" x14ac:dyDescent="0.3">
      <c r="A71" s="181">
        <v>1</v>
      </c>
      <c r="C71">
        <f t="shared" si="13"/>
        <v>1</v>
      </c>
      <c r="D71" t="s">
        <v>777</v>
      </c>
      <c r="E71" s="51" t="s">
        <v>547</v>
      </c>
      <c r="F71" s="57" t="s">
        <v>550</v>
      </c>
      <c r="G71" s="50" t="s">
        <v>551</v>
      </c>
      <c r="H71" s="134" t="str">
        <f>'8. Incident Response'!$G3</f>
        <v>Comment is required</v>
      </c>
      <c r="I71" t="str">
        <f>'8. Incident Response'!$F3</f>
        <v>Yes</v>
      </c>
      <c r="J71" t="str">
        <f t="shared" si="23"/>
        <v>Adequate</v>
      </c>
      <c r="K71" s="123" t="s">
        <v>75</v>
      </c>
      <c r="L71" t="str">
        <f t="shared" si="15"/>
        <v>Adequate</v>
      </c>
      <c r="N71" t="str">
        <f t="shared" si="16"/>
        <v/>
      </c>
      <c r="O71" t="str">
        <f t="shared" si="17"/>
        <v>Yes</v>
      </c>
      <c r="P71" t="str">
        <f t="shared" si="18"/>
        <v>Comment is required</v>
      </c>
      <c r="Q71" t="str">
        <f t="shared" si="19"/>
        <v>Adequate</v>
      </c>
      <c r="R71" t="str">
        <f t="shared" si="20"/>
        <v>No Override</v>
      </c>
      <c r="S71">
        <f t="shared" si="21"/>
        <v>1</v>
      </c>
      <c r="T71" t="str">
        <f t="shared" si="22"/>
        <v/>
      </c>
    </row>
    <row r="72" spans="1:20" x14ac:dyDescent="0.3">
      <c r="A72" s="181">
        <v>2</v>
      </c>
      <c r="C72">
        <f t="shared" si="13"/>
        <v>2</v>
      </c>
      <c r="D72" t="s">
        <v>777</v>
      </c>
      <c r="E72" s="51" t="s">
        <v>552</v>
      </c>
      <c r="F72" s="57" t="s">
        <v>554</v>
      </c>
      <c r="G72" s="135" t="s">
        <v>555</v>
      </c>
      <c r="H72" s="134" t="str">
        <f>'8. Incident Response'!$G4</f>
        <v>Comment is required</v>
      </c>
      <c r="I72" t="str">
        <f>'8. Incident Response'!$F4</f>
        <v>Yes</v>
      </c>
      <c r="J72" t="str">
        <f t="shared" si="23"/>
        <v>Adequate</v>
      </c>
      <c r="K72" s="123" t="s">
        <v>75</v>
      </c>
      <c r="L72" t="str">
        <f t="shared" si="15"/>
        <v>Adequate</v>
      </c>
      <c r="N72" t="str">
        <f t="shared" si="16"/>
        <v/>
      </c>
      <c r="O72" t="str">
        <f t="shared" si="17"/>
        <v>Yes</v>
      </c>
      <c r="P72" t="str">
        <f t="shared" si="18"/>
        <v>Comment is required</v>
      </c>
      <c r="Q72" t="str">
        <f t="shared" si="19"/>
        <v>Adequate</v>
      </c>
      <c r="R72" t="str">
        <f t="shared" si="20"/>
        <v>No Override</v>
      </c>
      <c r="S72">
        <f t="shared" si="21"/>
        <v>2</v>
      </c>
      <c r="T72" t="str">
        <f t="shared" si="22"/>
        <v/>
      </c>
    </row>
    <row r="73" spans="1:20" x14ac:dyDescent="0.3">
      <c r="A73" s="181">
        <v>2</v>
      </c>
      <c r="C73">
        <f t="shared" si="13"/>
        <v>2</v>
      </c>
      <c r="D73" t="s">
        <v>777</v>
      </c>
      <c r="E73" s="51" t="s">
        <v>556</v>
      </c>
      <c r="F73" s="57" t="s">
        <v>554</v>
      </c>
      <c r="G73" s="135" t="s">
        <v>557</v>
      </c>
      <c r="H73" s="134" t="str">
        <f>'8. Incident Response'!$G5</f>
        <v>Comment is required</v>
      </c>
      <c r="I73" t="str">
        <f>'8. Incident Response'!$F5</f>
        <v>Yes</v>
      </c>
      <c r="J73" t="str">
        <f t="shared" si="23"/>
        <v>Adequate</v>
      </c>
      <c r="K73" s="123" t="s">
        <v>75</v>
      </c>
      <c r="L73" t="str">
        <f t="shared" si="15"/>
        <v>Adequate</v>
      </c>
      <c r="N73" t="str">
        <f t="shared" si="16"/>
        <v/>
      </c>
      <c r="O73" t="str">
        <f t="shared" si="17"/>
        <v>Yes</v>
      </c>
      <c r="P73" t="str">
        <f t="shared" si="18"/>
        <v>Comment is required</v>
      </c>
      <c r="Q73" t="str">
        <f t="shared" si="19"/>
        <v>Adequate</v>
      </c>
      <c r="R73" t="str">
        <f t="shared" si="20"/>
        <v>No Override</v>
      </c>
      <c r="S73">
        <f t="shared" si="21"/>
        <v>2</v>
      </c>
      <c r="T73" t="str">
        <f t="shared" si="22"/>
        <v/>
      </c>
    </row>
    <row r="74" spans="1:20" x14ac:dyDescent="0.3">
      <c r="A74" s="181">
        <v>2</v>
      </c>
      <c r="C74">
        <f t="shared" si="13"/>
        <v>2</v>
      </c>
      <c r="D74" t="s">
        <v>777</v>
      </c>
      <c r="E74" s="51" t="s">
        <v>558</v>
      </c>
      <c r="F74" s="57" t="s">
        <v>560</v>
      </c>
      <c r="G74" s="135" t="s">
        <v>561</v>
      </c>
      <c r="H74" s="134" t="str">
        <f>'8. Incident Response'!$G6</f>
        <v>Comment is required</v>
      </c>
      <c r="I74" t="str">
        <f>'8. Incident Response'!$F6</f>
        <v>No</v>
      </c>
      <c r="J74" t="str">
        <f t="shared" si="23"/>
        <v>Inadequate</v>
      </c>
      <c r="K74" s="123" t="s">
        <v>75</v>
      </c>
      <c r="L74" t="str">
        <f t="shared" si="15"/>
        <v>Inadequate</v>
      </c>
      <c r="N74" t="str">
        <f t="shared" si="16"/>
        <v/>
      </c>
      <c r="O74" t="str">
        <f t="shared" si="17"/>
        <v>No</v>
      </c>
      <c r="P74" t="str">
        <f t="shared" si="18"/>
        <v>Comment is required</v>
      </c>
      <c r="Q74" t="str">
        <f t="shared" si="19"/>
        <v>Inadequate</v>
      </c>
      <c r="R74" t="str">
        <f t="shared" si="20"/>
        <v>No Override</v>
      </c>
      <c r="S74">
        <f t="shared" si="21"/>
        <v>2</v>
      </c>
      <c r="T74" t="str">
        <f t="shared" ref="T74:T91" si="24">IF($L74=$Q74,"","***")</f>
        <v/>
      </c>
    </row>
    <row r="75" spans="1:20" x14ac:dyDescent="0.3">
      <c r="A75" s="181">
        <v>2</v>
      </c>
      <c r="C75">
        <f t="shared" si="13"/>
        <v>2</v>
      </c>
      <c r="D75" t="s">
        <v>777</v>
      </c>
      <c r="E75" s="51" t="s">
        <v>562</v>
      </c>
      <c r="F75" s="57" t="s">
        <v>560</v>
      </c>
      <c r="G75" s="135" t="s">
        <v>563</v>
      </c>
      <c r="H75" s="134" t="str">
        <f>'8. Incident Response'!$G7</f>
        <v>Comment is required</v>
      </c>
      <c r="I75" t="str">
        <f>'8. Incident Response'!$F7</f>
        <v>No</v>
      </c>
      <c r="J75" t="str">
        <f t="shared" si="23"/>
        <v>Inadequate</v>
      </c>
      <c r="K75" s="123" t="s">
        <v>75</v>
      </c>
      <c r="L75" t="str">
        <f t="shared" si="15"/>
        <v>Inadequate</v>
      </c>
      <c r="N75" t="str">
        <f t="shared" si="16"/>
        <v/>
      </c>
      <c r="O75" t="str">
        <f t="shared" si="17"/>
        <v>No</v>
      </c>
      <c r="P75" t="str">
        <f t="shared" si="18"/>
        <v>Comment is required</v>
      </c>
      <c r="Q75" t="str">
        <f t="shared" si="19"/>
        <v>Inadequate</v>
      </c>
      <c r="R75" t="str">
        <f t="shared" si="20"/>
        <v>No Override</v>
      </c>
      <c r="S75">
        <f t="shared" si="21"/>
        <v>2</v>
      </c>
      <c r="T75" t="str">
        <f t="shared" si="24"/>
        <v/>
      </c>
    </row>
    <row r="76" spans="1:20" x14ac:dyDescent="0.3">
      <c r="A76" s="181">
        <v>1</v>
      </c>
      <c r="C76">
        <f t="shared" si="13"/>
        <v>1</v>
      </c>
      <c r="D76" t="s">
        <v>777</v>
      </c>
      <c r="E76" s="51" t="s">
        <v>564</v>
      </c>
      <c r="F76" s="57" t="s">
        <v>567</v>
      </c>
      <c r="G76" s="135" t="s">
        <v>568</v>
      </c>
      <c r="H76" s="134" t="str">
        <f>'8. Incident Response'!$G8</f>
        <v>Comment is required</v>
      </c>
      <c r="I76" t="str">
        <f>'8. Incident Response'!$F8</f>
        <v>Yes</v>
      </c>
      <c r="J76" t="str">
        <f t="shared" si="23"/>
        <v>Adequate</v>
      </c>
      <c r="K76" s="123" t="s">
        <v>75</v>
      </c>
      <c r="L76" t="str">
        <f t="shared" si="15"/>
        <v>Adequate</v>
      </c>
      <c r="N76" t="str">
        <f t="shared" si="16"/>
        <v/>
      </c>
      <c r="O76" t="str">
        <f t="shared" si="17"/>
        <v>Yes</v>
      </c>
      <c r="P76" t="str">
        <f t="shared" si="18"/>
        <v>Comment is required</v>
      </c>
      <c r="Q76" t="str">
        <f t="shared" si="19"/>
        <v>Adequate</v>
      </c>
      <c r="R76" t="str">
        <f t="shared" si="20"/>
        <v>No Override</v>
      </c>
      <c r="S76">
        <f t="shared" si="21"/>
        <v>1</v>
      </c>
      <c r="T76" t="str">
        <f t="shared" si="24"/>
        <v/>
      </c>
    </row>
    <row r="77" spans="1:20" x14ac:dyDescent="0.3">
      <c r="A77" s="181">
        <v>1</v>
      </c>
      <c r="C77">
        <f t="shared" si="13"/>
        <v>1</v>
      </c>
      <c r="D77" t="s">
        <v>777</v>
      </c>
      <c r="E77" s="51" t="s">
        <v>569</v>
      </c>
      <c r="F77" s="57" t="s">
        <v>572</v>
      </c>
      <c r="G77" s="135" t="s">
        <v>573</v>
      </c>
      <c r="H77" s="134" t="str">
        <f>'8. Incident Response'!$G9</f>
        <v>Comment is required</v>
      </c>
      <c r="I77" t="str">
        <f>'8. Incident Response'!$F9</f>
        <v>Yes</v>
      </c>
      <c r="J77" t="str">
        <f t="shared" si="23"/>
        <v>Adequate</v>
      </c>
      <c r="K77" s="123" t="s">
        <v>75</v>
      </c>
      <c r="L77" t="str">
        <f t="shared" si="15"/>
        <v>Adequate</v>
      </c>
      <c r="N77" t="str">
        <f t="shared" si="16"/>
        <v/>
      </c>
      <c r="O77" t="str">
        <f t="shared" si="17"/>
        <v>Yes</v>
      </c>
      <c r="P77" t="str">
        <f t="shared" si="18"/>
        <v>Comment is required</v>
      </c>
      <c r="Q77" t="str">
        <f t="shared" si="19"/>
        <v>Adequate</v>
      </c>
      <c r="R77" t="str">
        <f t="shared" si="20"/>
        <v>No Override</v>
      </c>
      <c r="S77">
        <f t="shared" si="21"/>
        <v>1</v>
      </c>
      <c r="T77" t="str">
        <f t="shared" si="24"/>
        <v/>
      </c>
    </row>
    <row r="78" spans="1:20" x14ac:dyDescent="0.3">
      <c r="A78" s="181">
        <v>1</v>
      </c>
      <c r="C78">
        <f t="shared" si="13"/>
        <v>1</v>
      </c>
      <c r="D78" t="s">
        <v>777</v>
      </c>
      <c r="E78" s="51" t="s">
        <v>574</v>
      </c>
      <c r="F78" s="57" t="s">
        <v>577</v>
      </c>
      <c r="G78" s="135" t="s">
        <v>578</v>
      </c>
      <c r="H78" s="134" t="str">
        <f>'8. Incident Response'!$G10</f>
        <v>Comment is required</v>
      </c>
      <c r="I78" t="str">
        <f>'8. Incident Response'!$F10</f>
        <v>Yes</v>
      </c>
      <c r="J78" t="str">
        <f t="shared" si="23"/>
        <v>Adequate</v>
      </c>
      <c r="K78" s="123" t="s">
        <v>75</v>
      </c>
      <c r="L78" t="str">
        <f t="shared" si="15"/>
        <v>Adequate</v>
      </c>
      <c r="N78" t="str">
        <f t="shared" si="16"/>
        <v/>
      </c>
      <c r="O78" t="str">
        <f t="shared" si="17"/>
        <v>Yes</v>
      </c>
      <c r="P78" t="str">
        <f t="shared" si="18"/>
        <v>Comment is required</v>
      </c>
      <c r="Q78" t="str">
        <f t="shared" si="19"/>
        <v>Adequate</v>
      </c>
      <c r="R78" t="str">
        <f t="shared" si="20"/>
        <v>No Override</v>
      </c>
      <c r="S78">
        <f t="shared" si="21"/>
        <v>1</v>
      </c>
      <c r="T78" t="str">
        <f t="shared" si="24"/>
        <v/>
      </c>
    </row>
    <row r="79" spans="1:20" ht="24" x14ac:dyDescent="0.3">
      <c r="A79" s="181">
        <v>3</v>
      </c>
      <c r="C79">
        <f t="shared" si="13"/>
        <v>3</v>
      </c>
      <c r="D79" t="s">
        <v>777</v>
      </c>
      <c r="E79" s="51" t="s">
        <v>579</v>
      </c>
      <c r="F79" s="57" t="s">
        <v>582</v>
      </c>
      <c r="G79" s="135" t="s">
        <v>583</v>
      </c>
      <c r="H79" s="134" t="str">
        <f>'8. Incident Response'!$G11</f>
        <v>If required. Case by case basis.</v>
      </c>
      <c r="I79" t="str">
        <f>'8. Incident Response'!$F11</f>
        <v>Yes</v>
      </c>
      <c r="J79" t="str">
        <f>IF($I79="Yes","Adequate",IF($I79="No","Adequate",IF($I79="Partial","Inadequate",IF($I79="N/A","Inadequate",IF(OR($I79="",$I79=0),"Blank","Error")))))</f>
        <v>Adequate</v>
      </c>
      <c r="K79" s="123" t="s">
        <v>75</v>
      </c>
      <c r="L79" t="str">
        <f t="shared" ref="L79:L91" si="25">IF($K79="No Override",$J79,$K79)</f>
        <v>Adequate</v>
      </c>
      <c r="N79" t="str">
        <f t="shared" si="16"/>
        <v/>
      </c>
      <c r="O79" t="str">
        <f t="shared" si="17"/>
        <v>Yes</v>
      </c>
      <c r="P79" t="str">
        <f t="shared" si="18"/>
        <v>If required. Case by case basis.</v>
      </c>
      <c r="Q79" t="str">
        <f t="shared" si="19"/>
        <v>Adequate</v>
      </c>
      <c r="R79" t="str">
        <f t="shared" si="20"/>
        <v>No Override</v>
      </c>
      <c r="S79">
        <f t="shared" si="21"/>
        <v>3</v>
      </c>
      <c r="T79" t="str">
        <f t="shared" si="24"/>
        <v/>
      </c>
    </row>
    <row r="80" spans="1:20" x14ac:dyDescent="0.3">
      <c r="A80" s="181">
        <v>1</v>
      </c>
      <c r="C80">
        <f t="shared" ref="C80:C91" si="26">IF($B80="",$A80,$B80)</f>
        <v>1</v>
      </c>
      <c r="D80" t="s">
        <v>777</v>
      </c>
      <c r="E80" s="51" t="s">
        <v>584</v>
      </c>
      <c r="F80" s="57" t="s">
        <v>342</v>
      </c>
      <c r="G80" s="135" t="s">
        <v>585</v>
      </c>
      <c r="H80" s="134" t="str">
        <f>'8. Incident Response'!$G12</f>
        <v>see internal policy</v>
      </c>
      <c r="I80" t="str">
        <f>'8. Incident Response'!$F12</f>
        <v>Yes</v>
      </c>
      <c r="J80" t="str">
        <f>IF($I80="Yes","Adequate",IF($I80="No","Inadequate",IF($I80="Partial","Inadequate",IF($I80="N/A","Inadequate",IF(OR($I80="",$I80=0),"Blank","Error")))))</f>
        <v>Adequate</v>
      </c>
      <c r="K80" s="123" t="s">
        <v>75</v>
      </c>
      <c r="L80" t="str">
        <f t="shared" si="25"/>
        <v>Adequate</v>
      </c>
      <c r="N80" t="str">
        <f t="shared" ref="N80:N91" si="27">IF($J80=$L80,"","***")</f>
        <v/>
      </c>
      <c r="O80" t="str">
        <f t="shared" ref="O80:O91" si="28">IF(OR($I80="",$I80=0),"",$I80)</f>
        <v>Yes</v>
      </c>
      <c r="P80" t="str">
        <f t="shared" ref="P80:P91" si="29">IF(OR($H80="",$H80=0),"",$H80)</f>
        <v>see internal policy</v>
      </c>
      <c r="Q80" t="str">
        <f t="shared" ref="Q80:Q91" si="30">$L80</f>
        <v>Adequate</v>
      </c>
      <c r="R80" t="str">
        <f t="shared" ref="R80:R91" si="31">$K80</f>
        <v>No Override</v>
      </c>
      <c r="S80">
        <f t="shared" ref="S80:S91" si="32">$C80</f>
        <v>1</v>
      </c>
      <c r="T80" t="str">
        <f t="shared" si="24"/>
        <v/>
      </c>
    </row>
    <row r="81" spans="1:20" x14ac:dyDescent="0.3">
      <c r="A81" s="181">
        <v>3</v>
      </c>
      <c r="C81">
        <f t="shared" si="26"/>
        <v>3</v>
      </c>
      <c r="D81" t="s">
        <v>777</v>
      </c>
      <c r="E81" s="51" t="s">
        <v>586</v>
      </c>
      <c r="F81" s="57" t="s">
        <v>588</v>
      </c>
      <c r="G81" s="135" t="s">
        <v>589</v>
      </c>
      <c r="H81" s="134" t="str">
        <f>'8. Incident Response'!$G13</f>
        <v>Comment is required</v>
      </c>
      <c r="I81" t="str">
        <f>'8. Incident Response'!$F13</f>
        <v>Yes</v>
      </c>
      <c r="J81" t="str">
        <f t="shared" ref="J81:J91" si="33">IF($I81="Yes","Adequate",IF($I81="No","Inadequate",IF($I81="Partial","Inadequate",IF($I81="N/A","Inadequate",IF(OR($I81="",$I81=0),"Blank","Error")))))</f>
        <v>Adequate</v>
      </c>
      <c r="K81" s="123" t="s">
        <v>75</v>
      </c>
      <c r="L81" t="str">
        <f t="shared" si="25"/>
        <v>Adequate</v>
      </c>
      <c r="N81" t="str">
        <f t="shared" si="27"/>
        <v/>
      </c>
      <c r="O81" t="str">
        <f t="shared" si="28"/>
        <v>Yes</v>
      </c>
      <c r="P81" t="str">
        <f t="shared" si="29"/>
        <v>Comment is required</v>
      </c>
      <c r="Q81" t="str">
        <f t="shared" si="30"/>
        <v>Adequate</v>
      </c>
      <c r="R81" t="str">
        <f t="shared" si="31"/>
        <v>No Override</v>
      </c>
      <c r="S81">
        <f t="shared" si="32"/>
        <v>3</v>
      </c>
      <c r="T81" t="str">
        <f t="shared" si="24"/>
        <v/>
      </c>
    </row>
    <row r="82" spans="1:20" ht="34.200000000000003" x14ac:dyDescent="0.3">
      <c r="A82" s="181">
        <v>4</v>
      </c>
      <c r="C82">
        <f t="shared" si="26"/>
        <v>4</v>
      </c>
      <c r="D82" t="s">
        <v>590</v>
      </c>
      <c r="E82" s="51" t="s">
        <v>591</v>
      </c>
      <c r="F82" s="57" t="s">
        <v>594</v>
      </c>
      <c r="G82" s="131" t="s">
        <v>595</v>
      </c>
      <c r="H82" s="131" t="str">
        <f>'9. Maintenance'!$G3</f>
        <v>PeriGen does not provide propriatary internal QMS documents</v>
      </c>
      <c r="I82" t="str">
        <f>'9. Maintenance'!$F3</f>
        <v>Yes</v>
      </c>
      <c r="J82" t="str">
        <f t="shared" si="33"/>
        <v>Adequate</v>
      </c>
      <c r="K82" s="123" t="s">
        <v>75</v>
      </c>
      <c r="L82" t="str">
        <f t="shared" si="25"/>
        <v>Adequate</v>
      </c>
      <c r="N82" t="str">
        <f t="shared" si="27"/>
        <v/>
      </c>
      <c r="O82" t="str">
        <f t="shared" si="28"/>
        <v>Yes</v>
      </c>
      <c r="P82" t="str">
        <f t="shared" si="29"/>
        <v>PeriGen does not provide propriatary internal QMS documents</v>
      </c>
      <c r="Q82" t="str">
        <f t="shared" si="30"/>
        <v>Adequate</v>
      </c>
      <c r="R82" t="str">
        <f t="shared" si="31"/>
        <v>No Override</v>
      </c>
      <c r="S82">
        <f t="shared" si="32"/>
        <v>4</v>
      </c>
      <c r="T82" t="str">
        <f t="shared" si="24"/>
        <v/>
      </c>
    </row>
    <row r="83" spans="1:20" ht="68.400000000000006" x14ac:dyDescent="0.3">
      <c r="A83" s="181">
        <v>4</v>
      </c>
      <c r="C83">
        <f t="shared" si="26"/>
        <v>4</v>
      </c>
      <c r="D83" t="s">
        <v>590</v>
      </c>
      <c r="E83" s="54" t="s">
        <v>596</v>
      </c>
      <c r="F83" s="60" t="s">
        <v>597</v>
      </c>
      <c r="G83" s="135" t="s">
        <v>598</v>
      </c>
      <c r="H83" s="131" t="str">
        <f>'9. Maintenance'!$G4</f>
        <v>For internal access control to access customer sites - Yes. Regular checks of PeriCALM system is the responsibility of the customer.</v>
      </c>
      <c r="I83" t="str">
        <f>'9. Maintenance'!$F4</f>
        <v>Partial</v>
      </c>
      <c r="J83" t="str">
        <f t="shared" si="33"/>
        <v>Inadequate</v>
      </c>
      <c r="K83" s="123" t="s">
        <v>75</v>
      </c>
      <c r="L83" t="str">
        <f t="shared" si="25"/>
        <v>Inadequate</v>
      </c>
      <c r="N83" t="str">
        <f t="shared" si="27"/>
        <v/>
      </c>
      <c r="O83" t="str">
        <f t="shared" si="28"/>
        <v>Partial</v>
      </c>
      <c r="P83" t="str">
        <f t="shared" si="29"/>
        <v>For internal access control to access customer sites - Yes. Regular checks of PeriCALM system is the responsibility of the customer.</v>
      </c>
      <c r="Q83" t="str">
        <f t="shared" si="30"/>
        <v>Inadequate</v>
      </c>
      <c r="R83" t="str">
        <f t="shared" si="31"/>
        <v>No Override</v>
      </c>
      <c r="S83">
        <f t="shared" si="32"/>
        <v>4</v>
      </c>
      <c r="T83" t="str">
        <f t="shared" si="24"/>
        <v/>
      </c>
    </row>
    <row r="84" spans="1:20" ht="79.8" x14ac:dyDescent="0.3">
      <c r="A84" s="181">
        <v>4</v>
      </c>
      <c r="C84">
        <f t="shared" si="26"/>
        <v>4</v>
      </c>
      <c r="D84" t="s">
        <v>590</v>
      </c>
      <c r="E84" s="51" t="s">
        <v>599</v>
      </c>
      <c r="F84" s="57" t="s">
        <v>601</v>
      </c>
      <c r="G84" s="135" t="s">
        <v>602</v>
      </c>
      <c r="H84" s="131" t="str">
        <f>'9. Maintenance'!$G5</f>
        <v>Yes as part of QA/QC process of product releases. That said, controls on customer provided servers is the responsibility of the customer.</v>
      </c>
      <c r="I84" t="str">
        <f>'9. Maintenance'!$F5</f>
        <v>Yes</v>
      </c>
      <c r="J84" t="str">
        <f t="shared" si="33"/>
        <v>Adequate</v>
      </c>
      <c r="K84" s="123" t="s">
        <v>75</v>
      </c>
      <c r="L84" t="str">
        <f t="shared" si="25"/>
        <v>Adequate</v>
      </c>
      <c r="N84" t="str">
        <f t="shared" si="27"/>
        <v/>
      </c>
      <c r="O84" t="str">
        <f t="shared" si="28"/>
        <v>Yes</v>
      </c>
      <c r="P84" t="str">
        <f t="shared" si="29"/>
        <v>Yes as part of QA/QC process of product releases. That said, controls on customer provided servers is the responsibility of the customer.</v>
      </c>
      <c r="Q84" t="str">
        <f t="shared" si="30"/>
        <v>Adequate</v>
      </c>
      <c r="R84" t="str">
        <f t="shared" si="31"/>
        <v>No Override</v>
      </c>
      <c r="S84">
        <f t="shared" si="32"/>
        <v>4</v>
      </c>
      <c r="T84" t="str">
        <f t="shared" si="24"/>
        <v/>
      </c>
    </row>
    <row r="85" spans="1:20" ht="22.8" x14ac:dyDescent="0.3">
      <c r="A85" s="181">
        <v>4</v>
      </c>
      <c r="C85">
        <f t="shared" si="26"/>
        <v>4</v>
      </c>
      <c r="D85" t="s">
        <v>590</v>
      </c>
      <c r="E85" s="51" t="s">
        <v>603</v>
      </c>
      <c r="F85" s="57" t="s">
        <v>604</v>
      </c>
      <c r="G85" s="135" t="s">
        <v>605</v>
      </c>
      <c r="H85" s="131" t="str">
        <f>'9. Maintenance'!$G6</f>
        <v>Comment is required</v>
      </c>
      <c r="I85" t="str">
        <f>'9. Maintenance'!$F6</f>
        <v>Yes</v>
      </c>
      <c r="J85" s="45" t="str">
        <f>IF(AND($I85="Yes",$I86="Yes",$I87="Yes",$I88="Yes",$I89="Yes"),"Adequate",IF(AND($I85="Yes",OR(NOT($I86="Yes"),NOT($I87="Yes"),NOT($I88="Yes"),NOT($I89="Yes"))),"Inadequate",IF($I85="No","N/A",IF($I85="Partial","Inadequate",IF($I85="N/A","N/A",IF(OR($I85="",$I85=0),"Blank","Error"))))))</f>
        <v>Adequate</v>
      </c>
      <c r="K85" s="123" t="s">
        <v>75</v>
      </c>
      <c r="L85" t="str">
        <f t="shared" si="25"/>
        <v>Adequate</v>
      </c>
      <c r="N85" t="str">
        <f t="shared" si="27"/>
        <v/>
      </c>
      <c r="O85" t="str">
        <f t="shared" si="28"/>
        <v>Yes</v>
      </c>
      <c r="P85" t="str">
        <f t="shared" si="29"/>
        <v>Comment is required</v>
      </c>
      <c r="Q85" t="str">
        <f t="shared" si="30"/>
        <v>Adequate</v>
      </c>
      <c r="R85" t="str">
        <f t="shared" si="31"/>
        <v>No Override</v>
      </c>
      <c r="S85">
        <f t="shared" si="32"/>
        <v>4</v>
      </c>
      <c r="T85" t="str">
        <f t="shared" si="24"/>
        <v/>
      </c>
    </row>
    <row r="86" spans="1:20" ht="159.6" x14ac:dyDescent="0.3">
      <c r="A86" s="181">
        <v>1</v>
      </c>
      <c r="C86">
        <f t="shared" si="26"/>
        <v>1</v>
      </c>
      <c r="D86" t="s">
        <v>590</v>
      </c>
      <c r="E86" s="51" t="s">
        <v>606</v>
      </c>
      <c r="F86" s="57" t="s">
        <v>604</v>
      </c>
      <c r="G86" s="135" t="s">
        <v>607</v>
      </c>
      <c r="H86" s="131" t="str">
        <f>'9. Maintenance'!$G7</f>
        <v>Since we provide 24/7/365 support, out help desk team along with more senior technical analysts have access to the site remotely to resolve/troubleshoot and system problem. No specific approval is needed other than the original authorization of approved resources to access remote customer sites via SecureLink.</v>
      </c>
      <c r="I86" t="str">
        <f>'9. Maintenance'!$F7</f>
        <v>Yes</v>
      </c>
      <c r="J86" s="53" t="str">
        <f>IF(OR($I85="N/A",$I85="No"),"N/A",IF($I86="Yes","Adequate",IF($I86="No","Inadequate",IF($I86="Partial","Inadequate",IF(AND($I86="N/A",NOT($I85="No"),NOT($I85="N/A")),"Inadequate",IF(OR($I86="",$I86=0),"Blank","Error"))))))</f>
        <v>Adequate</v>
      </c>
      <c r="K86" s="123" t="s">
        <v>75</v>
      </c>
      <c r="L86" t="str">
        <f t="shared" si="25"/>
        <v>Adequate</v>
      </c>
      <c r="N86" t="str">
        <f t="shared" si="27"/>
        <v/>
      </c>
      <c r="O86" t="str">
        <f t="shared" si="28"/>
        <v>Yes</v>
      </c>
      <c r="P86" t="str">
        <f t="shared" si="29"/>
        <v>Since we provide 24/7/365 support, out help desk team along with more senior technical analysts have access to the site remotely to resolve/troubleshoot and system problem. No specific approval is needed other than the original authorization of approved resources to access remote customer sites via SecureLink.</v>
      </c>
      <c r="Q86" t="str">
        <f t="shared" si="30"/>
        <v>Adequate</v>
      </c>
      <c r="R86" t="str">
        <f t="shared" si="31"/>
        <v>No Override</v>
      </c>
      <c r="S86">
        <f t="shared" si="32"/>
        <v>1</v>
      </c>
      <c r="T86" t="str">
        <f t="shared" si="24"/>
        <v/>
      </c>
    </row>
    <row r="87" spans="1:20" x14ac:dyDescent="0.3">
      <c r="A87" s="181">
        <v>1</v>
      </c>
      <c r="C87">
        <f t="shared" si="26"/>
        <v>1</v>
      </c>
      <c r="D87" t="s">
        <v>590</v>
      </c>
      <c r="E87" s="51" t="s">
        <v>608</v>
      </c>
      <c r="F87" s="57" t="s">
        <v>604</v>
      </c>
      <c r="G87" s="135" t="s">
        <v>609</v>
      </c>
      <c r="H87" s="131" t="str">
        <f>'9. Maintenance'!$G8</f>
        <v>Comment is required</v>
      </c>
      <c r="I87" t="str">
        <f>'9. Maintenance'!$F8</f>
        <v>Yes</v>
      </c>
      <c r="J87" s="53" t="str">
        <f>IF(OR($I85="N/A",$I85="No"),"N/A",IF($I87="Yes","Adequate",IF($I87="No","Inadequate",IF($I87="Partial","Inadequate",IF(AND($I87="N/A",NOT($I85="No"),NOT($I85="N/A")),"Inadequate",IF(OR($I87="",$I87=0),"Blank","Error"))))))</f>
        <v>Adequate</v>
      </c>
      <c r="K87" s="123" t="s">
        <v>75</v>
      </c>
      <c r="L87" t="str">
        <f t="shared" si="25"/>
        <v>Adequate</v>
      </c>
      <c r="N87" t="str">
        <f t="shared" si="27"/>
        <v/>
      </c>
      <c r="O87" t="str">
        <f t="shared" si="28"/>
        <v>Yes</v>
      </c>
      <c r="P87" t="str">
        <f t="shared" si="29"/>
        <v>Comment is required</v>
      </c>
      <c r="Q87" t="str">
        <f t="shared" si="30"/>
        <v>Adequate</v>
      </c>
      <c r="R87" t="str">
        <f t="shared" si="31"/>
        <v>No Override</v>
      </c>
      <c r="S87">
        <f t="shared" si="32"/>
        <v>1</v>
      </c>
      <c r="T87" t="str">
        <f t="shared" si="24"/>
        <v/>
      </c>
    </row>
    <row r="88" spans="1:20" ht="22.8" x14ac:dyDescent="0.3">
      <c r="A88" s="181">
        <v>1</v>
      </c>
      <c r="C88">
        <f t="shared" si="26"/>
        <v>1</v>
      </c>
      <c r="D88" t="s">
        <v>590</v>
      </c>
      <c r="E88" s="51" t="s">
        <v>610</v>
      </c>
      <c r="F88" s="57" t="s">
        <v>604</v>
      </c>
      <c r="G88" s="135" t="s">
        <v>611</v>
      </c>
      <c r="H88" s="131" t="str">
        <f>'9. Maintenance'!$G9</f>
        <v>Only Audit logs or access via SecureLink</v>
      </c>
      <c r="I88" t="str">
        <f>'9. Maintenance'!$F9</f>
        <v>Yes</v>
      </c>
      <c r="J88" s="53" t="str">
        <f>IF(OR($I85="N/A",$I85="No"),"N/A",IF($I88="Yes","Adequate",IF($I88="No","Inadequate",IF($I88="Partial","Inadequate",IF(AND($I88="N/A",NOT($I85="No"),NOT($I85="N/A")),"Inadequate",IF(OR($I88="",$I88=0),"Blank","Error"))))))</f>
        <v>Adequate</v>
      </c>
      <c r="K88" s="123" t="s">
        <v>75</v>
      </c>
      <c r="L88" t="str">
        <f t="shared" si="25"/>
        <v>Adequate</v>
      </c>
      <c r="N88" t="str">
        <f t="shared" si="27"/>
        <v/>
      </c>
      <c r="O88" t="str">
        <f t="shared" si="28"/>
        <v>Yes</v>
      </c>
      <c r="P88" t="str">
        <f t="shared" si="29"/>
        <v>Only Audit logs or access via SecureLink</v>
      </c>
      <c r="Q88" t="str">
        <f t="shared" si="30"/>
        <v>Adequate</v>
      </c>
      <c r="R88" t="str">
        <f t="shared" si="31"/>
        <v>No Override</v>
      </c>
      <c r="S88">
        <f t="shared" si="32"/>
        <v>1</v>
      </c>
      <c r="T88" t="str">
        <f t="shared" si="24"/>
        <v/>
      </c>
    </row>
    <row r="89" spans="1:20" x14ac:dyDescent="0.3">
      <c r="A89" s="181">
        <v>1</v>
      </c>
      <c r="C89">
        <f t="shared" si="26"/>
        <v>1</v>
      </c>
      <c r="D89" t="s">
        <v>590</v>
      </c>
      <c r="E89" s="51" t="s">
        <v>612</v>
      </c>
      <c r="F89" s="57" t="s">
        <v>604</v>
      </c>
      <c r="G89" s="135" t="s">
        <v>613</v>
      </c>
      <c r="H89" s="131" t="str">
        <f>'9. Maintenance'!$G10</f>
        <v>Comment is required</v>
      </c>
      <c r="I89" t="str">
        <f>'9. Maintenance'!$F10</f>
        <v>Yes</v>
      </c>
      <c r="J89" s="53" t="str">
        <f>IF(OR($I85="N/A",$I85="No"),"N/A",IF($I89="Yes","Adequate",IF($I89="No","Inadequate",IF($I89="Partial","Inadequate",IF(AND($I89="N/A",NOT($I85="No"),NOT($I85="N/A")),"Inadequate",IF(OR($I89="",$I89=0),"Blank","Error"))))))</f>
        <v>Adequate</v>
      </c>
      <c r="K89" s="123" t="s">
        <v>75</v>
      </c>
      <c r="L89" t="str">
        <f t="shared" si="25"/>
        <v>Adequate</v>
      </c>
      <c r="N89" t="str">
        <f t="shared" si="27"/>
        <v/>
      </c>
      <c r="O89" t="str">
        <f t="shared" si="28"/>
        <v>Yes</v>
      </c>
      <c r="P89" t="str">
        <f t="shared" si="29"/>
        <v>Comment is required</v>
      </c>
      <c r="Q89" t="str">
        <f t="shared" si="30"/>
        <v>Adequate</v>
      </c>
      <c r="R89" t="str">
        <f t="shared" si="31"/>
        <v>No Override</v>
      </c>
      <c r="S89">
        <f t="shared" si="32"/>
        <v>1</v>
      </c>
      <c r="T89" t="str">
        <f t="shared" si="24"/>
        <v/>
      </c>
    </row>
    <row r="90" spans="1:20" ht="45.6" x14ac:dyDescent="0.3">
      <c r="A90" s="181">
        <v>4</v>
      </c>
      <c r="C90">
        <f t="shared" si="26"/>
        <v>4</v>
      </c>
      <c r="D90" t="s">
        <v>590</v>
      </c>
      <c r="E90" s="54" t="s">
        <v>614</v>
      </c>
      <c r="F90" s="60" t="s">
        <v>617</v>
      </c>
      <c r="G90" s="135" t="s">
        <v>618</v>
      </c>
      <c r="H90" s="131" t="str">
        <f>'9. Maintenance'!$G11</f>
        <v>Access to hospital is goverend by individual account / profile in SecureLink.</v>
      </c>
      <c r="I90" t="str">
        <f>'9. Maintenance'!$F11</f>
        <v>Yes</v>
      </c>
      <c r="J90" t="str">
        <f t="shared" si="33"/>
        <v>Adequate</v>
      </c>
      <c r="K90" s="123" t="s">
        <v>75</v>
      </c>
      <c r="L90" t="str">
        <f t="shared" si="25"/>
        <v>Adequate</v>
      </c>
      <c r="N90" t="str">
        <f t="shared" si="27"/>
        <v/>
      </c>
      <c r="O90" t="str">
        <f t="shared" si="28"/>
        <v>Yes</v>
      </c>
      <c r="P90" t="str">
        <f t="shared" si="29"/>
        <v>Access to hospital is goverend by individual account / profile in SecureLink.</v>
      </c>
      <c r="Q90" t="str">
        <f t="shared" si="30"/>
        <v>Adequate</v>
      </c>
      <c r="R90" t="str">
        <f t="shared" si="31"/>
        <v>No Override</v>
      </c>
      <c r="S90">
        <f t="shared" si="32"/>
        <v>4</v>
      </c>
      <c r="T90" t="str">
        <f t="shared" si="24"/>
        <v/>
      </c>
    </row>
    <row r="91" spans="1:20" ht="22.8" x14ac:dyDescent="0.3">
      <c r="A91" s="181">
        <v>4</v>
      </c>
      <c r="C91">
        <f t="shared" si="26"/>
        <v>4</v>
      </c>
      <c r="D91" t="s">
        <v>590</v>
      </c>
      <c r="E91" s="54" t="s">
        <v>619</v>
      </c>
      <c r="F91" s="60" t="s">
        <v>617</v>
      </c>
      <c r="G91" s="135" t="s">
        <v>620</v>
      </c>
      <c r="H91" s="131" t="str">
        <f>'9. Maintenance'!$G12</f>
        <v>Comment is required</v>
      </c>
      <c r="I91" t="str">
        <f>'9. Maintenance'!$F12</f>
        <v>Yes</v>
      </c>
      <c r="J91" t="str">
        <f t="shared" si="33"/>
        <v>Adequate</v>
      </c>
      <c r="K91" s="123" t="s">
        <v>75</v>
      </c>
      <c r="L91" t="str">
        <f t="shared" si="25"/>
        <v>Adequate</v>
      </c>
      <c r="N91" t="str">
        <f t="shared" si="27"/>
        <v/>
      </c>
      <c r="O91" t="str">
        <f t="shared" si="28"/>
        <v>Yes</v>
      </c>
      <c r="P91" t="str">
        <f t="shared" si="29"/>
        <v>Comment is required</v>
      </c>
      <c r="Q91" t="str">
        <f t="shared" si="30"/>
        <v>Adequate</v>
      </c>
      <c r="R91" t="str">
        <f t="shared" si="31"/>
        <v>No Override</v>
      </c>
      <c r="S91">
        <f t="shared" si="32"/>
        <v>4</v>
      </c>
      <c r="T91" t="str">
        <f t="shared" si="24"/>
        <v/>
      </c>
    </row>
    <row r="92" spans="1:20" x14ac:dyDescent="0.3">
      <c r="A92" s="181">
        <v>4</v>
      </c>
      <c r="C92">
        <f t="shared" ref="C92:C128" si="34">IF($B92="",$A92,$B92)</f>
        <v>4</v>
      </c>
      <c r="D92" t="s">
        <v>621</v>
      </c>
      <c r="E92" s="51" t="s">
        <v>622</v>
      </c>
      <c r="F92" s="57" t="s">
        <v>625</v>
      </c>
      <c r="G92" s="131" t="s">
        <v>626</v>
      </c>
      <c r="H92" s="131">
        <f>'13. Personnel Security'!$G3</f>
        <v>0</v>
      </c>
      <c r="I92" t="str">
        <f>'13. Personnel Security'!$F3</f>
        <v>Yes</v>
      </c>
      <c r="J92" t="str">
        <f t="shared" ref="J92:J128" si="35">IF($I92="Yes","Adequate",IF($I92="No","Inadequate",IF($I92="Partial","Inadequate",IF($I92="N/A","Inadequate",IF(OR($I92="",$I92=0),"Blank","Error")))))</f>
        <v>Adequate</v>
      </c>
      <c r="K92" s="123" t="s">
        <v>75</v>
      </c>
      <c r="L92" t="str">
        <f t="shared" ref="L92:L128" si="36">IF($K92="No Override",$J92,$K92)</f>
        <v>Adequate</v>
      </c>
      <c r="N92" t="str">
        <f t="shared" ref="N92:N128" si="37">IF($J92=$L92,"","***")</f>
        <v/>
      </c>
      <c r="O92" t="str">
        <f t="shared" ref="O92:O128" si="38">IF(OR($I92="",$I92=0),"",$I92)</f>
        <v>Yes</v>
      </c>
      <c r="P92" t="str">
        <f t="shared" ref="P92:P128" si="39">IF(OR($H92="",$H92=0),"",$H92)</f>
        <v/>
      </c>
      <c r="Q92" t="str">
        <f t="shared" ref="Q92:Q128" si="40">$L92</f>
        <v>Adequate</v>
      </c>
      <c r="R92" t="str">
        <f t="shared" ref="R92:R128" si="41">$K92</f>
        <v>No Override</v>
      </c>
      <c r="S92">
        <f t="shared" ref="S92:S128" si="42">$C92</f>
        <v>4</v>
      </c>
      <c r="T92" t="str">
        <f t="shared" ref="T92:T123" si="43">IF($L92=$Q92,"","***")</f>
        <v/>
      </c>
    </row>
    <row r="93" spans="1:20" x14ac:dyDescent="0.3">
      <c r="A93" s="181">
        <v>4</v>
      </c>
      <c r="C93">
        <f t="shared" si="34"/>
        <v>4</v>
      </c>
      <c r="D93" t="s">
        <v>621</v>
      </c>
      <c r="E93" s="51" t="s">
        <v>627</v>
      </c>
      <c r="F93" s="57" t="s">
        <v>629</v>
      </c>
      <c r="G93" s="135" t="s">
        <v>630</v>
      </c>
      <c r="H93" s="131">
        <f>'13. Personnel Security'!$G4</f>
        <v>0</v>
      </c>
      <c r="I93" t="str">
        <f>'13. Personnel Security'!$F4</f>
        <v>No</v>
      </c>
      <c r="J93" t="str">
        <f t="shared" si="35"/>
        <v>Inadequate</v>
      </c>
      <c r="K93" s="123" t="s">
        <v>75</v>
      </c>
      <c r="L93" t="str">
        <f t="shared" si="36"/>
        <v>Inadequate</v>
      </c>
      <c r="N93" t="str">
        <f t="shared" si="37"/>
        <v/>
      </c>
      <c r="O93" t="str">
        <f t="shared" si="38"/>
        <v>No</v>
      </c>
      <c r="P93" t="str">
        <f t="shared" si="39"/>
        <v/>
      </c>
      <c r="Q93" t="str">
        <f t="shared" si="40"/>
        <v>Inadequate</v>
      </c>
      <c r="R93" t="str">
        <f t="shared" si="41"/>
        <v>No Override</v>
      </c>
      <c r="S93">
        <f t="shared" si="42"/>
        <v>4</v>
      </c>
      <c r="T93" t="str">
        <f t="shared" si="43"/>
        <v/>
      </c>
    </row>
    <row r="94" spans="1:20" ht="34.200000000000003" x14ac:dyDescent="0.3">
      <c r="A94" s="181">
        <v>4</v>
      </c>
      <c r="C94">
        <f t="shared" si="34"/>
        <v>4</v>
      </c>
      <c r="D94" t="s">
        <v>621</v>
      </c>
      <c r="E94" s="51" t="s">
        <v>631</v>
      </c>
      <c r="F94" s="57" t="s">
        <v>629</v>
      </c>
      <c r="G94" s="135" t="s">
        <v>632</v>
      </c>
      <c r="H94" s="131" t="str">
        <f>'13. Personnel Security'!$G5</f>
        <v>All employees are screened during job interviews</v>
      </c>
      <c r="I94" t="str">
        <f>'13. Personnel Security'!$F5</f>
        <v>Yes</v>
      </c>
      <c r="J94" t="str">
        <f t="shared" si="35"/>
        <v>Adequate</v>
      </c>
      <c r="K94" s="123" t="s">
        <v>75</v>
      </c>
      <c r="L94" t="str">
        <f t="shared" si="36"/>
        <v>Adequate</v>
      </c>
      <c r="N94" t="str">
        <f t="shared" si="37"/>
        <v/>
      </c>
      <c r="O94" t="str">
        <f t="shared" si="38"/>
        <v>Yes</v>
      </c>
      <c r="P94" t="str">
        <f t="shared" si="39"/>
        <v>All employees are screened during job interviews</v>
      </c>
      <c r="Q94" t="str">
        <f t="shared" si="40"/>
        <v>Adequate</v>
      </c>
      <c r="R94" t="str">
        <f t="shared" si="41"/>
        <v>No Override</v>
      </c>
      <c r="S94">
        <f t="shared" si="42"/>
        <v>4</v>
      </c>
      <c r="T94" t="str">
        <f t="shared" si="43"/>
        <v/>
      </c>
    </row>
    <row r="95" spans="1:20" x14ac:dyDescent="0.3">
      <c r="A95" s="181">
        <v>4</v>
      </c>
      <c r="C95">
        <f t="shared" si="34"/>
        <v>4</v>
      </c>
      <c r="D95" t="s">
        <v>621</v>
      </c>
      <c r="E95" s="51" t="s">
        <v>633</v>
      </c>
      <c r="F95" s="57" t="s">
        <v>629</v>
      </c>
      <c r="G95" s="135" t="s">
        <v>634</v>
      </c>
      <c r="H95" s="131">
        <f>'13. Personnel Security'!$G6</f>
        <v>0</v>
      </c>
      <c r="I95" t="str">
        <f>'13. Personnel Security'!$F6</f>
        <v>No</v>
      </c>
      <c r="J95" t="str">
        <f t="shared" si="35"/>
        <v>Inadequate</v>
      </c>
      <c r="K95" s="123" t="s">
        <v>75</v>
      </c>
      <c r="L95" t="str">
        <f t="shared" si="36"/>
        <v>Inadequate</v>
      </c>
      <c r="N95" t="str">
        <f t="shared" si="37"/>
        <v/>
      </c>
      <c r="O95" t="str">
        <f t="shared" si="38"/>
        <v>No</v>
      </c>
      <c r="P95" t="str">
        <f t="shared" si="39"/>
        <v/>
      </c>
      <c r="Q95" t="str">
        <f t="shared" si="40"/>
        <v>Inadequate</v>
      </c>
      <c r="R95" t="str">
        <f t="shared" si="41"/>
        <v>No Override</v>
      </c>
      <c r="S95">
        <f t="shared" si="42"/>
        <v>4</v>
      </c>
      <c r="T95" t="str">
        <f t="shared" si="43"/>
        <v/>
      </c>
    </row>
    <row r="96" spans="1:20" ht="34.200000000000003" x14ac:dyDescent="0.3">
      <c r="A96" s="181">
        <v>4</v>
      </c>
      <c r="C96">
        <f t="shared" si="34"/>
        <v>4</v>
      </c>
      <c r="D96" t="s">
        <v>621</v>
      </c>
      <c r="E96" s="51" t="s">
        <v>635</v>
      </c>
      <c r="F96" s="57" t="s">
        <v>636</v>
      </c>
      <c r="G96" s="135" t="s">
        <v>637</v>
      </c>
      <c r="H96" s="131" t="str">
        <f>'13. Personnel Security'!$G7</f>
        <v>All employees are screened during job interviews</v>
      </c>
      <c r="I96" t="str">
        <f>'13. Personnel Security'!$F7</f>
        <v>Yes</v>
      </c>
      <c r="J96" t="str">
        <f t="shared" si="35"/>
        <v>Adequate</v>
      </c>
      <c r="K96" s="123" t="s">
        <v>75</v>
      </c>
      <c r="L96" t="str">
        <f t="shared" si="36"/>
        <v>Adequate</v>
      </c>
      <c r="N96" t="str">
        <f t="shared" si="37"/>
        <v/>
      </c>
      <c r="O96" t="str">
        <f t="shared" si="38"/>
        <v>Yes</v>
      </c>
      <c r="P96" t="str">
        <f t="shared" si="39"/>
        <v>All employees are screened during job interviews</v>
      </c>
      <c r="Q96" t="str">
        <f t="shared" si="40"/>
        <v>Adequate</v>
      </c>
      <c r="R96" t="str">
        <f t="shared" si="41"/>
        <v>No Override</v>
      </c>
      <c r="S96">
        <f t="shared" si="42"/>
        <v>4</v>
      </c>
      <c r="T96" t="str">
        <f t="shared" si="43"/>
        <v/>
      </c>
    </row>
    <row r="97" spans="1:20" x14ac:dyDescent="0.3">
      <c r="A97" s="181">
        <v>4</v>
      </c>
      <c r="C97">
        <f t="shared" si="34"/>
        <v>4</v>
      </c>
      <c r="D97" t="s">
        <v>621</v>
      </c>
      <c r="E97" s="51" t="s">
        <v>638</v>
      </c>
      <c r="F97" s="57" t="s">
        <v>636</v>
      </c>
      <c r="G97" s="135" t="s">
        <v>639</v>
      </c>
      <c r="H97" s="131">
        <f>'13. Personnel Security'!$G8</f>
        <v>0</v>
      </c>
      <c r="I97" t="str">
        <f>'13. Personnel Security'!$F8</f>
        <v>No</v>
      </c>
      <c r="J97" t="str">
        <f t="shared" si="35"/>
        <v>Inadequate</v>
      </c>
      <c r="K97" s="123" t="s">
        <v>75</v>
      </c>
      <c r="L97" t="str">
        <f t="shared" si="36"/>
        <v>Inadequate</v>
      </c>
      <c r="N97" t="str">
        <f t="shared" si="37"/>
        <v/>
      </c>
      <c r="O97" t="str">
        <f t="shared" si="38"/>
        <v>No</v>
      </c>
      <c r="P97" t="str">
        <f t="shared" si="39"/>
        <v/>
      </c>
      <c r="Q97" t="str">
        <f t="shared" si="40"/>
        <v>Inadequate</v>
      </c>
      <c r="R97" t="str">
        <f t="shared" si="41"/>
        <v>No Override</v>
      </c>
      <c r="S97">
        <f t="shared" si="42"/>
        <v>4</v>
      </c>
      <c r="T97" t="str">
        <f t="shared" si="43"/>
        <v/>
      </c>
    </row>
    <row r="98" spans="1:20" ht="22.8" x14ac:dyDescent="0.3">
      <c r="A98" s="181">
        <v>4</v>
      </c>
      <c r="C98">
        <f t="shared" si="34"/>
        <v>4</v>
      </c>
      <c r="D98" t="s">
        <v>621</v>
      </c>
      <c r="E98" s="51" t="s">
        <v>640</v>
      </c>
      <c r="F98" s="57" t="s">
        <v>643</v>
      </c>
      <c r="G98" s="135" t="s">
        <v>644</v>
      </c>
      <c r="H98" s="131">
        <f>'13. Personnel Security'!$G9</f>
        <v>0</v>
      </c>
      <c r="I98" t="str">
        <f>'13. Personnel Security'!$F9</f>
        <v>Yes</v>
      </c>
      <c r="J98" t="str">
        <f t="shared" si="35"/>
        <v>Adequate</v>
      </c>
      <c r="K98" s="123" t="s">
        <v>75</v>
      </c>
      <c r="L98" t="str">
        <f t="shared" si="36"/>
        <v>Adequate</v>
      </c>
      <c r="N98" t="str">
        <f t="shared" si="37"/>
        <v/>
      </c>
      <c r="O98" t="str">
        <f t="shared" si="38"/>
        <v>Yes</v>
      </c>
      <c r="P98" t="str">
        <f t="shared" si="39"/>
        <v/>
      </c>
      <c r="Q98" t="str">
        <f t="shared" si="40"/>
        <v>Adequate</v>
      </c>
      <c r="R98" t="str">
        <f t="shared" si="41"/>
        <v>No Override</v>
      </c>
      <c r="S98">
        <f t="shared" si="42"/>
        <v>4</v>
      </c>
      <c r="T98" t="str">
        <f t="shared" si="43"/>
        <v/>
      </c>
    </row>
    <row r="99" spans="1:20" x14ac:dyDescent="0.3">
      <c r="A99" s="181">
        <v>4</v>
      </c>
      <c r="C99">
        <f t="shared" si="34"/>
        <v>4</v>
      </c>
      <c r="D99" t="s">
        <v>621</v>
      </c>
      <c r="E99" s="51" t="s">
        <v>645</v>
      </c>
      <c r="F99" s="57" t="s">
        <v>647</v>
      </c>
      <c r="G99" s="135" t="s">
        <v>648</v>
      </c>
      <c r="H99" s="131">
        <f>'13. Personnel Security'!$G10</f>
        <v>0</v>
      </c>
      <c r="I99" t="str">
        <f>'13. Personnel Security'!$F10</f>
        <v>No</v>
      </c>
      <c r="J99" t="str">
        <f t="shared" si="35"/>
        <v>Inadequate</v>
      </c>
      <c r="K99" s="123" t="s">
        <v>75</v>
      </c>
      <c r="L99" t="str">
        <f t="shared" si="36"/>
        <v>Inadequate</v>
      </c>
      <c r="N99" t="str">
        <f t="shared" si="37"/>
        <v/>
      </c>
      <c r="O99" t="str">
        <f t="shared" si="38"/>
        <v>No</v>
      </c>
      <c r="P99" t="str">
        <f t="shared" si="39"/>
        <v/>
      </c>
      <c r="Q99" t="str">
        <f t="shared" si="40"/>
        <v>Inadequate</v>
      </c>
      <c r="R99" t="str">
        <f t="shared" si="41"/>
        <v>No Override</v>
      </c>
      <c r="S99">
        <f t="shared" si="42"/>
        <v>4</v>
      </c>
      <c r="T99" t="str">
        <f t="shared" si="43"/>
        <v/>
      </c>
    </row>
    <row r="100" spans="1:20" ht="182.4" x14ac:dyDescent="0.3">
      <c r="A100" s="181">
        <v>4</v>
      </c>
      <c r="C100">
        <f t="shared" si="34"/>
        <v>4</v>
      </c>
      <c r="D100" t="s">
        <v>621</v>
      </c>
      <c r="E100" s="51" t="s">
        <v>649</v>
      </c>
      <c r="F100" s="57" t="s">
        <v>652</v>
      </c>
      <c r="G100" s="135" t="s">
        <v>653</v>
      </c>
      <c r="H100" s="131" t="str">
        <f>'13. Personnel Security'!$G11</f>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I100" t="str">
        <f>'13. Personnel Security'!$F11</f>
        <v>Partial</v>
      </c>
      <c r="J100" t="str">
        <f t="shared" si="35"/>
        <v>Inadequate</v>
      </c>
      <c r="K100" s="123" t="s">
        <v>75</v>
      </c>
      <c r="L100" t="str">
        <f t="shared" si="36"/>
        <v>Inadequate</v>
      </c>
      <c r="N100" t="str">
        <f t="shared" si="37"/>
        <v/>
      </c>
      <c r="O100" t="str">
        <f t="shared" si="38"/>
        <v>Partial</v>
      </c>
      <c r="P100" t="str">
        <f t="shared" si="39"/>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Q100" t="str">
        <f t="shared" si="40"/>
        <v>Inadequate</v>
      </c>
      <c r="R100" t="str">
        <f t="shared" si="41"/>
        <v>No Override</v>
      </c>
      <c r="S100">
        <f t="shared" si="42"/>
        <v>4</v>
      </c>
      <c r="T100" t="str">
        <f t="shared" si="43"/>
        <v/>
      </c>
    </row>
    <row r="101" spans="1:20" ht="22.8" x14ac:dyDescent="0.3">
      <c r="A101" s="181">
        <v>4</v>
      </c>
      <c r="C101">
        <f t="shared" si="34"/>
        <v>4</v>
      </c>
      <c r="D101" t="s">
        <v>621</v>
      </c>
      <c r="E101" s="51" t="s">
        <v>654</v>
      </c>
      <c r="F101" s="57" t="s">
        <v>657</v>
      </c>
      <c r="G101" s="135" t="s">
        <v>658</v>
      </c>
      <c r="H101" s="131">
        <f>'13. Personnel Security'!$G12</f>
        <v>0</v>
      </c>
      <c r="I101" t="str">
        <f>'13. Personnel Security'!$F12</f>
        <v>Yes</v>
      </c>
      <c r="J101" t="str">
        <f>IF($I101="Yes","Adequate",IF($I101="No","Inadequate",IF($I101="Partial","Inadequate",IF(AND($I101="N/A",'Vendor Profile Questionnaire'!$B$29="No"),"Adequate",IF(AND($I101="N/A",NOT('Vendor Profile Questionnaire'!$B$29="No")),"Inadequate",IF(OR($I101="",$I101=0),"Blank","Error"))))))</f>
        <v>Adequate</v>
      </c>
      <c r="K101" s="123" t="s">
        <v>75</v>
      </c>
      <c r="L101" t="str">
        <f t="shared" si="36"/>
        <v>Adequate</v>
      </c>
      <c r="N101" t="str">
        <f t="shared" si="37"/>
        <v/>
      </c>
      <c r="O101" t="str">
        <f t="shared" si="38"/>
        <v>Yes</v>
      </c>
      <c r="P101" t="str">
        <f t="shared" si="39"/>
        <v/>
      </c>
      <c r="Q101" t="str">
        <f t="shared" si="40"/>
        <v>Adequate</v>
      </c>
      <c r="R101" t="str">
        <f t="shared" si="41"/>
        <v>No Override</v>
      </c>
      <c r="S101">
        <f t="shared" si="42"/>
        <v>4</v>
      </c>
      <c r="T101" t="str">
        <f t="shared" si="43"/>
        <v/>
      </c>
    </row>
    <row r="102" spans="1:20" x14ac:dyDescent="0.3">
      <c r="A102" s="181">
        <v>4</v>
      </c>
      <c r="C102">
        <f t="shared" si="34"/>
        <v>4</v>
      </c>
      <c r="D102" t="s">
        <v>621</v>
      </c>
      <c r="E102" s="51" t="s">
        <v>659</v>
      </c>
      <c r="F102" s="57" t="s">
        <v>662</v>
      </c>
      <c r="G102" s="135" t="s">
        <v>663</v>
      </c>
      <c r="H102" s="131">
        <f>'13. Personnel Security'!$G13</f>
        <v>0</v>
      </c>
      <c r="I102" t="str">
        <f>'13. Personnel Security'!$F13</f>
        <v>Yes</v>
      </c>
      <c r="J102" t="str">
        <f t="shared" si="35"/>
        <v>Adequate</v>
      </c>
      <c r="K102" s="123" t="s">
        <v>75</v>
      </c>
      <c r="L102" t="str">
        <f t="shared" si="36"/>
        <v>Adequate</v>
      </c>
      <c r="N102" t="str">
        <f t="shared" si="37"/>
        <v/>
      </c>
      <c r="O102" t="str">
        <f t="shared" si="38"/>
        <v>Yes</v>
      </c>
      <c r="P102" t="str">
        <f t="shared" si="39"/>
        <v/>
      </c>
      <c r="Q102" t="str">
        <f t="shared" si="40"/>
        <v>Adequate</v>
      </c>
      <c r="R102" t="str">
        <f t="shared" si="41"/>
        <v>No Override</v>
      </c>
      <c r="S102">
        <f t="shared" si="42"/>
        <v>4</v>
      </c>
      <c r="T102" t="str">
        <f t="shared" si="43"/>
        <v/>
      </c>
    </row>
    <row r="103" spans="1:20" x14ac:dyDescent="0.3">
      <c r="A103" s="181">
        <v>4</v>
      </c>
      <c r="C103">
        <f t="shared" si="34"/>
        <v>4</v>
      </c>
      <c r="D103" t="s">
        <v>778</v>
      </c>
      <c r="E103" s="51" t="s">
        <v>665</v>
      </c>
      <c r="F103" s="57" t="s">
        <v>667</v>
      </c>
      <c r="G103" s="131" t="s">
        <v>668</v>
      </c>
      <c r="H103" s="131" t="str">
        <f>'15. System Acquisition'!$G3</f>
        <v>Comment is required</v>
      </c>
      <c r="I103" t="str">
        <f>'15. System Acquisition'!$F3</f>
        <v>No</v>
      </c>
      <c r="J103" t="str">
        <f t="shared" si="35"/>
        <v>Inadequate</v>
      </c>
      <c r="K103" s="123" t="s">
        <v>75</v>
      </c>
      <c r="L103" t="str">
        <f t="shared" si="36"/>
        <v>Inadequate</v>
      </c>
      <c r="N103" t="str">
        <f t="shared" si="37"/>
        <v/>
      </c>
      <c r="O103" t="str">
        <f t="shared" si="38"/>
        <v>No</v>
      </c>
      <c r="P103" t="str">
        <f t="shared" si="39"/>
        <v>Comment is required</v>
      </c>
      <c r="Q103" t="str">
        <f t="shared" si="40"/>
        <v>Inadequate</v>
      </c>
      <c r="R103" t="str">
        <f t="shared" si="41"/>
        <v>No Override</v>
      </c>
      <c r="S103">
        <f t="shared" si="42"/>
        <v>4</v>
      </c>
      <c r="T103" t="str">
        <f t="shared" si="43"/>
        <v/>
      </c>
    </row>
    <row r="104" spans="1:20" x14ac:dyDescent="0.3">
      <c r="A104" s="181">
        <v>4</v>
      </c>
      <c r="C104">
        <f t="shared" si="34"/>
        <v>4</v>
      </c>
      <c r="D104" t="s">
        <v>778</v>
      </c>
      <c r="E104" s="51" t="s">
        <v>669</v>
      </c>
      <c r="F104" s="57" t="s">
        <v>671</v>
      </c>
      <c r="G104" s="135" t="s">
        <v>672</v>
      </c>
      <c r="H104" s="131" t="str">
        <f>'15. System Acquisition'!$G4</f>
        <v>Comment is required</v>
      </c>
      <c r="I104" t="str">
        <f>'15. System Acquisition'!$F4</f>
        <v>Yes</v>
      </c>
      <c r="J104" t="str">
        <f t="shared" si="35"/>
        <v>Adequate</v>
      </c>
      <c r="K104" s="123" t="s">
        <v>75</v>
      </c>
      <c r="L104" t="str">
        <f t="shared" si="36"/>
        <v>Adequate</v>
      </c>
      <c r="N104" t="str">
        <f t="shared" si="37"/>
        <v/>
      </c>
      <c r="O104" t="str">
        <f t="shared" si="38"/>
        <v>Yes</v>
      </c>
      <c r="P104" t="str">
        <f t="shared" si="39"/>
        <v>Comment is required</v>
      </c>
      <c r="Q104" t="str">
        <f t="shared" si="40"/>
        <v>Adequate</v>
      </c>
      <c r="R104" t="str">
        <f t="shared" si="41"/>
        <v>No Override</v>
      </c>
      <c r="S104">
        <f t="shared" si="42"/>
        <v>4</v>
      </c>
      <c r="T104" t="str">
        <f t="shared" si="43"/>
        <v/>
      </c>
    </row>
    <row r="105" spans="1:20" ht="45.6" x14ac:dyDescent="0.3">
      <c r="A105" s="181">
        <v>1</v>
      </c>
      <c r="C105">
        <f t="shared" si="34"/>
        <v>1</v>
      </c>
      <c r="D105" t="s">
        <v>778</v>
      </c>
      <c r="E105" s="51" t="s">
        <v>335</v>
      </c>
      <c r="F105" s="57" t="s">
        <v>336</v>
      </c>
      <c r="G105" s="135" t="s">
        <v>674</v>
      </c>
      <c r="H105" s="131" t="str">
        <f>'15. System Acquisition'!$G5</f>
        <v>yes as it applies to conracts for customers purchasing the PeriCALM software modules</v>
      </c>
      <c r="I105" t="str">
        <f>'15. System Acquisition'!$F5</f>
        <v>Yes</v>
      </c>
      <c r="J105" t="str">
        <f t="shared" si="35"/>
        <v>Adequate</v>
      </c>
      <c r="K105" s="123" t="s">
        <v>75</v>
      </c>
      <c r="L105" t="str">
        <f t="shared" si="36"/>
        <v>Adequate</v>
      </c>
      <c r="N105" t="str">
        <f t="shared" si="37"/>
        <v/>
      </c>
      <c r="O105" t="str">
        <f t="shared" si="38"/>
        <v>Yes</v>
      </c>
      <c r="P105" t="str">
        <f t="shared" si="39"/>
        <v>yes as it applies to conracts for customers purchasing the PeriCALM software modules</v>
      </c>
      <c r="Q105" t="str">
        <f t="shared" si="40"/>
        <v>Adequate</v>
      </c>
      <c r="R105" t="str">
        <f t="shared" si="41"/>
        <v>No Override</v>
      </c>
      <c r="S105">
        <f t="shared" si="42"/>
        <v>1</v>
      </c>
      <c r="T105" t="str">
        <f t="shared" si="43"/>
        <v/>
      </c>
    </row>
    <row r="106" spans="1:20" ht="57" x14ac:dyDescent="0.3">
      <c r="A106" s="181">
        <v>4</v>
      </c>
      <c r="C106">
        <f t="shared" si="34"/>
        <v>4</v>
      </c>
      <c r="D106" t="s">
        <v>778</v>
      </c>
      <c r="E106" s="51" t="s">
        <v>675</v>
      </c>
      <c r="F106" s="57" t="s">
        <v>677</v>
      </c>
      <c r="G106" s="131" t="s">
        <v>678</v>
      </c>
      <c r="H106" s="131" t="str">
        <f>'15. System Acquisition'!$G6</f>
        <v>Comment is required</v>
      </c>
      <c r="I106" t="str">
        <f>'15. System Acquisition'!$F6</f>
        <v>Yes</v>
      </c>
      <c r="J106" t="str">
        <f t="shared" si="35"/>
        <v>Adequate</v>
      </c>
      <c r="K106" s="123" t="s">
        <v>75</v>
      </c>
      <c r="L106" t="str">
        <f t="shared" si="36"/>
        <v>Adequate</v>
      </c>
      <c r="N106" t="str">
        <f t="shared" si="37"/>
        <v/>
      </c>
      <c r="O106" t="str">
        <f t="shared" si="38"/>
        <v>Yes</v>
      </c>
      <c r="P106" t="str">
        <f t="shared" si="39"/>
        <v>Comment is required</v>
      </c>
      <c r="Q106" t="str">
        <f t="shared" si="40"/>
        <v>Adequate</v>
      </c>
      <c r="R106" t="str">
        <f t="shared" si="41"/>
        <v>No Override</v>
      </c>
      <c r="S106">
        <f t="shared" si="42"/>
        <v>4</v>
      </c>
      <c r="T106" t="str">
        <f t="shared" si="43"/>
        <v/>
      </c>
    </row>
    <row r="107" spans="1:20" ht="114" x14ac:dyDescent="0.3">
      <c r="A107" s="181">
        <v>4</v>
      </c>
      <c r="C107">
        <f t="shared" si="34"/>
        <v>4</v>
      </c>
      <c r="D107" t="s">
        <v>778</v>
      </c>
      <c r="E107" s="51" t="s">
        <v>679</v>
      </c>
      <c r="F107" s="57" t="s">
        <v>677</v>
      </c>
      <c r="G107" s="131" t="s">
        <v>680</v>
      </c>
      <c r="H107" s="131" t="str">
        <f>'15. System Acquisition'!$G7</f>
        <v>PeriGen provide end-user and administrator  documentation that cover all aspects of the system include acces controls and configurations. PeriGen provide admin training to customer technical staff and ongoing management is customer responsibility</v>
      </c>
      <c r="I107" t="str">
        <f>'15. System Acquisition'!$F7</f>
        <v>Partial</v>
      </c>
      <c r="J107" t="str">
        <f t="shared" si="35"/>
        <v>Inadequate</v>
      </c>
      <c r="K107" s="123" t="s">
        <v>75</v>
      </c>
      <c r="L107" t="str">
        <f t="shared" si="36"/>
        <v>Inadequate</v>
      </c>
      <c r="N107" t="str">
        <f t="shared" si="37"/>
        <v/>
      </c>
      <c r="O107" t="str">
        <f t="shared" si="38"/>
        <v>Partial</v>
      </c>
      <c r="P107" t="str">
        <f t="shared" si="39"/>
        <v>PeriGen provide end-user and administrator  documentation that cover all aspects of the system include acces controls and configurations. PeriGen provide admin training to customer technical staff and ongoing management is customer responsibility</v>
      </c>
      <c r="Q107" t="str">
        <f t="shared" si="40"/>
        <v>Inadequate</v>
      </c>
      <c r="R107" t="str">
        <f t="shared" si="41"/>
        <v>No Override</v>
      </c>
      <c r="S107">
        <f t="shared" si="42"/>
        <v>4</v>
      </c>
      <c r="T107" t="str">
        <f t="shared" si="43"/>
        <v/>
      </c>
    </row>
    <row r="108" spans="1:20" ht="91.2" x14ac:dyDescent="0.3">
      <c r="A108" s="181">
        <v>4</v>
      </c>
      <c r="C108">
        <f t="shared" si="34"/>
        <v>4</v>
      </c>
      <c r="D108" t="s">
        <v>778</v>
      </c>
      <c r="E108" s="51" t="s">
        <v>681</v>
      </c>
      <c r="F108" s="57" t="s">
        <v>677</v>
      </c>
      <c r="G108" s="131" t="s">
        <v>682</v>
      </c>
      <c r="H108" s="131" t="str">
        <f>'15. System Acquisition'!$G8</f>
        <v>End-user and admin guides are provided/available to users accessing the system in a clinical setting. Other material is provided directly to staff during training sessions</v>
      </c>
      <c r="I108" t="str">
        <f>'15. System Acquisition'!$F8</f>
        <v>No</v>
      </c>
      <c r="J108" t="str">
        <f>IF($I108="Yes","Adequate",IF($I108="No","Inadequate",IF($I108="Partial","Inadequate",IF(AND($I108="N/A",$I107="No",$I106="No"),"Adequate",IF(AND($I108="N/A",OR(NOT($I107="No"),NOT($I106="No"))),"Inadequate",IF(OR($I108="",$I108=0),"Blank","Error"))))))</f>
        <v>Inadequate</v>
      </c>
      <c r="K108" s="123" t="s">
        <v>75</v>
      </c>
      <c r="L108" t="str">
        <f t="shared" si="36"/>
        <v>Inadequate</v>
      </c>
      <c r="N108" t="str">
        <f t="shared" si="37"/>
        <v/>
      </c>
      <c r="O108" t="str">
        <f t="shared" si="38"/>
        <v>No</v>
      </c>
      <c r="P108" t="str">
        <f t="shared" si="39"/>
        <v>End-user and admin guides are provided/available to users accessing the system in a clinical setting. Other material is provided directly to staff during training sessions</v>
      </c>
      <c r="Q108" t="str">
        <f t="shared" si="40"/>
        <v>Inadequate</v>
      </c>
      <c r="R108" t="str">
        <f t="shared" si="41"/>
        <v>No Override</v>
      </c>
      <c r="S108">
        <f t="shared" si="42"/>
        <v>4</v>
      </c>
      <c r="T108" t="str">
        <f t="shared" si="43"/>
        <v/>
      </c>
    </row>
    <row r="109" spans="1:20" ht="22.8" x14ac:dyDescent="0.3">
      <c r="A109" s="181">
        <v>4</v>
      </c>
      <c r="C109">
        <f t="shared" si="34"/>
        <v>4</v>
      </c>
      <c r="D109" t="s">
        <v>778</v>
      </c>
      <c r="E109" s="51" t="s">
        <v>683</v>
      </c>
      <c r="F109" s="57" t="s">
        <v>685</v>
      </c>
      <c r="G109" s="135" t="s">
        <v>686</v>
      </c>
      <c r="H109" s="131" t="str">
        <f>'15. System Acquisition'!$G9</f>
        <v>Comment is required</v>
      </c>
      <c r="I109" t="str">
        <f>'15. System Acquisition'!$F9</f>
        <v>Yes</v>
      </c>
      <c r="J109" t="str">
        <f t="shared" si="35"/>
        <v>Adequate</v>
      </c>
      <c r="K109" s="123" t="s">
        <v>75</v>
      </c>
      <c r="L109" t="str">
        <f t="shared" si="36"/>
        <v>Adequate</v>
      </c>
      <c r="N109" t="str">
        <f t="shared" si="37"/>
        <v/>
      </c>
      <c r="O109" t="str">
        <f t="shared" si="38"/>
        <v>Yes</v>
      </c>
      <c r="P109" t="str">
        <f t="shared" si="39"/>
        <v>Comment is required</v>
      </c>
      <c r="Q109" t="str">
        <f t="shared" si="40"/>
        <v>Adequate</v>
      </c>
      <c r="R109" t="str">
        <f t="shared" si="41"/>
        <v>No Override</v>
      </c>
      <c r="S109">
        <f t="shared" si="42"/>
        <v>4</v>
      </c>
      <c r="T109" t="str">
        <f t="shared" si="43"/>
        <v/>
      </c>
    </row>
    <row r="110" spans="1:20" ht="34.200000000000003" x14ac:dyDescent="0.3">
      <c r="A110" s="181">
        <v>4</v>
      </c>
      <c r="C110">
        <f t="shared" si="34"/>
        <v>4</v>
      </c>
      <c r="D110" t="s">
        <v>778</v>
      </c>
      <c r="E110" s="51" t="s">
        <v>687</v>
      </c>
      <c r="F110" s="57" t="s">
        <v>689</v>
      </c>
      <c r="G110" s="135" t="s">
        <v>690</v>
      </c>
      <c r="H110" s="131" t="str">
        <f>'15. System Acquisition'!$G10</f>
        <v>Comment is required</v>
      </c>
      <c r="I110" t="str">
        <f>'15. System Acquisition'!$F10</f>
        <v>Yes</v>
      </c>
      <c r="J110" t="str">
        <f t="shared" si="35"/>
        <v>Adequate</v>
      </c>
      <c r="K110" s="123" t="s">
        <v>75</v>
      </c>
      <c r="L110" t="str">
        <f t="shared" si="36"/>
        <v>Adequate</v>
      </c>
      <c r="N110" t="str">
        <f t="shared" si="37"/>
        <v/>
      </c>
      <c r="O110" t="str">
        <f t="shared" si="38"/>
        <v>Yes</v>
      </c>
      <c r="P110" t="str">
        <f t="shared" si="39"/>
        <v>Comment is required</v>
      </c>
      <c r="Q110" t="str">
        <f t="shared" si="40"/>
        <v>Adequate</v>
      </c>
      <c r="R110" t="str">
        <f t="shared" si="41"/>
        <v>No Override</v>
      </c>
      <c r="S110">
        <f t="shared" si="42"/>
        <v>4</v>
      </c>
      <c r="T110" t="str">
        <f t="shared" si="43"/>
        <v/>
      </c>
    </row>
    <row r="111" spans="1:20" ht="34.200000000000003" x14ac:dyDescent="0.3">
      <c r="A111" s="181">
        <v>2</v>
      </c>
      <c r="C111">
        <f t="shared" si="34"/>
        <v>2</v>
      </c>
      <c r="D111" t="s">
        <v>778</v>
      </c>
      <c r="E111" s="51" t="s">
        <v>691</v>
      </c>
      <c r="F111" s="57" t="s">
        <v>693</v>
      </c>
      <c r="G111" s="135" t="s">
        <v>694</v>
      </c>
      <c r="H111" s="131" t="str">
        <f>'15. System Acquisition'!$G11</f>
        <v>Comment is required</v>
      </c>
      <c r="I111" t="str">
        <f>'15. System Acquisition'!$F11</f>
        <v>Yes</v>
      </c>
      <c r="J111" t="str">
        <f t="shared" si="35"/>
        <v>Adequate</v>
      </c>
      <c r="K111" s="123" t="s">
        <v>75</v>
      </c>
      <c r="L111" t="str">
        <f t="shared" si="36"/>
        <v>Adequate</v>
      </c>
      <c r="N111" t="str">
        <f t="shared" si="37"/>
        <v/>
      </c>
      <c r="O111" t="str">
        <f t="shared" si="38"/>
        <v>Yes</v>
      </c>
      <c r="P111" t="str">
        <f t="shared" si="39"/>
        <v>Comment is required</v>
      </c>
      <c r="Q111" t="str">
        <f t="shared" si="40"/>
        <v>Adequate</v>
      </c>
      <c r="R111" t="str">
        <f t="shared" si="41"/>
        <v>No Override</v>
      </c>
      <c r="S111">
        <f t="shared" si="42"/>
        <v>2</v>
      </c>
      <c r="T111" t="str">
        <f t="shared" si="43"/>
        <v/>
      </c>
    </row>
    <row r="112" spans="1:20" ht="22.8" x14ac:dyDescent="0.3">
      <c r="A112" s="181">
        <v>4</v>
      </c>
      <c r="C112">
        <f t="shared" si="34"/>
        <v>4</v>
      </c>
      <c r="D112" t="s">
        <v>779</v>
      </c>
      <c r="E112" s="51" t="s">
        <v>696</v>
      </c>
      <c r="F112" s="57" t="s">
        <v>698</v>
      </c>
      <c r="G112" s="131" t="s">
        <v>699</v>
      </c>
      <c r="H112" s="131" t="str">
        <f>'16. System Data Protection'!$G3</f>
        <v>Comment is required</v>
      </c>
      <c r="I112" t="str">
        <f>'16. System Data Protection'!$F3</f>
        <v>No</v>
      </c>
      <c r="J112" t="str">
        <f t="shared" si="35"/>
        <v>Inadequate</v>
      </c>
      <c r="K112" s="123" t="s">
        <v>75</v>
      </c>
      <c r="L112" t="str">
        <f t="shared" si="36"/>
        <v>Inadequate</v>
      </c>
      <c r="N112" t="str">
        <f t="shared" si="37"/>
        <v/>
      </c>
      <c r="O112" t="str">
        <f t="shared" si="38"/>
        <v>No</v>
      </c>
      <c r="P112" t="str">
        <f t="shared" si="39"/>
        <v>Comment is required</v>
      </c>
      <c r="Q112" t="str">
        <f t="shared" si="40"/>
        <v>Inadequate</v>
      </c>
      <c r="R112" t="str">
        <f t="shared" si="41"/>
        <v>No Override</v>
      </c>
      <c r="S112">
        <f t="shared" si="42"/>
        <v>4</v>
      </c>
      <c r="T112" t="str">
        <f t="shared" si="43"/>
        <v/>
      </c>
    </row>
    <row r="113" spans="1:20" ht="22.8" x14ac:dyDescent="0.3">
      <c r="A113" s="181">
        <v>4</v>
      </c>
      <c r="C113">
        <f t="shared" si="34"/>
        <v>4</v>
      </c>
      <c r="D113" t="s">
        <v>779</v>
      </c>
      <c r="E113" s="51" t="s">
        <v>700</v>
      </c>
      <c r="F113" s="57" t="s">
        <v>702</v>
      </c>
      <c r="G113" s="131" t="s">
        <v>703</v>
      </c>
      <c r="H113" s="131" t="str">
        <f>'16. System Data Protection'!$G4</f>
        <v>Comment is required</v>
      </c>
      <c r="I113" t="str">
        <f>'16. System Data Protection'!$F4</f>
        <v>Yes</v>
      </c>
      <c r="J113" t="str">
        <f t="shared" si="35"/>
        <v>Adequate</v>
      </c>
      <c r="K113" s="123" t="s">
        <v>75</v>
      </c>
      <c r="L113" t="str">
        <f t="shared" si="36"/>
        <v>Adequate</v>
      </c>
      <c r="N113" t="str">
        <f t="shared" si="37"/>
        <v/>
      </c>
      <c r="O113" t="str">
        <f t="shared" si="38"/>
        <v>Yes</v>
      </c>
      <c r="P113" t="str">
        <f t="shared" si="39"/>
        <v>Comment is required</v>
      </c>
      <c r="Q113" t="str">
        <f t="shared" si="40"/>
        <v>Adequate</v>
      </c>
      <c r="R113" t="str">
        <f t="shared" si="41"/>
        <v>No Override</v>
      </c>
      <c r="S113">
        <f t="shared" si="42"/>
        <v>4</v>
      </c>
      <c r="T113" t="str">
        <f t="shared" si="43"/>
        <v/>
      </c>
    </row>
    <row r="114" spans="1:20" ht="22.8" x14ac:dyDescent="0.3">
      <c r="A114" s="181">
        <v>1</v>
      </c>
      <c r="C114">
        <f t="shared" si="34"/>
        <v>1</v>
      </c>
      <c r="D114" t="s">
        <v>779</v>
      </c>
      <c r="E114" s="54" t="s">
        <v>704</v>
      </c>
      <c r="F114" s="57" t="s">
        <v>707</v>
      </c>
      <c r="G114" s="135" t="s">
        <v>780</v>
      </c>
      <c r="H114" s="131" t="str">
        <f>'16. System Data Protection'!$G5</f>
        <v>Comment is required</v>
      </c>
      <c r="I114" t="str">
        <f>'16. System Data Protection'!$F5</f>
        <v>No</v>
      </c>
      <c r="J114" t="str">
        <f t="shared" si="35"/>
        <v>Inadequate</v>
      </c>
      <c r="K114" s="123" t="s">
        <v>75</v>
      </c>
      <c r="L114" t="str">
        <f t="shared" si="36"/>
        <v>Inadequate</v>
      </c>
      <c r="N114" t="str">
        <f t="shared" si="37"/>
        <v/>
      </c>
      <c r="O114" t="str">
        <f t="shared" si="38"/>
        <v>No</v>
      </c>
      <c r="P114" t="str">
        <f t="shared" si="39"/>
        <v>Comment is required</v>
      </c>
      <c r="Q114" t="str">
        <f t="shared" si="40"/>
        <v>Inadequate</v>
      </c>
      <c r="R114" t="str">
        <f t="shared" si="41"/>
        <v>No Override</v>
      </c>
      <c r="S114">
        <f t="shared" si="42"/>
        <v>1</v>
      </c>
      <c r="T114" t="str">
        <f t="shared" si="43"/>
        <v/>
      </c>
    </row>
    <row r="115" spans="1:20" ht="22.8" x14ac:dyDescent="0.3">
      <c r="A115" s="181">
        <v>1</v>
      </c>
      <c r="C115">
        <f t="shared" si="34"/>
        <v>1</v>
      </c>
      <c r="D115" t="s">
        <v>779</v>
      </c>
      <c r="E115" s="54" t="s">
        <v>709</v>
      </c>
      <c r="F115" s="57" t="s">
        <v>707</v>
      </c>
      <c r="G115" s="135" t="s">
        <v>710</v>
      </c>
      <c r="H115" s="131" t="str">
        <f>'16. System Data Protection'!$G6</f>
        <v>Comment is required</v>
      </c>
      <c r="I115" t="str">
        <f>'16. System Data Protection'!$F6</f>
        <v>No</v>
      </c>
      <c r="J115" t="str">
        <f t="shared" si="35"/>
        <v>Inadequate</v>
      </c>
      <c r="K115" s="123" t="s">
        <v>75</v>
      </c>
      <c r="L115" t="str">
        <f t="shared" si="36"/>
        <v>Inadequate</v>
      </c>
      <c r="N115" t="str">
        <f t="shared" si="37"/>
        <v/>
      </c>
      <c r="O115" t="str">
        <f t="shared" si="38"/>
        <v>No</v>
      </c>
      <c r="P115" t="str">
        <f t="shared" si="39"/>
        <v>Comment is required</v>
      </c>
      <c r="Q115" t="str">
        <f t="shared" si="40"/>
        <v>Inadequate</v>
      </c>
      <c r="R115" t="str">
        <f t="shared" si="41"/>
        <v>No Override</v>
      </c>
      <c r="S115">
        <f t="shared" si="42"/>
        <v>1</v>
      </c>
      <c r="T115" t="str">
        <f t="shared" si="43"/>
        <v/>
      </c>
    </row>
    <row r="116" spans="1:20" ht="22.8" x14ac:dyDescent="0.3">
      <c r="A116" s="181">
        <v>4</v>
      </c>
      <c r="C116">
        <f t="shared" si="34"/>
        <v>4</v>
      </c>
      <c r="D116" t="s">
        <v>779</v>
      </c>
      <c r="E116" s="51" t="s">
        <v>711</v>
      </c>
      <c r="F116" s="57" t="s">
        <v>713</v>
      </c>
      <c r="G116" s="135" t="s">
        <v>714</v>
      </c>
      <c r="H116" s="131" t="str">
        <f>'16. System Data Protection'!$G7</f>
        <v>Comment is required</v>
      </c>
      <c r="I116" t="str">
        <f>'16. System Data Protection'!$F7</f>
        <v>Yes</v>
      </c>
      <c r="J116" t="str">
        <f t="shared" si="35"/>
        <v>Adequate</v>
      </c>
      <c r="K116" s="123" t="s">
        <v>75</v>
      </c>
      <c r="L116" t="str">
        <f t="shared" si="36"/>
        <v>Adequate</v>
      </c>
      <c r="N116" t="str">
        <f t="shared" si="37"/>
        <v/>
      </c>
      <c r="O116" t="str">
        <f t="shared" si="38"/>
        <v>Yes</v>
      </c>
      <c r="P116" t="str">
        <f t="shared" si="39"/>
        <v>Comment is required</v>
      </c>
      <c r="Q116" t="str">
        <f t="shared" si="40"/>
        <v>Adequate</v>
      </c>
      <c r="R116" t="str">
        <f t="shared" si="41"/>
        <v>No Override</v>
      </c>
      <c r="S116">
        <f t="shared" si="42"/>
        <v>4</v>
      </c>
      <c r="T116" t="str">
        <f t="shared" si="43"/>
        <v/>
      </c>
    </row>
    <row r="117" spans="1:20" ht="45.6" x14ac:dyDescent="0.3">
      <c r="A117" s="181">
        <v>4</v>
      </c>
      <c r="C117">
        <f t="shared" si="34"/>
        <v>4</v>
      </c>
      <c r="D117" t="s">
        <v>779</v>
      </c>
      <c r="E117" s="51" t="s">
        <v>715</v>
      </c>
      <c r="F117" s="57" t="s">
        <v>717</v>
      </c>
      <c r="G117" s="135" t="s">
        <v>781</v>
      </c>
      <c r="H117" s="131" t="str">
        <f>'16. System Data Protection'!$G8</f>
        <v>Only for archive files (long term encrypted and compressed XML documents)</v>
      </c>
      <c r="I117" t="str">
        <f>'16. System Data Protection'!$F8</f>
        <v>Partial</v>
      </c>
      <c r="J117" t="str">
        <f t="shared" si="35"/>
        <v>Inadequate</v>
      </c>
      <c r="K117" s="123" t="s">
        <v>75</v>
      </c>
      <c r="L117" t="str">
        <f t="shared" si="36"/>
        <v>Inadequate</v>
      </c>
      <c r="N117" t="str">
        <f t="shared" si="37"/>
        <v/>
      </c>
      <c r="O117" t="str">
        <f t="shared" si="38"/>
        <v>Partial</v>
      </c>
      <c r="P117" t="str">
        <f t="shared" si="39"/>
        <v>Only for archive files (long term encrypted and compressed XML documents)</v>
      </c>
      <c r="Q117" t="str">
        <f t="shared" si="40"/>
        <v>Inadequate</v>
      </c>
      <c r="R117" t="str">
        <f t="shared" si="41"/>
        <v>No Override</v>
      </c>
      <c r="S117">
        <f t="shared" si="42"/>
        <v>4</v>
      </c>
      <c r="T117" t="str">
        <f t="shared" si="43"/>
        <v/>
      </c>
    </row>
    <row r="118" spans="1:20" ht="22.8" x14ac:dyDescent="0.3">
      <c r="A118" s="181">
        <v>4</v>
      </c>
      <c r="C118">
        <f t="shared" si="34"/>
        <v>4</v>
      </c>
      <c r="D118" t="s">
        <v>779</v>
      </c>
      <c r="E118" s="51" t="s">
        <v>719</v>
      </c>
      <c r="F118" s="57" t="s">
        <v>304</v>
      </c>
      <c r="G118" s="135" t="s">
        <v>720</v>
      </c>
      <c r="H118" s="131" t="str">
        <f>'16. System Data Protection'!$G9</f>
        <v>Comment is required</v>
      </c>
      <c r="I118" t="str">
        <f>'16. System Data Protection'!$F9</f>
        <v>No</v>
      </c>
      <c r="J118" s="45" t="str">
        <f>IF(AND($I118="Yes",$I119="Yes",$I120="Yes"),"Adequate",IF(AND($I118="Yes",OR(NOT($I119="Yes"),NOT($I120="Yes"))),"Inadequate",IF($I118="No","N/A",IF($I118="Partial","Inadequate",IF($I118="N/A","N/A",IF(OR($I118="",$I118=0),"Blank","Error"))))))</f>
        <v>N/A</v>
      </c>
      <c r="K118" s="123" t="s">
        <v>75</v>
      </c>
      <c r="L118" t="str">
        <f t="shared" si="36"/>
        <v>N/A</v>
      </c>
      <c r="N118" t="str">
        <f t="shared" si="37"/>
        <v/>
      </c>
      <c r="O118" t="str">
        <f t="shared" si="38"/>
        <v>No</v>
      </c>
      <c r="P118" t="str">
        <f t="shared" si="39"/>
        <v>Comment is required</v>
      </c>
      <c r="Q118" t="str">
        <f t="shared" si="40"/>
        <v>N/A</v>
      </c>
      <c r="R118" t="str">
        <f t="shared" si="41"/>
        <v>No Override</v>
      </c>
      <c r="S118">
        <f t="shared" si="42"/>
        <v>4</v>
      </c>
      <c r="T118" t="str">
        <f t="shared" si="43"/>
        <v/>
      </c>
    </row>
    <row r="119" spans="1:20" ht="22.8" x14ac:dyDescent="0.3">
      <c r="A119" s="181">
        <v>2</v>
      </c>
      <c r="C119">
        <f t="shared" si="34"/>
        <v>2</v>
      </c>
      <c r="D119" t="s">
        <v>779</v>
      </c>
      <c r="E119" s="51" t="s">
        <v>721</v>
      </c>
      <c r="F119" s="57" t="s">
        <v>304</v>
      </c>
      <c r="G119" s="135" t="s">
        <v>722</v>
      </c>
      <c r="H119" s="131" t="str">
        <f>'16. System Data Protection'!$G10</f>
        <v>No such function exist in PeriCALM</v>
      </c>
      <c r="I119" t="str">
        <f>'16. System Data Protection'!$F10</f>
        <v>N/A</v>
      </c>
      <c r="J119" s="53" t="str">
        <f>IF(OR($I118="N/A",$I118="No"),"N/A",IF($I119="Yes","Adequate",IF($I119="No","Inadequate",IF($I119="Partial","Inadequate",IF(AND($I119="N/A",NOT($I118="No"),NOT($I118="N/A")),"Inadequate",IF(OR($I119="",$I119=0),"Blank","Error"))))))</f>
        <v>N/A</v>
      </c>
      <c r="K119" s="123" t="s">
        <v>75</v>
      </c>
      <c r="L119" t="str">
        <f t="shared" si="36"/>
        <v>N/A</v>
      </c>
      <c r="N119" t="str">
        <f t="shared" si="37"/>
        <v/>
      </c>
      <c r="O119" t="str">
        <f t="shared" si="38"/>
        <v>N/A</v>
      </c>
      <c r="P119" t="str">
        <f t="shared" si="39"/>
        <v>No such function exist in PeriCALM</v>
      </c>
      <c r="Q119" t="str">
        <f t="shared" si="40"/>
        <v>N/A</v>
      </c>
      <c r="R119" t="str">
        <f t="shared" si="41"/>
        <v>No Override</v>
      </c>
      <c r="S119">
        <f t="shared" si="42"/>
        <v>2</v>
      </c>
      <c r="T119" t="str">
        <f t="shared" si="43"/>
        <v/>
      </c>
    </row>
    <row r="120" spans="1:20" ht="68.400000000000006" x14ac:dyDescent="0.3">
      <c r="A120" s="181">
        <v>2</v>
      </c>
      <c r="C120">
        <f t="shared" si="34"/>
        <v>2</v>
      </c>
      <c r="D120" t="s">
        <v>779</v>
      </c>
      <c r="E120" s="51" t="s">
        <v>723</v>
      </c>
      <c r="F120" s="57" t="s">
        <v>304</v>
      </c>
      <c r="G120" s="135" t="s">
        <v>724</v>
      </c>
      <c r="H120" s="131" t="str">
        <f>'16. System Data Protection'!$G11</f>
        <v>No such devioces supported. When the system is in use, the UI is showing and active data is being collected/traced on the screen</v>
      </c>
      <c r="I120" t="str">
        <f>'16. System Data Protection'!$F11</f>
        <v>N/A</v>
      </c>
      <c r="J120" s="53" t="str">
        <f>IF(OR($I118="N/A",$I118="No"),"N/A",IF($I120="Yes","Adequate",IF($I120="No","Inadequate",IF($I120="Partial","Inadequate",IF(AND($I120="N/A",NOT($I118="No"),NOT($I118="N/A")),"Inadequate",IF(OR($I120="",$I120=0),"Blank","Error"))))))</f>
        <v>N/A</v>
      </c>
      <c r="K120" s="123" t="s">
        <v>75</v>
      </c>
      <c r="L120" t="str">
        <f t="shared" si="36"/>
        <v>N/A</v>
      </c>
      <c r="N120" t="str">
        <f t="shared" si="37"/>
        <v/>
      </c>
      <c r="O120" t="str">
        <f t="shared" si="38"/>
        <v>N/A</v>
      </c>
      <c r="P120" t="str">
        <f t="shared" si="39"/>
        <v>No such devioces supported. When the system is in use, the UI is showing and active data is being collected/traced on the screen</v>
      </c>
      <c r="Q120" t="str">
        <f t="shared" si="40"/>
        <v>N/A</v>
      </c>
      <c r="R120" t="str">
        <f t="shared" si="41"/>
        <v>No Override</v>
      </c>
      <c r="S120">
        <f t="shared" si="42"/>
        <v>2</v>
      </c>
      <c r="T120" t="str">
        <f t="shared" si="43"/>
        <v/>
      </c>
    </row>
    <row r="121" spans="1:20" ht="114" x14ac:dyDescent="0.3">
      <c r="A121" s="181">
        <v>4</v>
      </c>
      <c r="C121">
        <f t="shared" si="34"/>
        <v>4</v>
      </c>
      <c r="D121" t="s">
        <v>779</v>
      </c>
      <c r="E121" s="51" t="s">
        <v>725</v>
      </c>
      <c r="F121" s="57" t="s">
        <v>727</v>
      </c>
      <c r="G121" s="135" t="s">
        <v>728</v>
      </c>
      <c r="H121" s="131" t="str">
        <f>'16. System Data Protection'!$G12</f>
        <v>Data is trasmitted from client to server over MSMQ messages which rely on DNS hostname validation/registration. Only configured station (by hostname) can open a session to the server and access data if authenticated.</v>
      </c>
      <c r="I121" t="str">
        <f>'16. System Data Protection'!$F12</f>
        <v>Yes</v>
      </c>
      <c r="J121" t="str">
        <f t="shared" si="35"/>
        <v>Adequate</v>
      </c>
      <c r="K121" s="123" t="s">
        <v>75</v>
      </c>
      <c r="L121" t="str">
        <f t="shared" si="36"/>
        <v>Adequate</v>
      </c>
      <c r="N121" t="str">
        <f t="shared" si="37"/>
        <v/>
      </c>
      <c r="O121" t="str">
        <f t="shared" si="38"/>
        <v>Yes</v>
      </c>
      <c r="P121" t="str">
        <f t="shared" si="39"/>
        <v>Data is trasmitted from client to server over MSMQ messages which rely on DNS hostname validation/registration. Only configured station (by hostname) can open a session to the server and access data if authenticated.</v>
      </c>
      <c r="Q121" t="str">
        <f t="shared" si="40"/>
        <v>Adequate</v>
      </c>
      <c r="R121" t="str">
        <f t="shared" si="41"/>
        <v>No Override</v>
      </c>
      <c r="S121">
        <f t="shared" si="42"/>
        <v>4</v>
      </c>
      <c r="T121" t="str">
        <f t="shared" si="43"/>
        <v/>
      </c>
    </row>
    <row r="122" spans="1:20" ht="22.8" x14ac:dyDescent="0.3">
      <c r="A122" s="181">
        <v>4</v>
      </c>
      <c r="C122">
        <f t="shared" si="34"/>
        <v>4</v>
      </c>
      <c r="D122" t="s">
        <v>779</v>
      </c>
      <c r="E122" s="51" t="s">
        <v>729</v>
      </c>
      <c r="F122" s="57" t="s">
        <v>731</v>
      </c>
      <c r="G122" s="135" t="s">
        <v>732</v>
      </c>
      <c r="H122" s="131" t="str">
        <f>'16. System Data Protection'!$G13</f>
        <v>as mentioned above</v>
      </c>
      <c r="I122" t="str">
        <f>'16. System Data Protection'!$F13</f>
        <v>Yes</v>
      </c>
      <c r="J122" t="str">
        <f t="shared" si="35"/>
        <v>Adequate</v>
      </c>
      <c r="K122" s="123" t="s">
        <v>75</v>
      </c>
      <c r="L122" t="str">
        <f t="shared" si="36"/>
        <v>Adequate</v>
      </c>
      <c r="N122" t="str">
        <f t="shared" si="37"/>
        <v/>
      </c>
      <c r="O122" t="str">
        <f t="shared" si="38"/>
        <v>Yes</v>
      </c>
      <c r="P122" t="str">
        <f t="shared" si="39"/>
        <v>as mentioned above</v>
      </c>
      <c r="Q122" t="str">
        <f t="shared" si="40"/>
        <v>Adequate</v>
      </c>
      <c r="R122" t="str">
        <f t="shared" si="41"/>
        <v>No Override</v>
      </c>
      <c r="S122">
        <f t="shared" si="42"/>
        <v>4</v>
      </c>
      <c r="T122" t="str">
        <f t="shared" si="43"/>
        <v/>
      </c>
    </row>
    <row r="123" spans="1:20" x14ac:dyDescent="0.3">
      <c r="A123" s="181">
        <v>3</v>
      </c>
      <c r="C123">
        <f t="shared" si="34"/>
        <v>3</v>
      </c>
      <c r="D123" t="s">
        <v>779</v>
      </c>
      <c r="E123" s="51" t="s">
        <v>733</v>
      </c>
      <c r="F123" s="57" t="s">
        <v>735</v>
      </c>
      <c r="G123" s="135" t="s">
        <v>736</v>
      </c>
      <c r="H123" s="131" t="str">
        <f>'16. System Data Protection'!$G14</f>
        <v>only by DNS resolution</v>
      </c>
      <c r="I123" t="str">
        <f>'16. System Data Protection'!$F14</f>
        <v>Yes</v>
      </c>
      <c r="J123" t="str">
        <f t="shared" si="35"/>
        <v>Adequate</v>
      </c>
      <c r="K123" s="123" t="s">
        <v>75</v>
      </c>
      <c r="L123" t="str">
        <f t="shared" si="36"/>
        <v>Adequate</v>
      </c>
      <c r="N123" t="str">
        <f t="shared" si="37"/>
        <v/>
      </c>
      <c r="O123" t="str">
        <f t="shared" si="38"/>
        <v>Yes</v>
      </c>
      <c r="P123" t="str">
        <f t="shared" si="39"/>
        <v>only by DNS resolution</v>
      </c>
      <c r="Q123" t="str">
        <f t="shared" si="40"/>
        <v>Adequate</v>
      </c>
      <c r="R123" t="str">
        <f t="shared" si="41"/>
        <v>No Override</v>
      </c>
      <c r="S123">
        <f t="shared" si="42"/>
        <v>3</v>
      </c>
      <c r="T123" t="str">
        <f t="shared" si="43"/>
        <v/>
      </c>
    </row>
    <row r="124" spans="1:20" ht="34.200000000000003" x14ac:dyDescent="0.3">
      <c r="A124" s="181">
        <v>1</v>
      </c>
      <c r="C124">
        <f t="shared" si="34"/>
        <v>1</v>
      </c>
      <c r="D124" t="s">
        <v>779</v>
      </c>
      <c r="E124" s="51" t="s">
        <v>737</v>
      </c>
      <c r="F124" s="57" t="s">
        <v>739</v>
      </c>
      <c r="G124" s="135" t="s">
        <v>782</v>
      </c>
      <c r="H124" s="131" t="str">
        <f>'16. System Data Protection'!$G15</f>
        <v>Not natively. That said, full server/disk  encryption is possible</v>
      </c>
      <c r="I124" t="str">
        <f>'16. System Data Protection'!$F15</f>
        <v>No</v>
      </c>
      <c r="J124" t="str">
        <f t="shared" si="35"/>
        <v>Inadequate</v>
      </c>
      <c r="K124" s="123" t="s">
        <v>75</v>
      </c>
      <c r="L124" t="str">
        <f t="shared" si="36"/>
        <v>Inadequate</v>
      </c>
      <c r="N124" t="str">
        <f t="shared" si="37"/>
        <v/>
      </c>
      <c r="O124" t="str">
        <f t="shared" si="38"/>
        <v>No</v>
      </c>
      <c r="P124" t="str">
        <f t="shared" si="39"/>
        <v>Not natively. That said, full server/disk  encryption is possible</v>
      </c>
      <c r="Q124" t="str">
        <f t="shared" si="40"/>
        <v>Inadequate</v>
      </c>
      <c r="R124" t="str">
        <f t="shared" si="41"/>
        <v>No Override</v>
      </c>
      <c r="S124">
        <f t="shared" si="42"/>
        <v>1</v>
      </c>
      <c r="T124" t="str">
        <f t="shared" ref="T124:T128" si="44">IF($L124=$Q124,"","***")</f>
        <v/>
      </c>
    </row>
    <row r="125" spans="1:20" ht="22.8" x14ac:dyDescent="0.3">
      <c r="A125" s="181">
        <v>4</v>
      </c>
      <c r="C125">
        <f t="shared" si="34"/>
        <v>4</v>
      </c>
      <c r="D125" t="s">
        <v>783</v>
      </c>
      <c r="E125" s="51" t="s">
        <v>742</v>
      </c>
      <c r="F125" s="57" t="s">
        <v>745</v>
      </c>
      <c r="G125" s="131" t="s">
        <v>746</v>
      </c>
      <c r="H125" s="135" t="str">
        <f>'17. System Data Integrity'!$G3</f>
        <v>Comment is required</v>
      </c>
      <c r="I125" t="str">
        <f>'17. System Data Integrity'!$F3</f>
        <v>No</v>
      </c>
      <c r="J125" t="str">
        <f t="shared" si="35"/>
        <v>Inadequate</v>
      </c>
      <c r="K125" s="123" t="s">
        <v>75</v>
      </c>
      <c r="L125" t="str">
        <f t="shared" si="36"/>
        <v>Inadequate</v>
      </c>
      <c r="N125" t="str">
        <f t="shared" si="37"/>
        <v/>
      </c>
      <c r="O125" t="str">
        <f t="shared" si="38"/>
        <v>No</v>
      </c>
      <c r="P125" t="str">
        <f t="shared" si="39"/>
        <v>Comment is required</v>
      </c>
      <c r="Q125" t="str">
        <f t="shared" si="40"/>
        <v>Inadequate</v>
      </c>
      <c r="R125" t="str">
        <f t="shared" si="41"/>
        <v>No Override</v>
      </c>
      <c r="S125">
        <f t="shared" si="42"/>
        <v>4</v>
      </c>
      <c r="T125" t="str">
        <f t="shared" si="44"/>
        <v/>
      </c>
    </row>
    <row r="126" spans="1:20" ht="34.200000000000003" x14ac:dyDescent="0.3">
      <c r="A126" s="181">
        <v>1</v>
      </c>
      <c r="C126">
        <f t="shared" si="34"/>
        <v>1</v>
      </c>
      <c r="D126" t="s">
        <v>783</v>
      </c>
      <c r="E126" s="51" t="s">
        <v>747</v>
      </c>
      <c r="F126" s="57" t="s">
        <v>316</v>
      </c>
      <c r="G126" s="135" t="s">
        <v>748</v>
      </c>
      <c r="H126" s="135" t="str">
        <f>'17. System Data Integrity'!$G4</f>
        <v>Customers regularly scan our application befor go-lives</v>
      </c>
      <c r="I126" t="str">
        <f>'17. System Data Integrity'!$F4</f>
        <v>No</v>
      </c>
      <c r="J126" t="str">
        <f t="shared" si="35"/>
        <v>Inadequate</v>
      </c>
      <c r="K126" s="123" t="s">
        <v>75</v>
      </c>
      <c r="L126" t="str">
        <f t="shared" si="36"/>
        <v>Inadequate</v>
      </c>
      <c r="N126" t="str">
        <f t="shared" si="37"/>
        <v/>
      </c>
      <c r="O126" t="str">
        <f t="shared" si="38"/>
        <v>No</v>
      </c>
      <c r="P126" t="str">
        <f t="shared" si="39"/>
        <v>Customers regularly scan our application befor go-lives</v>
      </c>
      <c r="Q126" t="str">
        <f t="shared" si="40"/>
        <v>Inadequate</v>
      </c>
      <c r="R126" t="str">
        <f t="shared" si="41"/>
        <v>No Override</v>
      </c>
      <c r="S126">
        <f t="shared" si="42"/>
        <v>1</v>
      </c>
      <c r="T126" t="str">
        <f t="shared" si="44"/>
        <v/>
      </c>
    </row>
    <row r="127" spans="1:20" x14ac:dyDescent="0.3">
      <c r="A127" s="181">
        <v>1</v>
      </c>
      <c r="C127">
        <f t="shared" si="34"/>
        <v>1</v>
      </c>
      <c r="D127" t="s">
        <v>783</v>
      </c>
      <c r="E127" s="51" t="s">
        <v>749</v>
      </c>
      <c r="F127" s="57" t="s">
        <v>316</v>
      </c>
      <c r="G127" s="135" t="s">
        <v>750</v>
      </c>
      <c r="H127" s="135" t="str">
        <f>'17. System Data Integrity'!$G5</f>
        <v>Comment is required</v>
      </c>
      <c r="I127" t="str">
        <f>'17. System Data Integrity'!$F5</f>
        <v>Yes</v>
      </c>
      <c r="J127" t="str">
        <f t="shared" si="35"/>
        <v>Adequate</v>
      </c>
      <c r="K127" s="123" t="s">
        <v>75</v>
      </c>
      <c r="L127" t="str">
        <f t="shared" si="36"/>
        <v>Adequate</v>
      </c>
      <c r="N127" t="str">
        <f t="shared" si="37"/>
        <v/>
      </c>
      <c r="O127" t="str">
        <f t="shared" si="38"/>
        <v>Yes</v>
      </c>
      <c r="P127" t="str">
        <f t="shared" si="39"/>
        <v>Comment is required</v>
      </c>
      <c r="Q127" t="str">
        <f t="shared" si="40"/>
        <v>Adequate</v>
      </c>
      <c r="R127" t="str">
        <f t="shared" si="41"/>
        <v>No Override</v>
      </c>
      <c r="S127">
        <f t="shared" si="42"/>
        <v>1</v>
      </c>
      <c r="T127" t="str">
        <f t="shared" si="44"/>
        <v/>
      </c>
    </row>
    <row r="128" spans="1:20" ht="79.8" x14ac:dyDescent="0.3">
      <c r="A128" s="181">
        <v>1</v>
      </c>
      <c r="C128">
        <f t="shared" si="34"/>
        <v>1</v>
      </c>
      <c r="D128" t="s">
        <v>783</v>
      </c>
      <c r="E128" s="51" t="s">
        <v>751</v>
      </c>
      <c r="F128" s="57" t="s">
        <v>316</v>
      </c>
      <c r="G128" s="135" t="s">
        <v>752</v>
      </c>
      <c r="H128" s="135" t="str">
        <f>'17. System Data Integrity'!$G6</f>
        <v>When/if discovered, they are funneled into the Change Control process and based on priority//severity, assigned to a maintenance release or hot-fix</v>
      </c>
      <c r="I128" t="str">
        <f>'17. System Data Integrity'!$F6</f>
        <v>Yes</v>
      </c>
      <c r="J128" t="str">
        <f t="shared" si="35"/>
        <v>Adequate</v>
      </c>
      <c r="K128" s="123" t="s">
        <v>75</v>
      </c>
      <c r="L128" t="str">
        <f t="shared" si="36"/>
        <v>Adequate</v>
      </c>
      <c r="N128" t="str">
        <f t="shared" si="37"/>
        <v/>
      </c>
      <c r="O128" t="str">
        <f t="shared" si="38"/>
        <v>Yes</v>
      </c>
      <c r="P128" t="str">
        <f t="shared" si="39"/>
        <v>When/if discovered, they are funneled into the Change Control process and based on priority//severity, assigned to a maintenance release or hot-fix</v>
      </c>
      <c r="Q128" t="str">
        <f t="shared" si="40"/>
        <v>Adequate</v>
      </c>
      <c r="R128" t="str">
        <f t="shared" si="41"/>
        <v>No Override</v>
      </c>
      <c r="S128">
        <f t="shared" si="42"/>
        <v>1</v>
      </c>
      <c r="T128" t="str">
        <f t="shared" si="44"/>
        <v/>
      </c>
    </row>
  </sheetData>
  <sheetProtection selectLockedCells="1"/>
  <mergeCells count="1">
    <mergeCell ref="F1:J1"/>
  </mergeCells>
  <conditionalFormatting sqref="L9:M128">
    <cfRule type="expression" dxfId="9" priority="1">
      <formula>AND($I9="N/A",$H9&lt;&gt;0)</formula>
    </cfRule>
    <cfRule type="expression" dxfId="8" priority="2">
      <formula>AND($I9="N/A",$H9=0)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 Validation Key'!$C$21:$C$24</xm:f>
          </x14:formula1>
          <xm:sqref>K9:K128</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128"/>
  <sheetViews>
    <sheetView zoomScaleNormal="100" workbookViewId="0">
      <pane ySplit="8" topLeftCell="A9" activePane="bottomLeft" state="frozen"/>
      <selection activeCell="H20" sqref="H20"/>
      <selection pane="bottomLeft" activeCell="M8" sqref="M8"/>
    </sheetView>
  </sheetViews>
  <sheetFormatPr defaultColWidth="9" defaultRowHeight="14.4" x14ac:dyDescent="0.3"/>
  <cols>
    <col min="1" max="1" width="4.44140625" bestFit="1" customWidth="1"/>
    <col min="2" max="2" width="8.88671875" bestFit="1" customWidth="1"/>
    <col min="3" max="3" width="7.44140625" bestFit="1" customWidth="1"/>
    <col min="4" max="4" width="18.109375" customWidth="1"/>
    <col min="5" max="5" width="12.5546875" customWidth="1"/>
    <col min="6" max="6" width="17.88671875" style="58" customWidth="1"/>
    <col min="7" max="7" width="86.5546875" style="136" customWidth="1"/>
    <col min="8" max="8" width="21.109375" style="136" customWidth="1"/>
    <col min="9" max="9" width="9.5546875" bestFit="1" customWidth="1"/>
    <col min="10" max="10" width="13.6640625" bestFit="1" customWidth="1"/>
    <col min="11" max="11" width="11.88671875" bestFit="1" customWidth="1"/>
    <col min="12" max="12" width="14.44140625" bestFit="1" customWidth="1"/>
    <col min="13" max="13" width="14.44140625" customWidth="1"/>
    <col min="14" max="14" width="20.44140625" customWidth="1"/>
    <col min="15" max="15" width="10.109375" customWidth="1"/>
    <col min="16" max="16" width="18" customWidth="1"/>
    <col min="17" max="17" width="14" customWidth="1"/>
    <col min="18" max="18" width="9.6640625" customWidth="1"/>
    <col min="19" max="19" width="12.33203125" customWidth="1"/>
    <col min="20" max="20" width="22" customWidth="1"/>
  </cols>
  <sheetData>
    <row r="1" spans="1:20" x14ac:dyDescent="0.3">
      <c r="F1" s="371" t="s">
        <v>753</v>
      </c>
      <c r="G1" s="371"/>
      <c r="H1" s="371"/>
      <c r="I1" s="371"/>
      <c r="J1" s="371"/>
    </row>
    <row r="2" spans="1:20" ht="28.8" x14ac:dyDescent="0.3">
      <c r="F2" s="182" t="s">
        <v>754</v>
      </c>
      <c r="G2" s="183" t="s">
        <v>755</v>
      </c>
      <c r="H2" s="183" t="s">
        <v>756</v>
      </c>
      <c r="I2" s="182" t="s">
        <v>757</v>
      </c>
      <c r="J2" s="182" t="s">
        <v>758</v>
      </c>
    </row>
    <row r="3" spans="1:20" x14ac:dyDescent="0.3">
      <c r="F3" s="184" t="str">
        <f>IF(Scope!D6="Yes",_xlfn.CONCAT("Service ")&amp;IF(Scope!D7="Yes",_xlfn.CONCAT("Product"),""),IF(Scope!D7="Yes",_xlfn.CONCAT("Product"),"Blank"))</f>
        <v>Blank</v>
      </c>
      <c r="G3" s="185" t="str">
        <f>IF(Scope!D17="Yes","PHI","No PHI")</f>
        <v>No PHI</v>
      </c>
      <c r="H3" s="185" t="str">
        <f>IF(OR(Scope!D23="Yes",NOT(Scope!E23="")),"Workstation"&amp;_xlfn.CONCAT(" ,",Scope!E23),"")</f>
        <v/>
      </c>
      <c r="I3" s="188" t="str">
        <f>IF(Scope!D40="Yes",_xlfn.CONCAT("SOC 1 Type 1 ")&amp;IF(Scope!D41="Yes",_xlfn.CONCAT("SOC 1 Type 2"),""),IF(Scope!D41="Yes",_xlfn.CONCAT("SOC 1 Type 2"),"No SOC 1"))</f>
        <v>No SOC 1</v>
      </c>
      <c r="J3" s="188" t="str">
        <f>IF(Scope!D10="Yes",_xlfn.CONCAT("Remote Access Client Network ")&amp;IF(Scope!D11="Yes",_xlfn.CONCAT("Onsite Network Access"),""),IF(Scope!D11="Yes",_xlfn.CONCAT("Onsite Network Access"),""))</f>
        <v/>
      </c>
    </row>
    <row r="4" spans="1:20" x14ac:dyDescent="0.3">
      <c r="F4" s="184" t="str">
        <f>IF(Scope!D6="Yes",Scope!E6,"")&amp; " "&amp;IF(Scope!D7="Yes",Scope!E7,"")</f>
        <v xml:space="preserve"> </v>
      </c>
      <c r="G4" s="185" t="str">
        <f>IF(Scope!D18="Yes","PII","No PII")</f>
        <v>No PII</v>
      </c>
      <c r="H4" s="185" t="str">
        <f>IF(OR(Scope!D25="Yes",NOT(Scope!E25="")),"Mobile Device"&amp;_xlfn.CONCAT(" ,",Scope!E25),"")</f>
        <v/>
      </c>
      <c r="I4" s="188" t="str">
        <f>IF(Scope!D42="Yes",_xlfn.CONCAT("SOC 2 Type 1 ")&amp;IF(Scope!D43="Yes",_xlfn.CONCAT("SOC 2 Type 2"),""),IF(Scope!D43="Yes",_xlfn.CONCAT("SOC 2 Type 2"),"No SOC 2"))</f>
        <v>No SOC 2</v>
      </c>
      <c r="J4" s="188" t="str">
        <f>IF(Scope!D12="Yes",_xlfn.CONCAT("Access Client Infrastructure ")&amp;IF(Scope!D13="Yes",_xlfn.CONCAT("Access Application/Database"),""),IF(Scope!D13="Yes",_xlfn.CONCAT("Access Application/Database"),""))</f>
        <v/>
      </c>
    </row>
    <row r="5" spans="1:20" x14ac:dyDescent="0.3">
      <c r="F5" s="184"/>
      <c r="G5" s="185" t="str">
        <f>IF(Scope!D19="Yes","PCI","No PCI")</f>
        <v>No PCI</v>
      </c>
      <c r="H5" s="185" t="str">
        <f>IF(OR(Scope!D27="Yes",NOT(Scope!E27="")),"Medical Device"&amp;_xlfn.CONCAT(" ,",Scope!E27),"")</f>
        <v/>
      </c>
      <c r="I5" s="188" t="str">
        <f>IF(Scope!D44="Yes",_xlfn.CONCAT("SOC 3 ")&amp;IF(Scope!D45="Yes",_xlfn.CONCAT("HITRUST"),""),IF(Scope!D45="Yes",_xlfn.CONCAT("HITRUST"),""))</f>
        <v/>
      </c>
      <c r="J5" s="188" t="str">
        <f>IF(Scope!D14="Yes",_xlfn.CONCAT("Receive Client Data ")&amp;IF(Scope!D15="Yes",_xlfn.CONCAT("No Access"),""),IF(Scope!D15="Yes",_xlfn.CONCAT("No Access"),""))</f>
        <v/>
      </c>
    </row>
    <row r="6" spans="1:20" x14ac:dyDescent="0.3">
      <c r="F6" s="184"/>
      <c r="G6" s="185" t="str">
        <f>IF(Scope!D20="Yes",_xlfn.CONCAT("Employee Information ")&amp;IF(Scope!D21="Yes",_xlfn.CONCAT(" Proprietary Information")),IF(Scope!D21="Yes",_xlfn.CONCAT("Proprietary Information"),"No Employee or Proprietary Informaiton"))</f>
        <v>No Employee or Proprietary Informaiton</v>
      </c>
      <c r="H6" s="185" t="str">
        <f>IF(OR(Scope!D28="Yes",NOT(Scope!E28="")),"Other"&amp;_xlfn.CONCAT(" ,",Scope!E28),"")</f>
        <v/>
      </c>
      <c r="I6" s="188" t="str">
        <f>IF(Scope!D46="Yes",_xlfn.CONCAT("PCI DSS ")&amp;IF(Scope!D46="Yes",_xlfn.CONCAT("ISO 27001"),""),IF(Scope!D46="Yes",_xlfn.CONCAT("ISO 27001"),""))</f>
        <v/>
      </c>
      <c r="J6" s="188"/>
    </row>
    <row r="7" spans="1:20" x14ac:dyDescent="0.3">
      <c r="F7" s="184"/>
      <c r="G7" s="185"/>
      <c r="H7" s="185"/>
      <c r="I7" s="188" t="str">
        <f>IF(Scope!D48="Yes",_xlfn.CONCAT("FedRamp ")&amp;IF(Scope!D49="Yes",_xlfn.CONCAT("HIPAA"),""),IF(Scope!D47="Yes",_xlfn.CONCAT("HIPAA"),""))</f>
        <v/>
      </c>
      <c r="J7" s="188"/>
    </row>
    <row r="8" spans="1:20" x14ac:dyDescent="0.3">
      <c r="A8" s="52" t="s">
        <v>759</v>
      </c>
      <c r="B8" s="52" t="s">
        <v>760</v>
      </c>
      <c r="C8" s="52" t="s">
        <v>761</v>
      </c>
      <c r="D8" s="52" t="s">
        <v>762</v>
      </c>
      <c r="E8" s="52" t="s">
        <v>92</v>
      </c>
      <c r="F8" s="56" t="s">
        <v>93</v>
      </c>
      <c r="G8" s="130" t="s">
        <v>763</v>
      </c>
      <c r="H8" s="130" t="s">
        <v>764</v>
      </c>
      <c r="I8" s="52" t="s">
        <v>95</v>
      </c>
      <c r="J8" s="52" t="s">
        <v>765</v>
      </c>
      <c r="K8" s="52" t="s">
        <v>766</v>
      </c>
      <c r="L8" s="52" t="s">
        <v>767</v>
      </c>
      <c r="M8" s="52" t="s">
        <v>768</v>
      </c>
      <c r="N8" s="68" t="s">
        <v>769</v>
      </c>
      <c r="O8" s="68" t="s">
        <v>132</v>
      </c>
      <c r="P8" s="68" t="s">
        <v>133</v>
      </c>
      <c r="Q8" s="68" t="s">
        <v>770</v>
      </c>
      <c r="R8" s="68" t="s">
        <v>73</v>
      </c>
      <c r="S8" s="68" t="s">
        <v>771</v>
      </c>
      <c r="T8" s="68" t="s">
        <v>772</v>
      </c>
    </row>
    <row r="9" spans="1:20" x14ac:dyDescent="0.3">
      <c r="A9" s="181">
        <v>3</v>
      </c>
      <c r="C9">
        <f>IF($B9="",$A9,$B9)</f>
        <v>3</v>
      </c>
      <c r="D9" t="s">
        <v>773</v>
      </c>
      <c r="E9" s="51" t="s">
        <v>347</v>
      </c>
      <c r="F9" s="57" t="s">
        <v>350</v>
      </c>
      <c r="G9" s="131" t="s">
        <v>351</v>
      </c>
      <c r="H9" s="131" t="str">
        <f>'1. Access Controls'!$I3</f>
        <v>Comment is required</v>
      </c>
      <c r="I9">
        <f>'1. Access Controls'!$H3</f>
        <v>0</v>
      </c>
      <c r="J9" t="str">
        <f t="shared" ref="J9:J12" si="0">IF($I9="Yes","Adequate",IF($I9="No","Inadequate",IF($I9="Partial","Inadequate",IF($I9="N/A","Inadequate",IF(OR($I9="",$I9=0),"Blank","Error")))))</f>
        <v>Blank</v>
      </c>
      <c r="K9" s="123" t="s">
        <v>75</v>
      </c>
      <c r="L9" t="str">
        <f t="shared" ref="L9:L33" si="1">IF($K9="No Override",$J9,$K9)</f>
        <v>Blank</v>
      </c>
      <c r="N9" t="str">
        <f>IF($J9=$L9,"","***")</f>
        <v/>
      </c>
      <c r="O9" t="str">
        <f>IF(OR($I9="",$I9=0),"",$I9)</f>
        <v/>
      </c>
      <c r="P9" t="str">
        <f>IF(OR($H9="",$H9=0),"",$H9)</f>
        <v>Comment is required</v>
      </c>
      <c r="Q9" t="str">
        <f>$L9</f>
        <v>Blank</v>
      </c>
      <c r="R9" t="str">
        <f>$K9</f>
        <v>No Override</v>
      </c>
      <c r="S9">
        <f>$C9</f>
        <v>3</v>
      </c>
      <c r="T9" t="str">
        <f>IF($L9=$Q9,"","***")</f>
        <v/>
      </c>
    </row>
    <row r="10" spans="1:20" ht="22.8" x14ac:dyDescent="0.3">
      <c r="A10" s="181">
        <v>1</v>
      </c>
      <c r="C10">
        <f>IF($B10="",$A10,$B10)</f>
        <v>1</v>
      </c>
      <c r="D10" t="s">
        <v>773</v>
      </c>
      <c r="E10" s="51" t="s">
        <v>353</v>
      </c>
      <c r="F10" s="57" t="s">
        <v>356</v>
      </c>
      <c r="G10" s="131" t="s">
        <v>357</v>
      </c>
      <c r="H10" s="131" t="str">
        <f>'1. Access Controls'!$I4</f>
        <v>Comment is required</v>
      </c>
      <c r="I10">
        <f>'1. Access Controls'!$H4</f>
        <v>0</v>
      </c>
      <c r="J10" t="str">
        <f t="shared" si="0"/>
        <v>Blank</v>
      </c>
      <c r="K10" s="123" t="s">
        <v>75</v>
      </c>
      <c r="L10" t="str">
        <f t="shared" si="1"/>
        <v>Blank</v>
      </c>
      <c r="N10" t="str">
        <f t="shared" ref="N10:N33" si="2">IF($J10=$L10,"","***")</f>
        <v/>
      </c>
      <c r="O10" t="str">
        <f t="shared" ref="O10:O33" si="3">IF(OR($I10="",$I10=0),"",$I10)</f>
        <v/>
      </c>
      <c r="P10" t="str">
        <f t="shared" ref="P10:P33" si="4">IF(OR($H10="",$H10=0),"",$H10)</f>
        <v>Comment is required</v>
      </c>
      <c r="Q10" t="str">
        <f t="shared" ref="Q10:Q33" si="5">$L10</f>
        <v>Blank</v>
      </c>
      <c r="R10" t="str">
        <f t="shared" ref="R10:R33" si="6">$K10</f>
        <v>No Override</v>
      </c>
      <c r="S10">
        <f t="shared" ref="S10:S33" si="7">$C10</f>
        <v>1</v>
      </c>
      <c r="T10" t="str">
        <f t="shared" ref="T10:T33" si="8">IF($L10=$Q10,"","***")</f>
        <v/>
      </c>
    </row>
    <row r="11" spans="1:20" x14ac:dyDescent="0.3">
      <c r="A11" s="181">
        <v>3</v>
      </c>
      <c r="C11">
        <f>IF($B11="",$A11,$B11)</f>
        <v>3</v>
      </c>
      <c r="D11" t="s">
        <v>773</v>
      </c>
      <c r="E11" s="51" t="s">
        <v>358</v>
      </c>
      <c r="F11" s="57" t="s">
        <v>356</v>
      </c>
      <c r="G11" s="131" t="s">
        <v>359</v>
      </c>
      <c r="H11" s="131" t="str">
        <f>'1. Access Controls'!$I5</f>
        <v>Comment is required</v>
      </c>
      <c r="I11">
        <f>'1. Access Controls'!$H5</f>
        <v>0</v>
      </c>
      <c r="J11" t="str">
        <f t="shared" si="0"/>
        <v>Blank</v>
      </c>
      <c r="K11" s="123" t="s">
        <v>75</v>
      </c>
      <c r="L11" t="str">
        <f t="shared" si="1"/>
        <v>Blank</v>
      </c>
      <c r="N11" t="str">
        <f t="shared" si="2"/>
        <v/>
      </c>
      <c r="O11" t="str">
        <f t="shared" si="3"/>
        <v/>
      </c>
      <c r="P11" t="str">
        <f t="shared" si="4"/>
        <v>Comment is required</v>
      </c>
      <c r="Q11" t="str">
        <f t="shared" si="5"/>
        <v>Blank</v>
      </c>
      <c r="R11" t="str">
        <f t="shared" si="6"/>
        <v>No Override</v>
      </c>
      <c r="S11">
        <f t="shared" si="7"/>
        <v>3</v>
      </c>
      <c r="T11" t="str">
        <f t="shared" si="8"/>
        <v/>
      </c>
    </row>
    <row r="12" spans="1:20" x14ac:dyDescent="0.3">
      <c r="A12" s="181">
        <v>4</v>
      </c>
      <c r="C12">
        <f>IF($B12="",$A12,$B12)</f>
        <v>4</v>
      </c>
      <c r="D12" t="s">
        <v>773</v>
      </c>
      <c r="E12" s="51" t="s">
        <v>360</v>
      </c>
      <c r="F12" s="57" t="s">
        <v>356</v>
      </c>
      <c r="G12" s="131" t="s">
        <v>361</v>
      </c>
      <c r="H12" s="131" t="str">
        <f>'1. Access Controls'!$I6</f>
        <v>Comment is required</v>
      </c>
      <c r="I12">
        <f>'1. Access Controls'!$H6</f>
        <v>0</v>
      </c>
      <c r="J12" t="str">
        <f t="shared" si="0"/>
        <v>Blank</v>
      </c>
      <c r="K12" s="123" t="s">
        <v>75</v>
      </c>
      <c r="L12" t="str">
        <f t="shared" si="1"/>
        <v>Blank</v>
      </c>
      <c r="N12" t="str">
        <f t="shared" si="2"/>
        <v/>
      </c>
      <c r="O12" t="str">
        <f t="shared" si="3"/>
        <v/>
      </c>
      <c r="P12" t="str">
        <f t="shared" si="4"/>
        <v>Comment is required</v>
      </c>
      <c r="Q12" t="str">
        <f t="shared" si="5"/>
        <v>Blank</v>
      </c>
      <c r="R12" t="str">
        <f t="shared" si="6"/>
        <v>No Override</v>
      </c>
      <c r="S12">
        <f t="shared" si="7"/>
        <v>4</v>
      </c>
      <c r="T12" t="str">
        <f t="shared" si="8"/>
        <v/>
      </c>
    </row>
    <row r="13" spans="1:20" ht="22.8" x14ac:dyDescent="0.3">
      <c r="A13" s="181">
        <v>2</v>
      </c>
      <c r="C13">
        <f t="shared" ref="C13:C33" si="9">IF($B13="",$A13,$B13)</f>
        <v>2</v>
      </c>
      <c r="D13" t="s">
        <v>773</v>
      </c>
      <c r="E13" s="51" t="s">
        <v>362</v>
      </c>
      <c r="F13" s="57" t="s">
        <v>364</v>
      </c>
      <c r="G13" s="131" t="s">
        <v>774</v>
      </c>
      <c r="H13" s="131" t="str">
        <f>'1. Access Controls'!$I7</f>
        <v>Comment is required</v>
      </c>
      <c r="I13">
        <f>'1. Access Controls'!$H7</f>
        <v>0</v>
      </c>
      <c r="J13" t="str">
        <f t="shared" ref="J13:J19" si="10">IF($I13="Yes","Adequate",IF($I13="No","Inadequate",IF($I13="Partial","Inadequate",IF($I13="N/A","Inadequate",IF(OR($I13="",$I13=0),"Blank","Error")))))</f>
        <v>Blank</v>
      </c>
      <c r="K13" s="123" t="s">
        <v>75</v>
      </c>
      <c r="L13" t="str">
        <f t="shared" si="1"/>
        <v>Blank</v>
      </c>
      <c r="N13" t="str">
        <f t="shared" si="2"/>
        <v/>
      </c>
      <c r="O13" t="str">
        <f t="shared" si="3"/>
        <v/>
      </c>
      <c r="P13" t="str">
        <f t="shared" si="4"/>
        <v>Comment is required</v>
      </c>
      <c r="Q13" t="str">
        <f t="shared" si="5"/>
        <v>Blank</v>
      </c>
      <c r="R13" t="str">
        <f t="shared" si="6"/>
        <v>No Override</v>
      </c>
      <c r="S13">
        <f t="shared" si="7"/>
        <v>2</v>
      </c>
      <c r="T13" t="str">
        <f t="shared" si="8"/>
        <v/>
      </c>
    </row>
    <row r="14" spans="1:20" x14ac:dyDescent="0.3">
      <c r="A14" s="181">
        <v>4</v>
      </c>
      <c r="C14">
        <f t="shared" si="9"/>
        <v>4</v>
      </c>
      <c r="D14" t="s">
        <v>773</v>
      </c>
      <c r="E14" s="51" t="s">
        <v>366</v>
      </c>
      <c r="F14" s="57" t="s">
        <v>368</v>
      </c>
      <c r="G14" s="131" t="s">
        <v>369</v>
      </c>
      <c r="H14" s="131" t="str">
        <f>'1. Access Controls'!$I8</f>
        <v>Comment is required</v>
      </c>
      <c r="I14">
        <f>'1. Access Controls'!$H8</f>
        <v>0</v>
      </c>
      <c r="J14" t="str">
        <f t="shared" si="10"/>
        <v>Blank</v>
      </c>
      <c r="K14" s="123" t="s">
        <v>75</v>
      </c>
      <c r="L14" t="str">
        <f t="shared" si="1"/>
        <v>Blank</v>
      </c>
      <c r="N14" t="str">
        <f t="shared" si="2"/>
        <v/>
      </c>
      <c r="O14" t="str">
        <f t="shared" si="3"/>
        <v/>
      </c>
      <c r="P14" t="str">
        <f t="shared" si="4"/>
        <v>Comment is required</v>
      </c>
      <c r="Q14" t="str">
        <f t="shared" si="5"/>
        <v>Blank</v>
      </c>
      <c r="R14" t="str">
        <f t="shared" si="6"/>
        <v>No Override</v>
      </c>
      <c r="S14">
        <f t="shared" si="7"/>
        <v>4</v>
      </c>
      <c r="T14" t="str">
        <f t="shared" si="8"/>
        <v/>
      </c>
    </row>
    <row r="15" spans="1:20" x14ac:dyDescent="0.3">
      <c r="A15" s="181">
        <v>4</v>
      </c>
      <c r="C15">
        <f t="shared" si="9"/>
        <v>4</v>
      </c>
      <c r="D15" t="s">
        <v>773</v>
      </c>
      <c r="E15" s="51" t="s">
        <v>370</v>
      </c>
      <c r="F15" s="57" t="s">
        <v>372</v>
      </c>
      <c r="G15" s="131" t="s">
        <v>373</v>
      </c>
      <c r="H15" s="131" t="str">
        <f>'1. Access Controls'!$I9</f>
        <v>Comment is required</v>
      </c>
      <c r="I15">
        <f>'1. Access Controls'!$H9</f>
        <v>0</v>
      </c>
      <c r="J15" t="str">
        <f t="shared" si="10"/>
        <v>Blank</v>
      </c>
      <c r="K15" s="123" t="s">
        <v>75</v>
      </c>
      <c r="L15" t="str">
        <f t="shared" si="1"/>
        <v>Blank</v>
      </c>
      <c r="N15" t="str">
        <f t="shared" si="2"/>
        <v/>
      </c>
      <c r="O15" t="str">
        <f t="shared" si="3"/>
        <v/>
      </c>
      <c r="P15" t="str">
        <f t="shared" si="4"/>
        <v>Comment is required</v>
      </c>
      <c r="Q15" t="str">
        <f t="shared" si="5"/>
        <v>Blank</v>
      </c>
      <c r="R15" t="str">
        <f t="shared" si="6"/>
        <v>No Override</v>
      </c>
      <c r="S15">
        <f t="shared" si="7"/>
        <v>4</v>
      </c>
      <c r="T15" t="str">
        <f t="shared" si="8"/>
        <v/>
      </c>
    </row>
    <row r="16" spans="1:20" x14ac:dyDescent="0.3">
      <c r="A16" s="181">
        <v>4</v>
      </c>
      <c r="C16">
        <f t="shared" si="9"/>
        <v>4</v>
      </c>
      <c r="D16" t="s">
        <v>773</v>
      </c>
      <c r="E16" s="51" t="s">
        <v>374</v>
      </c>
      <c r="F16" s="57" t="s">
        <v>376</v>
      </c>
      <c r="G16" s="131" t="s">
        <v>377</v>
      </c>
      <c r="H16" s="131" t="str">
        <f>'1. Access Controls'!$I10</f>
        <v>Comment is required</v>
      </c>
      <c r="I16">
        <f>'1. Access Controls'!$H10</f>
        <v>0</v>
      </c>
      <c r="J16" t="str">
        <f t="shared" si="10"/>
        <v>Blank</v>
      </c>
      <c r="K16" s="123" t="s">
        <v>75</v>
      </c>
      <c r="L16" t="str">
        <f t="shared" si="1"/>
        <v>Blank</v>
      </c>
      <c r="N16" t="str">
        <f t="shared" si="2"/>
        <v/>
      </c>
      <c r="O16" t="str">
        <f t="shared" si="3"/>
        <v/>
      </c>
      <c r="P16" t="str">
        <f t="shared" si="4"/>
        <v>Comment is required</v>
      </c>
      <c r="Q16" t="str">
        <f t="shared" si="5"/>
        <v>Blank</v>
      </c>
      <c r="R16" t="str">
        <f t="shared" si="6"/>
        <v>No Override</v>
      </c>
      <c r="S16">
        <f t="shared" si="7"/>
        <v>4</v>
      </c>
      <c r="T16" t="str">
        <f t="shared" si="8"/>
        <v/>
      </c>
    </row>
    <row r="17" spans="1:20" x14ac:dyDescent="0.3">
      <c r="A17" s="181">
        <v>2</v>
      </c>
      <c r="C17">
        <f t="shared" si="9"/>
        <v>2</v>
      </c>
      <c r="D17" t="s">
        <v>773</v>
      </c>
      <c r="E17" s="51" t="s">
        <v>378</v>
      </c>
      <c r="F17" s="57" t="s">
        <v>381</v>
      </c>
      <c r="G17" s="131" t="s">
        <v>382</v>
      </c>
      <c r="H17" s="131" t="str">
        <f>'1. Access Controls'!$I11</f>
        <v>Comment is required</v>
      </c>
      <c r="I17">
        <f>'1. Access Controls'!$H11</f>
        <v>0</v>
      </c>
      <c r="J17" t="str">
        <f t="shared" si="10"/>
        <v>Blank</v>
      </c>
      <c r="K17" s="123" t="s">
        <v>75</v>
      </c>
      <c r="L17" t="str">
        <f t="shared" si="1"/>
        <v>Blank</v>
      </c>
      <c r="N17" t="str">
        <f t="shared" si="2"/>
        <v/>
      </c>
      <c r="O17" t="str">
        <f t="shared" si="3"/>
        <v/>
      </c>
      <c r="P17" t="str">
        <f t="shared" si="4"/>
        <v>Comment is required</v>
      </c>
      <c r="Q17" t="str">
        <f t="shared" si="5"/>
        <v>Blank</v>
      </c>
      <c r="R17" t="str">
        <f t="shared" si="6"/>
        <v>No Override</v>
      </c>
      <c r="S17">
        <f t="shared" si="7"/>
        <v>2</v>
      </c>
      <c r="T17" t="str">
        <f t="shared" si="8"/>
        <v/>
      </c>
    </row>
    <row r="18" spans="1:20" x14ac:dyDescent="0.3">
      <c r="A18" s="181">
        <v>2</v>
      </c>
      <c r="C18">
        <f t="shared" si="9"/>
        <v>2</v>
      </c>
      <c r="D18" t="s">
        <v>773</v>
      </c>
      <c r="E18" s="51" t="s">
        <v>383</v>
      </c>
      <c r="F18" s="57" t="s">
        <v>385</v>
      </c>
      <c r="G18" s="131" t="s">
        <v>386</v>
      </c>
      <c r="H18" s="131" t="str">
        <f>'1. Access Controls'!$I12</f>
        <v>Comment is required</v>
      </c>
      <c r="I18">
        <f>'1. Access Controls'!$H12</f>
        <v>0</v>
      </c>
      <c r="J18" t="str">
        <f t="shared" si="10"/>
        <v>Blank</v>
      </c>
      <c r="K18" s="123" t="s">
        <v>75</v>
      </c>
      <c r="L18" t="str">
        <f t="shared" si="1"/>
        <v>Blank</v>
      </c>
      <c r="N18" t="str">
        <f t="shared" si="2"/>
        <v/>
      </c>
      <c r="O18" t="str">
        <f t="shared" si="3"/>
        <v/>
      </c>
      <c r="P18" t="str">
        <f t="shared" si="4"/>
        <v>Comment is required</v>
      </c>
      <c r="Q18" t="str">
        <f t="shared" si="5"/>
        <v>Blank</v>
      </c>
      <c r="R18" t="str">
        <f t="shared" si="6"/>
        <v>No Override</v>
      </c>
      <c r="S18">
        <f t="shared" si="7"/>
        <v>2</v>
      </c>
      <c r="T18" t="str">
        <f t="shared" si="8"/>
        <v/>
      </c>
    </row>
    <row r="19" spans="1:20" x14ac:dyDescent="0.3">
      <c r="A19" s="181">
        <v>2</v>
      </c>
      <c r="C19">
        <f t="shared" si="9"/>
        <v>2</v>
      </c>
      <c r="D19" t="s">
        <v>773</v>
      </c>
      <c r="E19" s="51" t="s">
        <v>387</v>
      </c>
      <c r="F19" s="57" t="s">
        <v>389</v>
      </c>
      <c r="G19" s="131" t="s">
        <v>390</v>
      </c>
      <c r="H19" s="131" t="str">
        <f>'1. Access Controls'!$I13</f>
        <v>Comment is required</v>
      </c>
      <c r="I19">
        <f>'1. Access Controls'!$H13</f>
        <v>0</v>
      </c>
      <c r="J19" t="str">
        <f t="shared" si="10"/>
        <v>Blank</v>
      </c>
      <c r="K19" s="123" t="s">
        <v>75</v>
      </c>
      <c r="L19" t="str">
        <f t="shared" si="1"/>
        <v>Blank</v>
      </c>
      <c r="N19" t="str">
        <f t="shared" si="2"/>
        <v/>
      </c>
      <c r="O19" t="str">
        <f t="shared" si="3"/>
        <v/>
      </c>
      <c r="P19" t="str">
        <f t="shared" si="4"/>
        <v>Comment is required</v>
      </c>
      <c r="Q19" t="str">
        <f t="shared" si="5"/>
        <v>Blank</v>
      </c>
      <c r="R19" t="str">
        <f t="shared" si="6"/>
        <v>No Override</v>
      </c>
      <c r="S19">
        <f t="shared" si="7"/>
        <v>2</v>
      </c>
      <c r="T19" t="str">
        <f t="shared" si="8"/>
        <v/>
      </c>
    </row>
    <row r="20" spans="1:20" ht="22.8" x14ac:dyDescent="0.3">
      <c r="A20" s="181">
        <v>2</v>
      </c>
      <c r="C20">
        <f t="shared" si="9"/>
        <v>2</v>
      </c>
      <c r="D20" t="s">
        <v>391</v>
      </c>
      <c r="E20" s="51" t="s">
        <v>392</v>
      </c>
      <c r="F20" s="57" t="s">
        <v>395</v>
      </c>
      <c r="G20" s="131" t="s">
        <v>396</v>
      </c>
      <c r="H20" s="131" t="str">
        <f>'2. Awareness and Training'!$I3</f>
        <v>Comment is required</v>
      </c>
      <c r="I20">
        <f>'2. Awareness and Training'!$H3</f>
        <v>0</v>
      </c>
      <c r="J20" t="str">
        <f>IF($I20="Yes","Adequate",IF($I20="No","Inadequate",IF($I20="Partial","Inadequate",IF($I20="N/A","Inadequate",IF(OR($I20="",$I20=0),"Blank","Error")))))</f>
        <v>Blank</v>
      </c>
      <c r="K20" s="123" t="s">
        <v>75</v>
      </c>
      <c r="L20" t="str">
        <f t="shared" si="1"/>
        <v>Blank</v>
      </c>
      <c r="N20" t="str">
        <f t="shared" si="2"/>
        <v/>
      </c>
      <c r="O20" t="str">
        <f t="shared" si="3"/>
        <v/>
      </c>
      <c r="P20" t="str">
        <f t="shared" si="4"/>
        <v>Comment is required</v>
      </c>
      <c r="Q20" t="str">
        <f t="shared" si="5"/>
        <v>Blank</v>
      </c>
      <c r="R20" t="str">
        <f t="shared" si="6"/>
        <v>No Override</v>
      </c>
      <c r="S20">
        <f t="shared" si="7"/>
        <v>2</v>
      </c>
      <c r="T20" t="str">
        <f t="shared" si="8"/>
        <v/>
      </c>
    </row>
    <row r="21" spans="1:20" x14ac:dyDescent="0.3">
      <c r="A21" s="181">
        <v>2</v>
      </c>
      <c r="C21">
        <f t="shared" si="9"/>
        <v>2</v>
      </c>
      <c r="D21" t="s">
        <v>391</v>
      </c>
      <c r="E21" s="51" t="s">
        <v>397</v>
      </c>
      <c r="F21" s="59" t="s">
        <v>400</v>
      </c>
      <c r="G21" s="131" t="s">
        <v>401</v>
      </c>
      <c r="H21" s="131" t="str">
        <f>'2. Awareness and Training'!$I4</f>
        <v>Comment is required</v>
      </c>
      <c r="I21">
        <f>'2. Awareness and Training'!$H4</f>
        <v>0</v>
      </c>
      <c r="J21" t="str">
        <f>IF($I21="Yes","Adequate",IF($I21="No","Inadequate",IF($I21="Partial","Inadequate",IF($I21="N/A","Inadequate",IF(OR($I21="",$I21=0),"Blank","Error")))))</f>
        <v>Blank</v>
      </c>
      <c r="K21" s="123" t="s">
        <v>75</v>
      </c>
      <c r="L21" t="str">
        <f t="shared" si="1"/>
        <v>Blank</v>
      </c>
      <c r="N21" t="str">
        <f t="shared" si="2"/>
        <v/>
      </c>
      <c r="O21" t="str">
        <f t="shared" si="3"/>
        <v/>
      </c>
      <c r="P21" t="str">
        <f t="shared" si="4"/>
        <v>Comment is required</v>
      </c>
      <c r="Q21" t="str">
        <f t="shared" si="5"/>
        <v>Blank</v>
      </c>
      <c r="R21" t="str">
        <f t="shared" si="6"/>
        <v>No Override</v>
      </c>
      <c r="S21">
        <f t="shared" si="7"/>
        <v>2</v>
      </c>
      <c r="T21" t="str">
        <f t="shared" si="8"/>
        <v/>
      </c>
    </row>
    <row r="22" spans="1:20" x14ac:dyDescent="0.3">
      <c r="A22" s="181">
        <v>2</v>
      </c>
      <c r="C22">
        <f t="shared" si="9"/>
        <v>2</v>
      </c>
      <c r="D22" t="s">
        <v>391</v>
      </c>
      <c r="E22" s="51" t="s">
        <v>402</v>
      </c>
      <c r="F22" s="59" t="s">
        <v>400</v>
      </c>
      <c r="G22" s="131" t="s">
        <v>403</v>
      </c>
      <c r="H22" s="131" t="str">
        <f>'2. Awareness and Training'!$I5</f>
        <v>Comment is required</v>
      </c>
      <c r="I22">
        <f>'2. Awareness and Training'!$H5</f>
        <v>0</v>
      </c>
      <c r="J22" t="str">
        <f>IF($I22="Yes","Adequate",IF($I22="No","Inadequate",IF($I22="Partial","Inadequate",IF($I22="N/A","Inadequate",IF(OR($I22="",$I22=0),"Blank","Error")))))</f>
        <v>Blank</v>
      </c>
      <c r="K22" s="123" t="s">
        <v>75</v>
      </c>
      <c r="L22" t="str">
        <f t="shared" si="1"/>
        <v>Blank</v>
      </c>
      <c r="N22" t="str">
        <f t="shared" si="2"/>
        <v/>
      </c>
      <c r="O22" t="str">
        <f t="shared" si="3"/>
        <v/>
      </c>
      <c r="P22" t="str">
        <f t="shared" si="4"/>
        <v>Comment is required</v>
      </c>
      <c r="Q22" t="str">
        <f t="shared" si="5"/>
        <v>Blank</v>
      </c>
      <c r="R22" t="str">
        <f t="shared" si="6"/>
        <v>No Override</v>
      </c>
      <c r="S22">
        <f t="shared" si="7"/>
        <v>2</v>
      </c>
      <c r="T22" t="str">
        <f t="shared" si="8"/>
        <v/>
      </c>
    </row>
    <row r="23" spans="1:20" ht="22.8" x14ac:dyDescent="0.3">
      <c r="A23" s="181">
        <v>2</v>
      </c>
      <c r="C23">
        <f t="shared" si="9"/>
        <v>2</v>
      </c>
      <c r="D23" t="s">
        <v>391</v>
      </c>
      <c r="E23" s="51" t="s">
        <v>404</v>
      </c>
      <c r="F23" s="59" t="s">
        <v>406</v>
      </c>
      <c r="G23" s="132" t="s">
        <v>407</v>
      </c>
      <c r="H23" s="131" t="str">
        <f>'2. Awareness and Training'!$I6</f>
        <v>Comment is required</v>
      </c>
      <c r="I23">
        <f>'2. Awareness and Training'!$H6</f>
        <v>0</v>
      </c>
      <c r="J23" t="str">
        <f t="shared" ref="J23:J29" si="11">IF($I23="Yes","Adequate",IF($I23="No","Inadequate",IF($I23="Partial","Inadequate",IF($I23="N/A","Inadequate",IF(OR($I23="",$I23=0),"Blank","Error")))))</f>
        <v>Blank</v>
      </c>
      <c r="K23" s="123" t="s">
        <v>75</v>
      </c>
      <c r="L23" t="str">
        <f t="shared" si="1"/>
        <v>Blank</v>
      </c>
      <c r="N23" t="str">
        <f t="shared" si="2"/>
        <v/>
      </c>
      <c r="O23" t="str">
        <f t="shared" si="3"/>
        <v/>
      </c>
      <c r="P23" t="str">
        <f t="shared" si="4"/>
        <v>Comment is required</v>
      </c>
      <c r="Q23" t="str">
        <f t="shared" si="5"/>
        <v>Blank</v>
      </c>
      <c r="R23" t="str">
        <f t="shared" si="6"/>
        <v>No Override</v>
      </c>
      <c r="S23">
        <f t="shared" si="7"/>
        <v>2</v>
      </c>
      <c r="T23" t="str">
        <f t="shared" si="8"/>
        <v/>
      </c>
    </row>
    <row r="24" spans="1:20" x14ac:dyDescent="0.3">
      <c r="A24" s="181">
        <v>2</v>
      </c>
      <c r="C24">
        <f t="shared" si="9"/>
        <v>2</v>
      </c>
      <c r="D24" t="s">
        <v>391</v>
      </c>
      <c r="E24" s="51" t="s">
        <v>408</v>
      </c>
      <c r="F24" s="59" t="s">
        <v>410</v>
      </c>
      <c r="G24" s="132" t="s">
        <v>411</v>
      </c>
      <c r="H24" s="131" t="str">
        <f>'2. Awareness and Training'!$I7</f>
        <v>Comment is required</v>
      </c>
      <c r="I24">
        <f>'2. Awareness and Training'!$H7</f>
        <v>0</v>
      </c>
      <c r="J24" t="str">
        <f t="shared" si="11"/>
        <v>Blank</v>
      </c>
      <c r="K24" s="123" t="s">
        <v>75</v>
      </c>
      <c r="L24" t="str">
        <f t="shared" si="1"/>
        <v>Blank</v>
      </c>
      <c r="N24" t="str">
        <f t="shared" si="2"/>
        <v/>
      </c>
      <c r="O24" t="str">
        <f t="shared" si="3"/>
        <v/>
      </c>
      <c r="P24" t="str">
        <f t="shared" si="4"/>
        <v>Comment is required</v>
      </c>
      <c r="Q24" t="str">
        <f t="shared" si="5"/>
        <v>Blank</v>
      </c>
      <c r="R24" t="str">
        <f t="shared" si="6"/>
        <v>No Override</v>
      </c>
      <c r="S24">
        <f t="shared" si="7"/>
        <v>2</v>
      </c>
      <c r="T24" t="str">
        <f t="shared" si="8"/>
        <v/>
      </c>
    </row>
    <row r="25" spans="1:20" ht="22.8" x14ac:dyDescent="0.3">
      <c r="A25" s="181">
        <v>2</v>
      </c>
      <c r="C25">
        <f t="shared" si="9"/>
        <v>2</v>
      </c>
      <c r="D25" t="s">
        <v>412</v>
      </c>
      <c r="E25" s="51" t="s">
        <v>413</v>
      </c>
      <c r="F25" s="59" t="s">
        <v>416</v>
      </c>
      <c r="G25" s="133" t="s">
        <v>417</v>
      </c>
      <c r="H25" s="131" t="str">
        <f>'3. Audit and Accountability'!$I3</f>
        <v>Comment is required</v>
      </c>
      <c r="I25">
        <f>'3. Audit and Accountability'!$H3</f>
        <v>0</v>
      </c>
      <c r="J25" t="str">
        <f t="shared" si="11"/>
        <v>Blank</v>
      </c>
      <c r="K25" s="123" t="s">
        <v>75</v>
      </c>
      <c r="L25" t="str">
        <f t="shared" si="1"/>
        <v>Blank</v>
      </c>
      <c r="N25" t="str">
        <f t="shared" si="2"/>
        <v/>
      </c>
      <c r="O25" t="str">
        <f t="shared" si="3"/>
        <v/>
      </c>
      <c r="P25" t="str">
        <f t="shared" si="4"/>
        <v>Comment is required</v>
      </c>
      <c r="Q25" t="str">
        <f t="shared" si="5"/>
        <v>Blank</v>
      </c>
      <c r="R25" t="str">
        <f t="shared" si="6"/>
        <v>No Override</v>
      </c>
      <c r="S25">
        <f t="shared" si="7"/>
        <v>2</v>
      </c>
      <c r="T25" t="str">
        <f t="shared" si="8"/>
        <v/>
      </c>
    </row>
    <row r="26" spans="1:20" x14ac:dyDescent="0.3">
      <c r="A26" s="181">
        <v>2</v>
      </c>
      <c r="C26">
        <f t="shared" si="9"/>
        <v>2</v>
      </c>
      <c r="D26" t="s">
        <v>412</v>
      </c>
      <c r="E26" s="51" t="s">
        <v>418</v>
      </c>
      <c r="F26" s="59" t="s">
        <v>416</v>
      </c>
      <c r="G26" s="133" t="s">
        <v>419</v>
      </c>
      <c r="H26" s="131" t="str">
        <f>'3. Audit and Accountability'!$I4</f>
        <v>Comment is required</v>
      </c>
      <c r="I26">
        <f>'3. Audit and Accountability'!$H4</f>
        <v>0</v>
      </c>
      <c r="J26" t="str">
        <f t="shared" si="11"/>
        <v>Blank</v>
      </c>
      <c r="K26" s="123" t="s">
        <v>75</v>
      </c>
      <c r="L26" t="str">
        <f t="shared" si="1"/>
        <v>Blank</v>
      </c>
      <c r="N26" t="str">
        <f t="shared" si="2"/>
        <v/>
      </c>
      <c r="O26" t="str">
        <f t="shared" si="3"/>
        <v/>
      </c>
      <c r="P26" t="str">
        <f t="shared" si="4"/>
        <v>Comment is required</v>
      </c>
      <c r="Q26" t="str">
        <f t="shared" si="5"/>
        <v>Blank</v>
      </c>
      <c r="R26" t="str">
        <f t="shared" si="6"/>
        <v>No Override</v>
      </c>
      <c r="S26">
        <f t="shared" si="7"/>
        <v>2</v>
      </c>
      <c r="T26" t="str">
        <f t="shared" si="8"/>
        <v/>
      </c>
    </row>
    <row r="27" spans="1:20" ht="34.200000000000003" x14ac:dyDescent="0.3">
      <c r="A27" s="181">
        <v>2</v>
      </c>
      <c r="C27">
        <f t="shared" si="9"/>
        <v>2</v>
      </c>
      <c r="D27" t="s">
        <v>412</v>
      </c>
      <c r="E27" s="51" t="s">
        <v>420</v>
      </c>
      <c r="F27" s="59" t="s">
        <v>423</v>
      </c>
      <c r="G27" s="133" t="s">
        <v>424</v>
      </c>
      <c r="H27" s="131" t="str">
        <f>'3. Audit and Accountability'!$I5</f>
        <v>Comment is required</v>
      </c>
      <c r="I27">
        <f>'3. Audit and Accountability'!$H5</f>
        <v>0</v>
      </c>
      <c r="J27" t="str">
        <f t="shared" si="11"/>
        <v>Blank</v>
      </c>
      <c r="K27" s="123" t="s">
        <v>75</v>
      </c>
      <c r="L27" t="str">
        <f t="shared" si="1"/>
        <v>Blank</v>
      </c>
      <c r="N27" t="str">
        <f t="shared" si="2"/>
        <v/>
      </c>
      <c r="O27" t="str">
        <f t="shared" si="3"/>
        <v/>
      </c>
      <c r="P27" t="str">
        <f t="shared" si="4"/>
        <v>Comment is required</v>
      </c>
      <c r="Q27" t="str">
        <f t="shared" si="5"/>
        <v>Blank</v>
      </c>
      <c r="R27" t="str">
        <f t="shared" si="6"/>
        <v>No Override</v>
      </c>
      <c r="S27">
        <f t="shared" si="7"/>
        <v>2</v>
      </c>
      <c r="T27" t="str">
        <f t="shared" si="8"/>
        <v/>
      </c>
    </row>
    <row r="28" spans="1:20" x14ac:dyDescent="0.3">
      <c r="A28" s="181">
        <v>3</v>
      </c>
      <c r="C28">
        <f t="shared" si="9"/>
        <v>3</v>
      </c>
      <c r="D28" t="s">
        <v>412</v>
      </c>
      <c r="E28" s="51" t="s">
        <v>425</v>
      </c>
      <c r="F28" s="59" t="s">
        <v>427</v>
      </c>
      <c r="G28" s="133" t="s">
        <v>428</v>
      </c>
      <c r="H28" s="131" t="str">
        <f>'3. Audit and Accountability'!$I6</f>
        <v>Comment is required</v>
      </c>
      <c r="I28">
        <f>'3. Audit and Accountability'!$H6</f>
        <v>0</v>
      </c>
      <c r="J28" t="str">
        <f t="shared" si="11"/>
        <v>Blank</v>
      </c>
      <c r="K28" s="123" t="s">
        <v>75</v>
      </c>
      <c r="L28" t="str">
        <f t="shared" si="1"/>
        <v>Blank</v>
      </c>
      <c r="N28" t="str">
        <f t="shared" si="2"/>
        <v/>
      </c>
      <c r="O28" t="str">
        <f t="shared" si="3"/>
        <v/>
      </c>
      <c r="P28" t="str">
        <f t="shared" si="4"/>
        <v>Comment is required</v>
      </c>
      <c r="Q28" t="str">
        <f t="shared" si="5"/>
        <v>Blank</v>
      </c>
      <c r="R28" t="str">
        <f t="shared" si="6"/>
        <v>No Override</v>
      </c>
      <c r="S28">
        <f t="shared" si="7"/>
        <v>3</v>
      </c>
      <c r="T28" t="str">
        <f t="shared" si="8"/>
        <v/>
      </c>
    </row>
    <row r="29" spans="1:20" x14ac:dyDescent="0.3">
      <c r="A29" s="181">
        <v>3</v>
      </c>
      <c r="C29">
        <f t="shared" si="9"/>
        <v>3</v>
      </c>
      <c r="D29" t="s">
        <v>412</v>
      </c>
      <c r="E29" s="51" t="s">
        <v>429</v>
      </c>
      <c r="F29" s="59" t="s">
        <v>432</v>
      </c>
      <c r="G29" s="133" t="s">
        <v>433</v>
      </c>
      <c r="H29" s="131" t="str">
        <f>'3. Audit and Accountability'!$I7</f>
        <v>Comment is required</v>
      </c>
      <c r="I29">
        <f>'3. Audit and Accountability'!$H7</f>
        <v>0</v>
      </c>
      <c r="J29" t="str">
        <f t="shared" si="11"/>
        <v>Blank</v>
      </c>
      <c r="K29" s="123" t="s">
        <v>75</v>
      </c>
      <c r="L29" t="str">
        <f t="shared" si="1"/>
        <v>Blank</v>
      </c>
      <c r="N29" t="str">
        <f t="shared" si="2"/>
        <v/>
      </c>
      <c r="O29" t="str">
        <f t="shared" si="3"/>
        <v/>
      </c>
      <c r="P29" t="str">
        <f t="shared" si="4"/>
        <v>Comment is required</v>
      </c>
      <c r="Q29" t="str">
        <f t="shared" si="5"/>
        <v>Blank</v>
      </c>
      <c r="R29" t="str">
        <f t="shared" si="6"/>
        <v>No Override</v>
      </c>
      <c r="S29">
        <f t="shared" si="7"/>
        <v>3</v>
      </c>
      <c r="T29" t="str">
        <f t="shared" si="8"/>
        <v/>
      </c>
    </row>
    <row r="30" spans="1:20" x14ac:dyDescent="0.3">
      <c r="A30" s="181">
        <v>4</v>
      </c>
      <c r="C30">
        <f t="shared" si="9"/>
        <v>4</v>
      </c>
      <c r="D30" t="s">
        <v>412</v>
      </c>
      <c r="E30" s="51" t="s">
        <v>434</v>
      </c>
      <c r="F30" s="59" t="s">
        <v>432</v>
      </c>
      <c r="G30" s="50" t="s">
        <v>435</v>
      </c>
      <c r="H30" s="131" t="str">
        <f>'3. Audit and Accountability'!$I8</f>
        <v>Comment is required</v>
      </c>
      <c r="I30">
        <f>'3. Audit and Accountability'!$H8</f>
        <v>0</v>
      </c>
      <c r="J30" t="str">
        <f>IF($I30="Yes","Inadequate",IF($I30="No","Adequate",IF($I30="Partial","Inadequate",IF($I30="N/A","Inadequate",IF(OR($I30="",$I30=0),"Blank","Error")))))</f>
        <v>Blank</v>
      </c>
      <c r="K30" s="123" t="s">
        <v>75</v>
      </c>
      <c r="L30" t="str">
        <f t="shared" si="1"/>
        <v>Blank</v>
      </c>
      <c r="N30" t="str">
        <f t="shared" si="2"/>
        <v/>
      </c>
      <c r="O30" t="str">
        <f t="shared" si="3"/>
        <v/>
      </c>
      <c r="P30" t="str">
        <f t="shared" si="4"/>
        <v>Comment is required</v>
      </c>
      <c r="Q30" t="str">
        <f t="shared" si="5"/>
        <v>Blank</v>
      </c>
      <c r="R30" t="str">
        <f t="shared" si="6"/>
        <v>No Override</v>
      </c>
      <c r="S30">
        <f t="shared" si="7"/>
        <v>4</v>
      </c>
      <c r="T30" t="str">
        <f t="shared" si="8"/>
        <v/>
      </c>
    </row>
    <row r="31" spans="1:20" x14ac:dyDescent="0.3">
      <c r="A31" s="181">
        <v>2</v>
      </c>
      <c r="C31">
        <f t="shared" si="9"/>
        <v>2</v>
      </c>
      <c r="D31" t="s">
        <v>412</v>
      </c>
      <c r="E31" s="51" t="s">
        <v>436</v>
      </c>
      <c r="F31" s="59" t="s">
        <v>438</v>
      </c>
      <c r="G31" s="133" t="s">
        <v>439</v>
      </c>
      <c r="H31" s="131" t="str">
        <f>'3. Audit and Accountability'!$I9</f>
        <v>Comment is required</v>
      </c>
      <c r="I31">
        <f>'3. Audit and Accountability'!$H9</f>
        <v>0</v>
      </c>
      <c r="J31" t="str">
        <f t="shared" ref="J31:J33" si="12">IF($I31="Yes","Adequate",IF($I31="No","Inadequate",IF($I31="Partial","Inadequate",IF($I31="N/A","Inadequate",IF(OR($I31="",$I31=0),"Blank","Error")))))</f>
        <v>Blank</v>
      </c>
      <c r="K31" s="123" t="s">
        <v>75</v>
      </c>
      <c r="L31" t="str">
        <f t="shared" si="1"/>
        <v>Blank</v>
      </c>
      <c r="N31" t="str">
        <f t="shared" si="2"/>
        <v/>
      </c>
      <c r="O31" t="str">
        <f t="shared" si="3"/>
        <v/>
      </c>
      <c r="P31" t="str">
        <f t="shared" si="4"/>
        <v>Comment is required</v>
      </c>
      <c r="Q31" t="str">
        <f t="shared" si="5"/>
        <v>Blank</v>
      </c>
      <c r="R31" t="str">
        <f t="shared" si="6"/>
        <v>No Override</v>
      </c>
      <c r="S31">
        <f t="shared" si="7"/>
        <v>2</v>
      </c>
      <c r="T31" t="str">
        <f t="shared" si="8"/>
        <v/>
      </c>
    </row>
    <row r="32" spans="1:20" x14ac:dyDescent="0.3">
      <c r="A32" s="181">
        <v>2</v>
      </c>
      <c r="C32">
        <f t="shared" si="9"/>
        <v>2</v>
      </c>
      <c r="D32" t="s">
        <v>412</v>
      </c>
      <c r="E32" s="51" t="s">
        <v>440</v>
      </c>
      <c r="F32" s="59" t="s">
        <v>442</v>
      </c>
      <c r="G32" s="133" t="s">
        <v>443</v>
      </c>
      <c r="H32" s="131" t="str">
        <f>'3. Audit and Accountability'!$I10</f>
        <v>Comment is required</v>
      </c>
      <c r="I32">
        <f>'3. Audit and Accountability'!$H10</f>
        <v>0</v>
      </c>
      <c r="J32" t="str">
        <f t="shared" si="12"/>
        <v>Blank</v>
      </c>
      <c r="K32" s="123" t="s">
        <v>75</v>
      </c>
      <c r="L32" t="str">
        <f t="shared" si="1"/>
        <v>Blank</v>
      </c>
      <c r="N32" t="str">
        <f t="shared" si="2"/>
        <v/>
      </c>
      <c r="O32" t="str">
        <f t="shared" si="3"/>
        <v/>
      </c>
      <c r="P32" t="str">
        <f t="shared" si="4"/>
        <v>Comment is required</v>
      </c>
      <c r="Q32" t="str">
        <f t="shared" si="5"/>
        <v>Blank</v>
      </c>
      <c r="R32" t="str">
        <f t="shared" si="6"/>
        <v>No Override</v>
      </c>
      <c r="S32">
        <f t="shared" si="7"/>
        <v>2</v>
      </c>
      <c r="T32" t="str">
        <f t="shared" si="8"/>
        <v/>
      </c>
    </row>
    <row r="33" spans="1:20" x14ac:dyDescent="0.3">
      <c r="A33" s="181">
        <v>3</v>
      </c>
      <c r="C33">
        <f t="shared" si="9"/>
        <v>3</v>
      </c>
      <c r="D33" t="s">
        <v>412</v>
      </c>
      <c r="E33" s="51" t="s">
        <v>444</v>
      </c>
      <c r="F33" s="59" t="s">
        <v>446</v>
      </c>
      <c r="G33" s="133" t="s">
        <v>447</v>
      </c>
      <c r="H33" s="131" t="str">
        <f>'3. Audit and Accountability'!$I11</f>
        <v>Comment is required</v>
      </c>
      <c r="I33">
        <f>'3. Audit and Accountability'!$H11</f>
        <v>0</v>
      </c>
      <c r="J33" t="str">
        <f t="shared" si="12"/>
        <v>Blank</v>
      </c>
      <c r="K33" s="123" t="s">
        <v>75</v>
      </c>
      <c r="L33" t="str">
        <f t="shared" si="1"/>
        <v>Blank</v>
      </c>
      <c r="N33" t="str">
        <f t="shared" si="2"/>
        <v/>
      </c>
      <c r="O33" t="str">
        <f t="shared" si="3"/>
        <v/>
      </c>
      <c r="P33" t="str">
        <f t="shared" si="4"/>
        <v>Comment is required</v>
      </c>
      <c r="Q33" t="str">
        <f t="shared" si="5"/>
        <v>Blank</v>
      </c>
      <c r="R33" t="str">
        <f t="shared" si="6"/>
        <v>No Override</v>
      </c>
      <c r="S33">
        <f t="shared" si="7"/>
        <v>3</v>
      </c>
      <c r="T33" t="str">
        <f t="shared" si="8"/>
        <v/>
      </c>
    </row>
    <row r="34" spans="1:20" ht="22.8" x14ac:dyDescent="0.3">
      <c r="A34" s="181">
        <v>4</v>
      </c>
      <c r="C34">
        <f t="shared" ref="C34:C79" si="13">IF($B34="",$A34,$B34)</f>
        <v>4</v>
      </c>
      <c r="D34" t="s">
        <v>448</v>
      </c>
      <c r="E34" s="51" t="s">
        <v>449</v>
      </c>
      <c r="F34" s="57" t="s">
        <v>451</v>
      </c>
      <c r="G34" s="131" t="s">
        <v>452</v>
      </c>
      <c r="H34" s="131" t="str">
        <f>'5. Configuration'!$I3</f>
        <v>Comment is required</v>
      </c>
      <c r="I34">
        <f>'5. Configuration'!$H3</f>
        <v>0</v>
      </c>
      <c r="J34" t="str">
        <f t="shared" ref="J34:J58" si="14">IF($I34="Yes","Adequate",IF($I34="No","Inadequate",IF($I34="Partial","Inadequate",IF($I34="N/A","Inadequate",IF(OR($I34="",$I34=0),"Blank","Error")))))</f>
        <v>Blank</v>
      </c>
      <c r="K34" s="123" t="s">
        <v>75</v>
      </c>
      <c r="L34" t="str">
        <f t="shared" ref="L34:L78" si="15">IF($K34="No Override",$J34,$K34)</f>
        <v>Blank</v>
      </c>
      <c r="N34" t="str">
        <f t="shared" ref="N34:N79" si="16">IF($J34=$L34,"","***")</f>
        <v/>
      </c>
      <c r="O34" t="str">
        <f t="shared" ref="O34:O79" si="17">IF(OR($I34="",$I34=0),"",$I34)</f>
        <v/>
      </c>
      <c r="P34" t="str">
        <f t="shared" ref="P34:P79" si="18">IF(OR($H34="",$H34=0),"",$H34)</f>
        <v>Comment is required</v>
      </c>
      <c r="Q34" t="str">
        <f t="shared" ref="Q34:Q79" si="19">$L34</f>
        <v>Blank</v>
      </c>
      <c r="R34" t="str">
        <f t="shared" ref="R34:R79" si="20">$K34</f>
        <v>No Override</v>
      </c>
      <c r="S34">
        <f t="shared" ref="S34:S79" si="21">$C34</f>
        <v>4</v>
      </c>
      <c r="T34" t="str">
        <f t="shared" ref="T34:T73" si="22">IF($L34=$Q34,"","***")</f>
        <v/>
      </c>
    </row>
    <row r="35" spans="1:20" ht="22.8" x14ac:dyDescent="0.3">
      <c r="A35" s="181">
        <v>1</v>
      </c>
      <c r="C35">
        <f t="shared" si="13"/>
        <v>1</v>
      </c>
      <c r="D35" t="s">
        <v>448</v>
      </c>
      <c r="E35" s="51" t="s">
        <v>256</v>
      </c>
      <c r="F35" s="57" t="s">
        <v>257</v>
      </c>
      <c r="G35" s="135" t="s">
        <v>453</v>
      </c>
      <c r="H35" s="131" t="str">
        <f>'5. Configuration'!$I4</f>
        <v>Comment is required</v>
      </c>
      <c r="I35">
        <f>'5. Configuration'!$H4</f>
        <v>0</v>
      </c>
      <c r="J35" t="str">
        <f t="shared" si="14"/>
        <v>Blank</v>
      </c>
      <c r="K35" s="123" t="s">
        <v>75</v>
      </c>
      <c r="L35" t="str">
        <f t="shared" si="15"/>
        <v>Blank</v>
      </c>
      <c r="N35" t="str">
        <f t="shared" si="16"/>
        <v/>
      </c>
      <c r="O35" t="str">
        <f t="shared" si="17"/>
        <v/>
      </c>
      <c r="P35" t="str">
        <f t="shared" si="18"/>
        <v>Comment is required</v>
      </c>
      <c r="Q35" t="str">
        <f t="shared" si="19"/>
        <v>Blank</v>
      </c>
      <c r="R35" t="str">
        <f t="shared" si="20"/>
        <v>No Override</v>
      </c>
      <c r="S35">
        <f t="shared" si="21"/>
        <v>1</v>
      </c>
      <c r="T35" t="str">
        <f t="shared" si="22"/>
        <v/>
      </c>
    </row>
    <row r="36" spans="1:20" x14ac:dyDescent="0.3">
      <c r="A36" s="181">
        <v>1</v>
      </c>
      <c r="C36">
        <f t="shared" si="13"/>
        <v>1</v>
      </c>
      <c r="D36" t="s">
        <v>448</v>
      </c>
      <c r="E36" s="51" t="s">
        <v>454</v>
      </c>
      <c r="F36" s="57" t="s">
        <v>261</v>
      </c>
      <c r="G36" s="135" t="s">
        <v>455</v>
      </c>
      <c r="H36" s="131" t="str">
        <f>'5. Configuration'!$I5</f>
        <v>Comment is required</v>
      </c>
      <c r="I36">
        <f>'5. Configuration'!$H5</f>
        <v>0</v>
      </c>
      <c r="J36" t="str">
        <f t="shared" si="14"/>
        <v>Blank</v>
      </c>
      <c r="K36" s="123" t="s">
        <v>75</v>
      </c>
      <c r="L36" t="str">
        <f t="shared" si="15"/>
        <v>Blank</v>
      </c>
      <c r="N36" t="str">
        <f t="shared" si="16"/>
        <v/>
      </c>
      <c r="O36" t="str">
        <f t="shared" si="17"/>
        <v/>
      </c>
      <c r="P36" t="str">
        <f t="shared" si="18"/>
        <v>Comment is required</v>
      </c>
      <c r="Q36" t="str">
        <f t="shared" si="19"/>
        <v>Blank</v>
      </c>
      <c r="R36" t="str">
        <f t="shared" si="20"/>
        <v>No Override</v>
      </c>
      <c r="S36">
        <f t="shared" si="21"/>
        <v>1</v>
      </c>
      <c r="T36" t="str">
        <f t="shared" si="22"/>
        <v/>
      </c>
    </row>
    <row r="37" spans="1:20" ht="22.8" x14ac:dyDescent="0.3">
      <c r="A37" s="181">
        <v>1</v>
      </c>
      <c r="C37">
        <f t="shared" si="13"/>
        <v>1</v>
      </c>
      <c r="D37" t="s">
        <v>448</v>
      </c>
      <c r="E37" s="51" t="s">
        <v>456</v>
      </c>
      <c r="F37" s="57" t="s">
        <v>261</v>
      </c>
      <c r="G37" s="135" t="s">
        <v>457</v>
      </c>
      <c r="H37" s="131" t="str">
        <f>'5. Configuration'!$I6</f>
        <v>Comment is required</v>
      </c>
      <c r="I37">
        <f>'5. Configuration'!$H6</f>
        <v>0</v>
      </c>
      <c r="J37" t="str">
        <f t="shared" si="14"/>
        <v>Blank</v>
      </c>
      <c r="K37" s="123" t="s">
        <v>75</v>
      </c>
      <c r="L37" t="str">
        <f t="shared" si="15"/>
        <v>Blank</v>
      </c>
      <c r="N37" t="str">
        <f t="shared" si="16"/>
        <v/>
      </c>
      <c r="O37" t="str">
        <f t="shared" si="17"/>
        <v/>
      </c>
      <c r="P37" t="str">
        <f t="shared" si="18"/>
        <v>Comment is required</v>
      </c>
      <c r="Q37" t="str">
        <f t="shared" si="19"/>
        <v>Blank</v>
      </c>
      <c r="R37" t="str">
        <f t="shared" si="20"/>
        <v>No Override</v>
      </c>
      <c r="S37">
        <f t="shared" si="21"/>
        <v>1</v>
      </c>
      <c r="T37" t="str">
        <f t="shared" si="22"/>
        <v/>
      </c>
    </row>
    <row r="38" spans="1:20" x14ac:dyDescent="0.3">
      <c r="A38" s="181">
        <v>1</v>
      </c>
      <c r="C38">
        <f t="shared" si="13"/>
        <v>1</v>
      </c>
      <c r="D38" t="s">
        <v>448</v>
      </c>
      <c r="E38" s="51" t="s">
        <v>458</v>
      </c>
      <c r="F38" s="57" t="s">
        <v>261</v>
      </c>
      <c r="G38" s="135" t="s">
        <v>459</v>
      </c>
      <c r="H38" s="131" t="str">
        <f>'5. Configuration'!$I7</f>
        <v>Comment is required</v>
      </c>
      <c r="I38">
        <f>'5. Configuration'!$H7</f>
        <v>0</v>
      </c>
      <c r="J38" t="str">
        <f t="shared" si="14"/>
        <v>Blank</v>
      </c>
      <c r="K38" s="123" t="s">
        <v>75</v>
      </c>
      <c r="L38" t="str">
        <f t="shared" si="15"/>
        <v>Blank</v>
      </c>
      <c r="N38" t="str">
        <f t="shared" si="16"/>
        <v/>
      </c>
      <c r="O38" t="str">
        <f t="shared" si="17"/>
        <v/>
      </c>
      <c r="P38" t="str">
        <f t="shared" si="18"/>
        <v>Comment is required</v>
      </c>
      <c r="Q38" t="str">
        <f t="shared" si="19"/>
        <v>Blank</v>
      </c>
      <c r="R38" t="str">
        <f t="shared" si="20"/>
        <v>No Override</v>
      </c>
      <c r="S38">
        <f t="shared" si="21"/>
        <v>1</v>
      </c>
      <c r="T38" t="str">
        <f t="shared" si="22"/>
        <v/>
      </c>
    </row>
    <row r="39" spans="1:20" x14ac:dyDescent="0.3">
      <c r="A39" s="181">
        <v>1</v>
      </c>
      <c r="C39">
        <f t="shared" si="13"/>
        <v>1</v>
      </c>
      <c r="D39" t="s">
        <v>448</v>
      </c>
      <c r="E39" s="51" t="s">
        <v>460</v>
      </c>
      <c r="F39" s="57" t="s">
        <v>261</v>
      </c>
      <c r="G39" s="135" t="s">
        <v>461</v>
      </c>
      <c r="H39" s="131" t="str">
        <f>'5. Configuration'!$I8</f>
        <v>Comment is required</v>
      </c>
      <c r="I39">
        <f>'5. Configuration'!$H8</f>
        <v>0</v>
      </c>
      <c r="J39" t="str">
        <f t="shared" si="14"/>
        <v>Blank</v>
      </c>
      <c r="K39" s="123" t="s">
        <v>75</v>
      </c>
      <c r="L39" t="str">
        <f t="shared" si="15"/>
        <v>Blank</v>
      </c>
      <c r="N39" t="str">
        <f t="shared" si="16"/>
        <v/>
      </c>
      <c r="O39" t="str">
        <f t="shared" si="17"/>
        <v/>
      </c>
      <c r="P39" t="str">
        <f t="shared" si="18"/>
        <v>Comment is required</v>
      </c>
      <c r="Q39" t="str">
        <f t="shared" si="19"/>
        <v>Blank</v>
      </c>
      <c r="R39" t="str">
        <f t="shared" si="20"/>
        <v>No Override</v>
      </c>
      <c r="S39">
        <f t="shared" si="21"/>
        <v>1</v>
      </c>
      <c r="T39" t="str">
        <f t="shared" si="22"/>
        <v/>
      </c>
    </row>
    <row r="40" spans="1:20" x14ac:dyDescent="0.3">
      <c r="A40" s="181">
        <v>1</v>
      </c>
      <c r="C40">
        <f t="shared" si="13"/>
        <v>1</v>
      </c>
      <c r="D40" t="s">
        <v>448</v>
      </c>
      <c r="E40" s="51" t="s">
        <v>462</v>
      </c>
      <c r="F40" s="57" t="s">
        <v>261</v>
      </c>
      <c r="G40" s="135" t="s">
        <v>463</v>
      </c>
      <c r="H40" s="131" t="str">
        <f>'5. Configuration'!$I9</f>
        <v>Comment is required</v>
      </c>
      <c r="I40">
        <f>'5. Configuration'!$H9</f>
        <v>0</v>
      </c>
      <c r="J40" t="str">
        <f t="shared" si="14"/>
        <v>Blank</v>
      </c>
      <c r="K40" s="123" t="s">
        <v>75</v>
      </c>
      <c r="L40" t="str">
        <f t="shared" si="15"/>
        <v>Blank</v>
      </c>
      <c r="N40" t="str">
        <f t="shared" si="16"/>
        <v/>
      </c>
      <c r="O40" t="str">
        <f t="shared" si="17"/>
        <v/>
      </c>
      <c r="P40" t="str">
        <f t="shared" si="18"/>
        <v>Comment is required</v>
      </c>
      <c r="Q40" t="str">
        <f t="shared" si="19"/>
        <v>Blank</v>
      </c>
      <c r="R40" t="str">
        <f t="shared" si="20"/>
        <v>No Override</v>
      </c>
      <c r="S40">
        <f t="shared" si="21"/>
        <v>1</v>
      </c>
      <c r="T40" t="str">
        <f t="shared" si="22"/>
        <v/>
      </c>
    </row>
    <row r="41" spans="1:20" x14ac:dyDescent="0.3">
      <c r="A41" s="181">
        <v>1</v>
      </c>
      <c r="C41">
        <f t="shared" si="13"/>
        <v>1</v>
      </c>
      <c r="D41" t="s">
        <v>448</v>
      </c>
      <c r="E41" s="51" t="s">
        <v>464</v>
      </c>
      <c r="F41" s="57" t="s">
        <v>261</v>
      </c>
      <c r="G41" s="135" t="s">
        <v>465</v>
      </c>
      <c r="H41" s="131" t="str">
        <f>'5. Configuration'!$I10</f>
        <v>Comment is required</v>
      </c>
      <c r="I41">
        <f>'5. Configuration'!$H10</f>
        <v>0</v>
      </c>
      <c r="J41" t="str">
        <f t="shared" si="14"/>
        <v>Blank</v>
      </c>
      <c r="K41" s="123" t="s">
        <v>75</v>
      </c>
      <c r="L41" t="str">
        <f t="shared" si="15"/>
        <v>Blank</v>
      </c>
      <c r="N41" t="str">
        <f t="shared" si="16"/>
        <v/>
      </c>
      <c r="O41" t="str">
        <f t="shared" si="17"/>
        <v/>
      </c>
      <c r="P41" t="str">
        <f t="shared" si="18"/>
        <v>Comment is required</v>
      </c>
      <c r="Q41" t="str">
        <f t="shared" si="19"/>
        <v>Blank</v>
      </c>
      <c r="R41" t="str">
        <f t="shared" si="20"/>
        <v>No Override</v>
      </c>
      <c r="S41">
        <f t="shared" si="21"/>
        <v>1</v>
      </c>
      <c r="T41" t="str">
        <f t="shared" si="22"/>
        <v/>
      </c>
    </row>
    <row r="42" spans="1:20" ht="22.8" x14ac:dyDescent="0.3">
      <c r="A42" s="181">
        <v>3</v>
      </c>
      <c r="C42">
        <f t="shared" si="13"/>
        <v>3</v>
      </c>
      <c r="D42" t="s">
        <v>448</v>
      </c>
      <c r="E42" s="51" t="s">
        <v>466</v>
      </c>
      <c r="F42" s="57" t="s">
        <v>468</v>
      </c>
      <c r="G42" s="135" t="s">
        <v>469</v>
      </c>
      <c r="H42" s="131" t="str">
        <f>'5. Configuration'!$I11</f>
        <v>Comment is required</v>
      </c>
      <c r="I42">
        <f>'5. Configuration'!$H11</f>
        <v>0</v>
      </c>
      <c r="J42" t="str">
        <f t="shared" si="14"/>
        <v>Blank</v>
      </c>
      <c r="K42" s="123" t="s">
        <v>75</v>
      </c>
      <c r="L42" t="str">
        <f t="shared" si="15"/>
        <v>Blank</v>
      </c>
      <c r="N42" t="str">
        <f t="shared" si="16"/>
        <v/>
      </c>
      <c r="O42" t="str">
        <f t="shared" si="17"/>
        <v/>
      </c>
      <c r="P42" t="str">
        <f t="shared" si="18"/>
        <v>Comment is required</v>
      </c>
      <c r="Q42" t="str">
        <f t="shared" si="19"/>
        <v>Blank</v>
      </c>
      <c r="R42" t="str">
        <f t="shared" si="20"/>
        <v>No Override</v>
      </c>
      <c r="S42">
        <f t="shared" si="21"/>
        <v>3</v>
      </c>
      <c r="T42" t="str">
        <f t="shared" si="22"/>
        <v/>
      </c>
    </row>
    <row r="43" spans="1:20" ht="22.8" x14ac:dyDescent="0.3">
      <c r="A43" s="181">
        <v>1</v>
      </c>
      <c r="C43">
        <f t="shared" si="13"/>
        <v>1</v>
      </c>
      <c r="D43" t="s">
        <v>448</v>
      </c>
      <c r="E43" s="51" t="s">
        <v>470</v>
      </c>
      <c r="F43" s="57" t="s">
        <v>471</v>
      </c>
      <c r="G43" s="135" t="s">
        <v>472</v>
      </c>
      <c r="H43" s="131" t="str">
        <f>'5. Configuration'!$I12</f>
        <v>Comment is required</v>
      </c>
      <c r="I43">
        <f>'5. Configuration'!$H12</f>
        <v>0</v>
      </c>
      <c r="J43" t="str">
        <f t="shared" si="14"/>
        <v>Blank</v>
      </c>
      <c r="K43" s="123" t="s">
        <v>75</v>
      </c>
      <c r="L43" t="str">
        <f t="shared" si="15"/>
        <v>Blank</v>
      </c>
      <c r="N43" t="str">
        <f t="shared" si="16"/>
        <v/>
      </c>
      <c r="O43" t="str">
        <f t="shared" si="17"/>
        <v/>
      </c>
      <c r="P43" t="str">
        <f t="shared" si="18"/>
        <v>Comment is required</v>
      </c>
      <c r="Q43" t="str">
        <f t="shared" si="19"/>
        <v>Blank</v>
      </c>
      <c r="R43" t="str">
        <f t="shared" si="20"/>
        <v>No Override</v>
      </c>
      <c r="S43">
        <f t="shared" si="21"/>
        <v>1</v>
      </c>
      <c r="T43" t="str">
        <f t="shared" si="22"/>
        <v/>
      </c>
    </row>
    <row r="44" spans="1:20" x14ac:dyDescent="0.3">
      <c r="A44" s="181">
        <v>1</v>
      </c>
      <c r="C44">
        <f t="shared" si="13"/>
        <v>1</v>
      </c>
      <c r="D44" t="s">
        <v>448</v>
      </c>
      <c r="E44" s="51" t="s">
        <v>473</v>
      </c>
      <c r="F44" s="57" t="s">
        <v>471</v>
      </c>
      <c r="G44" s="135" t="s">
        <v>474</v>
      </c>
      <c r="H44" s="131" t="str">
        <f>'5. Configuration'!$I13</f>
        <v>Comment is required</v>
      </c>
      <c r="I44">
        <f>'5. Configuration'!$H13</f>
        <v>0</v>
      </c>
      <c r="J44" t="str">
        <f t="shared" si="14"/>
        <v>Blank</v>
      </c>
      <c r="K44" s="123" t="s">
        <v>75</v>
      </c>
      <c r="L44" t="str">
        <f t="shared" si="15"/>
        <v>Blank</v>
      </c>
      <c r="N44" t="str">
        <f t="shared" si="16"/>
        <v/>
      </c>
      <c r="O44" t="str">
        <f t="shared" si="17"/>
        <v/>
      </c>
      <c r="P44" t="str">
        <f t="shared" si="18"/>
        <v>Comment is required</v>
      </c>
      <c r="Q44" t="str">
        <f t="shared" si="19"/>
        <v>Blank</v>
      </c>
      <c r="R44" t="str">
        <f t="shared" si="20"/>
        <v>No Override</v>
      </c>
      <c r="S44">
        <f t="shared" si="21"/>
        <v>1</v>
      </c>
      <c r="T44" t="str">
        <f t="shared" si="22"/>
        <v/>
      </c>
    </row>
    <row r="45" spans="1:20" x14ac:dyDescent="0.3">
      <c r="A45" s="181">
        <v>1</v>
      </c>
      <c r="C45">
        <f t="shared" si="13"/>
        <v>1</v>
      </c>
      <c r="D45" t="s">
        <v>448</v>
      </c>
      <c r="E45" s="51" t="s">
        <v>475</v>
      </c>
      <c r="F45" s="57" t="s">
        <v>471</v>
      </c>
      <c r="G45" s="135" t="s">
        <v>476</v>
      </c>
      <c r="H45" s="131" t="str">
        <f>'5. Configuration'!$I14</f>
        <v>Comment is required</v>
      </c>
      <c r="I45">
        <f>'5. Configuration'!$H14</f>
        <v>0</v>
      </c>
      <c r="J45" t="str">
        <f t="shared" si="14"/>
        <v>Blank</v>
      </c>
      <c r="K45" s="123" t="s">
        <v>75</v>
      </c>
      <c r="L45" t="str">
        <f t="shared" si="15"/>
        <v>Blank</v>
      </c>
      <c r="N45" t="str">
        <f t="shared" si="16"/>
        <v/>
      </c>
      <c r="O45" t="str">
        <f t="shared" si="17"/>
        <v/>
      </c>
      <c r="P45" t="str">
        <f t="shared" si="18"/>
        <v>Comment is required</v>
      </c>
      <c r="Q45" t="str">
        <f t="shared" si="19"/>
        <v>Blank</v>
      </c>
      <c r="R45" t="str">
        <f t="shared" si="20"/>
        <v>No Override</v>
      </c>
      <c r="S45">
        <f t="shared" si="21"/>
        <v>1</v>
      </c>
      <c r="T45" t="str">
        <f t="shared" si="22"/>
        <v/>
      </c>
    </row>
    <row r="46" spans="1:20" ht="22.8" x14ac:dyDescent="0.3">
      <c r="A46" s="181">
        <v>1</v>
      </c>
      <c r="C46">
        <f t="shared" si="13"/>
        <v>1</v>
      </c>
      <c r="D46" t="s">
        <v>448</v>
      </c>
      <c r="E46" s="51" t="s">
        <v>271</v>
      </c>
      <c r="F46" s="57" t="s">
        <v>272</v>
      </c>
      <c r="G46" s="135" t="s">
        <v>477</v>
      </c>
      <c r="H46" s="131" t="str">
        <f>'5. Configuration'!$I15</f>
        <v>Comment is required</v>
      </c>
      <c r="I46">
        <f>'5. Configuration'!$H15</f>
        <v>0</v>
      </c>
      <c r="J46" t="str">
        <f t="shared" si="14"/>
        <v>Blank</v>
      </c>
      <c r="K46" s="123" t="s">
        <v>75</v>
      </c>
      <c r="L46" t="str">
        <f t="shared" si="15"/>
        <v>Blank</v>
      </c>
      <c r="N46" t="str">
        <f t="shared" si="16"/>
        <v/>
      </c>
      <c r="O46" t="str">
        <f t="shared" si="17"/>
        <v/>
      </c>
      <c r="P46" t="str">
        <f t="shared" si="18"/>
        <v>Comment is required</v>
      </c>
      <c r="Q46" t="str">
        <f t="shared" si="19"/>
        <v>Blank</v>
      </c>
      <c r="R46" t="str">
        <f t="shared" si="20"/>
        <v>No Override</v>
      </c>
      <c r="S46">
        <f t="shared" si="21"/>
        <v>1</v>
      </c>
      <c r="T46" t="str">
        <f t="shared" si="22"/>
        <v/>
      </c>
    </row>
    <row r="47" spans="1:20" x14ac:dyDescent="0.3">
      <c r="A47" s="181">
        <v>1</v>
      </c>
      <c r="C47">
        <f t="shared" si="13"/>
        <v>1</v>
      </c>
      <c r="D47" t="s">
        <v>448</v>
      </c>
      <c r="E47" s="51" t="s">
        <v>478</v>
      </c>
      <c r="F47" s="57" t="s">
        <v>480</v>
      </c>
      <c r="G47" s="135" t="s">
        <v>481</v>
      </c>
      <c r="H47" s="131" t="str">
        <f>'5. Configuration'!$I16</f>
        <v>Comment is required</v>
      </c>
      <c r="I47">
        <f>'5. Configuration'!$H16</f>
        <v>0</v>
      </c>
      <c r="J47" t="str">
        <f t="shared" si="14"/>
        <v>Blank</v>
      </c>
      <c r="K47" s="123" t="s">
        <v>75</v>
      </c>
      <c r="L47" t="str">
        <f t="shared" si="15"/>
        <v>Blank</v>
      </c>
      <c r="N47" t="str">
        <f t="shared" si="16"/>
        <v/>
      </c>
      <c r="O47" t="str">
        <f t="shared" si="17"/>
        <v/>
      </c>
      <c r="P47" t="str">
        <f t="shared" si="18"/>
        <v>Comment is required</v>
      </c>
      <c r="Q47" t="str">
        <f t="shared" si="19"/>
        <v>Blank</v>
      </c>
      <c r="R47" t="str">
        <f t="shared" si="20"/>
        <v>No Override</v>
      </c>
      <c r="S47">
        <f t="shared" si="21"/>
        <v>1</v>
      </c>
      <c r="T47" t="str">
        <f t="shared" si="22"/>
        <v/>
      </c>
    </row>
    <row r="48" spans="1:20" x14ac:dyDescent="0.3">
      <c r="A48" s="181">
        <v>1</v>
      </c>
      <c r="C48">
        <f t="shared" si="13"/>
        <v>1</v>
      </c>
      <c r="D48" t="s">
        <v>448</v>
      </c>
      <c r="E48" s="51" t="s">
        <v>482</v>
      </c>
      <c r="F48" s="57" t="s">
        <v>480</v>
      </c>
      <c r="G48" s="135" t="s">
        <v>483</v>
      </c>
      <c r="H48" s="131" t="str">
        <f>'5. Configuration'!$I17</f>
        <v>Comment is required</v>
      </c>
      <c r="I48">
        <f>'5. Configuration'!$H17</f>
        <v>0</v>
      </c>
      <c r="J48" t="str">
        <f t="shared" si="14"/>
        <v>Blank</v>
      </c>
      <c r="K48" s="123" t="s">
        <v>75</v>
      </c>
      <c r="L48" t="str">
        <f t="shared" si="15"/>
        <v>Blank</v>
      </c>
      <c r="N48" t="str">
        <f t="shared" si="16"/>
        <v/>
      </c>
      <c r="O48" t="str">
        <f t="shared" si="17"/>
        <v/>
      </c>
      <c r="P48" t="str">
        <f t="shared" si="18"/>
        <v>Comment is required</v>
      </c>
      <c r="Q48" t="str">
        <f t="shared" si="19"/>
        <v>Blank</v>
      </c>
      <c r="R48" t="str">
        <f t="shared" si="20"/>
        <v>No Override</v>
      </c>
      <c r="S48">
        <f t="shared" si="21"/>
        <v>1</v>
      </c>
      <c r="T48" t="str">
        <f t="shared" si="22"/>
        <v/>
      </c>
    </row>
    <row r="49" spans="1:20" ht="22.8" x14ac:dyDescent="0.3">
      <c r="A49" s="181">
        <v>1</v>
      </c>
      <c r="C49">
        <f t="shared" si="13"/>
        <v>1</v>
      </c>
      <c r="D49" t="s">
        <v>448</v>
      </c>
      <c r="E49" s="51" t="s">
        <v>484</v>
      </c>
      <c r="F49" s="57" t="s">
        <v>280</v>
      </c>
      <c r="G49" s="135" t="s">
        <v>485</v>
      </c>
      <c r="H49" s="131" t="str">
        <f>'5. Configuration'!$I18</f>
        <v>Comment is required</v>
      </c>
      <c r="I49">
        <f>'5. Configuration'!$H18</f>
        <v>0</v>
      </c>
      <c r="J49" t="str">
        <f t="shared" si="14"/>
        <v>Blank</v>
      </c>
      <c r="K49" s="123" t="s">
        <v>75</v>
      </c>
      <c r="L49" t="str">
        <f t="shared" si="15"/>
        <v>Blank</v>
      </c>
      <c r="N49" t="str">
        <f t="shared" si="16"/>
        <v/>
      </c>
      <c r="O49" t="str">
        <f t="shared" si="17"/>
        <v/>
      </c>
      <c r="P49" t="str">
        <f t="shared" si="18"/>
        <v>Comment is required</v>
      </c>
      <c r="Q49" t="str">
        <f t="shared" si="19"/>
        <v>Blank</v>
      </c>
      <c r="R49" t="str">
        <f t="shared" si="20"/>
        <v>No Override</v>
      </c>
      <c r="S49">
        <f t="shared" si="21"/>
        <v>1</v>
      </c>
      <c r="T49" t="str">
        <f t="shared" si="22"/>
        <v/>
      </c>
    </row>
    <row r="50" spans="1:20" ht="22.8" x14ac:dyDescent="0.3">
      <c r="A50" s="181">
        <v>1</v>
      </c>
      <c r="C50">
        <f t="shared" si="13"/>
        <v>1</v>
      </c>
      <c r="D50" t="s">
        <v>448</v>
      </c>
      <c r="E50" s="51" t="s">
        <v>486</v>
      </c>
      <c r="F50" s="57" t="s">
        <v>280</v>
      </c>
      <c r="G50" s="135" t="s">
        <v>487</v>
      </c>
      <c r="H50" s="131" t="str">
        <f>'5. Configuration'!$I19</f>
        <v>Comment is required</v>
      </c>
      <c r="I50">
        <f>'5. Configuration'!$H19</f>
        <v>0</v>
      </c>
      <c r="J50" t="str">
        <f t="shared" si="14"/>
        <v>Blank</v>
      </c>
      <c r="K50" s="123" t="s">
        <v>75</v>
      </c>
      <c r="L50" t="str">
        <f t="shared" si="15"/>
        <v>Blank</v>
      </c>
      <c r="N50" t="str">
        <f t="shared" si="16"/>
        <v/>
      </c>
      <c r="O50" t="str">
        <f t="shared" si="17"/>
        <v/>
      </c>
      <c r="P50" t="str">
        <f t="shared" si="18"/>
        <v>Comment is required</v>
      </c>
      <c r="Q50" t="str">
        <f t="shared" si="19"/>
        <v>Blank</v>
      </c>
      <c r="R50" t="str">
        <f t="shared" si="20"/>
        <v>No Override</v>
      </c>
      <c r="S50">
        <f t="shared" si="21"/>
        <v>1</v>
      </c>
      <c r="T50" t="str">
        <f t="shared" si="22"/>
        <v/>
      </c>
    </row>
    <row r="51" spans="1:20" x14ac:dyDescent="0.3">
      <c r="A51" s="181">
        <v>1</v>
      </c>
      <c r="C51">
        <f t="shared" si="13"/>
        <v>1</v>
      </c>
      <c r="D51" t="s">
        <v>448</v>
      </c>
      <c r="E51" s="51" t="s">
        <v>488</v>
      </c>
      <c r="F51" s="57" t="s">
        <v>280</v>
      </c>
      <c r="G51" s="135" t="s">
        <v>489</v>
      </c>
      <c r="H51" s="131" t="str">
        <f>'5. Configuration'!$I20</f>
        <v>Comment is required</v>
      </c>
      <c r="I51">
        <f>'5. Configuration'!$H20</f>
        <v>0</v>
      </c>
      <c r="J51" t="str">
        <f t="shared" si="14"/>
        <v>Blank</v>
      </c>
      <c r="K51" s="123" t="s">
        <v>75</v>
      </c>
      <c r="L51" t="str">
        <f t="shared" si="15"/>
        <v>Blank</v>
      </c>
      <c r="N51" t="str">
        <f t="shared" si="16"/>
        <v/>
      </c>
      <c r="O51" t="str">
        <f t="shared" si="17"/>
        <v/>
      </c>
      <c r="P51" t="str">
        <f t="shared" si="18"/>
        <v>Comment is required</v>
      </c>
      <c r="Q51" t="str">
        <f t="shared" si="19"/>
        <v>Blank</v>
      </c>
      <c r="R51" t="str">
        <f t="shared" si="20"/>
        <v>No Override</v>
      </c>
      <c r="S51">
        <f t="shared" si="21"/>
        <v>1</v>
      </c>
      <c r="T51" t="str">
        <f t="shared" si="22"/>
        <v/>
      </c>
    </row>
    <row r="52" spans="1:20" x14ac:dyDescent="0.3">
      <c r="A52" s="181">
        <v>1</v>
      </c>
      <c r="C52">
        <f t="shared" si="13"/>
        <v>1</v>
      </c>
      <c r="D52" t="s">
        <v>448</v>
      </c>
      <c r="E52" s="51" t="s">
        <v>490</v>
      </c>
      <c r="F52" s="57" t="s">
        <v>280</v>
      </c>
      <c r="G52" s="135" t="s">
        <v>491</v>
      </c>
      <c r="H52" s="131" t="str">
        <f>'5. Configuration'!$I21</f>
        <v>Comment is required</v>
      </c>
      <c r="I52">
        <f>'5. Configuration'!$H21</f>
        <v>0</v>
      </c>
      <c r="J52" t="str">
        <f t="shared" si="14"/>
        <v>Blank</v>
      </c>
      <c r="K52" s="123" t="s">
        <v>75</v>
      </c>
      <c r="L52" t="str">
        <f t="shared" si="15"/>
        <v>Blank</v>
      </c>
      <c r="N52" t="str">
        <f t="shared" si="16"/>
        <v/>
      </c>
      <c r="O52" t="str">
        <f t="shared" si="17"/>
        <v/>
      </c>
      <c r="P52" t="str">
        <f t="shared" si="18"/>
        <v>Comment is required</v>
      </c>
      <c r="Q52" t="str">
        <f t="shared" si="19"/>
        <v>Blank</v>
      </c>
      <c r="R52" t="str">
        <f t="shared" si="20"/>
        <v>No Override</v>
      </c>
      <c r="S52">
        <f t="shared" si="21"/>
        <v>1</v>
      </c>
      <c r="T52" t="str">
        <f t="shared" si="22"/>
        <v/>
      </c>
    </row>
    <row r="53" spans="1:20" x14ac:dyDescent="0.3">
      <c r="A53" s="181">
        <v>1</v>
      </c>
      <c r="C53">
        <f t="shared" si="13"/>
        <v>1</v>
      </c>
      <c r="D53" t="s">
        <v>448</v>
      </c>
      <c r="E53" s="51" t="s">
        <v>287</v>
      </c>
      <c r="F53" s="57" t="s">
        <v>288</v>
      </c>
      <c r="G53" s="131" t="s">
        <v>492</v>
      </c>
      <c r="H53" s="131" t="str">
        <f>'5. Configuration'!$I22</f>
        <v>Comment is required</v>
      </c>
      <c r="I53">
        <f>'5. Configuration'!$H22</f>
        <v>0</v>
      </c>
      <c r="J53" t="str">
        <f t="shared" si="14"/>
        <v>Blank</v>
      </c>
      <c r="K53" s="123" t="s">
        <v>75</v>
      </c>
      <c r="L53" t="str">
        <f t="shared" si="15"/>
        <v>Blank</v>
      </c>
      <c r="N53" t="str">
        <f t="shared" si="16"/>
        <v/>
      </c>
      <c r="O53" t="str">
        <f t="shared" si="17"/>
        <v/>
      </c>
      <c r="P53" t="str">
        <f t="shared" si="18"/>
        <v>Comment is required</v>
      </c>
      <c r="Q53" t="str">
        <f t="shared" si="19"/>
        <v>Blank</v>
      </c>
      <c r="R53" t="str">
        <f t="shared" si="20"/>
        <v>No Override</v>
      </c>
      <c r="S53">
        <f t="shared" si="21"/>
        <v>1</v>
      </c>
      <c r="T53" t="str">
        <f t="shared" si="22"/>
        <v/>
      </c>
    </row>
    <row r="54" spans="1:20" x14ac:dyDescent="0.3">
      <c r="A54" s="181">
        <v>1</v>
      </c>
      <c r="C54">
        <f t="shared" si="13"/>
        <v>1</v>
      </c>
      <c r="D54" t="s">
        <v>448</v>
      </c>
      <c r="E54" s="51" t="s">
        <v>493</v>
      </c>
      <c r="F54" s="131" t="s">
        <v>494</v>
      </c>
      <c r="G54" s="135" t="s">
        <v>495</v>
      </c>
      <c r="H54" s="131" t="str">
        <f>'5. Configuration'!$I23</f>
        <v>Comment is required</v>
      </c>
      <c r="I54">
        <f>'5. Configuration'!$H23</f>
        <v>0</v>
      </c>
      <c r="J54" t="str">
        <f t="shared" si="14"/>
        <v>Blank</v>
      </c>
      <c r="K54" s="123" t="s">
        <v>75</v>
      </c>
      <c r="L54" t="str">
        <f t="shared" si="15"/>
        <v>Blank</v>
      </c>
      <c r="N54" t="str">
        <f t="shared" si="16"/>
        <v/>
      </c>
      <c r="O54" t="str">
        <f t="shared" si="17"/>
        <v/>
      </c>
      <c r="P54" t="str">
        <f t="shared" si="18"/>
        <v>Comment is required</v>
      </c>
      <c r="Q54" t="str">
        <f t="shared" si="19"/>
        <v>Blank</v>
      </c>
      <c r="R54" t="str">
        <f t="shared" si="20"/>
        <v>No Override</v>
      </c>
      <c r="S54">
        <f t="shared" si="21"/>
        <v>1</v>
      </c>
      <c r="T54" t="str">
        <f t="shared" si="22"/>
        <v/>
      </c>
    </row>
    <row r="55" spans="1:20" ht="22.8" x14ac:dyDescent="0.3">
      <c r="A55" s="181">
        <v>3</v>
      </c>
      <c r="C55">
        <f t="shared" si="13"/>
        <v>3</v>
      </c>
      <c r="D55" t="s">
        <v>448</v>
      </c>
      <c r="E55" s="51" t="s">
        <v>496</v>
      </c>
      <c r="F55" s="131" t="s">
        <v>497</v>
      </c>
      <c r="G55" s="135" t="s">
        <v>498</v>
      </c>
      <c r="H55" s="131" t="str">
        <f>'5. Configuration'!$I24</f>
        <v>Comment is required</v>
      </c>
      <c r="I55">
        <f>'5. Configuration'!$H24</f>
        <v>0</v>
      </c>
      <c r="J55" t="str">
        <f t="shared" si="14"/>
        <v>Blank</v>
      </c>
      <c r="K55" s="123" t="s">
        <v>75</v>
      </c>
      <c r="L55" t="str">
        <f t="shared" si="15"/>
        <v>Blank</v>
      </c>
      <c r="N55" t="str">
        <f t="shared" si="16"/>
        <v/>
      </c>
      <c r="O55" t="str">
        <f t="shared" si="17"/>
        <v/>
      </c>
      <c r="P55" t="str">
        <f t="shared" si="18"/>
        <v>Comment is required</v>
      </c>
      <c r="Q55" t="str">
        <f t="shared" si="19"/>
        <v>Blank</v>
      </c>
      <c r="R55" t="str">
        <f t="shared" si="20"/>
        <v>No Override</v>
      </c>
      <c r="S55">
        <f t="shared" si="21"/>
        <v>3</v>
      </c>
      <c r="T55" t="str">
        <f t="shared" si="22"/>
        <v/>
      </c>
    </row>
    <row r="56" spans="1:20" ht="22.8" x14ac:dyDescent="0.3">
      <c r="A56" s="181">
        <v>4</v>
      </c>
      <c r="C56">
        <f t="shared" si="13"/>
        <v>4</v>
      </c>
      <c r="D56" t="s">
        <v>448</v>
      </c>
      <c r="E56" s="51" t="s">
        <v>499</v>
      </c>
      <c r="F56" s="131" t="s">
        <v>500</v>
      </c>
      <c r="G56" s="135" t="s">
        <v>501</v>
      </c>
      <c r="H56" s="131" t="str">
        <f>'5. Configuration'!$I25</f>
        <v>Comment is required</v>
      </c>
      <c r="I56">
        <f>'5. Configuration'!$H25</f>
        <v>0</v>
      </c>
      <c r="J56" t="str">
        <f t="shared" si="14"/>
        <v>Blank</v>
      </c>
      <c r="K56" s="123" t="s">
        <v>75</v>
      </c>
      <c r="L56" t="str">
        <f t="shared" si="15"/>
        <v>Blank</v>
      </c>
      <c r="N56" t="str">
        <f t="shared" si="16"/>
        <v/>
      </c>
      <c r="O56" t="str">
        <f t="shared" si="17"/>
        <v/>
      </c>
      <c r="P56" t="str">
        <f t="shared" si="18"/>
        <v>Comment is required</v>
      </c>
      <c r="Q56" t="str">
        <f t="shared" si="19"/>
        <v>Blank</v>
      </c>
      <c r="R56" t="str">
        <f t="shared" si="20"/>
        <v>No Override</v>
      </c>
      <c r="S56">
        <f t="shared" si="21"/>
        <v>4</v>
      </c>
      <c r="T56" t="str">
        <f t="shared" si="22"/>
        <v/>
      </c>
    </row>
    <row r="57" spans="1:20" ht="22.8" x14ac:dyDescent="0.3">
      <c r="A57" s="181">
        <v>2</v>
      </c>
      <c r="C57">
        <f t="shared" si="13"/>
        <v>2</v>
      </c>
      <c r="D57" t="s">
        <v>448</v>
      </c>
      <c r="E57" s="51" t="s">
        <v>502</v>
      </c>
      <c r="F57" s="132" t="s">
        <v>503</v>
      </c>
      <c r="G57" s="135" t="s">
        <v>504</v>
      </c>
      <c r="H57" s="131" t="str">
        <f>'5. Configuration'!$I26</f>
        <v>Comment is required</v>
      </c>
      <c r="I57">
        <f>'5. Configuration'!$H26</f>
        <v>0</v>
      </c>
      <c r="J57" t="str">
        <f t="shared" si="14"/>
        <v>Blank</v>
      </c>
      <c r="K57" s="123" t="s">
        <v>75</v>
      </c>
      <c r="L57" t="str">
        <f t="shared" si="15"/>
        <v>Blank</v>
      </c>
      <c r="N57" t="str">
        <f t="shared" si="16"/>
        <v/>
      </c>
      <c r="O57" t="str">
        <f t="shared" si="17"/>
        <v/>
      </c>
      <c r="P57" t="str">
        <f t="shared" si="18"/>
        <v>Comment is required</v>
      </c>
      <c r="Q57" t="str">
        <f t="shared" si="19"/>
        <v>Blank</v>
      </c>
      <c r="R57" t="str">
        <f t="shared" si="20"/>
        <v>No Override</v>
      </c>
      <c r="S57">
        <f t="shared" si="21"/>
        <v>2</v>
      </c>
      <c r="T57" t="str">
        <f t="shared" si="22"/>
        <v/>
      </c>
    </row>
    <row r="58" spans="1:20" x14ac:dyDescent="0.3">
      <c r="A58" s="181">
        <v>2</v>
      </c>
      <c r="C58">
        <f t="shared" si="13"/>
        <v>2</v>
      </c>
      <c r="D58" t="s">
        <v>448</v>
      </c>
      <c r="E58" s="51" t="s">
        <v>505</v>
      </c>
      <c r="F58" s="132" t="s">
        <v>503</v>
      </c>
      <c r="G58" s="135" t="s">
        <v>506</v>
      </c>
      <c r="H58" s="131" t="str">
        <f>'5. Configuration'!$I27</f>
        <v>Comment is required</v>
      </c>
      <c r="I58">
        <f>'5. Configuration'!$H27</f>
        <v>0</v>
      </c>
      <c r="J58" t="str">
        <f t="shared" si="14"/>
        <v>Blank</v>
      </c>
      <c r="K58" s="123" t="s">
        <v>75</v>
      </c>
      <c r="L58" t="str">
        <f t="shared" si="15"/>
        <v>Blank</v>
      </c>
      <c r="N58" t="str">
        <f t="shared" si="16"/>
        <v/>
      </c>
      <c r="O58" t="str">
        <f t="shared" si="17"/>
        <v/>
      </c>
      <c r="P58" t="str">
        <f t="shared" si="18"/>
        <v>Comment is required</v>
      </c>
      <c r="Q58" t="str">
        <f t="shared" si="19"/>
        <v>Blank</v>
      </c>
      <c r="R58" t="str">
        <f t="shared" si="20"/>
        <v>No Override</v>
      </c>
      <c r="S58">
        <f t="shared" si="21"/>
        <v>2</v>
      </c>
      <c r="T58" t="str">
        <f t="shared" si="22"/>
        <v/>
      </c>
    </row>
    <row r="59" spans="1:20" ht="22.8" x14ac:dyDescent="0.3">
      <c r="A59" s="181">
        <v>4</v>
      </c>
      <c r="C59">
        <f t="shared" si="13"/>
        <v>4</v>
      </c>
      <c r="D59" t="s">
        <v>775</v>
      </c>
      <c r="E59" s="51" t="s">
        <v>508</v>
      </c>
      <c r="F59" s="57" t="s">
        <v>510</v>
      </c>
      <c r="G59" s="135" t="s">
        <v>511</v>
      </c>
      <c r="H59" s="135" t="str">
        <f>'7. Authentication&amp;Authorization'!$I3</f>
        <v>Comment is required</v>
      </c>
      <c r="I59">
        <f>'7. Authentication&amp;Authorization'!$H3</f>
        <v>0</v>
      </c>
      <c r="J59" t="str">
        <f>IF($I59="Yes","Adequate",IF($I59="No","Adequate",IF($I59="Partial","Inadequate",IF($I59="N/A","Inadequate",IF(OR($I59="",$I59=0),"Blank","Error")))))</f>
        <v>Blank</v>
      </c>
      <c r="K59" s="123" t="s">
        <v>75</v>
      </c>
      <c r="L59" t="str">
        <f t="shared" si="15"/>
        <v>Blank</v>
      </c>
      <c r="N59" t="str">
        <f t="shared" si="16"/>
        <v/>
      </c>
      <c r="O59" t="str">
        <f t="shared" si="17"/>
        <v/>
      </c>
      <c r="P59" t="str">
        <f t="shared" si="18"/>
        <v>Comment is required</v>
      </c>
      <c r="Q59" t="str">
        <f t="shared" si="19"/>
        <v>Blank</v>
      </c>
      <c r="R59" t="str">
        <f t="shared" si="20"/>
        <v>No Override</v>
      </c>
      <c r="S59">
        <f t="shared" si="21"/>
        <v>4</v>
      </c>
      <c r="T59" t="str">
        <f t="shared" si="22"/>
        <v/>
      </c>
    </row>
    <row r="60" spans="1:20" ht="22.8" x14ac:dyDescent="0.3">
      <c r="A60" s="181">
        <v>4</v>
      </c>
      <c r="C60">
        <f t="shared" si="13"/>
        <v>4</v>
      </c>
      <c r="D60" t="s">
        <v>775</v>
      </c>
      <c r="E60" s="51" t="s">
        <v>512</v>
      </c>
      <c r="F60" s="57" t="s">
        <v>515</v>
      </c>
      <c r="G60" s="135" t="s">
        <v>516</v>
      </c>
      <c r="H60" s="135" t="str">
        <f>'7. Authentication&amp;Authorization'!$I4</f>
        <v>Comment is required</v>
      </c>
      <c r="I60">
        <f>'7. Authentication&amp;Authorization'!$H4</f>
        <v>0</v>
      </c>
      <c r="J60" t="str">
        <f t="shared" ref="J60:J78" si="23">IF($I60="Yes","Adequate",IF($I60="No","Inadequate",IF($I60="Partial","Inadequate",IF($I60="N/A","Inadequate",IF(OR($I60="",$I60=0),"Blank","Error")))))</f>
        <v>Blank</v>
      </c>
      <c r="K60" s="123" t="s">
        <v>75</v>
      </c>
      <c r="L60" t="str">
        <f t="shared" si="15"/>
        <v>Blank</v>
      </c>
      <c r="N60" t="str">
        <f t="shared" si="16"/>
        <v/>
      </c>
      <c r="O60" t="str">
        <f t="shared" si="17"/>
        <v/>
      </c>
      <c r="P60" t="str">
        <f t="shared" si="18"/>
        <v>Comment is required</v>
      </c>
      <c r="Q60" t="str">
        <f t="shared" si="19"/>
        <v>Blank</v>
      </c>
      <c r="R60" t="str">
        <f t="shared" si="20"/>
        <v>No Override</v>
      </c>
      <c r="S60">
        <f t="shared" si="21"/>
        <v>4</v>
      </c>
      <c r="T60" t="str">
        <f t="shared" si="22"/>
        <v/>
      </c>
    </row>
    <row r="61" spans="1:20" ht="22.8" x14ac:dyDescent="0.3">
      <c r="A61" s="181">
        <v>2</v>
      </c>
      <c r="C61">
        <f t="shared" si="13"/>
        <v>2</v>
      </c>
      <c r="D61" t="s">
        <v>775</v>
      </c>
      <c r="E61" s="51" t="s">
        <v>517</v>
      </c>
      <c r="F61" s="57" t="s">
        <v>520</v>
      </c>
      <c r="G61" s="135" t="s">
        <v>521</v>
      </c>
      <c r="H61" s="135" t="str">
        <f>'7. Authentication&amp;Authorization'!$I5</f>
        <v>Comment is required</v>
      </c>
      <c r="I61">
        <f>'7. Authentication&amp;Authorization'!$H5</f>
        <v>0</v>
      </c>
      <c r="J61" t="str">
        <f t="shared" si="23"/>
        <v>Blank</v>
      </c>
      <c r="K61" s="123" t="s">
        <v>75</v>
      </c>
      <c r="L61" t="str">
        <f t="shared" si="15"/>
        <v>Blank</v>
      </c>
      <c r="N61" t="str">
        <f t="shared" si="16"/>
        <v/>
      </c>
      <c r="O61" t="str">
        <f t="shared" si="17"/>
        <v/>
      </c>
      <c r="P61" t="str">
        <f t="shared" si="18"/>
        <v>Comment is required</v>
      </c>
      <c r="Q61" t="str">
        <f t="shared" si="19"/>
        <v>Blank</v>
      </c>
      <c r="R61" t="str">
        <f t="shared" si="20"/>
        <v>No Override</v>
      </c>
      <c r="S61">
        <f t="shared" si="21"/>
        <v>2</v>
      </c>
      <c r="T61" t="str">
        <f t="shared" si="22"/>
        <v/>
      </c>
    </row>
    <row r="62" spans="1:20" x14ac:dyDescent="0.3">
      <c r="A62" s="181">
        <v>3</v>
      </c>
      <c r="C62">
        <f t="shared" si="13"/>
        <v>3</v>
      </c>
      <c r="D62" t="s">
        <v>775</v>
      </c>
      <c r="E62" s="51" t="s">
        <v>522</v>
      </c>
      <c r="F62" s="57" t="s">
        <v>523</v>
      </c>
      <c r="G62" s="135" t="s">
        <v>524</v>
      </c>
      <c r="H62" s="135" t="str">
        <f>'7. Authentication&amp;Authorization'!$I6</f>
        <v>Comment is required</v>
      </c>
      <c r="I62">
        <f>'7. Authentication&amp;Authorization'!$H6</f>
        <v>0</v>
      </c>
      <c r="J62" t="str">
        <f t="shared" si="23"/>
        <v>Blank</v>
      </c>
      <c r="K62" s="123" t="s">
        <v>75</v>
      </c>
      <c r="L62" t="str">
        <f t="shared" si="15"/>
        <v>Blank</v>
      </c>
      <c r="N62" t="str">
        <f t="shared" si="16"/>
        <v/>
      </c>
      <c r="O62" t="str">
        <f t="shared" si="17"/>
        <v/>
      </c>
      <c r="P62" t="str">
        <f t="shared" si="18"/>
        <v>Comment is required</v>
      </c>
      <c r="Q62" t="str">
        <f t="shared" si="19"/>
        <v>Blank</v>
      </c>
      <c r="R62" t="str">
        <f t="shared" si="20"/>
        <v>No Override</v>
      </c>
      <c r="S62">
        <f t="shared" si="21"/>
        <v>3</v>
      </c>
      <c r="T62" t="str">
        <f t="shared" si="22"/>
        <v/>
      </c>
    </row>
    <row r="63" spans="1:20" x14ac:dyDescent="0.3">
      <c r="A63" s="181">
        <v>2</v>
      </c>
      <c r="C63">
        <f t="shared" si="13"/>
        <v>2</v>
      </c>
      <c r="D63" t="s">
        <v>775</v>
      </c>
      <c r="E63" s="51" t="s">
        <v>525</v>
      </c>
      <c r="F63" s="57" t="s">
        <v>523</v>
      </c>
      <c r="G63" s="135" t="s">
        <v>526</v>
      </c>
      <c r="H63" s="135" t="str">
        <f>'7. Authentication&amp;Authorization'!$I7</f>
        <v>Comment is required</v>
      </c>
      <c r="I63">
        <f>'7. Authentication&amp;Authorization'!$H7</f>
        <v>0</v>
      </c>
      <c r="J63" t="str">
        <f t="shared" si="23"/>
        <v>Blank</v>
      </c>
      <c r="K63" s="123" t="s">
        <v>75</v>
      </c>
      <c r="L63" t="str">
        <f t="shared" si="15"/>
        <v>Blank</v>
      </c>
      <c r="N63" t="str">
        <f t="shared" si="16"/>
        <v/>
      </c>
      <c r="O63" t="str">
        <f t="shared" si="17"/>
        <v/>
      </c>
      <c r="P63" t="str">
        <f t="shared" si="18"/>
        <v>Comment is required</v>
      </c>
      <c r="Q63" t="str">
        <f t="shared" si="19"/>
        <v>Blank</v>
      </c>
      <c r="R63" t="str">
        <f t="shared" si="20"/>
        <v>No Override</v>
      </c>
      <c r="S63">
        <f t="shared" si="21"/>
        <v>2</v>
      </c>
      <c r="T63" t="str">
        <f t="shared" si="22"/>
        <v/>
      </c>
    </row>
    <row r="64" spans="1:20" x14ac:dyDescent="0.3">
      <c r="A64" s="181">
        <v>3</v>
      </c>
      <c r="C64">
        <f t="shared" si="13"/>
        <v>3</v>
      </c>
      <c r="D64" t="s">
        <v>775</v>
      </c>
      <c r="E64" s="51" t="s">
        <v>527</v>
      </c>
      <c r="F64" s="57" t="s">
        <v>292</v>
      </c>
      <c r="G64" s="135" t="s">
        <v>529</v>
      </c>
      <c r="H64" s="135" t="str">
        <f>'7. Authentication&amp;Authorization'!$I8</f>
        <v>Comment is required</v>
      </c>
      <c r="I64">
        <f>'7. Authentication&amp;Authorization'!$H8</f>
        <v>0</v>
      </c>
      <c r="J64" t="str">
        <f t="shared" si="23"/>
        <v>Blank</v>
      </c>
      <c r="K64" s="123" t="s">
        <v>75</v>
      </c>
      <c r="L64" t="str">
        <f t="shared" si="15"/>
        <v>Blank</v>
      </c>
      <c r="N64" t="str">
        <f t="shared" si="16"/>
        <v/>
      </c>
      <c r="O64" t="str">
        <f t="shared" si="17"/>
        <v/>
      </c>
      <c r="P64" t="str">
        <f t="shared" si="18"/>
        <v>Comment is required</v>
      </c>
      <c r="Q64" t="str">
        <f t="shared" si="19"/>
        <v>Blank</v>
      </c>
      <c r="R64" t="str">
        <f t="shared" si="20"/>
        <v>No Override</v>
      </c>
      <c r="S64">
        <f t="shared" si="21"/>
        <v>3</v>
      </c>
      <c r="T64" t="str">
        <f t="shared" si="22"/>
        <v/>
      </c>
    </row>
    <row r="65" spans="1:20" ht="114" x14ac:dyDescent="0.3">
      <c r="A65" s="181">
        <v>1</v>
      </c>
      <c r="C65">
        <f t="shared" si="13"/>
        <v>1</v>
      </c>
      <c r="D65" t="s">
        <v>775</v>
      </c>
      <c r="E65" s="51" t="s">
        <v>530</v>
      </c>
      <c r="F65" s="57" t="s">
        <v>292</v>
      </c>
      <c r="G65" s="135" t="s">
        <v>531</v>
      </c>
      <c r="H65" s="135" t="str">
        <f>'7. Authentication&amp;Authorization'!$I9</f>
        <v>Comment is required</v>
      </c>
      <c r="I65">
        <f>'7. Authentication&amp;Authorization'!$H9</f>
        <v>0</v>
      </c>
      <c r="J65" t="str">
        <f t="shared" si="23"/>
        <v>Blank</v>
      </c>
      <c r="K65" s="123" t="s">
        <v>75</v>
      </c>
      <c r="L65" t="str">
        <f t="shared" si="15"/>
        <v>Blank</v>
      </c>
      <c r="N65" t="str">
        <f t="shared" si="16"/>
        <v/>
      </c>
      <c r="O65" t="str">
        <f t="shared" si="17"/>
        <v/>
      </c>
      <c r="P65" t="str">
        <f t="shared" si="18"/>
        <v>Comment is required</v>
      </c>
      <c r="Q65" t="str">
        <f t="shared" si="19"/>
        <v>Blank</v>
      </c>
      <c r="R65" t="str">
        <f t="shared" si="20"/>
        <v>No Override</v>
      </c>
      <c r="S65">
        <f t="shared" si="21"/>
        <v>1</v>
      </c>
      <c r="T65" t="str">
        <f t="shared" si="22"/>
        <v/>
      </c>
    </row>
    <row r="66" spans="1:20" x14ac:dyDescent="0.3">
      <c r="A66" s="181">
        <v>1</v>
      </c>
      <c r="C66">
        <f t="shared" si="13"/>
        <v>1</v>
      </c>
      <c r="D66" t="s">
        <v>775</v>
      </c>
      <c r="E66" s="51" t="s">
        <v>532</v>
      </c>
      <c r="F66" s="57" t="s">
        <v>292</v>
      </c>
      <c r="G66" s="135" t="s">
        <v>533</v>
      </c>
      <c r="H66" s="135" t="str">
        <f>'7. Authentication&amp;Authorization'!$I10</f>
        <v>Comment is required</v>
      </c>
      <c r="I66">
        <f>'7. Authentication&amp;Authorization'!$H10</f>
        <v>0</v>
      </c>
      <c r="J66" t="str">
        <f t="shared" si="23"/>
        <v>Blank</v>
      </c>
      <c r="K66" s="123" t="s">
        <v>75</v>
      </c>
      <c r="L66" t="str">
        <f t="shared" si="15"/>
        <v>Blank</v>
      </c>
      <c r="N66" t="str">
        <f t="shared" si="16"/>
        <v/>
      </c>
      <c r="O66" t="str">
        <f t="shared" si="17"/>
        <v/>
      </c>
      <c r="P66" t="str">
        <f t="shared" si="18"/>
        <v>Comment is required</v>
      </c>
      <c r="Q66" t="str">
        <f t="shared" si="19"/>
        <v>Blank</v>
      </c>
      <c r="R66" t="str">
        <f t="shared" si="20"/>
        <v>No Override</v>
      </c>
      <c r="S66">
        <f t="shared" si="21"/>
        <v>1</v>
      </c>
      <c r="T66" t="str">
        <f t="shared" si="22"/>
        <v/>
      </c>
    </row>
    <row r="67" spans="1:20" x14ac:dyDescent="0.3">
      <c r="A67" s="181">
        <v>3</v>
      </c>
      <c r="C67">
        <f t="shared" si="13"/>
        <v>3</v>
      </c>
      <c r="D67" t="s">
        <v>775</v>
      </c>
      <c r="E67" s="51" t="s">
        <v>534</v>
      </c>
      <c r="F67" s="57" t="s">
        <v>292</v>
      </c>
      <c r="G67" s="135" t="s">
        <v>535</v>
      </c>
      <c r="H67" s="135" t="str">
        <f>'7. Authentication&amp;Authorization'!$I11</f>
        <v>Comment is required</v>
      </c>
      <c r="I67">
        <f>'7. Authentication&amp;Authorization'!$H11</f>
        <v>0</v>
      </c>
      <c r="J67" t="str">
        <f t="shared" si="23"/>
        <v>Blank</v>
      </c>
      <c r="K67" s="123" t="s">
        <v>75</v>
      </c>
      <c r="L67" t="str">
        <f t="shared" si="15"/>
        <v>Blank</v>
      </c>
      <c r="N67" t="str">
        <f t="shared" si="16"/>
        <v/>
      </c>
      <c r="O67" t="str">
        <f t="shared" si="17"/>
        <v/>
      </c>
      <c r="P67" t="str">
        <f t="shared" si="18"/>
        <v>Comment is required</v>
      </c>
      <c r="Q67" t="str">
        <f t="shared" si="19"/>
        <v>Blank</v>
      </c>
      <c r="R67" t="str">
        <f t="shared" si="20"/>
        <v>No Override</v>
      </c>
      <c r="S67">
        <f t="shared" si="21"/>
        <v>3</v>
      </c>
      <c r="T67" t="str">
        <f t="shared" si="22"/>
        <v/>
      </c>
    </row>
    <row r="68" spans="1:20" x14ac:dyDescent="0.3">
      <c r="A68" s="181">
        <v>3</v>
      </c>
      <c r="C68">
        <f t="shared" si="13"/>
        <v>3</v>
      </c>
      <c r="D68" t="s">
        <v>775</v>
      </c>
      <c r="E68" s="51" t="s">
        <v>536</v>
      </c>
      <c r="F68" s="57" t="s">
        <v>292</v>
      </c>
      <c r="G68" s="135" t="s">
        <v>776</v>
      </c>
      <c r="H68" s="135" t="str">
        <f>'7. Authentication&amp;Authorization'!$I12</f>
        <v>Comment is required</v>
      </c>
      <c r="I68">
        <f>'7. Authentication&amp;Authorization'!$H12</f>
        <v>0</v>
      </c>
      <c r="J68" t="str">
        <f t="shared" si="23"/>
        <v>Blank</v>
      </c>
      <c r="K68" s="123" t="s">
        <v>75</v>
      </c>
      <c r="L68" t="str">
        <f t="shared" si="15"/>
        <v>Blank</v>
      </c>
      <c r="N68" t="str">
        <f t="shared" si="16"/>
        <v/>
      </c>
      <c r="O68" t="str">
        <f t="shared" si="17"/>
        <v/>
      </c>
      <c r="P68" t="str">
        <f t="shared" si="18"/>
        <v>Comment is required</v>
      </c>
      <c r="Q68" t="str">
        <f t="shared" si="19"/>
        <v>Blank</v>
      </c>
      <c r="R68" t="str">
        <f t="shared" si="20"/>
        <v>No Override</v>
      </c>
      <c r="S68">
        <f t="shared" si="21"/>
        <v>3</v>
      </c>
      <c r="T68" t="str">
        <f t="shared" si="22"/>
        <v/>
      </c>
    </row>
    <row r="69" spans="1:20" x14ac:dyDescent="0.3">
      <c r="A69" s="181">
        <v>4</v>
      </c>
      <c r="C69">
        <f t="shared" si="13"/>
        <v>4</v>
      </c>
      <c r="D69" t="s">
        <v>775</v>
      </c>
      <c r="E69" s="51" t="s">
        <v>538</v>
      </c>
      <c r="F69" s="57" t="s">
        <v>540</v>
      </c>
      <c r="G69" s="135" t="s">
        <v>541</v>
      </c>
      <c r="H69" s="135" t="str">
        <f>'7. Authentication&amp;Authorization'!$I13</f>
        <v>Comment is required</v>
      </c>
      <c r="I69">
        <f>'7. Authentication&amp;Authorization'!$H13</f>
        <v>0</v>
      </c>
      <c r="J69" t="str">
        <f t="shared" si="23"/>
        <v>Blank</v>
      </c>
      <c r="K69" s="123" t="s">
        <v>75</v>
      </c>
      <c r="L69" t="str">
        <f t="shared" si="15"/>
        <v>Blank</v>
      </c>
      <c r="N69" t="str">
        <f t="shared" si="16"/>
        <v/>
      </c>
      <c r="O69" t="str">
        <f t="shared" si="17"/>
        <v/>
      </c>
      <c r="P69" t="str">
        <f t="shared" si="18"/>
        <v>Comment is required</v>
      </c>
      <c r="Q69" t="str">
        <f t="shared" si="19"/>
        <v>Blank</v>
      </c>
      <c r="R69" t="str">
        <f t="shared" si="20"/>
        <v>No Override</v>
      </c>
      <c r="S69">
        <f t="shared" si="21"/>
        <v>4</v>
      </c>
      <c r="T69" t="str">
        <f t="shared" si="22"/>
        <v/>
      </c>
    </row>
    <row r="70" spans="1:20" ht="22.8" x14ac:dyDescent="0.3">
      <c r="A70" s="181">
        <v>4</v>
      </c>
      <c r="C70">
        <f t="shared" si="13"/>
        <v>4</v>
      </c>
      <c r="D70" t="s">
        <v>775</v>
      </c>
      <c r="E70" s="51" t="s">
        <v>542</v>
      </c>
      <c r="F70" s="57" t="s">
        <v>544</v>
      </c>
      <c r="G70" s="135" t="s">
        <v>545</v>
      </c>
      <c r="H70" s="135" t="str">
        <f>'7. Authentication&amp;Authorization'!$I14</f>
        <v>Comment is required</v>
      </c>
      <c r="I70">
        <f>'7. Authentication&amp;Authorization'!$H14</f>
        <v>0</v>
      </c>
      <c r="J70" t="str">
        <f t="shared" si="23"/>
        <v>Blank</v>
      </c>
      <c r="K70" s="123" t="s">
        <v>75</v>
      </c>
      <c r="L70" t="str">
        <f t="shared" si="15"/>
        <v>Blank</v>
      </c>
      <c r="N70" t="str">
        <f t="shared" si="16"/>
        <v/>
      </c>
      <c r="O70" t="str">
        <f t="shared" si="17"/>
        <v/>
      </c>
      <c r="P70" t="str">
        <f t="shared" si="18"/>
        <v>Comment is required</v>
      </c>
      <c r="Q70" t="str">
        <f t="shared" si="19"/>
        <v>Blank</v>
      </c>
      <c r="R70" t="str">
        <f t="shared" si="20"/>
        <v>No Override</v>
      </c>
      <c r="S70">
        <f t="shared" si="21"/>
        <v>4</v>
      </c>
      <c r="T70" t="str">
        <f t="shared" si="22"/>
        <v/>
      </c>
    </row>
    <row r="71" spans="1:20" x14ac:dyDescent="0.3">
      <c r="A71" s="181">
        <v>1</v>
      </c>
      <c r="C71">
        <f t="shared" si="13"/>
        <v>1</v>
      </c>
      <c r="D71" t="s">
        <v>777</v>
      </c>
      <c r="E71" s="51" t="s">
        <v>547</v>
      </c>
      <c r="F71" s="57" t="s">
        <v>550</v>
      </c>
      <c r="G71" s="50" t="s">
        <v>551</v>
      </c>
      <c r="H71" s="134" t="str">
        <f>'8. Incident Response'!$I3</f>
        <v>Comment is required</v>
      </c>
      <c r="I71">
        <f>'8. Incident Response'!$H3</f>
        <v>0</v>
      </c>
      <c r="J71" t="str">
        <f t="shared" si="23"/>
        <v>Blank</v>
      </c>
      <c r="K71" s="123" t="s">
        <v>75</v>
      </c>
      <c r="L71" t="str">
        <f t="shared" si="15"/>
        <v>Blank</v>
      </c>
      <c r="N71" t="str">
        <f t="shared" si="16"/>
        <v/>
      </c>
      <c r="O71" t="str">
        <f t="shared" si="17"/>
        <v/>
      </c>
      <c r="P71" t="str">
        <f t="shared" si="18"/>
        <v>Comment is required</v>
      </c>
      <c r="Q71" t="str">
        <f t="shared" si="19"/>
        <v>Blank</v>
      </c>
      <c r="R71" t="str">
        <f t="shared" si="20"/>
        <v>No Override</v>
      </c>
      <c r="S71">
        <f t="shared" si="21"/>
        <v>1</v>
      </c>
      <c r="T71" t="str">
        <f t="shared" si="22"/>
        <v/>
      </c>
    </row>
    <row r="72" spans="1:20" x14ac:dyDescent="0.3">
      <c r="A72" s="181">
        <v>2</v>
      </c>
      <c r="C72">
        <f t="shared" si="13"/>
        <v>2</v>
      </c>
      <c r="D72" t="s">
        <v>777</v>
      </c>
      <c r="E72" s="51" t="s">
        <v>552</v>
      </c>
      <c r="F72" s="57" t="s">
        <v>554</v>
      </c>
      <c r="G72" s="135" t="s">
        <v>555</v>
      </c>
      <c r="H72" s="134" t="str">
        <f>'8. Incident Response'!$I4</f>
        <v>Comment is required</v>
      </c>
      <c r="I72">
        <f>'8. Incident Response'!$H4</f>
        <v>0</v>
      </c>
      <c r="J72" t="str">
        <f t="shared" si="23"/>
        <v>Blank</v>
      </c>
      <c r="K72" s="123" t="s">
        <v>75</v>
      </c>
      <c r="L72" t="str">
        <f t="shared" si="15"/>
        <v>Blank</v>
      </c>
      <c r="N72" t="str">
        <f t="shared" si="16"/>
        <v/>
      </c>
      <c r="O72" t="str">
        <f t="shared" si="17"/>
        <v/>
      </c>
      <c r="P72" t="str">
        <f t="shared" si="18"/>
        <v>Comment is required</v>
      </c>
      <c r="Q72" t="str">
        <f t="shared" si="19"/>
        <v>Blank</v>
      </c>
      <c r="R72" t="str">
        <f t="shared" si="20"/>
        <v>No Override</v>
      </c>
      <c r="S72">
        <f t="shared" si="21"/>
        <v>2</v>
      </c>
      <c r="T72" t="str">
        <f t="shared" si="22"/>
        <v/>
      </c>
    </row>
    <row r="73" spans="1:20" x14ac:dyDescent="0.3">
      <c r="A73" s="181">
        <v>2</v>
      </c>
      <c r="C73">
        <f t="shared" si="13"/>
        <v>2</v>
      </c>
      <c r="D73" t="s">
        <v>777</v>
      </c>
      <c r="E73" s="51" t="s">
        <v>556</v>
      </c>
      <c r="F73" s="57" t="s">
        <v>554</v>
      </c>
      <c r="G73" s="135" t="s">
        <v>557</v>
      </c>
      <c r="H73" s="134" t="str">
        <f>'8. Incident Response'!$I5</f>
        <v>Comment is required</v>
      </c>
      <c r="I73">
        <f>'8. Incident Response'!$H5</f>
        <v>0</v>
      </c>
      <c r="J73" t="str">
        <f t="shared" si="23"/>
        <v>Blank</v>
      </c>
      <c r="K73" s="123" t="s">
        <v>75</v>
      </c>
      <c r="L73" t="str">
        <f t="shared" si="15"/>
        <v>Blank</v>
      </c>
      <c r="N73" t="str">
        <f t="shared" si="16"/>
        <v/>
      </c>
      <c r="O73" t="str">
        <f t="shared" si="17"/>
        <v/>
      </c>
      <c r="P73" t="str">
        <f t="shared" si="18"/>
        <v>Comment is required</v>
      </c>
      <c r="Q73" t="str">
        <f t="shared" si="19"/>
        <v>Blank</v>
      </c>
      <c r="R73" t="str">
        <f t="shared" si="20"/>
        <v>No Override</v>
      </c>
      <c r="S73">
        <f t="shared" si="21"/>
        <v>2</v>
      </c>
      <c r="T73" t="str">
        <f t="shared" si="22"/>
        <v/>
      </c>
    </row>
    <row r="74" spans="1:20" x14ac:dyDescent="0.3">
      <c r="A74" s="181">
        <v>2</v>
      </c>
      <c r="C74">
        <f t="shared" si="13"/>
        <v>2</v>
      </c>
      <c r="D74" t="s">
        <v>777</v>
      </c>
      <c r="E74" s="51" t="s">
        <v>558</v>
      </c>
      <c r="F74" s="57" t="s">
        <v>560</v>
      </c>
      <c r="G74" s="135" t="s">
        <v>561</v>
      </c>
      <c r="H74" s="134" t="str">
        <f>'8. Incident Response'!$I6</f>
        <v>Comment is required</v>
      </c>
      <c r="I74">
        <f>'8. Incident Response'!$H6</f>
        <v>0</v>
      </c>
      <c r="J74" t="str">
        <f t="shared" si="23"/>
        <v>Blank</v>
      </c>
      <c r="K74" s="123" t="s">
        <v>75</v>
      </c>
      <c r="L74" t="str">
        <f t="shared" si="15"/>
        <v>Blank</v>
      </c>
      <c r="N74" t="str">
        <f t="shared" si="16"/>
        <v/>
      </c>
      <c r="O74" t="str">
        <f t="shared" si="17"/>
        <v/>
      </c>
      <c r="P74" t="str">
        <f t="shared" si="18"/>
        <v>Comment is required</v>
      </c>
      <c r="Q74" t="str">
        <f t="shared" si="19"/>
        <v>Blank</v>
      </c>
      <c r="R74" t="str">
        <f t="shared" si="20"/>
        <v>No Override</v>
      </c>
      <c r="S74">
        <f t="shared" si="21"/>
        <v>2</v>
      </c>
      <c r="T74" t="str">
        <f t="shared" ref="T74:T91" si="24">IF($L74=$Q74,"","***")</f>
        <v/>
      </c>
    </row>
    <row r="75" spans="1:20" x14ac:dyDescent="0.3">
      <c r="A75" s="181">
        <v>2</v>
      </c>
      <c r="C75">
        <f t="shared" si="13"/>
        <v>2</v>
      </c>
      <c r="D75" t="s">
        <v>777</v>
      </c>
      <c r="E75" s="51" t="s">
        <v>562</v>
      </c>
      <c r="F75" s="57" t="s">
        <v>560</v>
      </c>
      <c r="G75" s="135" t="s">
        <v>563</v>
      </c>
      <c r="H75" s="134" t="str">
        <f>'8. Incident Response'!$I7</f>
        <v>Comment is required</v>
      </c>
      <c r="I75">
        <f>'8. Incident Response'!$H7</f>
        <v>0</v>
      </c>
      <c r="J75" t="str">
        <f t="shared" si="23"/>
        <v>Blank</v>
      </c>
      <c r="K75" s="123" t="s">
        <v>75</v>
      </c>
      <c r="L75" t="str">
        <f t="shared" si="15"/>
        <v>Blank</v>
      </c>
      <c r="N75" t="str">
        <f t="shared" si="16"/>
        <v/>
      </c>
      <c r="O75" t="str">
        <f t="shared" si="17"/>
        <v/>
      </c>
      <c r="P75" t="str">
        <f t="shared" si="18"/>
        <v>Comment is required</v>
      </c>
      <c r="Q75" t="str">
        <f t="shared" si="19"/>
        <v>Blank</v>
      </c>
      <c r="R75" t="str">
        <f t="shared" si="20"/>
        <v>No Override</v>
      </c>
      <c r="S75">
        <f t="shared" si="21"/>
        <v>2</v>
      </c>
      <c r="T75" t="str">
        <f t="shared" si="24"/>
        <v/>
      </c>
    </row>
    <row r="76" spans="1:20" x14ac:dyDescent="0.3">
      <c r="A76" s="181">
        <v>1</v>
      </c>
      <c r="C76">
        <f t="shared" si="13"/>
        <v>1</v>
      </c>
      <c r="D76" t="s">
        <v>777</v>
      </c>
      <c r="E76" s="51" t="s">
        <v>564</v>
      </c>
      <c r="F76" s="57" t="s">
        <v>567</v>
      </c>
      <c r="G76" s="135" t="s">
        <v>568</v>
      </c>
      <c r="H76" s="134" t="str">
        <f>'8. Incident Response'!$I8</f>
        <v>Comment is required</v>
      </c>
      <c r="I76">
        <f>'8. Incident Response'!$H8</f>
        <v>0</v>
      </c>
      <c r="J76" t="str">
        <f t="shared" si="23"/>
        <v>Blank</v>
      </c>
      <c r="K76" s="123" t="s">
        <v>75</v>
      </c>
      <c r="L76" t="str">
        <f t="shared" si="15"/>
        <v>Blank</v>
      </c>
      <c r="N76" t="str">
        <f t="shared" si="16"/>
        <v/>
      </c>
      <c r="O76" t="str">
        <f t="shared" si="17"/>
        <v/>
      </c>
      <c r="P76" t="str">
        <f t="shared" si="18"/>
        <v>Comment is required</v>
      </c>
      <c r="Q76" t="str">
        <f t="shared" si="19"/>
        <v>Blank</v>
      </c>
      <c r="R76" t="str">
        <f t="shared" si="20"/>
        <v>No Override</v>
      </c>
      <c r="S76">
        <f t="shared" si="21"/>
        <v>1</v>
      </c>
      <c r="T76" t="str">
        <f t="shared" si="24"/>
        <v/>
      </c>
    </row>
    <row r="77" spans="1:20" x14ac:dyDescent="0.3">
      <c r="A77" s="181">
        <v>1</v>
      </c>
      <c r="C77">
        <f t="shared" si="13"/>
        <v>1</v>
      </c>
      <c r="D77" t="s">
        <v>777</v>
      </c>
      <c r="E77" s="51" t="s">
        <v>569</v>
      </c>
      <c r="F77" s="57" t="s">
        <v>572</v>
      </c>
      <c r="G77" s="135" t="s">
        <v>573</v>
      </c>
      <c r="H77" s="134" t="str">
        <f>'8. Incident Response'!$I9</f>
        <v>Comment is required</v>
      </c>
      <c r="I77">
        <f>'8. Incident Response'!$H9</f>
        <v>0</v>
      </c>
      <c r="J77" t="str">
        <f t="shared" si="23"/>
        <v>Blank</v>
      </c>
      <c r="K77" s="123" t="s">
        <v>75</v>
      </c>
      <c r="L77" t="str">
        <f t="shared" si="15"/>
        <v>Blank</v>
      </c>
      <c r="N77" t="str">
        <f t="shared" si="16"/>
        <v/>
      </c>
      <c r="O77" t="str">
        <f t="shared" si="17"/>
        <v/>
      </c>
      <c r="P77" t="str">
        <f t="shared" si="18"/>
        <v>Comment is required</v>
      </c>
      <c r="Q77" t="str">
        <f t="shared" si="19"/>
        <v>Blank</v>
      </c>
      <c r="R77" t="str">
        <f t="shared" si="20"/>
        <v>No Override</v>
      </c>
      <c r="S77">
        <f t="shared" si="21"/>
        <v>1</v>
      </c>
      <c r="T77" t="str">
        <f t="shared" si="24"/>
        <v/>
      </c>
    </row>
    <row r="78" spans="1:20" x14ac:dyDescent="0.3">
      <c r="A78" s="181">
        <v>1</v>
      </c>
      <c r="C78">
        <f t="shared" si="13"/>
        <v>1</v>
      </c>
      <c r="D78" t="s">
        <v>777</v>
      </c>
      <c r="E78" s="51" t="s">
        <v>574</v>
      </c>
      <c r="F78" s="57" t="s">
        <v>577</v>
      </c>
      <c r="G78" s="135" t="s">
        <v>578</v>
      </c>
      <c r="H78" s="134" t="str">
        <f>'8. Incident Response'!$I10</f>
        <v>Comment is required</v>
      </c>
      <c r="I78">
        <f>'8. Incident Response'!$H10</f>
        <v>0</v>
      </c>
      <c r="J78" t="str">
        <f t="shared" si="23"/>
        <v>Blank</v>
      </c>
      <c r="K78" s="123" t="s">
        <v>75</v>
      </c>
      <c r="L78" t="str">
        <f t="shared" si="15"/>
        <v>Blank</v>
      </c>
      <c r="N78" t="str">
        <f t="shared" si="16"/>
        <v/>
      </c>
      <c r="O78" t="str">
        <f t="shared" si="17"/>
        <v/>
      </c>
      <c r="P78" t="str">
        <f t="shared" si="18"/>
        <v>Comment is required</v>
      </c>
      <c r="Q78" t="str">
        <f t="shared" si="19"/>
        <v>Blank</v>
      </c>
      <c r="R78" t="str">
        <f t="shared" si="20"/>
        <v>No Override</v>
      </c>
      <c r="S78">
        <f t="shared" si="21"/>
        <v>1</v>
      </c>
      <c r="T78" t="str">
        <f t="shared" si="24"/>
        <v/>
      </c>
    </row>
    <row r="79" spans="1:20" x14ac:dyDescent="0.3">
      <c r="A79" s="181">
        <v>3</v>
      </c>
      <c r="C79">
        <f t="shared" si="13"/>
        <v>3</v>
      </c>
      <c r="D79" t="s">
        <v>777</v>
      </c>
      <c r="E79" s="51" t="s">
        <v>579</v>
      </c>
      <c r="F79" s="57" t="s">
        <v>582</v>
      </c>
      <c r="G79" s="135" t="s">
        <v>583</v>
      </c>
      <c r="H79" s="134" t="str">
        <f>'8. Incident Response'!$I11</f>
        <v>Comment is required</v>
      </c>
      <c r="I79">
        <f>'8. Incident Response'!$H11</f>
        <v>0</v>
      </c>
      <c r="J79" t="str">
        <f>IF($I79="Yes","Adequate",IF($I79="No","Adequate",IF($I79="Partial","Inadequate",IF($I79="N/A","Inadequate",IF(OR($I79="",$I79=0),"Blank","Error")))))</f>
        <v>Blank</v>
      </c>
      <c r="K79" s="123" t="s">
        <v>75</v>
      </c>
      <c r="L79" t="str">
        <f t="shared" ref="L79:L91" si="25">IF($K79="No Override",$J79,$K79)</f>
        <v>Blank</v>
      </c>
      <c r="N79" t="str">
        <f t="shared" si="16"/>
        <v/>
      </c>
      <c r="O79" t="str">
        <f t="shared" si="17"/>
        <v/>
      </c>
      <c r="P79" t="str">
        <f t="shared" si="18"/>
        <v>Comment is required</v>
      </c>
      <c r="Q79" t="str">
        <f t="shared" si="19"/>
        <v>Blank</v>
      </c>
      <c r="R79" t="str">
        <f t="shared" si="20"/>
        <v>No Override</v>
      </c>
      <c r="S79">
        <f t="shared" si="21"/>
        <v>3</v>
      </c>
      <c r="T79" t="str">
        <f t="shared" si="24"/>
        <v/>
      </c>
    </row>
    <row r="80" spans="1:20" x14ac:dyDescent="0.3">
      <c r="A80" s="181">
        <v>1</v>
      </c>
      <c r="C80">
        <f t="shared" ref="C80:C91" si="26">IF($B80="",$A80,$B80)</f>
        <v>1</v>
      </c>
      <c r="D80" t="s">
        <v>777</v>
      </c>
      <c r="E80" s="51" t="s">
        <v>584</v>
      </c>
      <c r="F80" s="57" t="s">
        <v>342</v>
      </c>
      <c r="G80" s="135" t="s">
        <v>585</v>
      </c>
      <c r="H80" s="134" t="str">
        <f>'8. Incident Response'!$I12</f>
        <v>Comment is required</v>
      </c>
      <c r="I80">
        <f>'8. Incident Response'!$H12</f>
        <v>0</v>
      </c>
      <c r="J80" t="str">
        <f>IF($I80="Yes","Adequate",IF($I80="No","Inadequate",IF($I80="Partial","Inadequate",IF($I80="N/A","Inadequate",IF(OR($I80="",$I80=0),"Blank","Error")))))</f>
        <v>Blank</v>
      </c>
      <c r="K80" s="123" t="s">
        <v>75</v>
      </c>
      <c r="L80" t="str">
        <f t="shared" si="25"/>
        <v>Blank</v>
      </c>
      <c r="N80" t="str">
        <f t="shared" ref="N80:N91" si="27">IF($J80=$L80,"","***")</f>
        <v/>
      </c>
      <c r="O80" t="str">
        <f t="shared" ref="O80:O91" si="28">IF(OR($I80="",$I80=0),"",$I80)</f>
        <v/>
      </c>
      <c r="P80" t="str">
        <f t="shared" ref="P80:P91" si="29">IF(OR($H80="",$H80=0),"",$H80)</f>
        <v>Comment is required</v>
      </c>
      <c r="Q80" t="str">
        <f t="shared" ref="Q80:Q91" si="30">$L80</f>
        <v>Blank</v>
      </c>
      <c r="R80" t="str">
        <f t="shared" ref="R80:R91" si="31">$K80</f>
        <v>No Override</v>
      </c>
      <c r="S80">
        <f t="shared" ref="S80:S91" si="32">$C80</f>
        <v>1</v>
      </c>
      <c r="T80" t="str">
        <f t="shared" si="24"/>
        <v/>
      </c>
    </row>
    <row r="81" spans="1:20" x14ac:dyDescent="0.3">
      <c r="A81" s="181">
        <v>3</v>
      </c>
      <c r="C81">
        <f t="shared" si="26"/>
        <v>3</v>
      </c>
      <c r="D81" t="s">
        <v>777</v>
      </c>
      <c r="E81" s="51" t="s">
        <v>586</v>
      </c>
      <c r="F81" s="57" t="s">
        <v>588</v>
      </c>
      <c r="G81" s="135" t="s">
        <v>589</v>
      </c>
      <c r="H81" s="134" t="str">
        <f>'8. Incident Response'!$I13</f>
        <v>Comment is required</v>
      </c>
      <c r="I81">
        <f>'8. Incident Response'!$H13</f>
        <v>0</v>
      </c>
      <c r="J81" t="str">
        <f t="shared" ref="J81:J91" si="33">IF($I81="Yes","Adequate",IF($I81="No","Inadequate",IF($I81="Partial","Inadequate",IF($I81="N/A","Inadequate",IF(OR($I81="",$I81=0),"Blank","Error")))))</f>
        <v>Blank</v>
      </c>
      <c r="K81" s="123" t="s">
        <v>75</v>
      </c>
      <c r="L81" t="str">
        <f t="shared" si="25"/>
        <v>Blank</v>
      </c>
      <c r="N81" t="str">
        <f t="shared" si="27"/>
        <v/>
      </c>
      <c r="O81" t="str">
        <f t="shared" si="28"/>
        <v/>
      </c>
      <c r="P81" t="str">
        <f t="shared" si="29"/>
        <v>Comment is required</v>
      </c>
      <c r="Q81" t="str">
        <f t="shared" si="30"/>
        <v>Blank</v>
      </c>
      <c r="R81" t="str">
        <f t="shared" si="31"/>
        <v>No Override</v>
      </c>
      <c r="S81">
        <f t="shared" si="32"/>
        <v>3</v>
      </c>
      <c r="T81" t="str">
        <f t="shared" si="24"/>
        <v/>
      </c>
    </row>
    <row r="82" spans="1:20" x14ac:dyDescent="0.3">
      <c r="A82" s="181">
        <v>4</v>
      </c>
      <c r="C82">
        <f t="shared" si="26"/>
        <v>4</v>
      </c>
      <c r="D82" t="s">
        <v>590</v>
      </c>
      <c r="E82" s="51" t="s">
        <v>591</v>
      </c>
      <c r="F82" s="57" t="s">
        <v>594</v>
      </c>
      <c r="G82" s="131" t="s">
        <v>595</v>
      </c>
      <c r="H82" s="131" t="str">
        <f>'9. Maintenance'!$I3</f>
        <v>Comment is required</v>
      </c>
      <c r="I82">
        <f>'9. Maintenance'!$H3</f>
        <v>0</v>
      </c>
      <c r="J82" t="str">
        <f t="shared" si="33"/>
        <v>Blank</v>
      </c>
      <c r="K82" s="123" t="s">
        <v>75</v>
      </c>
      <c r="L82" t="str">
        <f t="shared" si="25"/>
        <v>Blank</v>
      </c>
      <c r="N82" t="str">
        <f t="shared" si="27"/>
        <v/>
      </c>
      <c r="O82" t="str">
        <f t="shared" si="28"/>
        <v/>
      </c>
      <c r="P82" t="str">
        <f t="shared" si="29"/>
        <v>Comment is required</v>
      </c>
      <c r="Q82" t="str">
        <f t="shared" si="30"/>
        <v>Blank</v>
      </c>
      <c r="R82" t="str">
        <f t="shared" si="31"/>
        <v>No Override</v>
      </c>
      <c r="S82">
        <f t="shared" si="32"/>
        <v>4</v>
      </c>
      <c r="T82" t="str">
        <f t="shared" si="24"/>
        <v/>
      </c>
    </row>
    <row r="83" spans="1:20" ht="34.200000000000003" x14ac:dyDescent="0.3">
      <c r="A83" s="181">
        <v>4</v>
      </c>
      <c r="C83">
        <f t="shared" si="26"/>
        <v>4</v>
      </c>
      <c r="D83" t="s">
        <v>590</v>
      </c>
      <c r="E83" s="54" t="s">
        <v>596</v>
      </c>
      <c r="F83" s="60" t="s">
        <v>597</v>
      </c>
      <c r="G83" s="135" t="s">
        <v>598</v>
      </c>
      <c r="H83" s="131" t="str">
        <f>'9. Maintenance'!$I4</f>
        <v>Comment is required</v>
      </c>
      <c r="I83">
        <f>'9. Maintenance'!$H4</f>
        <v>0</v>
      </c>
      <c r="J83" t="str">
        <f t="shared" si="33"/>
        <v>Blank</v>
      </c>
      <c r="K83" s="123" t="s">
        <v>75</v>
      </c>
      <c r="L83" t="str">
        <f t="shared" si="25"/>
        <v>Blank</v>
      </c>
      <c r="N83" t="str">
        <f t="shared" si="27"/>
        <v/>
      </c>
      <c r="O83" t="str">
        <f t="shared" si="28"/>
        <v/>
      </c>
      <c r="P83" t="str">
        <f t="shared" si="29"/>
        <v>Comment is required</v>
      </c>
      <c r="Q83" t="str">
        <f t="shared" si="30"/>
        <v>Blank</v>
      </c>
      <c r="R83" t="str">
        <f t="shared" si="31"/>
        <v>No Override</v>
      </c>
      <c r="S83">
        <f t="shared" si="32"/>
        <v>4</v>
      </c>
      <c r="T83" t="str">
        <f t="shared" si="24"/>
        <v/>
      </c>
    </row>
    <row r="84" spans="1:20" x14ac:dyDescent="0.3">
      <c r="A84" s="181">
        <v>4</v>
      </c>
      <c r="C84">
        <f t="shared" si="26"/>
        <v>4</v>
      </c>
      <c r="D84" t="s">
        <v>590</v>
      </c>
      <c r="E84" s="51" t="s">
        <v>599</v>
      </c>
      <c r="F84" s="57" t="s">
        <v>601</v>
      </c>
      <c r="G84" s="135" t="s">
        <v>602</v>
      </c>
      <c r="H84" s="131" t="str">
        <f>'9. Maintenance'!$I5</f>
        <v>Comment is required</v>
      </c>
      <c r="I84">
        <f>'9. Maintenance'!$H5</f>
        <v>0</v>
      </c>
      <c r="J84" t="str">
        <f t="shared" si="33"/>
        <v>Blank</v>
      </c>
      <c r="K84" s="123" t="s">
        <v>75</v>
      </c>
      <c r="L84" t="str">
        <f t="shared" si="25"/>
        <v>Blank</v>
      </c>
      <c r="N84" t="str">
        <f t="shared" si="27"/>
        <v/>
      </c>
      <c r="O84" t="str">
        <f t="shared" si="28"/>
        <v/>
      </c>
      <c r="P84" t="str">
        <f t="shared" si="29"/>
        <v>Comment is required</v>
      </c>
      <c r="Q84" t="str">
        <f t="shared" si="30"/>
        <v>Blank</v>
      </c>
      <c r="R84" t="str">
        <f t="shared" si="31"/>
        <v>No Override</v>
      </c>
      <c r="S84">
        <f t="shared" si="32"/>
        <v>4</v>
      </c>
      <c r="T84" t="str">
        <f t="shared" si="24"/>
        <v/>
      </c>
    </row>
    <row r="85" spans="1:20" ht="22.8" x14ac:dyDescent="0.3">
      <c r="A85" s="181">
        <v>4</v>
      </c>
      <c r="C85">
        <f t="shared" si="26"/>
        <v>4</v>
      </c>
      <c r="D85" t="s">
        <v>590</v>
      </c>
      <c r="E85" s="51" t="s">
        <v>603</v>
      </c>
      <c r="F85" s="57" t="s">
        <v>604</v>
      </c>
      <c r="G85" s="135" t="s">
        <v>605</v>
      </c>
      <c r="H85" s="131" t="str">
        <f>'9. Maintenance'!$I6</f>
        <v>Comment is required</v>
      </c>
      <c r="I85">
        <f>'9. Maintenance'!$H6</f>
        <v>0</v>
      </c>
      <c r="J85" s="45" t="str">
        <f>IF(AND($I85="Yes",$I86="Yes",$I87="Yes",$I88="Yes",$I89="Yes"),"Adequate",IF(AND($I85="Yes",OR(NOT($I86="Yes"),NOT($I87="Yes"),NOT($I88="Yes"),NOT($I89="Yes"))),"Inadequate",IF($I85="No","N/A",IF($I85="Partial","Inadequate",IF($I85="N/A","N/A",IF(OR($I85="",$I85=0),"Blank","Error"))))))</f>
        <v>Blank</v>
      </c>
      <c r="K85" s="123" t="s">
        <v>75</v>
      </c>
      <c r="L85" t="str">
        <f t="shared" si="25"/>
        <v>Blank</v>
      </c>
      <c r="N85" t="str">
        <f t="shared" si="27"/>
        <v/>
      </c>
      <c r="O85" t="str">
        <f t="shared" si="28"/>
        <v/>
      </c>
      <c r="P85" t="str">
        <f t="shared" si="29"/>
        <v>Comment is required</v>
      </c>
      <c r="Q85" t="str">
        <f t="shared" si="30"/>
        <v>Blank</v>
      </c>
      <c r="R85" t="str">
        <f t="shared" si="31"/>
        <v>No Override</v>
      </c>
      <c r="S85">
        <f t="shared" si="32"/>
        <v>4</v>
      </c>
      <c r="T85" t="str">
        <f t="shared" si="24"/>
        <v/>
      </c>
    </row>
    <row r="86" spans="1:20" x14ac:dyDescent="0.3">
      <c r="A86" s="181">
        <v>1</v>
      </c>
      <c r="C86">
        <f t="shared" si="26"/>
        <v>1</v>
      </c>
      <c r="D86" t="s">
        <v>590</v>
      </c>
      <c r="E86" s="51" t="s">
        <v>606</v>
      </c>
      <c r="F86" s="57" t="s">
        <v>604</v>
      </c>
      <c r="G86" s="135" t="s">
        <v>607</v>
      </c>
      <c r="H86" s="131" t="str">
        <f>'9. Maintenance'!$I7</f>
        <v>Comment is required</v>
      </c>
      <c r="I86">
        <f>'9. Maintenance'!$H7</f>
        <v>0</v>
      </c>
      <c r="J86" s="53" t="str">
        <f>IF(OR($I85="N/A",$I85="No"),"N/A",IF($I86="Yes","Adequate",IF($I86="No","Inadequate",IF($I86="Partial","Inadequate",IF(AND($I86="N/A",NOT($I85="No"),NOT($I85="N/A")),"Inadequate",IF(OR($I86="",$I86=0),"Blank","Error"))))))</f>
        <v>Blank</v>
      </c>
      <c r="K86" s="123" t="s">
        <v>75</v>
      </c>
      <c r="L86" t="str">
        <f t="shared" si="25"/>
        <v>Blank</v>
      </c>
      <c r="N86" t="str">
        <f t="shared" si="27"/>
        <v/>
      </c>
      <c r="O86" t="str">
        <f t="shared" si="28"/>
        <v/>
      </c>
      <c r="P86" t="str">
        <f t="shared" si="29"/>
        <v>Comment is required</v>
      </c>
      <c r="Q86" t="str">
        <f t="shared" si="30"/>
        <v>Blank</v>
      </c>
      <c r="R86" t="str">
        <f t="shared" si="31"/>
        <v>No Override</v>
      </c>
      <c r="S86">
        <f t="shared" si="32"/>
        <v>1</v>
      </c>
      <c r="T86" t="str">
        <f t="shared" si="24"/>
        <v/>
      </c>
    </row>
    <row r="87" spans="1:20" x14ac:dyDescent="0.3">
      <c r="A87" s="181">
        <v>1</v>
      </c>
      <c r="C87">
        <f t="shared" si="26"/>
        <v>1</v>
      </c>
      <c r="D87" t="s">
        <v>590</v>
      </c>
      <c r="E87" s="51" t="s">
        <v>608</v>
      </c>
      <c r="F87" s="57" t="s">
        <v>604</v>
      </c>
      <c r="G87" s="135" t="s">
        <v>609</v>
      </c>
      <c r="H87" s="131" t="str">
        <f>'9. Maintenance'!$I8</f>
        <v>Comment is required</v>
      </c>
      <c r="I87">
        <f>'9. Maintenance'!$H8</f>
        <v>0</v>
      </c>
      <c r="J87" s="53" t="str">
        <f>IF(OR($I85="N/A",$I85="No"),"N/A",IF($I87="Yes","Adequate",IF($I87="No","Inadequate",IF($I87="Partial","Inadequate",IF(AND($I87="N/A",NOT($I85="No"),NOT($I85="N/A")),"Inadequate",IF(OR($I87="",$I87=0),"Blank","Error"))))))</f>
        <v>Blank</v>
      </c>
      <c r="K87" s="123" t="s">
        <v>75</v>
      </c>
      <c r="L87" t="str">
        <f t="shared" si="25"/>
        <v>Blank</v>
      </c>
      <c r="N87" t="str">
        <f t="shared" si="27"/>
        <v/>
      </c>
      <c r="O87" t="str">
        <f t="shared" si="28"/>
        <v/>
      </c>
      <c r="P87" t="str">
        <f t="shared" si="29"/>
        <v>Comment is required</v>
      </c>
      <c r="Q87" t="str">
        <f t="shared" si="30"/>
        <v>Blank</v>
      </c>
      <c r="R87" t="str">
        <f t="shared" si="31"/>
        <v>No Override</v>
      </c>
      <c r="S87">
        <f t="shared" si="32"/>
        <v>1</v>
      </c>
      <c r="T87" t="str">
        <f t="shared" si="24"/>
        <v/>
      </c>
    </row>
    <row r="88" spans="1:20" x14ac:dyDescent="0.3">
      <c r="A88" s="181">
        <v>1</v>
      </c>
      <c r="C88">
        <f t="shared" si="26"/>
        <v>1</v>
      </c>
      <c r="D88" t="s">
        <v>590</v>
      </c>
      <c r="E88" s="51" t="s">
        <v>610</v>
      </c>
      <c r="F88" s="57" t="s">
        <v>604</v>
      </c>
      <c r="G88" s="135" t="s">
        <v>611</v>
      </c>
      <c r="H88" s="131" t="str">
        <f>'9. Maintenance'!$I9</f>
        <v>Comment is required</v>
      </c>
      <c r="I88">
        <f>'9. Maintenance'!$H9</f>
        <v>0</v>
      </c>
      <c r="J88" s="53" t="str">
        <f>IF(OR($I85="N/A",$I85="No"),"N/A",IF($I88="Yes","Adequate",IF($I88="No","Inadequate",IF($I88="Partial","Inadequate",IF(AND($I88="N/A",NOT($I85="No"),NOT($I85="N/A")),"Inadequate",IF(OR($I88="",$I88=0),"Blank","Error"))))))</f>
        <v>Blank</v>
      </c>
      <c r="K88" s="123" t="s">
        <v>75</v>
      </c>
      <c r="L88" t="str">
        <f t="shared" si="25"/>
        <v>Blank</v>
      </c>
      <c r="N88" t="str">
        <f t="shared" si="27"/>
        <v/>
      </c>
      <c r="O88" t="str">
        <f t="shared" si="28"/>
        <v/>
      </c>
      <c r="P88" t="str">
        <f t="shared" si="29"/>
        <v>Comment is required</v>
      </c>
      <c r="Q88" t="str">
        <f t="shared" si="30"/>
        <v>Blank</v>
      </c>
      <c r="R88" t="str">
        <f t="shared" si="31"/>
        <v>No Override</v>
      </c>
      <c r="S88">
        <f t="shared" si="32"/>
        <v>1</v>
      </c>
      <c r="T88" t="str">
        <f t="shared" si="24"/>
        <v/>
      </c>
    </row>
    <row r="89" spans="1:20" x14ac:dyDescent="0.3">
      <c r="A89" s="181">
        <v>1</v>
      </c>
      <c r="C89">
        <f t="shared" si="26"/>
        <v>1</v>
      </c>
      <c r="D89" t="s">
        <v>590</v>
      </c>
      <c r="E89" s="51" t="s">
        <v>612</v>
      </c>
      <c r="F89" s="57" t="s">
        <v>604</v>
      </c>
      <c r="G89" s="135" t="s">
        <v>613</v>
      </c>
      <c r="H89" s="131" t="str">
        <f>'9. Maintenance'!$I10</f>
        <v>Comment is required</v>
      </c>
      <c r="I89">
        <f>'9. Maintenance'!$H10</f>
        <v>0</v>
      </c>
      <c r="J89" s="53" t="str">
        <f>IF(OR($I85="N/A",$I85="No"),"N/A",IF($I89="Yes","Adequate",IF($I89="No","Inadequate",IF($I89="Partial","Inadequate",IF(AND($I89="N/A",NOT($I85="No"),NOT($I85="N/A")),"Inadequate",IF(OR($I89="",$I89=0),"Blank","Error"))))))</f>
        <v>Blank</v>
      </c>
      <c r="K89" s="123" t="s">
        <v>75</v>
      </c>
      <c r="L89" t="str">
        <f t="shared" si="25"/>
        <v>Blank</v>
      </c>
      <c r="N89" t="str">
        <f t="shared" si="27"/>
        <v/>
      </c>
      <c r="O89" t="str">
        <f t="shared" si="28"/>
        <v/>
      </c>
      <c r="P89" t="str">
        <f t="shared" si="29"/>
        <v>Comment is required</v>
      </c>
      <c r="Q89" t="str">
        <f t="shared" si="30"/>
        <v>Blank</v>
      </c>
      <c r="R89" t="str">
        <f t="shared" si="31"/>
        <v>No Override</v>
      </c>
      <c r="S89">
        <f t="shared" si="32"/>
        <v>1</v>
      </c>
      <c r="T89" t="str">
        <f t="shared" si="24"/>
        <v/>
      </c>
    </row>
    <row r="90" spans="1:20" x14ac:dyDescent="0.3">
      <c r="A90" s="181">
        <v>4</v>
      </c>
      <c r="C90">
        <f t="shared" si="26"/>
        <v>4</v>
      </c>
      <c r="D90" t="s">
        <v>590</v>
      </c>
      <c r="E90" s="54" t="s">
        <v>614</v>
      </c>
      <c r="F90" s="60" t="s">
        <v>617</v>
      </c>
      <c r="G90" s="135" t="s">
        <v>618</v>
      </c>
      <c r="H90" s="131" t="str">
        <f>'9. Maintenance'!$I11</f>
        <v>Comment is required</v>
      </c>
      <c r="I90">
        <f>'9. Maintenance'!$H11</f>
        <v>0</v>
      </c>
      <c r="J90" t="str">
        <f t="shared" si="33"/>
        <v>Blank</v>
      </c>
      <c r="K90" s="123" t="s">
        <v>75</v>
      </c>
      <c r="L90" t="str">
        <f t="shared" si="25"/>
        <v>Blank</v>
      </c>
      <c r="N90" t="str">
        <f t="shared" si="27"/>
        <v/>
      </c>
      <c r="O90" t="str">
        <f t="shared" si="28"/>
        <v/>
      </c>
      <c r="P90" t="str">
        <f t="shared" si="29"/>
        <v>Comment is required</v>
      </c>
      <c r="Q90" t="str">
        <f t="shared" si="30"/>
        <v>Blank</v>
      </c>
      <c r="R90" t="str">
        <f t="shared" si="31"/>
        <v>No Override</v>
      </c>
      <c r="S90">
        <f t="shared" si="32"/>
        <v>4</v>
      </c>
      <c r="T90" t="str">
        <f t="shared" si="24"/>
        <v/>
      </c>
    </row>
    <row r="91" spans="1:20" ht="22.8" x14ac:dyDescent="0.3">
      <c r="A91" s="181">
        <v>4</v>
      </c>
      <c r="C91">
        <f t="shared" si="26"/>
        <v>4</v>
      </c>
      <c r="D91" t="s">
        <v>590</v>
      </c>
      <c r="E91" s="54" t="s">
        <v>619</v>
      </c>
      <c r="F91" s="60" t="s">
        <v>617</v>
      </c>
      <c r="G91" s="135" t="s">
        <v>620</v>
      </c>
      <c r="H91" s="131" t="str">
        <f>'9. Maintenance'!$I12</f>
        <v>Comment is required</v>
      </c>
      <c r="I91">
        <f>'9. Maintenance'!$H12</f>
        <v>0</v>
      </c>
      <c r="J91" t="str">
        <f t="shared" si="33"/>
        <v>Blank</v>
      </c>
      <c r="K91" s="123" t="s">
        <v>75</v>
      </c>
      <c r="L91" t="str">
        <f t="shared" si="25"/>
        <v>Blank</v>
      </c>
      <c r="N91" t="str">
        <f t="shared" si="27"/>
        <v/>
      </c>
      <c r="O91" t="str">
        <f t="shared" si="28"/>
        <v/>
      </c>
      <c r="P91" t="str">
        <f t="shared" si="29"/>
        <v>Comment is required</v>
      </c>
      <c r="Q91" t="str">
        <f t="shared" si="30"/>
        <v>Blank</v>
      </c>
      <c r="R91" t="str">
        <f t="shared" si="31"/>
        <v>No Override</v>
      </c>
      <c r="S91">
        <f t="shared" si="32"/>
        <v>4</v>
      </c>
      <c r="T91" t="str">
        <f t="shared" si="24"/>
        <v/>
      </c>
    </row>
    <row r="92" spans="1:20" x14ac:dyDescent="0.3">
      <c r="A92" s="181">
        <v>4</v>
      </c>
      <c r="C92">
        <f t="shared" ref="C92:C128" si="34">IF($B92="",$A92,$B92)</f>
        <v>4</v>
      </c>
      <c r="D92" t="s">
        <v>621</v>
      </c>
      <c r="E92" s="51" t="s">
        <v>622</v>
      </c>
      <c r="F92" s="57" t="s">
        <v>625</v>
      </c>
      <c r="G92" s="131" t="s">
        <v>626</v>
      </c>
      <c r="H92" s="131">
        <f>'13. Personnel Security'!$G3</f>
        <v>0</v>
      </c>
      <c r="I92">
        <f>'13. Personnel Security'!$H3</f>
        <v>0</v>
      </c>
      <c r="J92" t="str">
        <f t="shared" ref="J92:J128" si="35">IF($I92="Yes","Adequate",IF($I92="No","Inadequate",IF($I92="Partial","Inadequate",IF($I92="N/A","Inadequate",IF(OR($I92="",$I92=0),"Blank","Error")))))</f>
        <v>Blank</v>
      </c>
      <c r="K92" s="123" t="s">
        <v>75</v>
      </c>
      <c r="L92" t="str">
        <f t="shared" ref="L92:L128" si="36">IF($K92="No Override",$J92,$K92)</f>
        <v>Blank</v>
      </c>
      <c r="N92" t="str">
        <f t="shared" ref="N92:N128" si="37">IF($J92=$L92,"","***")</f>
        <v/>
      </c>
      <c r="O92" t="str">
        <f t="shared" ref="O92:O128" si="38">IF(OR($I92="",$I92=0),"",$I92)</f>
        <v/>
      </c>
      <c r="P92" t="str">
        <f t="shared" ref="P92:P128" si="39">IF(OR($H92="",$H92=0),"",$H92)</f>
        <v/>
      </c>
      <c r="Q92" t="str">
        <f t="shared" ref="Q92:Q128" si="40">$L92</f>
        <v>Blank</v>
      </c>
      <c r="R92" t="str">
        <f t="shared" ref="R92:R128" si="41">$K92</f>
        <v>No Override</v>
      </c>
      <c r="S92">
        <f t="shared" ref="S92:S128" si="42">$C92</f>
        <v>4</v>
      </c>
      <c r="T92" t="str">
        <f t="shared" ref="T92:T123" si="43">IF($L92=$Q92,"","***")</f>
        <v/>
      </c>
    </row>
    <row r="93" spans="1:20" x14ac:dyDescent="0.3">
      <c r="A93" s="181">
        <v>4</v>
      </c>
      <c r="C93">
        <f t="shared" si="34"/>
        <v>4</v>
      </c>
      <c r="D93" t="s">
        <v>621</v>
      </c>
      <c r="E93" s="51" t="s">
        <v>627</v>
      </c>
      <c r="F93" s="57" t="s">
        <v>629</v>
      </c>
      <c r="G93" s="135" t="s">
        <v>630</v>
      </c>
      <c r="H93" s="131">
        <f>'13. Personnel Security'!$G4</f>
        <v>0</v>
      </c>
      <c r="I93">
        <f>'13. Personnel Security'!$H4</f>
        <v>0</v>
      </c>
      <c r="J93" t="str">
        <f t="shared" si="35"/>
        <v>Blank</v>
      </c>
      <c r="K93" s="123" t="s">
        <v>75</v>
      </c>
      <c r="L93" t="str">
        <f t="shared" si="36"/>
        <v>Blank</v>
      </c>
      <c r="N93" t="str">
        <f t="shared" si="37"/>
        <v/>
      </c>
      <c r="O93" t="str">
        <f t="shared" si="38"/>
        <v/>
      </c>
      <c r="P93" t="str">
        <f t="shared" si="39"/>
        <v/>
      </c>
      <c r="Q93" t="str">
        <f t="shared" si="40"/>
        <v>Blank</v>
      </c>
      <c r="R93" t="str">
        <f t="shared" si="41"/>
        <v>No Override</v>
      </c>
      <c r="S93">
        <f t="shared" si="42"/>
        <v>4</v>
      </c>
      <c r="T93" t="str">
        <f t="shared" si="43"/>
        <v/>
      </c>
    </row>
    <row r="94" spans="1:20" ht="22.8" x14ac:dyDescent="0.3">
      <c r="A94" s="181">
        <v>4</v>
      </c>
      <c r="C94">
        <f t="shared" si="34"/>
        <v>4</v>
      </c>
      <c r="D94" t="s">
        <v>621</v>
      </c>
      <c r="E94" s="51" t="s">
        <v>631</v>
      </c>
      <c r="F94" s="57" t="s">
        <v>629</v>
      </c>
      <c r="G94" s="135" t="s">
        <v>632</v>
      </c>
      <c r="H94" s="131" t="str">
        <f>'13. Personnel Security'!$G5</f>
        <v>All employees are screened during job interviews</v>
      </c>
      <c r="I94">
        <f>'13. Personnel Security'!$H5</f>
        <v>0</v>
      </c>
      <c r="J94" t="str">
        <f t="shared" si="35"/>
        <v>Blank</v>
      </c>
      <c r="K94" s="123" t="s">
        <v>75</v>
      </c>
      <c r="L94" t="str">
        <f t="shared" si="36"/>
        <v>Blank</v>
      </c>
      <c r="N94" t="str">
        <f t="shared" si="37"/>
        <v/>
      </c>
      <c r="O94" t="str">
        <f t="shared" si="38"/>
        <v/>
      </c>
      <c r="P94" t="str">
        <f t="shared" si="39"/>
        <v>All employees are screened during job interviews</v>
      </c>
      <c r="Q94" t="str">
        <f t="shared" si="40"/>
        <v>Blank</v>
      </c>
      <c r="R94" t="str">
        <f t="shared" si="41"/>
        <v>No Override</v>
      </c>
      <c r="S94">
        <f t="shared" si="42"/>
        <v>4</v>
      </c>
      <c r="T94" t="str">
        <f t="shared" si="43"/>
        <v/>
      </c>
    </row>
    <row r="95" spans="1:20" x14ac:dyDescent="0.3">
      <c r="A95" s="181">
        <v>4</v>
      </c>
      <c r="C95">
        <f t="shared" si="34"/>
        <v>4</v>
      </c>
      <c r="D95" t="s">
        <v>621</v>
      </c>
      <c r="E95" s="51" t="s">
        <v>633</v>
      </c>
      <c r="F95" s="57" t="s">
        <v>629</v>
      </c>
      <c r="G95" s="135" t="s">
        <v>634</v>
      </c>
      <c r="H95" s="131">
        <f>'13. Personnel Security'!$G6</f>
        <v>0</v>
      </c>
      <c r="I95">
        <f>'13. Personnel Security'!$H6</f>
        <v>0</v>
      </c>
      <c r="J95" t="str">
        <f t="shared" si="35"/>
        <v>Blank</v>
      </c>
      <c r="K95" s="123" t="s">
        <v>75</v>
      </c>
      <c r="L95" t="str">
        <f t="shared" si="36"/>
        <v>Blank</v>
      </c>
      <c r="N95" t="str">
        <f t="shared" si="37"/>
        <v/>
      </c>
      <c r="O95" t="str">
        <f t="shared" si="38"/>
        <v/>
      </c>
      <c r="P95" t="str">
        <f t="shared" si="39"/>
        <v/>
      </c>
      <c r="Q95" t="str">
        <f t="shared" si="40"/>
        <v>Blank</v>
      </c>
      <c r="R95" t="str">
        <f t="shared" si="41"/>
        <v>No Override</v>
      </c>
      <c r="S95">
        <f t="shared" si="42"/>
        <v>4</v>
      </c>
      <c r="T95" t="str">
        <f t="shared" si="43"/>
        <v/>
      </c>
    </row>
    <row r="96" spans="1:20" ht="22.8" x14ac:dyDescent="0.3">
      <c r="A96" s="181">
        <v>4</v>
      </c>
      <c r="C96">
        <f t="shared" si="34"/>
        <v>4</v>
      </c>
      <c r="D96" t="s">
        <v>621</v>
      </c>
      <c r="E96" s="51" t="s">
        <v>635</v>
      </c>
      <c r="F96" s="57" t="s">
        <v>636</v>
      </c>
      <c r="G96" s="135" t="s">
        <v>637</v>
      </c>
      <c r="H96" s="131" t="str">
        <f>'13. Personnel Security'!$G7</f>
        <v>All employees are screened during job interviews</v>
      </c>
      <c r="I96">
        <f>'13. Personnel Security'!$H7</f>
        <v>0</v>
      </c>
      <c r="J96" t="str">
        <f t="shared" si="35"/>
        <v>Blank</v>
      </c>
      <c r="K96" s="123" t="s">
        <v>75</v>
      </c>
      <c r="L96" t="str">
        <f t="shared" si="36"/>
        <v>Blank</v>
      </c>
      <c r="N96" t="str">
        <f t="shared" si="37"/>
        <v/>
      </c>
      <c r="O96" t="str">
        <f t="shared" si="38"/>
        <v/>
      </c>
      <c r="P96" t="str">
        <f t="shared" si="39"/>
        <v>All employees are screened during job interviews</v>
      </c>
      <c r="Q96" t="str">
        <f t="shared" si="40"/>
        <v>Blank</v>
      </c>
      <c r="R96" t="str">
        <f t="shared" si="41"/>
        <v>No Override</v>
      </c>
      <c r="S96">
        <f t="shared" si="42"/>
        <v>4</v>
      </c>
      <c r="T96" t="str">
        <f t="shared" si="43"/>
        <v/>
      </c>
    </row>
    <row r="97" spans="1:20" x14ac:dyDescent="0.3">
      <c r="A97" s="181">
        <v>4</v>
      </c>
      <c r="C97">
        <f t="shared" si="34"/>
        <v>4</v>
      </c>
      <c r="D97" t="s">
        <v>621</v>
      </c>
      <c r="E97" s="51" t="s">
        <v>638</v>
      </c>
      <c r="F97" s="57" t="s">
        <v>636</v>
      </c>
      <c r="G97" s="135" t="s">
        <v>639</v>
      </c>
      <c r="H97" s="131">
        <f>'13. Personnel Security'!$G8</f>
        <v>0</v>
      </c>
      <c r="I97">
        <f>'13. Personnel Security'!$H8</f>
        <v>0</v>
      </c>
      <c r="J97" t="str">
        <f t="shared" si="35"/>
        <v>Blank</v>
      </c>
      <c r="K97" s="123" t="s">
        <v>75</v>
      </c>
      <c r="L97" t="str">
        <f t="shared" si="36"/>
        <v>Blank</v>
      </c>
      <c r="N97" t="str">
        <f t="shared" si="37"/>
        <v/>
      </c>
      <c r="O97" t="str">
        <f t="shared" si="38"/>
        <v/>
      </c>
      <c r="P97" t="str">
        <f t="shared" si="39"/>
        <v/>
      </c>
      <c r="Q97" t="str">
        <f t="shared" si="40"/>
        <v>Blank</v>
      </c>
      <c r="R97" t="str">
        <f t="shared" si="41"/>
        <v>No Override</v>
      </c>
      <c r="S97">
        <f t="shared" si="42"/>
        <v>4</v>
      </c>
      <c r="T97" t="str">
        <f t="shared" si="43"/>
        <v/>
      </c>
    </row>
    <row r="98" spans="1:20" ht="22.8" x14ac:dyDescent="0.3">
      <c r="A98" s="181">
        <v>4</v>
      </c>
      <c r="C98">
        <f t="shared" si="34"/>
        <v>4</v>
      </c>
      <c r="D98" t="s">
        <v>621</v>
      </c>
      <c r="E98" s="51" t="s">
        <v>640</v>
      </c>
      <c r="F98" s="57" t="s">
        <v>643</v>
      </c>
      <c r="G98" s="135" t="s">
        <v>644</v>
      </c>
      <c r="H98" s="131">
        <f>'13. Personnel Security'!$G9</f>
        <v>0</v>
      </c>
      <c r="I98">
        <f>'13. Personnel Security'!$H9</f>
        <v>0</v>
      </c>
      <c r="J98" t="str">
        <f t="shared" si="35"/>
        <v>Blank</v>
      </c>
      <c r="K98" s="123" t="s">
        <v>75</v>
      </c>
      <c r="L98" t="str">
        <f t="shared" si="36"/>
        <v>Blank</v>
      </c>
      <c r="N98" t="str">
        <f t="shared" si="37"/>
        <v/>
      </c>
      <c r="O98" t="str">
        <f t="shared" si="38"/>
        <v/>
      </c>
      <c r="P98" t="str">
        <f t="shared" si="39"/>
        <v/>
      </c>
      <c r="Q98" t="str">
        <f t="shared" si="40"/>
        <v>Blank</v>
      </c>
      <c r="R98" t="str">
        <f t="shared" si="41"/>
        <v>No Override</v>
      </c>
      <c r="S98">
        <f t="shared" si="42"/>
        <v>4</v>
      </c>
      <c r="T98" t="str">
        <f t="shared" si="43"/>
        <v/>
      </c>
    </row>
    <row r="99" spans="1:20" x14ac:dyDescent="0.3">
      <c r="A99" s="181">
        <v>4</v>
      </c>
      <c r="C99">
        <f t="shared" si="34"/>
        <v>4</v>
      </c>
      <c r="D99" t="s">
        <v>621</v>
      </c>
      <c r="E99" s="51" t="s">
        <v>645</v>
      </c>
      <c r="F99" s="57" t="s">
        <v>647</v>
      </c>
      <c r="G99" s="135" t="s">
        <v>648</v>
      </c>
      <c r="H99" s="131">
        <f>'13. Personnel Security'!$G10</f>
        <v>0</v>
      </c>
      <c r="I99">
        <f>'13. Personnel Security'!$H10</f>
        <v>0</v>
      </c>
      <c r="J99" t="str">
        <f t="shared" si="35"/>
        <v>Blank</v>
      </c>
      <c r="K99" s="123" t="s">
        <v>75</v>
      </c>
      <c r="L99" t="str">
        <f t="shared" si="36"/>
        <v>Blank</v>
      </c>
      <c r="N99" t="str">
        <f t="shared" si="37"/>
        <v/>
      </c>
      <c r="O99" t="str">
        <f t="shared" si="38"/>
        <v/>
      </c>
      <c r="P99" t="str">
        <f t="shared" si="39"/>
        <v/>
      </c>
      <c r="Q99" t="str">
        <f t="shared" si="40"/>
        <v>Blank</v>
      </c>
      <c r="R99" t="str">
        <f t="shared" si="41"/>
        <v>No Override</v>
      </c>
      <c r="S99">
        <f t="shared" si="42"/>
        <v>4</v>
      </c>
      <c r="T99" t="str">
        <f t="shared" si="43"/>
        <v/>
      </c>
    </row>
    <row r="100" spans="1:20" ht="182.4" x14ac:dyDescent="0.3">
      <c r="A100" s="181">
        <v>4</v>
      </c>
      <c r="C100">
        <f t="shared" si="34"/>
        <v>4</v>
      </c>
      <c r="D100" t="s">
        <v>621</v>
      </c>
      <c r="E100" s="51" t="s">
        <v>649</v>
      </c>
      <c r="F100" s="57" t="s">
        <v>652</v>
      </c>
      <c r="G100" s="135" t="s">
        <v>653</v>
      </c>
      <c r="H100" s="131" t="str">
        <f>'13. Personnel Security'!$G11</f>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I100">
        <f>'13. Personnel Security'!$H11</f>
        <v>0</v>
      </c>
      <c r="J100" t="str">
        <f t="shared" si="35"/>
        <v>Blank</v>
      </c>
      <c r="K100" s="123" t="s">
        <v>75</v>
      </c>
      <c r="L100" t="str">
        <f t="shared" si="36"/>
        <v>Blank</v>
      </c>
      <c r="N100" t="str">
        <f t="shared" si="37"/>
        <v/>
      </c>
      <c r="O100" t="str">
        <f t="shared" si="38"/>
        <v/>
      </c>
      <c r="P100" t="str">
        <f t="shared" si="39"/>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Q100" t="str">
        <f t="shared" si="40"/>
        <v>Blank</v>
      </c>
      <c r="R100" t="str">
        <f t="shared" si="41"/>
        <v>No Override</v>
      </c>
      <c r="S100">
        <f t="shared" si="42"/>
        <v>4</v>
      </c>
      <c r="T100" t="str">
        <f t="shared" si="43"/>
        <v/>
      </c>
    </row>
    <row r="101" spans="1:20" ht="22.8" x14ac:dyDescent="0.3">
      <c r="A101" s="181">
        <v>4</v>
      </c>
      <c r="C101">
        <f t="shared" si="34"/>
        <v>4</v>
      </c>
      <c r="D101" t="s">
        <v>621</v>
      </c>
      <c r="E101" s="51" t="s">
        <v>654</v>
      </c>
      <c r="F101" s="57" t="s">
        <v>657</v>
      </c>
      <c r="G101" s="135" t="s">
        <v>658</v>
      </c>
      <c r="H101" s="131">
        <f>'13. Personnel Security'!$G12</f>
        <v>0</v>
      </c>
      <c r="I101">
        <f>'13. Personnel Security'!$H12</f>
        <v>0</v>
      </c>
      <c r="J101" t="str">
        <f>IF($I101="Yes","Adequate",IF($I101="No","Inadequate",IF($I101="Partial","Inadequate",IF(AND($I101="N/A",'Vendor Profile Questionnaire'!$B$29="No"),"Adequate",IF(AND($I101="N/A",NOT('Vendor Profile Questionnaire'!$B$29="No")),"Inadequate",IF(OR($I101="",$I101=0),"Blank","Error"))))))</f>
        <v>Blank</v>
      </c>
      <c r="K101" s="123" t="s">
        <v>75</v>
      </c>
      <c r="L101" t="str">
        <f t="shared" si="36"/>
        <v>Blank</v>
      </c>
      <c r="N101" t="str">
        <f t="shared" si="37"/>
        <v/>
      </c>
      <c r="O101" t="str">
        <f t="shared" si="38"/>
        <v/>
      </c>
      <c r="P101" t="str">
        <f t="shared" si="39"/>
        <v/>
      </c>
      <c r="Q101" t="str">
        <f t="shared" si="40"/>
        <v>Blank</v>
      </c>
      <c r="R101" t="str">
        <f t="shared" si="41"/>
        <v>No Override</v>
      </c>
      <c r="S101">
        <f t="shared" si="42"/>
        <v>4</v>
      </c>
      <c r="T101" t="str">
        <f t="shared" si="43"/>
        <v/>
      </c>
    </row>
    <row r="102" spans="1:20" x14ac:dyDescent="0.3">
      <c r="A102" s="181">
        <v>4</v>
      </c>
      <c r="C102">
        <f t="shared" si="34"/>
        <v>4</v>
      </c>
      <c r="D102" t="s">
        <v>621</v>
      </c>
      <c r="E102" s="51" t="s">
        <v>659</v>
      </c>
      <c r="F102" s="57" t="s">
        <v>662</v>
      </c>
      <c r="G102" s="135" t="s">
        <v>663</v>
      </c>
      <c r="H102" s="131">
        <f>'13. Personnel Security'!$G13</f>
        <v>0</v>
      </c>
      <c r="I102">
        <f>'13. Personnel Security'!$H13</f>
        <v>0</v>
      </c>
      <c r="J102" t="str">
        <f t="shared" si="35"/>
        <v>Blank</v>
      </c>
      <c r="K102" s="123" t="s">
        <v>75</v>
      </c>
      <c r="L102" t="str">
        <f t="shared" si="36"/>
        <v>Blank</v>
      </c>
      <c r="N102" t="str">
        <f t="shared" si="37"/>
        <v/>
      </c>
      <c r="O102" t="str">
        <f t="shared" si="38"/>
        <v/>
      </c>
      <c r="P102" t="str">
        <f t="shared" si="39"/>
        <v/>
      </c>
      <c r="Q102" t="str">
        <f t="shared" si="40"/>
        <v>Blank</v>
      </c>
      <c r="R102" t="str">
        <f t="shared" si="41"/>
        <v>No Override</v>
      </c>
      <c r="S102">
        <f t="shared" si="42"/>
        <v>4</v>
      </c>
      <c r="T102" t="str">
        <f t="shared" si="43"/>
        <v/>
      </c>
    </row>
    <row r="103" spans="1:20" x14ac:dyDescent="0.3">
      <c r="A103" s="181">
        <v>4</v>
      </c>
      <c r="C103">
        <f t="shared" si="34"/>
        <v>4</v>
      </c>
      <c r="D103" t="s">
        <v>778</v>
      </c>
      <c r="E103" s="51" t="s">
        <v>665</v>
      </c>
      <c r="F103" s="57" t="s">
        <v>667</v>
      </c>
      <c r="G103" s="131" t="s">
        <v>668</v>
      </c>
      <c r="H103" s="131" t="str">
        <f>'15. System Acquisition'!$I3</f>
        <v>Comment is required</v>
      </c>
      <c r="I103">
        <f>'15. System Acquisition'!$H3</f>
        <v>0</v>
      </c>
      <c r="J103" t="str">
        <f t="shared" si="35"/>
        <v>Blank</v>
      </c>
      <c r="K103" s="123" t="s">
        <v>75</v>
      </c>
      <c r="L103" t="str">
        <f t="shared" si="36"/>
        <v>Blank</v>
      </c>
      <c r="N103" t="str">
        <f t="shared" si="37"/>
        <v/>
      </c>
      <c r="O103" t="str">
        <f t="shared" si="38"/>
        <v/>
      </c>
      <c r="P103" t="str">
        <f t="shared" si="39"/>
        <v>Comment is required</v>
      </c>
      <c r="Q103" t="str">
        <f t="shared" si="40"/>
        <v>Blank</v>
      </c>
      <c r="R103" t="str">
        <f t="shared" si="41"/>
        <v>No Override</v>
      </c>
      <c r="S103">
        <f t="shared" si="42"/>
        <v>4</v>
      </c>
      <c r="T103" t="str">
        <f t="shared" si="43"/>
        <v/>
      </c>
    </row>
    <row r="104" spans="1:20" x14ac:dyDescent="0.3">
      <c r="A104" s="181">
        <v>4</v>
      </c>
      <c r="C104">
        <f t="shared" si="34"/>
        <v>4</v>
      </c>
      <c r="D104" t="s">
        <v>778</v>
      </c>
      <c r="E104" s="51" t="s">
        <v>669</v>
      </c>
      <c r="F104" s="57" t="s">
        <v>671</v>
      </c>
      <c r="G104" s="135" t="s">
        <v>672</v>
      </c>
      <c r="H104" s="131" t="str">
        <f>'15. System Acquisition'!$I4</f>
        <v>Comment is required</v>
      </c>
      <c r="I104">
        <f>'15. System Acquisition'!$H4</f>
        <v>0</v>
      </c>
      <c r="J104" t="str">
        <f t="shared" si="35"/>
        <v>Blank</v>
      </c>
      <c r="K104" s="123" t="s">
        <v>75</v>
      </c>
      <c r="L104" t="str">
        <f t="shared" si="36"/>
        <v>Blank</v>
      </c>
      <c r="N104" t="str">
        <f t="shared" si="37"/>
        <v/>
      </c>
      <c r="O104" t="str">
        <f t="shared" si="38"/>
        <v/>
      </c>
      <c r="P104" t="str">
        <f t="shared" si="39"/>
        <v>Comment is required</v>
      </c>
      <c r="Q104" t="str">
        <f t="shared" si="40"/>
        <v>Blank</v>
      </c>
      <c r="R104" t="str">
        <f t="shared" si="41"/>
        <v>No Override</v>
      </c>
      <c r="S104">
        <f t="shared" si="42"/>
        <v>4</v>
      </c>
      <c r="T104" t="str">
        <f t="shared" si="43"/>
        <v/>
      </c>
    </row>
    <row r="105" spans="1:20" ht="45.6" x14ac:dyDescent="0.3">
      <c r="A105" s="181">
        <v>1</v>
      </c>
      <c r="C105">
        <f t="shared" si="34"/>
        <v>1</v>
      </c>
      <c r="D105" t="s">
        <v>778</v>
      </c>
      <c r="E105" s="51" t="s">
        <v>335</v>
      </c>
      <c r="F105" s="57" t="s">
        <v>336</v>
      </c>
      <c r="G105" s="135" t="s">
        <v>674</v>
      </c>
      <c r="H105" s="131" t="str">
        <f>'15. System Acquisition'!$I5</f>
        <v>Comment is required</v>
      </c>
      <c r="I105">
        <f>'15. System Acquisition'!$H5</f>
        <v>0</v>
      </c>
      <c r="J105" t="str">
        <f t="shared" si="35"/>
        <v>Blank</v>
      </c>
      <c r="K105" s="123" t="s">
        <v>75</v>
      </c>
      <c r="L105" t="str">
        <f t="shared" si="36"/>
        <v>Blank</v>
      </c>
      <c r="N105" t="str">
        <f t="shared" si="37"/>
        <v/>
      </c>
      <c r="O105" t="str">
        <f t="shared" si="38"/>
        <v/>
      </c>
      <c r="P105" t="str">
        <f t="shared" si="39"/>
        <v>Comment is required</v>
      </c>
      <c r="Q105" t="str">
        <f t="shared" si="40"/>
        <v>Blank</v>
      </c>
      <c r="R105" t="str">
        <f t="shared" si="41"/>
        <v>No Override</v>
      </c>
      <c r="S105">
        <f t="shared" si="42"/>
        <v>1</v>
      </c>
      <c r="T105" t="str">
        <f t="shared" si="43"/>
        <v/>
      </c>
    </row>
    <row r="106" spans="1:20" ht="57" x14ac:dyDescent="0.3">
      <c r="A106" s="181">
        <v>4</v>
      </c>
      <c r="C106">
        <f t="shared" si="34"/>
        <v>4</v>
      </c>
      <c r="D106" t="s">
        <v>778</v>
      </c>
      <c r="E106" s="51" t="s">
        <v>675</v>
      </c>
      <c r="F106" s="57" t="s">
        <v>677</v>
      </c>
      <c r="G106" s="131" t="s">
        <v>678</v>
      </c>
      <c r="H106" s="131" t="str">
        <f>'15. System Acquisition'!$I6</f>
        <v>Comment is required</v>
      </c>
      <c r="I106">
        <f>'15. System Acquisition'!$H6</f>
        <v>0</v>
      </c>
      <c r="J106" t="str">
        <f t="shared" si="35"/>
        <v>Blank</v>
      </c>
      <c r="K106" s="123" t="s">
        <v>75</v>
      </c>
      <c r="L106" t="str">
        <f t="shared" si="36"/>
        <v>Blank</v>
      </c>
      <c r="N106" t="str">
        <f t="shared" si="37"/>
        <v/>
      </c>
      <c r="O106" t="str">
        <f t="shared" si="38"/>
        <v/>
      </c>
      <c r="P106" t="str">
        <f t="shared" si="39"/>
        <v>Comment is required</v>
      </c>
      <c r="Q106" t="str">
        <f t="shared" si="40"/>
        <v>Blank</v>
      </c>
      <c r="R106" t="str">
        <f t="shared" si="41"/>
        <v>No Override</v>
      </c>
      <c r="S106">
        <f t="shared" si="42"/>
        <v>4</v>
      </c>
      <c r="T106" t="str">
        <f t="shared" si="43"/>
        <v/>
      </c>
    </row>
    <row r="107" spans="1:20" ht="68.400000000000006" x14ac:dyDescent="0.3">
      <c r="A107" s="181">
        <v>4</v>
      </c>
      <c r="C107">
        <f t="shared" si="34"/>
        <v>4</v>
      </c>
      <c r="D107" t="s">
        <v>778</v>
      </c>
      <c r="E107" s="51" t="s">
        <v>679</v>
      </c>
      <c r="F107" s="57" t="s">
        <v>677</v>
      </c>
      <c r="G107" s="131" t="s">
        <v>680</v>
      </c>
      <c r="H107" s="131" t="str">
        <f>'15. System Acquisition'!$I7</f>
        <v>Comment is required</v>
      </c>
      <c r="I107">
        <f>'15. System Acquisition'!$H7</f>
        <v>0</v>
      </c>
      <c r="J107" t="str">
        <f t="shared" si="35"/>
        <v>Blank</v>
      </c>
      <c r="K107" s="123" t="s">
        <v>75</v>
      </c>
      <c r="L107" t="str">
        <f t="shared" si="36"/>
        <v>Blank</v>
      </c>
      <c r="N107" t="str">
        <f t="shared" si="37"/>
        <v/>
      </c>
      <c r="O107" t="str">
        <f t="shared" si="38"/>
        <v/>
      </c>
      <c r="P107" t="str">
        <f t="shared" si="39"/>
        <v>Comment is required</v>
      </c>
      <c r="Q107" t="str">
        <f t="shared" si="40"/>
        <v>Blank</v>
      </c>
      <c r="R107" t="str">
        <f t="shared" si="41"/>
        <v>No Override</v>
      </c>
      <c r="S107">
        <f t="shared" si="42"/>
        <v>4</v>
      </c>
      <c r="T107" t="str">
        <f t="shared" si="43"/>
        <v/>
      </c>
    </row>
    <row r="108" spans="1:20" x14ac:dyDescent="0.3">
      <c r="A108" s="181">
        <v>4</v>
      </c>
      <c r="C108">
        <f t="shared" si="34"/>
        <v>4</v>
      </c>
      <c r="D108" t="s">
        <v>778</v>
      </c>
      <c r="E108" s="51" t="s">
        <v>681</v>
      </c>
      <c r="F108" s="57" t="s">
        <v>677</v>
      </c>
      <c r="G108" s="131" t="s">
        <v>682</v>
      </c>
      <c r="H108" s="131" t="str">
        <f>'15. System Acquisition'!$I8</f>
        <v>Comment is required</v>
      </c>
      <c r="I108">
        <f>'15. System Acquisition'!$H8</f>
        <v>0</v>
      </c>
      <c r="J108" t="str">
        <f>IF($I108="Yes","Adequate",IF($I108="No","Inadequate",IF($I108="Partial","Inadequate",IF(AND($I108="N/A",$I107="No",$I106="No"),"Adequate",IF(AND($I108="N/A",OR(NOT($I107="No"),NOT($I106="No"))),"Inadequate",IF(OR($I108="",$I108=0),"Blank","Error"))))))</f>
        <v>Blank</v>
      </c>
      <c r="K108" s="123" t="s">
        <v>75</v>
      </c>
      <c r="L108" t="str">
        <f t="shared" si="36"/>
        <v>Blank</v>
      </c>
      <c r="N108" t="str">
        <f t="shared" si="37"/>
        <v/>
      </c>
      <c r="O108" t="str">
        <f t="shared" si="38"/>
        <v/>
      </c>
      <c r="P108" t="str">
        <f t="shared" si="39"/>
        <v>Comment is required</v>
      </c>
      <c r="Q108" t="str">
        <f t="shared" si="40"/>
        <v>Blank</v>
      </c>
      <c r="R108" t="str">
        <f t="shared" si="41"/>
        <v>No Override</v>
      </c>
      <c r="S108">
        <f t="shared" si="42"/>
        <v>4</v>
      </c>
      <c r="T108" t="str">
        <f t="shared" si="43"/>
        <v/>
      </c>
    </row>
    <row r="109" spans="1:20" ht="22.8" x14ac:dyDescent="0.3">
      <c r="A109" s="181">
        <v>4</v>
      </c>
      <c r="C109">
        <f t="shared" si="34"/>
        <v>4</v>
      </c>
      <c r="D109" t="s">
        <v>778</v>
      </c>
      <c r="E109" s="51" t="s">
        <v>683</v>
      </c>
      <c r="F109" s="57" t="s">
        <v>685</v>
      </c>
      <c r="G109" s="135" t="s">
        <v>686</v>
      </c>
      <c r="H109" s="131" t="str">
        <f>'15. System Acquisition'!$I9</f>
        <v>Comment is required</v>
      </c>
      <c r="I109">
        <f>'15. System Acquisition'!$H9</f>
        <v>0</v>
      </c>
      <c r="J109" t="str">
        <f t="shared" si="35"/>
        <v>Blank</v>
      </c>
      <c r="K109" s="123" t="s">
        <v>75</v>
      </c>
      <c r="L109" t="str">
        <f t="shared" si="36"/>
        <v>Blank</v>
      </c>
      <c r="N109" t="str">
        <f t="shared" si="37"/>
        <v/>
      </c>
      <c r="O109" t="str">
        <f t="shared" si="38"/>
        <v/>
      </c>
      <c r="P109" t="str">
        <f t="shared" si="39"/>
        <v>Comment is required</v>
      </c>
      <c r="Q109" t="str">
        <f t="shared" si="40"/>
        <v>Blank</v>
      </c>
      <c r="R109" t="str">
        <f t="shared" si="41"/>
        <v>No Override</v>
      </c>
      <c r="S109">
        <f t="shared" si="42"/>
        <v>4</v>
      </c>
      <c r="T109" t="str">
        <f t="shared" si="43"/>
        <v/>
      </c>
    </row>
    <row r="110" spans="1:20" ht="34.200000000000003" x14ac:dyDescent="0.3">
      <c r="A110" s="181">
        <v>4</v>
      </c>
      <c r="C110">
        <f t="shared" si="34"/>
        <v>4</v>
      </c>
      <c r="D110" t="s">
        <v>778</v>
      </c>
      <c r="E110" s="51" t="s">
        <v>687</v>
      </c>
      <c r="F110" s="57" t="s">
        <v>689</v>
      </c>
      <c r="G110" s="135" t="s">
        <v>690</v>
      </c>
      <c r="H110" s="131" t="str">
        <f>'15. System Acquisition'!$I10</f>
        <v>Comment is required</v>
      </c>
      <c r="I110">
        <f>'15. System Acquisition'!$H10</f>
        <v>0</v>
      </c>
      <c r="J110" t="str">
        <f t="shared" si="35"/>
        <v>Blank</v>
      </c>
      <c r="K110" s="123" t="s">
        <v>75</v>
      </c>
      <c r="L110" t="str">
        <f t="shared" si="36"/>
        <v>Blank</v>
      </c>
      <c r="N110" t="str">
        <f t="shared" si="37"/>
        <v/>
      </c>
      <c r="O110" t="str">
        <f t="shared" si="38"/>
        <v/>
      </c>
      <c r="P110" t="str">
        <f t="shared" si="39"/>
        <v>Comment is required</v>
      </c>
      <c r="Q110" t="str">
        <f t="shared" si="40"/>
        <v>Blank</v>
      </c>
      <c r="R110" t="str">
        <f t="shared" si="41"/>
        <v>No Override</v>
      </c>
      <c r="S110">
        <f t="shared" si="42"/>
        <v>4</v>
      </c>
      <c r="T110" t="str">
        <f t="shared" si="43"/>
        <v/>
      </c>
    </row>
    <row r="111" spans="1:20" ht="34.200000000000003" x14ac:dyDescent="0.3">
      <c r="A111" s="181">
        <v>2</v>
      </c>
      <c r="C111">
        <f t="shared" si="34"/>
        <v>2</v>
      </c>
      <c r="D111" t="s">
        <v>778</v>
      </c>
      <c r="E111" s="51" t="s">
        <v>691</v>
      </c>
      <c r="F111" s="57" t="s">
        <v>693</v>
      </c>
      <c r="G111" s="135" t="s">
        <v>694</v>
      </c>
      <c r="H111" s="131" t="str">
        <f>'15. System Acquisition'!$I11</f>
        <v>Comment is required</v>
      </c>
      <c r="I111">
        <f>'15. System Acquisition'!$H11</f>
        <v>0</v>
      </c>
      <c r="J111" t="str">
        <f t="shared" si="35"/>
        <v>Blank</v>
      </c>
      <c r="K111" s="123" t="s">
        <v>75</v>
      </c>
      <c r="L111" t="str">
        <f t="shared" si="36"/>
        <v>Blank</v>
      </c>
      <c r="N111" t="str">
        <f t="shared" si="37"/>
        <v/>
      </c>
      <c r="O111" t="str">
        <f t="shared" si="38"/>
        <v/>
      </c>
      <c r="P111" t="str">
        <f t="shared" si="39"/>
        <v>Comment is required</v>
      </c>
      <c r="Q111" t="str">
        <f t="shared" si="40"/>
        <v>Blank</v>
      </c>
      <c r="R111" t="str">
        <f t="shared" si="41"/>
        <v>No Override</v>
      </c>
      <c r="S111">
        <f t="shared" si="42"/>
        <v>2</v>
      </c>
      <c r="T111" t="str">
        <f t="shared" si="43"/>
        <v/>
      </c>
    </row>
    <row r="112" spans="1:20" ht="22.8" x14ac:dyDescent="0.3">
      <c r="A112" s="181">
        <v>4</v>
      </c>
      <c r="C112">
        <f t="shared" si="34"/>
        <v>4</v>
      </c>
      <c r="D112" t="s">
        <v>779</v>
      </c>
      <c r="E112" s="51" t="s">
        <v>696</v>
      </c>
      <c r="F112" s="57" t="s">
        <v>698</v>
      </c>
      <c r="G112" s="131" t="s">
        <v>699</v>
      </c>
      <c r="H112" s="131" t="str">
        <f>'16. System Data Protection'!$I3</f>
        <v>Comment is required</v>
      </c>
      <c r="I112">
        <f>'16. System Data Protection'!$H3</f>
        <v>0</v>
      </c>
      <c r="J112" t="str">
        <f t="shared" si="35"/>
        <v>Blank</v>
      </c>
      <c r="K112" s="123" t="s">
        <v>75</v>
      </c>
      <c r="L112" t="str">
        <f t="shared" si="36"/>
        <v>Blank</v>
      </c>
      <c r="N112" t="str">
        <f t="shared" si="37"/>
        <v/>
      </c>
      <c r="O112" t="str">
        <f t="shared" si="38"/>
        <v/>
      </c>
      <c r="P112" t="str">
        <f t="shared" si="39"/>
        <v>Comment is required</v>
      </c>
      <c r="Q112" t="str">
        <f t="shared" si="40"/>
        <v>Blank</v>
      </c>
      <c r="R112" t="str">
        <f t="shared" si="41"/>
        <v>No Override</v>
      </c>
      <c r="S112">
        <f t="shared" si="42"/>
        <v>4</v>
      </c>
      <c r="T112" t="str">
        <f t="shared" si="43"/>
        <v/>
      </c>
    </row>
    <row r="113" spans="1:20" ht="22.8" x14ac:dyDescent="0.3">
      <c r="A113" s="181">
        <v>4</v>
      </c>
      <c r="C113">
        <f t="shared" si="34"/>
        <v>4</v>
      </c>
      <c r="D113" t="s">
        <v>779</v>
      </c>
      <c r="E113" s="51" t="s">
        <v>700</v>
      </c>
      <c r="F113" s="57" t="s">
        <v>702</v>
      </c>
      <c r="G113" s="131" t="s">
        <v>703</v>
      </c>
      <c r="H113" s="131" t="str">
        <f>'16. System Data Protection'!$I4</f>
        <v>Comment is required</v>
      </c>
      <c r="I113">
        <f>'16. System Data Protection'!$H4</f>
        <v>0</v>
      </c>
      <c r="J113" t="str">
        <f t="shared" si="35"/>
        <v>Blank</v>
      </c>
      <c r="K113" s="123" t="s">
        <v>75</v>
      </c>
      <c r="L113" t="str">
        <f t="shared" si="36"/>
        <v>Blank</v>
      </c>
      <c r="N113" t="str">
        <f t="shared" si="37"/>
        <v/>
      </c>
      <c r="O113" t="str">
        <f t="shared" si="38"/>
        <v/>
      </c>
      <c r="P113" t="str">
        <f t="shared" si="39"/>
        <v>Comment is required</v>
      </c>
      <c r="Q113" t="str">
        <f t="shared" si="40"/>
        <v>Blank</v>
      </c>
      <c r="R113" t="str">
        <f t="shared" si="41"/>
        <v>No Override</v>
      </c>
      <c r="S113">
        <f t="shared" si="42"/>
        <v>4</v>
      </c>
      <c r="T113" t="str">
        <f t="shared" si="43"/>
        <v/>
      </c>
    </row>
    <row r="114" spans="1:20" ht="22.8" x14ac:dyDescent="0.3">
      <c r="A114" s="181">
        <v>1</v>
      </c>
      <c r="C114">
        <f t="shared" si="34"/>
        <v>1</v>
      </c>
      <c r="D114" t="s">
        <v>779</v>
      </c>
      <c r="E114" s="54" t="s">
        <v>704</v>
      </c>
      <c r="F114" s="57" t="s">
        <v>707</v>
      </c>
      <c r="G114" s="135" t="s">
        <v>780</v>
      </c>
      <c r="H114" s="131" t="str">
        <f>'16. System Data Protection'!$I5</f>
        <v>Comment is required</v>
      </c>
      <c r="I114">
        <f>'16. System Data Protection'!$H5</f>
        <v>0</v>
      </c>
      <c r="J114" t="str">
        <f t="shared" si="35"/>
        <v>Blank</v>
      </c>
      <c r="K114" s="123" t="s">
        <v>75</v>
      </c>
      <c r="L114" t="str">
        <f t="shared" si="36"/>
        <v>Blank</v>
      </c>
      <c r="N114" t="str">
        <f t="shared" si="37"/>
        <v/>
      </c>
      <c r="O114" t="str">
        <f t="shared" si="38"/>
        <v/>
      </c>
      <c r="P114" t="str">
        <f t="shared" si="39"/>
        <v>Comment is required</v>
      </c>
      <c r="Q114" t="str">
        <f t="shared" si="40"/>
        <v>Blank</v>
      </c>
      <c r="R114" t="str">
        <f t="shared" si="41"/>
        <v>No Override</v>
      </c>
      <c r="S114">
        <f t="shared" si="42"/>
        <v>1</v>
      </c>
      <c r="T114" t="str">
        <f t="shared" si="43"/>
        <v/>
      </c>
    </row>
    <row r="115" spans="1:20" ht="22.8" x14ac:dyDescent="0.3">
      <c r="A115" s="181">
        <v>1</v>
      </c>
      <c r="C115">
        <f t="shared" si="34"/>
        <v>1</v>
      </c>
      <c r="D115" t="s">
        <v>779</v>
      </c>
      <c r="E115" s="54" t="s">
        <v>709</v>
      </c>
      <c r="F115" s="57" t="s">
        <v>707</v>
      </c>
      <c r="G115" s="135" t="s">
        <v>710</v>
      </c>
      <c r="H115" s="131" t="str">
        <f>'16. System Data Protection'!$I6</f>
        <v>Comment is required</v>
      </c>
      <c r="I115">
        <f>'16. System Data Protection'!$H6</f>
        <v>0</v>
      </c>
      <c r="J115" t="str">
        <f t="shared" si="35"/>
        <v>Blank</v>
      </c>
      <c r="K115" s="123" t="s">
        <v>75</v>
      </c>
      <c r="L115" t="str">
        <f t="shared" si="36"/>
        <v>Blank</v>
      </c>
      <c r="N115" t="str">
        <f t="shared" si="37"/>
        <v/>
      </c>
      <c r="O115" t="str">
        <f t="shared" si="38"/>
        <v/>
      </c>
      <c r="P115" t="str">
        <f t="shared" si="39"/>
        <v>Comment is required</v>
      </c>
      <c r="Q115" t="str">
        <f t="shared" si="40"/>
        <v>Blank</v>
      </c>
      <c r="R115" t="str">
        <f t="shared" si="41"/>
        <v>No Override</v>
      </c>
      <c r="S115">
        <f t="shared" si="42"/>
        <v>1</v>
      </c>
      <c r="T115" t="str">
        <f t="shared" si="43"/>
        <v/>
      </c>
    </row>
    <row r="116" spans="1:20" ht="22.8" x14ac:dyDescent="0.3">
      <c r="A116" s="181">
        <v>4</v>
      </c>
      <c r="C116">
        <f t="shared" si="34"/>
        <v>4</v>
      </c>
      <c r="D116" t="s">
        <v>779</v>
      </c>
      <c r="E116" s="51" t="s">
        <v>711</v>
      </c>
      <c r="F116" s="57" t="s">
        <v>713</v>
      </c>
      <c r="G116" s="135" t="s">
        <v>714</v>
      </c>
      <c r="H116" s="131" t="str">
        <f>'16. System Data Protection'!$I7</f>
        <v>Comment is required</v>
      </c>
      <c r="I116">
        <f>'16. System Data Protection'!$H7</f>
        <v>0</v>
      </c>
      <c r="J116" t="str">
        <f t="shared" si="35"/>
        <v>Blank</v>
      </c>
      <c r="K116" s="123" t="s">
        <v>75</v>
      </c>
      <c r="L116" t="str">
        <f t="shared" si="36"/>
        <v>Blank</v>
      </c>
      <c r="N116" t="str">
        <f t="shared" si="37"/>
        <v/>
      </c>
      <c r="O116" t="str">
        <f t="shared" si="38"/>
        <v/>
      </c>
      <c r="P116" t="str">
        <f t="shared" si="39"/>
        <v>Comment is required</v>
      </c>
      <c r="Q116" t="str">
        <f t="shared" si="40"/>
        <v>Blank</v>
      </c>
      <c r="R116" t="str">
        <f t="shared" si="41"/>
        <v>No Override</v>
      </c>
      <c r="S116">
        <f t="shared" si="42"/>
        <v>4</v>
      </c>
      <c r="T116" t="str">
        <f t="shared" si="43"/>
        <v/>
      </c>
    </row>
    <row r="117" spans="1:20" ht="22.8" x14ac:dyDescent="0.3">
      <c r="A117" s="181">
        <v>4</v>
      </c>
      <c r="C117">
        <f t="shared" si="34"/>
        <v>4</v>
      </c>
      <c r="D117" t="s">
        <v>779</v>
      </c>
      <c r="E117" s="51" t="s">
        <v>715</v>
      </c>
      <c r="F117" s="57" t="s">
        <v>717</v>
      </c>
      <c r="G117" s="135" t="s">
        <v>781</v>
      </c>
      <c r="H117" s="131" t="str">
        <f>'16. System Data Protection'!$I8</f>
        <v>Comment is required</v>
      </c>
      <c r="I117">
        <f>'16. System Data Protection'!$H8</f>
        <v>0</v>
      </c>
      <c r="J117" t="str">
        <f t="shared" si="35"/>
        <v>Blank</v>
      </c>
      <c r="K117" s="123" t="s">
        <v>75</v>
      </c>
      <c r="L117" t="str">
        <f t="shared" si="36"/>
        <v>Blank</v>
      </c>
      <c r="N117" t="str">
        <f t="shared" si="37"/>
        <v/>
      </c>
      <c r="O117" t="str">
        <f t="shared" si="38"/>
        <v/>
      </c>
      <c r="P117" t="str">
        <f t="shared" si="39"/>
        <v>Comment is required</v>
      </c>
      <c r="Q117" t="str">
        <f t="shared" si="40"/>
        <v>Blank</v>
      </c>
      <c r="R117" t="str">
        <f t="shared" si="41"/>
        <v>No Override</v>
      </c>
      <c r="S117">
        <f t="shared" si="42"/>
        <v>4</v>
      </c>
      <c r="T117" t="str">
        <f t="shared" si="43"/>
        <v/>
      </c>
    </row>
    <row r="118" spans="1:20" ht="22.8" x14ac:dyDescent="0.3">
      <c r="A118" s="181">
        <v>4</v>
      </c>
      <c r="C118">
        <f t="shared" si="34"/>
        <v>4</v>
      </c>
      <c r="D118" t="s">
        <v>779</v>
      </c>
      <c r="E118" s="51" t="s">
        <v>719</v>
      </c>
      <c r="F118" s="57" t="s">
        <v>304</v>
      </c>
      <c r="G118" s="135" t="s">
        <v>720</v>
      </c>
      <c r="H118" s="131" t="str">
        <f>'16. System Data Protection'!$I9</f>
        <v>Comment is required</v>
      </c>
      <c r="I118">
        <f>'16. System Data Protection'!$H9</f>
        <v>0</v>
      </c>
      <c r="J118" s="45" t="str">
        <f>IF(AND($I118="Yes",$I119="Yes",$I120="Yes"),"Adequate",IF(AND($I118="Yes",OR(NOT($I119="Yes"),NOT($I120="Yes"))),"Inadequate",IF($I118="No","N/A",IF($I118="Partial","Inadequate",IF($I118="N/A","N/A",IF(OR($I118="",$I118=0),"Blank","Error"))))))</f>
        <v>Blank</v>
      </c>
      <c r="K118" s="123" t="s">
        <v>75</v>
      </c>
      <c r="L118" t="str">
        <f t="shared" si="36"/>
        <v>Blank</v>
      </c>
      <c r="N118" t="str">
        <f t="shared" si="37"/>
        <v/>
      </c>
      <c r="O118" t="str">
        <f t="shared" si="38"/>
        <v/>
      </c>
      <c r="P118" t="str">
        <f t="shared" si="39"/>
        <v>Comment is required</v>
      </c>
      <c r="Q118" t="str">
        <f t="shared" si="40"/>
        <v>Blank</v>
      </c>
      <c r="R118" t="str">
        <f t="shared" si="41"/>
        <v>No Override</v>
      </c>
      <c r="S118">
        <f t="shared" si="42"/>
        <v>4</v>
      </c>
      <c r="T118" t="str">
        <f t="shared" si="43"/>
        <v/>
      </c>
    </row>
    <row r="119" spans="1:20" x14ac:dyDescent="0.3">
      <c r="A119" s="181">
        <v>2</v>
      </c>
      <c r="C119">
        <f t="shared" si="34"/>
        <v>2</v>
      </c>
      <c r="D119" t="s">
        <v>779</v>
      </c>
      <c r="E119" s="51" t="s">
        <v>721</v>
      </c>
      <c r="F119" s="57" t="s">
        <v>304</v>
      </c>
      <c r="G119" s="135" t="s">
        <v>722</v>
      </c>
      <c r="H119" s="131" t="str">
        <f>'16. System Data Protection'!$I10</f>
        <v>Comment is required</v>
      </c>
      <c r="I119">
        <f>'16. System Data Protection'!$H10</f>
        <v>0</v>
      </c>
      <c r="J119" s="53" t="str">
        <f>IF(OR($I118="N/A",$I118="No"),"N/A",IF($I119="Yes","Adequate",IF($I119="No","Inadequate",IF($I119="Partial","Inadequate",IF(AND($I119="N/A",NOT($I118="No"),NOT($I118="N/A")),"Inadequate",IF(OR($I119="",$I119=0),"Blank","Error"))))))</f>
        <v>Blank</v>
      </c>
      <c r="K119" s="123" t="s">
        <v>75</v>
      </c>
      <c r="L119" t="str">
        <f t="shared" si="36"/>
        <v>Blank</v>
      </c>
      <c r="N119" t="str">
        <f t="shared" si="37"/>
        <v/>
      </c>
      <c r="O119" t="str">
        <f t="shared" si="38"/>
        <v/>
      </c>
      <c r="P119" t="str">
        <f t="shared" si="39"/>
        <v>Comment is required</v>
      </c>
      <c r="Q119" t="str">
        <f t="shared" si="40"/>
        <v>Blank</v>
      </c>
      <c r="R119" t="str">
        <f t="shared" si="41"/>
        <v>No Override</v>
      </c>
      <c r="S119">
        <f t="shared" si="42"/>
        <v>2</v>
      </c>
      <c r="T119" t="str">
        <f t="shared" si="43"/>
        <v/>
      </c>
    </row>
    <row r="120" spans="1:20" ht="22.8" x14ac:dyDescent="0.3">
      <c r="A120" s="181">
        <v>2</v>
      </c>
      <c r="C120">
        <f t="shared" si="34"/>
        <v>2</v>
      </c>
      <c r="D120" t="s">
        <v>779</v>
      </c>
      <c r="E120" s="51" t="s">
        <v>723</v>
      </c>
      <c r="F120" s="57" t="s">
        <v>304</v>
      </c>
      <c r="G120" s="135" t="s">
        <v>724</v>
      </c>
      <c r="H120" s="131" t="str">
        <f>'16. System Data Protection'!$I11</f>
        <v>Comment is required</v>
      </c>
      <c r="I120">
        <f>'16. System Data Protection'!$H11</f>
        <v>0</v>
      </c>
      <c r="J120" s="53" t="str">
        <f>IF(OR($I118="N/A",$I118="No"),"N/A",IF($I120="Yes","Adequate",IF($I120="No","Inadequate",IF($I120="Partial","Inadequate",IF(AND($I120="N/A",NOT($I118="No"),NOT($I118="N/A")),"Inadequate",IF(OR($I120="",$I120=0),"Blank","Error"))))))</f>
        <v>Blank</v>
      </c>
      <c r="K120" s="123" t="s">
        <v>75</v>
      </c>
      <c r="L120" t="str">
        <f t="shared" si="36"/>
        <v>Blank</v>
      </c>
      <c r="N120" t="str">
        <f t="shared" si="37"/>
        <v/>
      </c>
      <c r="O120" t="str">
        <f t="shared" si="38"/>
        <v/>
      </c>
      <c r="P120" t="str">
        <f t="shared" si="39"/>
        <v>Comment is required</v>
      </c>
      <c r="Q120" t="str">
        <f t="shared" si="40"/>
        <v>Blank</v>
      </c>
      <c r="R120" t="str">
        <f t="shared" si="41"/>
        <v>No Override</v>
      </c>
      <c r="S120">
        <f t="shared" si="42"/>
        <v>2</v>
      </c>
      <c r="T120" t="str">
        <f t="shared" si="43"/>
        <v/>
      </c>
    </row>
    <row r="121" spans="1:20" ht="22.8" x14ac:dyDescent="0.3">
      <c r="A121" s="181">
        <v>4</v>
      </c>
      <c r="C121">
        <f t="shared" si="34"/>
        <v>4</v>
      </c>
      <c r="D121" t="s">
        <v>779</v>
      </c>
      <c r="E121" s="51" t="s">
        <v>725</v>
      </c>
      <c r="F121" s="57" t="s">
        <v>727</v>
      </c>
      <c r="G121" s="135" t="s">
        <v>728</v>
      </c>
      <c r="H121" s="131" t="str">
        <f>'16. System Data Protection'!$I12</f>
        <v>Comment is required</v>
      </c>
      <c r="I121">
        <f>'16. System Data Protection'!$H12</f>
        <v>0</v>
      </c>
      <c r="J121" t="str">
        <f t="shared" si="35"/>
        <v>Blank</v>
      </c>
      <c r="K121" s="123" t="s">
        <v>75</v>
      </c>
      <c r="L121" t="str">
        <f t="shared" si="36"/>
        <v>Blank</v>
      </c>
      <c r="N121" t="str">
        <f t="shared" si="37"/>
        <v/>
      </c>
      <c r="O121" t="str">
        <f t="shared" si="38"/>
        <v/>
      </c>
      <c r="P121" t="str">
        <f t="shared" si="39"/>
        <v>Comment is required</v>
      </c>
      <c r="Q121" t="str">
        <f t="shared" si="40"/>
        <v>Blank</v>
      </c>
      <c r="R121" t="str">
        <f t="shared" si="41"/>
        <v>No Override</v>
      </c>
      <c r="S121">
        <f t="shared" si="42"/>
        <v>4</v>
      </c>
      <c r="T121" t="str">
        <f t="shared" si="43"/>
        <v/>
      </c>
    </row>
    <row r="122" spans="1:20" ht="22.8" x14ac:dyDescent="0.3">
      <c r="A122" s="181">
        <v>4</v>
      </c>
      <c r="C122">
        <f t="shared" si="34"/>
        <v>4</v>
      </c>
      <c r="D122" t="s">
        <v>779</v>
      </c>
      <c r="E122" s="51" t="s">
        <v>729</v>
      </c>
      <c r="F122" s="57" t="s">
        <v>731</v>
      </c>
      <c r="G122" s="135" t="s">
        <v>732</v>
      </c>
      <c r="H122" s="131" t="str">
        <f>'16. System Data Protection'!$I13</f>
        <v>Comment is required</v>
      </c>
      <c r="I122">
        <f>'16. System Data Protection'!$H13</f>
        <v>0</v>
      </c>
      <c r="J122" t="str">
        <f t="shared" si="35"/>
        <v>Blank</v>
      </c>
      <c r="K122" s="123" t="s">
        <v>75</v>
      </c>
      <c r="L122" t="str">
        <f t="shared" si="36"/>
        <v>Blank</v>
      </c>
      <c r="N122" t="str">
        <f t="shared" si="37"/>
        <v/>
      </c>
      <c r="O122" t="str">
        <f t="shared" si="38"/>
        <v/>
      </c>
      <c r="P122" t="str">
        <f t="shared" si="39"/>
        <v>Comment is required</v>
      </c>
      <c r="Q122" t="str">
        <f t="shared" si="40"/>
        <v>Blank</v>
      </c>
      <c r="R122" t="str">
        <f t="shared" si="41"/>
        <v>No Override</v>
      </c>
      <c r="S122">
        <f t="shared" si="42"/>
        <v>4</v>
      </c>
      <c r="T122" t="str">
        <f t="shared" si="43"/>
        <v/>
      </c>
    </row>
    <row r="123" spans="1:20" x14ac:dyDescent="0.3">
      <c r="A123" s="181">
        <v>3</v>
      </c>
      <c r="C123">
        <f t="shared" si="34"/>
        <v>3</v>
      </c>
      <c r="D123" t="s">
        <v>779</v>
      </c>
      <c r="E123" s="51" t="s">
        <v>733</v>
      </c>
      <c r="F123" s="57" t="s">
        <v>735</v>
      </c>
      <c r="G123" s="135" t="s">
        <v>736</v>
      </c>
      <c r="H123" s="131" t="str">
        <f>'16. System Data Protection'!$I14</f>
        <v>Comment is required</v>
      </c>
      <c r="I123">
        <f>'16. System Data Protection'!$H14</f>
        <v>0</v>
      </c>
      <c r="J123" t="str">
        <f t="shared" si="35"/>
        <v>Blank</v>
      </c>
      <c r="K123" s="123" t="s">
        <v>75</v>
      </c>
      <c r="L123" t="str">
        <f t="shared" si="36"/>
        <v>Blank</v>
      </c>
      <c r="N123" t="str">
        <f t="shared" si="37"/>
        <v/>
      </c>
      <c r="O123" t="str">
        <f t="shared" si="38"/>
        <v/>
      </c>
      <c r="P123" t="str">
        <f t="shared" si="39"/>
        <v>Comment is required</v>
      </c>
      <c r="Q123" t="str">
        <f t="shared" si="40"/>
        <v>Blank</v>
      </c>
      <c r="R123" t="str">
        <f t="shared" si="41"/>
        <v>No Override</v>
      </c>
      <c r="S123">
        <f t="shared" si="42"/>
        <v>3</v>
      </c>
      <c r="T123" t="str">
        <f t="shared" si="43"/>
        <v/>
      </c>
    </row>
    <row r="124" spans="1:20" ht="22.8" x14ac:dyDescent="0.3">
      <c r="A124" s="181">
        <v>1</v>
      </c>
      <c r="C124">
        <f t="shared" si="34"/>
        <v>1</v>
      </c>
      <c r="D124" t="s">
        <v>779</v>
      </c>
      <c r="E124" s="51" t="s">
        <v>737</v>
      </c>
      <c r="F124" s="57" t="s">
        <v>739</v>
      </c>
      <c r="G124" s="135" t="s">
        <v>782</v>
      </c>
      <c r="H124" s="131" t="str">
        <f>'16. System Data Protection'!$I15</f>
        <v>Comment is required</v>
      </c>
      <c r="I124">
        <f>'16. System Data Protection'!$H15</f>
        <v>0</v>
      </c>
      <c r="J124" t="str">
        <f t="shared" si="35"/>
        <v>Blank</v>
      </c>
      <c r="K124" s="123" t="s">
        <v>75</v>
      </c>
      <c r="L124" t="str">
        <f t="shared" si="36"/>
        <v>Blank</v>
      </c>
      <c r="N124" t="str">
        <f t="shared" si="37"/>
        <v/>
      </c>
      <c r="O124" t="str">
        <f t="shared" si="38"/>
        <v/>
      </c>
      <c r="P124" t="str">
        <f t="shared" si="39"/>
        <v>Comment is required</v>
      </c>
      <c r="Q124" t="str">
        <f t="shared" si="40"/>
        <v>Blank</v>
      </c>
      <c r="R124" t="str">
        <f t="shared" si="41"/>
        <v>No Override</v>
      </c>
      <c r="S124">
        <f t="shared" si="42"/>
        <v>1</v>
      </c>
      <c r="T124" t="str">
        <f t="shared" ref="T124:T128" si="44">IF($L124=$Q124,"","***")</f>
        <v/>
      </c>
    </row>
    <row r="125" spans="1:20" ht="22.8" x14ac:dyDescent="0.3">
      <c r="A125" s="181">
        <v>4</v>
      </c>
      <c r="C125">
        <f t="shared" si="34"/>
        <v>4</v>
      </c>
      <c r="D125" t="s">
        <v>783</v>
      </c>
      <c r="E125" s="51" t="s">
        <v>742</v>
      </c>
      <c r="F125" s="57" t="s">
        <v>745</v>
      </c>
      <c r="G125" s="131" t="s">
        <v>746</v>
      </c>
      <c r="H125" s="135" t="str">
        <f>'17. System Data Integrity'!$I3</f>
        <v>Comment is required</v>
      </c>
      <c r="I125">
        <f>'17. System Data Integrity'!$H3</f>
        <v>0</v>
      </c>
      <c r="J125" t="str">
        <f t="shared" si="35"/>
        <v>Blank</v>
      </c>
      <c r="K125" s="123" t="s">
        <v>75</v>
      </c>
      <c r="L125" t="str">
        <f t="shared" si="36"/>
        <v>Blank</v>
      </c>
      <c r="N125" t="str">
        <f t="shared" si="37"/>
        <v/>
      </c>
      <c r="O125" t="str">
        <f t="shared" si="38"/>
        <v/>
      </c>
      <c r="P125" t="str">
        <f t="shared" si="39"/>
        <v>Comment is required</v>
      </c>
      <c r="Q125" t="str">
        <f t="shared" si="40"/>
        <v>Blank</v>
      </c>
      <c r="R125" t="str">
        <f t="shared" si="41"/>
        <v>No Override</v>
      </c>
      <c r="S125">
        <f t="shared" si="42"/>
        <v>4</v>
      </c>
      <c r="T125" t="str">
        <f t="shared" si="44"/>
        <v/>
      </c>
    </row>
    <row r="126" spans="1:20" ht="22.8" x14ac:dyDescent="0.3">
      <c r="A126" s="181">
        <v>1</v>
      </c>
      <c r="C126">
        <f t="shared" si="34"/>
        <v>1</v>
      </c>
      <c r="D126" t="s">
        <v>783</v>
      </c>
      <c r="E126" s="51" t="s">
        <v>747</v>
      </c>
      <c r="F126" s="57" t="s">
        <v>316</v>
      </c>
      <c r="G126" s="135" t="s">
        <v>748</v>
      </c>
      <c r="H126" s="135" t="str">
        <f>'17. System Data Integrity'!$I4</f>
        <v>Comment is required</v>
      </c>
      <c r="I126">
        <f>'17. System Data Integrity'!$H4</f>
        <v>0</v>
      </c>
      <c r="J126" t="str">
        <f t="shared" si="35"/>
        <v>Blank</v>
      </c>
      <c r="K126" s="123" t="s">
        <v>75</v>
      </c>
      <c r="L126" t="str">
        <f t="shared" si="36"/>
        <v>Blank</v>
      </c>
      <c r="N126" t="str">
        <f t="shared" si="37"/>
        <v/>
      </c>
      <c r="O126" t="str">
        <f t="shared" si="38"/>
        <v/>
      </c>
      <c r="P126" t="str">
        <f t="shared" si="39"/>
        <v>Comment is required</v>
      </c>
      <c r="Q126" t="str">
        <f t="shared" si="40"/>
        <v>Blank</v>
      </c>
      <c r="R126" t="str">
        <f t="shared" si="41"/>
        <v>No Override</v>
      </c>
      <c r="S126">
        <f t="shared" si="42"/>
        <v>1</v>
      </c>
      <c r="T126" t="str">
        <f t="shared" si="44"/>
        <v/>
      </c>
    </row>
    <row r="127" spans="1:20" x14ac:dyDescent="0.3">
      <c r="A127" s="181">
        <v>1</v>
      </c>
      <c r="C127">
        <f t="shared" si="34"/>
        <v>1</v>
      </c>
      <c r="D127" t="s">
        <v>783</v>
      </c>
      <c r="E127" s="51" t="s">
        <v>749</v>
      </c>
      <c r="F127" s="57" t="s">
        <v>316</v>
      </c>
      <c r="G127" s="135" t="s">
        <v>750</v>
      </c>
      <c r="H127" s="135" t="str">
        <f>'17. System Data Integrity'!$I5</f>
        <v>Comment is required</v>
      </c>
      <c r="I127">
        <f>'17. System Data Integrity'!$H5</f>
        <v>0</v>
      </c>
      <c r="J127" t="str">
        <f t="shared" si="35"/>
        <v>Blank</v>
      </c>
      <c r="K127" s="123" t="s">
        <v>75</v>
      </c>
      <c r="L127" t="str">
        <f t="shared" si="36"/>
        <v>Blank</v>
      </c>
      <c r="N127" t="str">
        <f t="shared" si="37"/>
        <v/>
      </c>
      <c r="O127" t="str">
        <f t="shared" si="38"/>
        <v/>
      </c>
      <c r="P127" t="str">
        <f t="shared" si="39"/>
        <v>Comment is required</v>
      </c>
      <c r="Q127" t="str">
        <f t="shared" si="40"/>
        <v>Blank</v>
      </c>
      <c r="R127" t="str">
        <f t="shared" si="41"/>
        <v>No Override</v>
      </c>
      <c r="S127">
        <f t="shared" si="42"/>
        <v>1</v>
      </c>
      <c r="T127" t="str">
        <f t="shared" si="44"/>
        <v/>
      </c>
    </row>
    <row r="128" spans="1:20" x14ac:dyDescent="0.3">
      <c r="A128" s="181">
        <v>1</v>
      </c>
      <c r="C128">
        <f t="shared" si="34"/>
        <v>1</v>
      </c>
      <c r="D128" t="s">
        <v>783</v>
      </c>
      <c r="E128" s="51" t="s">
        <v>751</v>
      </c>
      <c r="F128" s="57" t="s">
        <v>316</v>
      </c>
      <c r="G128" s="135" t="s">
        <v>752</v>
      </c>
      <c r="H128" s="135" t="str">
        <f>'17. System Data Integrity'!$I6</f>
        <v>Comment is required</v>
      </c>
      <c r="I128">
        <f>'17. System Data Integrity'!$H6</f>
        <v>0</v>
      </c>
      <c r="J128" t="str">
        <f t="shared" si="35"/>
        <v>Blank</v>
      </c>
      <c r="K128" s="123" t="s">
        <v>75</v>
      </c>
      <c r="L128" t="str">
        <f t="shared" si="36"/>
        <v>Blank</v>
      </c>
      <c r="N128" t="str">
        <f t="shared" si="37"/>
        <v/>
      </c>
      <c r="O128" t="str">
        <f t="shared" si="38"/>
        <v/>
      </c>
      <c r="P128" t="str">
        <f t="shared" si="39"/>
        <v>Comment is required</v>
      </c>
      <c r="Q128" t="str">
        <f t="shared" si="40"/>
        <v>Blank</v>
      </c>
      <c r="R128" t="str">
        <f t="shared" si="41"/>
        <v>No Override</v>
      </c>
      <c r="S128">
        <f t="shared" si="42"/>
        <v>1</v>
      </c>
      <c r="T128" t="str">
        <f t="shared" si="44"/>
        <v/>
      </c>
    </row>
  </sheetData>
  <sheetProtection selectLockedCells="1"/>
  <mergeCells count="1">
    <mergeCell ref="F1:J1"/>
  </mergeCells>
  <conditionalFormatting sqref="L59:M128 L9:M56">
    <cfRule type="expression" dxfId="7" priority="3">
      <formula>AND($I9="N/A",$H9&lt;&gt;0)</formula>
    </cfRule>
    <cfRule type="expression" dxfId="6" priority="4">
      <formula>AND($I9="N/A",$H9=0)</formula>
    </cfRule>
  </conditionalFormatting>
  <conditionalFormatting sqref="L57:M58">
    <cfRule type="expression" dxfId="5" priority="1">
      <formula>AND($I57="N/A",$H57&lt;&gt;0)</formula>
    </cfRule>
    <cfRule type="expression" dxfId="4" priority="2">
      <formula>AND($I57="N/A",$H57=0)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 Validation Key'!$C$21:$C$24</xm:f>
          </x14:formula1>
          <xm:sqref>K9:K128</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128"/>
  <sheetViews>
    <sheetView topLeftCell="B1" zoomScaleNormal="100" workbookViewId="0">
      <pane ySplit="8" topLeftCell="A9" activePane="bottomLeft" state="frozen"/>
      <selection activeCell="H20" sqref="H20"/>
      <selection pane="bottomLeft" activeCell="N8" sqref="N8"/>
    </sheetView>
  </sheetViews>
  <sheetFormatPr defaultColWidth="9" defaultRowHeight="14.4" x14ac:dyDescent="0.3"/>
  <cols>
    <col min="1" max="1" width="4.44140625" bestFit="1" customWidth="1"/>
    <col min="2" max="2" width="8.88671875" bestFit="1" customWidth="1"/>
    <col min="3" max="3" width="7.44140625" bestFit="1" customWidth="1"/>
    <col min="4" max="4" width="18.109375" customWidth="1"/>
    <col min="5" max="5" width="12.5546875" customWidth="1"/>
    <col min="6" max="6" width="17.88671875" style="58" customWidth="1"/>
    <col min="7" max="7" width="86.5546875" style="136" customWidth="1"/>
    <col min="8" max="8" width="22" style="136" customWidth="1"/>
    <col min="9" max="9" width="9.5546875" bestFit="1" customWidth="1"/>
    <col min="10" max="10" width="21.5546875" customWidth="1"/>
    <col min="11" max="11" width="11.88671875" bestFit="1" customWidth="1"/>
    <col min="12" max="12" width="14.44140625" bestFit="1" customWidth="1"/>
    <col min="13" max="13" width="14.44140625" customWidth="1"/>
    <col min="14" max="14" width="20.44140625" customWidth="1"/>
    <col min="15" max="15" width="10.109375" customWidth="1"/>
    <col min="16" max="16" width="18" customWidth="1"/>
    <col min="17" max="17" width="14" customWidth="1"/>
    <col min="18" max="18" width="9.6640625" customWidth="1"/>
    <col min="19" max="19" width="12.33203125" customWidth="1"/>
    <col min="20" max="20" width="22" customWidth="1"/>
  </cols>
  <sheetData>
    <row r="1" spans="1:20" x14ac:dyDescent="0.3">
      <c r="F1" s="371" t="s">
        <v>753</v>
      </c>
      <c r="G1" s="371"/>
      <c r="H1" s="371"/>
      <c r="I1" s="371"/>
      <c r="J1" s="371"/>
    </row>
    <row r="2" spans="1:20" ht="28.8" x14ac:dyDescent="0.3">
      <c r="F2" s="189" t="s">
        <v>754</v>
      </c>
      <c r="G2" s="190" t="s">
        <v>755</v>
      </c>
      <c r="H2" s="190" t="s">
        <v>756</v>
      </c>
      <c r="I2" s="189" t="s">
        <v>757</v>
      </c>
      <c r="J2" s="189" t="s">
        <v>758</v>
      </c>
    </row>
    <row r="3" spans="1:20" x14ac:dyDescent="0.3">
      <c r="F3" s="184" t="str">
        <f>IF(Scope!F6="Yes",_xlfn.CONCAT("Service ")&amp;IF(Scope!F7="Yes",_xlfn.CONCAT("Product"),""),IF(Scope!F7="Yes",_xlfn.CONCAT("Product"),"Blank"))</f>
        <v>Blank</v>
      </c>
      <c r="G3" s="185" t="str">
        <f>IF(Scope!F17="Yes","PHI","No PHI")</f>
        <v>No PHI</v>
      </c>
      <c r="H3" s="185" t="str">
        <f>IF(OR(Scope!F23="Yes",NOT(Scope!G23="")),"Workstation"&amp;_xlfn.CONCAT(" ,",Scope!G23),"")</f>
        <v/>
      </c>
      <c r="I3" s="188" t="str">
        <f>IF(Scope!F40="Yes",_xlfn.CONCAT("SOC 1 Type 1 ")&amp;IF(Scope!F41="Yes",_xlfn.CONCAT("SOC 1 Type 2"),""),IF(Scope!F41="Yes",_xlfn.CONCAT("SOC 1 Type 2"),"No SOC 1"))</f>
        <v>No SOC 1</v>
      </c>
      <c r="J3" s="188" t="str">
        <f>IF(Scope!F10="Yes",_xlfn.CONCAT("Remote Access Client Network ")&amp;IF(Scope!F11="Yes",_xlfn.CONCAT("Onsite Network Access"),""),IF(Scope!F11="Yes",_xlfn.CONCAT("Onsite Network Access"),""))</f>
        <v/>
      </c>
    </row>
    <row r="4" spans="1:20" x14ac:dyDescent="0.3">
      <c r="F4" s="184" t="str">
        <f>IF(Scope!F6="Yes",Scope!G6,"")&amp; " "&amp;IF(Scope!F7="Yes",Scope!G7,"")</f>
        <v xml:space="preserve"> </v>
      </c>
      <c r="G4" s="185" t="str">
        <f>IF(Scope!F18="Yes","PII","No PII")</f>
        <v>No PII</v>
      </c>
      <c r="H4" s="185" t="str">
        <f>IF(OR(Scope!F25="Yes",NOT(Scope!G25="")),"Mobile Device"&amp;_xlfn.CONCAT(" ,",Scope!G25),"")</f>
        <v/>
      </c>
      <c r="I4" s="188" t="str">
        <f>IF(Scope!F42="Yes",_xlfn.CONCAT("SOC 2 Type 1 ")&amp;IF(Scope!F43="Yes",_xlfn.CONCAT("SOC 2 Type 2"),""),IF(Scope!F43="Yes",_xlfn.CONCAT("SOC 2 Type 2"),"No SOC 2"))</f>
        <v>No SOC 2</v>
      </c>
      <c r="J4" s="188" t="str">
        <f>IF(Scope!F12="Yes",_xlfn.CONCAT("Access Client Infrastructure ")&amp;IF(Scope!F13="Yes",_xlfn.CONCAT("Access Application/Database"),""),IF(Scope!F13="Yes",_xlfn.CONCAT("Access Application/Database"),""))</f>
        <v/>
      </c>
    </row>
    <row r="5" spans="1:20" x14ac:dyDescent="0.3">
      <c r="F5" s="184"/>
      <c r="G5" s="185" t="str">
        <f>IF(Scope!F19="Yes","PCI","No PCI")</f>
        <v>No PCI</v>
      </c>
      <c r="H5" s="185" t="str">
        <f>IF(OR(Scope!F27="Yes",NOT(Scope!G27="")),"Medical Device"&amp;_xlfn.CONCAT(" ,",Scope!G27),"")</f>
        <v/>
      </c>
      <c r="I5" s="188" t="str">
        <f>IF(Scope!F44="Yes",_xlfn.CONCAT("SOC 3 ")&amp;IF(Scope!F45="Yes",_xlfn.CONCAT("HITRUST"),""),IF(Scope!F45="Yes",_xlfn.CONCAT("HITRUST"),""))</f>
        <v/>
      </c>
      <c r="J5" s="188" t="str">
        <f>IF(Scope!F14="Yes",_xlfn.CONCAT("Receive Client Data ")&amp;IF(Scope!F15="Yes",_xlfn.CONCAT("No Access"),""),IF(Scope!F15="Yes",_xlfn.CONCAT("No Access"),""))</f>
        <v/>
      </c>
    </row>
    <row r="6" spans="1:20" x14ac:dyDescent="0.3">
      <c r="F6" s="184"/>
      <c r="G6" s="185" t="str">
        <f>IF(Scope!F20="Yes",_xlfn.CONCAT("Employee Information ")&amp;IF(Scope!F21="Yes",_xlfn.CONCAT(" Proprietary Information")),IF(Scope!F21="Yes",_xlfn.CONCAT("Proprietary Information"),"No Employee or Proprietary Informaiton"))</f>
        <v>No Employee or Proprietary Informaiton</v>
      </c>
      <c r="H6" s="185" t="str">
        <f>IF(OR(Scope!F28="Yes",NOT(Scope!G28="")),"Other"&amp;_xlfn.CONCAT(" ,",Scope!G28),"")</f>
        <v/>
      </c>
      <c r="I6" s="188" t="str">
        <f>IF(Scope!F46="Yes",_xlfn.CONCAT("PCI DSS ")&amp;IF(Scope!F46="Yes",_xlfn.CONCAT("ISO 27001"),""),IF(Scope!F46="Yes",_xlfn.CONCAT("ISO 27001"),""))</f>
        <v/>
      </c>
      <c r="J6" s="188"/>
    </row>
    <row r="7" spans="1:20" x14ac:dyDescent="0.3">
      <c r="F7" s="184"/>
      <c r="G7" s="185"/>
      <c r="H7" s="185"/>
      <c r="I7" s="188" t="str">
        <f>IF(Scope!F48="Yes",_xlfn.CONCAT("FedRamp ")&amp;IF(Scope!F49="Yes",_xlfn.CONCAT("HIPAA"),""),IF(Scope!F47="Yes",_xlfn.CONCAT("HIPAA"),""))</f>
        <v/>
      </c>
      <c r="J7" s="188"/>
    </row>
    <row r="8" spans="1:20" x14ac:dyDescent="0.3">
      <c r="A8" s="52" t="s">
        <v>759</v>
      </c>
      <c r="B8" s="52" t="s">
        <v>760</v>
      </c>
      <c r="C8" s="52" t="s">
        <v>761</v>
      </c>
      <c r="D8" s="52" t="s">
        <v>762</v>
      </c>
      <c r="E8" s="52" t="s">
        <v>92</v>
      </c>
      <c r="F8" s="56" t="s">
        <v>93</v>
      </c>
      <c r="G8" s="130" t="s">
        <v>763</v>
      </c>
      <c r="H8" s="130" t="s">
        <v>764</v>
      </c>
      <c r="I8" s="52" t="s">
        <v>95</v>
      </c>
      <c r="J8" s="52" t="s">
        <v>765</v>
      </c>
      <c r="K8" s="52" t="s">
        <v>766</v>
      </c>
      <c r="L8" s="52" t="s">
        <v>767</v>
      </c>
      <c r="M8" s="52" t="s">
        <v>768</v>
      </c>
      <c r="N8" s="68" t="s">
        <v>769</v>
      </c>
      <c r="O8" s="68" t="s">
        <v>132</v>
      </c>
      <c r="P8" s="68" t="s">
        <v>133</v>
      </c>
      <c r="Q8" s="68" t="s">
        <v>770</v>
      </c>
      <c r="R8" s="68" t="s">
        <v>73</v>
      </c>
      <c r="S8" s="68" t="s">
        <v>771</v>
      </c>
      <c r="T8" s="68" t="s">
        <v>772</v>
      </c>
    </row>
    <row r="9" spans="1:20" x14ac:dyDescent="0.3">
      <c r="A9" s="181">
        <v>3</v>
      </c>
      <c r="C9">
        <f>IF($B9="",$A9,$B9)</f>
        <v>3</v>
      </c>
      <c r="D9" t="s">
        <v>773</v>
      </c>
      <c r="E9" s="51" t="s">
        <v>347</v>
      </c>
      <c r="F9" s="57" t="s">
        <v>350</v>
      </c>
      <c r="G9" s="131" t="s">
        <v>351</v>
      </c>
      <c r="H9" s="131" t="str">
        <f>'1. Access Controls'!$K3</f>
        <v>Comment is required</v>
      </c>
      <c r="I9">
        <f>'1. Access Controls'!$J3</f>
        <v>0</v>
      </c>
      <c r="J9" t="str">
        <f t="shared" ref="J9:J12" si="0">IF($I9="Yes","Adequate",IF($I9="No","Inadequate",IF($I9="Partial","Inadequate",IF($I9="N/A","Inadequate",IF(OR($I9="",$I9=0),"Blank","Error")))))</f>
        <v>Blank</v>
      </c>
      <c r="K9" s="123" t="s">
        <v>75</v>
      </c>
      <c r="L9" t="str">
        <f t="shared" ref="L9:L33" si="1">IF($K9="No Override",$J9,$K9)</f>
        <v>Blank</v>
      </c>
      <c r="N9" t="str">
        <f>IF($J9=$L9,"","***")</f>
        <v/>
      </c>
      <c r="O9" t="str">
        <f>IF(OR($I9="",$I9=0),"",$I9)</f>
        <v/>
      </c>
      <c r="P9" t="str">
        <f>IF(OR($H9="",$H9=0),"",$H9)</f>
        <v>Comment is required</v>
      </c>
      <c r="Q9" t="str">
        <f>$L9</f>
        <v>Blank</v>
      </c>
      <c r="R9" t="str">
        <f>$K9</f>
        <v>No Override</v>
      </c>
      <c r="S9">
        <f>$C9</f>
        <v>3</v>
      </c>
      <c r="T9" t="str">
        <f>IF($L9=$Q9,"","***")</f>
        <v/>
      </c>
    </row>
    <row r="10" spans="1:20" ht="22.8" x14ac:dyDescent="0.3">
      <c r="A10" s="181">
        <v>1</v>
      </c>
      <c r="C10">
        <f>IF($B10="",$A10,$B10)</f>
        <v>1</v>
      </c>
      <c r="D10" t="s">
        <v>773</v>
      </c>
      <c r="E10" s="51" t="s">
        <v>353</v>
      </c>
      <c r="F10" s="57" t="s">
        <v>356</v>
      </c>
      <c r="G10" s="131" t="s">
        <v>357</v>
      </c>
      <c r="H10" s="131" t="str">
        <f>'1. Access Controls'!$K4</f>
        <v>Comment is required</v>
      </c>
      <c r="I10">
        <f>'1. Access Controls'!$J4</f>
        <v>0</v>
      </c>
      <c r="J10" t="str">
        <f t="shared" si="0"/>
        <v>Blank</v>
      </c>
      <c r="K10" s="123" t="s">
        <v>75</v>
      </c>
      <c r="L10" t="str">
        <f t="shared" si="1"/>
        <v>Blank</v>
      </c>
      <c r="N10" t="str">
        <f t="shared" ref="N10:N33" si="2">IF($J10=$L10,"","***")</f>
        <v/>
      </c>
      <c r="O10" t="str">
        <f t="shared" ref="O10:O33" si="3">IF(OR($I10="",$I10=0),"",$I10)</f>
        <v/>
      </c>
      <c r="P10" t="str">
        <f t="shared" ref="P10:P33" si="4">IF(OR($H10="",$H10=0),"",$H10)</f>
        <v>Comment is required</v>
      </c>
      <c r="Q10" t="str">
        <f t="shared" ref="Q10:Q33" si="5">$L10</f>
        <v>Blank</v>
      </c>
      <c r="R10" t="str">
        <f t="shared" ref="R10:R33" si="6">$K10</f>
        <v>No Override</v>
      </c>
      <c r="S10">
        <f t="shared" ref="S10:S33" si="7">$C10</f>
        <v>1</v>
      </c>
      <c r="T10" t="str">
        <f t="shared" ref="T10:T33" si="8">IF($L10=$Q10,"","***")</f>
        <v/>
      </c>
    </row>
    <row r="11" spans="1:20" x14ac:dyDescent="0.3">
      <c r="A11" s="181">
        <v>3</v>
      </c>
      <c r="C11">
        <f>IF($B11="",$A11,$B11)</f>
        <v>3</v>
      </c>
      <c r="D11" t="s">
        <v>773</v>
      </c>
      <c r="E11" s="51" t="s">
        <v>358</v>
      </c>
      <c r="F11" s="57" t="s">
        <v>356</v>
      </c>
      <c r="G11" s="131" t="s">
        <v>359</v>
      </c>
      <c r="H11" s="131" t="str">
        <f>'1. Access Controls'!$K5</f>
        <v>Comment is required</v>
      </c>
      <c r="I11">
        <f>'1. Access Controls'!$J5</f>
        <v>0</v>
      </c>
      <c r="J11" t="str">
        <f t="shared" si="0"/>
        <v>Blank</v>
      </c>
      <c r="K11" s="123" t="s">
        <v>75</v>
      </c>
      <c r="L11" t="str">
        <f t="shared" si="1"/>
        <v>Blank</v>
      </c>
      <c r="N11" t="str">
        <f t="shared" si="2"/>
        <v/>
      </c>
      <c r="O11" t="str">
        <f t="shared" si="3"/>
        <v/>
      </c>
      <c r="P11" t="str">
        <f t="shared" si="4"/>
        <v>Comment is required</v>
      </c>
      <c r="Q11" t="str">
        <f t="shared" si="5"/>
        <v>Blank</v>
      </c>
      <c r="R11" t="str">
        <f t="shared" si="6"/>
        <v>No Override</v>
      </c>
      <c r="S11">
        <f t="shared" si="7"/>
        <v>3</v>
      </c>
      <c r="T11" t="str">
        <f t="shared" si="8"/>
        <v/>
      </c>
    </row>
    <row r="12" spans="1:20" x14ac:dyDescent="0.3">
      <c r="A12" s="181">
        <v>4</v>
      </c>
      <c r="C12">
        <f>IF($B12="",$A12,$B12)</f>
        <v>4</v>
      </c>
      <c r="D12" t="s">
        <v>773</v>
      </c>
      <c r="E12" s="51" t="s">
        <v>360</v>
      </c>
      <c r="F12" s="57" t="s">
        <v>356</v>
      </c>
      <c r="G12" s="131" t="s">
        <v>361</v>
      </c>
      <c r="H12" s="131" t="str">
        <f>'1. Access Controls'!$K6</f>
        <v>Comment is required</v>
      </c>
      <c r="I12">
        <f>'1. Access Controls'!$J6</f>
        <v>0</v>
      </c>
      <c r="J12" t="str">
        <f t="shared" si="0"/>
        <v>Blank</v>
      </c>
      <c r="K12" s="123" t="s">
        <v>75</v>
      </c>
      <c r="L12" t="str">
        <f t="shared" si="1"/>
        <v>Blank</v>
      </c>
      <c r="N12" t="str">
        <f t="shared" si="2"/>
        <v/>
      </c>
      <c r="O12" t="str">
        <f t="shared" si="3"/>
        <v/>
      </c>
      <c r="P12" t="str">
        <f t="shared" si="4"/>
        <v>Comment is required</v>
      </c>
      <c r="Q12" t="str">
        <f t="shared" si="5"/>
        <v>Blank</v>
      </c>
      <c r="R12" t="str">
        <f t="shared" si="6"/>
        <v>No Override</v>
      </c>
      <c r="S12">
        <f t="shared" si="7"/>
        <v>4</v>
      </c>
      <c r="T12" t="str">
        <f t="shared" si="8"/>
        <v/>
      </c>
    </row>
    <row r="13" spans="1:20" ht="22.8" x14ac:dyDescent="0.3">
      <c r="A13" s="181">
        <v>2</v>
      </c>
      <c r="C13">
        <f t="shared" ref="C13:C33" si="9">IF($B13="",$A13,$B13)</f>
        <v>2</v>
      </c>
      <c r="D13" t="s">
        <v>773</v>
      </c>
      <c r="E13" s="51" t="s">
        <v>362</v>
      </c>
      <c r="F13" s="57" t="s">
        <v>364</v>
      </c>
      <c r="G13" s="131" t="s">
        <v>774</v>
      </c>
      <c r="H13" s="131" t="str">
        <f>'1. Access Controls'!$K7</f>
        <v>Comment is required</v>
      </c>
      <c r="I13">
        <f>'1. Access Controls'!$J7</f>
        <v>0</v>
      </c>
      <c r="J13" t="str">
        <f t="shared" ref="J13:J19" si="10">IF($I13="Yes","Adequate",IF($I13="No","Inadequate",IF($I13="Partial","Inadequate",IF($I13="N/A","Inadequate",IF(OR($I13="",$I13=0),"Blank","Error")))))</f>
        <v>Blank</v>
      </c>
      <c r="K13" s="123" t="s">
        <v>75</v>
      </c>
      <c r="L13" t="str">
        <f t="shared" si="1"/>
        <v>Blank</v>
      </c>
      <c r="N13" t="str">
        <f t="shared" si="2"/>
        <v/>
      </c>
      <c r="O13" t="str">
        <f t="shared" si="3"/>
        <v/>
      </c>
      <c r="P13" t="str">
        <f t="shared" si="4"/>
        <v>Comment is required</v>
      </c>
      <c r="Q13" t="str">
        <f t="shared" si="5"/>
        <v>Blank</v>
      </c>
      <c r="R13" t="str">
        <f t="shared" si="6"/>
        <v>No Override</v>
      </c>
      <c r="S13">
        <f t="shared" si="7"/>
        <v>2</v>
      </c>
      <c r="T13" t="str">
        <f t="shared" si="8"/>
        <v/>
      </c>
    </row>
    <row r="14" spans="1:20" x14ac:dyDescent="0.3">
      <c r="A14" s="181">
        <v>4</v>
      </c>
      <c r="C14">
        <f t="shared" si="9"/>
        <v>4</v>
      </c>
      <c r="D14" t="s">
        <v>773</v>
      </c>
      <c r="E14" s="51" t="s">
        <v>366</v>
      </c>
      <c r="F14" s="57" t="s">
        <v>368</v>
      </c>
      <c r="G14" s="131" t="s">
        <v>369</v>
      </c>
      <c r="H14" s="131" t="str">
        <f>'1. Access Controls'!$K8</f>
        <v>Comment is required</v>
      </c>
      <c r="I14">
        <f>'1. Access Controls'!$J8</f>
        <v>0</v>
      </c>
      <c r="J14" t="str">
        <f t="shared" si="10"/>
        <v>Blank</v>
      </c>
      <c r="K14" s="123" t="s">
        <v>75</v>
      </c>
      <c r="L14" t="str">
        <f t="shared" si="1"/>
        <v>Blank</v>
      </c>
      <c r="N14" t="str">
        <f t="shared" si="2"/>
        <v/>
      </c>
      <c r="O14" t="str">
        <f t="shared" si="3"/>
        <v/>
      </c>
      <c r="P14" t="str">
        <f t="shared" si="4"/>
        <v>Comment is required</v>
      </c>
      <c r="Q14" t="str">
        <f t="shared" si="5"/>
        <v>Blank</v>
      </c>
      <c r="R14" t="str">
        <f t="shared" si="6"/>
        <v>No Override</v>
      </c>
      <c r="S14">
        <f t="shared" si="7"/>
        <v>4</v>
      </c>
      <c r="T14" t="str">
        <f t="shared" si="8"/>
        <v/>
      </c>
    </row>
    <row r="15" spans="1:20" x14ac:dyDescent="0.3">
      <c r="A15" s="181">
        <v>4</v>
      </c>
      <c r="C15">
        <f t="shared" si="9"/>
        <v>4</v>
      </c>
      <c r="D15" t="s">
        <v>773</v>
      </c>
      <c r="E15" s="51" t="s">
        <v>370</v>
      </c>
      <c r="F15" s="57" t="s">
        <v>372</v>
      </c>
      <c r="G15" s="131" t="s">
        <v>373</v>
      </c>
      <c r="H15" s="131" t="str">
        <f>'1. Access Controls'!$K9</f>
        <v>Comment is required</v>
      </c>
      <c r="I15">
        <f>'1. Access Controls'!$J9</f>
        <v>0</v>
      </c>
      <c r="J15" t="str">
        <f t="shared" si="10"/>
        <v>Blank</v>
      </c>
      <c r="K15" s="123" t="s">
        <v>75</v>
      </c>
      <c r="L15" t="str">
        <f t="shared" si="1"/>
        <v>Blank</v>
      </c>
      <c r="N15" t="str">
        <f t="shared" si="2"/>
        <v/>
      </c>
      <c r="O15" t="str">
        <f t="shared" si="3"/>
        <v/>
      </c>
      <c r="P15" t="str">
        <f t="shared" si="4"/>
        <v>Comment is required</v>
      </c>
      <c r="Q15" t="str">
        <f t="shared" si="5"/>
        <v>Blank</v>
      </c>
      <c r="R15" t="str">
        <f t="shared" si="6"/>
        <v>No Override</v>
      </c>
      <c r="S15">
        <f t="shared" si="7"/>
        <v>4</v>
      </c>
      <c r="T15" t="str">
        <f t="shared" si="8"/>
        <v/>
      </c>
    </row>
    <row r="16" spans="1:20" x14ac:dyDescent="0.3">
      <c r="A16" s="181">
        <v>4</v>
      </c>
      <c r="C16">
        <f t="shared" si="9"/>
        <v>4</v>
      </c>
      <c r="D16" t="s">
        <v>773</v>
      </c>
      <c r="E16" s="51" t="s">
        <v>374</v>
      </c>
      <c r="F16" s="57" t="s">
        <v>376</v>
      </c>
      <c r="G16" s="131" t="s">
        <v>377</v>
      </c>
      <c r="H16" s="131" t="str">
        <f>'1. Access Controls'!$K10</f>
        <v>Comment is required</v>
      </c>
      <c r="I16">
        <f>'1. Access Controls'!$J10</f>
        <v>0</v>
      </c>
      <c r="J16" t="str">
        <f t="shared" si="10"/>
        <v>Blank</v>
      </c>
      <c r="K16" s="123" t="s">
        <v>75</v>
      </c>
      <c r="L16" t="str">
        <f t="shared" si="1"/>
        <v>Blank</v>
      </c>
      <c r="N16" t="str">
        <f t="shared" si="2"/>
        <v/>
      </c>
      <c r="O16" t="str">
        <f t="shared" si="3"/>
        <v/>
      </c>
      <c r="P16" t="str">
        <f t="shared" si="4"/>
        <v>Comment is required</v>
      </c>
      <c r="Q16" t="str">
        <f t="shared" si="5"/>
        <v>Blank</v>
      </c>
      <c r="R16" t="str">
        <f t="shared" si="6"/>
        <v>No Override</v>
      </c>
      <c r="S16">
        <f t="shared" si="7"/>
        <v>4</v>
      </c>
      <c r="T16" t="str">
        <f t="shared" si="8"/>
        <v/>
      </c>
    </row>
    <row r="17" spans="1:20" x14ac:dyDescent="0.3">
      <c r="A17" s="181">
        <v>2</v>
      </c>
      <c r="C17">
        <f t="shared" si="9"/>
        <v>2</v>
      </c>
      <c r="D17" t="s">
        <v>773</v>
      </c>
      <c r="E17" s="51" t="s">
        <v>378</v>
      </c>
      <c r="F17" s="57" t="s">
        <v>381</v>
      </c>
      <c r="G17" s="131" t="s">
        <v>382</v>
      </c>
      <c r="H17" s="131" t="str">
        <f>'1. Access Controls'!$K11</f>
        <v>Comment is required</v>
      </c>
      <c r="I17">
        <f>'1. Access Controls'!$J11</f>
        <v>0</v>
      </c>
      <c r="J17" t="str">
        <f t="shared" si="10"/>
        <v>Blank</v>
      </c>
      <c r="K17" s="123" t="s">
        <v>75</v>
      </c>
      <c r="L17" t="str">
        <f t="shared" si="1"/>
        <v>Blank</v>
      </c>
      <c r="N17" t="str">
        <f t="shared" si="2"/>
        <v/>
      </c>
      <c r="O17" t="str">
        <f t="shared" si="3"/>
        <v/>
      </c>
      <c r="P17" t="str">
        <f t="shared" si="4"/>
        <v>Comment is required</v>
      </c>
      <c r="Q17" t="str">
        <f t="shared" si="5"/>
        <v>Blank</v>
      </c>
      <c r="R17" t="str">
        <f t="shared" si="6"/>
        <v>No Override</v>
      </c>
      <c r="S17">
        <f t="shared" si="7"/>
        <v>2</v>
      </c>
      <c r="T17" t="str">
        <f t="shared" si="8"/>
        <v/>
      </c>
    </row>
    <row r="18" spans="1:20" x14ac:dyDescent="0.3">
      <c r="A18" s="181">
        <v>2</v>
      </c>
      <c r="C18">
        <f t="shared" si="9"/>
        <v>2</v>
      </c>
      <c r="D18" t="s">
        <v>773</v>
      </c>
      <c r="E18" s="51" t="s">
        <v>383</v>
      </c>
      <c r="F18" s="57" t="s">
        <v>385</v>
      </c>
      <c r="G18" s="131" t="s">
        <v>386</v>
      </c>
      <c r="H18" s="131" t="str">
        <f>'1. Access Controls'!$K12</f>
        <v>Comment is required</v>
      </c>
      <c r="I18">
        <f>'1. Access Controls'!$J12</f>
        <v>0</v>
      </c>
      <c r="J18" t="str">
        <f t="shared" si="10"/>
        <v>Blank</v>
      </c>
      <c r="K18" s="123" t="s">
        <v>75</v>
      </c>
      <c r="L18" t="str">
        <f t="shared" si="1"/>
        <v>Blank</v>
      </c>
      <c r="N18" t="str">
        <f t="shared" si="2"/>
        <v/>
      </c>
      <c r="O18" t="str">
        <f t="shared" si="3"/>
        <v/>
      </c>
      <c r="P18" t="str">
        <f t="shared" si="4"/>
        <v>Comment is required</v>
      </c>
      <c r="Q18" t="str">
        <f t="shared" si="5"/>
        <v>Blank</v>
      </c>
      <c r="R18" t="str">
        <f t="shared" si="6"/>
        <v>No Override</v>
      </c>
      <c r="S18">
        <f t="shared" si="7"/>
        <v>2</v>
      </c>
      <c r="T18" t="str">
        <f t="shared" si="8"/>
        <v/>
      </c>
    </row>
    <row r="19" spans="1:20" x14ac:dyDescent="0.3">
      <c r="A19" s="181">
        <v>2</v>
      </c>
      <c r="C19">
        <f t="shared" si="9"/>
        <v>2</v>
      </c>
      <c r="D19" t="s">
        <v>773</v>
      </c>
      <c r="E19" s="51" t="s">
        <v>387</v>
      </c>
      <c r="F19" s="57" t="s">
        <v>389</v>
      </c>
      <c r="G19" s="131" t="s">
        <v>390</v>
      </c>
      <c r="H19" s="131" t="str">
        <f>'1. Access Controls'!$K13</f>
        <v>Comment is required</v>
      </c>
      <c r="I19">
        <f>'1. Access Controls'!$J13</f>
        <v>0</v>
      </c>
      <c r="J19" t="str">
        <f t="shared" si="10"/>
        <v>Blank</v>
      </c>
      <c r="K19" s="123" t="s">
        <v>75</v>
      </c>
      <c r="L19" t="str">
        <f t="shared" si="1"/>
        <v>Blank</v>
      </c>
      <c r="N19" t="str">
        <f t="shared" si="2"/>
        <v/>
      </c>
      <c r="O19" t="str">
        <f t="shared" si="3"/>
        <v/>
      </c>
      <c r="P19" t="str">
        <f t="shared" si="4"/>
        <v>Comment is required</v>
      </c>
      <c r="Q19" t="str">
        <f t="shared" si="5"/>
        <v>Blank</v>
      </c>
      <c r="R19" t="str">
        <f t="shared" si="6"/>
        <v>No Override</v>
      </c>
      <c r="S19">
        <f t="shared" si="7"/>
        <v>2</v>
      </c>
      <c r="T19" t="str">
        <f t="shared" si="8"/>
        <v/>
      </c>
    </row>
    <row r="20" spans="1:20" ht="22.8" x14ac:dyDescent="0.3">
      <c r="A20" s="181">
        <v>2</v>
      </c>
      <c r="C20">
        <f t="shared" si="9"/>
        <v>2</v>
      </c>
      <c r="D20" t="s">
        <v>391</v>
      </c>
      <c r="E20" s="51" t="s">
        <v>392</v>
      </c>
      <c r="F20" s="57" t="s">
        <v>395</v>
      </c>
      <c r="G20" s="131" t="s">
        <v>396</v>
      </c>
      <c r="H20" s="131" t="str">
        <f>'2. Awareness and Training'!$K3</f>
        <v>Comment is required</v>
      </c>
      <c r="I20">
        <f>'2. Awareness and Training'!$J3</f>
        <v>0</v>
      </c>
      <c r="J20" t="str">
        <f>IF($I20="Yes","Adequate",IF($I20="No","Inadequate",IF($I20="Partial","Inadequate",IF($I20="N/A","Inadequate",IF(OR($I20="",$I20=0),"Blank","Error")))))</f>
        <v>Blank</v>
      </c>
      <c r="K20" s="123" t="s">
        <v>75</v>
      </c>
      <c r="L20" t="str">
        <f t="shared" si="1"/>
        <v>Blank</v>
      </c>
      <c r="N20" t="str">
        <f t="shared" si="2"/>
        <v/>
      </c>
      <c r="O20" t="str">
        <f t="shared" si="3"/>
        <v/>
      </c>
      <c r="P20" t="str">
        <f t="shared" si="4"/>
        <v>Comment is required</v>
      </c>
      <c r="Q20" t="str">
        <f t="shared" si="5"/>
        <v>Blank</v>
      </c>
      <c r="R20" t="str">
        <f t="shared" si="6"/>
        <v>No Override</v>
      </c>
      <c r="S20">
        <f t="shared" si="7"/>
        <v>2</v>
      </c>
      <c r="T20" t="str">
        <f t="shared" si="8"/>
        <v/>
      </c>
    </row>
    <row r="21" spans="1:20" x14ac:dyDescent="0.3">
      <c r="A21" s="181">
        <v>2</v>
      </c>
      <c r="C21">
        <f t="shared" si="9"/>
        <v>2</v>
      </c>
      <c r="D21" t="s">
        <v>391</v>
      </c>
      <c r="E21" s="51" t="s">
        <v>397</v>
      </c>
      <c r="F21" s="59" t="s">
        <v>400</v>
      </c>
      <c r="G21" s="131" t="s">
        <v>401</v>
      </c>
      <c r="H21" s="131" t="str">
        <f>'2. Awareness and Training'!$K4</f>
        <v>Comment is required</v>
      </c>
      <c r="I21">
        <f>'2. Awareness and Training'!$J4</f>
        <v>0</v>
      </c>
      <c r="J21" t="str">
        <f>IF($I21="Yes","Adequate",IF($I21="No","Inadequate",IF($I21="Partial","Inadequate",IF($I21="N/A","Inadequate",IF(OR($I21="",$I21=0),"Blank","Error")))))</f>
        <v>Blank</v>
      </c>
      <c r="K21" s="123" t="s">
        <v>75</v>
      </c>
      <c r="L21" t="str">
        <f t="shared" si="1"/>
        <v>Blank</v>
      </c>
      <c r="N21" t="str">
        <f t="shared" si="2"/>
        <v/>
      </c>
      <c r="O21" t="str">
        <f t="shared" si="3"/>
        <v/>
      </c>
      <c r="P21" t="str">
        <f t="shared" si="4"/>
        <v>Comment is required</v>
      </c>
      <c r="Q21" t="str">
        <f t="shared" si="5"/>
        <v>Blank</v>
      </c>
      <c r="R21" t="str">
        <f t="shared" si="6"/>
        <v>No Override</v>
      </c>
      <c r="S21">
        <f t="shared" si="7"/>
        <v>2</v>
      </c>
      <c r="T21" t="str">
        <f t="shared" si="8"/>
        <v/>
      </c>
    </row>
    <row r="22" spans="1:20" x14ac:dyDescent="0.3">
      <c r="A22" s="181">
        <v>2</v>
      </c>
      <c r="C22">
        <f t="shared" si="9"/>
        <v>2</v>
      </c>
      <c r="D22" t="s">
        <v>391</v>
      </c>
      <c r="E22" s="51" t="s">
        <v>402</v>
      </c>
      <c r="F22" s="59" t="s">
        <v>400</v>
      </c>
      <c r="G22" s="131" t="s">
        <v>403</v>
      </c>
      <c r="H22" s="131" t="str">
        <f>'2. Awareness and Training'!$K5</f>
        <v>Comment is required</v>
      </c>
      <c r="I22">
        <f>'2. Awareness and Training'!$J5</f>
        <v>0</v>
      </c>
      <c r="J22" t="str">
        <f>IF($I22="Yes","Adequate",IF($I22="No","Inadequate",IF($I22="Partial","Inadequate",IF($I22="N/A","Inadequate",IF(OR($I22="",$I22=0),"Blank","Error")))))</f>
        <v>Blank</v>
      </c>
      <c r="K22" s="123" t="s">
        <v>75</v>
      </c>
      <c r="L22" t="str">
        <f t="shared" si="1"/>
        <v>Blank</v>
      </c>
      <c r="N22" t="str">
        <f t="shared" si="2"/>
        <v/>
      </c>
      <c r="O22" t="str">
        <f t="shared" si="3"/>
        <v/>
      </c>
      <c r="P22" t="str">
        <f t="shared" si="4"/>
        <v>Comment is required</v>
      </c>
      <c r="Q22" t="str">
        <f t="shared" si="5"/>
        <v>Blank</v>
      </c>
      <c r="R22" t="str">
        <f t="shared" si="6"/>
        <v>No Override</v>
      </c>
      <c r="S22">
        <f t="shared" si="7"/>
        <v>2</v>
      </c>
      <c r="T22" t="str">
        <f t="shared" si="8"/>
        <v/>
      </c>
    </row>
    <row r="23" spans="1:20" ht="22.8" x14ac:dyDescent="0.3">
      <c r="A23" s="181">
        <v>2</v>
      </c>
      <c r="C23">
        <f t="shared" si="9"/>
        <v>2</v>
      </c>
      <c r="D23" t="s">
        <v>391</v>
      </c>
      <c r="E23" s="51" t="s">
        <v>404</v>
      </c>
      <c r="F23" s="59" t="s">
        <v>406</v>
      </c>
      <c r="G23" s="132" t="s">
        <v>407</v>
      </c>
      <c r="H23" s="131" t="str">
        <f>'2. Awareness and Training'!$K6</f>
        <v>Comment is required</v>
      </c>
      <c r="I23">
        <f>'2. Awareness and Training'!$J6</f>
        <v>0</v>
      </c>
      <c r="J23" t="str">
        <f t="shared" ref="J23:J29" si="11">IF($I23="Yes","Adequate",IF($I23="No","Inadequate",IF($I23="Partial","Inadequate",IF($I23="N/A","Inadequate",IF(OR($I23="",$I23=0),"Blank","Error")))))</f>
        <v>Blank</v>
      </c>
      <c r="K23" s="123" t="s">
        <v>75</v>
      </c>
      <c r="L23" t="str">
        <f t="shared" si="1"/>
        <v>Blank</v>
      </c>
      <c r="N23" t="str">
        <f t="shared" si="2"/>
        <v/>
      </c>
      <c r="O23" t="str">
        <f t="shared" si="3"/>
        <v/>
      </c>
      <c r="P23" t="str">
        <f t="shared" si="4"/>
        <v>Comment is required</v>
      </c>
      <c r="Q23" t="str">
        <f t="shared" si="5"/>
        <v>Blank</v>
      </c>
      <c r="R23" t="str">
        <f t="shared" si="6"/>
        <v>No Override</v>
      </c>
      <c r="S23">
        <f t="shared" si="7"/>
        <v>2</v>
      </c>
      <c r="T23" t="str">
        <f t="shared" si="8"/>
        <v/>
      </c>
    </row>
    <row r="24" spans="1:20" x14ac:dyDescent="0.3">
      <c r="A24" s="181">
        <v>2</v>
      </c>
      <c r="C24">
        <f t="shared" si="9"/>
        <v>2</v>
      </c>
      <c r="D24" t="s">
        <v>391</v>
      </c>
      <c r="E24" s="51" t="s">
        <v>408</v>
      </c>
      <c r="F24" s="59" t="s">
        <v>410</v>
      </c>
      <c r="G24" s="132" t="s">
        <v>411</v>
      </c>
      <c r="H24" s="131" t="str">
        <f>'2. Awareness and Training'!$K7</f>
        <v>Comment is required</v>
      </c>
      <c r="I24">
        <f>'2. Awareness and Training'!$J7</f>
        <v>0</v>
      </c>
      <c r="J24" t="str">
        <f t="shared" si="11"/>
        <v>Blank</v>
      </c>
      <c r="K24" s="123" t="s">
        <v>75</v>
      </c>
      <c r="L24" t="str">
        <f t="shared" si="1"/>
        <v>Blank</v>
      </c>
      <c r="N24" t="str">
        <f t="shared" si="2"/>
        <v/>
      </c>
      <c r="O24" t="str">
        <f t="shared" si="3"/>
        <v/>
      </c>
      <c r="P24" t="str">
        <f t="shared" si="4"/>
        <v>Comment is required</v>
      </c>
      <c r="Q24" t="str">
        <f t="shared" si="5"/>
        <v>Blank</v>
      </c>
      <c r="R24" t="str">
        <f t="shared" si="6"/>
        <v>No Override</v>
      </c>
      <c r="S24">
        <f t="shared" si="7"/>
        <v>2</v>
      </c>
      <c r="T24" t="str">
        <f t="shared" si="8"/>
        <v/>
      </c>
    </row>
    <row r="25" spans="1:20" ht="22.8" x14ac:dyDescent="0.3">
      <c r="A25" s="181">
        <v>2</v>
      </c>
      <c r="C25">
        <f t="shared" si="9"/>
        <v>2</v>
      </c>
      <c r="D25" t="s">
        <v>412</v>
      </c>
      <c r="E25" s="51" t="s">
        <v>413</v>
      </c>
      <c r="F25" s="59" t="s">
        <v>416</v>
      </c>
      <c r="G25" s="133" t="s">
        <v>417</v>
      </c>
      <c r="H25" s="131" t="str">
        <f>'3. Audit and Accountability'!$K3</f>
        <v>Comment is required</v>
      </c>
      <c r="I25">
        <f>'3. Audit and Accountability'!$J3</f>
        <v>0</v>
      </c>
      <c r="J25" t="str">
        <f t="shared" si="11"/>
        <v>Blank</v>
      </c>
      <c r="K25" s="123" t="s">
        <v>75</v>
      </c>
      <c r="L25" t="str">
        <f t="shared" si="1"/>
        <v>Blank</v>
      </c>
      <c r="N25" t="str">
        <f t="shared" si="2"/>
        <v/>
      </c>
      <c r="O25" t="str">
        <f t="shared" si="3"/>
        <v/>
      </c>
      <c r="P25" t="str">
        <f t="shared" si="4"/>
        <v>Comment is required</v>
      </c>
      <c r="Q25" t="str">
        <f t="shared" si="5"/>
        <v>Blank</v>
      </c>
      <c r="R25" t="str">
        <f t="shared" si="6"/>
        <v>No Override</v>
      </c>
      <c r="S25">
        <f t="shared" si="7"/>
        <v>2</v>
      </c>
      <c r="T25" t="str">
        <f t="shared" si="8"/>
        <v/>
      </c>
    </row>
    <row r="26" spans="1:20" x14ac:dyDescent="0.3">
      <c r="A26" s="181">
        <v>2</v>
      </c>
      <c r="C26">
        <f t="shared" si="9"/>
        <v>2</v>
      </c>
      <c r="D26" t="s">
        <v>412</v>
      </c>
      <c r="E26" s="51" t="s">
        <v>418</v>
      </c>
      <c r="F26" s="59" t="s">
        <v>416</v>
      </c>
      <c r="G26" s="133" t="s">
        <v>419</v>
      </c>
      <c r="H26" s="131" t="str">
        <f>'3. Audit and Accountability'!$K4</f>
        <v>Comment is required</v>
      </c>
      <c r="I26">
        <f>'3. Audit and Accountability'!$J4</f>
        <v>0</v>
      </c>
      <c r="J26" t="str">
        <f t="shared" si="11"/>
        <v>Blank</v>
      </c>
      <c r="K26" s="123" t="s">
        <v>75</v>
      </c>
      <c r="L26" t="str">
        <f t="shared" si="1"/>
        <v>Blank</v>
      </c>
      <c r="N26" t="str">
        <f t="shared" si="2"/>
        <v/>
      </c>
      <c r="O26" t="str">
        <f t="shared" si="3"/>
        <v/>
      </c>
      <c r="P26" t="str">
        <f t="shared" si="4"/>
        <v>Comment is required</v>
      </c>
      <c r="Q26" t="str">
        <f t="shared" si="5"/>
        <v>Blank</v>
      </c>
      <c r="R26" t="str">
        <f t="shared" si="6"/>
        <v>No Override</v>
      </c>
      <c r="S26">
        <f t="shared" si="7"/>
        <v>2</v>
      </c>
      <c r="T26" t="str">
        <f t="shared" si="8"/>
        <v/>
      </c>
    </row>
    <row r="27" spans="1:20" ht="34.200000000000003" x14ac:dyDescent="0.3">
      <c r="A27" s="181">
        <v>2</v>
      </c>
      <c r="C27">
        <f t="shared" si="9"/>
        <v>2</v>
      </c>
      <c r="D27" t="s">
        <v>412</v>
      </c>
      <c r="E27" s="51" t="s">
        <v>420</v>
      </c>
      <c r="F27" s="59" t="s">
        <v>423</v>
      </c>
      <c r="G27" s="133" t="s">
        <v>424</v>
      </c>
      <c r="H27" s="131" t="str">
        <f>'3. Audit and Accountability'!$K5</f>
        <v>Comment is required</v>
      </c>
      <c r="I27">
        <f>'3. Audit and Accountability'!$J5</f>
        <v>0</v>
      </c>
      <c r="J27" t="str">
        <f t="shared" si="11"/>
        <v>Blank</v>
      </c>
      <c r="K27" s="123" t="s">
        <v>75</v>
      </c>
      <c r="L27" t="str">
        <f t="shared" si="1"/>
        <v>Blank</v>
      </c>
      <c r="N27" t="str">
        <f t="shared" si="2"/>
        <v/>
      </c>
      <c r="O27" t="str">
        <f t="shared" si="3"/>
        <v/>
      </c>
      <c r="P27" t="str">
        <f t="shared" si="4"/>
        <v>Comment is required</v>
      </c>
      <c r="Q27" t="str">
        <f t="shared" si="5"/>
        <v>Blank</v>
      </c>
      <c r="R27" t="str">
        <f t="shared" si="6"/>
        <v>No Override</v>
      </c>
      <c r="S27">
        <f t="shared" si="7"/>
        <v>2</v>
      </c>
      <c r="T27" t="str">
        <f t="shared" si="8"/>
        <v/>
      </c>
    </row>
    <row r="28" spans="1:20" x14ac:dyDescent="0.3">
      <c r="A28" s="181">
        <v>3</v>
      </c>
      <c r="C28">
        <f t="shared" si="9"/>
        <v>3</v>
      </c>
      <c r="D28" t="s">
        <v>412</v>
      </c>
      <c r="E28" s="51" t="s">
        <v>425</v>
      </c>
      <c r="F28" s="59" t="s">
        <v>427</v>
      </c>
      <c r="G28" s="133" t="s">
        <v>428</v>
      </c>
      <c r="H28" s="131" t="str">
        <f>'3. Audit and Accountability'!$K6</f>
        <v>Comment is required</v>
      </c>
      <c r="I28">
        <f>'3. Audit and Accountability'!$J6</f>
        <v>0</v>
      </c>
      <c r="J28" t="str">
        <f t="shared" si="11"/>
        <v>Blank</v>
      </c>
      <c r="K28" s="123" t="s">
        <v>75</v>
      </c>
      <c r="L28" t="str">
        <f t="shared" si="1"/>
        <v>Blank</v>
      </c>
      <c r="N28" t="str">
        <f t="shared" si="2"/>
        <v/>
      </c>
      <c r="O28" t="str">
        <f t="shared" si="3"/>
        <v/>
      </c>
      <c r="P28" t="str">
        <f t="shared" si="4"/>
        <v>Comment is required</v>
      </c>
      <c r="Q28" t="str">
        <f t="shared" si="5"/>
        <v>Blank</v>
      </c>
      <c r="R28" t="str">
        <f t="shared" si="6"/>
        <v>No Override</v>
      </c>
      <c r="S28">
        <f t="shared" si="7"/>
        <v>3</v>
      </c>
      <c r="T28" t="str">
        <f t="shared" si="8"/>
        <v/>
      </c>
    </row>
    <row r="29" spans="1:20" x14ac:dyDescent="0.3">
      <c r="A29" s="181">
        <v>3</v>
      </c>
      <c r="C29">
        <f t="shared" si="9"/>
        <v>3</v>
      </c>
      <c r="D29" t="s">
        <v>412</v>
      </c>
      <c r="E29" s="51" t="s">
        <v>429</v>
      </c>
      <c r="F29" s="59" t="s">
        <v>432</v>
      </c>
      <c r="G29" s="133" t="s">
        <v>433</v>
      </c>
      <c r="H29" s="131" t="str">
        <f>'3. Audit and Accountability'!$K7</f>
        <v>Comment is required</v>
      </c>
      <c r="I29">
        <f>'3. Audit and Accountability'!$J7</f>
        <v>0</v>
      </c>
      <c r="J29" t="str">
        <f t="shared" si="11"/>
        <v>Blank</v>
      </c>
      <c r="K29" s="123" t="s">
        <v>75</v>
      </c>
      <c r="L29" t="str">
        <f t="shared" si="1"/>
        <v>Blank</v>
      </c>
      <c r="N29" t="str">
        <f t="shared" si="2"/>
        <v/>
      </c>
      <c r="O29" t="str">
        <f t="shared" si="3"/>
        <v/>
      </c>
      <c r="P29" t="str">
        <f t="shared" si="4"/>
        <v>Comment is required</v>
      </c>
      <c r="Q29" t="str">
        <f t="shared" si="5"/>
        <v>Blank</v>
      </c>
      <c r="R29" t="str">
        <f t="shared" si="6"/>
        <v>No Override</v>
      </c>
      <c r="S29">
        <f t="shared" si="7"/>
        <v>3</v>
      </c>
      <c r="T29" t="str">
        <f t="shared" si="8"/>
        <v/>
      </c>
    </row>
    <row r="30" spans="1:20" x14ac:dyDescent="0.3">
      <c r="A30" s="181">
        <v>4</v>
      </c>
      <c r="C30">
        <f t="shared" si="9"/>
        <v>4</v>
      </c>
      <c r="D30" t="s">
        <v>412</v>
      </c>
      <c r="E30" s="51" t="s">
        <v>434</v>
      </c>
      <c r="F30" s="59" t="s">
        <v>432</v>
      </c>
      <c r="G30" s="50" t="s">
        <v>435</v>
      </c>
      <c r="H30" s="131" t="str">
        <f>'3. Audit and Accountability'!$K8</f>
        <v>Comment is required</v>
      </c>
      <c r="I30">
        <f>'3. Audit and Accountability'!$J8</f>
        <v>0</v>
      </c>
      <c r="J30" t="str">
        <f>IF($I30="Yes","Inadequate",IF($I30="No","Adequate",IF($I30="Partial","Inadequate",IF($I30="N/A","Inadequate",IF(OR($I30="",$I30=0),"Blank","Error")))))</f>
        <v>Blank</v>
      </c>
      <c r="K30" s="123" t="s">
        <v>75</v>
      </c>
      <c r="L30" t="str">
        <f t="shared" si="1"/>
        <v>Blank</v>
      </c>
      <c r="N30" t="str">
        <f t="shared" si="2"/>
        <v/>
      </c>
      <c r="O30" t="str">
        <f t="shared" si="3"/>
        <v/>
      </c>
      <c r="P30" t="str">
        <f t="shared" si="4"/>
        <v>Comment is required</v>
      </c>
      <c r="Q30" t="str">
        <f t="shared" si="5"/>
        <v>Blank</v>
      </c>
      <c r="R30" t="str">
        <f t="shared" si="6"/>
        <v>No Override</v>
      </c>
      <c r="S30">
        <f t="shared" si="7"/>
        <v>4</v>
      </c>
      <c r="T30" t="str">
        <f t="shared" si="8"/>
        <v/>
      </c>
    </row>
    <row r="31" spans="1:20" x14ac:dyDescent="0.3">
      <c r="A31" s="181">
        <v>2</v>
      </c>
      <c r="C31">
        <f t="shared" si="9"/>
        <v>2</v>
      </c>
      <c r="D31" t="s">
        <v>412</v>
      </c>
      <c r="E31" s="51" t="s">
        <v>436</v>
      </c>
      <c r="F31" s="59" t="s">
        <v>438</v>
      </c>
      <c r="G31" s="133" t="s">
        <v>439</v>
      </c>
      <c r="H31" s="131" t="str">
        <f>'3. Audit and Accountability'!$K9</f>
        <v>Comment is required</v>
      </c>
      <c r="I31">
        <f>'3. Audit and Accountability'!$J9</f>
        <v>0</v>
      </c>
      <c r="J31" t="str">
        <f t="shared" ref="J31:J33" si="12">IF($I31="Yes","Adequate",IF($I31="No","Inadequate",IF($I31="Partial","Inadequate",IF($I31="N/A","Inadequate",IF(OR($I31="",$I31=0),"Blank","Error")))))</f>
        <v>Blank</v>
      </c>
      <c r="K31" s="123" t="s">
        <v>75</v>
      </c>
      <c r="L31" t="str">
        <f t="shared" si="1"/>
        <v>Blank</v>
      </c>
      <c r="N31" t="str">
        <f t="shared" si="2"/>
        <v/>
      </c>
      <c r="O31" t="str">
        <f t="shared" si="3"/>
        <v/>
      </c>
      <c r="P31" t="str">
        <f t="shared" si="4"/>
        <v>Comment is required</v>
      </c>
      <c r="Q31" t="str">
        <f t="shared" si="5"/>
        <v>Blank</v>
      </c>
      <c r="R31" t="str">
        <f t="shared" si="6"/>
        <v>No Override</v>
      </c>
      <c r="S31">
        <f t="shared" si="7"/>
        <v>2</v>
      </c>
      <c r="T31" t="str">
        <f t="shared" si="8"/>
        <v/>
      </c>
    </row>
    <row r="32" spans="1:20" x14ac:dyDescent="0.3">
      <c r="A32" s="181">
        <v>2</v>
      </c>
      <c r="C32">
        <f t="shared" si="9"/>
        <v>2</v>
      </c>
      <c r="D32" t="s">
        <v>412</v>
      </c>
      <c r="E32" s="51" t="s">
        <v>440</v>
      </c>
      <c r="F32" s="59" t="s">
        <v>442</v>
      </c>
      <c r="G32" s="133" t="s">
        <v>443</v>
      </c>
      <c r="H32" s="131" t="str">
        <f>'3. Audit and Accountability'!$K10</f>
        <v>Comment is required</v>
      </c>
      <c r="I32">
        <f>'3. Audit and Accountability'!$J10</f>
        <v>0</v>
      </c>
      <c r="J32" t="str">
        <f t="shared" si="12"/>
        <v>Blank</v>
      </c>
      <c r="K32" s="123" t="s">
        <v>75</v>
      </c>
      <c r="L32" t="str">
        <f t="shared" si="1"/>
        <v>Blank</v>
      </c>
      <c r="N32" t="str">
        <f t="shared" si="2"/>
        <v/>
      </c>
      <c r="O32" t="str">
        <f t="shared" si="3"/>
        <v/>
      </c>
      <c r="P32" t="str">
        <f t="shared" si="4"/>
        <v>Comment is required</v>
      </c>
      <c r="Q32" t="str">
        <f t="shared" si="5"/>
        <v>Blank</v>
      </c>
      <c r="R32" t="str">
        <f t="shared" si="6"/>
        <v>No Override</v>
      </c>
      <c r="S32">
        <f t="shared" si="7"/>
        <v>2</v>
      </c>
      <c r="T32" t="str">
        <f t="shared" si="8"/>
        <v/>
      </c>
    </row>
    <row r="33" spans="1:20" x14ac:dyDescent="0.3">
      <c r="A33" s="181">
        <v>3</v>
      </c>
      <c r="C33">
        <f t="shared" si="9"/>
        <v>3</v>
      </c>
      <c r="D33" t="s">
        <v>412</v>
      </c>
      <c r="E33" s="51" t="s">
        <v>444</v>
      </c>
      <c r="F33" s="59" t="s">
        <v>446</v>
      </c>
      <c r="G33" s="133" t="s">
        <v>447</v>
      </c>
      <c r="H33" s="131" t="str">
        <f>'3. Audit and Accountability'!$K11</f>
        <v>Comment is required</v>
      </c>
      <c r="I33">
        <f>'3. Audit and Accountability'!$J11</f>
        <v>0</v>
      </c>
      <c r="J33" t="str">
        <f t="shared" si="12"/>
        <v>Blank</v>
      </c>
      <c r="K33" s="123" t="s">
        <v>75</v>
      </c>
      <c r="L33" t="str">
        <f t="shared" si="1"/>
        <v>Blank</v>
      </c>
      <c r="N33" t="str">
        <f t="shared" si="2"/>
        <v/>
      </c>
      <c r="O33" t="str">
        <f t="shared" si="3"/>
        <v/>
      </c>
      <c r="P33" t="str">
        <f t="shared" si="4"/>
        <v>Comment is required</v>
      </c>
      <c r="Q33" t="str">
        <f t="shared" si="5"/>
        <v>Blank</v>
      </c>
      <c r="R33" t="str">
        <f t="shared" si="6"/>
        <v>No Override</v>
      </c>
      <c r="S33">
        <f t="shared" si="7"/>
        <v>3</v>
      </c>
      <c r="T33" t="str">
        <f t="shared" si="8"/>
        <v/>
      </c>
    </row>
    <row r="34" spans="1:20" ht="22.8" x14ac:dyDescent="0.3">
      <c r="A34" s="181">
        <v>4</v>
      </c>
      <c r="C34">
        <f t="shared" ref="C34:C79" si="13">IF($B34="",$A34,$B34)</f>
        <v>4</v>
      </c>
      <c r="D34" t="s">
        <v>448</v>
      </c>
      <c r="E34" s="51" t="s">
        <v>449</v>
      </c>
      <c r="F34" s="57" t="s">
        <v>451</v>
      </c>
      <c r="G34" s="131" t="s">
        <v>452</v>
      </c>
      <c r="H34" s="131" t="str">
        <f>'5. Configuration'!$K3</f>
        <v>Comment is required</v>
      </c>
      <c r="I34">
        <f>'5. Configuration'!$J3</f>
        <v>0</v>
      </c>
      <c r="J34" t="str">
        <f t="shared" ref="J34:J58" si="14">IF($I34="Yes","Adequate",IF($I34="No","Inadequate",IF($I34="Partial","Inadequate",IF($I34="N/A","Inadequate",IF(OR($I34="",$I34=0),"Blank","Error")))))</f>
        <v>Blank</v>
      </c>
      <c r="K34" s="123" t="s">
        <v>75</v>
      </c>
      <c r="L34" t="str">
        <f t="shared" ref="L34:L78" si="15">IF($K34="No Override",$J34,$K34)</f>
        <v>Blank</v>
      </c>
      <c r="N34" t="str">
        <f t="shared" ref="N34:N79" si="16">IF($J34=$L34,"","***")</f>
        <v/>
      </c>
      <c r="O34" t="str">
        <f t="shared" ref="O34:O79" si="17">IF(OR($I34="",$I34=0),"",$I34)</f>
        <v/>
      </c>
      <c r="P34" t="str">
        <f t="shared" ref="P34:P79" si="18">IF(OR($H34="",$H34=0),"",$H34)</f>
        <v>Comment is required</v>
      </c>
      <c r="Q34" t="str">
        <f t="shared" ref="Q34:Q79" si="19">$L34</f>
        <v>Blank</v>
      </c>
      <c r="R34" t="str">
        <f t="shared" ref="R34:R79" si="20">$K34</f>
        <v>No Override</v>
      </c>
      <c r="S34">
        <f t="shared" ref="S34:S79" si="21">$C34</f>
        <v>4</v>
      </c>
      <c r="T34" t="str">
        <f t="shared" ref="T34:T73" si="22">IF($L34=$Q34,"","***")</f>
        <v/>
      </c>
    </row>
    <row r="35" spans="1:20" ht="22.8" x14ac:dyDescent="0.3">
      <c r="A35" s="181">
        <v>1</v>
      </c>
      <c r="C35">
        <f t="shared" si="13"/>
        <v>1</v>
      </c>
      <c r="D35" t="s">
        <v>448</v>
      </c>
      <c r="E35" s="51" t="s">
        <v>256</v>
      </c>
      <c r="F35" s="57" t="s">
        <v>257</v>
      </c>
      <c r="G35" s="135" t="s">
        <v>453</v>
      </c>
      <c r="H35" s="131" t="str">
        <f>'5. Configuration'!$K4</f>
        <v>Comment is required</v>
      </c>
      <c r="I35">
        <f>'5. Configuration'!$J4</f>
        <v>0</v>
      </c>
      <c r="J35" t="str">
        <f t="shared" si="14"/>
        <v>Blank</v>
      </c>
      <c r="K35" s="123" t="s">
        <v>75</v>
      </c>
      <c r="L35" t="str">
        <f t="shared" si="15"/>
        <v>Blank</v>
      </c>
      <c r="N35" t="str">
        <f t="shared" si="16"/>
        <v/>
      </c>
      <c r="O35" t="str">
        <f t="shared" si="17"/>
        <v/>
      </c>
      <c r="P35" t="str">
        <f t="shared" si="18"/>
        <v>Comment is required</v>
      </c>
      <c r="Q35" t="str">
        <f t="shared" si="19"/>
        <v>Blank</v>
      </c>
      <c r="R35" t="str">
        <f t="shared" si="20"/>
        <v>No Override</v>
      </c>
      <c r="S35">
        <f t="shared" si="21"/>
        <v>1</v>
      </c>
      <c r="T35" t="str">
        <f t="shared" si="22"/>
        <v/>
      </c>
    </row>
    <row r="36" spans="1:20" x14ac:dyDescent="0.3">
      <c r="A36" s="181">
        <v>1</v>
      </c>
      <c r="C36">
        <f t="shared" si="13"/>
        <v>1</v>
      </c>
      <c r="D36" t="s">
        <v>448</v>
      </c>
      <c r="E36" s="51" t="s">
        <v>454</v>
      </c>
      <c r="F36" s="57" t="s">
        <v>261</v>
      </c>
      <c r="G36" s="135" t="s">
        <v>455</v>
      </c>
      <c r="H36" s="131" t="str">
        <f>'5. Configuration'!$K5</f>
        <v>Comment is required</v>
      </c>
      <c r="I36">
        <f>'5. Configuration'!$J5</f>
        <v>0</v>
      </c>
      <c r="J36" t="str">
        <f t="shared" si="14"/>
        <v>Blank</v>
      </c>
      <c r="K36" s="123" t="s">
        <v>75</v>
      </c>
      <c r="L36" t="str">
        <f t="shared" si="15"/>
        <v>Blank</v>
      </c>
      <c r="N36" t="str">
        <f t="shared" si="16"/>
        <v/>
      </c>
      <c r="O36" t="str">
        <f t="shared" si="17"/>
        <v/>
      </c>
      <c r="P36" t="str">
        <f t="shared" si="18"/>
        <v>Comment is required</v>
      </c>
      <c r="Q36" t="str">
        <f t="shared" si="19"/>
        <v>Blank</v>
      </c>
      <c r="R36" t="str">
        <f t="shared" si="20"/>
        <v>No Override</v>
      </c>
      <c r="S36">
        <f t="shared" si="21"/>
        <v>1</v>
      </c>
      <c r="T36" t="str">
        <f t="shared" si="22"/>
        <v/>
      </c>
    </row>
    <row r="37" spans="1:20" ht="22.8" x14ac:dyDescent="0.3">
      <c r="A37" s="181">
        <v>1</v>
      </c>
      <c r="C37">
        <f t="shared" si="13"/>
        <v>1</v>
      </c>
      <c r="D37" t="s">
        <v>448</v>
      </c>
      <c r="E37" s="51" t="s">
        <v>456</v>
      </c>
      <c r="F37" s="57" t="s">
        <v>261</v>
      </c>
      <c r="G37" s="135" t="s">
        <v>457</v>
      </c>
      <c r="H37" s="131" t="str">
        <f>'5. Configuration'!$K6</f>
        <v>Comment is required</v>
      </c>
      <c r="I37">
        <f>'5. Configuration'!$J6</f>
        <v>0</v>
      </c>
      <c r="J37" t="str">
        <f t="shared" si="14"/>
        <v>Blank</v>
      </c>
      <c r="K37" s="123" t="s">
        <v>75</v>
      </c>
      <c r="L37" t="str">
        <f t="shared" si="15"/>
        <v>Blank</v>
      </c>
      <c r="N37" t="str">
        <f t="shared" si="16"/>
        <v/>
      </c>
      <c r="O37" t="str">
        <f t="shared" si="17"/>
        <v/>
      </c>
      <c r="P37" t="str">
        <f t="shared" si="18"/>
        <v>Comment is required</v>
      </c>
      <c r="Q37" t="str">
        <f t="shared" si="19"/>
        <v>Blank</v>
      </c>
      <c r="R37" t="str">
        <f t="shared" si="20"/>
        <v>No Override</v>
      </c>
      <c r="S37">
        <f t="shared" si="21"/>
        <v>1</v>
      </c>
      <c r="T37" t="str">
        <f t="shared" si="22"/>
        <v/>
      </c>
    </row>
    <row r="38" spans="1:20" x14ac:dyDescent="0.3">
      <c r="A38" s="181">
        <v>1</v>
      </c>
      <c r="C38">
        <f t="shared" si="13"/>
        <v>1</v>
      </c>
      <c r="D38" t="s">
        <v>448</v>
      </c>
      <c r="E38" s="51" t="s">
        <v>458</v>
      </c>
      <c r="F38" s="57" t="s">
        <v>261</v>
      </c>
      <c r="G38" s="135" t="s">
        <v>459</v>
      </c>
      <c r="H38" s="131" t="str">
        <f>'5. Configuration'!$K7</f>
        <v>Comment is required</v>
      </c>
      <c r="I38">
        <f>'5. Configuration'!$J7</f>
        <v>0</v>
      </c>
      <c r="J38" t="str">
        <f t="shared" si="14"/>
        <v>Blank</v>
      </c>
      <c r="K38" s="123" t="s">
        <v>75</v>
      </c>
      <c r="L38" t="str">
        <f t="shared" si="15"/>
        <v>Blank</v>
      </c>
      <c r="N38" t="str">
        <f t="shared" si="16"/>
        <v/>
      </c>
      <c r="O38" t="str">
        <f t="shared" si="17"/>
        <v/>
      </c>
      <c r="P38" t="str">
        <f t="shared" si="18"/>
        <v>Comment is required</v>
      </c>
      <c r="Q38" t="str">
        <f t="shared" si="19"/>
        <v>Blank</v>
      </c>
      <c r="R38" t="str">
        <f t="shared" si="20"/>
        <v>No Override</v>
      </c>
      <c r="S38">
        <f t="shared" si="21"/>
        <v>1</v>
      </c>
      <c r="T38" t="str">
        <f t="shared" si="22"/>
        <v/>
      </c>
    </row>
    <row r="39" spans="1:20" x14ac:dyDescent="0.3">
      <c r="A39" s="181">
        <v>1</v>
      </c>
      <c r="C39">
        <f t="shared" si="13"/>
        <v>1</v>
      </c>
      <c r="D39" t="s">
        <v>448</v>
      </c>
      <c r="E39" s="51" t="s">
        <v>460</v>
      </c>
      <c r="F39" s="57" t="s">
        <v>261</v>
      </c>
      <c r="G39" s="135" t="s">
        <v>461</v>
      </c>
      <c r="H39" s="131" t="str">
        <f>'5. Configuration'!$K8</f>
        <v>Comment is required</v>
      </c>
      <c r="I39">
        <f>'5. Configuration'!$J8</f>
        <v>0</v>
      </c>
      <c r="J39" t="str">
        <f t="shared" si="14"/>
        <v>Blank</v>
      </c>
      <c r="K39" s="123" t="s">
        <v>75</v>
      </c>
      <c r="L39" t="str">
        <f t="shared" si="15"/>
        <v>Blank</v>
      </c>
      <c r="N39" t="str">
        <f t="shared" si="16"/>
        <v/>
      </c>
      <c r="O39" t="str">
        <f t="shared" si="17"/>
        <v/>
      </c>
      <c r="P39" t="str">
        <f t="shared" si="18"/>
        <v>Comment is required</v>
      </c>
      <c r="Q39" t="str">
        <f t="shared" si="19"/>
        <v>Blank</v>
      </c>
      <c r="R39" t="str">
        <f t="shared" si="20"/>
        <v>No Override</v>
      </c>
      <c r="S39">
        <f t="shared" si="21"/>
        <v>1</v>
      </c>
      <c r="T39" t="str">
        <f t="shared" si="22"/>
        <v/>
      </c>
    </row>
    <row r="40" spans="1:20" x14ac:dyDescent="0.3">
      <c r="A40" s="181">
        <v>1</v>
      </c>
      <c r="C40">
        <f t="shared" si="13"/>
        <v>1</v>
      </c>
      <c r="D40" t="s">
        <v>448</v>
      </c>
      <c r="E40" s="51" t="s">
        <v>462</v>
      </c>
      <c r="F40" s="57" t="s">
        <v>261</v>
      </c>
      <c r="G40" s="135" t="s">
        <v>463</v>
      </c>
      <c r="H40" s="131" t="str">
        <f>'5. Configuration'!$K9</f>
        <v>Comment is required</v>
      </c>
      <c r="I40">
        <f>'5. Configuration'!$J9</f>
        <v>0</v>
      </c>
      <c r="J40" t="str">
        <f t="shared" si="14"/>
        <v>Blank</v>
      </c>
      <c r="K40" s="123" t="s">
        <v>75</v>
      </c>
      <c r="L40" t="str">
        <f t="shared" si="15"/>
        <v>Blank</v>
      </c>
      <c r="N40" t="str">
        <f t="shared" si="16"/>
        <v/>
      </c>
      <c r="O40" t="str">
        <f t="shared" si="17"/>
        <v/>
      </c>
      <c r="P40" t="str">
        <f t="shared" si="18"/>
        <v>Comment is required</v>
      </c>
      <c r="Q40" t="str">
        <f t="shared" si="19"/>
        <v>Blank</v>
      </c>
      <c r="R40" t="str">
        <f t="shared" si="20"/>
        <v>No Override</v>
      </c>
      <c r="S40">
        <f t="shared" si="21"/>
        <v>1</v>
      </c>
      <c r="T40" t="str">
        <f t="shared" si="22"/>
        <v/>
      </c>
    </row>
    <row r="41" spans="1:20" x14ac:dyDescent="0.3">
      <c r="A41" s="181">
        <v>1</v>
      </c>
      <c r="C41">
        <f t="shared" si="13"/>
        <v>1</v>
      </c>
      <c r="D41" t="s">
        <v>448</v>
      </c>
      <c r="E41" s="51" t="s">
        <v>464</v>
      </c>
      <c r="F41" s="57" t="s">
        <v>261</v>
      </c>
      <c r="G41" s="135" t="s">
        <v>465</v>
      </c>
      <c r="H41" s="131" t="str">
        <f>'5. Configuration'!$K10</f>
        <v>Comment is required</v>
      </c>
      <c r="I41">
        <f>'5. Configuration'!$J10</f>
        <v>0</v>
      </c>
      <c r="J41" t="str">
        <f t="shared" si="14"/>
        <v>Blank</v>
      </c>
      <c r="K41" s="123" t="s">
        <v>75</v>
      </c>
      <c r="L41" t="str">
        <f t="shared" si="15"/>
        <v>Blank</v>
      </c>
      <c r="N41" t="str">
        <f t="shared" si="16"/>
        <v/>
      </c>
      <c r="O41" t="str">
        <f t="shared" si="17"/>
        <v/>
      </c>
      <c r="P41" t="str">
        <f t="shared" si="18"/>
        <v>Comment is required</v>
      </c>
      <c r="Q41" t="str">
        <f t="shared" si="19"/>
        <v>Blank</v>
      </c>
      <c r="R41" t="str">
        <f t="shared" si="20"/>
        <v>No Override</v>
      </c>
      <c r="S41">
        <f t="shared" si="21"/>
        <v>1</v>
      </c>
      <c r="T41" t="str">
        <f t="shared" si="22"/>
        <v/>
      </c>
    </row>
    <row r="42" spans="1:20" ht="22.8" x14ac:dyDescent="0.3">
      <c r="A42" s="181">
        <v>3</v>
      </c>
      <c r="C42">
        <f t="shared" si="13"/>
        <v>3</v>
      </c>
      <c r="D42" t="s">
        <v>448</v>
      </c>
      <c r="E42" s="51" t="s">
        <v>466</v>
      </c>
      <c r="F42" s="57" t="s">
        <v>468</v>
      </c>
      <c r="G42" s="135" t="s">
        <v>469</v>
      </c>
      <c r="H42" s="131" t="str">
        <f>'5. Configuration'!$K11</f>
        <v>Comment is required</v>
      </c>
      <c r="I42">
        <f>'5. Configuration'!$J11</f>
        <v>0</v>
      </c>
      <c r="J42" t="str">
        <f t="shared" si="14"/>
        <v>Blank</v>
      </c>
      <c r="K42" s="123" t="s">
        <v>75</v>
      </c>
      <c r="L42" t="str">
        <f t="shared" si="15"/>
        <v>Blank</v>
      </c>
      <c r="N42" t="str">
        <f t="shared" si="16"/>
        <v/>
      </c>
      <c r="O42" t="str">
        <f t="shared" si="17"/>
        <v/>
      </c>
      <c r="P42" t="str">
        <f t="shared" si="18"/>
        <v>Comment is required</v>
      </c>
      <c r="Q42" t="str">
        <f t="shared" si="19"/>
        <v>Blank</v>
      </c>
      <c r="R42" t="str">
        <f t="shared" si="20"/>
        <v>No Override</v>
      </c>
      <c r="S42">
        <f t="shared" si="21"/>
        <v>3</v>
      </c>
      <c r="T42" t="str">
        <f t="shared" si="22"/>
        <v/>
      </c>
    </row>
    <row r="43" spans="1:20" ht="22.8" x14ac:dyDescent="0.3">
      <c r="A43" s="181">
        <v>1</v>
      </c>
      <c r="C43">
        <f t="shared" si="13"/>
        <v>1</v>
      </c>
      <c r="D43" t="s">
        <v>448</v>
      </c>
      <c r="E43" s="51" t="s">
        <v>470</v>
      </c>
      <c r="F43" s="57" t="s">
        <v>471</v>
      </c>
      <c r="G43" s="135" t="s">
        <v>472</v>
      </c>
      <c r="H43" s="131" t="str">
        <f>'5. Configuration'!$K12</f>
        <v>Comment is required</v>
      </c>
      <c r="I43">
        <f>'5. Configuration'!$J12</f>
        <v>0</v>
      </c>
      <c r="J43" t="str">
        <f t="shared" si="14"/>
        <v>Blank</v>
      </c>
      <c r="K43" s="123" t="s">
        <v>75</v>
      </c>
      <c r="L43" t="str">
        <f t="shared" si="15"/>
        <v>Blank</v>
      </c>
      <c r="N43" t="str">
        <f t="shared" si="16"/>
        <v/>
      </c>
      <c r="O43" t="str">
        <f t="shared" si="17"/>
        <v/>
      </c>
      <c r="P43" t="str">
        <f t="shared" si="18"/>
        <v>Comment is required</v>
      </c>
      <c r="Q43" t="str">
        <f t="shared" si="19"/>
        <v>Blank</v>
      </c>
      <c r="R43" t="str">
        <f t="shared" si="20"/>
        <v>No Override</v>
      </c>
      <c r="S43">
        <f t="shared" si="21"/>
        <v>1</v>
      </c>
      <c r="T43" t="str">
        <f t="shared" si="22"/>
        <v/>
      </c>
    </row>
    <row r="44" spans="1:20" x14ac:dyDescent="0.3">
      <c r="A44" s="181">
        <v>1</v>
      </c>
      <c r="C44">
        <f t="shared" si="13"/>
        <v>1</v>
      </c>
      <c r="D44" t="s">
        <v>448</v>
      </c>
      <c r="E44" s="51" t="s">
        <v>473</v>
      </c>
      <c r="F44" s="57" t="s">
        <v>471</v>
      </c>
      <c r="G44" s="135" t="s">
        <v>474</v>
      </c>
      <c r="H44" s="131" t="str">
        <f>'5. Configuration'!$K13</f>
        <v>Comment is required</v>
      </c>
      <c r="I44">
        <f>'5. Configuration'!$J13</f>
        <v>0</v>
      </c>
      <c r="J44" t="str">
        <f t="shared" si="14"/>
        <v>Blank</v>
      </c>
      <c r="K44" s="123" t="s">
        <v>75</v>
      </c>
      <c r="L44" t="str">
        <f t="shared" si="15"/>
        <v>Blank</v>
      </c>
      <c r="N44" t="str">
        <f t="shared" si="16"/>
        <v/>
      </c>
      <c r="O44" t="str">
        <f t="shared" si="17"/>
        <v/>
      </c>
      <c r="P44" t="str">
        <f t="shared" si="18"/>
        <v>Comment is required</v>
      </c>
      <c r="Q44" t="str">
        <f t="shared" si="19"/>
        <v>Blank</v>
      </c>
      <c r="R44" t="str">
        <f t="shared" si="20"/>
        <v>No Override</v>
      </c>
      <c r="S44">
        <f t="shared" si="21"/>
        <v>1</v>
      </c>
      <c r="T44" t="str">
        <f t="shared" si="22"/>
        <v/>
      </c>
    </row>
    <row r="45" spans="1:20" x14ac:dyDescent="0.3">
      <c r="A45" s="181">
        <v>1</v>
      </c>
      <c r="C45">
        <f t="shared" si="13"/>
        <v>1</v>
      </c>
      <c r="D45" t="s">
        <v>448</v>
      </c>
      <c r="E45" s="51" t="s">
        <v>475</v>
      </c>
      <c r="F45" s="57" t="s">
        <v>471</v>
      </c>
      <c r="G45" s="135" t="s">
        <v>476</v>
      </c>
      <c r="H45" s="131" t="str">
        <f>'5. Configuration'!$K14</f>
        <v>Comment is required</v>
      </c>
      <c r="I45">
        <f>'5. Configuration'!$J14</f>
        <v>0</v>
      </c>
      <c r="J45" t="str">
        <f t="shared" si="14"/>
        <v>Blank</v>
      </c>
      <c r="K45" s="123" t="s">
        <v>75</v>
      </c>
      <c r="L45" t="str">
        <f t="shared" si="15"/>
        <v>Blank</v>
      </c>
      <c r="N45" t="str">
        <f t="shared" si="16"/>
        <v/>
      </c>
      <c r="O45" t="str">
        <f t="shared" si="17"/>
        <v/>
      </c>
      <c r="P45" t="str">
        <f t="shared" si="18"/>
        <v>Comment is required</v>
      </c>
      <c r="Q45" t="str">
        <f t="shared" si="19"/>
        <v>Blank</v>
      </c>
      <c r="R45" t="str">
        <f t="shared" si="20"/>
        <v>No Override</v>
      </c>
      <c r="S45">
        <f t="shared" si="21"/>
        <v>1</v>
      </c>
      <c r="T45" t="str">
        <f t="shared" si="22"/>
        <v/>
      </c>
    </row>
    <row r="46" spans="1:20" ht="22.8" x14ac:dyDescent="0.3">
      <c r="A46" s="181">
        <v>1</v>
      </c>
      <c r="C46">
        <f t="shared" si="13"/>
        <v>1</v>
      </c>
      <c r="D46" t="s">
        <v>448</v>
      </c>
      <c r="E46" s="51" t="s">
        <v>271</v>
      </c>
      <c r="F46" s="57" t="s">
        <v>272</v>
      </c>
      <c r="G46" s="135" t="s">
        <v>477</v>
      </c>
      <c r="H46" s="131" t="str">
        <f>'5. Configuration'!$K15</f>
        <v>Comment is required</v>
      </c>
      <c r="I46">
        <f>'5. Configuration'!$J15</f>
        <v>0</v>
      </c>
      <c r="J46" t="str">
        <f t="shared" si="14"/>
        <v>Blank</v>
      </c>
      <c r="K46" s="123" t="s">
        <v>75</v>
      </c>
      <c r="L46" t="str">
        <f t="shared" si="15"/>
        <v>Blank</v>
      </c>
      <c r="N46" t="str">
        <f t="shared" si="16"/>
        <v/>
      </c>
      <c r="O46" t="str">
        <f t="shared" si="17"/>
        <v/>
      </c>
      <c r="P46" t="str">
        <f t="shared" si="18"/>
        <v>Comment is required</v>
      </c>
      <c r="Q46" t="str">
        <f t="shared" si="19"/>
        <v>Blank</v>
      </c>
      <c r="R46" t="str">
        <f t="shared" si="20"/>
        <v>No Override</v>
      </c>
      <c r="S46">
        <f t="shared" si="21"/>
        <v>1</v>
      </c>
      <c r="T46" t="str">
        <f t="shared" si="22"/>
        <v/>
      </c>
    </row>
    <row r="47" spans="1:20" x14ac:dyDescent="0.3">
      <c r="A47" s="181">
        <v>1</v>
      </c>
      <c r="C47">
        <f t="shared" si="13"/>
        <v>1</v>
      </c>
      <c r="D47" t="s">
        <v>448</v>
      </c>
      <c r="E47" s="51" t="s">
        <v>478</v>
      </c>
      <c r="F47" s="57" t="s">
        <v>480</v>
      </c>
      <c r="G47" s="135" t="s">
        <v>481</v>
      </c>
      <c r="H47" s="131" t="str">
        <f>'5. Configuration'!$K16</f>
        <v>Comment is required</v>
      </c>
      <c r="I47">
        <f>'5. Configuration'!$J16</f>
        <v>0</v>
      </c>
      <c r="J47" t="str">
        <f t="shared" si="14"/>
        <v>Blank</v>
      </c>
      <c r="K47" s="123" t="s">
        <v>75</v>
      </c>
      <c r="L47" t="str">
        <f t="shared" si="15"/>
        <v>Blank</v>
      </c>
      <c r="N47" t="str">
        <f t="shared" si="16"/>
        <v/>
      </c>
      <c r="O47" t="str">
        <f t="shared" si="17"/>
        <v/>
      </c>
      <c r="P47" t="str">
        <f t="shared" si="18"/>
        <v>Comment is required</v>
      </c>
      <c r="Q47" t="str">
        <f t="shared" si="19"/>
        <v>Blank</v>
      </c>
      <c r="R47" t="str">
        <f t="shared" si="20"/>
        <v>No Override</v>
      </c>
      <c r="S47">
        <f t="shared" si="21"/>
        <v>1</v>
      </c>
      <c r="T47" t="str">
        <f t="shared" si="22"/>
        <v/>
      </c>
    </row>
    <row r="48" spans="1:20" x14ac:dyDescent="0.3">
      <c r="A48" s="181">
        <v>1</v>
      </c>
      <c r="C48">
        <f t="shared" si="13"/>
        <v>1</v>
      </c>
      <c r="D48" t="s">
        <v>448</v>
      </c>
      <c r="E48" s="51" t="s">
        <v>482</v>
      </c>
      <c r="F48" s="57" t="s">
        <v>480</v>
      </c>
      <c r="G48" s="135" t="s">
        <v>483</v>
      </c>
      <c r="H48" s="131" t="str">
        <f>'5. Configuration'!$K17</f>
        <v>Comment is required</v>
      </c>
      <c r="I48">
        <f>'5. Configuration'!$J17</f>
        <v>0</v>
      </c>
      <c r="J48" t="str">
        <f t="shared" si="14"/>
        <v>Blank</v>
      </c>
      <c r="K48" s="123" t="s">
        <v>75</v>
      </c>
      <c r="L48" t="str">
        <f t="shared" si="15"/>
        <v>Blank</v>
      </c>
      <c r="N48" t="str">
        <f t="shared" si="16"/>
        <v/>
      </c>
      <c r="O48" t="str">
        <f t="shared" si="17"/>
        <v/>
      </c>
      <c r="P48" t="str">
        <f t="shared" si="18"/>
        <v>Comment is required</v>
      </c>
      <c r="Q48" t="str">
        <f t="shared" si="19"/>
        <v>Blank</v>
      </c>
      <c r="R48" t="str">
        <f t="shared" si="20"/>
        <v>No Override</v>
      </c>
      <c r="S48">
        <f t="shared" si="21"/>
        <v>1</v>
      </c>
      <c r="T48" t="str">
        <f t="shared" si="22"/>
        <v/>
      </c>
    </row>
    <row r="49" spans="1:20" ht="22.8" x14ac:dyDescent="0.3">
      <c r="A49" s="181">
        <v>1</v>
      </c>
      <c r="C49">
        <f t="shared" si="13"/>
        <v>1</v>
      </c>
      <c r="D49" t="s">
        <v>448</v>
      </c>
      <c r="E49" s="51" t="s">
        <v>484</v>
      </c>
      <c r="F49" s="57" t="s">
        <v>280</v>
      </c>
      <c r="G49" s="135" t="s">
        <v>485</v>
      </c>
      <c r="H49" s="131" t="str">
        <f>'5. Configuration'!$K18</f>
        <v>Comment is required</v>
      </c>
      <c r="I49">
        <f>'5. Configuration'!$J18</f>
        <v>0</v>
      </c>
      <c r="J49" t="str">
        <f t="shared" si="14"/>
        <v>Blank</v>
      </c>
      <c r="K49" s="123" t="s">
        <v>75</v>
      </c>
      <c r="L49" t="str">
        <f t="shared" si="15"/>
        <v>Blank</v>
      </c>
      <c r="N49" t="str">
        <f t="shared" si="16"/>
        <v/>
      </c>
      <c r="O49" t="str">
        <f t="shared" si="17"/>
        <v/>
      </c>
      <c r="P49" t="str">
        <f t="shared" si="18"/>
        <v>Comment is required</v>
      </c>
      <c r="Q49" t="str">
        <f t="shared" si="19"/>
        <v>Blank</v>
      </c>
      <c r="R49" t="str">
        <f t="shared" si="20"/>
        <v>No Override</v>
      </c>
      <c r="S49">
        <f t="shared" si="21"/>
        <v>1</v>
      </c>
      <c r="T49" t="str">
        <f t="shared" si="22"/>
        <v/>
      </c>
    </row>
    <row r="50" spans="1:20" ht="22.8" x14ac:dyDescent="0.3">
      <c r="A50" s="181">
        <v>1</v>
      </c>
      <c r="C50">
        <f t="shared" si="13"/>
        <v>1</v>
      </c>
      <c r="D50" t="s">
        <v>448</v>
      </c>
      <c r="E50" s="51" t="s">
        <v>486</v>
      </c>
      <c r="F50" s="57" t="s">
        <v>280</v>
      </c>
      <c r="G50" s="135" t="s">
        <v>487</v>
      </c>
      <c r="H50" s="131" t="str">
        <f>'5. Configuration'!$K19</f>
        <v>Comment is required</v>
      </c>
      <c r="I50">
        <f>'5. Configuration'!$J19</f>
        <v>0</v>
      </c>
      <c r="J50" t="str">
        <f t="shared" si="14"/>
        <v>Blank</v>
      </c>
      <c r="K50" s="123" t="s">
        <v>75</v>
      </c>
      <c r="L50" t="str">
        <f t="shared" si="15"/>
        <v>Blank</v>
      </c>
      <c r="N50" t="str">
        <f t="shared" si="16"/>
        <v/>
      </c>
      <c r="O50" t="str">
        <f t="shared" si="17"/>
        <v/>
      </c>
      <c r="P50" t="str">
        <f t="shared" si="18"/>
        <v>Comment is required</v>
      </c>
      <c r="Q50" t="str">
        <f t="shared" si="19"/>
        <v>Blank</v>
      </c>
      <c r="R50" t="str">
        <f t="shared" si="20"/>
        <v>No Override</v>
      </c>
      <c r="S50">
        <f t="shared" si="21"/>
        <v>1</v>
      </c>
      <c r="T50" t="str">
        <f t="shared" si="22"/>
        <v/>
      </c>
    </row>
    <row r="51" spans="1:20" x14ac:dyDescent="0.3">
      <c r="A51" s="181">
        <v>1</v>
      </c>
      <c r="C51">
        <f t="shared" si="13"/>
        <v>1</v>
      </c>
      <c r="D51" t="s">
        <v>448</v>
      </c>
      <c r="E51" s="51" t="s">
        <v>488</v>
      </c>
      <c r="F51" s="57" t="s">
        <v>280</v>
      </c>
      <c r="G51" s="135" t="s">
        <v>489</v>
      </c>
      <c r="H51" s="131" t="str">
        <f>'5. Configuration'!$K20</f>
        <v>Comment is required</v>
      </c>
      <c r="I51">
        <f>'5. Configuration'!$J20</f>
        <v>0</v>
      </c>
      <c r="J51" t="str">
        <f t="shared" si="14"/>
        <v>Blank</v>
      </c>
      <c r="K51" s="123" t="s">
        <v>75</v>
      </c>
      <c r="L51" t="str">
        <f t="shared" si="15"/>
        <v>Blank</v>
      </c>
      <c r="N51" t="str">
        <f t="shared" si="16"/>
        <v/>
      </c>
      <c r="O51" t="str">
        <f t="shared" si="17"/>
        <v/>
      </c>
      <c r="P51" t="str">
        <f t="shared" si="18"/>
        <v>Comment is required</v>
      </c>
      <c r="Q51" t="str">
        <f t="shared" si="19"/>
        <v>Blank</v>
      </c>
      <c r="R51" t="str">
        <f t="shared" si="20"/>
        <v>No Override</v>
      </c>
      <c r="S51">
        <f t="shared" si="21"/>
        <v>1</v>
      </c>
      <c r="T51" t="str">
        <f t="shared" si="22"/>
        <v/>
      </c>
    </row>
    <row r="52" spans="1:20" x14ac:dyDescent="0.3">
      <c r="A52" s="181">
        <v>1</v>
      </c>
      <c r="C52">
        <f t="shared" si="13"/>
        <v>1</v>
      </c>
      <c r="D52" t="s">
        <v>448</v>
      </c>
      <c r="E52" s="51" t="s">
        <v>490</v>
      </c>
      <c r="F52" s="57" t="s">
        <v>280</v>
      </c>
      <c r="G52" s="135" t="s">
        <v>491</v>
      </c>
      <c r="H52" s="131" t="str">
        <f>'5. Configuration'!$K21</f>
        <v>Comment is required</v>
      </c>
      <c r="I52">
        <f>'5. Configuration'!$J21</f>
        <v>0</v>
      </c>
      <c r="J52" t="str">
        <f t="shared" si="14"/>
        <v>Blank</v>
      </c>
      <c r="K52" s="123" t="s">
        <v>75</v>
      </c>
      <c r="L52" t="str">
        <f t="shared" si="15"/>
        <v>Blank</v>
      </c>
      <c r="N52" t="str">
        <f t="shared" si="16"/>
        <v/>
      </c>
      <c r="O52" t="str">
        <f t="shared" si="17"/>
        <v/>
      </c>
      <c r="P52" t="str">
        <f t="shared" si="18"/>
        <v>Comment is required</v>
      </c>
      <c r="Q52" t="str">
        <f t="shared" si="19"/>
        <v>Blank</v>
      </c>
      <c r="R52" t="str">
        <f t="shared" si="20"/>
        <v>No Override</v>
      </c>
      <c r="S52">
        <f t="shared" si="21"/>
        <v>1</v>
      </c>
      <c r="T52" t="str">
        <f t="shared" si="22"/>
        <v/>
      </c>
    </row>
    <row r="53" spans="1:20" x14ac:dyDescent="0.3">
      <c r="A53" s="181">
        <v>1</v>
      </c>
      <c r="C53">
        <f t="shared" si="13"/>
        <v>1</v>
      </c>
      <c r="D53" t="s">
        <v>448</v>
      </c>
      <c r="E53" s="51" t="s">
        <v>287</v>
      </c>
      <c r="F53" s="57" t="s">
        <v>288</v>
      </c>
      <c r="G53" s="131" t="s">
        <v>492</v>
      </c>
      <c r="H53" s="131" t="str">
        <f>'5. Configuration'!$K22</f>
        <v>Comment is required</v>
      </c>
      <c r="I53">
        <f>'5. Configuration'!$J22</f>
        <v>0</v>
      </c>
      <c r="J53" t="str">
        <f t="shared" si="14"/>
        <v>Blank</v>
      </c>
      <c r="K53" s="123" t="s">
        <v>75</v>
      </c>
      <c r="L53" t="str">
        <f t="shared" si="15"/>
        <v>Blank</v>
      </c>
      <c r="N53" t="str">
        <f t="shared" si="16"/>
        <v/>
      </c>
      <c r="O53" t="str">
        <f t="shared" si="17"/>
        <v/>
      </c>
      <c r="P53" t="str">
        <f t="shared" si="18"/>
        <v>Comment is required</v>
      </c>
      <c r="Q53" t="str">
        <f t="shared" si="19"/>
        <v>Blank</v>
      </c>
      <c r="R53" t="str">
        <f t="shared" si="20"/>
        <v>No Override</v>
      </c>
      <c r="S53">
        <f t="shared" si="21"/>
        <v>1</v>
      </c>
      <c r="T53" t="str">
        <f t="shared" si="22"/>
        <v/>
      </c>
    </row>
    <row r="54" spans="1:20" x14ac:dyDescent="0.3">
      <c r="A54" s="181">
        <v>1</v>
      </c>
      <c r="C54">
        <f t="shared" si="13"/>
        <v>1</v>
      </c>
      <c r="D54" t="s">
        <v>448</v>
      </c>
      <c r="E54" s="51" t="s">
        <v>493</v>
      </c>
      <c r="F54" s="51" t="s">
        <v>494</v>
      </c>
      <c r="G54" s="135" t="s">
        <v>495</v>
      </c>
      <c r="H54" s="131" t="str">
        <f>'5. Configuration'!$K23</f>
        <v>Comment is required</v>
      </c>
      <c r="I54">
        <f>'5. Configuration'!$J23</f>
        <v>0</v>
      </c>
      <c r="J54" t="str">
        <f t="shared" si="14"/>
        <v>Blank</v>
      </c>
      <c r="K54" s="123" t="s">
        <v>75</v>
      </c>
      <c r="L54" t="str">
        <f t="shared" si="15"/>
        <v>Blank</v>
      </c>
      <c r="N54" t="str">
        <f t="shared" si="16"/>
        <v/>
      </c>
      <c r="O54" t="str">
        <f t="shared" si="17"/>
        <v/>
      </c>
      <c r="P54" t="str">
        <f t="shared" si="18"/>
        <v>Comment is required</v>
      </c>
      <c r="Q54" t="str">
        <f t="shared" si="19"/>
        <v>Blank</v>
      </c>
      <c r="R54" t="str">
        <f t="shared" si="20"/>
        <v>No Override</v>
      </c>
      <c r="S54">
        <f t="shared" si="21"/>
        <v>1</v>
      </c>
      <c r="T54" t="str">
        <f t="shared" si="22"/>
        <v/>
      </c>
    </row>
    <row r="55" spans="1:20" ht="22.8" x14ac:dyDescent="0.3">
      <c r="A55" s="181">
        <v>3</v>
      </c>
      <c r="C55">
        <f t="shared" si="13"/>
        <v>3</v>
      </c>
      <c r="D55" t="s">
        <v>448</v>
      </c>
      <c r="E55" s="51" t="s">
        <v>496</v>
      </c>
      <c r="F55" s="51" t="s">
        <v>497</v>
      </c>
      <c r="G55" s="135" t="s">
        <v>498</v>
      </c>
      <c r="H55" s="131" t="str">
        <f>'5. Configuration'!$K24</f>
        <v>Comment is required</v>
      </c>
      <c r="I55">
        <f>'5. Configuration'!$J24</f>
        <v>0</v>
      </c>
      <c r="J55" t="str">
        <f t="shared" si="14"/>
        <v>Blank</v>
      </c>
      <c r="K55" s="123" t="s">
        <v>75</v>
      </c>
      <c r="L55" t="str">
        <f t="shared" si="15"/>
        <v>Blank</v>
      </c>
      <c r="N55" t="str">
        <f t="shared" si="16"/>
        <v/>
      </c>
      <c r="O55" t="str">
        <f t="shared" si="17"/>
        <v/>
      </c>
      <c r="P55" t="str">
        <f t="shared" si="18"/>
        <v>Comment is required</v>
      </c>
      <c r="Q55" t="str">
        <f t="shared" si="19"/>
        <v>Blank</v>
      </c>
      <c r="R55" t="str">
        <f t="shared" si="20"/>
        <v>No Override</v>
      </c>
      <c r="S55">
        <f t="shared" si="21"/>
        <v>3</v>
      </c>
      <c r="T55" t="str">
        <f t="shared" si="22"/>
        <v/>
      </c>
    </row>
    <row r="56" spans="1:20" ht="22.8" x14ac:dyDescent="0.3">
      <c r="A56" s="181">
        <v>4</v>
      </c>
      <c r="C56">
        <f t="shared" si="13"/>
        <v>4</v>
      </c>
      <c r="D56" t="s">
        <v>448</v>
      </c>
      <c r="E56" s="51" t="s">
        <v>499</v>
      </c>
      <c r="F56" s="51" t="s">
        <v>500</v>
      </c>
      <c r="G56" s="135" t="s">
        <v>501</v>
      </c>
      <c r="H56" s="131" t="str">
        <f>'5. Configuration'!$K25</f>
        <v>Comment is required</v>
      </c>
      <c r="I56">
        <f>'5. Configuration'!$J25</f>
        <v>0</v>
      </c>
      <c r="J56" t="str">
        <f>IF($I56="Yes","Adequate",IF($I56="No","Inadequate",IF($I56="Partial","Inadequate",IF($I56="N/A","Inadequate",IF(OR($I56="",$I56=0),"Blank","Error")))))</f>
        <v>Blank</v>
      </c>
      <c r="K56" s="123" t="s">
        <v>75</v>
      </c>
      <c r="L56" t="str">
        <f t="shared" si="15"/>
        <v>Blank</v>
      </c>
      <c r="N56" t="str">
        <f t="shared" si="16"/>
        <v/>
      </c>
      <c r="O56" t="str">
        <f t="shared" si="17"/>
        <v/>
      </c>
      <c r="P56" t="str">
        <f t="shared" si="18"/>
        <v>Comment is required</v>
      </c>
      <c r="Q56" t="str">
        <f t="shared" si="19"/>
        <v>Blank</v>
      </c>
      <c r="R56" t="str">
        <f t="shared" si="20"/>
        <v>No Override</v>
      </c>
      <c r="S56">
        <f t="shared" si="21"/>
        <v>4</v>
      </c>
      <c r="T56" t="str">
        <f t="shared" si="22"/>
        <v/>
      </c>
    </row>
    <row r="57" spans="1:20" ht="22.8" x14ac:dyDescent="0.3">
      <c r="A57" s="181">
        <v>2</v>
      </c>
      <c r="C57">
        <f t="shared" si="13"/>
        <v>2</v>
      </c>
      <c r="D57" t="s">
        <v>448</v>
      </c>
      <c r="E57" s="51" t="s">
        <v>502</v>
      </c>
      <c r="F57" s="132" t="s">
        <v>503</v>
      </c>
      <c r="G57" s="135" t="s">
        <v>504</v>
      </c>
      <c r="H57" s="131" t="str">
        <f>'5. Configuration'!$K26</f>
        <v>Comment is required</v>
      </c>
      <c r="I57">
        <f>'5. Configuration'!$J26</f>
        <v>0</v>
      </c>
      <c r="J57" t="str">
        <f t="shared" si="14"/>
        <v>Blank</v>
      </c>
      <c r="K57" s="123" t="s">
        <v>75</v>
      </c>
      <c r="L57" t="str">
        <f t="shared" si="15"/>
        <v>Blank</v>
      </c>
      <c r="N57" t="str">
        <f t="shared" si="16"/>
        <v/>
      </c>
      <c r="O57" t="str">
        <f t="shared" si="17"/>
        <v/>
      </c>
      <c r="P57" t="str">
        <f t="shared" si="18"/>
        <v>Comment is required</v>
      </c>
      <c r="Q57" t="str">
        <f t="shared" si="19"/>
        <v>Blank</v>
      </c>
      <c r="R57" t="str">
        <f t="shared" si="20"/>
        <v>No Override</v>
      </c>
      <c r="S57">
        <f t="shared" si="21"/>
        <v>2</v>
      </c>
      <c r="T57" t="str">
        <f t="shared" si="22"/>
        <v/>
      </c>
    </row>
    <row r="58" spans="1:20" x14ac:dyDescent="0.3">
      <c r="A58" s="181">
        <v>2</v>
      </c>
      <c r="C58">
        <f t="shared" si="13"/>
        <v>2</v>
      </c>
      <c r="D58" t="s">
        <v>448</v>
      </c>
      <c r="E58" s="51" t="s">
        <v>505</v>
      </c>
      <c r="F58" s="132" t="s">
        <v>503</v>
      </c>
      <c r="G58" s="135" t="s">
        <v>506</v>
      </c>
      <c r="H58" s="131" t="str">
        <f>'5. Configuration'!$K27</f>
        <v>Comment is required</v>
      </c>
      <c r="I58">
        <f>'5. Configuration'!$J27</f>
        <v>0</v>
      </c>
      <c r="J58" t="str">
        <f t="shared" si="14"/>
        <v>Blank</v>
      </c>
      <c r="K58" s="123" t="s">
        <v>75</v>
      </c>
      <c r="L58" t="str">
        <f t="shared" si="15"/>
        <v>Blank</v>
      </c>
      <c r="N58" t="str">
        <f t="shared" si="16"/>
        <v/>
      </c>
      <c r="O58" t="str">
        <f t="shared" si="17"/>
        <v/>
      </c>
      <c r="P58" t="str">
        <f t="shared" si="18"/>
        <v>Comment is required</v>
      </c>
      <c r="Q58" t="str">
        <f t="shared" si="19"/>
        <v>Blank</v>
      </c>
      <c r="R58" t="str">
        <f t="shared" si="20"/>
        <v>No Override</v>
      </c>
      <c r="S58">
        <f t="shared" si="21"/>
        <v>2</v>
      </c>
      <c r="T58" t="str">
        <f t="shared" si="22"/>
        <v/>
      </c>
    </row>
    <row r="59" spans="1:20" ht="22.8" x14ac:dyDescent="0.3">
      <c r="A59" s="181">
        <v>4</v>
      </c>
      <c r="C59">
        <f t="shared" si="13"/>
        <v>4</v>
      </c>
      <c r="D59" t="s">
        <v>775</v>
      </c>
      <c r="E59" s="51" t="s">
        <v>508</v>
      </c>
      <c r="F59" s="57" t="s">
        <v>510</v>
      </c>
      <c r="G59" s="135" t="s">
        <v>511</v>
      </c>
      <c r="H59" s="135" t="str">
        <f>'7. Authentication&amp;Authorization'!$K3</f>
        <v>Comment is required</v>
      </c>
      <c r="I59">
        <f>'7. Authentication&amp;Authorization'!$J3</f>
        <v>0</v>
      </c>
      <c r="J59" t="str">
        <f>IF($I59="Yes","Adequate",IF($I59="No","Adequate",IF($I59="Partial","Inadequate",IF($I59="N/A","Inadequate",IF(OR($I59="",$I59=0),"Blank","Error")))))</f>
        <v>Blank</v>
      </c>
      <c r="K59" s="123" t="s">
        <v>75</v>
      </c>
      <c r="L59" t="str">
        <f t="shared" si="15"/>
        <v>Blank</v>
      </c>
      <c r="N59" t="str">
        <f t="shared" si="16"/>
        <v/>
      </c>
      <c r="O59" t="str">
        <f t="shared" si="17"/>
        <v/>
      </c>
      <c r="P59" t="str">
        <f t="shared" si="18"/>
        <v>Comment is required</v>
      </c>
      <c r="Q59" t="str">
        <f t="shared" si="19"/>
        <v>Blank</v>
      </c>
      <c r="R59" t="str">
        <f t="shared" si="20"/>
        <v>No Override</v>
      </c>
      <c r="S59">
        <f t="shared" si="21"/>
        <v>4</v>
      </c>
      <c r="T59" t="str">
        <f t="shared" si="22"/>
        <v/>
      </c>
    </row>
    <row r="60" spans="1:20" ht="22.8" x14ac:dyDescent="0.3">
      <c r="A60" s="181">
        <v>4</v>
      </c>
      <c r="C60">
        <f t="shared" si="13"/>
        <v>4</v>
      </c>
      <c r="D60" t="s">
        <v>775</v>
      </c>
      <c r="E60" s="51" t="s">
        <v>512</v>
      </c>
      <c r="F60" s="57" t="s">
        <v>515</v>
      </c>
      <c r="G60" s="135" t="s">
        <v>516</v>
      </c>
      <c r="H60" s="135" t="str">
        <f>'7. Authentication&amp;Authorization'!$K4</f>
        <v>Comment is required</v>
      </c>
      <c r="I60">
        <f>'7. Authentication&amp;Authorization'!$J4</f>
        <v>0</v>
      </c>
      <c r="J60" t="str">
        <f t="shared" ref="J60:J78" si="23">IF($I60="Yes","Adequate",IF($I60="No","Inadequate",IF($I60="Partial","Inadequate",IF($I60="N/A","Inadequate",IF(OR($I60="",$I60=0),"Blank","Error")))))</f>
        <v>Blank</v>
      </c>
      <c r="K60" s="123" t="s">
        <v>75</v>
      </c>
      <c r="L60" t="str">
        <f t="shared" si="15"/>
        <v>Blank</v>
      </c>
      <c r="N60" t="str">
        <f t="shared" si="16"/>
        <v/>
      </c>
      <c r="O60" t="str">
        <f t="shared" si="17"/>
        <v/>
      </c>
      <c r="P60" t="str">
        <f t="shared" si="18"/>
        <v>Comment is required</v>
      </c>
      <c r="Q60" t="str">
        <f t="shared" si="19"/>
        <v>Blank</v>
      </c>
      <c r="R60" t="str">
        <f t="shared" si="20"/>
        <v>No Override</v>
      </c>
      <c r="S60">
        <f t="shared" si="21"/>
        <v>4</v>
      </c>
      <c r="T60" t="str">
        <f t="shared" si="22"/>
        <v/>
      </c>
    </row>
    <row r="61" spans="1:20" ht="22.8" x14ac:dyDescent="0.3">
      <c r="A61" s="181">
        <v>2</v>
      </c>
      <c r="C61">
        <f t="shared" si="13"/>
        <v>2</v>
      </c>
      <c r="D61" t="s">
        <v>775</v>
      </c>
      <c r="E61" s="51" t="s">
        <v>517</v>
      </c>
      <c r="F61" s="57" t="s">
        <v>520</v>
      </c>
      <c r="G61" s="135" t="s">
        <v>521</v>
      </c>
      <c r="H61" s="135" t="str">
        <f>'7. Authentication&amp;Authorization'!$K5</f>
        <v>Comment is required</v>
      </c>
      <c r="I61">
        <f>'7. Authentication&amp;Authorization'!$J5</f>
        <v>0</v>
      </c>
      <c r="J61" t="str">
        <f t="shared" si="23"/>
        <v>Blank</v>
      </c>
      <c r="K61" s="123" t="s">
        <v>75</v>
      </c>
      <c r="L61" t="str">
        <f t="shared" si="15"/>
        <v>Blank</v>
      </c>
      <c r="N61" t="str">
        <f t="shared" si="16"/>
        <v/>
      </c>
      <c r="O61" t="str">
        <f t="shared" si="17"/>
        <v/>
      </c>
      <c r="P61" t="str">
        <f t="shared" si="18"/>
        <v>Comment is required</v>
      </c>
      <c r="Q61" t="str">
        <f t="shared" si="19"/>
        <v>Blank</v>
      </c>
      <c r="R61" t="str">
        <f t="shared" si="20"/>
        <v>No Override</v>
      </c>
      <c r="S61">
        <f t="shared" si="21"/>
        <v>2</v>
      </c>
      <c r="T61" t="str">
        <f t="shared" si="22"/>
        <v/>
      </c>
    </row>
    <row r="62" spans="1:20" x14ac:dyDescent="0.3">
      <c r="A62" s="181">
        <v>3</v>
      </c>
      <c r="C62">
        <f t="shared" si="13"/>
        <v>3</v>
      </c>
      <c r="D62" t="s">
        <v>775</v>
      </c>
      <c r="E62" s="51" t="s">
        <v>522</v>
      </c>
      <c r="F62" s="57" t="s">
        <v>523</v>
      </c>
      <c r="G62" s="135" t="s">
        <v>524</v>
      </c>
      <c r="H62" s="135" t="str">
        <f>'7. Authentication&amp;Authorization'!$K6</f>
        <v>Comment is required</v>
      </c>
      <c r="I62">
        <f>'7. Authentication&amp;Authorization'!$J6</f>
        <v>0</v>
      </c>
      <c r="J62" t="str">
        <f t="shared" si="23"/>
        <v>Blank</v>
      </c>
      <c r="K62" s="123" t="s">
        <v>75</v>
      </c>
      <c r="L62" t="str">
        <f t="shared" si="15"/>
        <v>Blank</v>
      </c>
      <c r="N62" t="str">
        <f t="shared" si="16"/>
        <v/>
      </c>
      <c r="O62" t="str">
        <f t="shared" si="17"/>
        <v/>
      </c>
      <c r="P62" t="str">
        <f t="shared" si="18"/>
        <v>Comment is required</v>
      </c>
      <c r="Q62" t="str">
        <f t="shared" si="19"/>
        <v>Blank</v>
      </c>
      <c r="R62" t="str">
        <f t="shared" si="20"/>
        <v>No Override</v>
      </c>
      <c r="S62">
        <f t="shared" si="21"/>
        <v>3</v>
      </c>
      <c r="T62" t="str">
        <f t="shared" si="22"/>
        <v/>
      </c>
    </row>
    <row r="63" spans="1:20" x14ac:dyDescent="0.3">
      <c r="A63" s="181">
        <v>2</v>
      </c>
      <c r="C63">
        <f t="shared" si="13"/>
        <v>2</v>
      </c>
      <c r="D63" t="s">
        <v>775</v>
      </c>
      <c r="E63" s="51" t="s">
        <v>525</v>
      </c>
      <c r="F63" s="57" t="s">
        <v>523</v>
      </c>
      <c r="G63" s="135" t="s">
        <v>526</v>
      </c>
      <c r="H63" s="135" t="str">
        <f>'7. Authentication&amp;Authorization'!$K7</f>
        <v>Comment is required</v>
      </c>
      <c r="I63">
        <f>'7. Authentication&amp;Authorization'!$J7</f>
        <v>0</v>
      </c>
      <c r="J63" t="str">
        <f t="shared" si="23"/>
        <v>Blank</v>
      </c>
      <c r="K63" s="123" t="s">
        <v>75</v>
      </c>
      <c r="L63" t="str">
        <f t="shared" si="15"/>
        <v>Blank</v>
      </c>
      <c r="N63" t="str">
        <f t="shared" si="16"/>
        <v/>
      </c>
      <c r="O63" t="str">
        <f t="shared" si="17"/>
        <v/>
      </c>
      <c r="P63" t="str">
        <f t="shared" si="18"/>
        <v>Comment is required</v>
      </c>
      <c r="Q63" t="str">
        <f t="shared" si="19"/>
        <v>Blank</v>
      </c>
      <c r="R63" t="str">
        <f t="shared" si="20"/>
        <v>No Override</v>
      </c>
      <c r="S63">
        <f t="shared" si="21"/>
        <v>2</v>
      </c>
      <c r="T63" t="str">
        <f t="shared" si="22"/>
        <v/>
      </c>
    </row>
    <row r="64" spans="1:20" x14ac:dyDescent="0.3">
      <c r="A64" s="181">
        <v>3</v>
      </c>
      <c r="C64">
        <f t="shared" si="13"/>
        <v>3</v>
      </c>
      <c r="D64" t="s">
        <v>775</v>
      </c>
      <c r="E64" s="51" t="s">
        <v>527</v>
      </c>
      <c r="F64" s="57" t="s">
        <v>292</v>
      </c>
      <c r="G64" s="135" t="s">
        <v>529</v>
      </c>
      <c r="H64" s="135" t="str">
        <f>'7. Authentication&amp;Authorization'!$K8</f>
        <v>Comment is required</v>
      </c>
      <c r="I64">
        <f>'7. Authentication&amp;Authorization'!$J8</f>
        <v>0</v>
      </c>
      <c r="J64" t="str">
        <f t="shared" si="23"/>
        <v>Blank</v>
      </c>
      <c r="K64" s="123" t="s">
        <v>75</v>
      </c>
      <c r="L64" t="str">
        <f t="shared" si="15"/>
        <v>Blank</v>
      </c>
      <c r="N64" t="str">
        <f t="shared" si="16"/>
        <v/>
      </c>
      <c r="O64" t="str">
        <f t="shared" si="17"/>
        <v/>
      </c>
      <c r="P64" t="str">
        <f t="shared" si="18"/>
        <v>Comment is required</v>
      </c>
      <c r="Q64" t="str">
        <f t="shared" si="19"/>
        <v>Blank</v>
      </c>
      <c r="R64" t="str">
        <f t="shared" si="20"/>
        <v>No Override</v>
      </c>
      <c r="S64">
        <f t="shared" si="21"/>
        <v>3</v>
      </c>
      <c r="T64" t="str">
        <f t="shared" si="22"/>
        <v/>
      </c>
    </row>
    <row r="65" spans="1:20" ht="114" x14ac:dyDescent="0.3">
      <c r="A65" s="181">
        <v>1</v>
      </c>
      <c r="C65">
        <f t="shared" si="13"/>
        <v>1</v>
      </c>
      <c r="D65" t="s">
        <v>775</v>
      </c>
      <c r="E65" s="51" t="s">
        <v>530</v>
      </c>
      <c r="F65" s="57" t="s">
        <v>292</v>
      </c>
      <c r="G65" s="135" t="s">
        <v>531</v>
      </c>
      <c r="H65" s="135" t="str">
        <f>'7. Authentication&amp;Authorization'!$K9</f>
        <v>Comment is required</v>
      </c>
      <c r="I65">
        <f>'7. Authentication&amp;Authorization'!$J9</f>
        <v>0</v>
      </c>
      <c r="J65" t="str">
        <f t="shared" si="23"/>
        <v>Blank</v>
      </c>
      <c r="K65" s="123" t="s">
        <v>75</v>
      </c>
      <c r="L65" t="str">
        <f t="shared" si="15"/>
        <v>Blank</v>
      </c>
      <c r="N65" t="str">
        <f t="shared" si="16"/>
        <v/>
      </c>
      <c r="O65" t="str">
        <f t="shared" si="17"/>
        <v/>
      </c>
      <c r="P65" t="str">
        <f t="shared" si="18"/>
        <v>Comment is required</v>
      </c>
      <c r="Q65" t="str">
        <f t="shared" si="19"/>
        <v>Blank</v>
      </c>
      <c r="R65" t="str">
        <f t="shared" si="20"/>
        <v>No Override</v>
      </c>
      <c r="S65">
        <f t="shared" si="21"/>
        <v>1</v>
      </c>
      <c r="T65" t="str">
        <f t="shared" si="22"/>
        <v/>
      </c>
    </row>
    <row r="66" spans="1:20" x14ac:dyDescent="0.3">
      <c r="A66" s="181">
        <v>1</v>
      </c>
      <c r="C66">
        <f t="shared" si="13"/>
        <v>1</v>
      </c>
      <c r="D66" t="s">
        <v>775</v>
      </c>
      <c r="E66" s="51" t="s">
        <v>532</v>
      </c>
      <c r="F66" s="57" t="s">
        <v>292</v>
      </c>
      <c r="G66" s="135" t="s">
        <v>533</v>
      </c>
      <c r="H66" s="135" t="str">
        <f>'7. Authentication&amp;Authorization'!$K10</f>
        <v>Comment is required</v>
      </c>
      <c r="I66">
        <f>'7. Authentication&amp;Authorization'!$J10</f>
        <v>0</v>
      </c>
      <c r="J66" t="str">
        <f t="shared" si="23"/>
        <v>Blank</v>
      </c>
      <c r="K66" s="123" t="s">
        <v>75</v>
      </c>
      <c r="L66" t="str">
        <f t="shared" si="15"/>
        <v>Blank</v>
      </c>
      <c r="N66" t="str">
        <f t="shared" si="16"/>
        <v/>
      </c>
      <c r="O66" t="str">
        <f t="shared" si="17"/>
        <v/>
      </c>
      <c r="P66" t="str">
        <f t="shared" si="18"/>
        <v>Comment is required</v>
      </c>
      <c r="Q66" t="str">
        <f t="shared" si="19"/>
        <v>Blank</v>
      </c>
      <c r="R66" t="str">
        <f t="shared" si="20"/>
        <v>No Override</v>
      </c>
      <c r="S66">
        <f t="shared" si="21"/>
        <v>1</v>
      </c>
      <c r="T66" t="str">
        <f t="shared" si="22"/>
        <v/>
      </c>
    </row>
    <row r="67" spans="1:20" x14ac:dyDescent="0.3">
      <c r="A67" s="181">
        <v>3</v>
      </c>
      <c r="C67">
        <f t="shared" si="13"/>
        <v>3</v>
      </c>
      <c r="D67" t="s">
        <v>775</v>
      </c>
      <c r="E67" s="51" t="s">
        <v>534</v>
      </c>
      <c r="F67" s="57" t="s">
        <v>292</v>
      </c>
      <c r="G67" s="135" t="s">
        <v>535</v>
      </c>
      <c r="H67" s="135" t="str">
        <f>'7. Authentication&amp;Authorization'!$K11</f>
        <v>Comment is required</v>
      </c>
      <c r="I67">
        <f>'7. Authentication&amp;Authorization'!$J11</f>
        <v>0</v>
      </c>
      <c r="J67" t="str">
        <f t="shared" si="23"/>
        <v>Blank</v>
      </c>
      <c r="K67" s="123" t="s">
        <v>75</v>
      </c>
      <c r="L67" t="str">
        <f t="shared" si="15"/>
        <v>Blank</v>
      </c>
      <c r="N67" t="str">
        <f t="shared" si="16"/>
        <v/>
      </c>
      <c r="O67" t="str">
        <f t="shared" si="17"/>
        <v/>
      </c>
      <c r="P67" t="str">
        <f t="shared" si="18"/>
        <v>Comment is required</v>
      </c>
      <c r="Q67" t="str">
        <f t="shared" si="19"/>
        <v>Blank</v>
      </c>
      <c r="R67" t="str">
        <f t="shared" si="20"/>
        <v>No Override</v>
      </c>
      <c r="S67">
        <f t="shared" si="21"/>
        <v>3</v>
      </c>
      <c r="T67" t="str">
        <f t="shared" si="22"/>
        <v/>
      </c>
    </row>
    <row r="68" spans="1:20" x14ac:dyDescent="0.3">
      <c r="A68" s="181">
        <v>3</v>
      </c>
      <c r="C68">
        <f t="shared" si="13"/>
        <v>3</v>
      </c>
      <c r="D68" t="s">
        <v>775</v>
      </c>
      <c r="E68" s="51" t="s">
        <v>536</v>
      </c>
      <c r="F68" s="57" t="s">
        <v>292</v>
      </c>
      <c r="G68" s="135" t="s">
        <v>776</v>
      </c>
      <c r="H68" s="135" t="str">
        <f>'7. Authentication&amp;Authorization'!$K12</f>
        <v>Comment is required</v>
      </c>
      <c r="I68">
        <f>'7. Authentication&amp;Authorization'!$J12</f>
        <v>0</v>
      </c>
      <c r="J68" t="str">
        <f t="shared" si="23"/>
        <v>Blank</v>
      </c>
      <c r="K68" s="123" t="s">
        <v>75</v>
      </c>
      <c r="L68" t="str">
        <f t="shared" si="15"/>
        <v>Blank</v>
      </c>
      <c r="N68" t="str">
        <f t="shared" si="16"/>
        <v/>
      </c>
      <c r="O68" t="str">
        <f t="shared" si="17"/>
        <v/>
      </c>
      <c r="P68" t="str">
        <f t="shared" si="18"/>
        <v>Comment is required</v>
      </c>
      <c r="Q68" t="str">
        <f t="shared" si="19"/>
        <v>Blank</v>
      </c>
      <c r="R68" t="str">
        <f t="shared" si="20"/>
        <v>No Override</v>
      </c>
      <c r="S68">
        <f t="shared" si="21"/>
        <v>3</v>
      </c>
      <c r="T68" t="str">
        <f t="shared" si="22"/>
        <v/>
      </c>
    </row>
    <row r="69" spans="1:20" x14ac:dyDescent="0.3">
      <c r="A69" s="181">
        <v>4</v>
      </c>
      <c r="C69">
        <f t="shared" si="13"/>
        <v>4</v>
      </c>
      <c r="D69" t="s">
        <v>775</v>
      </c>
      <c r="E69" s="51" t="s">
        <v>538</v>
      </c>
      <c r="F69" s="57" t="s">
        <v>540</v>
      </c>
      <c r="G69" s="135" t="s">
        <v>541</v>
      </c>
      <c r="H69" s="135" t="str">
        <f>'7. Authentication&amp;Authorization'!$K13</f>
        <v>Comment is required</v>
      </c>
      <c r="I69">
        <f>'7. Authentication&amp;Authorization'!$J13</f>
        <v>0</v>
      </c>
      <c r="J69" t="str">
        <f t="shared" si="23"/>
        <v>Blank</v>
      </c>
      <c r="K69" s="123" t="s">
        <v>75</v>
      </c>
      <c r="L69" t="str">
        <f t="shared" si="15"/>
        <v>Blank</v>
      </c>
      <c r="N69" t="str">
        <f t="shared" si="16"/>
        <v/>
      </c>
      <c r="O69" t="str">
        <f t="shared" si="17"/>
        <v/>
      </c>
      <c r="P69" t="str">
        <f t="shared" si="18"/>
        <v>Comment is required</v>
      </c>
      <c r="Q69" t="str">
        <f t="shared" si="19"/>
        <v>Blank</v>
      </c>
      <c r="R69" t="str">
        <f t="shared" si="20"/>
        <v>No Override</v>
      </c>
      <c r="S69">
        <f t="shared" si="21"/>
        <v>4</v>
      </c>
      <c r="T69" t="str">
        <f t="shared" si="22"/>
        <v/>
      </c>
    </row>
    <row r="70" spans="1:20" ht="22.8" x14ac:dyDescent="0.3">
      <c r="A70" s="181">
        <v>4</v>
      </c>
      <c r="C70">
        <f t="shared" si="13"/>
        <v>4</v>
      </c>
      <c r="D70" t="s">
        <v>775</v>
      </c>
      <c r="E70" s="51" t="s">
        <v>542</v>
      </c>
      <c r="F70" s="57" t="s">
        <v>544</v>
      </c>
      <c r="G70" s="135" t="s">
        <v>545</v>
      </c>
      <c r="H70" s="135" t="str">
        <f>'7. Authentication&amp;Authorization'!$K14</f>
        <v>Comment is required</v>
      </c>
      <c r="I70">
        <f>'7. Authentication&amp;Authorization'!$J14</f>
        <v>0</v>
      </c>
      <c r="J70" t="str">
        <f t="shared" si="23"/>
        <v>Blank</v>
      </c>
      <c r="K70" s="123" t="s">
        <v>75</v>
      </c>
      <c r="L70" t="str">
        <f t="shared" si="15"/>
        <v>Blank</v>
      </c>
      <c r="N70" t="str">
        <f t="shared" si="16"/>
        <v/>
      </c>
      <c r="O70" t="str">
        <f t="shared" si="17"/>
        <v/>
      </c>
      <c r="P70" t="str">
        <f t="shared" si="18"/>
        <v>Comment is required</v>
      </c>
      <c r="Q70" t="str">
        <f t="shared" si="19"/>
        <v>Blank</v>
      </c>
      <c r="R70" t="str">
        <f t="shared" si="20"/>
        <v>No Override</v>
      </c>
      <c r="S70">
        <f t="shared" si="21"/>
        <v>4</v>
      </c>
      <c r="T70" t="str">
        <f t="shared" si="22"/>
        <v/>
      </c>
    </row>
    <row r="71" spans="1:20" x14ac:dyDescent="0.3">
      <c r="A71" s="181">
        <v>1</v>
      </c>
      <c r="C71">
        <f t="shared" si="13"/>
        <v>1</v>
      </c>
      <c r="D71" t="s">
        <v>777</v>
      </c>
      <c r="E71" s="51" t="s">
        <v>547</v>
      </c>
      <c r="F71" s="57" t="s">
        <v>550</v>
      </c>
      <c r="G71" s="50" t="s">
        <v>551</v>
      </c>
      <c r="H71" s="134" t="str">
        <f>'8. Incident Response'!$K3</f>
        <v>Comment is required</v>
      </c>
      <c r="I71">
        <f>'8. Incident Response'!$J3</f>
        <v>0</v>
      </c>
      <c r="J71" t="str">
        <f t="shared" si="23"/>
        <v>Blank</v>
      </c>
      <c r="K71" s="123" t="s">
        <v>75</v>
      </c>
      <c r="L71" t="str">
        <f t="shared" si="15"/>
        <v>Blank</v>
      </c>
      <c r="N71" t="str">
        <f t="shared" si="16"/>
        <v/>
      </c>
      <c r="O71" t="str">
        <f t="shared" si="17"/>
        <v/>
      </c>
      <c r="P71" t="str">
        <f t="shared" si="18"/>
        <v>Comment is required</v>
      </c>
      <c r="Q71" t="str">
        <f t="shared" si="19"/>
        <v>Blank</v>
      </c>
      <c r="R71" t="str">
        <f t="shared" si="20"/>
        <v>No Override</v>
      </c>
      <c r="S71">
        <f t="shared" si="21"/>
        <v>1</v>
      </c>
      <c r="T71" t="str">
        <f t="shared" si="22"/>
        <v/>
      </c>
    </row>
    <row r="72" spans="1:20" x14ac:dyDescent="0.3">
      <c r="A72" s="181">
        <v>2</v>
      </c>
      <c r="C72">
        <f t="shared" si="13"/>
        <v>2</v>
      </c>
      <c r="D72" t="s">
        <v>777</v>
      </c>
      <c r="E72" s="51" t="s">
        <v>552</v>
      </c>
      <c r="F72" s="57" t="s">
        <v>554</v>
      </c>
      <c r="G72" s="135" t="s">
        <v>555</v>
      </c>
      <c r="H72" s="134" t="str">
        <f>'8. Incident Response'!$K4</f>
        <v>Comment is required</v>
      </c>
      <c r="I72">
        <f>'8. Incident Response'!$J4</f>
        <v>0</v>
      </c>
      <c r="J72" t="str">
        <f t="shared" si="23"/>
        <v>Blank</v>
      </c>
      <c r="K72" s="123" t="s">
        <v>75</v>
      </c>
      <c r="L72" t="str">
        <f t="shared" si="15"/>
        <v>Blank</v>
      </c>
      <c r="N72" t="str">
        <f t="shared" si="16"/>
        <v/>
      </c>
      <c r="O72" t="str">
        <f t="shared" si="17"/>
        <v/>
      </c>
      <c r="P72" t="str">
        <f t="shared" si="18"/>
        <v>Comment is required</v>
      </c>
      <c r="Q72" t="str">
        <f t="shared" si="19"/>
        <v>Blank</v>
      </c>
      <c r="R72" t="str">
        <f t="shared" si="20"/>
        <v>No Override</v>
      </c>
      <c r="S72">
        <f t="shared" si="21"/>
        <v>2</v>
      </c>
      <c r="T72" t="str">
        <f t="shared" si="22"/>
        <v/>
      </c>
    </row>
    <row r="73" spans="1:20" x14ac:dyDescent="0.3">
      <c r="A73" s="181">
        <v>2</v>
      </c>
      <c r="C73">
        <f t="shared" si="13"/>
        <v>2</v>
      </c>
      <c r="D73" t="s">
        <v>777</v>
      </c>
      <c r="E73" s="51" t="s">
        <v>556</v>
      </c>
      <c r="F73" s="57" t="s">
        <v>554</v>
      </c>
      <c r="G73" s="135" t="s">
        <v>557</v>
      </c>
      <c r="H73" s="134" t="str">
        <f>'8. Incident Response'!$K5</f>
        <v>Comment is required</v>
      </c>
      <c r="I73">
        <f>'8. Incident Response'!$J5</f>
        <v>0</v>
      </c>
      <c r="J73" t="str">
        <f t="shared" si="23"/>
        <v>Blank</v>
      </c>
      <c r="K73" s="123" t="s">
        <v>75</v>
      </c>
      <c r="L73" t="str">
        <f t="shared" si="15"/>
        <v>Blank</v>
      </c>
      <c r="N73" t="str">
        <f t="shared" si="16"/>
        <v/>
      </c>
      <c r="O73" t="str">
        <f t="shared" si="17"/>
        <v/>
      </c>
      <c r="P73" t="str">
        <f t="shared" si="18"/>
        <v>Comment is required</v>
      </c>
      <c r="Q73" t="str">
        <f t="shared" si="19"/>
        <v>Blank</v>
      </c>
      <c r="R73" t="str">
        <f t="shared" si="20"/>
        <v>No Override</v>
      </c>
      <c r="S73">
        <f t="shared" si="21"/>
        <v>2</v>
      </c>
      <c r="T73" t="str">
        <f t="shared" si="22"/>
        <v/>
      </c>
    </row>
    <row r="74" spans="1:20" x14ac:dyDescent="0.3">
      <c r="A74" s="181">
        <v>2</v>
      </c>
      <c r="C74">
        <f t="shared" si="13"/>
        <v>2</v>
      </c>
      <c r="D74" t="s">
        <v>777</v>
      </c>
      <c r="E74" s="51" t="s">
        <v>558</v>
      </c>
      <c r="F74" s="57" t="s">
        <v>560</v>
      </c>
      <c r="G74" s="135" t="s">
        <v>561</v>
      </c>
      <c r="H74" s="134" t="str">
        <f>'8. Incident Response'!$K6</f>
        <v>Comment is required</v>
      </c>
      <c r="I74">
        <f>'8. Incident Response'!$J6</f>
        <v>0</v>
      </c>
      <c r="J74" t="str">
        <f t="shared" si="23"/>
        <v>Blank</v>
      </c>
      <c r="K74" s="123" t="s">
        <v>75</v>
      </c>
      <c r="L74" t="str">
        <f t="shared" si="15"/>
        <v>Blank</v>
      </c>
      <c r="N74" t="str">
        <f t="shared" si="16"/>
        <v/>
      </c>
      <c r="O74" t="str">
        <f t="shared" si="17"/>
        <v/>
      </c>
      <c r="P74" t="str">
        <f t="shared" si="18"/>
        <v>Comment is required</v>
      </c>
      <c r="Q74" t="str">
        <f t="shared" si="19"/>
        <v>Blank</v>
      </c>
      <c r="R74" t="str">
        <f t="shared" si="20"/>
        <v>No Override</v>
      </c>
      <c r="S74">
        <f t="shared" si="21"/>
        <v>2</v>
      </c>
      <c r="T74" t="str">
        <f t="shared" ref="T74:T91" si="24">IF($L74=$Q74,"","***")</f>
        <v/>
      </c>
    </row>
    <row r="75" spans="1:20" x14ac:dyDescent="0.3">
      <c r="A75" s="181">
        <v>2</v>
      </c>
      <c r="C75">
        <f t="shared" si="13"/>
        <v>2</v>
      </c>
      <c r="D75" t="s">
        <v>777</v>
      </c>
      <c r="E75" s="51" t="s">
        <v>562</v>
      </c>
      <c r="F75" s="57" t="s">
        <v>560</v>
      </c>
      <c r="G75" s="135" t="s">
        <v>563</v>
      </c>
      <c r="H75" s="134" t="str">
        <f>'8. Incident Response'!$K7</f>
        <v>Comment is required</v>
      </c>
      <c r="I75">
        <f>'8. Incident Response'!$J7</f>
        <v>0</v>
      </c>
      <c r="J75" t="str">
        <f t="shared" si="23"/>
        <v>Blank</v>
      </c>
      <c r="K75" s="123" t="s">
        <v>75</v>
      </c>
      <c r="L75" t="str">
        <f t="shared" si="15"/>
        <v>Blank</v>
      </c>
      <c r="N75" t="str">
        <f t="shared" si="16"/>
        <v/>
      </c>
      <c r="O75" t="str">
        <f t="shared" si="17"/>
        <v/>
      </c>
      <c r="P75" t="str">
        <f t="shared" si="18"/>
        <v>Comment is required</v>
      </c>
      <c r="Q75" t="str">
        <f t="shared" si="19"/>
        <v>Blank</v>
      </c>
      <c r="R75" t="str">
        <f t="shared" si="20"/>
        <v>No Override</v>
      </c>
      <c r="S75">
        <f t="shared" si="21"/>
        <v>2</v>
      </c>
      <c r="T75" t="str">
        <f t="shared" si="24"/>
        <v/>
      </c>
    </row>
    <row r="76" spans="1:20" x14ac:dyDescent="0.3">
      <c r="A76" s="181">
        <v>1</v>
      </c>
      <c r="C76">
        <f t="shared" si="13"/>
        <v>1</v>
      </c>
      <c r="D76" t="s">
        <v>777</v>
      </c>
      <c r="E76" s="51" t="s">
        <v>564</v>
      </c>
      <c r="F76" s="57" t="s">
        <v>567</v>
      </c>
      <c r="G76" s="135" t="s">
        <v>568</v>
      </c>
      <c r="H76" s="134" t="str">
        <f>'8. Incident Response'!$K8</f>
        <v>Comment is required</v>
      </c>
      <c r="I76">
        <f>'8. Incident Response'!$J8</f>
        <v>0</v>
      </c>
      <c r="J76" t="str">
        <f t="shared" si="23"/>
        <v>Blank</v>
      </c>
      <c r="K76" s="123" t="s">
        <v>75</v>
      </c>
      <c r="L76" t="str">
        <f t="shared" si="15"/>
        <v>Blank</v>
      </c>
      <c r="N76" t="str">
        <f t="shared" si="16"/>
        <v/>
      </c>
      <c r="O76" t="str">
        <f t="shared" si="17"/>
        <v/>
      </c>
      <c r="P76" t="str">
        <f t="shared" si="18"/>
        <v>Comment is required</v>
      </c>
      <c r="Q76" t="str">
        <f t="shared" si="19"/>
        <v>Blank</v>
      </c>
      <c r="R76" t="str">
        <f t="shared" si="20"/>
        <v>No Override</v>
      </c>
      <c r="S76">
        <f t="shared" si="21"/>
        <v>1</v>
      </c>
      <c r="T76" t="str">
        <f t="shared" si="24"/>
        <v/>
      </c>
    </row>
    <row r="77" spans="1:20" x14ac:dyDescent="0.3">
      <c r="A77" s="181">
        <v>1</v>
      </c>
      <c r="C77">
        <f t="shared" si="13"/>
        <v>1</v>
      </c>
      <c r="D77" t="s">
        <v>777</v>
      </c>
      <c r="E77" s="51" t="s">
        <v>569</v>
      </c>
      <c r="F77" s="57" t="s">
        <v>572</v>
      </c>
      <c r="G77" s="135" t="s">
        <v>573</v>
      </c>
      <c r="H77" s="134" t="str">
        <f>'8. Incident Response'!$K9</f>
        <v>Comment is required</v>
      </c>
      <c r="I77">
        <f>'8. Incident Response'!$J9</f>
        <v>0</v>
      </c>
      <c r="J77" t="str">
        <f t="shared" si="23"/>
        <v>Blank</v>
      </c>
      <c r="K77" s="123" t="s">
        <v>75</v>
      </c>
      <c r="L77" t="str">
        <f t="shared" si="15"/>
        <v>Blank</v>
      </c>
      <c r="N77" t="str">
        <f t="shared" si="16"/>
        <v/>
      </c>
      <c r="O77" t="str">
        <f t="shared" si="17"/>
        <v/>
      </c>
      <c r="P77" t="str">
        <f t="shared" si="18"/>
        <v>Comment is required</v>
      </c>
      <c r="Q77" t="str">
        <f t="shared" si="19"/>
        <v>Blank</v>
      </c>
      <c r="R77" t="str">
        <f t="shared" si="20"/>
        <v>No Override</v>
      </c>
      <c r="S77">
        <f t="shared" si="21"/>
        <v>1</v>
      </c>
      <c r="T77" t="str">
        <f t="shared" si="24"/>
        <v/>
      </c>
    </row>
    <row r="78" spans="1:20" x14ac:dyDescent="0.3">
      <c r="A78" s="181">
        <v>1</v>
      </c>
      <c r="C78">
        <f t="shared" si="13"/>
        <v>1</v>
      </c>
      <c r="D78" t="s">
        <v>777</v>
      </c>
      <c r="E78" s="51" t="s">
        <v>574</v>
      </c>
      <c r="F78" s="57" t="s">
        <v>577</v>
      </c>
      <c r="G78" s="135" t="s">
        <v>578</v>
      </c>
      <c r="H78" s="134" t="str">
        <f>'8. Incident Response'!$K10</f>
        <v>Comment is required</v>
      </c>
      <c r="I78">
        <f>'8. Incident Response'!$J10</f>
        <v>0</v>
      </c>
      <c r="J78" t="str">
        <f t="shared" si="23"/>
        <v>Blank</v>
      </c>
      <c r="K78" s="123" t="s">
        <v>75</v>
      </c>
      <c r="L78" t="str">
        <f t="shared" si="15"/>
        <v>Blank</v>
      </c>
      <c r="N78" t="str">
        <f t="shared" si="16"/>
        <v/>
      </c>
      <c r="O78" t="str">
        <f t="shared" si="17"/>
        <v/>
      </c>
      <c r="P78" t="str">
        <f t="shared" si="18"/>
        <v>Comment is required</v>
      </c>
      <c r="Q78" t="str">
        <f t="shared" si="19"/>
        <v>Blank</v>
      </c>
      <c r="R78" t="str">
        <f t="shared" si="20"/>
        <v>No Override</v>
      </c>
      <c r="S78">
        <f t="shared" si="21"/>
        <v>1</v>
      </c>
      <c r="T78" t="str">
        <f t="shared" si="24"/>
        <v/>
      </c>
    </row>
    <row r="79" spans="1:20" x14ac:dyDescent="0.3">
      <c r="A79" s="181">
        <v>3</v>
      </c>
      <c r="C79">
        <f t="shared" si="13"/>
        <v>3</v>
      </c>
      <c r="D79" t="s">
        <v>777</v>
      </c>
      <c r="E79" s="51" t="s">
        <v>579</v>
      </c>
      <c r="F79" s="57" t="s">
        <v>582</v>
      </c>
      <c r="G79" s="135" t="s">
        <v>583</v>
      </c>
      <c r="H79" s="134" t="str">
        <f>'8. Incident Response'!$K11</f>
        <v>Comment is required</v>
      </c>
      <c r="I79">
        <f>'8. Incident Response'!$J11</f>
        <v>0</v>
      </c>
      <c r="J79" t="str">
        <f>IF($I79="Yes","Adequate",IF($I79="No","Adequate",IF($I79="Partial","Inadequate",IF($I79="N/A","Inadequate",IF(OR($I79="",$I79=0),"Blank","Error")))))</f>
        <v>Blank</v>
      </c>
      <c r="K79" s="123" t="s">
        <v>75</v>
      </c>
      <c r="L79" t="str">
        <f t="shared" ref="L79:L91" si="25">IF($K79="No Override",$J79,$K79)</f>
        <v>Blank</v>
      </c>
      <c r="N79" t="str">
        <f t="shared" si="16"/>
        <v/>
      </c>
      <c r="O79" t="str">
        <f t="shared" si="17"/>
        <v/>
      </c>
      <c r="P79" t="str">
        <f t="shared" si="18"/>
        <v>Comment is required</v>
      </c>
      <c r="Q79" t="str">
        <f t="shared" si="19"/>
        <v>Blank</v>
      </c>
      <c r="R79" t="str">
        <f t="shared" si="20"/>
        <v>No Override</v>
      </c>
      <c r="S79">
        <f t="shared" si="21"/>
        <v>3</v>
      </c>
      <c r="T79" t="str">
        <f t="shared" si="24"/>
        <v/>
      </c>
    </row>
    <row r="80" spans="1:20" x14ac:dyDescent="0.3">
      <c r="A80" s="181">
        <v>1</v>
      </c>
      <c r="C80">
        <f t="shared" ref="C80:C91" si="26">IF($B80="",$A80,$B80)</f>
        <v>1</v>
      </c>
      <c r="D80" t="s">
        <v>777</v>
      </c>
      <c r="E80" s="51" t="s">
        <v>584</v>
      </c>
      <c r="F80" s="57" t="s">
        <v>342</v>
      </c>
      <c r="G80" s="135" t="s">
        <v>585</v>
      </c>
      <c r="H80" s="134" t="str">
        <f>'8. Incident Response'!$K12</f>
        <v>Comment is required</v>
      </c>
      <c r="I80">
        <f>'8. Incident Response'!$J12</f>
        <v>0</v>
      </c>
      <c r="J80" t="str">
        <f>IF($I80="Yes","Adequate",IF($I80="No","Inadequate",IF($I80="Partial","Inadequate",IF($I80="N/A","Inadequate",IF(OR($I80="",$I80=0),"Blank","Error")))))</f>
        <v>Blank</v>
      </c>
      <c r="K80" s="123" t="s">
        <v>75</v>
      </c>
      <c r="L80" t="str">
        <f t="shared" si="25"/>
        <v>Blank</v>
      </c>
      <c r="N80" t="str">
        <f t="shared" ref="N80:N91" si="27">IF($J80=$L80,"","***")</f>
        <v/>
      </c>
      <c r="O80" t="str">
        <f t="shared" ref="O80:O91" si="28">IF(OR($I80="",$I80=0),"",$I80)</f>
        <v/>
      </c>
      <c r="P80" t="str">
        <f t="shared" ref="P80:P91" si="29">IF(OR($H80="",$H80=0),"",$H80)</f>
        <v>Comment is required</v>
      </c>
      <c r="Q80" t="str">
        <f t="shared" ref="Q80:Q91" si="30">$L80</f>
        <v>Blank</v>
      </c>
      <c r="R80" t="str">
        <f t="shared" ref="R80:R91" si="31">$K80</f>
        <v>No Override</v>
      </c>
      <c r="S80">
        <f t="shared" ref="S80:S91" si="32">$C80</f>
        <v>1</v>
      </c>
      <c r="T80" t="str">
        <f t="shared" si="24"/>
        <v/>
      </c>
    </row>
    <row r="81" spans="1:20" x14ac:dyDescent="0.3">
      <c r="A81" s="181">
        <v>3</v>
      </c>
      <c r="C81">
        <f t="shared" si="26"/>
        <v>3</v>
      </c>
      <c r="D81" t="s">
        <v>777</v>
      </c>
      <c r="E81" s="51" t="s">
        <v>586</v>
      </c>
      <c r="F81" s="57" t="s">
        <v>588</v>
      </c>
      <c r="G81" s="135" t="s">
        <v>589</v>
      </c>
      <c r="H81" s="134" t="str">
        <f>'8. Incident Response'!$K13</f>
        <v>Comment is required</v>
      </c>
      <c r="I81">
        <f>'8. Incident Response'!$J13</f>
        <v>0</v>
      </c>
      <c r="J81" t="str">
        <f t="shared" ref="J81:J91" si="33">IF($I81="Yes","Adequate",IF($I81="No","Inadequate",IF($I81="Partial","Inadequate",IF($I81="N/A","Inadequate",IF(OR($I81="",$I81=0),"Blank","Error")))))</f>
        <v>Blank</v>
      </c>
      <c r="K81" s="123" t="s">
        <v>75</v>
      </c>
      <c r="L81" t="str">
        <f t="shared" si="25"/>
        <v>Blank</v>
      </c>
      <c r="N81" t="str">
        <f t="shared" si="27"/>
        <v/>
      </c>
      <c r="O81" t="str">
        <f t="shared" si="28"/>
        <v/>
      </c>
      <c r="P81" t="str">
        <f t="shared" si="29"/>
        <v>Comment is required</v>
      </c>
      <c r="Q81" t="str">
        <f t="shared" si="30"/>
        <v>Blank</v>
      </c>
      <c r="R81" t="str">
        <f t="shared" si="31"/>
        <v>No Override</v>
      </c>
      <c r="S81">
        <f t="shared" si="32"/>
        <v>3</v>
      </c>
      <c r="T81" t="str">
        <f t="shared" si="24"/>
        <v/>
      </c>
    </row>
    <row r="82" spans="1:20" x14ac:dyDescent="0.3">
      <c r="A82" s="181">
        <v>4</v>
      </c>
      <c r="C82">
        <f t="shared" si="26"/>
        <v>4</v>
      </c>
      <c r="D82" t="s">
        <v>590</v>
      </c>
      <c r="E82" s="51" t="s">
        <v>591</v>
      </c>
      <c r="F82" s="57" t="s">
        <v>594</v>
      </c>
      <c r="G82" s="131" t="s">
        <v>595</v>
      </c>
      <c r="H82" s="131" t="str">
        <f>'9. Maintenance'!$K3</f>
        <v>Comment is required</v>
      </c>
      <c r="I82">
        <f>'9. Maintenance'!$J3</f>
        <v>0</v>
      </c>
      <c r="J82" t="str">
        <f t="shared" si="33"/>
        <v>Blank</v>
      </c>
      <c r="K82" s="123" t="s">
        <v>75</v>
      </c>
      <c r="L82" t="str">
        <f t="shared" si="25"/>
        <v>Blank</v>
      </c>
      <c r="N82" t="str">
        <f t="shared" si="27"/>
        <v/>
      </c>
      <c r="O82" t="str">
        <f t="shared" si="28"/>
        <v/>
      </c>
      <c r="P82" t="str">
        <f t="shared" si="29"/>
        <v>Comment is required</v>
      </c>
      <c r="Q82" t="str">
        <f t="shared" si="30"/>
        <v>Blank</v>
      </c>
      <c r="R82" t="str">
        <f t="shared" si="31"/>
        <v>No Override</v>
      </c>
      <c r="S82">
        <f t="shared" si="32"/>
        <v>4</v>
      </c>
      <c r="T82" t="str">
        <f t="shared" si="24"/>
        <v/>
      </c>
    </row>
    <row r="83" spans="1:20" ht="34.200000000000003" x14ac:dyDescent="0.3">
      <c r="A83" s="181">
        <v>4</v>
      </c>
      <c r="C83">
        <f t="shared" si="26"/>
        <v>4</v>
      </c>
      <c r="D83" t="s">
        <v>590</v>
      </c>
      <c r="E83" s="54" t="s">
        <v>596</v>
      </c>
      <c r="F83" s="60" t="s">
        <v>597</v>
      </c>
      <c r="G83" s="135" t="s">
        <v>598</v>
      </c>
      <c r="H83" s="131" t="str">
        <f>'9. Maintenance'!$K4</f>
        <v>Comment is required</v>
      </c>
      <c r="I83">
        <f>'9. Maintenance'!$J4</f>
        <v>0</v>
      </c>
      <c r="J83" t="str">
        <f t="shared" si="33"/>
        <v>Blank</v>
      </c>
      <c r="K83" s="123" t="s">
        <v>75</v>
      </c>
      <c r="L83" t="str">
        <f t="shared" si="25"/>
        <v>Blank</v>
      </c>
      <c r="N83" t="str">
        <f t="shared" si="27"/>
        <v/>
      </c>
      <c r="O83" t="str">
        <f t="shared" si="28"/>
        <v/>
      </c>
      <c r="P83" t="str">
        <f t="shared" si="29"/>
        <v>Comment is required</v>
      </c>
      <c r="Q83" t="str">
        <f t="shared" si="30"/>
        <v>Blank</v>
      </c>
      <c r="R83" t="str">
        <f t="shared" si="31"/>
        <v>No Override</v>
      </c>
      <c r="S83">
        <f t="shared" si="32"/>
        <v>4</v>
      </c>
      <c r="T83" t="str">
        <f t="shared" si="24"/>
        <v/>
      </c>
    </row>
    <row r="84" spans="1:20" x14ac:dyDescent="0.3">
      <c r="A84" s="181">
        <v>4</v>
      </c>
      <c r="C84">
        <f t="shared" si="26"/>
        <v>4</v>
      </c>
      <c r="D84" t="s">
        <v>590</v>
      </c>
      <c r="E84" s="51" t="s">
        <v>599</v>
      </c>
      <c r="F84" s="57" t="s">
        <v>601</v>
      </c>
      <c r="G84" s="135" t="s">
        <v>602</v>
      </c>
      <c r="H84" s="131" t="str">
        <f>'9. Maintenance'!$K5</f>
        <v>Comment is required</v>
      </c>
      <c r="I84">
        <f>'9. Maintenance'!$J5</f>
        <v>0</v>
      </c>
      <c r="J84" t="str">
        <f t="shared" si="33"/>
        <v>Blank</v>
      </c>
      <c r="K84" s="123" t="s">
        <v>75</v>
      </c>
      <c r="L84" t="str">
        <f t="shared" si="25"/>
        <v>Blank</v>
      </c>
      <c r="N84" t="str">
        <f t="shared" si="27"/>
        <v/>
      </c>
      <c r="O84" t="str">
        <f t="shared" si="28"/>
        <v/>
      </c>
      <c r="P84" t="str">
        <f t="shared" si="29"/>
        <v>Comment is required</v>
      </c>
      <c r="Q84" t="str">
        <f t="shared" si="30"/>
        <v>Blank</v>
      </c>
      <c r="R84" t="str">
        <f t="shared" si="31"/>
        <v>No Override</v>
      </c>
      <c r="S84">
        <f t="shared" si="32"/>
        <v>4</v>
      </c>
      <c r="T84" t="str">
        <f t="shared" si="24"/>
        <v/>
      </c>
    </row>
    <row r="85" spans="1:20" ht="22.8" x14ac:dyDescent="0.3">
      <c r="A85" s="181">
        <v>4</v>
      </c>
      <c r="C85">
        <f t="shared" si="26"/>
        <v>4</v>
      </c>
      <c r="D85" t="s">
        <v>590</v>
      </c>
      <c r="E85" s="51" t="s">
        <v>603</v>
      </c>
      <c r="F85" s="57" t="s">
        <v>604</v>
      </c>
      <c r="G85" s="135" t="s">
        <v>605</v>
      </c>
      <c r="H85" s="131" t="str">
        <f>'9. Maintenance'!$K6</f>
        <v>Comment is required</v>
      </c>
      <c r="I85">
        <f>'9. Maintenance'!$J6</f>
        <v>0</v>
      </c>
      <c r="J85" s="45" t="str">
        <f>IF(AND($I85="Yes",$I86="Yes",$I87="Yes",$I88="Yes",$I89="Yes"),"Adequate",IF(AND($I85="Yes",OR(NOT($I86="Yes"),NOT($I87="Yes"),NOT($I88="Yes"),NOT($I89="Yes"))),"Inadequate",IF($I85="No","N/A",IF($I85="Partial","Inadequate",IF($I85="N/A","N/A",IF(OR($I85="",$I85=0),"Blank","Error"))))))</f>
        <v>Blank</v>
      </c>
      <c r="K85" s="123" t="s">
        <v>75</v>
      </c>
      <c r="L85" t="str">
        <f t="shared" si="25"/>
        <v>Blank</v>
      </c>
      <c r="N85" t="str">
        <f t="shared" si="27"/>
        <v/>
      </c>
      <c r="O85" t="str">
        <f t="shared" si="28"/>
        <v/>
      </c>
      <c r="P85" t="str">
        <f t="shared" si="29"/>
        <v>Comment is required</v>
      </c>
      <c r="Q85" t="str">
        <f t="shared" si="30"/>
        <v>Blank</v>
      </c>
      <c r="R85" t="str">
        <f t="shared" si="31"/>
        <v>No Override</v>
      </c>
      <c r="S85">
        <f t="shared" si="32"/>
        <v>4</v>
      </c>
      <c r="T85" t="str">
        <f t="shared" si="24"/>
        <v/>
      </c>
    </row>
    <row r="86" spans="1:20" x14ac:dyDescent="0.3">
      <c r="A86" s="181">
        <v>1</v>
      </c>
      <c r="C86">
        <f t="shared" si="26"/>
        <v>1</v>
      </c>
      <c r="D86" t="s">
        <v>590</v>
      </c>
      <c r="E86" s="51" t="s">
        <v>606</v>
      </c>
      <c r="F86" s="57" t="s">
        <v>604</v>
      </c>
      <c r="G86" s="135" t="s">
        <v>607</v>
      </c>
      <c r="H86" s="131" t="str">
        <f>'9. Maintenance'!$K7</f>
        <v>Comment is required</v>
      </c>
      <c r="I86">
        <f>'9. Maintenance'!$J7</f>
        <v>0</v>
      </c>
      <c r="J86" s="53" t="str">
        <f>IF(OR($I85="N/A",$I85="No"),"N/A",IF($I86="Yes","Adequate",IF($I86="No","Inadequate",IF($I86="Partial","Inadequate",IF(AND($I86="N/A",NOT($I85="No"),NOT($I85="N/A")),"Inadequate",IF(OR($I86="",$I86=0),"Blank","Error"))))))</f>
        <v>Blank</v>
      </c>
      <c r="K86" s="123" t="s">
        <v>75</v>
      </c>
      <c r="L86" t="str">
        <f t="shared" si="25"/>
        <v>Blank</v>
      </c>
      <c r="N86" t="str">
        <f t="shared" si="27"/>
        <v/>
      </c>
      <c r="O86" t="str">
        <f t="shared" si="28"/>
        <v/>
      </c>
      <c r="P86" t="str">
        <f t="shared" si="29"/>
        <v>Comment is required</v>
      </c>
      <c r="Q86" t="str">
        <f t="shared" si="30"/>
        <v>Blank</v>
      </c>
      <c r="R86" t="str">
        <f t="shared" si="31"/>
        <v>No Override</v>
      </c>
      <c r="S86">
        <f t="shared" si="32"/>
        <v>1</v>
      </c>
      <c r="T86" t="str">
        <f t="shared" si="24"/>
        <v/>
      </c>
    </row>
    <row r="87" spans="1:20" x14ac:dyDescent="0.3">
      <c r="A87" s="181">
        <v>1</v>
      </c>
      <c r="C87">
        <f t="shared" si="26"/>
        <v>1</v>
      </c>
      <c r="D87" t="s">
        <v>590</v>
      </c>
      <c r="E87" s="51" t="s">
        <v>608</v>
      </c>
      <c r="F87" s="57" t="s">
        <v>604</v>
      </c>
      <c r="G87" s="135" t="s">
        <v>609</v>
      </c>
      <c r="H87" s="131" t="str">
        <f>'9. Maintenance'!$K8</f>
        <v>Comment is required</v>
      </c>
      <c r="I87">
        <f>'9. Maintenance'!$J8</f>
        <v>0</v>
      </c>
      <c r="J87" s="53" t="str">
        <f>IF(OR($I85="N/A",$I85="No"),"N/A",IF($I87="Yes","Adequate",IF($I87="No","Inadequate",IF($I87="Partial","Inadequate",IF(AND($I87="N/A",NOT($I85="No"),NOT($I85="N/A")),"Inadequate",IF(OR($I87="",$I87=0),"Blank","Error"))))))</f>
        <v>Blank</v>
      </c>
      <c r="K87" s="123" t="s">
        <v>75</v>
      </c>
      <c r="L87" t="str">
        <f t="shared" si="25"/>
        <v>Blank</v>
      </c>
      <c r="N87" t="str">
        <f t="shared" si="27"/>
        <v/>
      </c>
      <c r="O87" t="str">
        <f t="shared" si="28"/>
        <v/>
      </c>
      <c r="P87" t="str">
        <f t="shared" si="29"/>
        <v>Comment is required</v>
      </c>
      <c r="Q87" t="str">
        <f t="shared" si="30"/>
        <v>Blank</v>
      </c>
      <c r="R87" t="str">
        <f t="shared" si="31"/>
        <v>No Override</v>
      </c>
      <c r="S87">
        <f t="shared" si="32"/>
        <v>1</v>
      </c>
      <c r="T87" t="str">
        <f t="shared" si="24"/>
        <v/>
      </c>
    </row>
    <row r="88" spans="1:20" x14ac:dyDescent="0.3">
      <c r="A88" s="181">
        <v>1</v>
      </c>
      <c r="C88">
        <f t="shared" si="26"/>
        <v>1</v>
      </c>
      <c r="D88" t="s">
        <v>590</v>
      </c>
      <c r="E88" s="51" t="s">
        <v>610</v>
      </c>
      <c r="F88" s="57" t="s">
        <v>604</v>
      </c>
      <c r="G88" s="135" t="s">
        <v>611</v>
      </c>
      <c r="H88" s="131" t="str">
        <f>'9. Maintenance'!$K9</f>
        <v>Comment is required</v>
      </c>
      <c r="I88">
        <f>'9. Maintenance'!$J9</f>
        <v>0</v>
      </c>
      <c r="J88" s="53" t="str">
        <f>IF(OR($I85="N/A",$I85="No"),"N/A",IF($I88="Yes","Adequate",IF($I88="No","Inadequate",IF($I88="Partial","Inadequate",IF(AND($I88="N/A",NOT($I85="No"),NOT($I85="N/A")),"Inadequate",IF(OR($I88="",$I88=0),"Blank","Error"))))))</f>
        <v>Blank</v>
      </c>
      <c r="K88" s="123" t="s">
        <v>75</v>
      </c>
      <c r="L88" t="str">
        <f t="shared" si="25"/>
        <v>Blank</v>
      </c>
      <c r="N88" t="str">
        <f t="shared" si="27"/>
        <v/>
      </c>
      <c r="O88" t="str">
        <f t="shared" si="28"/>
        <v/>
      </c>
      <c r="P88" t="str">
        <f t="shared" si="29"/>
        <v>Comment is required</v>
      </c>
      <c r="Q88" t="str">
        <f t="shared" si="30"/>
        <v>Blank</v>
      </c>
      <c r="R88" t="str">
        <f t="shared" si="31"/>
        <v>No Override</v>
      </c>
      <c r="S88">
        <f t="shared" si="32"/>
        <v>1</v>
      </c>
      <c r="T88" t="str">
        <f t="shared" si="24"/>
        <v/>
      </c>
    </row>
    <row r="89" spans="1:20" x14ac:dyDescent="0.3">
      <c r="A89" s="181">
        <v>1</v>
      </c>
      <c r="C89">
        <f t="shared" si="26"/>
        <v>1</v>
      </c>
      <c r="D89" t="s">
        <v>590</v>
      </c>
      <c r="E89" s="51" t="s">
        <v>612</v>
      </c>
      <c r="F89" s="57" t="s">
        <v>604</v>
      </c>
      <c r="G89" s="135" t="s">
        <v>613</v>
      </c>
      <c r="H89" s="131" t="str">
        <f>'9. Maintenance'!$K10</f>
        <v>Comment is required</v>
      </c>
      <c r="I89">
        <f>'9. Maintenance'!$J10</f>
        <v>0</v>
      </c>
      <c r="J89" s="53" t="str">
        <f>IF(OR($I85="N/A",$I85="No"),"N/A",IF($I89="Yes","Adequate",IF($I89="No","Inadequate",IF($I89="Partial","Inadequate",IF(AND($I89="N/A",NOT($I85="No"),NOT($I85="N/A")),"Inadequate",IF(OR($I89="",$I89=0),"Blank","Error"))))))</f>
        <v>Blank</v>
      </c>
      <c r="K89" s="123" t="s">
        <v>75</v>
      </c>
      <c r="L89" t="str">
        <f t="shared" si="25"/>
        <v>Blank</v>
      </c>
      <c r="N89" t="str">
        <f t="shared" si="27"/>
        <v/>
      </c>
      <c r="O89" t="str">
        <f t="shared" si="28"/>
        <v/>
      </c>
      <c r="P89" t="str">
        <f t="shared" si="29"/>
        <v>Comment is required</v>
      </c>
      <c r="Q89" t="str">
        <f t="shared" si="30"/>
        <v>Blank</v>
      </c>
      <c r="R89" t="str">
        <f t="shared" si="31"/>
        <v>No Override</v>
      </c>
      <c r="S89">
        <f t="shared" si="32"/>
        <v>1</v>
      </c>
      <c r="T89" t="str">
        <f t="shared" si="24"/>
        <v/>
      </c>
    </row>
    <row r="90" spans="1:20" x14ac:dyDescent="0.3">
      <c r="A90" s="181">
        <v>4</v>
      </c>
      <c r="C90">
        <f t="shared" si="26"/>
        <v>4</v>
      </c>
      <c r="D90" t="s">
        <v>590</v>
      </c>
      <c r="E90" s="54" t="s">
        <v>614</v>
      </c>
      <c r="F90" s="60" t="s">
        <v>617</v>
      </c>
      <c r="G90" s="135" t="s">
        <v>618</v>
      </c>
      <c r="H90" s="131" t="str">
        <f>'9. Maintenance'!$K11</f>
        <v>Comment is required</v>
      </c>
      <c r="I90">
        <f>'9. Maintenance'!$J11</f>
        <v>0</v>
      </c>
      <c r="J90" t="str">
        <f t="shared" si="33"/>
        <v>Blank</v>
      </c>
      <c r="K90" s="123" t="s">
        <v>75</v>
      </c>
      <c r="L90" t="str">
        <f t="shared" si="25"/>
        <v>Blank</v>
      </c>
      <c r="N90" t="str">
        <f t="shared" si="27"/>
        <v/>
      </c>
      <c r="O90" t="str">
        <f t="shared" si="28"/>
        <v/>
      </c>
      <c r="P90" t="str">
        <f t="shared" si="29"/>
        <v>Comment is required</v>
      </c>
      <c r="Q90" t="str">
        <f t="shared" si="30"/>
        <v>Blank</v>
      </c>
      <c r="R90" t="str">
        <f t="shared" si="31"/>
        <v>No Override</v>
      </c>
      <c r="S90">
        <f t="shared" si="32"/>
        <v>4</v>
      </c>
      <c r="T90" t="str">
        <f t="shared" si="24"/>
        <v/>
      </c>
    </row>
    <row r="91" spans="1:20" ht="22.8" x14ac:dyDescent="0.3">
      <c r="A91" s="181">
        <v>4</v>
      </c>
      <c r="C91">
        <f t="shared" si="26"/>
        <v>4</v>
      </c>
      <c r="D91" t="s">
        <v>590</v>
      </c>
      <c r="E91" s="54" t="s">
        <v>619</v>
      </c>
      <c r="F91" s="60" t="s">
        <v>617</v>
      </c>
      <c r="G91" s="135" t="s">
        <v>620</v>
      </c>
      <c r="H91" s="131" t="str">
        <f>'9. Maintenance'!$K12</f>
        <v>Comment is required</v>
      </c>
      <c r="I91">
        <f>'9. Maintenance'!$J12</f>
        <v>0</v>
      </c>
      <c r="J91" t="str">
        <f t="shared" si="33"/>
        <v>Blank</v>
      </c>
      <c r="K91" s="123" t="s">
        <v>75</v>
      </c>
      <c r="L91" t="str">
        <f t="shared" si="25"/>
        <v>Blank</v>
      </c>
      <c r="N91" t="str">
        <f t="shared" si="27"/>
        <v/>
      </c>
      <c r="O91" t="str">
        <f t="shared" si="28"/>
        <v/>
      </c>
      <c r="P91" t="str">
        <f t="shared" si="29"/>
        <v>Comment is required</v>
      </c>
      <c r="Q91" t="str">
        <f t="shared" si="30"/>
        <v>Blank</v>
      </c>
      <c r="R91" t="str">
        <f t="shared" si="31"/>
        <v>No Override</v>
      </c>
      <c r="S91">
        <f t="shared" si="32"/>
        <v>4</v>
      </c>
      <c r="T91" t="str">
        <f t="shared" si="24"/>
        <v/>
      </c>
    </row>
    <row r="92" spans="1:20" x14ac:dyDescent="0.3">
      <c r="A92" s="181">
        <v>4</v>
      </c>
      <c r="C92">
        <f t="shared" ref="C92:C128" si="34">IF($B92="",$A92,$B92)</f>
        <v>4</v>
      </c>
      <c r="D92" t="s">
        <v>621</v>
      </c>
      <c r="E92" s="51" t="s">
        <v>622</v>
      </c>
      <c r="F92" s="57" t="s">
        <v>625</v>
      </c>
      <c r="G92" s="131" t="s">
        <v>626</v>
      </c>
      <c r="H92" s="131" t="str">
        <f>'13. Personnel Security'!$K3</f>
        <v>Comment is required</v>
      </c>
      <c r="I92">
        <f>'13. Personnel Security'!$J3</f>
        <v>0</v>
      </c>
      <c r="J92" t="str">
        <f t="shared" ref="J92:J128" si="35">IF($I92="Yes","Adequate",IF($I92="No","Inadequate",IF($I92="Partial","Inadequate",IF($I92="N/A","Inadequate",IF(OR($I92="",$I92=0),"Blank","Error")))))</f>
        <v>Blank</v>
      </c>
      <c r="K92" s="123" t="s">
        <v>75</v>
      </c>
      <c r="L92" t="str">
        <f t="shared" ref="L92:L128" si="36">IF($K92="No Override",$J92,$K92)</f>
        <v>Blank</v>
      </c>
      <c r="N92" t="str">
        <f t="shared" ref="N92:N128" si="37">IF($J92=$L92,"","***")</f>
        <v/>
      </c>
      <c r="O92" t="str">
        <f t="shared" ref="O92:O128" si="38">IF(OR($I92="",$I92=0),"",$I92)</f>
        <v/>
      </c>
      <c r="P92" t="str">
        <f t="shared" ref="P92:P128" si="39">IF(OR($H92="",$H92=0),"",$H92)</f>
        <v>Comment is required</v>
      </c>
      <c r="Q92" t="str">
        <f t="shared" ref="Q92:Q128" si="40">$L92</f>
        <v>Blank</v>
      </c>
      <c r="R92" t="str">
        <f t="shared" ref="R92:R128" si="41">$K92</f>
        <v>No Override</v>
      </c>
      <c r="S92">
        <f t="shared" ref="S92:S128" si="42">$C92</f>
        <v>4</v>
      </c>
      <c r="T92" t="str">
        <f t="shared" ref="T92:T123" si="43">IF($L92=$Q92,"","***")</f>
        <v/>
      </c>
    </row>
    <row r="93" spans="1:20" x14ac:dyDescent="0.3">
      <c r="A93" s="181">
        <v>4</v>
      </c>
      <c r="C93">
        <f t="shared" si="34"/>
        <v>4</v>
      </c>
      <c r="D93" t="s">
        <v>621</v>
      </c>
      <c r="E93" s="51" t="s">
        <v>627</v>
      </c>
      <c r="F93" s="57" t="s">
        <v>629</v>
      </c>
      <c r="G93" s="135" t="s">
        <v>630</v>
      </c>
      <c r="H93" s="131" t="str">
        <f>'13. Personnel Security'!$K4</f>
        <v>Comment is required</v>
      </c>
      <c r="I93">
        <f>'13. Personnel Security'!$J4</f>
        <v>0</v>
      </c>
      <c r="J93" t="str">
        <f t="shared" si="35"/>
        <v>Blank</v>
      </c>
      <c r="K93" s="123" t="s">
        <v>75</v>
      </c>
      <c r="L93" t="str">
        <f t="shared" si="36"/>
        <v>Blank</v>
      </c>
      <c r="N93" t="str">
        <f t="shared" si="37"/>
        <v/>
      </c>
      <c r="O93" t="str">
        <f t="shared" si="38"/>
        <v/>
      </c>
      <c r="P93" t="str">
        <f t="shared" si="39"/>
        <v>Comment is required</v>
      </c>
      <c r="Q93" t="str">
        <f t="shared" si="40"/>
        <v>Blank</v>
      </c>
      <c r="R93" t="str">
        <f t="shared" si="41"/>
        <v>No Override</v>
      </c>
      <c r="S93">
        <f t="shared" si="42"/>
        <v>4</v>
      </c>
      <c r="T93" t="str">
        <f t="shared" si="43"/>
        <v/>
      </c>
    </row>
    <row r="94" spans="1:20" x14ac:dyDescent="0.3">
      <c r="A94" s="181">
        <v>4</v>
      </c>
      <c r="C94">
        <f t="shared" si="34"/>
        <v>4</v>
      </c>
      <c r="D94" t="s">
        <v>621</v>
      </c>
      <c r="E94" s="51" t="s">
        <v>631</v>
      </c>
      <c r="F94" s="57" t="s">
        <v>629</v>
      </c>
      <c r="G94" s="135" t="s">
        <v>632</v>
      </c>
      <c r="H94" s="131" t="str">
        <f>'13. Personnel Security'!$K5</f>
        <v>Comment is required</v>
      </c>
      <c r="I94">
        <f>'13. Personnel Security'!$J5</f>
        <v>0</v>
      </c>
      <c r="J94" t="str">
        <f t="shared" si="35"/>
        <v>Blank</v>
      </c>
      <c r="K94" s="123" t="s">
        <v>75</v>
      </c>
      <c r="L94" t="str">
        <f t="shared" si="36"/>
        <v>Blank</v>
      </c>
      <c r="N94" t="str">
        <f t="shared" si="37"/>
        <v/>
      </c>
      <c r="O94" t="str">
        <f t="shared" si="38"/>
        <v/>
      </c>
      <c r="P94" t="str">
        <f t="shared" si="39"/>
        <v>Comment is required</v>
      </c>
      <c r="Q94" t="str">
        <f t="shared" si="40"/>
        <v>Blank</v>
      </c>
      <c r="R94" t="str">
        <f t="shared" si="41"/>
        <v>No Override</v>
      </c>
      <c r="S94">
        <f t="shared" si="42"/>
        <v>4</v>
      </c>
      <c r="T94" t="str">
        <f t="shared" si="43"/>
        <v/>
      </c>
    </row>
    <row r="95" spans="1:20" x14ac:dyDescent="0.3">
      <c r="A95" s="181">
        <v>4</v>
      </c>
      <c r="C95">
        <f t="shared" si="34"/>
        <v>4</v>
      </c>
      <c r="D95" t="s">
        <v>621</v>
      </c>
      <c r="E95" s="51" t="s">
        <v>633</v>
      </c>
      <c r="F95" s="57" t="s">
        <v>629</v>
      </c>
      <c r="G95" s="135" t="s">
        <v>634</v>
      </c>
      <c r="H95" s="131" t="str">
        <f>'13. Personnel Security'!$K6</f>
        <v>Comment is required</v>
      </c>
      <c r="I95">
        <f>'13. Personnel Security'!$J6</f>
        <v>0</v>
      </c>
      <c r="J95" t="str">
        <f t="shared" si="35"/>
        <v>Blank</v>
      </c>
      <c r="K95" s="123" t="s">
        <v>75</v>
      </c>
      <c r="L95" t="str">
        <f t="shared" si="36"/>
        <v>Blank</v>
      </c>
      <c r="N95" t="str">
        <f t="shared" si="37"/>
        <v/>
      </c>
      <c r="O95" t="str">
        <f t="shared" si="38"/>
        <v/>
      </c>
      <c r="P95" t="str">
        <f t="shared" si="39"/>
        <v>Comment is required</v>
      </c>
      <c r="Q95" t="str">
        <f t="shared" si="40"/>
        <v>Blank</v>
      </c>
      <c r="R95" t="str">
        <f t="shared" si="41"/>
        <v>No Override</v>
      </c>
      <c r="S95">
        <f t="shared" si="42"/>
        <v>4</v>
      </c>
      <c r="T95" t="str">
        <f t="shared" si="43"/>
        <v/>
      </c>
    </row>
    <row r="96" spans="1:20" x14ac:dyDescent="0.3">
      <c r="A96" s="181">
        <v>4</v>
      </c>
      <c r="C96">
        <f t="shared" si="34"/>
        <v>4</v>
      </c>
      <c r="D96" t="s">
        <v>621</v>
      </c>
      <c r="E96" s="51" t="s">
        <v>635</v>
      </c>
      <c r="F96" s="57" t="s">
        <v>636</v>
      </c>
      <c r="G96" s="135" t="s">
        <v>637</v>
      </c>
      <c r="H96" s="131" t="str">
        <f>'13. Personnel Security'!$K7</f>
        <v>Comment is required</v>
      </c>
      <c r="I96">
        <f>'13. Personnel Security'!$J7</f>
        <v>0</v>
      </c>
      <c r="J96" t="str">
        <f t="shared" si="35"/>
        <v>Blank</v>
      </c>
      <c r="K96" s="123" t="s">
        <v>75</v>
      </c>
      <c r="L96" t="str">
        <f t="shared" si="36"/>
        <v>Blank</v>
      </c>
      <c r="N96" t="str">
        <f t="shared" si="37"/>
        <v/>
      </c>
      <c r="O96" t="str">
        <f t="shared" si="38"/>
        <v/>
      </c>
      <c r="P96" t="str">
        <f t="shared" si="39"/>
        <v>Comment is required</v>
      </c>
      <c r="Q96" t="str">
        <f t="shared" si="40"/>
        <v>Blank</v>
      </c>
      <c r="R96" t="str">
        <f t="shared" si="41"/>
        <v>No Override</v>
      </c>
      <c r="S96">
        <f t="shared" si="42"/>
        <v>4</v>
      </c>
      <c r="T96" t="str">
        <f t="shared" si="43"/>
        <v/>
      </c>
    </row>
    <row r="97" spans="1:20" x14ac:dyDescent="0.3">
      <c r="A97" s="181">
        <v>4</v>
      </c>
      <c r="C97">
        <f t="shared" si="34"/>
        <v>4</v>
      </c>
      <c r="D97" t="s">
        <v>621</v>
      </c>
      <c r="E97" s="51" t="s">
        <v>638</v>
      </c>
      <c r="F97" s="57" t="s">
        <v>636</v>
      </c>
      <c r="G97" s="135" t="s">
        <v>639</v>
      </c>
      <c r="H97" s="131" t="str">
        <f>'13. Personnel Security'!$K8</f>
        <v>Comment is required</v>
      </c>
      <c r="I97">
        <f>'13. Personnel Security'!$J8</f>
        <v>0</v>
      </c>
      <c r="J97" t="str">
        <f t="shared" si="35"/>
        <v>Blank</v>
      </c>
      <c r="K97" s="123" t="s">
        <v>75</v>
      </c>
      <c r="L97" t="str">
        <f t="shared" si="36"/>
        <v>Blank</v>
      </c>
      <c r="N97" t="str">
        <f t="shared" si="37"/>
        <v/>
      </c>
      <c r="O97" t="str">
        <f t="shared" si="38"/>
        <v/>
      </c>
      <c r="P97" t="str">
        <f t="shared" si="39"/>
        <v>Comment is required</v>
      </c>
      <c r="Q97" t="str">
        <f t="shared" si="40"/>
        <v>Blank</v>
      </c>
      <c r="R97" t="str">
        <f t="shared" si="41"/>
        <v>No Override</v>
      </c>
      <c r="S97">
        <f t="shared" si="42"/>
        <v>4</v>
      </c>
      <c r="T97" t="str">
        <f t="shared" si="43"/>
        <v/>
      </c>
    </row>
    <row r="98" spans="1:20" ht="22.8" x14ac:dyDescent="0.3">
      <c r="A98" s="181">
        <v>4</v>
      </c>
      <c r="C98">
        <f t="shared" si="34"/>
        <v>4</v>
      </c>
      <c r="D98" t="s">
        <v>621</v>
      </c>
      <c r="E98" s="51" t="s">
        <v>640</v>
      </c>
      <c r="F98" s="57" t="s">
        <v>643</v>
      </c>
      <c r="G98" s="135" t="s">
        <v>644</v>
      </c>
      <c r="H98" s="131" t="str">
        <f>'13. Personnel Security'!$K9</f>
        <v>Comment is required</v>
      </c>
      <c r="I98">
        <f>'13. Personnel Security'!$J9</f>
        <v>0</v>
      </c>
      <c r="J98" t="str">
        <f t="shared" si="35"/>
        <v>Blank</v>
      </c>
      <c r="K98" s="123" t="s">
        <v>75</v>
      </c>
      <c r="L98" t="str">
        <f t="shared" si="36"/>
        <v>Blank</v>
      </c>
      <c r="N98" t="str">
        <f t="shared" si="37"/>
        <v/>
      </c>
      <c r="O98" t="str">
        <f t="shared" si="38"/>
        <v/>
      </c>
      <c r="P98" t="str">
        <f t="shared" si="39"/>
        <v>Comment is required</v>
      </c>
      <c r="Q98" t="str">
        <f t="shared" si="40"/>
        <v>Blank</v>
      </c>
      <c r="R98" t="str">
        <f t="shared" si="41"/>
        <v>No Override</v>
      </c>
      <c r="S98">
        <f t="shared" si="42"/>
        <v>4</v>
      </c>
      <c r="T98" t="str">
        <f t="shared" si="43"/>
        <v/>
      </c>
    </row>
    <row r="99" spans="1:20" x14ac:dyDescent="0.3">
      <c r="A99" s="181">
        <v>4</v>
      </c>
      <c r="C99">
        <f t="shared" si="34"/>
        <v>4</v>
      </c>
      <c r="D99" t="s">
        <v>621</v>
      </c>
      <c r="E99" s="51" t="s">
        <v>645</v>
      </c>
      <c r="F99" s="57" t="s">
        <v>647</v>
      </c>
      <c r="G99" s="135" t="s">
        <v>648</v>
      </c>
      <c r="H99" s="131" t="str">
        <f>'13. Personnel Security'!$K10</f>
        <v>Comment is required</v>
      </c>
      <c r="I99">
        <f>'13. Personnel Security'!$J10</f>
        <v>0</v>
      </c>
      <c r="J99" t="str">
        <f t="shared" si="35"/>
        <v>Blank</v>
      </c>
      <c r="K99" s="123" t="s">
        <v>75</v>
      </c>
      <c r="L99" t="str">
        <f t="shared" si="36"/>
        <v>Blank</v>
      </c>
      <c r="N99" t="str">
        <f t="shared" si="37"/>
        <v/>
      </c>
      <c r="O99" t="str">
        <f t="shared" si="38"/>
        <v/>
      </c>
      <c r="P99" t="str">
        <f t="shared" si="39"/>
        <v>Comment is required</v>
      </c>
      <c r="Q99" t="str">
        <f t="shared" si="40"/>
        <v>Blank</v>
      </c>
      <c r="R99" t="str">
        <f t="shared" si="41"/>
        <v>No Override</v>
      </c>
      <c r="S99">
        <f t="shared" si="42"/>
        <v>4</v>
      </c>
      <c r="T99" t="str">
        <f t="shared" si="43"/>
        <v/>
      </c>
    </row>
    <row r="100" spans="1:20" ht="22.8" x14ac:dyDescent="0.3">
      <c r="A100" s="181">
        <v>4</v>
      </c>
      <c r="C100">
        <f t="shared" si="34"/>
        <v>4</v>
      </c>
      <c r="D100" t="s">
        <v>621</v>
      </c>
      <c r="E100" s="51" t="s">
        <v>649</v>
      </c>
      <c r="F100" s="57" t="s">
        <v>652</v>
      </c>
      <c r="G100" s="135" t="s">
        <v>653</v>
      </c>
      <c r="H100" s="131" t="str">
        <f>'13. Personnel Security'!$K11</f>
        <v>Comment is required</v>
      </c>
      <c r="I100">
        <f>'13. Personnel Security'!$J11</f>
        <v>0</v>
      </c>
      <c r="J100" t="str">
        <f t="shared" si="35"/>
        <v>Blank</v>
      </c>
      <c r="K100" s="123" t="s">
        <v>75</v>
      </c>
      <c r="L100" t="str">
        <f t="shared" si="36"/>
        <v>Blank</v>
      </c>
      <c r="N100" t="str">
        <f t="shared" si="37"/>
        <v/>
      </c>
      <c r="O100" t="str">
        <f t="shared" si="38"/>
        <v/>
      </c>
      <c r="P100" t="str">
        <f t="shared" si="39"/>
        <v>Comment is required</v>
      </c>
      <c r="Q100" t="str">
        <f t="shared" si="40"/>
        <v>Blank</v>
      </c>
      <c r="R100" t="str">
        <f t="shared" si="41"/>
        <v>No Override</v>
      </c>
      <c r="S100">
        <f t="shared" si="42"/>
        <v>4</v>
      </c>
      <c r="T100" t="str">
        <f t="shared" si="43"/>
        <v/>
      </c>
    </row>
    <row r="101" spans="1:20" ht="22.8" x14ac:dyDescent="0.3">
      <c r="A101" s="181">
        <v>4</v>
      </c>
      <c r="C101">
        <f t="shared" si="34"/>
        <v>4</v>
      </c>
      <c r="D101" t="s">
        <v>621</v>
      </c>
      <c r="E101" s="51" t="s">
        <v>654</v>
      </c>
      <c r="F101" s="57" t="s">
        <v>657</v>
      </c>
      <c r="G101" s="135" t="s">
        <v>658</v>
      </c>
      <c r="H101" s="131" t="str">
        <f>'13. Personnel Security'!$K12</f>
        <v>Comment is required</v>
      </c>
      <c r="I101">
        <f>'13. Personnel Security'!$J12</f>
        <v>0</v>
      </c>
      <c r="J101" t="str">
        <f>IF($I101="Yes","Adequate",IF($I101="No","Inadequate",IF($I101="Partial","Inadequate",IF(AND($I101="N/A",'Vendor Profile Questionnaire'!$B$29="No"),"Adequate",IF(AND($I101="N/A",NOT('Vendor Profile Questionnaire'!$B$29="No")),"Inadequate",IF(OR($I101="",$I101=0),"Blank","Error"))))))</f>
        <v>Blank</v>
      </c>
      <c r="K101" s="123" t="s">
        <v>75</v>
      </c>
      <c r="L101" t="str">
        <f t="shared" si="36"/>
        <v>Blank</v>
      </c>
      <c r="N101" t="str">
        <f t="shared" si="37"/>
        <v/>
      </c>
      <c r="O101" t="str">
        <f t="shared" si="38"/>
        <v/>
      </c>
      <c r="P101" t="str">
        <f t="shared" si="39"/>
        <v>Comment is required</v>
      </c>
      <c r="Q101" t="str">
        <f t="shared" si="40"/>
        <v>Blank</v>
      </c>
      <c r="R101" t="str">
        <f t="shared" si="41"/>
        <v>No Override</v>
      </c>
      <c r="S101">
        <f t="shared" si="42"/>
        <v>4</v>
      </c>
      <c r="T101" t="str">
        <f t="shared" si="43"/>
        <v/>
      </c>
    </row>
    <row r="102" spans="1:20" x14ac:dyDescent="0.3">
      <c r="A102" s="181">
        <v>4</v>
      </c>
      <c r="C102">
        <f t="shared" si="34"/>
        <v>4</v>
      </c>
      <c r="D102" t="s">
        <v>621</v>
      </c>
      <c r="E102" s="51" t="s">
        <v>659</v>
      </c>
      <c r="F102" s="57" t="s">
        <v>662</v>
      </c>
      <c r="G102" s="135" t="s">
        <v>663</v>
      </c>
      <c r="H102" s="131" t="str">
        <f>'13. Personnel Security'!$K13</f>
        <v>Comment is required</v>
      </c>
      <c r="I102">
        <f>'13. Personnel Security'!$J13</f>
        <v>0</v>
      </c>
      <c r="J102" t="str">
        <f t="shared" si="35"/>
        <v>Blank</v>
      </c>
      <c r="K102" s="123" t="s">
        <v>75</v>
      </c>
      <c r="L102" t="str">
        <f t="shared" si="36"/>
        <v>Blank</v>
      </c>
      <c r="N102" t="str">
        <f t="shared" si="37"/>
        <v/>
      </c>
      <c r="O102" t="str">
        <f t="shared" si="38"/>
        <v/>
      </c>
      <c r="P102" t="str">
        <f t="shared" si="39"/>
        <v>Comment is required</v>
      </c>
      <c r="Q102" t="str">
        <f t="shared" si="40"/>
        <v>Blank</v>
      </c>
      <c r="R102" t="str">
        <f t="shared" si="41"/>
        <v>No Override</v>
      </c>
      <c r="S102">
        <f t="shared" si="42"/>
        <v>4</v>
      </c>
      <c r="T102" t="str">
        <f t="shared" si="43"/>
        <v/>
      </c>
    </row>
    <row r="103" spans="1:20" x14ac:dyDescent="0.3">
      <c r="A103" s="181">
        <v>4</v>
      </c>
      <c r="C103">
        <f t="shared" si="34"/>
        <v>4</v>
      </c>
      <c r="D103" t="s">
        <v>778</v>
      </c>
      <c r="E103" s="51" t="s">
        <v>665</v>
      </c>
      <c r="F103" s="57" t="s">
        <v>667</v>
      </c>
      <c r="G103" s="131" t="s">
        <v>668</v>
      </c>
      <c r="H103" s="131" t="str">
        <f>'15. System Acquisition'!$K3</f>
        <v>Comment is required</v>
      </c>
      <c r="I103">
        <f>'15. System Acquisition'!$J3</f>
        <v>0</v>
      </c>
      <c r="J103" t="str">
        <f t="shared" si="35"/>
        <v>Blank</v>
      </c>
      <c r="K103" s="123" t="s">
        <v>75</v>
      </c>
      <c r="L103" t="str">
        <f t="shared" si="36"/>
        <v>Blank</v>
      </c>
      <c r="N103" t="str">
        <f t="shared" si="37"/>
        <v/>
      </c>
      <c r="O103" t="str">
        <f t="shared" si="38"/>
        <v/>
      </c>
      <c r="P103" t="str">
        <f t="shared" si="39"/>
        <v>Comment is required</v>
      </c>
      <c r="Q103" t="str">
        <f t="shared" si="40"/>
        <v>Blank</v>
      </c>
      <c r="R103" t="str">
        <f t="shared" si="41"/>
        <v>No Override</v>
      </c>
      <c r="S103">
        <f t="shared" si="42"/>
        <v>4</v>
      </c>
      <c r="T103" t="str">
        <f t="shared" si="43"/>
        <v/>
      </c>
    </row>
    <row r="104" spans="1:20" x14ac:dyDescent="0.3">
      <c r="A104" s="181">
        <v>4</v>
      </c>
      <c r="C104">
        <f t="shared" si="34"/>
        <v>4</v>
      </c>
      <c r="D104" t="s">
        <v>778</v>
      </c>
      <c r="E104" s="51" t="s">
        <v>669</v>
      </c>
      <c r="F104" s="57" t="s">
        <v>671</v>
      </c>
      <c r="G104" s="135" t="s">
        <v>672</v>
      </c>
      <c r="H104" s="131" t="str">
        <f>'15. System Acquisition'!$K4</f>
        <v>Comment is required</v>
      </c>
      <c r="I104">
        <f>'15. System Acquisition'!$J4</f>
        <v>0</v>
      </c>
      <c r="J104" t="str">
        <f t="shared" si="35"/>
        <v>Blank</v>
      </c>
      <c r="K104" s="123" t="s">
        <v>75</v>
      </c>
      <c r="L104" t="str">
        <f t="shared" si="36"/>
        <v>Blank</v>
      </c>
      <c r="N104" t="str">
        <f t="shared" si="37"/>
        <v/>
      </c>
      <c r="O104" t="str">
        <f t="shared" si="38"/>
        <v/>
      </c>
      <c r="P104" t="str">
        <f t="shared" si="39"/>
        <v>Comment is required</v>
      </c>
      <c r="Q104" t="str">
        <f t="shared" si="40"/>
        <v>Blank</v>
      </c>
      <c r="R104" t="str">
        <f t="shared" si="41"/>
        <v>No Override</v>
      </c>
      <c r="S104">
        <f t="shared" si="42"/>
        <v>4</v>
      </c>
      <c r="T104" t="str">
        <f t="shared" si="43"/>
        <v/>
      </c>
    </row>
    <row r="105" spans="1:20" ht="45.6" x14ac:dyDescent="0.3">
      <c r="A105" s="181">
        <v>1</v>
      </c>
      <c r="C105">
        <f t="shared" si="34"/>
        <v>1</v>
      </c>
      <c r="D105" t="s">
        <v>778</v>
      </c>
      <c r="E105" s="51" t="s">
        <v>335</v>
      </c>
      <c r="F105" s="57" t="s">
        <v>336</v>
      </c>
      <c r="G105" s="135" t="s">
        <v>674</v>
      </c>
      <c r="H105" s="131" t="str">
        <f>'15. System Acquisition'!$K5</f>
        <v>Comment is required</v>
      </c>
      <c r="I105">
        <f>'15. System Acquisition'!$J5</f>
        <v>0</v>
      </c>
      <c r="J105" t="str">
        <f t="shared" si="35"/>
        <v>Blank</v>
      </c>
      <c r="K105" s="123" t="s">
        <v>75</v>
      </c>
      <c r="L105" t="str">
        <f t="shared" si="36"/>
        <v>Blank</v>
      </c>
      <c r="N105" t="str">
        <f t="shared" si="37"/>
        <v/>
      </c>
      <c r="O105" t="str">
        <f t="shared" si="38"/>
        <v/>
      </c>
      <c r="P105" t="str">
        <f t="shared" si="39"/>
        <v>Comment is required</v>
      </c>
      <c r="Q105" t="str">
        <f t="shared" si="40"/>
        <v>Blank</v>
      </c>
      <c r="R105" t="str">
        <f t="shared" si="41"/>
        <v>No Override</v>
      </c>
      <c r="S105">
        <f t="shared" si="42"/>
        <v>1</v>
      </c>
      <c r="T105" t="str">
        <f t="shared" si="43"/>
        <v/>
      </c>
    </row>
    <row r="106" spans="1:20" ht="57" x14ac:dyDescent="0.3">
      <c r="A106" s="181">
        <v>4</v>
      </c>
      <c r="C106">
        <f t="shared" si="34"/>
        <v>4</v>
      </c>
      <c r="D106" t="s">
        <v>778</v>
      </c>
      <c r="E106" s="51" t="s">
        <v>675</v>
      </c>
      <c r="F106" s="57" t="s">
        <v>677</v>
      </c>
      <c r="G106" s="131" t="s">
        <v>678</v>
      </c>
      <c r="H106" s="131" t="str">
        <f>'15. System Acquisition'!$K6</f>
        <v>Comment is required</v>
      </c>
      <c r="I106">
        <f>'15. System Acquisition'!$J6</f>
        <v>0</v>
      </c>
      <c r="J106" t="str">
        <f t="shared" si="35"/>
        <v>Blank</v>
      </c>
      <c r="K106" s="123" t="s">
        <v>75</v>
      </c>
      <c r="L106" t="str">
        <f t="shared" si="36"/>
        <v>Blank</v>
      </c>
      <c r="N106" t="str">
        <f t="shared" si="37"/>
        <v/>
      </c>
      <c r="O106" t="str">
        <f t="shared" si="38"/>
        <v/>
      </c>
      <c r="P106" t="str">
        <f t="shared" si="39"/>
        <v>Comment is required</v>
      </c>
      <c r="Q106" t="str">
        <f t="shared" si="40"/>
        <v>Blank</v>
      </c>
      <c r="R106" t="str">
        <f t="shared" si="41"/>
        <v>No Override</v>
      </c>
      <c r="S106">
        <f t="shared" si="42"/>
        <v>4</v>
      </c>
      <c r="T106" t="str">
        <f t="shared" si="43"/>
        <v/>
      </c>
    </row>
    <row r="107" spans="1:20" ht="68.400000000000006" x14ac:dyDescent="0.3">
      <c r="A107" s="181">
        <v>4</v>
      </c>
      <c r="C107">
        <f t="shared" si="34"/>
        <v>4</v>
      </c>
      <c r="D107" t="s">
        <v>778</v>
      </c>
      <c r="E107" s="51" t="s">
        <v>679</v>
      </c>
      <c r="F107" s="57" t="s">
        <v>677</v>
      </c>
      <c r="G107" s="131" t="s">
        <v>680</v>
      </c>
      <c r="H107" s="131" t="str">
        <f>'15. System Acquisition'!$K7</f>
        <v>Comment is required</v>
      </c>
      <c r="I107">
        <f>'15. System Acquisition'!$J7</f>
        <v>0</v>
      </c>
      <c r="J107" t="str">
        <f t="shared" si="35"/>
        <v>Blank</v>
      </c>
      <c r="K107" s="123" t="s">
        <v>75</v>
      </c>
      <c r="L107" t="str">
        <f t="shared" si="36"/>
        <v>Blank</v>
      </c>
      <c r="N107" t="str">
        <f t="shared" si="37"/>
        <v/>
      </c>
      <c r="O107" t="str">
        <f t="shared" si="38"/>
        <v/>
      </c>
      <c r="P107" t="str">
        <f t="shared" si="39"/>
        <v>Comment is required</v>
      </c>
      <c r="Q107" t="str">
        <f t="shared" si="40"/>
        <v>Blank</v>
      </c>
      <c r="R107" t="str">
        <f t="shared" si="41"/>
        <v>No Override</v>
      </c>
      <c r="S107">
        <f t="shared" si="42"/>
        <v>4</v>
      </c>
      <c r="T107" t="str">
        <f t="shared" si="43"/>
        <v/>
      </c>
    </row>
    <row r="108" spans="1:20" x14ac:dyDescent="0.3">
      <c r="A108" s="181">
        <v>4</v>
      </c>
      <c r="C108">
        <f t="shared" si="34"/>
        <v>4</v>
      </c>
      <c r="D108" t="s">
        <v>778</v>
      </c>
      <c r="E108" s="51" t="s">
        <v>681</v>
      </c>
      <c r="F108" s="57" t="s">
        <v>677</v>
      </c>
      <c r="G108" s="131" t="s">
        <v>682</v>
      </c>
      <c r="H108" s="131" t="str">
        <f>'15. System Acquisition'!$K8</f>
        <v>Comment is required</v>
      </c>
      <c r="I108">
        <f>'15. System Acquisition'!$J8</f>
        <v>0</v>
      </c>
      <c r="J108" t="str">
        <f>IF($I108="Yes","Adequate",IF($I108="No","Inadequate",IF($I108="Partial","Inadequate",IF(AND($I108="N/A",$I107="No",$I106="No"),"Adequate",IF(AND($I108="N/A",OR(NOT($I107="No"),NOT($I106="No"))),"Inadequate",IF(OR($I108="",$I108=0),"Blank","Error"))))))</f>
        <v>Blank</v>
      </c>
      <c r="K108" s="123" t="s">
        <v>75</v>
      </c>
      <c r="L108" t="str">
        <f t="shared" si="36"/>
        <v>Blank</v>
      </c>
      <c r="N108" t="str">
        <f t="shared" si="37"/>
        <v/>
      </c>
      <c r="O108" t="str">
        <f t="shared" si="38"/>
        <v/>
      </c>
      <c r="P108" t="str">
        <f t="shared" si="39"/>
        <v>Comment is required</v>
      </c>
      <c r="Q108" t="str">
        <f t="shared" si="40"/>
        <v>Blank</v>
      </c>
      <c r="R108" t="str">
        <f t="shared" si="41"/>
        <v>No Override</v>
      </c>
      <c r="S108">
        <f t="shared" si="42"/>
        <v>4</v>
      </c>
      <c r="T108" t="str">
        <f t="shared" si="43"/>
        <v/>
      </c>
    </row>
    <row r="109" spans="1:20" ht="22.8" x14ac:dyDescent="0.3">
      <c r="A109" s="181">
        <v>4</v>
      </c>
      <c r="C109">
        <f t="shared" si="34"/>
        <v>4</v>
      </c>
      <c r="D109" t="s">
        <v>778</v>
      </c>
      <c r="E109" s="51" t="s">
        <v>683</v>
      </c>
      <c r="F109" s="57" t="s">
        <v>685</v>
      </c>
      <c r="G109" s="135" t="s">
        <v>686</v>
      </c>
      <c r="H109" s="131" t="str">
        <f>'15. System Acquisition'!$K9</f>
        <v>Comment is required</v>
      </c>
      <c r="I109">
        <f>'15. System Acquisition'!$J9</f>
        <v>0</v>
      </c>
      <c r="J109" t="str">
        <f t="shared" si="35"/>
        <v>Blank</v>
      </c>
      <c r="K109" s="123" t="s">
        <v>75</v>
      </c>
      <c r="L109" t="str">
        <f t="shared" si="36"/>
        <v>Blank</v>
      </c>
      <c r="N109" t="str">
        <f t="shared" si="37"/>
        <v/>
      </c>
      <c r="O109" t="str">
        <f t="shared" si="38"/>
        <v/>
      </c>
      <c r="P109" t="str">
        <f t="shared" si="39"/>
        <v>Comment is required</v>
      </c>
      <c r="Q109" t="str">
        <f t="shared" si="40"/>
        <v>Blank</v>
      </c>
      <c r="R109" t="str">
        <f t="shared" si="41"/>
        <v>No Override</v>
      </c>
      <c r="S109">
        <f t="shared" si="42"/>
        <v>4</v>
      </c>
      <c r="T109" t="str">
        <f t="shared" si="43"/>
        <v/>
      </c>
    </row>
    <row r="110" spans="1:20" ht="34.200000000000003" x14ac:dyDescent="0.3">
      <c r="A110" s="181">
        <v>4</v>
      </c>
      <c r="C110">
        <f t="shared" si="34"/>
        <v>4</v>
      </c>
      <c r="D110" t="s">
        <v>778</v>
      </c>
      <c r="E110" s="51" t="s">
        <v>687</v>
      </c>
      <c r="F110" s="57" t="s">
        <v>689</v>
      </c>
      <c r="G110" s="135" t="s">
        <v>690</v>
      </c>
      <c r="H110" s="131" t="str">
        <f>'15. System Acquisition'!$K10</f>
        <v>Comment is required</v>
      </c>
      <c r="I110">
        <f>'15. System Acquisition'!$J10</f>
        <v>0</v>
      </c>
      <c r="J110" t="str">
        <f t="shared" si="35"/>
        <v>Blank</v>
      </c>
      <c r="K110" s="123" t="s">
        <v>75</v>
      </c>
      <c r="L110" t="str">
        <f t="shared" si="36"/>
        <v>Blank</v>
      </c>
      <c r="N110" t="str">
        <f t="shared" si="37"/>
        <v/>
      </c>
      <c r="O110" t="str">
        <f t="shared" si="38"/>
        <v/>
      </c>
      <c r="P110" t="str">
        <f t="shared" si="39"/>
        <v>Comment is required</v>
      </c>
      <c r="Q110" t="str">
        <f t="shared" si="40"/>
        <v>Blank</v>
      </c>
      <c r="R110" t="str">
        <f t="shared" si="41"/>
        <v>No Override</v>
      </c>
      <c r="S110">
        <f t="shared" si="42"/>
        <v>4</v>
      </c>
      <c r="T110" t="str">
        <f t="shared" si="43"/>
        <v/>
      </c>
    </row>
    <row r="111" spans="1:20" ht="34.200000000000003" x14ac:dyDescent="0.3">
      <c r="A111" s="181">
        <v>2</v>
      </c>
      <c r="C111">
        <f t="shared" si="34"/>
        <v>2</v>
      </c>
      <c r="D111" t="s">
        <v>778</v>
      </c>
      <c r="E111" s="51" t="s">
        <v>691</v>
      </c>
      <c r="F111" s="57" t="s">
        <v>693</v>
      </c>
      <c r="G111" s="135" t="s">
        <v>694</v>
      </c>
      <c r="H111" s="131" t="str">
        <f>'15. System Acquisition'!$K11</f>
        <v>Comment is required</v>
      </c>
      <c r="I111">
        <f>'15. System Acquisition'!$J11</f>
        <v>0</v>
      </c>
      <c r="J111" t="str">
        <f t="shared" si="35"/>
        <v>Blank</v>
      </c>
      <c r="K111" s="123" t="s">
        <v>75</v>
      </c>
      <c r="L111" t="str">
        <f t="shared" si="36"/>
        <v>Blank</v>
      </c>
      <c r="N111" t="str">
        <f t="shared" si="37"/>
        <v/>
      </c>
      <c r="O111" t="str">
        <f t="shared" si="38"/>
        <v/>
      </c>
      <c r="P111" t="str">
        <f t="shared" si="39"/>
        <v>Comment is required</v>
      </c>
      <c r="Q111" t="str">
        <f t="shared" si="40"/>
        <v>Blank</v>
      </c>
      <c r="R111" t="str">
        <f t="shared" si="41"/>
        <v>No Override</v>
      </c>
      <c r="S111">
        <f t="shared" si="42"/>
        <v>2</v>
      </c>
      <c r="T111" t="str">
        <f t="shared" si="43"/>
        <v/>
      </c>
    </row>
    <row r="112" spans="1:20" ht="22.8" x14ac:dyDescent="0.3">
      <c r="A112" s="181">
        <v>4</v>
      </c>
      <c r="C112">
        <f t="shared" si="34"/>
        <v>4</v>
      </c>
      <c r="D112" t="s">
        <v>779</v>
      </c>
      <c r="E112" s="51" t="s">
        <v>696</v>
      </c>
      <c r="F112" s="57" t="s">
        <v>698</v>
      </c>
      <c r="G112" s="131" t="s">
        <v>699</v>
      </c>
      <c r="H112" s="131" t="str">
        <f>'16. System Data Protection'!$K3</f>
        <v>Comment is required</v>
      </c>
      <c r="I112">
        <f>'16. System Data Protection'!$J3</f>
        <v>0</v>
      </c>
      <c r="J112" t="str">
        <f t="shared" si="35"/>
        <v>Blank</v>
      </c>
      <c r="K112" s="123" t="s">
        <v>75</v>
      </c>
      <c r="L112" t="str">
        <f t="shared" si="36"/>
        <v>Blank</v>
      </c>
      <c r="N112" t="str">
        <f t="shared" si="37"/>
        <v/>
      </c>
      <c r="O112" t="str">
        <f t="shared" si="38"/>
        <v/>
      </c>
      <c r="P112" t="str">
        <f t="shared" si="39"/>
        <v>Comment is required</v>
      </c>
      <c r="Q112" t="str">
        <f t="shared" si="40"/>
        <v>Blank</v>
      </c>
      <c r="R112" t="str">
        <f t="shared" si="41"/>
        <v>No Override</v>
      </c>
      <c r="S112">
        <f t="shared" si="42"/>
        <v>4</v>
      </c>
      <c r="T112" t="str">
        <f t="shared" si="43"/>
        <v/>
      </c>
    </row>
    <row r="113" spans="1:20" ht="22.8" x14ac:dyDescent="0.3">
      <c r="A113" s="181">
        <v>4</v>
      </c>
      <c r="C113">
        <f t="shared" si="34"/>
        <v>4</v>
      </c>
      <c r="D113" t="s">
        <v>779</v>
      </c>
      <c r="E113" s="51" t="s">
        <v>700</v>
      </c>
      <c r="F113" s="57" t="s">
        <v>702</v>
      </c>
      <c r="G113" s="131" t="s">
        <v>703</v>
      </c>
      <c r="H113" s="131" t="str">
        <f>'16. System Data Protection'!$K4</f>
        <v>Comment is required</v>
      </c>
      <c r="I113">
        <f>'16. System Data Protection'!$J4</f>
        <v>0</v>
      </c>
      <c r="J113" t="str">
        <f t="shared" si="35"/>
        <v>Blank</v>
      </c>
      <c r="K113" s="123" t="s">
        <v>75</v>
      </c>
      <c r="L113" t="str">
        <f t="shared" si="36"/>
        <v>Blank</v>
      </c>
      <c r="N113" t="str">
        <f t="shared" si="37"/>
        <v/>
      </c>
      <c r="O113" t="str">
        <f t="shared" si="38"/>
        <v/>
      </c>
      <c r="P113" t="str">
        <f t="shared" si="39"/>
        <v>Comment is required</v>
      </c>
      <c r="Q113" t="str">
        <f t="shared" si="40"/>
        <v>Blank</v>
      </c>
      <c r="R113" t="str">
        <f t="shared" si="41"/>
        <v>No Override</v>
      </c>
      <c r="S113">
        <f t="shared" si="42"/>
        <v>4</v>
      </c>
      <c r="T113" t="str">
        <f t="shared" si="43"/>
        <v/>
      </c>
    </row>
    <row r="114" spans="1:20" ht="22.8" x14ac:dyDescent="0.3">
      <c r="A114" s="181">
        <v>1</v>
      </c>
      <c r="C114">
        <f t="shared" si="34"/>
        <v>1</v>
      </c>
      <c r="D114" t="s">
        <v>779</v>
      </c>
      <c r="E114" s="54" t="s">
        <v>704</v>
      </c>
      <c r="F114" s="57" t="s">
        <v>707</v>
      </c>
      <c r="G114" s="135" t="s">
        <v>780</v>
      </c>
      <c r="H114" s="131" t="str">
        <f>'16. System Data Protection'!$K5</f>
        <v>Comment is required</v>
      </c>
      <c r="I114">
        <f>'16. System Data Protection'!$J5</f>
        <v>0</v>
      </c>
      <c r="J114" t="str">
        <f t="shared" si="35"/>
        <v>Blank</v>
      </c>
      <c r="K114" s="123" t="s">
        <v>75</v>
      </c>
      <c r="L114" t="str">
        <f t="shared" si="36"/>
        <v>Blank</v>
      </c>
      <c r="N114" t="str">
        <f t="shared" si="37"/>
        <v/>
      </c>
      <c r="O114" t="str">
        <f t="shared" si="38"/>
        <v/>
      </c>
      <c r="P114" t="str">
        <f t="shared" si="39"/>
        <v>Comment is required</v>
      </c>
      <c r="Q114" t="str">
        <f t="shared" si="40"/>
        <v>Blank</v>
      </c>
      <c r="R114" t="str">
        <f t="shared" si="41"/>
        <v>No Override</v>
      </c>
      <c r="S114">
        <f t="shared" si="42"/>
        <v>1</v>
      </c>
      <c r="T114" t="str">
        <f t="shared" si="43"/>
        <v/>
      </c>
    </row>
    <row r="115" spans="1:20" ht="22.8" x14ac:dyDescent="0.3">
      <c r="A115" s="181">
        <v>1</v>
      </c>
      <c r="C115">
        <f t="shared" si="34"/>
        <v>1</v>
      </c>
      <c r="D115" t="s">
        <v>779</v>
      </c>
      <c r="E115" s="54" t="s">
        <v>709</v>
      </c>
      <c r="F115" s="57" t="s">
        <v>707</v>
      </c>
      <c r="G115" s="135" t="s">
        <v>710</v>
      </c>
      <c r="H115" s="131" t="str">
        <f>'16. System Data Protection'!$K6</f>
        <v>Comment is required</v>
      </c>
      <c r="I115">
        <f>'16. System Data Protection'!$J6</f>
        <v>0</v>
      </c>
      <c r="J115" t="str">
        <f t="shared" si="35"/>
        <v>Blank</v>
      </c>
      <c r="K115" s="123" t="s">
        <v>75</v>
      </c>
      <c r="L115" t="str">
        <f t="shared" si="36"/>
        <v>Blank</v>
      </c>
      <c r="N115" t="str">
        <f t="shared" si="37"/>
        <v/>
      </c>
      <c r="O115" t="str">
        <f t="shared" si="38"/>
        <v/>
      </c>
      <c r="P115" t="str">
        <f t="shared" si="39"/>
        <v>Comment is required</v>
      </c>
      <c r="Q115" t="str">
        <f t="shared" si="40"/>
        <v>Blank</v>
      </c>
      <c r="R115" t="str">
        <f t="shared" si="41"/>
        <v>No Override</v>
      </c>
      <c r="S115">
        <f t="shared" si="42"/>
        <v>1</v>
      </c>
      <c r="T115" t="str">
        <f t="shared" si="43"/>
        <v/>
      </c>
    </row>
    <row r="116" spans="1:20" ht="22.8" x14ac:dyDescent="0.3">
      <c r="A116" s="181">
        <v>4</v>
      </c>
      <c r="C116">
        <f t="shared" si="34"/>
        <v>4</v>
      </c>
      <c r="D116" t="s">
        <v>779</v>
      </c>
      <c r="E116" s="51" t="s">
        <v>711</v>
      </c>
      <c r="F116" s="57" t="s">
        <v>713</v>
      </c>
      <c r="G116" s="135" t="s">
        <v>714</v>
      </c>
      <c r="H116" s="131" t="str">
        <f>'16. System Data Protection'!$K7</f>
        <v>Comment is required</v>
      </c>
      <c r="I116">
        <f>'16. System Data Protection'!$J7</f>
        <v>0</v>
      </c>
      <c r="J116" t="str">
        <f t="shared" si="35"/>
        <v>Blank</v>
      </c>
      <c r="K116" s="123" t="s">
        <v>75</v>
      </c>
      <c r="L116" t="str">
        <f t="shared" si="36"/>
        <v>Blank</v>
      </c>
      <c r="N116" t="str">
        <f t="shared" si="37"/>
        <v/>
      </c>
      <c r="O116" t="str">
        <f t="shared" si="38"/>
        <v/>
      </c>
      <c r="P116" t="str">
        <f t="shared" si="39"/>
        <v>Comment is required</v>
      </c>
      <c r="Q116" t="str">
        <f t="shared" si="40"/>
        <v>Blank</v>
      </c>
      <c r="R116" t="str">
        <f t="shared" si="41"/>
        <v>No Override</v>
      </c>
      <c r="S116">
        <f t="shared" si="42"/>
        <v>4</v>
      </c>
      <c r="T116" t="str">
        <f t="shared" si="43"/>
        <v/>
      </c>
    </row>
    <row r="117" spans="1:20" ht="22.8" x14ac:dyDescent="0.3">
      <c r="A117" s="181">
        <v>4</v>
      </c>
      <c r="C117">
        <f t="shared" si="34"/>
        <v>4</v>
      </c>
      <c r="D117" t="s">
        <v>779</v>
      </c>
      <c r="E117" s="51" t="s">
        <v>715</v>
      </c>
      <c r="F117" s="57" t="s">
        <v>717</v>
      </c>
      <c r="G117" s="135" t="s">
        <v>781</v>
      </c>
      <c r="H117" s="131" t="str">
        <f>'16. System Data Protection'!$K8</f>
        <v>Comment is required</v>
      </c>
      <c r="I117">
        <f>'16. System Data Protection'!$J8</f>
        <v>0</v>
      </c>
      <c r="J117" t="str">
        <f t="shared" si="35"/>
        <v>Blank</v>
      </c>
      <c r="K117" s="123" t="s">
        <v>75</v>
      </c>
      <c r="L117" t="str">
        <f t="shared" si="36"/>
        <v>Blank</v>
      </c>
      <c r="N117" t="str">
        <f t="shared" si="37"/>
        <v/>
      </c>
      <c r="O117" t="str">
        <f t="shared" si="38"/>
        <v/>
      </c>
      <c r="P117" t="str">
        <f t="shared" si="39"/>
        <v>Comment is required</v>
      </c>
      <c r="Q117" t="str">
        <f t="shared" si="40"/>
        <v>Blank</v>
      </c>
      <c r="R117" t="str">
        <f t="shared" si="41"/>
        <v>No Override</v>
      </c>
      <c r="S117">
        <f t="shared" si="42"/>
        <v>4</v>
      </c>
      <c r="T117" t="str">
        <f t="shared" si="43"/>
        <v/>
      </c>
    </row>
    <row r="118" spans="1:20" ht="22.8" x14ac:dyDescent="0.3">
      <c r="A118" s="181">
        <v>4</v>
      </c>
      <c r="C118">
        <f t="shared" si="34"/>
        <v>4</v>
      </c>
      <c r="D118" t="s">
        <v>779</v>
      </c>
      <c r="E118" s="51" t="s">
        <v>719</v>
      </c>
      <c r="F118" s="57" t="s">
        <v>304</v>
      </c>
      <c r="G118" s="135" t="s">
        <v>720</v>
      </c>
      <c r="H118" s="131" t="str">
        <f>'16. System Data Protection'!$K9</f>
        <v>Comment is required</v>
      </c>
      <c r="I118">
        <f>'16. System Data Protection'!$J9</f>
        <v>0</v>
      </c>
      <c r="J118" s="45" t="str">
        <f>IF(AND($I118="Yes",$I119="Yes",$I120="Yes"),"Adequate",IF(AND($I118="Yes",OR(NOT($I119="Yes"),NOT($I120="Yes"))),"Inadequate",IF($I118="No","N/A",IF($I118="Partial","Inadequate",IF($I118="N/A","N/A",IF(OR($I118="",$I118=0),"Blank","Error"))))))</f>
        <v>Blank</v>
      </c>
      <c r="K118" s="123" t="s">
        <v>75</v>
      </c>
      <c r="L118" t="str">
        <f t="shared" si="36"/>
        <v>Blank</v>
      </c>
      <c r="N118" t="str">
        <f t="shared" si="37"/>
        <v/>
      </c>
      <c r="O118" t="str">
        <f t="shared" si="38"/>
        <v/>
      </c>
      <c r="P118" t="str">
        <f t="shared" si="39"/>
        <v>Comment is required</v>
      </c>
      <c r="Q118" t="str">
        <f t="shared" si="40"/>
        <v>Blank</v>
      </c>
      <c r="R118" t="str">
        <f t="shared" si="41"/>
        <v>No Override</v>
      </c>
      <c r="S118">
        <f t="shared" si="42"/>
        <v>4</v>
      </c>
      <c r="T118" t="str">
        <f t="shared" si="43"/>
        <v/>
      </c>
    </row>
    <row r="119" spans="1:20" x14ac:dyDescent="0.3">
      <c r="A119" s="181">
        <v>2</v>
      </c>
      <c r="C119">
        <f t="shared" si="34"/>
        <v>2</v>
      </c>
      <c r="D119" t="s">
        <v>779</v>
      </c>
      <c r="E119" s="51" t="s">
        <v>721</v>
      </c>
      <c r="F119" s="57" t="s">
        <v>304</v>
      </c>
      <c r="G119" s="135" t="s">
        <v>722</v>
      </c>
      <c r="H119" s="131" t="str">
        <f>'16. System Data Protection'!$K10</f>
        <v>Comment is required</v>
      </c>
      <c r="I119">
        <f>'16. System Data Protection'!$J10</f>
        <v>0</v>
      </c>
      <c r="J119" s="53" t="str">
        <f>IF(OR($I118="N/A",$I118="No"),"N/A",IF($I119="Yes","Adequate",IF($I119="No","Inadequate",IF($I119="Partial","Inadequate",IF(AND($I119="N/A",NOT($I118="No"),NOT($I118="N/A")),"Inadequate",IF(OR($I119="",$I119=0),"Blank","Error"))))))</f>
        <v>Blank</v>
      </c>
      <c r="K119" s="123" t="s">
        <v>75</v>
      </c>
      <c r="L119" t="str">
        <f t="shared" si="36"/>
        <v>Blank</v>
      </c>
      <c r="N119" t="str">
        <f t="shared" si="37"/>
        <v/>
      </c>
      <c r="O119" t="str">
        <f t="shared" si="38"/>
        <v/>
      </c>
      <c r="P119" t="str">
        <f t="shared" si="39"/>
        <v>Comment is required</v>
      </c>
      <c r="Q119" t="str">
        <f t="shared" si="40"/>
        <v>Blank</v>
      </c>
      <c r="R119" t="str">
        <f t="shared" si="41"/>
        <v>No Override</v>
      </c>
      <c r="S119">
        <f t="shared" si="42"/>
        <v>2</v>
      </c>
      <c r="T119" t="str">
        <f t="shared" si="43"/>
        <v/>
      </c>
    </row>
    <row r="120" spans="1:20" ht="22.8" x14ac:dyDescent="0.3">
      <c r="A120" s="181">
        <v>2</v>
      </c>
      <c r="C120">
        <f t="shared" si="34"/>
        <v>2</v>
      </c>
      <c r="D120" t="s">
        <v>779</v>
      </c>
      <c r="E120" s="51" t="s">
        <v>723</v>
      </c>
      <c r="F120" s="57" t="s">
        <v>304</v>
      </c>
      <c r="G120" s="135" t="s">
        <v>724</v>
      </c>
      <c r="H120" s="131" t="str">
        <f>'16. System Data Protection'!$K11</f>
        <v>Comment is required</v>
      </c>
      <c r="I120">
        <f>'16. System Data Protection'!$J11</f>
        <v>0</v>
      </c>
      <c r="J120" s="53" t="str">
        <f>IF(OR($I118="N/A",$I118="No"),"N/A",IF($I120="Yes","Adequate",IF($I120="No","Inadequate",IF($I120="Partial","Inadequate",IF(AND($I120="N/A",NOT($I118="No"),NOT($I118="N/A")),"Inadequate",IF(OR($I120="",$I120=0),"Blank","Error"))))))</f>
        <v>Blank</v>
      </c>
      <c r="K120" s="123" t="s">
        <v>75</v>
      </c>
      <c r="L120" t="str">
        <f t="shared" si="36"/>
        <v>Blank</v>
      </c>
      <c r="N120" t="str">
        <f t="shared" si="37"/>
        <v/>
      </c>
      <c r="O120" t="str">
        <f t="shared" si="38"/>
        <v/>
      </c>
      <c r="P120" t="str">
        <f t="shared" si="39"/>
        <v>Comment is required</v>
      </c>
      <c r="Q120" t="str">
        <f t="shared" si="40"/>
        <v>Blank</v>
      </c>
      <c r="R120" t="str">
        <f t="shared" si="41"/>
        <v>No Override</v>
      </c>
      <c r="S120">
        <f t="shared" si="42"/>
        <v>2</v>
      </c>
      <c r="T120" t="str">
        <f t="shared" si="43"/>
        <v/>
      </c>
    </row>
    <row r="121" spans="1:20" ht="22.8" x14ac:dyDescent="0.3">
      <c r="A121" s="181">
        <v>4</v>
      </c>
      <c r="C121">
        <f t="shared" si="34"/>
        <v>4</v>
      </c>
      <c r="D121" t="s">
        <v>779</v>
      </c>
      <c r="E121" s="51" t="s">
        <v>725</v>
      </c>
      <c r="F121" s="57" t="s">
        <v>727</v>
      </c>
      <c r="G121" s="135" t="s">
        <v>728</v>
      </c>
      <c r="H121" s="131" t="str">
        <f>'16. System Data Protection'!$K12</f>
        <v>Comment is required</v>
      </c>
      <c r="I121">
        <f>'16. System Data Protection'!$J12</f>
        <v>0</v>
      </c>
      <c r="J121" t="str">
        <f t="shared" si="35"/>
        <v>Blank</v>
      </c>
      <c r="K121" s="123" t="s">
        <v>75</v>
      </c>
      <c r="L121" t="str">
        <f t="shared" si="36"/>
        <v>Blank</v>
      </c>
      <c r="N121" t="str">
        <f t="shared" si="37"/>
        <v/>
      </c>
      <c r="O121" t="str">
        <f t="shared" si="38"/>
        <v/>
      </c>
      <c r="P121" t="str">
        <f t="shared" si="39"/>
        <v>Comment is required</v>
      </c>
      <c r="Q121" t="str">
        <f t="shared" si="40"/>
        <v>Blank</v>
      </c>
      <c r="R121" t="str">
        <f t="shared" si="41"/>
        <v>No Override</v>
      </c>
      <c r="S121">
        <f t="shared" si="42"/>
        <v>4</v>
      </c>
      <c r="T121" t="str">
        <f t="shared" si="43"/>
        <v/>
      </c>
    </row>
    <row r="122" spans="1:20" ht="22.8" x14ac:dyDescent="0.3">
      <c r="A122" s="181">
        <v>4</v>
      </c>
      <c r="C122">
        <f t="shared" si="34"/>
        <v>4</v>
      </c>
      <c r="D122" t="s">
        <v>779</v>
      </c>
      <c r="E122" s="51" t="s">
        <v>729</v>
      </c>
      <c r="F122" s="57" t="s">
        <v>731</v>
      </c>
      <c r="G122" s="135" t="s">
        <v>732</v>
      </c>
      <c r="H122" s="131" t="str">
        <f>'16. System Data Protection'!$K13</f>
        <v>Comment is required</v>
      </c>
      <c r="I122">
        <f>'16. System Data Protection'!$J13</f>
        <v>0</v>
      </c>
      <c r="J122" t="str">
        <f t="shared" si="35"/>
        <v>Blank</v>
      </c>
      <c r="K122" s="123" t="s">
        <v>75</v>
      </c>
      <c r="L122" t="str">
        <f t="shared" si="36"/>
        <v>Blank</v>
      </c>
      <c r="N122" t="str">
        <f t="shared" si="37"/>
        <v/>
      </c>
      <c r="O122" t="str">
        <f t="shared" si="38"/>
        <v/>
      </c>
      <c r="P122" t="str">
        <f t="shared" si="39"/>
        <v>Comment is required</v>
      </c>
      <c r="Q122" t="str">
        <f t="shared" si="40"/>
        <v>Blank</v>
      </c>
      <c r="R122" t="str">
        <f t="shared" si="41"/>
        <v>No Override</v>
      </c>
      <c r="S122">
        <f t="shared" si="42"/>
        <v>4</v>
      </c>
      <c r="T122" t="str">
        <f t="shared" si="43"/>
        <v/>
      </c>
    </row>
    <row r="123" spans="1:20" x14ac:dyDescent="0.3">
      <c r="A123" s="181">
        <v>3</v>
      </c>
      <c r="C123">
        <f t="shared" si="34"/>
        <v>3</v>
      </c>
      <c r="D123" t="s">
        <v>779</v>
      </c>
      <c r="E123" s="51" t="s">
        <v>733</v>
      </c>
      <c r="F123" s="57" t="s">
        <v>735</v>
      </c>
      <c r="G123" s="135" t="s">
        <v>736</v>
      </c>
      <c r="H123" s="131" t="str">
        <f>'16. System Data Protection'!$K14</f>
        <v>Comment is required</v>
      </c>
      <c r="I123">
        <f>'16. System Data Protection'!$J14</f>
        <v>0</v>
      </c>
      <c r="J123" t="str">
        <f t="shared" si="35"/>
        <v>Blank</v>
      </c>
      <c r="K123" s="123" t="s">
        <v>75</v>
      </c>
      <c r="L123" t="str">
        <f t="shared" si="36"/>
        <v>Blank</v>
      </c>
      <c r="N123" t="str">
        <f t="shared" si="37"/>
        <v/>
      </c>
      <c r="O123" t="str">
        <f t="shared" si="38"/>
        <v/>
      </c>
      <c r="P123" t="str">
        <f t="shared" si="39"/>
        <v>Comment is required</v>
      </c>
      <c r="Q123" t="str">
        <f t="shared" si="40"/>
        <v>Blank</v>
      </c>
      <c r="R123" t="str">
        <f t="shared" si="41"/>
        <v>No Override</v>
      </c>
      <c r="S123">
        <f t="shared" si="42"/>
        <v>3</v>
      </c>
      <c r="T123" t="str">
        <f t="shared" si="43"/>
        <v/>
      </c>
    </row>
    <row r="124" spans="1:20" ht="22.8" x14ac:dyDescent="0.3">
      <c r="A124" s="181">
        <v>1</v>
      </c>
      <c r="C124">
        <f t="shared" si="34"/>
        <v>1</v>
      </c>
      <c r="D124" t="s">
        <v>779</v>
      </c>
      <c r="E124" s="51" t="s">
        <v>737</v>
      </c>
      <c r="F124" s="57" t="s">
        <v>739</v>
      </c>
      <c r="G124" s="135" t="s">
        <v>782</v>
      </c>
      <c r="H124" s="131" t="str">
        <f>'16. System Data Protection'!$K15</f>
        <v>Comment is required</v>
      </c>
      <c r="I124">
        <f>'16. System Data Protection'!$J15</f>
        <v>0</v>
      </c>
      <c r="J124" t="str">
        <f t="shared" si="35"/>
        <v>Blank</v>
      </c>
      <c r="K124" s="123" t="s">
        <v>75</v>
      </c>
      <c r="L124" t="str">
        <f t="shared" si="36"/>
        <v>Blank</v>
      </c>
      <c r="N124" t="str">
        <f t="shared" si="37"/>
        <v/>
      </c>
      <c r="O124" t="str">
        <f t="shared" si="38"/>
        <v/>
      </c>
      <c r="P124" t="str">
        <f t="shared" si="39"/>
        <v>Comment is required</v>
      </c>
      <c r="Q124" t="str">
        <f t="shared" si="40"/>
        <v>Blank</v>
      </c>
      <c r="R124" t="str">
        <f t="shared" si="41"/>
        <v>No Override</v>
      </c>
      <c r="S124">
        <f t="shared" si="42"/>
        <v>1</v>
      </c>
      <c r="T124" t="str">
        <f t="shared" ref="T124:T128" si="44">IF($L124=$Q124,"","***")</f>
        <v/>
      </c>
    </row>
    <row r="125" spans="1:20" ht="22.8" x14ac:dyDescent="0.3">
      <c r="A125" s="181">
        <v>4</v>
      </c>
      <c r="C125">
        <f t="shared" si="34"/>
        <v>4</v>
      </c>
      <c r="D125" t="s">
        <v>783</v>
      </c>
      <c r="E125" s="51" t="s">
        <v>742</v>
      </c>
      <c r="F125" s="57" t="s">
        <v>745</v>
      </c>
      <c r="G125" s="131" t="s">
        <v>746</v>
      </c>
      <c r="H125" s="135" t="str">
        <f>'17. System Data Integrity'!$K3</f>
        <v>Comment is required</v>
      </c>
      <c r="I125">
        <f>'17. System Data Integrity'!$J3</f>
        <v>0</v>
      </c>
      <c r="J125" t="str">
        <f t="shared" si="35"/>
        <v>Blank</v>
      </c>
      <c r="K125" s="123" t="s">
        <v>75</v>
      </c>
      <c r="L125" t="str">
        <f t="shared" si="36"/>
        <v>Blank</v>
      </c>
      <c r="N125" t="str">
        <f t="shared" si="37"/>
        <v/>
      </c>
      <c r="O125" t="str">
        <f t="shared" si="38"/>
        <v/>
      </c>
      <c r="P125" t="str">
        <f t="shared" si="39"/>
        <v>Comment is required</v>
      </c>
      <c r="Q125" t="str">
        <f t="shared" si="40"/>
        <v>Blank</v>
      </c>
      <c r="R125" t="str">
        <f t="shared" si="41"/>
        <v>No Override</v>
      </c>
      <c r="S125">
        <f t="shared" si="42"/>
        <v>4</v>
      </c>
      <c r="T125" t="str">
        <f t="shared" si="44"/>
        <v/>
      </c>
    </row>
    <row r="126" spans="1:20" ht="22.8" x14ac:dyDescent="0.3">
      <c r="A126" s="181">
        <v>1</v>
      </c>
      <c r="C126">
        <f t="shared" si="34"/>
        <v>1</v>
      </c>
      <c r="D126" t="s">
        <v>783</v>
      </c>
      <c r="E126" s="51" t="s">
        <v>747</v>
      </c>
      <c r="F126" s="57" t="s">
        <v>316</v>
      </c>
      <c r="G126" s="135" t="s">
        <v>748</v>
      </c>
      <c r="H126" s="135" t="str">
        <f>'17. System Data Integrity'!$K4</f>
        <v>Comment is required</v>
      </c>
      <c r="I126">
        <f>'17. System Data Integrity'!$J4</f>
        <v>0</v>
      </c>
      <c r="J126" t="str">
        <f t="shared" si="35"/>
        <v>Blank</v>
      </c>
      <c r="K126" s="123" t="s">
        <v>75</v>
      </c>
      <c r="L126" t="str">
        <f t="shared" si="36"/>
        <v>Blank</v>
      </c>
      <c r="N126" t="str">
        <f t="shared" si="37"/>
        <v/>
      </c>
      <c r="O126" t="str">
        <f t="shared" si="38"/>
        <v/>
      </c>
      <c r="P126" t="str">
        <f t="shared" si="39"/>
        <v>Comment is required</v>
      </c>
      <c r="Q126" t="str">
        <f t="shared" si="40"/>
        <v>Blank</v>
      </c>
      <c r="R126" t="str">
        <f t="shared" si="41"/>
        <v>No Override</v>
      </c>
      <c r="S126">
        <f t="shared" si="42"/>
        <v>1</v>
      </c>
      <c r="T126" t="str">
        <f t="shared" si="44"/>
        <v/>
      </c>
    </row>
    <row r="127" spans="1:20" x14ac:dyDescent="0.3">
      <c r="A127" s="181">
        <v>1</v>
      </c>
      <c r="C127">
        <f t="shared" si="34"/>
        <v>1</v>
      </c>
      <c r="D127" t="s">
        <v>783</v>
      </c>
      <c r="E127" s="51" t="s">
        <v>749</v>
      </c>
      <c r="F127" s="57" t="s">
        <v>316</v>
      </c>
      <c r="G127" s="135" t="s">
        <v>750</v>
      </c>
      <c r="H127" s="135" t="str">
        <f>'17. System Data Integrity'!$K5</f>
        <v>Comment is required</v>
      </c>
      <c r="I127">
        <f>'17. System Data Integrity'!$J5</f>
        <v>0</v>
      </c>
      <c r="J127" t="str">
        <f t="shared" si="35"/>
        <v>Blank</v>
      </c>
      <c r="K127" s="123" t="s">
        <v>75</v>
      </c>
      <c r="L127" t="str">
        <f t="shared" si="36"/>
        <v>Blank</v>
      </c>
      <c r="N127" t="str">
        <f t="shared" si="37"/>
        <v/>
      </c>
      <c r="O127" t="str">
        <f t="shared" si="38"/>
        <v/>
      </c>
      <c r="P127" t="str">
        <f t="shared" si="39"/>
        <v>Comment is required</v>
      </c>
      <c r="Q127" t="str">
        <f t="shared" si="40"/>
        <v>Blank</v>
      </c>
      <c r="R127" t="str">
        <f t="shared" si="41"/>
        <v>No Override</v>
      </c>
      <c r="S127">
        <f t="shared" si="42"/>
        <v>1</v>
      </c>
      <c r="T127" t="str">
        <f t="shared" si="44"/>
        <v/>
      </c>
    </row>
    <row r="128" spans="1:20" x14ac:dyDescent="0.3">
      <c r="A128" s="181">
        <v>1</v>
      </c>
      <c r="C128">
        <f t="shared" si="34"/>
        <v>1</v>
      </c>
      <c r="D128" t="s">
        <v>783</v>
      </c>
      <c r="E128" s="51" t="s">
        <v>751</v>
      </c>
      <c r="F128" s="57" t="s">
        <v>316</v>
      </c>
      <c r="G128" s="135" t="s">
        <v>752</v>
      </c>
      <c r="H128" s="135" t="str">
        <f>'17. System Data Integrity'!$K6</f>
        <v>Comment is required</v>
      </c>
      <c r="I128">
        <f>'17. System Data Integrity'!$J6</f>
        <v>0</v>
      </c>
      <c r="J128" t="str">
        <f t="shared" si="35"/>
        <v>Blank</v>
      </c>
      <c r="K128" s="123" t="s">
        <v>75</v>
      </c>
      <c r="L128" t="str">
        <f t="shared" si="36"/>
        <v>Blank</v>
      </c>
      <c r="N128" t="str">
        <f t="shared" si="37"/>
        <v/>
      </c>
      <c r="O128" t="str">
        <f t="shared" si="38"/>
        <v/>
      </c>
      <c r="P128" t="str">
        <f t="shared" si="39"/>
        <v>Comment is required</v>
      </c>
      <c r="Q128" t="str">
        <f t="shared" si="40"/>
        <v>Blank</v>
      </c>
      <c r="R128" t="str">
        <f t="shared" si="41"/>
        <v>No Override</v>
      </c>
      <c r="S128">
        <f t="shared" si="42"/>
        <v>1</v>
      </c>
      <c r="T128" t="str">
        <f t="shared" si="44"/>
        <v/>
      </c>
    </row>
  </sheetData>
  <sheetProtection selectLockedCells="1"/>
  <mergeCells count="1">
    <mergeCell ref="F1:J1"/>
  </mergeCells>
  <conditionalFormatting sqref="L9:M56 L59:M128">
    <cfRule type="expression" dxfId="3" priority="3">
      <formula>AND($I9="N/A",$H9&lt;&gt;0)</formula>
    </cfRule>
    <cfRule type="expression" dxfId="2" priority="4">
      <formula>AND($I9="N/A",$H9=0)</formula>
    </cfRule>
  </conditionalFormatting>
  <conditionalFormatting sqref="L57:M58">
    <cfRule type="expression" dxfId="1" priority="1">
      <formula>AND($I57="N/A",$H57&lt;&gt;0)</formula>
    </cfRule>
    <cfRule type="expression" dxfId="0" priority="2">
      <formula>AND($I57="N/A",$H57=0)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 Validation Key'!$C$21:$C$24</xm:f>
          </x14:formula1>
          <xm:sqref>K9:K128</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89"/>
  <sheetViews>
    <sheetView showGridLines="0" workbookViewId="0">
      <selection activeCell="K22" sqref="K22"/>
    </sheetView>
  </sheetViews>
  <sheetFormatPr defaultColWidth="9.109375" defaultRowHeight="14.4" x14ac:dyDescent="0.3"/>
  <cols>
    <col min="1" max="1" width="9.109375" style="162"/>
    <col min="2" max="2" width="11.109375" style="162" bestFit="1" customWidth="1"/>
    <col min="3" max="16384" width="9.109375" style="162"/>
  </cols>
  <sheetData>
    <row r="1" spans="1:7" ht="15" thickBot="1" x14ac:dyDescent="0.35">
      <c r="A1" s="161" t="str">
        <f>Scope!$B$4</f>
        <v>PeriCALM Tracings Fetal monitoring application</v>
      </c>
      <c r="B1" s="191" t="s">
        <v>95</v>
      </c>
      <c r="C1" s="191" t="s">
        <v>784</v>
      </c>
      <c r="D1" s="192" t="s">
        <v>785</v>
      </c>
      <c r="F1" s="378" t="s">
        <v>786</v>
      </c>
      <c r="G1" s="379"/>
    </row>
    <row r="2" spans="1:7" ht="15" customHeight="1" x14ac:dyDescent="0.3">
      <c r="A2" s="380" t="s">
        <v>74</v>
      </c>
      <c r="B2" s="163" t="s">
        <v>77</v>
      </c>
      <c r="C2" s="163">
        <f>COUNTIFS('Override Control Env1'!$C$9:$C$128,1,'Override Control Env1'!$L$9:$L$128,B2)</f>
        <v>25</v>
      </c>
      <c r="D2" s="164">
        <f>$C2/COUNTIF('Override Control Env1'!$C$9:$C$128,1)</f>
        <v>0.65789473684210531</v>
      </c>
      <c r="F2" s="165" t="s">
        <v>787</v>
      </c>
      <c r="G2" s="166" t="str">
        <f>IF(AND($C$3=0,$C$7=0,$C$11=0),"True",IF(AND($C$3=0,($C$7+$C$11)/(COUNTIF('Override Control Env1'!$C$9:$C$128,2)+COUNTIF('Override Control Env1'!$C$9:$C$128,3))&lt;=0.25),"True","False"))</f>
        <v>False</v>
      </c>
    </row>
    <row r="3" spans="1:7" x14ac:dyDescent="0.3">
      <c r="A3" s="376"/>
      <c r="B3" s="167" t="s">
        <v>79</v>
      </c>
      <c r="C3" s="167">
        <f>COUNTIFS('Override Control Env1'!$C$9:$C$128,1,'Override Control Env1'!$L$9:$L$128,B3)</f>
        <v>13</v>
      </c>
      <c r="D3" s="168">
        <f>$C3/COUNTIF('Override Control Env1'!$C$9:$C$128,1)</f>
        <v>0.34210526315789475</v>
      </c>
      <c r="F3" s="165" t="s">
        <v>788</v>
      </c>
      <c r="G3" s="166" t="str">
        <f>IF(AND($C$3=0,$G$2="False",($C$7+$C$11)/(COUNTIF('Override Control Env1'!$C$9:$C$128,2)+COUNTIF('Override Control Env1'!$C$9:$C$128,3))&lt;=0.5),"True","False")</f>
        <v>False</v>
      </c>
    </row>
    <row r="4" spans="1:7" x14ac:dyDescent="0.3">
      <c r="A4" s="376"/>
      <c r="B4" s="167" t="s">
        <v>52</v>
      </c>
      <c r="C4" s="167">
        <f>COUNTIFS('Override Control Env1'!$C$9:$C$128,1,'Override Control Env1'!$L$9:$L$128,B4)</f>
        <v>0</v>
      </c>
      <c r="D4" s="168">
        <f>$C4/COUNTIF('Override Control Env1'!$C$9:$C$128,1)</f>
        <v>0</v>
      </c>
      <c r="F4" s="165" t="s">
        <v>789</v>
      </c>
      <c r="G4" s="166" t="str">
        <f>IF(AND($C$3=0,$G$2="False",$G$3="False",($C$7+$C$11)/(COUNTIF('Override Control Env1'!$C$9:$C$128,2)+COUNTIF('Override Control Env1'!$C$9:$C$128,3))&gt;0.5),"True",IF(AND($C$3=1,$C$7=0,$C$11=0),"True","False"))</f>
        <v>False</v>
      </c>
    </row>
    <row r="5" spans="1:7" ht="15" thickBot="1" x14ac:dyDescent="0.35">
      <c r="A5" s="377"/>
      <c r="B5" s="169" t="s">
        <v>790</v>
      </c>
      <c r="C5" s="169">
        <f>COUNTIFS('Override Control Env1'!$C$9:$C$128,1,'Override Control Env1'!$L$9:$L$128,B5)</f>
        <v>0</v>
      </c>
      <c r="D5" s="170">
        <f>$C5/COUNTIF('Override Control Env1'!$C$9:$C$128,1)</f>
        <v>0</v>
      </c>
      <c r="F5" s="165" t="s">
        <v>791</v>
      </c>
      <c r="G5" s="166" t="str">
        <f>IF($C$3&gt;1,"True",IF(AND($C$3=1,$C$7+$C$11&gt;0),"True","False"))</f>
        <v>True</v>
      </c>
    </row>
    <row r="6" spans="1:7" ht="15" thickBot="1" x14ac:dyDescent="0.35">
      <c r="A6" s="375" t="s">
        <v>76</v>
      </c>
      <c r="B6" s="171" t="s">
        <v>77</v>
      </c>
      <c r="C6" s="171">
        <f>COUNTIFS('Override Control Env1'!$C$9:$C$128,2,'Override Control Env1'!$L$9:$L$128,B6)</f>
        <v>16</v>
      </c>
      <c r="D6" s="172">
        <f>$C6/COUNTIF('Override Control Env1'!$C$9:$C$128,2)</f>
        <v>0.64</v>
      </c>
      <c r="F6" s="173" t="s">
        <v>792</v>
      </c>
      <c r="G6" s="174"/>
    </row>
    <row r="7" spans="1:7" ht="15" thickBot="1" x14ac:dyDescent="0.35">
      <c r="A7" s="376"/>
      <c r="B7" s="167" t="s">
        <v>79</v>
      </c>
      <c r="C7" s="167">
        <f>COUNTIFS('Override Control Env1'!$C$9:$C$128,2,'Override Control Env1'!$L$9:$L$128,B7)</f>
        <v>7</v>
      </c>
      <c r="D7" s="168">
        <f>$C7/COUNTIF('Override Control Env1'!$C$9:$C$128,2)</f>
        <v>0.28000000000000003</v>
      </c>
    </row>
    <row r="8" spans="1:7" x14ac:dyDescent="0.3">
      <c r="A8" s="376"/>
      <c r="B8" s="167" t="s">
        <v>52</v>
      </c>
      <c r="C8" s="167">
        <f>COUNTIFS('Override Control Env1'!$C$9:$C$128,2,'Override Control Env1'!$L$9:$L$128,B8)</f>
        <v>2</v>
      </c>
      <c r="D8" s="168">
        <f>$C8/COUNTIF('Override Control Env1'!$C$9:$C$128,2)</f>
        <v>0.08</v>
      </c>
      <c r="F8" s="378" t="s">
        <v>793</v>
      </c>
      <c r="G8" s="379"/>
    </row>
    <row r="9" spans="1:7" ht="15" thickBot="1" x14ac:dyDescent="0.35">
      <c r="A9" s="381"/>
      <c r="B9" s="175" t="s">
        <v>790</v>
      </c>
      <c r="C9" s="175">
        <f>COUNTIFS('Override Control Env1'!$C$9:$C$128,2,'Override Control Env1'!$L$9:$L$128,B9)</f>
        <v>0</v>
      </c>
      <c r="D9" s="176">
        <f>$C9/COUNTIF('Override Control Env1'!$C$9:$C$128,2)</f>
        <v>0</v>
      </c>
      <c r="F9" s="382" t="str">
        <f>IF($G$2="True","A",IF($G$3="True","B",IF($G$4="True","C",IF($G$5="True","D","Error"))))</f>
        <v>D</v>
      </c>
      <c r="G9" s="383"/>
    </row>
    <row r="10" spans="1:7" x14ac:dyDescent="0.3">
      <c r="A10" s="380" t="s">
        <v>794</v>
      </c>
      <c r="B10" s="163" t="s">
        <v>77</v>
      </c>
      <c r="C10" s="163">
        <f>COUNTIFS('Override Control Env1'!$C$9:$C$128,3,'Override Control Env1'!$L$9:$L$128,B10)</f>
        <v>8</v>
      </c>
      <c r="D10" s="164">
        <f>$C10/COUNTIF('Override Control Env1'!$C$9:$C$128,3)</f>
        <v>0.5714285714285714</v>
      </c>
      <c r="F10" s="382"/>
      <c r="G10" s="383"/>
    </row>
    <row r="11" spans="1:7" x14ac:dyDescent="0.3">
      <c r="A11" s="376"/>
      <c r="B11" s="167" t="s">
        <v>79</v>
      </c>
      <c r="C11" s="167">
        <f>COUNTIFS('Override Control Env1'!$C$9:$C$128,3,'Override Control Env1'!$L$9:$L$128,B11)</f>
        <v>6</v>
      </c>
      <c r="D11" s="168">
        <f>$C11/COUNTIF('Override Control Env1'!$C$9:$C$128,3)</f>
        <v>0.42857142857142855</v>
      </c>
      <c r="F11" s="382"/>
      <c r="G11" s="383"/>
    </row>
    <row r="12" spans="1:7" x14ac:dyDescent="0.3">
      <c r="A12" s="376"/>
      <c r="B12" s="167" t="s">
        <v>52</v>
      </c>
      <c r="C12" s="167">
        <f>COUNTIFS('Override Control Env1'!$C$9:$C$128,3,'Override Control Env1'!$L$9:$L$128,B12)</f>
        <v>0</v>
      </c>
      <c r="D12" s="168">
        <f>$C12/COUNTIF('Override Control Env1'!$C$9:$C$128,3)</f>
        <v>0</v>
      </c>
      <c r="F12" s="382"/>
      <c r="G12" s="383"/>
    </row>
    <row r="13" spans="1:7" ht="15" thickBot="1" x14ac:dyDescent="0.35">
      <c r="A13" s="377"/>
      <c r="B13" s="169" t="s">
        <v>790</v>
      </c>
      <c r="C13" s="169">
        <f>COUNTIFS('Override Control Env1'!$C$9:$C$128,3,'Override Control Env1'!$L$9:$L$128,B13)</f>
        <v>0</v>
      </c>
      <c r="D13" s="170">
        <f>$C13/COUNTIF('Override Control Env1'!$C$9:$C$128,3)</f>
        <v>0</v>
      </c>
      <c r="F13" s="384"/>
      <c r="G13" s="385"/>
    </row>
    <row r="14" spans="1:7" x14ac:dyDescent="0.3">
      <c r="A14" s="375" t="s">
        <v>795</v>
      </c>
      <c r="B14" s="171" t="s">
        <v>77</v>
      </c>
      <c r="C14" s="171">
        <f>COUNTIFS('Override Control Env1'!$C$9:$C$128,4,'Override Control Env1'!$L$9:$L$128,B14)</f>
        <v>25</v>
      </c>
      <c r="D14" s="172">
        <f>$C14/COUNTIF('Override Control Env1'!$C$9:$C$128,4)</f>
        <v>0.58139534883720934</v>
      </c>
    </row>
    <row r="15" spans="1:7" x14ac:dyDescent="0.3">
      <c r="A15" s="376"/>
      <c r="B15" s="167" t="s">
        <v>79</v>
      </c>
      <c r="C15" s="167">
        <f>COUNTIFS('Override Control Env1'!$C$9:$C$128,4,'Override Control Env1'!$L$9:$L$128,B15)</f>
        <v>17</v>
      </c>
      <c r="D15" s="168">
        <f>$C15/COUNTIF('Override Control Env1'!$C$9:$C$128,4)</f>
        <v>0.39534883720930231</v>
      </c>
    </row>
    <row r="16" spans="1:7" x14ac:dyDescent="0.3">
      <c r="A16" s="376"/>
      <c r="B16" s="167" t="s">
        <v>52</v>
      </c>
      <c r="C16" s="167">
        <f>COUNTIFS('Override Control Env1'!$C$9:$C$128,4,'Override Control Env1'!$L$9:$L$128,B16)</f>
        <v>1</v>
      </c>
      <c r="D16" s="168">
        <f>$C16/COUNTIF('Override Control Env1'!$C$9:$C$128,4)</f>
        <v>2.3255813953488372E-2</v>
      </c>
    </row>
    <row r="17" spans="1:7" ht="15" thickBot="1" x14ac:dyDescent="0.35">
      <c r="A17" s="377"/>
      <c r="B17" s="169" t="s">
        <v>790</v>
      </c>
      <c r="C17" s="169">
        <f>COUNTIFS('Override Control Env1'!$C$9:$C$128,4,'Override Control Env1'!$L$9:$L$128,B17)</f>
        <v>0</v>
      </c>
      <c r="D17" s="170">
        <f>$C17/COUNTIF('Override Control Env1'!$C$9:$C$128,4)</f>
        <v>0</v>
      </c>
    </row>
    <row r="18" spans="1:7" ht="15" thickBot="1" x14ac:dyDescent="0.35"/>
    <row r="19" spans="1:7" ht="15" thickBot="1" x14ac:dyDescent="0.35">
      <c r="A19" s="161">
        <f>Scope!$D$4</f>
        <v>0</v>
      </c>
      <c r="B19" s="191" t="s">
        <v>95</v>
      </c>
      <c r="C19" s="191" t="s">
        <v>784</v>
      </c>
      <c r="D19" s="192" t="s">
        <v>785</v>
      </c>
      <c r="F19" s="378" t="s">
        <v>786</v>
      </c>
      <c r="G19" s="379"/>
    </row>
    <row r="20" spans="1:7" x14ac:dyDescent="0.3">
      <c r="A20" s="380" t="s">
        <v>74</v>
      </c>
      <c r="B20" s="163" t="s">
        <v>77</v>
      </c>
      <c r="C20" s="163">
        <f>COUNTIFS('Override Control Env2'!$C$9:$C$128,1,'Override Control Env2'!$L$9:$L$128,B20)</f>
        <v>0</v>
      </c>
      <c r="D20" s="164">
        <f>$C20/COUNTIF('Override Control Env2'!$C$9:$C$128,1)</f>
        <v>0</v>
      </c>
      <c r="F20" s="165" t="s">
        <v>787</v>
      </c>
      <c r="G20" s="166" t="str">
        <f>IF(AND($C$21=0,$C$25=0,$C$29=0),"True",IF(AND($C$21=0,($C$25+$C$29)/(COUNTIF('Override Control Env2'!$C$9:$C$128,2)+COUNTIF('Override Control Env2'!$C$9:$C$128,3))&lt;=0.25),"True","False"))</f>
        <v>True</v>
      </c>
    </row>
    <row r="21" spans="1:7" x14ac:dyDescent="0.3">
      <c r="A21" s="376"/>
      <c r="B21" s="167" t="s">
        <v>79</v>
      </c>
      <c r="C21" s="167">
        <f>COUNTIFS('Override Control Env2'!$C$9:$C$128,1,'Override Control Env2'!$L$9:$L$128,B21)</f>
        <v>0</v>
      </c>
      <c r="D21" s="168">
        <f>$C21/COUNTIF('Override Control Env2'!$C$9:$C$128,1)</f>
        <v>0</v>
      </c>
      <c r="F21" s="165" t="s">
        <v>788</v>
      </c>
      <c r="G21" s="166" t="str">
        <f>IF(AND($C$21=0,$G$20="False",($C$25+$C$29)/(COUNTIF('Override Control Env2'!$C$9:$C$128,2)+COUNTIF('Override Control Env2'!$C$9:$C$128,3))&lt;=0.5),"True","False")</f>
        <v>False</v>
      </c>
    </row>
    <row r="22" spans="1:7" x14ac:dyDescent="0.3">
      <c r="A22" s="376"/>
      <c r="B22" s="167" t="s">
        <v>52</v>
      </c>
      <c r="C22" s="167">
        <f>COUNTIFS('Override Control Env2'!$C$9:$C$128,1,'Override Control Env2'!$L$9:$L$128,B22)</f>
        <v>0</v>
      </c>
      <c r="D22" s="168">
        <f>$C22/COUNTIF('Override Control Env2'!$C$9:$C$128,1)</f>
        <v>0</v>
      </c>
      <c r="F22" s="165" t="s">
        <v>789</v>
      </c>
      <c r="G22" s="166" t="str">
        <f>IF(AND($C$21=0,$G$20="False",$G$21="False",($C$25+$C$29)/(COUNTIF('Override Control Env2'!$C$9:$C$128,2)+COUNTIF('Override Control Env2'!$C$9:$C$128,3))&gt;0.5),"True",IF(AND($C$21=1,$C$25=0,$C$29=0),"True","False"))</f>
        <v>False</v>
      </c>
    </row>
    <row r="23" spans="1:7" ht="15" thickBot="1" x14ac:dyDescent="0.35">
      <c r="A23" s="377"/>
      <c r="B23" s="169" t="s">
        <v>790</v>
      </c>
      <c r="C23" s="169">
        <f>COUNTIFS('Override Control Env2'!$C$9:$C$128,1,'Override Control Env2'!$L$9:$L$128,B23)</f>
        <v>38</v>
      </c>
      <c r="D23" s="170">
        <f>$C23/COUNTIF('Override Control Env2'!$C$9:$C$128,1)</f>
        <v>1</v>
      </c>
      <c r="F23" s="165" t="s">
        <v>791</v>
      </c>
      <c r="G23" s="166" t="str">
        <f>IF($C$21&gt;1,"True",IF(AND($C$21=1,$C$25+$C$29&gt;0),"True","False"))</f>
        <v>False</v>
      </c>
    </row>
    <row r="24" spans="1:7" ht="15" thickBot="1" x14ac:dyDescent="0.35">
      <c r="A24" s="375" t="s">
        <v>76</v>
      </c>
      <c r="B24" s="171" t="s">
        <v>77</v>
      </c>
      <c r="C24" s="171">
        <f>COUNTIFS('Override Control Env2'!$C$9:$C$128,2,'Override Control Env2'!$L$9:$L$128,B24)</f>
        <v>0</v>
      </c>
      <c r="D24" s="172">
        <f>$C24/COUNTIF('Override Control Env2'!$C$9:$C$128,2)</f>
        <v>0</v>
      </c>
      <c r="F24" s="173" t="s">
        <v>792</v>
      </c>
      <c r="G24" s="174"/>
    </row>
    <row r="25" spans="1:7" ht="15" thickBot="1" x14ac:dyDescent="0.35">
      <c r="A25" s="376"/>
      <c r="B25" s="167" t="s">
        <v>79</v>
      </c>
      <c r="C25" s="167">
        <f>COUNTIFS('Override Control Env2'!$C$9:$C$128,2,'Override Control Env2'!$L$9:$L$128,B25)</f>
        <v>0</v>
      </c>
      <c r="D25" s="168">
        <f>$C25/COUNTIF('Override Control Env2'!$C$9:$C$128,2)</f>
        <v>0</v>
      </c>
    </row>
    <row r="26" spans="1:7" x14ac:dyDescent="0.3">
      <c r="A26" s="376"/>
      <c r="B26" s="167" t="s">
        <v>52</v>
      </c>
      <c r="C26" s="167">
        <f>COUNTIFS('Override Control Env2'!$C$9:$C$128,2,'Override Control Env2'!$L$9:$L$128,B26)</f>
        <v>0</v>
      </c>
      <c r="D26" s="168">
        <f>$C26/COUNTIF('Override Control Env2'!$C$9:$C$128,2)</f>
        <v>0</v>
      </c>
      <c r="F26" s="378" t="s">
        <v>793</v>
      </c>
      <c r="G26" s="379"/>
    </row>
    <row r="27" spans="1:7" ht="15" thickBot="1" x14ac:dyDescent="0.35">
      <c r="A27" s="381"/>
      <c r="B27" s="175" t="s">
        <v>790</v>
      </c>
      <c r="C27" s="175">
        <f>COUNTIFS('Override Control Env2'!$C$9:$C$128,2,'Override Control Env2'!$L$9:$L$128,B27)</f>
        <v>25</v>
      </c>
      <c r="D27" s="176">
        <f>$C27/COUNTIF('Override Control Env2'!$C$9:$C$128,2)</f>
        <v>1</v>
      </c>
      <c r="F27" s="382" t="str">
        <f>IF($G$20="True","A",IF($G$21="True","B",IF($G$22="True","C",IF($G$23="True","D","Error"))))</f>
        <v>A</v>
      </c>
      <c r="G27" s="383"/>
    </row>
    <row r="28" spans="1:7" x14ac:dyDescent="0.3">
      <c r="A28" s="380" t="s">
        <v>794</v>
      </c>
      <c r="B28" s="163" t="s">
        <v>77</v>
      </c>
      <c r="C28" s="163">
        <f>COUNTIFS('Override Control Env2'!$C$9:$C$128,3,'Override Control Env2'!$L$9:$L$128,B28)</f>
        <v>0</v>
      </c>
      <c r="D28" s="164">
        <f>$C28/COUNTIF('Override Control Env2'!$C$9:$C$128,3)</f>
        <v>0</v>
      </c>
      <c r="F28" s="382"/>
      <c r="G28" s="383"/>
    </row>
    <row r="29" spans="1:7" x14ac:dyDescent="0.3">
      <c r="A29" s="376"/>
      <c r="B29" s="167" t="s">
        <v>79</v>
      </c>
      <c r="C29" s="167">
        <f>COUNTIFS('Override Control Env2'!$C$9:$C$128,3,'Override Control Env2'!$L$9:$L$128,B29)</f>
        <v>0</v>
      </c>
      <c r="D29" s="168">
        <f>$C29/COUNTIF('Override Control Env2'!$C$9:$C$128,3)</f>
        <v>0</v>
      </c>
      <c r="F29" s="382"/>
      <c r="G29" s="383"/>
    </row>
    <row r="30" spans="1:7" x14ac:dyDescent="0.3">
      <c r="A30" s="376"/>
      <c r="B30" s="167" t="s">
        <v>52</v>
      </c>
      <c r="C30" s="167">
        <f>COUNTIFS('Override Control Env2'!$C$9:$C$128,3,'Override Control Env2'!$L$9:$L$128,B30)</f>
        <v>0</v>
      </c>
      <c r="D30" s="168">
        <f>$C30/COUNTIF('Override Control Env2'!$C$9:$C$128,3)</f>
        <v>0</v>
      </c>
      <c r="F30" s="382"/>
      <c r="G30" s="383"/>
    </row>
    <row r="31" spans="1:7" ht="15" thickBot="1" x14ac:dyDescent="0.35">
      <c r="A31" s="377"/>
      <c r="B31" s="169" t="s">
        <v>790</v>
      </c>
      <c r="C31" s="169">
        <f>COUNTIFS('Override Control Env2'!$C$9:$C$128,3,'Override Control Env2'!$L$9:$L$128,B31)</f>
        <v>14</v>
      </c>
      <c r="D31" s="170">
        <f>$C31/COUNTIF('Override Control Env2'!$C$9:$C$128,3)</f>
        <v>1</v>
      </c>
      <c r="F31" s="384"/>
      <c r="G31" s="385"/>
    </row>
    <row r="32" spans="1:7" x14ac:dyDescent="0.3">
      <c r="A32" s="375" t="s">
        <v>795</v>
      </c>
      <c r="B32" s="171" t="s">
        <v>77</v>
      </c>
      <c r="C32" s="171">
        <f>COUNTIFS('Override Control Env2'!$C$9:$C$128,4,'Override Control Env2'!$L$9:$L$128,B32)</f>
        <v>0</v>
      </c>
      <c r="D32" s="172">
        <f>$C32/COUNTIF('Override Control Env2'!$C$9:$C$128,4)</f>
        <v>0</v>
      </c>
    </row>
    <row r="33" spans="1:7" x14ac:dyDescent="0.3">
      <c r="A33" s="376"/>
      <c r="B33" s="167" t="s">
        <v>79</v>
      </c>
      <c r="C33" s="167">
        <f>COUNTIFS('Override Control Env2'!$C$9:$C$128,4,'Override Control Env2'!$L$9:$L$128,B33)</f>
        <v>0</v>
      </c>
      <c r="D33" s="168">
        <f>$C33/COUNTIF('Override Control Env2'!$C$9:$C$128,4)</f>
        <v>0</v>
      </c>
    </row>
    <row r="34" spans="1:7" x14ac:dyDescent="0.3">
      <c r="A34" s="376"/>
      <c r="B34" s="167" t="s">
        <v>52</v>
      </c>
      <c r="C34" s="167">
        <f>COUNTIFS('Override Control Env2'!$C$9:$C$128,4,'Override Control Env2'!$L$9:$L$128,B34)</f>
        <v>0</v>
      </c>
      <c r="D34" s="168">
        <f>$C34/COUNTIF('Override Control Env2'!$C$9:$C$128,4)</f>
        <v>0</v>
      </c>
    </row>
    <row r="35" spans="1:7" ht="15" thickBot="1" x14ac:dyDescent="0.35">
      <c r="A35" s="377"/>
      <c r="B35" s="169" t="s">
        <v>790</v>
      </c>
      <c r="C35" s="169">
        <f>COUNTIFS('Override Control Env2'!$C$9:$C$128,4,'Override Control Env2'!$L$9:$L$128,B35)</f>
        <v>43</v>
      </c>
      <c r="D35" s="170">
        <f>$C35/COUNTIF('Override Control Env2'!$C$9:$C$128,4)</f>
        <v>1</v>
      </c>
    </row>
    <row r="36" spans="1:7" ht="15" thickBot="1" x14ac:dyDescent="0.35"/>
    <row r="37" spans="1:7" ht="15" thickBot="1" x14ac:dyDescent="0.35">
      <c r="A37" s="161">
        <f>Scope!$F$4</f>
        <v>0</v>
      </c>
      <c r="B37" s="191" t="s">
        <v>95</v>
      </c>
      <c r="C37" s="191" t="s">
        <v>784</v>
      </c>
      <c r="D37" s="192" t="s">
        <v>785</v>
      </c>
      <c r="F37" s="378" t="s">
        <v>786</v>
      </c>
      <c r="G37" s="379"/>
    </row>
    <row r="38" spans="1:7" x14ac:dyDescent="0.3">
      <c r="A38" s="380" t="s">
        <v>74</v>
      </c>
      <c r="B38" s="163" t="s">
        <v>77</v>
      </c>
      <c r="C38" s="163">
        <f>COUNTIFS('Override Control Env3'!$C$9:$C$128,1,'Override Control Env3'!$L$9:$L$128,B38)</f>
        <v>0</v>
      </c>
      <c r="D38" s="164">
        <f>$C38/COUNTIF('Override Control Env3'!$C$9:$C$128,1)</f>
        <v>0</v>
      </c>
      <c r="F38" s="165" t="s">
        <v>787</v>
      </c>
      <c r="G38" s="166" t="str">
        <f>IF(AND($C$39=0,$C$43=0,$C$47=0),"True",IF(AND($C$39=0,($C$43+$C$47)/(COUNTIF('Override Control Env3'!$C$9:$C$128,2)+COUNTIF('Override Control Env3'!$C$9:$C$128,3))&lt;=0.25),"True","False"))</f>
        <v>True</v>
      </c>
    </row>
    <row r="39" spans="1:7" x14ac:dyDescent="0.3">
      <c r="A39" s="376"/>
      <c r="B39" s="167" t="s">
        <v>79</v>
      </c>
      <c r="C39" s="167">
        <f>COUNTIFS('Override Control Env3'!$C$9:$C$128,1,'Override Control Env3'!$L$9:$L$128,B39)</f>
        <v>0</v>
      </c>
      <c r="D39" s="168">
        <f>$C39/COUNTIF('Override Control Env3'!$C$9:$C$128,1)</f>
        <v>0</v>
      </c>
      <c r="F39" s="165" t="s">
        <v>788</v>
      </c>
      <c r="G39" s="166" t="str">
        <f>IF(AND($C$39=0,$G$38="False",($C$43+$C$47)/(COUNTIF('Override Control Env3'!$C$9:$C$128,2)+COUNTIF('Override Control Env3'!$C$9:$C$128,3))&lt;=0.5),"True","False")</f>
        <v>False</v>
      </c>
    </row>
    <row r="40" spans="1:7" x14ac:dyDescent="0.3">
      <c r="A40" s="376"/>
      <c r="B40" s="167" t="s">
        <v>52</v>
      </c>
      <c r="C40" s="167">
        <f>COUNTIFS('Override Control Env3'!$C$9:$C$128,1,'Override Control Env3'!$L$9:$L$128,B40)</f>
        <v>0</v>
      </c>
      <c r="D40" s="168">
        <f>$C40/COUNTIF('Override Control Env3'!$C$9:$C$128,1)</f>
        <v>0</v>
      </c>
      <c r="F40" s="165" t="s">
        <v>789</v>
      </c>
      <c r="G40" s="166" t="str">
        <f>IF(AND($C$39=0,$G$38="False",$G$39="False",($C$43+$C$47)/(COUNTIF('Override Control Env3'!$C$9:$C$128,2)+COUNTIF('Override Control Env3'!$C$9:$C$128,3))&gt;0.5),"True",IF(AND($C$39=1,$C$43=0,$C$47=0),"True","False"))</f>
        <v>False</v>
      </c>
    </row>
    <row r="41" spans="1:7" ht="15" thickBot="1" x14ac:dyDescent="0.35">
      <c r="A41" s="377"/>
      <c r="B41" s="169" t="s">
        <v>790</v>
      </c>
      <c r="C41" s="169">
        <f>COUNTIFS('Override Control Env3'!$C$9:$C$128,1,'Override Control Env3'!$L$9:$L$128,B41)</f>
        <v>38</v>
      </c>
      <c r="D41" s="170">
        <f>$C41/COUNTIF('Override Control Env3'!$C$9:$C$128,1)</f>
        <v>1</v>
      </c>
      <c r="F41" s="165" t="s">
        <v>791</v>
      </c>
      <c r="G41" s="166" t="str">
        <f>IF($C$39&gt;1,"True",IF(AND($C$39=1,$C$43+$C$47&gt;0),"True","False"))</f>
        <v>False</v>
      </c>
    </row>
    <row r="42" spans="1:7" ht="15" thickBot="1" x14ac:dyDescent="0.35">
      <c r="A42" s="375" t="s">
        <v>76</v>
      </c>
      <c r="B42" s="171" t="s">
        <v>77</v>
      </c>
      <c r="C42" s="171">
        <f>COUNTIFS('Override Control Env3'!$C$9:$C$128,2,'Override Control Env3'!$L$9:$L$128,B42)</f>
        <v>0</v>
      </c>
      <c r="D42" s="172">
        <f>$C42/COUNTIF('Override Control Env3'!$C$9:$C$128,2)</f>
        <v>0</v>
      </c>
      <c r="F42" s="173" t="s">
        <v>792</v>
      </c>
      <c r="G42" s="174"/>
    </row>
    <row r="43" spans="1:7" ht="15" thickBot="1" x14ac:dyDescent="0.35">
      <c r="A43" s="376"/>
      <c r="B43" s="167" t="s">
        <v>79</v>
      </c>
      <c r="C43" s="167">
        <f>COUNTIFS('Override Control Env3'!$C$9:$C$128,2,'Override Control Env3'!$L$9:$L$128,B43)</f>
        <v>0</v>
      </c>
      <c r="D43" s="168">
        <f>$C43/COUNTIF('Override Control Env3'!$C$9:$C$128,2)</f>
        <v>0</v>
      </c>
    </row>
    <row r="44" spans="1:7" x14ac:dyDescent="0.3">
      <c r="A44" s="376"/>
      <c r="B44" s="167" t="s">
        <v>52</v>
      </c>
      <c r="C44" s="167">
        <f>COUNTIFS('Override Control Env3'!$C$9:$C$128,2,'Override Control Env3'!$L$9:$L$128,B44)</f>
        <v>0</v>
      </c>
      <c r="D44" s="168">
        <f>$C44/COUNTIF('Override Control Env3'!$C$9:$C$128,2)</f>
        <v>0</v>
      </c>
      <c r="F44" s="378" t="s">
        <v>793</v>
      </c>
      <c r="G44" s="379"/>
    </row>
    <row r="45" spans="1:7" ht="15" thickBot="1" x14ac:dyDescent="0.35">
      <c r="A45" s="381"/>
      <c r="B45" s="175" t="s">
        <v>790</v>
      </c>
      <c r="C45" s="175">
        <f>COUNTIFS('Override Control Env3'!$C$9:$C$128,2,'Override Control Env3'!$L$9:$L$128,B45)</f>
        <v>25</v>
      </c>
      <c r="D45" s="176">
        <f>$C45/COUNTIF('Override Control Env3'!$C$9:$C$128,2)</f>
        <v>1</v>
      </c>
      <c r="F45" s="382" t="str">
        <f>IF($G$38="True","A",IF($G$39="True","B",IF($G$40="True","C",IF($G$41="True","D","Error"))))</f>
        <v>A</v>
      </c>
      <c r="G45" s="383"/>
    </row>
    <row r="46" spans="1:7" x14ac:dyDescent="0.3">
      <c r="A46" s="380" t="s">
        <v>794</v>
      </c>
      <c r="B46" s="163" t="s">
        <v>77</v>
      </c>
      <c r="C46" s="163">
        <f>COUNTIFS('Override Control Env3'!$C$9:$C$128,3,'Override Control Env3'!$L$9:$L$128,B46)</f>
        <v>0</v>
      </c>
      <c r="D46" s="164">
        <f>$C46/COUNTIF('Override Control Env3'!$C$9:$C$128,3)</f>
        <v>0</v>
      </c>
      <c r="F46" s="382"/>
      <c r="G46" s="383"/>
    </row>
    <row r="47" spans="1:7" x14ac:dyDescent="0.3">
      <c r="A47" s="376"/>
      <c r="B47" s="167" t="s">
        <v>79</v>
      </c>
      <c r="C47" s="167">
        <f>COUNTIFS('Override Control Env3'!$C$9:$C$128,3,'Override Control Env3'!$L$9:$L$128,B47)</f>
        <v>0</v>
      </c>
      <c r="D47" s="168">
        <f>$C47/COUNTIF('Override Control Env3'!$C$9:$C$128,3)</f>
        <v>0</v>
      </c>
      <c r="F47" s="382"/>
      <c r="G47" s="383"/>
    </row>
    <row r="48" spans="1:7" x14ac:dyDescent="0.3">
      <c r="A48" s="376"/>
      <c r="B48" s="167" t="s">
        <v>52</v>
      </c>
      <c r="C48" s="167">
        <f>COUNTIFS('Override Control Env3'!$C$9:$C$128,3,'Override Control Env3'!$L$9:$L$128,B48)</f>
        <v>0</v>
      </c>
      <c r="D48" s="168">
        <f>$C48/COUNTIF('Override Control Env3'!$C$9:$C$128,3)</f>
        <v>0</v>
      </c>
      <c r="F48" s="382"/>
      <c r="G48" s="383"/>
    </row>
    <row r="49" spans="1:7" ht="15" thickBot="1" x14ac:dyDescent="0.35">
      <c r="A49" s="377"/>
      <c r="B49" s="169" t="s">
        <v>790</v>
      </c>
      <c r="C49" s="169">
        <f>COUNTIFS('Override Control Env3'!$C$9:$C$128,3,'Override Control Env3'!$L$9:$L$128,B49)</f>
        <v>14</v>
      </c>
      <c r="D49" s="170">
        <f>$C49/COUNTIF('Override Control Env3'!$C$9:$C$128,3)</f>
        <v>1</v>
      </c>
      <c r="F49" s="384"/>
      <c r="G49" s="385"/>
    </row>
    <row r="50" spans="1:7" x14ac:dyDescent="0.3">
      <c r="A50" s="375" t="s">
        <v>795</v>
      </c>
      <c r="B50" s="171" t="s">
        <v>77</v>
      </c>
      <c r="C50" s="171">
        <f>COUNTIFS('Override Control Env3'!$C$9:$C$128,4,'Override Control Env3'!$L$9:$L$128,B50)</f>
        <v>0</v>
      </c>
      <c r="D50" s="172">
        <f>$C50/COUNTIF('Override Control Env3'!$C$9:$C$128,4)</f>
        <v>0</v>
      </c>
    </row>
    <row r="51" spans="1:7" x14ac:dyDescent="0.3">
      <c r="A51" s="376"/>
      <c r="B51" s="167" t="s">
        <v>79</v>
      </c>
      <c r="C51" s="167">
        <f>COUNTIFS('Override Control Env3'!$C$9:$C$128,4,'Override Control Env3'!$L$9:$L$128,B51)</f>
        <v>0</v>
      </c>
      <c r="D51" s="168">
        <f>$C51/COUNTIF('Override Control Env3'!$C$9:$C$128,4)</f>
        <v>0</v>
      </c>
    </row>
    <row r="52" spans="1:7" x14ac:dyDescent="0.3">
      <c r="A52" s="376"/>
      <c r="B52" s="167" t="s">
        <v>52</v>
      </c>
      <c r="C52" s="167">
        <f>COUNTIFS('Override Control Env3'!$C$9:$C$128,4,'Override Control Env3'!$L$9:$L$128,B52)</f>
        <v>0</v>
      </c>
      <c r="D52" s="168">
        <f>$C52/COUNTIF('Override Control Env3'!$C$9:$C$128,4)</f>
        <v>0</v>
      </c>
    </row>
    <row r="53" spans="1:7" ht="15" thickBot="1" x14ac:dyDescent="0.35">
      <c r="A53" s="377"/>
      <c r="B53" s="169" t="s">
        <v>790</v>
      </c>
      <c r="C53" s="169">
        <f>COUNTIFS('Override Control Env3'!$C$9:$C$128,4,'Override Control Env3'!$L$9:$L$128,B53)</f>
        <v>43</v>
      </c>
      <c r="D53" s="170">
        <f>$C53/COUNTIF('Override Control Env3'!$C$9:$C$128,4)</f>
        <v>1</v>
      </c>
    </row>
    <row r="55" spans="1:7" x14ac:dyDescent="0.3">
      <c r="B55" s="193"/>
      <c r="C55" s="193"/>
      <c r="D55" s="193"/>
      <c r="F55" s="373"/>
      <c r="G55" s="373"/>
    </row>
    <row r="56" spans="1:7" x14ac:dyDescent="0.3">
      <c r="A56" s="372"/>
      <c r="D56" s="177"/>
    </row>
    <row r="57" spans="1:7" x14ac:dyDescent="0.3">
      <c r="A57" s="372"/>
      <c r="D57" s="177"/>
    </row>
    <row r="58" spans="1:7" x14ac:dyDescent="0.3">
      <c r="A58" s="372"/>
      <c r="D58" s="177"/>
    </row>
    <row r="59" spans="1:7" x14ac:dyDescent="0.3">
      <c r="A59" s="372"/>
      <c r="D59" s="177"/>
    </row>
    <row r="60" spans="1:7" x14ac:dyDescent="0.3">
      <c r="A60" s="372"/>
      <c r="D60" s="177"/>
    </row>
    <row r="61" spans="1:7" x14ac:dyDescent="0.3">
      <c r="A61" s="372"/>
      <c r="D61" s="177"/>
    </row>
    <row r="62" spans="1:7" x14ac:dyDescent="0.3">
      <c r="A62" s="372"/>
      <c r="D62" s="177"/>
      <c r="F62" s="373"/>
      <c r="G62" s="373"/>
    </row>
    <row r="63" spans="1:7" x14ac:dyDescent="0.3">
      <c r="A63" s="372"/>
      <c r="D63" s="177"/>
      <c r="F63" s="374"/>
      <c r="G63" s="374"/>
    </row>
    <row r="64" spans="1:7" x14ac:dyDescent="0.3">
      <c r="A64" s="372"/>
      <c r="D64" s="177"/>
      <c r="F64" s="374"/>
      <c r="G64" s="374"/>
    </row>
    <row r="65" spans="1:7" x14ac:dyDescent="0.3">
      <c r="A65" s="372"/>
      <c r="D65" s="177"/>
      <c r="F65" s="374"/>
      <c r="G65" s="374"/>
    </row>
    <row r="66" spans="1:7" x14ac:dyDescent="0.3">
      <c r="A66" s="372"/>
      <c r="D66" s="177"/>
      <c r="F66" s="374"/>
      <c r="G66" s="374"/>
    </row>
    <row r="67" spans="1:7" x14ac:dyDescent="0.3">
      <c r="A67" s="372"/>
      <c r="D67" s="177"/>
      <c r="F67" s="374"/>
      <c r="G67" s="374"/>
    </row>
    <row r="68" spans="1:7" x14ac:dyDescent="0.3">
      <c r="A68" s="372"/>
      <c r="D68" s="177"/>
    </row>
    <row r="69" spans="1:7" x14ac:dyDescent="0.3">
      <c r="A69" s="372"/>
      <c r="D69" s="177"/>
    </row>
    <row r="70" spans="1:7" x14ac:dyDescent="0.3">
      <c r="A70" s="372"/>
      <c r="D70" s="177"/>
    </row>
    <row r="71" spans="1:7" x14ac:dyDescent="0.3">
      <c r="A71" s="372"/>
      <c r="D71" s="177"/>
    </row>
    <row r="73" spans="1:7" x14ac:dyDescent="0.3">
      <c r="B73" s="193"/>
      <c r="C73" s="193"/>
      <c r="D73" s="193"/>
      <c r="F73" s="373"/>
      <c r="G73" s="373"/>
    </row>
    <row r="74" spans="1:7" x14ac:dyDescent="0.3">
      <c r="A74" s="372"/>
      <c r="D74" s="177"/>
    </row>
    <row r="75" spans="1:7" x14ac:dyDescent="0.3">
      <c r="A75" s="372"/>
      <c r="D75" s="177"/>
    </row>
    <row r="76" spans="1:7" x14ac:dyDescent="0.3">
      <c r="A76" s="372"/>
      <c r="D76" s="177"/>
    </row>
    <row r="77" spans="1:7" x14ac:dyDescent="0.3">
      <c r="A77" s="372"/>
      <c r="D77" s="177"/>
    </row>
    <row r="78" spans="1:7" x14ac:dyDescent="0.3">
      <c r="A78" s="372"/>
      <c r="D78" s="177"/>
    </row>
    <row r="79" spans="1:7" x14ac:dyDescent="0.3">
      <c r="A79" s="372"/>
      <c r="D79" s="177"/>
    </row>
    <row r="80" spans="1:7" x14ac:dyDescent="0.3">
      <c r="A80" s="372"/>
      <c r="D80" s="177"/>
      <c r="F80" s="373"/>
      <c r="G80" s="373"/>
    </row>
    <row r="81" spans="1:7" x14ac:dyDescent="0.3">
      <c r="A81" s="372"/>
      <c r="D81" s="177"/>
      <c r="F81" s="374"/>
      <c r="G81" s="374"/>
    </row>
    <row r="82" spans="1:7" x14ac:dyDescent="0.3">
      <c r="A82" s="372"/>
      <c r="D82" s="177"/>
      <c r="F82" s="374"/>
      <c r="G82" s="374"/>
    </row>
    <row r="83" spans="1:7" x14ac:dyDescent="0.3">
      <c r="A83" s="372"/>
      <c r="D83" s="177"/>
      <c r="F83" s="374"/>
      <c r="G83" s="374"/>
    </row>
    <row r="84" spans="1:7" x14ac:dyDescent="0.3">
      <c r="A84" s="372"/>
      <c r="D84" s="177"/>
      <c r="F84" s="374"/>
      <c r="G84" s="374"/>
    </row>
    <row r="85" spans="1:7" x14ac:dyDescent="0.3">
      <c r="A85" s="372"/>
      <c r="D85" s="177"/>
      <c r="F85" s="374"/>
      <c r="G85" s="374"/>
    </row>
    <row r="86" spans="1:7" x14ac:dyDescent="0.3">
      <c r="A86" s="372"/>
      <c r="D86" s="177"/>
    </row>
    <row r="87" spans="1:7" x14ac:dyDescent="0.3">
      <c r="A87" s="372"/>
      <c r="D87" s="177"/>
    </row>
    <row r="88" spans="1:7" x14ac:dyDescent="0.3">
      <c r="A88" s="372"/>
      <c r="D88" s="177"/>
    </row>
    <row r="89" spans="1:7" x14ac:dyDescent="0.3">
      <c r="A89" s="372"/>
      <c r="D89" s="177"/>
    </row>
  </sheetData>
  <sheetProtection selectLockedCells="1"/>
  <mergeCells count="35">
    <mergeCell ref="A2:A5"/>
    <mergeCell ref="A6:A9"/>
    <mergeCell ref="A10:A13"/>
    <mergeCell ref="A14:A17"/>
    <mergeCell ref="F1:G1"/>
    <mergeCell ref="F8:G8"/>
    <mergeCell ref="F9:G13"/>
    <mergeCell ref="F19:G19"/>
    <mergeCell ref="A20:A23"/>
    <mergeCell ref="A24:A27"/>
    <mergeCell ref="F26:G26"/>
    <mergeCell ref="F27:G31"/>
    <mergeCell ref="A28:A31"/>
    <mergeCell ref="A32:A35"/>
    <mergeCell ref="F37:G37"/>
    <mergeCell ref="A38:A41"/>
    <mergeCell ref="A42:A45"/>
    <mergeCell ref="F44:G44"/>
    <mergeCell ref="F45:G49"/>
    <mergeCell ref="A46:A49"/>
    <mergeCell ref="A50:A53"/>
    <mergeCell ref="F55:G55"/>
    <mergeCell ref="A56:A59"/>
    <mergeCell ref="A60:A63"/>
    <mergeCell ref="F62:G62"/>
    <mergeCell ref="F63:G67"/>
    <mergeCell ref="A64:A67"/>
    <mergeCell ref="A86:A89"/>
    <mergeCell ref="A68:A71"/>
    <mergeCell ref="F73:G73"/>
    <mergeCell ref="A74:A77"/>
    <mergeCell ref="A78:A81"/>
    <mergeCell ref="F80:G80"/>
    <mergeCell ref="F81:G85"/>
    <mergeCell ref="A82:A85"/>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85"/>
  <sheetViews>
    <sheetView showGridLines="0" topLeftCell="A64" workbookViewId="0">
      <selection activeCell="C81" sqref="C81"/>
    </sheetView>
  </sheetViews>
  <sheetFormatPr defaultRowHeight="14.4" x14ac:dyDescent="0.3"/>
  <cols>
    <col min="1" max="1" width="22.44140625" bestFit="1" customWidth="1"/>
  </cols>
  <sheetData>
    <row r="1" spans="1:3" x14ac:dyDescent="0.3">
      <c r="A1" s="386" t="s">
        <v>773</v>
      </c>
      <c r="B1" s="55" t="s">
        <v>19</v>
      </c>
      <c r="C1" s="55">
        <f>COUNTIF('Override Control Env1'!$I$9:$I$19,B1)</f>
        <v>7</v>
      </c>
    </row>
    <row r="2" spans="1:3" x14ac:dyDescent="0.3">
      <c r="A2" s="386"/>
      <c r="B2" s="55" t="s">
        <v>30</v>
      </c>
      <c r="C2" s="55">
        <f>COUNTIF('Override Control Env1'!$I$9:$I$19,B2)</f>
        <v>4</v>
      </c>
    </row>
    <row r="3" spans="1:3" x14ac:dyDescent="0.3">
      <c r="A3" s="386"/>
      <c r="B3" s="55" t="s">
        <v>41</v>
      </c>
      <c r="C3" s="55">
        <f>COUNTIF('Override Control Env1'!$I$9:$I$19,B3)</f>
        <v>0</v>
      </c>
    </row>
    <row r="4" spans="1:3" x14ac:dyDescent="0.3">
      <c r="A4" s="386"/>
      <c r="B4" s="55" t="s">
        <v>52</v>
      </c>
      <c r="C4" s="55">
        <f>COUNTIF('Override Control Env1'!$I$9:$I$19,B4)</f>
        <v>0</v>
      </c>
    </row>
    <row r="5" spans="1:3" x14ac:dyDescent="0.3">
      <c r="A5" s="386"/>
      <c r="B5" s="55" t="s">
        <v>790</v>
      </c>
      <c r="C5" s="55">
        <f>COUNTIF('Override Control Env1'!$I$9:$I$19,0)</f>
        <v>0</v>
      </c>
    </row>
    <row r="6" spans="1:3" x14ac:dyDescent="0.3">
      <c r="A6" s="386" t="s">
        <v>391</v>
      </c>
      <c r="B6" s="55" t="s">
        <v>19</v>
      </c>
      <c r="C6" s="55">
        <f>COUNTIF('Override Control Env1'!$I$20:$I$24,B6)</f>
        <v>3</v>
      </c>
    </row>
    <row r="7" spans="1:3" x14ac:dyDescent="0.3">
      <c r="A7" s="386"/>
      <c r="B7" s="55" t="s">
        <v>30</v>
      </c>
      <c r="C7" s="55">
        <f>COUNTIF('Override Control Env1'!$I$20:$I$24,B7)</f>
        <v>2</v>
      </c>
    </row>
    <row r="8" spans="1:3" x14ac:dyDescent="0.3">
      <c r="A8" s="386"/>
      <c r="B8" s="55" t="s">
        <v>41</v>
      </c>
      <c r="C8" s="55">
        <f>COUNTIF('Override Control Env1'!$I$20:$I$24,B8)</f>
        <v>0</v>
      </c>
    </row>
    <row r="9" spans="1:3" x14ac:dyDescent="0.3">
      <c r="A9" s="386"/>
      <c r="B9" s="55" t="s">
        <v>52</v>
      </c>
      <c r="C9" s="55">
        <f>COUNTIF('Override Control Env1'!$I$20:$I$24,B9)</f>
        <v>0</v>
      </c>
    </row>
    <row r="10" spans="1:3" x14ac:dyDescent="0.3">
      <c r="A10" s="386"/>
      <c r="B10" s="55" t="s">
        <v>790</v>
      </c>
      <c r="C10" s="55">
        <f>COUNTIF('Override Control Env1'!$I$20:$I$24,0)</f>
        <v>0</v>
      </c>
    </row>
    <row r="11" spans="1:3" x14ac:dyDescent="0.3">
      <c r="A11" s="386" t="s">
        <v>412</v>
      </c>
      <c r="B11" s="55" t="s">
        <v>19</v>
      </c>
      <c r="C11" s="55">
        <f>COUNTIF('Override Control Env1'!$I$25:$I$33,B11)</f>
        <v>5</v>
      </c>
    </row>
    <row r="12" spans="1:3" x14ac:dyDescent="0.3">
      <c r="A12" s="386"/>
      <c r="B12" s="55" t="s">
        <v>30</v>
      </c>
      <c r="C12" s="55">
        <f>COUNTIF('Override Control Env1'!$I$25:$I$33,B12)</f>
        <v>4</v>
      </c>
    </row>
    <row r="13" spans="1:3" x14ac:dyDescent="0.3">
      <c r="A13" s="386"/>
      <c r="B13" s="55" t="s">
        <v>41</v>
      </c>
      <c r="C13" s="55">
        <f>COUNTIF('Override Control Env1'!$I$25:$I$33,B13)</f>
        <v>0</v>
      </c>
    </row>
    <row r="14" spans="1:3" x14ac:dyDescent="0.3">
      <c r="A14" s="386"/>
      <c r="B14" s="55" t="s">
        <v>52</v>
      </c>
      <c r="C14" s="55">
        <f>COUNTIF('Override Control Env1'!$I$25:$I$33,B14)</f>
        <v>0</v>
      </c>
    </row>
    <row r="15" spans="1:3" x14ac:dyDescent="0.3">
      <c r="A15" s="386"/>
      <c r="B15" s="55" t="s">
        <v>790</v>
      </c>
      <c r="C15" s="55">
        <f>COUNTIF('Override Control Env1'!$I$25:$I$33,0)</f>
        <v>0</v>
      </c>
    </row>
    <row r="16" spans="1:3" x14ac:dyDescent="0.3">
      <c r="A16" s="386" t="s">
        <v>796</v>
      </c>
      <c r="B16" s="55" t="s">
        <v>19</v>
      </c>
      <c r="C16" s="55" t="e">
        <f>COUNTIF('Override Control Env1'!#REF!,B16)</f>
        <v>#REF!</v>
      </c>
    </row>
    <row r="17" spans="1:3" x14ac:dyDescent="0.3">
      <c r="A17" s="386"/>
      <c r="B17" s="55" t="s">
        <v>30</v>
      </c>
      <c r="C17" s="55" t="e">
        <f>COUNTIF('Override Control Env1'!#REF!,B17)</f>
        <v>#REF!</v>
      </c>
    </row>
    <row r="18" spans="1:3" x14ac:dyDescent="0.3">
      <c r="A18" s="386"/>
      <c r="B18" s="55" t="s">
        <v>41</v>
      </c>
      <c r="C18" s="55" t="e">
        <f>COUNTIF('Override Control Env1'!#REF!,B18)</f>
        <v>#REF!</v>
      </c>
    </row>
    <row r="19" spans="1:3" x14ac:dyDescent="0.3">
      <c r="A19" s="386"/>
      <c r="B19" s="55" t="s">
        <v>52</v>
      </c>
      <c r="C19" s="55" t="e">
        <f>COUNTIF('Override Control Env1'!#REF!,B19)</f>
        <v>#REF!</v>
      </c>
    </row>
    <row r="20" spans="1:3" x14ac:dyDescent="0.3">
      <c r="A20" s="386"/>
      <c r="B20" s="55" t="s">
        <v>790</v>
      </c>
      <c r="C20" s="55" t="e">
        <f>COUNTIF('Override Control Env1'!#REF!,0)</f>
        <v>#REF!</v>
      </c>
    </row>
    <row r="21" spans="1:3" x14ac:dyDescent="0.3">
      <c r="A21" s="386" t="s">
        <v>797</v>
      </c>
      <c r="B21" s="55" t="s">
        <v>19</v>
      </c>
      <c r="C21" s="55">
        <f>COUNTIF('Override Control Env1'!$I$34:$I$56,B21)</f>
        <v>13</v>
      </c>
    </row>
    <row r="22" spans="1:3" x14ac:dyDescent="0.3">
      <c r="A22" s="386"/>
      <c r="B22" s="55" t="s">
        <v>30</v>
      </c>
      <c r="C22" s="55">
        <f>COUNTIF('Override Control Env1'!$I$34:$I$56,B22)</f>
        <v>8</v>
      </c>
    </row>
    <row r="23" spans="1:3" x14ac:dyDescent="0.3">
      <c r="A23" s="386"/>
      <c r="B23" s="55" t="s">
        <v>41</v>
      </c>
      <c r="C23" s="55">
        <f>COUNTIF('Override Control Env1'!$I$34:$I$56,B23)</f>
        <v>1</v>
      </c>
    </row>
    <row r="24" spans="1:3" x14ac:dyDescent="0.3">
      <c r="A24" s="386"/>
      <c r="B24" s="55" t="s">
        <v>52</v>
      </c>
      <c r="C24" s="55">
        <f>COUNTIF('Override Control Env1'!$I$34:$I$56,B24)</f>
        <v>1</v>
      </c>
    </row>
    <row r="25" spans="1:3" x14ac:dyDescent="0.3">
      <c r="A25" s="386"/>
      <c r="B25" s="55" t="s">
        <v>790</v>
      </c>
      <c r="C25" s="55">
        <f>COUNTIF('Override Control Env1'!$I$34:$I$56,B25)</f>
        <v>0</v>
      </c>
    </row>
    <row r="26" spans="1:3" x14ac:dyDescent="0.3">
      <c r="A26" s="386" t="s">
        <v>798</v>
      </c>
      <c r="B26" s="55" t="s">
        <v>19</v>
      </c>
      <c r="C26" s="55" t="e">
        <f>COUNTIF('Override Control Env1'!#REF!,B26)</f>
        <v>#REF!</v>
      </c>
    </row>
    <row r="27" spans="1:3" x14ac:dyDescent="0.3">
      <c r="A27" s="386"/>
      <c r="B27" s="55" t="s">
        <v>30</v>
      </c>
      <c r="C27" s="55" t="e">
        <f>COUNTIF('Override Control Env1'!#REF!,B27)</f>
        <v>#REF!</v>
      </c>
    </row>
    <row r="28" spans="1:3" x14ac:dyDescent="0.3">
      <c r="A28" s="386"/>
      <c r="B28" s="55" t="s">
        <v>41</v>
      </c>
      <c r="C28" s="55" t="e">
        <f>COUNTIF('Override Control Env1'!#REF!,B28)</f>
        <v>#REF!</v>
      </c>
    </row>
    <row r="29" spans="1:3" x14ac:dyDescent="0.3">
      <c r="A29" s="386"/>
      <c r="B29" s="55" t="s">
        <v>52</v>
      </c>
      <c r="C29" s="55" t="e">
        <f>COUNTIF('Override Control Env1'!#REF!,B29)</f>
        <v>#REF!</v>
      </c>
    </row>
    <row r="30" spans="1:3" x14ac:dyDescent="0.3">
      <c r="A30" s="386"/>
      <c r="B30" s="55" t="s">
        <v>790</v>
      </c>
      <c r="C30" s="55" t="e">
        <f>COUNTIF('Override Control Env1'!#REF!,0)</f>
        <v>#REF!</v>
      </c>
    </row>
    <row r="31" spans="1:3" x14ac:dyDescent="0.3">
      <c r="A31" s="387" t="s">
        <v>775</v>
      </c>
      <c r="B31" s="55" t="s">
        <v>19</v>
      </c>
      <c r="C31" s="55">
        <f>COUNTIF('Override Control Env1'!$I$59:$I$70,B31)</f>
        <v>8</v>
      </c>
    </row>
    <row r="32" spans="1:3" x14ac:dyDescent="0.3">
      <c r="A32" s="387"/>
      <c r="B32" s="55" t="s">
        <v>30</v>
      </c>
      <c r="C32" s="55">
        <f>COUNTIF('Override Control Env1'!$I$59:$I$70,B32)</f>
        <v>2</v>
      </c>
    </row>
    <row r="33" spans="1:3" x14ac:dyDescent="0.3">
      <c r="A33" s="387"/>
      <c r="B33" s="55" t="s">
        <v>41</v>
      </c>
      <c r="C33" s="55">
        <f>COUNTIF('Override Control Env1'!$I$59:$I$70,B33)</f>
        <v>0</v>
      </c>
    </row>
    <row r="34" spans="1:3" x14ac:dyDescent="0.3">
      <c r="A34" s="387"/>
      <c r="B34" s="55" t="s">
        <v>52</v>
      </c>
      <c r="C34" s="55">
        <f>COUNTIF('Override Control Env1'!$I$59:$I$70,B34)</f>
        <v>2</v>
      </c>
    </row>
    <row r="35" spans="1:3" x14ac:dyDescent="0.3">
      <c r="A35" s="387"/>
      <c r="B35" s="55" t="s">
        <v>790</v>
      </c>
      <c r="C35" s="55">
        <f>COUNTIF('Override Control Env1'!$I$59:$I$70,0)</f>
        <v>0</v>
      </c>
    </row>
    <row r="36" spans="1:3" x14ac:dyDescent="0.3">
      <c r="A36" s="386" t="s">
        <v>777</v>
      </c>
      <c r="B36" s="55" t="s">
        <v>19</v>
      </c>
      <c r="C36" s="55">
        <f>COUNTIF('Override Control Env1'!$I$71:$I$81,B36)</f>
        <v>9</v>
      </c>
    </row>
    <row r="37" spans="1:3" x14ac:dyDescent="0.3">
      <c r="A37" s="386"/>
      <c r="B37" s="55" t="s">
        <v>30</v>
      </c>
      <c r="C37" s="55">
        <f>COUNTIF('Override Control Env1'!$I$71:$I$81,B37)</f>
        <v>2</v>
      </c>
    </row>
    <row r="38" spans="1:3" x14ac:dyDescent="0.3">
      <c r="A38" s="386"/>
      <c r="B38" s="55" t="s">
        <v>41</v>
      </c>
      <c r="C38" s="55">
        <f>COUNTIF('Override Control Env1'!$I$71:$I$81,B38)</f>
        <v>0</v>
      </c>
    </row>
    <row r="39" spans="1:3" x14ac:dyDescent="0.3">
      <c r="A39" s="386"/>
      <c r="B39" s="55" t="s">
        <v>52</v>
      </c>
      <c r="C39" s="55">
        <f>COUNTIF('Override Control Env1'!$I$71:$I$81,B39)</f>
        <v>0</v>
      </c>
    </row>
    <row r="40" spans="1:3" x14ac:dyDescent="0.3">
      <c r="A40" s="386"/>
      <c r="B40" s="55" t="s">
        <v>790</v>
      </c>
      <c r="C40" s="55">
        <f>COUNTIF('Override Control Env1'!$I$71:$I$81,0)</f>
        <v>0</v>
      </c>
    </row>
    <row r="41" spans="1:3" x14ac:dyDescent="0.3">
      <c r="A41" s="386" t="s">
        <v>590</v>
      </c>
      <c r="B41" s="55" t="s">
        <v>19</v>
      </c>
      <c r="C41" s="55">
        <f>COUNTIF('Override Control Env1'!$I$82:$I$91,B41)</f>
        <v>9</v>
      </c>
    </row>
    <row r="42" spans="1:3" x14ac:dyDescent="0.3">
      <c r="A42" s="386"/>
      <c r="B42" s="55" t="s">
        <v>30</v>
      </c>
      <c r="C42" s="55">
        <f>COUNTIF('Override Control Env1'!$I$82:$I$91,B42)</f>
        <v>0</v>
      </c>
    </row>
    <row r="43" spans="1:3" x14ac:dyDescent="0.3">
      <c r="A43" s="386"/>
      <c r="B43" s="55" t="s">
        <v>41</v>
      </c>
      <c r="C43" s="55">
        <f>COUNTIF('Override Control Env1'!$I$82:$I$91,B43)</f>
        <v>1</v>
      </c>
    </row>
    <row r="44" spans="1:3" x14ac:dyDescent="0.3">
      <c r="A44" s="386"/>
      <c r="B44" s="55" t="s">
        <v>52</v>
      </c>
      <c r="C44" s="55">
        <f>COUNTIF('Override Control Env1'!$I$82:$I$91,B44)</f>
        <v>0</v>
      </c>
    </row>
    <row r="45" spans="1:3" x14ac:dyDescent="0.3">
      <c r="A45" s="386"/>
      <c r="B45" s="55" t="s">
        <v>790</v>
      </c>
      <c r="C45" s="55">
        <f>COUNTIF('Override Control Env1'!$I$82:$I$91,0)</f>
        <v>0</v>
      </c>
    </row>
    <row r="46" spans="1:3" x14ac:dyDescent="0.3">
      <c r="A46" s="386" t="s">
        <v>799</v>
      </c>
      <c r="B46" s="55" t="s">
        <v>19</v>
      </c>
      <c r="C46" s="55" t="e">
        <f>COUNTIF('Override Control Env1'!#REF!,B46)</f>
        <v>#REF!</v>
      </c>
    </row>
    <row r="47" spans="1:3" x14ac:dyDescent="0.3">
      <c r="A47" s="386"/>
      <c r="B47" s="55" t="s">
        <v>30</v>
      </c>
      <c r="C47" s="55" t="e">
        <f>COUNTIF('Override Control Env1'!#REF!,B47)</f>
        <v>#REF!</v>
      </c>
    </row>
    <row r="48" spans="1:3" x14ac:dyDescent="0.3">
      <c r="A48" s="386"/>
      <c r="B48" s="55" t="s">
        <v>41</v>
      </c>
      <c r="C48" s="55" t="e">
        <f>COUNTIF('Override Control Env1'!#REF!,B48)</f>
        <v>#REF!</v>
      </c>
    </row>
    <row r="49" spans="1:3" x14ac:dyDescent="0.3">
      <c r="A49" s="386"/>
      <c r="B49" s="55" t="s">
        <v>52</v>
      </c>
      <c r="C49" s="55" t="e">
        <f>COUNTIF('Override Control Env1'!#REF!,B49)</f>
        <v>#REF!</v>
      </c>
    </row>
    <row r="50" spans="1:3" x14ac:dyDescent="0.3">
      <c r="A50" s="386"/>
      <c r="B50" s="55" t="s">
        <v>790</v>
      </c>
      <c r="C50" s="55" t="e">
        <f>COUNTIF('Override Control Env1'!#REF!,0)</f>
        <v>#REF!</v>
      </c>
    </row>
    <row r="51" spans="1:3" x14ac:dyDescent="0.3">
      <c r="A51" s="386" t="s">
        <v>800</v>
      </c>
      <c r="B51" s="55" t="s">
        <v>19</v>
      </c>
      <c r="C51" s="55" t="e">
        <f>COUNTIF('Override Control Env1'!#REF!,B51)</f>
        <v>#REF!</v>
      </c>
    </row>
    <row r="52" spans="1:3" x14ac:dyDescent="0.3">
      <c r="A52" s="386"/>
      <c r="B52" s="55" t="s">
        <v>30</v>
      </c>
      <c r="C52" s="55" t="e">
        <f>COUNTIF('Override Control Env1'!#REF!,B52)</f>
        <v>#REF!</v>
      </c>
    </row>
    <row r="53" spans="1:3" x14ac:dyDescent="0.3">
      <c r="A53" s="386"/>
      <c r="B53" s="55" t="s">
        <v>41</v>
      </c>
      <c r="C53" s="55" t="e">
        <f>COUNTIF('Override Control Env1'!#REF!,B53)</f>
        <v>#REF!</v>
      </c>
    </row>
    <row r="54" spans="1:3" x14ac:dyDescent="0.3">
      <c r="A54" s="386"/>
      <c r="B54" s="55" t="s">
        <v>52</v>
      </c>
      <c r="C54" s="55" t="e">
        <f>COUNTIF('Override Control Env1'!#REF!,B54)</f>
        <v>#REF!</v>
      </c>
    </row>
    <row r="55" spans="1:3" x14ac:dyDescent="0.3">
      <c r="A55" s="386"/>
      <c r="B55" s="55" t="s">
        <v>790</v>
      </c>
      <c r="C55" s="55" t="e">
        <f>COUNTIF('Override Control Env1'!#REF!,0)</f>
        <v>#REF!</v>
      </c>
    </row>
    <row r="56" spans="1:3" x14ac:dyDescent="0.3">
      <c r="A56" s="386" t="s">
        <v>801</v>
      </c>
      <c r="B56" s="55" t="s">
        <v>19</v>
      </c>
      <c r="C56" s="55" t="e">
        <f>COUNTIF('Override Control Env1'!#REF!,B56)</f>
        <v>#REF!</v>
      </c>
    </row>
    <row r="57" spans="1:3" x14ac:dyDescent="0.3">
      <c r="A57" s="386"/>
      <c r="B57" s="55" t="s">
        <v>30</v>
      </c>
      <c r="C57" s="55" t="e">
        <f>COUNTIF('Override Control Env1'!#REF!,B57)</f>
        <v>#REF!</v>
      </c>
    </row>
    <row r="58" spans="1:3" x14ac:dyDescent="0.3">
      <c r="A58" s="386"/>
      <c r="B58" s="55" t="s">
        <v>41</v>
      </c>
      <c r="C58" s="55" t="e">
        <f>COUNTIF('Override Control Env1'!#REF!,B58)</f>
        <v>#REF!</v>
      </c>
    </row>
    <row r="59" spans="1:3" x14ac:dyDescent="0.3">
      <c r="A59" s="386"/>
      <c r="B59" s="55" t="s">
        <v>52</v>
      </c>
      <c r="C59" s="55" t="e">
        <f>COUNTIF('Override Control Env1'!#REF!,B59)</f>
        <v>#REF!</v>
      </c>
    </row>
    <row r="60" spans="1:3" x14ac:dyDescent="0.3">
      <c r="A60" s="386"/>
      <c r="B60" s="55" t="s">
        <v>790</v>
      </c>
      <c r="C60" s="55" t="e">
        <f>COUNTIF('Override Control Env1'!#REF!,0)</f>
        <v>#REF!</v>
      </c>
    </row>
    <row r="61" spans="1:3" x14ac:dyDescent="0.3">
      <c r="A61" s="386" t="s">
        <v>621</v>
      </c>
      <c r="B61" s="55" t="s">
        <v>19</v>
      </c>
      <c r="C61" s="55">
        <f>COUNTIF('Override Control Env1'!$I$92:$I$102,B61)</f>
        <v>6</v>
      </c>
    </row>
    <row r="62" spans="1:3" x14ac:dyDescent="0.3">
      <c r="A62" s="386"/>
      <c r="B62" s="55" t="s">
        <v>30</v>
      </c>
      <c r="C62" s="55">
        <f>COUNTIF('Override Control Env1'!$I$92:$I$102,B62)</f>
        <v>4</v>
      </c>
    </row>
    <row r="63" spans="1:3" x14ac:dyDescent="0.3">
      <c r="A63" s="386"/>
      <c r="B63" s="55" t="s">
        <v>41</v>
      </c>
      <c r="C63" s="55">
        <f>COUNTIF('Override Control Env1'!$I$92:$I$102,B63)</f>
        <v>1</v>
      </c>
    </row>
    <row r="64" spans="1:3" x14ac:dyDescent="0.3">
      <c r="A64" s="386"/>
      <c r="B64" s="55" t="s">
        <v>52</v>
      </c>
      <c r="C64" s="55">
        <f>COUNTIF('Override Control Env1'!$I$92:$I$102,B64)</f>
        <v>0</v>
      </c>
    </row>
    <row r="65" spans="1:3" x14ac:dyDescent="0.3">
      <c r="A65" s="386"/>
      <c r="B65" s="55" t="s">
        <v>790</v>
      </c>
      <c r="C65" s="55">
        <f>COUNTIF('Override Control Env1'!$I$92:$I$102,0)</f>
        <v>0</v>
      </c>
    </row>
    <row r="66" spans="1:3" x14ac:dyDescent="0.3">
      <c r="A66" s="386" t="s">
        <v>802</v>
      </c>
      <c r="B66" s="55" t="s">
        <v>19</v>
      </c>
      <c r="C66" s="55" t="e">
        <f>COUNTIF('Override Control Env1'!#REF!,B66)</f>
        <v>#REF!</v>
      </c>
    </row>
    <row r="67" spans="1:3" x14ac:dyDescent="0.3">
      <c r="A67" s="386"/>
      <c r="B67" s="55" t="s">
        <v>30</v>
      </c>
      <c r="C67" s="55" t="e">
        <f>COUNTIF('Override Control Env1'!#REF!,B67)</f>
        <v>#REF!</v>
      </c>
    </row>
    <row r="68" spans="1:3" x14ac:dyDescent="0.3">
      <c r="A68" s="386"/>
      <c r="B68" s="55" t="s">
        <v>41</v>
      </c>
      <c r="C68" s="55" t="e">
        <f>COUNTIF('Override Control Env1'!#REF!,B68)</f>
        <v>#REF!</v>
      </c>
    </row>
    <row r="69" spans="1:3" x14ac:dyDescent="0.3">
      <c r="A69" s="386"/>
      <c r="B69" s="55" t="s">
        <v>52</v>
      </c>
      <c r="C69" s="55" t="e">
        <f>COUNTIF('Override Control Env1'!#REF!,B69)</f>
        <v>#REF!</v>
      </c>
    </row>
    <row r="70" spans="1:3" x14ac:dyDescent="0.3">
      <c r="A70" s="386"/>
      <c r="B70" s="55" t="s">
        <v>790</v>
      </c>
      <c r="C70" s="55" t="e">
        <f>COUNTIF('Override Control Env1'!#REF!,0)</f>
        <v>#REF!</v>
      </c>
    </row>
    <row r="71" spans="1:3" x14ac:dyDescent="0.3">
      <c r="A71" s="386" t="s">
        <v>778</v>
      </c>
      <c r="B71" s="55" t="s">
        <v>19</v>
      </c>
      <c r="C71" s="55">
        <f>COUNTIF('Override Control Env1'!$I$103:$I$111,B71)</f>
        <v>6</v>
      </c>
    </row>
    <row r="72" spans="1:3" x14ac:dyDescent="0.3">
      <c r="A72" s="386"/>
      <c r="B72" s="55" t="s">
        <v>30</v>
      </c>
      <c r="C72" s="55">
        <f>COUNTIF('Override Control Env1'!$I$103:$I$111,B72)</f>
        <v>2</v>
      </c>
    </row>
    <row r="73" spans="1:3" x14ac:dyDescent="0.3">
      <c r="A73" s="386"/>
      <c r="B73" s="55" t="s">
        <v>41</v>
      </c>
      <c r="C73" s="55">
        <f>COUNTIF('Override Control Env1'!$I$103:$I$111,B73)</f>
        <v>1</v>
      </c>
    </row>
    <row r="74" spans="1:3" x14ac:dyDescent="0.3">
      <c r="A74" s="386"/>
      <c r="B74" s="55" t="s">
        <v>52</v>
      </c>
      <c r="C74" s="55">
        <f>COUNTIF('Override Control Env1'!$I$103:$I$111,B74)</f>
        <v>0</v>
      </c>
    </row>
    <row r="75" spans="1:3" x14ac:dyDescent="0.3">
      <c r="A75" s="386"/>
      <c r="B75" s="55" t="s">
        <v>790</v>
      </c>
      <c r="C75" s="55">
        <f>COUNTIF('Override Control Env1'!$I$103:$I$111,B75)</f>
        <v>0</v>
      </c>
    </row>
    <row r="76" spans="1:3" x14ac:dyDescent="0.3">
      <c r="A76" s="386" t="s">
        <v>779</v>
      </c>
      <c r="B76" s="55" t="s">
        <v>19</v>
      </c>
      <c r="C76" s="55">
        <f>COUNTIF('Override Control Env1'!$I$112:$I$124,B76)</f>
        <v>5</v>
      </c>
    </row>
    <row r="77" spans="1:3" x14ac:dyDescent="0.3">
      <c r="A77" s="386"/>
      <c r="B77" s="55" t="s">
        <v>30</v>
      </c>
      <c r="C77" s="55">
        <f>COUNTIF('Override Control Env1'!$I$112:$I$124,B77)</f>
        <v>5</v>
      </c>
    </row>
    <row r="78" spans="1:3" x14ac:dyDescent="0.3">
      <c r="A78" s="386"/>
      <c r="B78" s="55" t="s">
        <v>41</v>
      </c>
      <c r="C78" s="55">
        <f>COUNTIF('Override Control Env1'!$I$112:$I$124,B78)</f>
        <v>1</v>
      </c>
    </row>
    <row r="79" spans="1:3" x14ac:dyDescent="0.3">
      <c r="A79" s="386"/>
      <c r="B79" s="55" t="s">
        <v>52</v>
      </c>
      <c r="C79" s="55">
        <f>COUNTIF('Override Control Env1'!$I$112:$I$124,B79)</f>
        <v>2</v>
      </c>
    </row>
    <row r="80" spans="1:3" x14ac:dyDescent="0.3">
      <c r="A80" s="386"/>
      <c r="B80" s="55" t="s">
        <v>790</v>
      </c>
      <c r="C80" s="55">
        <f>COUNTIF('Override Control Env1'!$I$112:$I$124,0)</f>
        <v>0</v>
      </c>
    </row>
    <row r="81" spans="1:3" x14ac:dyDescent="0.3">
      <c r="A81" s="386" t="s">
        <v>783</v>
      </c>
      <c r="B81" s="55" t="s">
        <v>19</v>
      </c>
      <c r="C81" s="55">
        <f>COUNTIF('Override Control Env1'!$I$125:$I$128,B81)</f>
        <v>2</v>
      </c>
    </row>
    <row r="82" spans="1:3" x14ac:dyDescent="0.3">
      <c r="A82" s="386"/>
      <c r="B82" s="55" t="s">
        <v>30</v>
      </c>
      <c r="C82" s="55">
        <f>COUNTIF('Override Control Env1'!$I$125:$I$128,B82)</f>
        <v>2</v>
      </c>
    </row>
    <row r="83" spans="1:3" x14ac:dyDescent="0.3">
      <c r="A83" s="386"/>
      <c r="B83" s="55" t="s">
        <v>41</v>
      </c>
      <c r="C83" s="55">
        <f>COUNTIF('Override Control Env1'!$I$125:$I$128,B83)</f>
        <v>0</v>
      </c>
    </row>
    <row r="84" spans="1:3" x14ac:dyDescent="0.3">
      <c r="A84" s="386"/>
      <c r="B84" s="55" t="s">
        <v>52</v>
      </c>
      <c r="C84" s="55">
        <f>COUNTIF('Override Control Env1'!$I$125:$I$128,B84)</f>
        <v>0</v>
      </c>
    </row>
    <row r="85" spans="1:3" x14ac:dyDescent="0.3">
      <c r="A85" s="386"/>
      <c r="B85" s="55" t="s">
        <v>790</v>
      </c>
      <c r="C85" s="55">
        <f>COUNTIF('Override Control Env1'!$I$125:$I$128,0)</f>
        <v>0</v>
      </c>
    </row>
  </sheetData>
  <mergeCells count="17">
    <mergeCell ref="A56:A60"/>
    <mergeCell ref="A1:A5"/>
    <mergeCell ref="A6:A10"/>
    <mergeCell ref="A11:A15"/>
    <mergeCell ref="A16:A20"/>
    <mergeCell ref="A21:A25"/>
    <mergeCell ref="A26:A30"/>
    <mergeCell ref="A31:A35"/>
    <mergeCell ref="A36:A40"/>
    <mergeCell ref="A41:A45"/>
    <mergeCell ref="A46:A50"/>
    <mergeCell ref="A51:A55"/>
    <mergeCell ref="A61:A65"/>
    <mergeCell ref="A66:A70"/>
    <mergeCell ref="A71:A75"/>
    <mergeCell ref="A76:A80"/>
    <mergeCell ref="A81:A8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85"/>
  <sheetViews>
    <sheetView showGridLines="0" topLeftCell="A61" workbookViewId="0">
      <selection activeCell="C84" sqref="C84"/>
    </sheetView>
  </sheetViews>
  <sheetFormatPr defaultColWidth="9" defaultRowHeight="14.4" x14ac:dyDescent="0.3"/>
  <cols>
    <col min="1" max="1" width="22.44140625" bestFit="1" customWidth="1"/>
  </cols>
  <sheetData>
    <row r="1" spans="1:3" x14ac:dyDescent="0.3">
      <c r="A1" s="386" t="s">
        <v>773</v>
      </c>
      <c r="B1" s="55" t="s">
        <v>19</v>
      </c>
      <c r="C1" s="55">
        <f>COUNTIF('Override Control Env2'!$I$9:$I$19,B1)</f>
        <v>0</v>
      </c>
    </row>
    <row r="2" spans="1:3" x14ac:dyDescent="0.3">
      <c r="A2" s="386"/>
      <c r="B2" s="55" t="s">
        <v>30</v>
      </c>
      <c r="C2" s="55">
        <f>COUNTIF('Override Control Env2'!$I$9:$I$19,B2)</f>
        <v>0</v>
      </c>
    </row>
    <row r="3" spans="1:3" x14ac:dyDescent="0.3">
      <c r="A3" s="386"/>
      <c r="B3" s="55" t="s">
        <v>41</v>
      </c>
      <c r="C3" s="55">
        <f>COUNTIF('Override Control Env2'!$I$9:$I$19,B3)</f>
        <v>0</v>
      </c>
    </row>
    <row r="4" spans="1:3" x14ac:dyDescent="0.3">
      <c r="A4" s="386"/>
      <c r="B4" s="55" t="s">
        <v>52</v>
      </c>
      <c r="C4" s="55">
        <f>COUNTIF('Override Control Env2'!$I$9:$I$19,B4)</f>
        <v>0</v>
      </c>
    </row>
    <row r="5" spans="1:3" x14ac:dyDescent="0.3">
      <c r="A5" s="386"/>
      <c r="B5" s="55" t="s">
        <v>790</v>
      </c>
      <c r="C5" s="55">
        <f>COUNTIF('Override Control Env2'!$I$9:$I$19,0)</f>
        <v>11</v>
      </c>
    </row>
    <row r="6" spans="1:3" x14ac:dyDescent="0.3">
      <c r="A6" s="386" t="s">
        <v>391</v>
      </c>
      <c r="B6" s="55" t="s">
        <v>19</v>
      </c>
      <c r="C6" s="55">
        <f>COUNTIF('Override Control Env2'!$I$20:$I$24,B6)</f>
        <v>0</v>
      </c>
    </row>
    <row r="7" spans="1:3" x14ac:dyDescent="0.3">
      <c r="A7" s="386"/>
      <c r="B7" s="55" t="s">
        <v>30</v>
      </c>
      <c r="C7" s="55">
        <f>COUNTIF('Override Control Env2'!$I$20:$I$24,B7)</f>
        <v>0</v>
      </c>
    </row>
    <row r="8" spans="1:3" x14ac:dyDescent="0.3">
      <c r="A8" s="386"/>
      <c r="B8" s="55" t="s">
        <v>41</v>
      </c>
      <c r="C8" s="55">
        <f>COUNTIF('Override Control Env2'!$I$20:$I$24,B8)</f>
        <v>0</v>
      </c>
    </row>
    <row r="9" spans="1:3" x14ac:dyDescent="0.3">
      <c r="A9" s="386"/>
      <c r="B9" s="55" t="s">
        <v>52</v>
      </c>
      <c r="C9" s="55">
        <f>COUNTIF('Override Control Env2'!$I$20:$I$24,B9)</f>
        <v>0</v>
      </c>
    </row>
    <row r="10" spans="1:3" x14ac:dyDescent="0.3">
      <c r="A10" s="386"/>
      <c r="B10" s="55" t="s">
        <v>790</v>
      </c>
      <c r="C10" s="55">
        <f>COUNTIF('Override Control Env2'!$I$20:$I$24,0)</f>
        <v>5</v>
      </c>
    </row>
    <row r="11" spans="1:3" x14ac:dyDescent="0.3">
      <c r="A11" s="386" t="s">
        <v>412</v>
      </c>
      <c r="B11" s="55" t="s">
        <v>19</v>
      </c>
      <c r="C11" s="55">
        <f>COUNTIF('Override Control Env2'!$I$25:$I$33,B11)</f>
        <v>0</v>
      </c>
    </row>
    <row r="12" spans="1:3" x14ac:dyDescent="0.3">
      <c r="A12" s="386"/>
      <c r="B12" s="55" t="s">
        <v>30</v>
      </c>
      <c r="C12" s="55">
        <f>COUNTIF('Override Control Env2'!$I$25:$I$33,B12)</f>
        <v>0</v>
      </c>
    </row>
    <row r="13" spans="1:3" x14ac:dyDescent="0.3">
      <c r="A13" s="386"/>
      <c r="B13" s="55" t="s">
        <v>41</v>
      </c>
      <c r="C13" s="55">
        <f>COUNTIF('Override Control Env2'!$I$25:$I$33,B13)</f>
        <v>0</v>
      </c>
    </row>
    <row r="14" spans="1:3" x14ac:dyDescent="0.3">
      <c r="A14" s="386"/>
      <c r="B14" s="55" t="s">
        <v>52</v>
      </c>
      <c r="C14" s="55">
        <f>COUNTIF('Override Control Env2'!$I$25:$I$33,B14)</f>
        <v>0</v>
      </c>
    </row>
    <row r="15" spans="1:3" x14ac:dyDescent="0.3">
      <c r="A15" s="386"/>
      <c r="B15" s="55" t="s">
        <v>790</v>
      </c>
      <c r="C15" s="55">
        <f>COUNTIF('Override Control Env2'!$I$25:$I$33,0)</f>
        <v>9</v>
      </c>
    </row>
    <row r="16" spans="1:3" x14ac:dyDescent="0.3">
      <c r="A16" s="386" t="s">
        <v>796</v>
      </c>
      <c r="B16" s="55" t="s">
        <v>19</v>
      </c>
      <c r="C16" s="55" t="e">
        <f>COUNTIF('Override Control Env2'!#REF!,B16)</f>
        <v>#REF!</v>
      </c>
    </row>
    <row r="17" spans="1:3" x14ac:dyDescent="0.3">
      <c r="A17" s="386"/>
      <c r="B17" s="55" t="s">
        <v>30</v>
      </c>
      <c r="C17" s="55" t="e">
        <f>COUNTIF('Override Control Env2'!#REF!,B17)</f>
        <v>#REF!</v>
      </c>
    </row>
    <row r="18" spans="1:3" x14ac:dyDescent="0.3">
      <c r="A18" s="386"/>
      <c r="B18" s="55" t="s">
        <v>41</v>
      </c>
      <c r="C18" s="55" t="e">
        <f>COUNTIF('Override Control Env2'!#REF!,B18)</f>
        <v>#REF!</v>
      </c>
    </row>
    <row r="19" spans="1:3" x14ac:dyDescent="0.3">
      <c r="A19" s="386"/>
      <c r="B19" s="55" t="s">
        <v>52</v>
      </c>
      <c r="C19" s="55" t="e">
        <f>COUNTIF('Override Control Env2'!#REF!,B19)</f>
        <v>#REF!</v>
      </c>
    </row>
    <row r="20" spans="1:3" x14ac:dyDescent="0.3">
      <c r="A20" s="386"/>
      <c r="B20" s="55" t="s">
        <v>790</v>
      </c>
      <c r="C20" s="55" t="e">
        <f>COUNTIF('Override Control Env2'!#REF!,0)</f>
        <v>#REF!</v>
      </c>
    </row>
    <row r="21" spans="1:3" x14ac:dyDescent="0.3">
      <c r="A21" s="386" t="s">
        <v>797</v>
      </c>
      <c r="B21" s="55" t="s">
        <v>19</v>
      </c>
      <c r="C21" s="55">
        <f>COUNTIF('Override Control Env2'!$I$34:$I$56,B21)</f>
        <v>0</v>
      </c>
    </row>
    <row r="22" spans="1:3" x14ac:dyDescent="0.3">
      <c r="A22" s="386"/>
      <c r="B22" s="55" t="s">
        <v>30</v>
      </c>
      <c r="C22" s="55">
        <f>COUNTIF('Override Control Env2'!$I$34:$I$56,B22)</f>
        <v>0</v>
      </c>
    </row>
    <row r="23" spans="1:3" x14ac:dyDescent="0.3">
      <c r="A23" s="386"/>
      <c r="B23" s="55" t="s">
        <v>41</v>
      </c>
      <c r="C23" s="55">
        <f>COUNTIF('Override Control Env2'!$I$34:$I$56,B23)</f>
        <v>0</v>
      </c>
    </row>
    <row r="24" spans="1:3" x14ac:dyDescent="0.3">
      <c r="A24" s="386"/>
      <c r="B24" s="55" t="s">
        <v>52</v>
      </c>
      <c r="C24" s="55">
        <f>COUNTIF('Override Control Env2'!$I$34:$I$56,B24)</f>
        <v>0</v>
      </c>
    </row>
    <row r="25" spans="1:3" x14ac:dyDescent="0.3">
      <c r="A25" s="386"/>
      <c r="B25" s="55" t="s">
        <v>790</v>
      </c>
      <c r="C25" s="55">
        <f>COUNTIF('Override Control Env2'!$I$34:$I$56,B25)</f>
        <v>0</v>
      </c>
    </row>
    <row r="26" spans="1:3" x14ac:dyDescent="0.3">
      <c r="A26" s="386" t="s">
        <v>798</v>
      </c>
      <c r="B26" s="55" t="s">
        <v>19</v>
      </c>
      <c r="C26" s="55" t="e">
        <f>COUNTIF('Override Control Env2'!#REF!,B26)</f>
        <v>#REF!</v>
      </c>
    </row>
    <row r="27" spans="1:3" x14ac:dyDescent="0.3">
      <c r="A27" s="386"/>
      <c r="B27" s="55" t="s">
        <v>30</v>
      </c>
      <c r="C27" s="55" t="e">
        <f>COUNTIF('Override Control Env2'!#REF!,B27)</f>
        <v>#REF!</v>
      </c>
    </row>
    <row r="28" spans="1:3" x14ac:dyDescent="0.3">
      <c r="A28" s="386"/>
      <c r="B28" s="55" t="s">
        <v>41</v>
      </c>
      <c r="C28" s="55" t="e">
        <f>COUNTIF('Override Control Env2'!#REF!,B28)</f>
        <v>#REF!</v>
      </c>
    </row>
    <row r="29" spans="1:3" x14ac:dyDescent="0.3">
      <c r="A29" s="386"/>
      <c r="B29" s="55" t="s">
        <v>52</v>
      </c>
      <c r="C29" s="55" t="e">
        <f>COUNTIF('Override Control Env2'!#REF!,B29)</f>
        <v>#REF!</v>
      </c>
    </row>
    <row r="30" spans="1:3" x14ac:dyDescent="0.3">
      <c r="A30" s="386"/>
      <c r="B30" s="55" t="s">
        <v>790</v>
      </c>
      <c r="C30" s="55" t="e">
        <f>COUNTIF('Override Control Env2'!#REF!,0)</f>
        <v>#REF!</v>
      </c>
    </row>
    <row r="31" spans="1:3" x14ac:dyDescent="0.3">
      <c r="A31" s="387" t="s">
        <v>775</v>
      </c>
      <c r="B31" s="55" t="s">
        <v>19</v>
      </c>
      <c r="C31" s="55">
        <f>COUNTIF('Override Control Env2'!$I$59:$I$70,B31)</f>
        <v>0</v>
      </c>
    </row>
    <row r="32" spans="1:3" x14ac:dyDescent="0.3">
      <c r="A32" s="387"/>
      <c r="B32" s="55" t="s">
        <v>30</v>
      </c>
      <c r="C32" s="55">
        <f>COUNTIF('Override Control Env2'!$I$59:$I$70,B32)</f>
        <v>0</v>
      </c>
    </row>
    <row r="33" spans="1:3" x14ac:dyDescent="0.3">
      <c r="A33" s="387"/>
      <c r="B33" s="55" t="s">
        <v>41</v>
      </c>
      <c r="C33" s="55">
        <f>COUNTIF('Override Control Env2'!$I$59:$I$70,B33)</f>
        <v>0</v>
      </c>
    </row>
    <row r="34" spans="1:3" x14ac:dyDescent="0.3">
      <c r="A34" s="387"/>
      <c r="B34" s="55" t="s">
        <v>52</v>
      </c>
      <c r="C34" s="55">
        <f>COUNTIF('Override Control Env2'!$I$59:$I$70,B34)</f>
        <v>0</v>
      </c>
    </row>
    <row r="35" spans="1:3" x14ac:dyDescent="0.3">
      <c r="A35" s="387"/>
      <c r="B35" s="55" t="s">
        <v>790</v>
      </c>
      <c r="C35" s="55">
        <f>COUNTIF('Override Control Env2'!$I$59:$I$70,0)</f>
        <v>12</v>
      </c>
    </row>
    <row r="36" spans="1:3" x14ac:dyDescent="0.3">
      <c r="A36" s="386" t="s">
        <v>777</v>
      </c>
      <c r="B36" s="55" t="s">
        <v>19</v>
      </c>
      <c r="C36" s="55">
        <f>COUNTIF('Override Control Env2'!$I$71:$I$81,B36)</f>
        <v>0</v>
      </c>
    </row>
    <row r="37" spans="1:3" x14ac:dyDescent="0.3">
      <c r="A37" s="386"/>
      <c r="B37" s="55" t="s">
        <v>30</v>
      </c>
      <c r="C37" s="55">
        <f>COUNTIF('Override Control Env2'!$I$71:$I$81,B37)</f>
        <v>0</v>
      </c>
    </row>
    <row r="38" spans="1:3" x14ac:dyDescent="0.3">
      <c r="A38" s="386"/>
      <c r="B38" s="55" t="s">
        <v>41</v>
      </c>
      <c r="C38" s="55">
        <f>COUNTIF('Override Control Env2'!$I$71:$I$81,B38)</f>
        <v>0</v>
      </c>
    </row>
    <row r="39" spans="1:3" x14ac:dyDescent="0.3">
      <c r="A39" s="386"/>
      <c r="B39" s="55" t="s">
        <v>52</v>
      </c>
      <c r="C39" s="55">
        <f>COUNTIF('Override Control Env2'!$I$71:$I$81,B39)</f>
        <v>0</v>
      </c>
    </row>
    <row r="40" spans="1:3" x14ac:dyDescent="0.3">
      <c r="A40" s="386"/>
      <c r="B40" s="55" t="s">
        <v>790</v>
      </c>
      <c r="C40" s="55">
        <f>COUNTIF('Override Control Env2'!$I$71:$I$81,0)</f>
        <v>11</v>
      </c>
    </row>
    <row r="41" spans="1:3" x14ac:dyDescent="0.3">
      <c r="A41" s="386" t="s">
        <v>590</v>
      </c>
      <c r="B41" s="55" t="s">
        <v>19</v>
      </c>
      <c r="C41" s="55">
        <f>COUNTIF('Override Control Env2'!$I$82:$I$91,B41)</f>
        <v>0</v>
      </c>
    </row>
    <row r="42" spans="1:3" x14ac:dyDescent="0.3">
      <c r="A42" s="386"/>
      <c r="B42" s="55" t="s">
        <v>30</v>
      </c>
      <c r="C42" s="55">
        <f>COUNTIF('Override Control Env2'!$I$82:$I$91,B42)</f>
        <v>0</v>
      </c>
    </row>
    <row r="43" spans="1:3" x14ac:dyDescent="0.3">
      <c r="A43" s="386"/>
      <c r="B43" s="55" t="s">
        <v>41</v>
      </c>
      <c r="C43" s="55">
        <f>COUNTIF('Override Control Env2'!$I$82:$I$91,B43)</f>
        <v>0</v>
      </c>
    </row>
    <row r="44" spans="1:3" x14ac:dyDescent="0.3">
      <c r="A44" s="386"/>
      <c r="B44" s="55" t="s">
        <v>52</v>
      </c>
      <c r="C44" s="55">
        <f>COUNTIF('Override Control Env2'!$I$82:$I$91,B44)</f>
        <v>0</v>
      </c>
    </row>
    <row r="45" spans="1:3" x14ac:dyDescent="0.3">
      <c r="A45" s="386"/>
      <c r="B45" s="55" t="s">
        <v>790</v>
      </c>
      <c r="C45" s="55">
        <f>COUNTIF('Override Control Env2'!$I$82:$I$91,0)</f>
        <v>10</v>
      </c>
    </row>
    <row r="46" spans="1:3" x14ac:dyDescent="0.3">
      <c r="A46" s="386" t="s">
        <v>799</v>
      </c>
      <c r="B46" s="55" t="s">
        <v>19</v>
      </c>
      <c r="C46" s="55" t="e">
        <f>COUNTIF('Override Control Env2'!#REF!,B46)</f>
        <v>#REF!</v>
      </c>
    </row>
    <row r="47" spans="1:3" x14ac:dyDescent="0.3">
      <c r="A47" s="386"/>
      <c r="B47" s="55" t="s">
        <v>30</v>
      </c>
      <c r="C47" s="55" t="e">
        <f>COUNTIF('Override Control Env2'!#REF!,B47)</f>
        <v>#REF!</v>
      </c>
    </row>
    <row r="48" spans="1:3" x14ac:dyDescent="0.3">
      <c r="A48" s="386"/>
      <c r="B48" s="55" t="s">
        <v>41</v>
      </c>
      <c r="C48" s="55" t="e">
        <f>COUNTIF('Override Control Env2'!#REF!,B48)</f>
        <v>#REF!</v>
      </c>
    </row>
    <row r="49" spans="1:3" x14ac:dyDescent="0.3">
      <c r="A49" s="386"/>
      <c r="B49" s="55" t="s">
        <v>52</v>
      </c>
      <c r="C49" s="55" t="e">
        <f>COUNTIF('Override Control Env2'!#REF!,B49)</f>
        <v>#REF!</v>
      </c>
    </row>
    <row r="50" spans="1:3" x14ac:dyDescent="0.3">
      <c r="A50" s="386"/>
      <c r="B50" s="55" t="s">
        <v>790</v>
      </c>
      <c r="C50" s="55" t="e">
        <f>COUNTIF('Override Control Env2'!#REF!,0)</f>
        <v>#REF!</v>
      </c>
    </row>
    <row r="51" spans="1:3" x14ac:dyDescent="0.3">
      <c r="A51" s="386" t="s">
        <v>800</v>
      </c>
      <c r="B51" s="55" t="s">
        <v>19</v>
      </c>
      <c r="C51" s="55" t="e">
        <f>COUNTIF('Override Control Env2'!#REF!,B51)</f>
        <v>#REF!</v>
      </c>
    </row>
    <row r="52" spans="1:3" x14ac:dyDescent="0.3">
      <c r="A52" s="386"/>
      <c r="B52" s="55" t="s">
        <v>30</v>
      </c>
      <c r="C52" s="55" t="e">
        <f>COUNTIF('Override Control Env2'!#REF!,B52)</f>
        <v>#REF!</v>
      </c>
    </row>
    <row r="53" spans="1:3" x14ac:dyDescent="0.3">
      <c r="A53" s="386"/>
      <c r="B53" s="55" t="s">
        <v>41</v>
      </c>
      <c r="C53" s="55" t="e">
        <f>COUNTIF('Override Control Env2'!#REF!,B53)</f>
        <v>#REF!</v>
      </c>
    </row>
    <row r="54" spans="1:3" x14ac:dyDescent="0.3">
      <c r="A54" s="386"/>
      <c r="B54" s="55" t="s">
        <v>52</v>
      </c>
      <c r="C54" s="55" t="e">
        <f>COUNTIF('Override Control Env2'!#REF!,B54)</f>
        <v>#REF!</v>
      </c>
    </row>
    <row r="55" spans="1:3" x14ac:dyDescent="0.3">
      <c r="A55" s="386"/>
      <c r="B55" s="55" t="s">
        <v>790</v>
      </c>
      <c r="C55" s="55" t="e">
        <f>COUNTIF('Override Control Env2'!#REF!,0)</f>
        <v>#REF!</v>
      </c>
    </row>
    <row r="56" spans="1:3" x14ac:dyDescent="0.3">
      <c r="A56" s="386" t="s">
        <v>801</v>
      </c>
      <c r="B56" s="55" t="s">
        <v>19</v>
      </c>
      <c r="C56" s="55" t="e">
        <f>COUNTIF('Override Control Env2'!#REF!,B56)</f>
        <v>#REF!</v>
      </c>
    </row>
    <row r="57" spans="1:3" x14ac:dyDescent="0.3">
      <c r="A57" s="386"/>
      <c r="B57" s="55" t="s">
        <v>30</v>
      </c>
      <c r="C57" s="55" t="e">
        <f>COUNTIF('Override Control Env2'!#REF!,B57)</f>
        <v>#REF!</v>
      </c>
    </row>
    <row r="58" spans="1:3" x14ac:dyDescent="0.3">
      <c r="A58" s="386"/>
      <c r="B58" s="55" t="s">
        <v>41</v>
      </c>
      <c r="C58" s="55" t="e">
        <f>COUNTIF('Override Control Env2'!#REF!,B58)</f>
        <v>#REF!</v>
      </c>
    </row>
    <row r="59" spans="1:3" x14ac:dyDescent="0.3">
      <c r="A59" s="386"/>
      <c r="B59" s="55" t="s">
        <v>52</v>
      </c>
      <c r="C59" s="55" t="e">
        <f>COUNTIF('Override Control Env2'!#REF!,B59)</f>
        <v>#REF!</v>
      </c>
    </row>
    <row r="60" spans="1:3" x14ac:dyDescent="0.3">
      <c r="A60" s="386"/>
      <c r="B60" s="55" t="s">
        <v>790</v>
      </c>
      <c r="C60" s="55" t="e">
        <f>COUNTIF('Override Control Env2'!#REF!,0)</f>
        <v>#REF!</v>
      </c>
    </row>
    <row r="61" spans="1:3" x14ac:dyDescent="0.3">
      <c r="A61" s="386" t="s">
        <v>621</v>
      </c>
      <c r="B61" s="55" t="s">
        <v>19</v>
      </c>
      <c r="C61" s="55">
        <f>COUNTIF('Override Control Env2'!$I$92:$I$102,B61)</f>
        <v>0</v>
      </c>
    </row>
    <row r="62" spans="1:3" x14ac:dyDescent="0.3">
      <c r="A62" s="386"/>
      <c r="B62" s="55" t="s">
        <v>30</v>
      </c>
      <c r="C62" s="55">
        <f>COUNTIF('Override Control Env2'!$I$92:$I$102,B62)</f>
        <v>0</v>
      </c>
    </row>
    <row r="63" spans="1:3" x14ac:dyDescent="0.3">
      <c r="A63" s="386"/>
      <c r="B63" s="55" t="s">
        <v>41</v>
      </c>
      <c r="C63" s="55">
        <f>COUNTIF('Override Control Env2'!$I$92:$I$102,B63)</f>
        <v>0</v>
      </c>
    </row>
    <row r="64" spans="1:3" x14ac:dyDescent="0.3">
      <c r="A64" s="386"/>
      <c r="B64" s="55" t="s">
        <v>52</v>
      </c>
      <c r="C64" s="55">
        <f>COUNTIF('Override Control Env2'!$I$92:$I$102,B64)</f>
        <v>0</v>
      </c>
    </row>
    <row r="65" spans="1:3" x14ac:dyDescent="0.3">
      <c r="A65" s="386"/>
      <c r="B65" s="55" t="s">
        <v>790</v>
      </c>
      <c r="C65" s="55">
        <f>COUNTIF('Override Control Env2'!$I$92:$I$102,0)</f>
        <v>11</v>
      </c>
    </row>
    <row r="66" spans="1:3" x14ac:dyDescent="0.3">
      <c r="A66" s="386" t="s">
        <v>802</v>
      </c>
      <c r="B66" s="55" t="s">
        <v>19</v>
      </c>
      <c r="C66" s="55" t="e">
        <f>COUNTIF('Override Control Env2'!#REF!,B66)</f>
        <v>#REF!</v>
      </c>
    </row>
    <row r="67" spans="1:3" x14ac:dyDescent="0.3">
      <c r="A67" s="386"/>
      <c r="B67" s="55" t="s">
        <v>30</v>
      </c>
      <c r="C67" s="55" t="e">
        <f>COUNTIF('Override Control Env2'!#REF!,B67)</f>
        <v>#REF!</v>
      </c>
    </row>
    <row r="68" spans="1:3" x14ac:dyDescent="0.3">
      <c r="A68" s="386"/>
      <c r="B68" s="55" t="s">
        <v>41</v>
      </c>
      <c r="C68" s="55" t="e">
        <f>COUNTIF('Override Control Env2'!#REF!,B68)</f>
        <v>#REF!</v>
      </c>
    </row>
    <row r="69" spans="1:3" x14ac:dyDescent="0.3">
      <c r="A69" s="386"/>
      <c r="B69" s="55" t="s">
        <v>52</v>
      </c>
      <c r="C69" s="55" t="e">
        <f>COUNTIF('Override Control Env2'!#REF!,B69)</f>
        <v>#REF!</v>
      </c>
    </row>
    <row r="70" spans="1:3" x14ac:dyDescent="0.3">
      <c r="A70" s="386"/>
      <c r="B70" s="55" t="s">
        <v>790</v>
      </c>
      <c r="C70" s="55" t="e">
        <f>COUNTIF('Override Control Env2'!#REF!,0)</f>
        <v>#REF!</v>
      </c>
    </row>
    <row r="71" spans="1:3" x14ac:dyDescent="0.3">
      <c r="A71" s="386" t="s">
        <v>778</v>
      </c>
      <c r="B71" s="55" t="s">
        <v>19</v>
      </c>
      <c r="C71" s="55">
        <f>COUNTIF('Override Control Env2'!$I$103:$I$111,B71)</f>
        <v>0</v>
      </c>
    </row>
    <row r="72" spans="1:3" x14ac:dyDescent="0.3">
      <c r="A72" s="386"/>
      <c r="B72" s="55" t="s">
        <v>30</v>
      </c>
      <c r="C72" s="55">
        <f>COUNTIF('Override Control Env2'!$I$103:$I$111,B72)</f>
        <v>0</v>
      </c>
    </row>
    <row r="73" spans="1:3" x14ac:dyDescent="0.3">
      <c r="A73" s="386"/>
      <c r="B73" s="55" t="s">
        <v>41</v>
      </c>
      <c r="C73" s="55">
        <f>COUNTIF('Override Control Env2'!$I$103:$I$111,B73)</f>
        <v>0</v>
      </c>
    </row>
    <row r="74" spans="1:3" x14ac:dyDescent="0.3">
      <c r="A74" s="386"/>
      <c r="B74" s="55" t="s">
        <v>52</v>
      </c>
      <c r="C74" s="55">
        <f>COUNTIF('Override Control Env2'!$I$103:$I$111,B74)</f>
        <v>0</v>
      </c>
    </row>
    <row r="75" spans="1:3" x14ac:dyDescent="0.3">
      <c r="A75" s="386"/>
      <c r="B75" s="55" t="s">
        <v>790</v>
      </c>
      <c r="C75" s="55">
        <f>COUNTIF('Override Control Env2'!$I$103:$I$111,B75)</f>
        <v>0</v>
      </c>
    </row>
    <row r="76" spans="1:3" x14ac:dyDescent="0.3">
      <c r="A76" s="386" t="s">
        <v>779</v>
      </c>
      <c r="B76" s="55" t="s">
        <v>19</v>
      </c>
      <c r="C76" s="55">
        <f>COUNTIF('Override Control Env2'!$I$112:$I$124,B76)</f>
        <v>0</v>
      </c>
    </row>
    <row r="77" spans="1:3" x14ac:dyDescent="0.3">
      <c r="A77" s="386"/>
      <c r="B77" s="55" t="s">
        <v>30</v>
      </c>
      <c r="C77" s="55">
        <f>COUNTIF('Override Control Env2'!$I$112:$I$124,B77)</f>
        <v>0</v>
      </c>
    </row>
    <row r="78" spans="1:3" x14ac:dyDescent="0.3">
      <c r="A78" s="386"/>
      <c r="B78" s="55" t="s">
        <v>41</v>
      </c>
      <c r="C78" s="55">
        <f>COUNTIF('Override Control Env2'!$I$112:$I$124,B78)</f>
        <v>0</v>
      </c>
    </row>
    <row r="79" spans="1:3" x14ac:dyDescent="0.3">
      <c r="A79" s="386"/>
      <c r="B79" s="55" t="s">
        <v>52</v>
      </c>
      <c r="C79" s="55">
        <f>COUNTIF('Override Control Env2'!$I$112:$I$124,B79)</f>
        <v>0</v>
      </c>
    </row>
    <row r="80" spans="1:3" x14ac:dyDescent="0.3">
      <c r="A80" s="386"/>
      <c r="B80" s="55" t="s">
        <v>790</v>
      </c>
      <c r="C80" s="55">
        <f>COUNTIF('Override Control Env2'!$I$112:$I$124,0)</f>
        <v>13</v>
      </c>
    </row>
    <row r="81" spans="1:3" x14ac:dyDescent="0.3">
      <c r="A81" s="386" t="s">
        <v>783</v>
      </c>
      <c r="B81" s="55" t="s">
        <v>19</v>
      </c>
      <c r="C81" s="55">
        <f>COUNTIF('Override Control Env2'!$I$125:$I$128,B81)</f>
        <v>0</v>
      </c>
    </row>
    <row r="82" spans="1:3" x14ac:dyDescent="0.3">
      <c r="A82" s="386"/>
      <c r="B82" s="55" t="s">
        <v>30</v>
      </c>
      <c r="C82" s="55">
        <f>COUNTIF('Override Control Env2'!$I$125:$I$128,B82)</f>
        <v>0</v>
      </c>
    </row>
    <row r="83" spans="1:3" x14ac:dyDescent="0.3">
      <c r="A83" s="386"/>
      <c r="B83" s="55" t="s">
        <v>41</v>
      </c>
      <c r="C83" s="55">
        <f>COUNTIF('Override Control Env2'!$I$125:$I$128,B83)</f>
        <v>0</v>
      </c>
    </row>
    <row r="84" spans="1:3" x14ac:dyDescent="0.3">
      <c r="A84" s="386"/>
      <c r="B84" s="55" t="s">
        <v>52</v>
      </c>
      <c r="C84" s="55">
        <f>COUNTIF('Override Control Env2'!$I$125:$I$128,B84)</f>
        <v>0</v>
      </c>
    </row>
    <row r="85" spans="1:3" x14ac:dyDescent="0.3">
      <c r="A85" s="386"/>
      <c r="B85" s="55" t="s">
        <v>790</v>
      </c>
      <c r="C85" s="55">
        <f>COUNTIF('Override Control Env2'!$I$125:$I$128,0)</f>
        <v>4</v>
      </c>
    </row>
  </sheetData>
  <mergeCells count="17">
    <mergeCell ref="A56:A60"/>
    <mergeCell ref="A1:A5"/>
    <mergeCell ref="A6:A10"/>
    <mergeCell ref="A11:A15"/>
    <mergeCell ref="A16:A20"/>
    <mergeCell ref="A21:A25"/>
    <mergeCell ref="A26:A30"/>
    <mergeCell ref="A31:A35"/>
    <mergeCell ref="A36:A40"/>
    <mergeCell ref="A41:A45"/>
    <mergeCell ref="A46:A50"/>
    <mergeCell ref="A51:A55"/>
    <mergeCell ref="A61:A65"/>
    <mergeCell ref="A66:A70"/>
    <mergeCell ref="A71:A75"/>
    <mergeCell ref="A76:A80"/>
    <mergeCell ref="A81:A8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85"/>
  <sheetViews>
    <sheetView showGridLines="0" topLeftCell="A61" workbookViewId="0">
      <selection activeCell="C84" sqref="C84"/>
    </sheetView>
  </sheetViews>
  <sheetFormatPr defaultColWidth="9" defaultRowHeight="14.4" x14ac:dyDescent="0.3"/>
  <cols>
    <col min="1" max="1" width="22.44140625" bestFit="1" customWidth="1"/>
  </cols>
  <sheetData>
    <row r="1" spans="1:3" x14ac:dyDescent="0.3">
      <c r="A1" s="386" t="s">
        <v>773</v>
      </c>
      <c r="B1" s="55" t="s">
        <v>19</v>
      </c>
      <c r="C1" s="55">
        <f>COUNTIF('Override Control Env3'!$I$9:$I$19,B1)</f>
        <v>0</v>
      </c>
    </row>
    <row r="2" spans="1:3" x14ac:dyDescent="0.3">
      <c r="A2" s="386"/>
      <c r="B2" s="55" t="s">
        <v>30</v>
      </c>
      <c r="C2" s="55">
        <f>COUNTIF('Override Control Env3'!$I$9:$I$19,B2)</f>
        <v>0</v>
      </c>
    </row>
    <row r="3" spans="1:3" x14ac:dyDescent="0.3">
      <c r="A3" s="386"/>
      <c r="B3" s="55" t="s">
        <v>41</v>
      </c>
      <c r="C3" s="55">
        <f>COUNTIF('Override Control Env3'!$I$9:$I$19,B3)</f>
        <v>0</v>
      </c>
    </row>
    <row r="4" spans="1:3" x14ac:dyDescent="0.3">
      <c r="A4" s="386"/>
      <c r="B4" s="55" t="s">
        <v>52</v>
      </c>
      <c r="C4" s="55">
        <f>COUNTIF('Override Control Env3'!$I$9:$I$19,B4)</f>
        <v>0</v>
      </c>
    </row>
    <row r="5" spans="1:3" x14ac:dyDescent="0.3">
      <c r="A5" s="386"/>
      <c r="B5" s="55" t="s">
        <v>790</v>
      </c>
      <c r="C5" s="55">
        <f>COUNTIF('Override Control Env3'!$I$9:$I$19,0)</f>
        <v>11</v>
      </c>
    </row>
    <row r="6" spans="1:3" x14ac:dyDescent="0.3">
      <c r="A6" s="386" t="s">
        <v>391</v>
      </c>
      <c r="B6" s="55" t="s">
        <v>19</v>
      </c>
      <c r="C6" s="55">
        <f>COUNTIF('Override Control Env3'!$I$20:$I$24,B6)</f>
        <v>0</v>
      </c>
    </row>
    <row r="7" spans="1:3" x14ac:dyDescent="0.3">
      <c r="A7" s="386"/>
      <c r="B7" s="55" t="s">
        <v>30</v>
      </c>
      <c r="C7" s="55">
        <f>COUNTIF('Override Control Env3'!$I$20:$I$24,B7)</f>
        <v>0</v>
      </c>
    </row>
    <row r="8" spans="1:3" x14ac:dyDescent="0.3">
      <c r="A8" s="386"/>
      <c r="B8" s="55" t="s">
        <v>41</v>
      </c>
      <c r="C8" s="55">
        <f>COUNTIF('Override Control Env3'!$I$20:$I$24,B8)</f>
        <v>0</v>
      </c>
    </row>
    <row r="9" spans="1:3" x14ac:dyDescent="0.3">
      <c r="A9" s="386"/>
      <c r="B9" s="55" t="s">
        <v>52</v>
      </c>
      <c r="C9" s="55">
        <f>COUNTIF('Override Control Env3'!$I$20:$I$24,B9)</f>
        <v>0</v>
      </c>
    </row>
    <row r="10" spans="1:3" x14ac:dyDescent="0.3">
      <c r="A10" s="386"/>
      <c r="B10" s="55" t="s">
        <v>790</v>
      </c>
      <c r="C10" s="55">
        <f>COUNTIF('Override Control Env3'!$I$20:$I$24,0)</f>
        <v>5</v>
      </c>
    </row>
    <row r="11" spans="1:3" x14ac:dyDescent="0.3">
      <c r="A11" s="386" t="s">
        <v>412</v>
      </c>
      <c r="B11" s="55" t="s">
        <v>19</v>
      </c>
      <c r="C11" s="55">
        <f>COUNTIF('Override Control Env3'!$I$25:$I$33,B11)</f>
        <v>0</v>
      </c>
    </row>
    <row r="12" spans="1:3" x14ac:dyDescent="0.3">
      <c r="A12" s="386"/>
      <c r="B12" s="55" t="s">
        <v>30</v>
      </c>
      <c r="C12" s="55">
        <f>COUNTIF('Override Control Env3'!$I$25:$I$33,B12)</f>
        <v>0</v>
      </c>
    </row>
    <row r="13" spans="1:3" x14ac:dyDescent="0.3">
      <c r="A13" s="386"/>
      <c r="B13" s="55" t="s">
        <v>41</v>
      </c>
      <c r="C13" s="55">
        <f>COUNTIF('Override Control Env3'!$I$25:$I$33,B13)</f>
        <v>0</v>
      </c>
    </row>
    <row r="14" spans="1:3" x14ac:dyDescent="0.3">
      <c r="A14" s="386"/>
      <c r="B14" s="55" t="s">
        <v>52</v>
      </c>
      <c r="C14" s="55">
        <f>COUNTIF('Override Control Env3'!$I$25:$I$33,B14)</f>
        <v>0</v>
      </c>
    </row>
    <row r="15" spans="1:3" x14ac:dyDescent="0.3">
      <c r="A15" s="386"/>
      <c r="B15" s="55" t="s">
        <v>790</v>
      </c>
      <c r="C15" s="55">
        <f>COUNTIF('Override Control Env3'!$I$25:$I$33,0)</f>
        <v>9</v>
      </c>
    </row>
    <row r="16" spans="1:3" x14ac:dyDescent="0.3">
      <c r="A16" s="386" t="s">
        <v>796</v>
      </c>
      <c r="B16" s="55" t="s">
        <v>19</v>
      </c>
      <c r="C16" s="55" t="e">
        <f>COUNTIF('Override Control Env3'!#REF!,B16)</f>
        <v>#REF!</v>
      </c>
    </row>
    <row r="17" spans="1:3" x14ac:dyDescent="0.3">
      <c r="A17" s="386"/>
      <c r="B17" s="55" t="s">
        <v>30</v>
      </c>
      <c r="C17" s="55" t="e">
        <f>COUNTIF('Override Control Env3'!#REF!,B17)</f>
        <v>#REF!</v>
      </c>
    </row>
    <row r="18" spans="1:3" x14ac:dyDescent="0.3">
      <c r="A18" s="386"/>
      <c r="B18" s="55" t="s">
        <v>41</v>
      </c>
      <c r="C18" s="55" t="e">
        <f>COUNTIF('Override Control Env3'!#REF!,B18)</f>
        <v>#REF!</v>
      </c>
    </row>
    <row r="19" spans="1:3" x14ac:dyDescent="0.3">
      <c r="A19" s="386"/>
      <c r="B19" s="55" t="s">
        <v>52</v>
      </c>
      <c r="C19" s="55" t="e">
        <f>COUNTIF('Override Control Env3'!#REF!,B19)</f>
        <v>#REF!</v>
      </c>
    </row>
    <row r="20" spans="1:3" x14ac:dyDescent="0.3">
      <c r="A20" s="386"/>
      <c r="B20" s="55" t="s">
        <v>790</v>
      </c>
      <c r="C20" s="55" t="e">
        <f>COUNTIF('Override Control Env3'!#REF!,0)</f>
        <v>#REF!</v>
      </c>
    </row>
    <row r="21" spans="1:3" x14ac:dyDescent="0.3">
      <c r="A21" s="386" t="s">
        <v>797</v>
      </c>
      <c r="B21" s="55" t="s">
        <v>19</v>
      </c>
      <c r="C21" s="55">
        <f>COUNTIF('Override Control Env3'!$I$34:$I$56,B21)</f>
        <v>0</v>
      </c>
    </row>
    <row r="22" spans="1:3" x14ac:dyDescent="0.3">
      <c r="A22" s="386"/>
      <c r="B22" s="55" t="s">
        <v>30</v>
      </c>
      <c r="C22" s="55">
        <f>COUNTIF('Override Control Env3'!$I$34:$I$56,B22)</f>
        <v>0</v>
      </c>
    </row>
    <row r="23" spans="1:3" x14ac:dyDescent="0.3">
      <c r="A23" s="386"/>
      <c r="B23" s="55" t="s">
        <v>41</v>
      </c>
      <c r="C23" s="55">
        <f>COUNTIF('Override Control Env3'!$I$34:$I$56,B23)</f>
        <v>0</v>
      </c>
    </row>
    <row r="24" spans="1:3" x14ac:dyDescent="0.3">
      <c r="A24" s="386"/>
      <c r="B24" s="55" t="s">
        <v>52</v>
      </c>
      <c r="C24" s="55">
        <f>COUNTIF('Override Control Env3'!$I$34:$I$56,B24)</f>
        <v>0</v>
      </c>
    </row>
    <row r="25" spans="1:3" x14ac:dyDescent="0.3">
      <c r="A25" s="386"/>
      <c r="B25" s="55" t="s">
        <v>790</v>
      </c>
      <c r="C25" s="55">
        <f>COUNTIF('Override Control Env3'!$I$34:$I$56,B25)</f>
        <v>0</v>
      </c>
    </row>
    <row r="26" spans="1:3" x14ac:dyDescent="0.3">
      <c r="A26" s="386" t="s">
        <v>798</v>
      </c>
      <c r="B26" s="55" t="s">
        <v>19</v>
      </c>
      <c r="C26" s="55" t="e">
        <f>COUNTIF('Override Control Env3'!#REF!,B26)</f>
        <v>#REF!</v>
      </c>
    </row>
    <row r="27" spans="1:3" x14ac:dyDescent="0.3">
      <c r="A27" s="386"/>
      <c r="B27" s="55" t="s">
        <v>30</v>
      </c>
      <c r="C27" s="55" t="e">
        <f>COUNTIF('Override Control Env3'!#REF!,B27)</f>
        <v>#REF!</v>
      </c>
    </row>
    <row r="28" spans="1:3" x14ac:dyDescent="0.3">
      <c r="A28" s="386"/>
      <c r="B28" s="55" t="s">
        <v>41</v>
      </c>
      <c r="C28" s="55" t="e">
        <f>COUNTIF('Override Control Env3'!#REF!,B28)</f>
        <v>#REF!</v>
      </c>
    </row>
    <row r="29" spans="1:3" x14ac:dyDescent="0.3">
      <c r="A29" s="386"/>
      <c r="B29" s="55" t="s">
        <v>52</v>
      </c>
      <c r="C29" s="55" t="e">
        <f>COUNTIF('Override Control Env3'!#REF!,B29)</f>
        <v>#REF!</v>
      </c>
    </row>
    <row r="30" spans="1:3" x14ac:dyDescent="0.3">
      <c r="A30" s="386"/>
      <c r="B30" s="55" t="s">
        <v>790</v>
      </c>
      <c r="C30" s="55" t="e">
        <f>COUNTIF('Override Control Env3'!#REF!,0)</f>
        <v>#REF!</v>
      </c>
    </row>
    <row r="31" spans="1:3" x14ac:dyDescent="0.3">
      <c r="A31" s="387" t="s">
        <v>775</v>
      </c>
      <c r="B31" s="55" t="s">
        <v>19</v>
      </c>
      <c r="C31" s="55">
        <f>COUNTIF('Override Control Env3'!$I$59:$I$70,B31)</f>
        <v>0</v>
      </c>
    </row>
    <row r="32" spans="1:3" x14ac:dyDescent="0.3">
      <c r="A32" s="387"/>
      <c r="B32" s="55" t="s">
        <v>30</v>
      </c>
      <c r="C32" s="55">
        <f>COUNTIF('Override Control Env3'!$I$59:$I$70,B32)</f>
        <v>0</v>
      </c>
    </row>
    <row r="33" spans="1:3" x14ac:dyDescent="0.3">
      <c r="A33" s="387"/>
      <c r="B33" s="55" t="s">
        <v>41</v>
      </c>
      <c r="C33" s="55">
        <f>COUNTIF('Override Control Env3'!$I$59:$I$70,B33)</f>
        <v>0</v>
      </c>
    </row>
    <row r="34" spans="1:3" x14ac:dyDescent="0.3">
      <c r="A34" s="387"/>
      <c r="B34" s="55" t="s">
        <v>52</v>
      </c>
      <c r="C34" s="55">
        <f>COUNTIF('Override Control Env3'!$I$59:$I$70,B34)</f>
        <v>0</v>
      </c>
    </row>
    <row r="35" spans="1:3" x14ac:dyDescent="0.3">
      <c r="A35" s="387"/>
      <c r="B35" s="55" t="s">
        <v>790</v>
      </c>
      <c r="C35" s="55">
        <f>COUNTIF('Override Control Env3'!$I$59:$I$70,0)</f>
        <v>12</v>
      </c>
    </row>
    <row r="36" spans="1:3" x14ac:dyDescent="0.3">
      <c r="A36" s="386" t="s">
        <v>777</v>
      </c>
      <c r="B36" s="55" t="s">
        <v>19</v>
      </c>
      <c r="C36" s="55">
        <f>COUNTIF('Override Control Env3'!$I$71:$I$81,B36)</f>
        <v>0</v>
      </c>
    </row>
    <row r="37" spans="1:3" x14ac:dyDescent="0.3">
      <c r="A37" s="386"/>
      <c r="B37" s="55" t="s">
        <v>30</v>
      </c>
      <c r="C37" s="55">
        <f>COUNTIF('Override Control Env3'!$I$71:$I$81,B37)</f>
        <v>0</v>
      </c>
    </row>
    <row r="38" spans="1:3" x14ac:dyDescent="0.3">
      <c r="A38" s="386"/>
      <c r="B38" s="55" t="s">
        <v>41</v>
      </c>
      <c r="C38" s="55">
        <f>COUNTIF('Override Control Env3'!$I$71:$I$81,B38)</f>
        <v>0</v>
      </c>
    </row>
    <row r="39" spans="1:3" x14ac:dyDescent="0.3">
      <c r="A39" s="386"/>
      <c r="B39" s="55" t="s">
        <v>52</v>
      </c>
      <c r="C39" s="55">
        <f>COUNTIF('Override Control Env3'!$I$71:$I$81,B39)</f>
        <v>0</v>
      </c>
    </row>
    <row r="40" spans="1:3" x14ac:dyDescent="0.3">
      <c r="A40" s="386"/>
      <c r="B40" s="55" t="s">
        <v>790</v>
      </c>
      <c r="C40" s="55">
        <f>COUNTIF('Override Control Env3'!$I$71:$I$81,0)</f>
        <v>11</v>
      </c>
    </row>
    <row r="41" spans="1:3" x14ac:dyDescent="0.3">
      <c r="A41" s="386" t="s">
        <v>590</v>
      </c>
      <c r="B41" s="55" t="s">
        <v>19</v>
      </c>
      <c r="C41" s="55">
        <f>COUNTIF('Override Control Env3'!$I$82:$I$91,B41)</f>
        <v>0</v>
      </c>
    </row>
    <row r="42" spans="1:3" x14ac:dyDescent="0.3">
      <c r="A42" s="386"/>
      <c r="B42" s="55" t="s">
        <v>30</v>
      </c>
      <c r="C42" s="55">
        <f>COUNTIF('Override Control Env3'!$I$82:$I$91,B42)</f>
        <v>0</v>
      </c>
    </row>
    <row r="43" spans="1:3" x14ac:dyDescent="0.3">
      <c r="A43" s="386"/>
      <c r="B43" s="55" t="s">
        <v>41</v>
      </c>
      <c r="C43" s="55">
        <f>COUNTIF('Override Control Env3'!$I$82:$I$91,B43)</f>
        <v>0</v>
      </c>
    </row>
    <row r="44" spans="1:3" x14ac:dyDescent="0.3">
      <c r="A44" s="386"/>
      <c r="B44" s="55" t="s">
        <v>52</v>
      </c>
      <c r="C44" s="55">
        <f>COUNTIF('Override Control Env3'!$I$82:$I$91,B44)</f>
        <v>0</v>
      </c>
    </row>
    <row r="45" spans="1:3" x14ac:dyDescent="0.3">
      <c r="A45" s="386"/>
      <c r="B45" s="55" t="s">
        <v>790</v>
      </c>
      <c r="C45" s="55">
        <f>COUNTIF('Override Control Env3'!$I$82:$I$91,0)</f>
        <v>10</v>
      </c>
    </row>
    <row r="46" spans="1:3" x14ac:dyDescent="0.3">
      <c r="A46" s="386" t="s">
        <v>799</v>
      </c>
      <c r="B46" s="55" t="s">
        <v>19</v>
      </c>
      <c r="C46" s="55" t="e">
        <f>COUNTIF('Override Control Env3'!#REF!,B46)</f>
        <v>#REF!</v>
      </c>
    </row>
    <row r="47" spans="1:3" x14ac:dyDescent="0.3">
      <c r="A47" s="386"/>
      <c r="B47" s="55" t="s">
        <v>30</v>
      </c>
      <c r="C47" s="55" t="e">
        <f>COUNTIF('Override Control Env3'!#REF!,B47)</f>
        <v>#REF!</v>
      </c>
    </row>
    <row r="48" spans="1:3" x14ac:dyDescent="0.3">
      <c r="A48" s="386"/>
      <c r="B48" s="55" t="s">
        <v>41</v>
      </c>
      <c r="C48" s="55" t="e">
        <f>COUNTIF('Override Control Env3'!#REF!,B48)</f>
        <v>#REF!</v>
      </c>
    </row>
    <row r="49" spans="1:3" x14ac:dyDescent="0.3">
      <c r="A49" s="386"/>
      <c r="B49" s="55" t="s">
        <v>52</v>
      </c>
      <c r="C49" s="55" t="e">
        <f>COUNTIF('Override Control Env3'!#REF!,B49)</f>
        <v>#REF!</v>
      </c>
    </row>
    <row r="50" spans="1:3" x14ac:dyDescent="0.3">
      <c r="A50" s="386"/>
      <c r="B50" s="55" t="s">
        <v>790</v>
      </c>
      <c r="C50" s="55" t="e">
        <f>COUNTIF('Override Control Env3'!#REF!,0)</f>
        <v>#REF!</v>
      </c>
    </row>
    <row r="51" spans="1:3" x14ac:dyDescent="0.3">
      <c r="A51" s="386" t="s">
        <v>800</v>
      </c>
      <c r="B51" s="55" t="s">
        <v>19</v>
      </c>
      <c r="C51" s="55" t="e">
        <f>COUNTIF('Override Control Env3'!#REF!,B51)</f>
        <v>#REF!</v>
      </c>
    </row>
    <row r="52" spans="1:3" x14ac:dyDescent="0.3">
      <c r="A52" s="386"/>
      <c r="B52" s="55" t="s">
        <v>30</v>
      </c>
      <c r="C52" s="55" t="e">
        <f>COUNTIF('Override Control Env3'!#REF!,B52)</f>
        <v>#REF!</v>
      </c>
    </row>
    <row r="53" spans="1:3" x14ac:dyDescent="0.3">
      <c r="A53" s="386"/>
      <c r="B53" s="55" t="s">
        <v>41</v>
      </c>
      <c r="C53" s="55" t="e">
        <f>COUNTIF('Override Control Env3'!#REF!,B53)</f>
        <v>#REF!</v>
      </c>
    </row>
    <row r="54" spans="1:3" x14ac:dyDescent="0.3">
      <c r="A54" s="386"/>
      <c r="B54" s="55" t="s">
        <v>52</v>
      </c>
      <c r="C54" s="55" t="e">
        <f>COUNTIF('Override Control Env3'!#REF!,B54)</f>
        <v>#REF!</v>
      </c>
    </row>
    <row r="55" spans="1:3" x14ac:dyDescent="0.3">
      <c r="A55" s="386"/>
      <c r="B55" s="55" t="s">
        <v>790</v>
      </c>
      <c r="C55" s="55" t="e">
        <f>COUNTIF('Override Control Env3'!#REF!,0)</f>
        <v>#REF!</v>
      </c>
    </row>
    <row r="56" spans="1:3" x14ac:dyDescent="0.3">
      <c r="A56" s="386" t="s">
        <v>801</v>
      </c>
      <c r="B56" s="55" t="s">
        <v>19</v>
      </c>
      <c r="C56" s="55" t="e">
        <f>COUNTIF('Override Control Env3'!#REF!,B56)</f>
        <v>#REF!</v>
      </c>
    </row>
    <row r="57" spans="1:3" x14ac:dyDescent="0.3">
      <c r="A57" s="386"/>
      <c r="B57" s="55" t="s">
        <v>30</v>
      </c>
      <c r="C57" s="55" t="e">
        <f>COUNTIF('Override Control Env3'!#REF!,B57)</f>
        <v>#REF!</v>
      </c>
    </row>
    <row r="58" spans="1:3" x14ac:dyDescent="0.3">
      <c r="A58" s="386"/>
      <c r="B58" s="55" t="s">
        <v>41</v>
      </c>
      <c r="C58" s="55" t="e">
        <f>COUNTIF('Override Control Env3'!#REF!,B58)</f>
        <v>#REF!</v>
      </c>
    </row>
    <row r="59" spans="1:3" x14ac:dyDescent="0.3">
      <c r="A59" s="386"/>
      <c r="B59" s="55" t="s">
        <v>52</v>
      </c>
      <c r="C59" s="55" t="e">
        <f>COUNTIF('Override Control Env3'!#REF!,B59)</f>
        <v>#REF!</v>
      </c>
    </row>
    <row r="60" spans="1:3" x14ac:dyDescent="0.3">
      <c r="A60" s="386"/>
      <c r="B60" s="55" t="s">
        <v>790</v>
      </c>
      <c r="C60" s="55" t="e">
        <f>COUNTIF('Override Control Env3'!#REF!,0)</f>
        <v>#REF!</v>
      </c>
    </row>
    <row r="61" spans="1:3" x14ac:dyDescent="0.3">
      <c r="A61" s="386" t="s">
        <v>621</v>
      </c>
      <c r="B61" s="55" t="s">
        <v>19</v>
      </c>
      <c r="C61" s="55">
        <f>COUNTIF('Override Control Env3'!$I$92:$I$102,B61)</f>
        <v>0</v>
      </c>
    </row>
    <row r="62" spans="1:3" x14ac:dyDescent="0.3">
      <c r="A62" s="386"/>
      <c r="B62" s="55" t="s">
        <v>30</v>
      </c>
      <c r="C62" s="55">
        <f>COUNTIF('Override Control Env3'!$I$92:$I$102,B62)</f>
        <v>0</v>
      </c>
    </row>
    <row r="63" spans="1:3" x14ac:dyDescent="0.3">
      <c r="A63" s="386"/>
      <c r="B63" s="55" t="s">
        <v>41</v>
      </c>
      <c r="C63" s="55">
        <f>COUNTIF('Override Control Env3'!$I$92:$I$102,B63)</f>
        <v>0</v>
      </c>
    </row>
    <row r="64" spans="1:3" x14ac:dyDescent="0.3">
      <c r="A64" s="386"/>
      <c r="B64" s="55" t="s">
        <v>52</v>
      </c>
      <c r="C64" s="55">
        <f>COUNTIF('Override Control Env3'!$I$92:$I$102,B64)</f>
        <v>0</v>
      </c>
    </row>
    <row r="65" spans="1:3" x14ac:dyDescent="0.3">
      <c r="A65" s="386"/>
      <c r="B65" s="55" t="s">
        <v>790</v>
      </c>
      <c r="C65" s="55">
        <f>COUNTIF('Override Control Env3'!$I$92:$I$102,0)</f>
        <v>11</v>
      </c>
    </row>
    <row r="66" spans="1:3" x14ac:dyDescent="0.3">
      <c r="A66" s="386" t="s">
        <v>802</v>
      </c>
      <c r="B66" s="55" t="s">
        <v>19</v>
      </c>
      <c r="C66" s="55" t="e">
        <f>COUNTIF('Override Control Env3'!#REF!,B66)</f>
        <v>#REF!</v>
      </c>
    </row>
    <row r="67" spans="1:3" x14ac:dyDescent="0.3">
      <c r="A67" s="386"/>
      <c r="B67" s="55" t="s">
        <v>30</v>
      </c>
      <c r="C67" s="55" t="e">
        <f>COUNTIF('Override Control Env3'!#REF!,B67)</f>
        <v>#REF!</v>
      </c>
    </row>
    <row r="68" spans="1:3" x14ac:dyDescent="0.3">
      <c r="A68" s="386"/>
      <c r="B68" s="55" t="s">
        <v>41</v>
      </c>
      <c r="C68" s="55" t="e">
        <f>COUNTIF('Override Control Env3'!#REF!,B68)</f>
        <v>#REF!</v>
      </c>
    </row>
    <row r="69" spans="1:3" x14ac:dyDescent="0.3">
      <c r="A69" s="386"/>
      <c r="B69" s="55" t="s">
        <v>52</v>
      </c>
      <c r="C69" s="55" t="e">
        <f>COUNTIF('Override Control Env3'!#REF!,B69)</f>
        <v>#REF!</v>
      </c>
    </row>
    <row r="70" spans="1:3" x14ac:dyDescent="0.3">
      <c r="A70" s="386"/>
      <c r="B70" s="55" t="s">
        <v>790</v>
      </c>
      <c r="C70" s="55" t="e">
        <f>COUNTIF('Override Control Env3'!#REF!,0)</f>
        <v>#REF!</v>
      </c>
    </row>
    <row r="71" spans="1:3" x14ac:dyDescent="0.3">
      <c r="A71" s="386" t="s">
        <v>778</v>
      </c>
      <c r="B71" s="55" t="s">
        <v>19</v>
      </c>
      <c r="C71" s="55">
        <f>COUNTIF('Override Control Env3'!$I$103:$I$111,B71)</f>
        <v>0</v>
      </c>
    </row>
    <row r="72" spans="1:3" x14ac:dyDescent="0.3">
      <c r="A72" s="386"/>
      <c r="B72" s="55" t="s">
        <v>30</v>
      </c>
      <c r="C72" s="55">
        <f>COUNTIF('Override Control Env3'!$I$103:$I$111,B72)</f>
        <v>0</v>
      </c>
    </row>
    <row r="73" spans="1:3" x14ac:dyDescent="0.3">
      <c r="A73" s="386"/>
      <c r="B73" s="55" t="s">
        <v>41</v>
      </c>
      <c r="C73" s="55">
        <f>COUNTIF('Override Control Env3'!$I$103:$I$111,B73)</f>
        <v>0</v>
      </c>
    </row>
    <row r="74" spans="1:3" x14ac:dyDescent="0.3">
      <c r="A74" s="386"/>
      <c r="B74" s="55" t="s">
        <v>52</v>
      </c>
      <c r="C74" s="55">
        <f>COUNTIF('Override Control Env3'!$I$103:$I$111,B74)</f>
        <v>0</v>
      </c>
    </row>
    <row r="75" spans="1:3" x14ac:dyDescent="0.3">
      <c r="A75" s="386"/>
      <c r="B75" s="55" t="s">
        <v>790</v>
      </c>
      <c r="C75" s="55">
        <f>COUNTIF('Override Control Env3'!$I$103:$I$111,B75)</f>
        <v>0</v>
      </c>
    </row>
    <row r="76" spans="1:3" x14ac:dyDescent="0.3">
      <c r="A76" s="386" t="s">
        <v>779</v>
      </c>
      <c r="B76" s="55" t="s">
        <v>19</v>
      </c>
      <c r="C76" s="55">
        <f>COUNTIF('Override Control Env3'!$I$112:$I$124,B76)</f>
        <v>0</v>
      </c>
    </row>
    <row r="77" spans="1:3" x14ac:dyDescent="0.3">
      <c r="A77" s="386"/>
      <c r="B77" s="55" t="s">
        <v>30</v>
      </c>
      <c r="C77" s="55">
        <f>COUNTIF('Override Control Env3'!$I$112:$I$124,B77)</f>
        <v>0</v>
      </c>
    </row>
    <row r="78" spans="1:3" x14ac:dyDescent="0.3">
      <c r="A78" s="386"/>
      <c r="B78" s="55" t="s">
        <v>41</v>
      </c>
      <c r="C78" s="55">
        <f>COUNTIF('Override Control Env3'!$I$112:$I$124,B78)</f>
        <v>0</v>
      </c>
    </row>
    <row r="79" spans="1:3" x14ac:dyDescent="0.3">
      <c r="A79" s="386"/>
      <c r="B79" s="55" t="s">
        <v>52</v>
      </c>
      <c r="C79" s="55">
        <f>COUNTIF('Override Control Env3'!$I$112:$I$124,B79)</f>
        <v>0</v>
      </c>
    </row>
    <row r="80" spans="1:3" x14ac:dyDescent="0.3">
      <c r="A80" s="386"/>
      <c r="B80" s="55" t="s">
        <v>790</v>
      </c>
      <c r="C80" s="55">
        <f>COUNTIF('Override Control Env3'!$I$112:$I$124,0)</f>
        <v>13</v>
      </c>
    </row>
    <row r="81" spans="1:3" x14ac:dyDescent="0.3">
      <c r="A81" s="386" t="s">
        <v>783</v>
      </c>
      <c r="B81" s="55" t="s">
        <v>19</v>
      </c>
      <c r="C81" s="55">
        <f>COUNTIF('Override Control Env3'!$I$125:$I$128,B81)</f>
        <v>0</v>
      </c>
    </row>
    <row r="82" spans="1:3" x14ac:dyDescent="0.3">
      <c r="A82" s="386"/>
      <c r="B82" s="55" t="s">
        <v>30</v>
      </c>
      <c r="C82" s="55">
        <f>COUNTIF('Override Control Env3'!$I$125:$I$128,B82)</f>
        <v>0</v>
      </c>
    </row>
    <row r="83" spans="1:3" x14ac:dyDescent="0.3">
      <c r="A83" s="386"/>
      <c r="B83" s="55" t="s">
        <v>41</v>
      </c>
      <c r="C83" s="55">
        <f>COUNTIF('Override Control Env3'!$I$125:$I$128,B83)</f>
        <v>0</v>
      </c>
    </row>
    <row r="84" spans="1:3" x14ac:dyDescent="0.3">
      <c r="A84" s="386"/>
      <c r="B84" s="55" t="s">
        <v>52</v>
      </c>
      <c r="C84" s="55">
        <f>COUNTIF('Override Control Env3'!$I$125:$I$128,B84)</f>
        <v>0</v>
      </c>
    </row>
    <row r="85" spans="1:3" x14ac:dyDescent="0.3">
      <c r="A85" s="386"/>
      <c r="B85" s="55" t="s">
        <v>790</v>
      </c>
      <c r="C85" s="55">
        <f>COUNTIF('Override Control Env3'!$I$125:$I$128,0)</f>
        <v>4</v>
      </c>
    </row>
  </sheetData>
  <mergeCells count="17">
    <mergeCell ref="A56:A60"/>
    <mergeCell ref="A1:A5"/>
    <mergeCell ref="A6:A10"/>
    <mergeCell ref="A11:A15"/>
    <mergeCell ref="A16:A20"/>
    <mergeCell ref="A21:A25"/>
    <mergeCell ref="A26:A30"/>
    <mergeCell ref="A31:A35"/>
    <mergeCell ref="A36:A40"/>
    <mergeCell ref="A41:A45"/>
    <mergeCell ref="A46:A50"/>
    <mergeCell ref="A51:A55"/>
    <mergeCell ref="A61:A65"/>
    <mergeCell ref="A66:A70"/>
    <mergeCell ref="A71:A75"/>
    <mergeCell ref="A76:A80"/>
    <mergeCell ref="A81:A8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49"/>
  <sheetViews>
    <sheetView showGridLines="0" workbookViewId="0">
      <selection activeCell="E1" sqref="E1:E1048576"/>
    </sheetView>
  </sheetViews>
  <sheetFormatPr defaultRowHeight="14.4" x14ac:dyDescent="0.3"/>
  <cols>
    <col min="1" max="1" width="29.33203125" bestFit="1" customWidth="1"/>
    <col min="3" max="3" width="0" hidden="1" customWidth="1"/>
    <col min="4" max="4" width="13.5546875" customWidth="1"/>
    <col min="5" max="5" width="0" hidden="1" customWidth="1"/>
  </cols>
  <sheetData>
    <row r="1" spans="1:5" ht="28.8" x14ac:dyDescent="0.3">
      <c r="A1" s="55" t="s">
        <v>762</v>
      </c>
      <c r="B1" s="55" t="s">
        <v>759</v>
      </c>
      <c r="C1" s="55" t="s">
        <v>759</v>
      </c>
      <c r="D1" s="113" t="s">
        <v>803</v>
      </c>
    </row>
    <row r="2" spans="1:5" x14ac:dyDescent="0.3">
      <c r="A2" s="386" t="s">
        <v>773</v>
      </c>
      <c r="B2" s="157" t="s">
        <v>804</v>
      </c>
      <c r="C2" s="55">
        <v>1</v>
      </c>
      <c r="D2" s="55">
        <f>COUNTIFS('Override Control Env1'!$C$9:$C$1006,C2,'Override Control Env1'!$L$9:$L$1006,"Inadequate",'Override Control Env1'!$D$9:$D$1006,E2)</f>
        <v>0</v>
      </c>
      <c r="E2" t="s">
        <v>773</v>
      </c>
    </row>
    <row r="3" spans="1:5" x14ac:dyDescent="0.3">
      <c r="A3" s="386"/>
      <c r="B3" s="157" t="s">
        <v>805</v>
      </c>
      <c r="C3" s="55">
        <v>2</v>
      </c>
      <c r="D3" s="55">
        <f>COUNTIFS('Override Control Env1'!$C$9:$C$1006,C3,'Override Control Env1'!$L$9:$L$1006,"Inadequate",'Override Control Env1'!$D$9:$D$1006,E3)</f>
        <v>1</v>
      </c>
      <c r="E3" t="s">
        <v>773</v>
      </c>
    </row>
    <row r="4" spans="1:5" x14ac:dyDescent="0.3">
      <c r="A4" s="386"/>
      <c r="B4" s="157" t="s">
        <v>806</v>
      </c>
      <c r="C4" s="55">
        <v>3</v>
      </c>
      <c r="D4" s="55">
        <f>COUNTIFS('Override Control Env1'!$C$9:$C$1006,C4,'Override Control Env1'!$L$9:$L$1006,"Inadequate",'Override Control Env1'!$D$9:$D$1006,E4)</f>
        <v>0</v>
      </c>
      <c r="E4" t="s">
        <v>773</v>
      </c>
    </row>
    <row r="5" spans="1:5" x14ac:dyDescent="0.3">
      <c r="A5" s="386"/>
      <c r="B5" s="157" t="s">
        <v>807</v>
      </c>
      <c r="C5" s="55">
        <v>4</v>
      </c>
      <c r="D5" s="55">
        <f>COUNTIFS('Override Control Env1'!$C$9:$C$1006,C5,'Override Control Env1'!$L$9:$L$1006,"Inadequate",'Override Control Env1'!$D$9:$D$1006,E5)</f>
        <v>3</v>
      </c>
      <c r="E5" t="s">
        <v>773</v>
      </c>
    </row>
    <row r="6" spans="1:5" x14ac:dyDescent="0.3">
      <c r="A6" s="386" t="s">
        <v>391</v>
      </c>
      <c r="B6" s="157" t="s">
        <v>804</v>
      </c>
      <c r="C6" s="55">
        <v>1</v>
      </c>
      <c r="D6" s="55">
        <f>COUNTIFS('Override Control Env1'!$C$9:$C$1006,C6,'Override Control Env1'!$L$9:$L$1006,"Inadequate",'Override Control Env1'!$D$9:$D$1006,E6)</f>
        <v>0</v>
      </c>
      <c r="E6" t="s">
        <v>391</v>
      </c>
    </row>
    <row r="7" spans="1:5" x14ac:dyDescent="0.3">
      <c r="A7" s="386"/>
      <c r="B7" s="157" t="s">
        <v>805</v>
      </c>
      <c r="C7" s="55">
        <v>2</v>
      </c>
      <c r="D7" s="55">
        <f>COUNTIFS('Override Control Env1'!$C$9:$C$1006,C7,'Override Control Env1'!$L$9:$L$1006,"Inadequate",'Override Control Env1'!$D$9:$D$1006,E7)</f>
        <v>2</v>
      </c>
      <c r="E7" t="s">
        <v>391</v>
      </c>
    </row>
    <row r="8" spans="1:5" x14ac:dyDescent="0.3">
      <c r="A8" s="386"/>
      <c r="B8" s="157" t="s">
        <v>806</v>
      </c>
      <c r="C8" s="55">
        <v>3</v>
      </c>
      <c r="D8" s="55">
        <f>COUNTIFS('Override Control Env1'!$C$9:$C$1006,C8,'Override Control Env1'!$L$9:$L$1006,"Inadequate",'Override Control Env1'!$D$9:$D$1006,E8)</f>
        <v>0</v>
      </c>
      <c r="E8" t="s">
        <v>391</v>
      </c>
    </row>
    <row r="9" spans="1:5" x14ac:dyDescent="0.3">
      <c r="A9" s="386"/>
      <c r="B9" s="157" t="s">
        <v>807</v>
      </c>
      <c r="C9" s="55">
        <v>4</v>
      </c>
      <c r="D9" s="55">
        <f>COUNTIFS('Override Control Env1'!$C$9:$C$1006,C9,'Override Control Env1'!$L$9:$L$1006,"Inadequate",'Override Control Env1'!$D$9:$D$1006,E9)</f>
        <v>0</v>
      </c>
      <c r="E9" t="s">
        <v>391</v>
      </c>
    </row>
    <row r="10" spans="1:5" x14ac:dyDescent="0.3">
      <c r="A10" s="386" t="s">
        <v>412</v>
      </c>
      <c r="B10" s="157" t="s">
        <v>804</v>
      </c>
      <c r="C10" s="55">
        <v>1</v>
      </c>
      <c r="D10" s="55">
        <f>COUNTIFS('Override Control Env1'!$C$9:$C$1006,C10,'Override Control Env1'!$L$9:$L$1006,"Inadequate",'Override Control Env1'!$D$9:$D$1006,E10)</f>
        <v>0</v>
      </c>
      <c r="E10" t="s">
        <v>412</v>
      </c>
    </row>
    <row r="11" spans="1:5" x14ac:dyDescent="0.3">
      <c r="A11" s="386"/>
      <c r="B11" s="157" t="s">
        <v>805</v>
      </c>
      <c r="C11" s="55">
        <v>2</v>
      </c>
      <c r="D11" s="55">
        <f>COUNTIFS('Override Control Env1'!$C$9:$C$1006,C11,'Override Control Env1'!$L$9:$L$1006,"Inadequate",'Override Control Env1'!$D$9:$D$1006,E11)</f>
        <v>0</v>
      </c>
      <c r="E11" t="s">
        <v>412</v>
      </c>
    </row>
    <row r="12" spans="1:5" x14ac:dyDescent="0.3">
      <c r="A12" s="386"/>
      <c r="B12" s="157" t="s">
        <v>806</v>
      </c>
      <c r="C12" s="55">
        <v>3</v>
      </c>
      <c r="D12" s="55">
        <f>COUNTIFS('Override Control Env1'!$C$9:$C$1006,C12,'Override Control Env1'!$L$9:$L$1006,"Inadequate",'Override Control Env1'!$D$9:$D$1006,E12)</f>
        <v>3</v>
      </c>
      <c r="E12" t="s">
        <v>412</v>
      </c>
    </row>
    <row r="13" spans="1:5" x14ac:dyDescent="0.3">
      <c r="A13" s="386"/>
      <c r="B13" s="157" t="s">
        <v>807</v>
      </c>
      <c r="C13" s="55">
        <v>4</v>
      </c>
      <c r="D13" s="55">
        <f>COUNTIFS('Override Control Env1'!$C$9:$C$1006,C13,'Override Control Env1'!$L$9:$L$1006,"Inadequate",'Override Control Env1'!$D$9:$D$1006,E13)</f>
        <v>0</v>
      </c>
      <c r="E13" t="s">
        <v>412</v>
      </c>
    </row>
    <row r="14" spans="1:5" x14ac:dyDescent="0.3">
      <c r="A14" s="386" t="s">
        <v>796</v>
      </c>
      <c r="B14" s="157" t="s">
        <v>804</v>
      </c>
      <c r="C14" s="55">
        <v>1</v>
      </c>
      <c r="D14" s="55">
        <f>COUNTIFS('Override Control Env1'!$C$9:$C$1006,C14,'Override Control Env1'!$L$9:$L$1006,"Inadequate",'Override Control Env1'!$D$9:$D$1006,E14)</f>
        <v>0</v>
      </c>
      <c r="E14" t="s">
        <v>796</v>
      </c>
    </row>
    <row r="15" spans="1:5" x14ac:dyDescent="0.3">
      <c r="A15" s="386"/>
      <c r="B15" s="157" t="s">
        <v>805</v>
      </c>
      <c r="C15" s="55">
        <v>2</v>
      </c>
      <c r="D15" s="55">
        <f>COUNTIFS('Override Control Env1'!$C$9:$C$1006,C15,'Override Control Env1'!$L$9:$L$1006,"Inadequate",'Override Control Env1'!$D$9:$D$1006,E15)</f>
        <v>0</v>
      </c>
      <c r="E15" t="s">
        <v>796</v>
      </c>
    </row>
    <row r="16" spans="1:5" x14ac:dyDescent="0.3">
      <c r="A16" s="386"/>
      <c r="B16" s="157" t="s">
        <v>806</v>
      </c>
      <c r="C16" s="55">
        <v>3</v>
      </c>
      <c r="D16" s="55">
        <f>COUNTIFS('Override Control Env1'!$C$9:$C$1006,C16,'Override Control Env1'!$L$9:$L$1006,"Inadequate",'Override Control Env1'!$D$9:$D$1006,E16)</f>
        <v>0</v>
      </c>
      <c r="E16" t="s">
        <v>796</v>
      </c>
    </row>
    <row r="17" spans="1:5" x14ac:dyDescent="0.3">
      <c r="A17" s="386"/>
      <c r="B17" s="157" t="s">
        <v>807</v>
      </c>
      <c r="C17" s="55">
        <v>4</v>
      </c>
      <c r="D17" s="55">
        <f>COUNTIFS('Override Control Env1'!$C$9:$C$1006,C17,'Override Control Env1'!$L$9:$L$1006,"Inadequate",'Override Control Env1'!$D$9:$D$1006,E17)</f>
        <v>0</v>
      </c>
      <c r="E17" t="s">
        <v>796</v>
      </c>
    </row>
    <row r="18" spans="1:5" x14ac:dyDescent="0.3">
      <c r="A18" s="386" t="s">
        <v>797</v>
      </c>
      <c r="B18" s="157" t="s">
        <v>804</v>
      </c>
      <c r="C18" s="55">
        <v>1</v>
      </c>
      <c r="D18" s="55">
        <f>COUNTIFS('Override Control Env1'!$C$9:$C$1006,C18,'Override Control Env1'!$L$9:$L$1006,"Inadequate",'Override Control Env1'!$D$9:$D$1006,E18)</f>
        <v>0</v>
      </c>
      <c r="E18" t="s">
        <v>797</v>
      </c>
    </row>
    <row r="19" spans="1:5" x14ac:dyDescent="0.3">
      <c r="A19" s="386"/>
      <c r="B19" s="157" t="s">
        <v>805</v>
      </c>
      <c r="C19" s="55">
        <v>2</v>
      </c>
      <c r="D19" s="55">
        <f>COUNTIFS('Override Control Env1'!$C$9:$C$1006,C19,'Override Control Env1'!$L$9:$L$1006,"Inadequate",'Override Control Env1'!$D$9:$D$1006,E19)</f>
        <v>0</v>
      </c>
      <c r="E19" t="s">
        <v>797</v>
      </c>
    </row>
    <row r="20" spans="1:5" x14ac:dyDescent="0.3">
      <c r="A20" s="386"/>
      <c r="B20" s="157" t="s">
        <v>806</v>
      </c>
      <c r="C20" s="55">
        <v>3</v>
      </c>
      <c r="D20" s="55">
        <f>COUNTIFS('Override Control Env1'!$C$9:$C$1006,C20,'Override Control Env1'!$L$9:$L$1006,"Inadequate",'Override Control Env1'!$D$9:$D$1006,E20)</f>
        <v>0</v>
      </c>
      <c r="E20" t="s">
        <v>797</v>
      </c>
    </row>
    <row r="21" spans="1:5" x14ac:dyDescent="0.3">
      <c r="A21" s="386"/>
      <c r="B21" s="157" t="s">
        <v>807</v>
      </c>
      <c r="C21" s="55">
        <v>4</v>
      </c>
      <c r="D21" s="55">
        <f>COUNTIFS('Override Control Env1'!$C$9:$C$1006,C21,'Override Control Env1'!$L$9:$L$1006,"Inadequate",'Override Control Env1'!$D$9:$D$1006,E21)</f>
        <v>0</v>
      </c>
      <c r="E21" t="s">
        <v>797</v>
      </c>
    </row>
    <row r="22" spans="1:5" x14ac:dyDescent="0.3">
      <c r="A22" s="387" t="s">
        <v>775</v>
      </c>
      <c r="B22" s="157" t="s">
        <v>804</v>
      </c>
      <c r="C22" s="55">
        <v>1</v>
      </c>
      <c r="D22" s="55">
        <f>COUNTIFS('Override Control Env1'!$C$9:$C$1006,C22,'Override Control Env1'!$L$9:$L$1006,"Inadequate",'Override Control Env1'!$D$9:$D$1006,E22)</f>
        <v>1</v>
      </c>
      <c r="E22" t="s">
        <v>775</v>
      </c>
    </row>
    <row r="23" spans="1:5" x14ac:dyDescent="0.3">
      <c r="A23" s="387"/>
      <c r="B23" s="157" t="s">
        <v>805</v>
      </c>
      <c r="C23" s="55">
        <v>2</v>
      </c>
      <c r="D23" s="55">
        <f>COUNTIFS('Override Control Env1'!$C$9:$C$1006,C23,'Override Control Env1'!$L$9:$L$1006,"Inadequate",'Override Control Env1'!$D$9:$D$1006,E23)</f>
        <v>0</v>
      </c>
      <c r="E23" t="s">
        <v>775</v>
      </c>
    </row>
    <row r="24" spans="1:5" x14ac:dyDescent="0.3">
      <c r="A24" s="387"/>
      <c r="B24" s="157" t="s">
        <v>806</v>
      </c>
      <c r="C24" s="55">
        <v>3</v>
      </c>
      <c r="D24" s="55">
        <f>COUNTIFS('Override Control Env1'!$C$9:$C$1006,C24,'Override Control Env1'!$L$9:$L$1006,"Inadequate",'Override Control Env1'!$D$9:$D$1006,E24)</f>
        <v>1</v>
      </c>
      <c r="E24" t="s">
        <v>775</v>
      </c>
    </row>
    <row r="25" spans="1:5" x14ac:dyDescent="0.3">
      <c r="A25" s="387"/>
      <c r="B25" s="157" t="s">
        <v>807</v>
      </c>
      <c r="C25" s="55">
        <v>4</v>
      </c>
      <c r="D25" s="55">
        <f>COUNTIFS('Override Control Env1'!$C$9:$C$1006,C25,'Override Control Env1'!$L$9:$L$1006,"Inadequate",'Override Control Env1'!$D$9:$D$1006,E25)</f>
        <v>2</v>
      </c>
      <c r="E25" t="s">
        <v>775</v>
      </c>
    </row>
    <row r="26" spans="1:5" x14ac:dyDescent="0.3">
      <c r="A26" s="386" t="s">
        <v>777</v>
      </c>
      <c r="B26" s="157" t="s">
        <v>804</v>
      </c>
      <c r="C26" s="55">
        <v>1</v>
      </c>
      <c r="D26" s="55">
        <f>COUNTIFS('Override Control Env1'!$C$9:$C$1006,C26,'Override Control Env1'!$L$9:$L$1006,"Inadequate",'Override Control Env1'!$D$9:$D$1006,E26)</f>
        <v>0</v>
      </c>
      <c r="E26" t="s">
        <v>777</v>
      </c>
    </row>
    <row r="27" spans="1:5" x14ac:dyDescent="0.3">
      <c r="A27" s="386"/>
      <c r="B27" s="157" t="s">
        <v>805</v>
      </c>
      <c r="C27" s="55">
        <v>2</v>
      </c>
      <c r="D27" s="55">
        <f>COUNTIFS('Override Control Env1'!$C$9:$C$1006,C27,'Override Control Env1'!$L$9:$L$1006,"Inadequate",'Override Control Env1'!$D$9:$D$1006,E27)</f>
        <v>2</v>
      </c>
      <c r="E27" t="s">
        <v>777</v>
      </c>
    </row>
    <row r="28" spans="1:5" x14ac:dyDescent="0.3">
      <c r="A28" s="386"/>
      <c r="B28" s="157" t="s">
        <v>806</v>
      </c>
      <c r="C28" s="55">
        <v>3</v>
      </c>
      <c r="D28" s="55">
        <f>COUNTIFS('Override Control Env1'!$C$9:$C$1006,C28,'Override Control Env1'!$L$9:$L$1006,"Inadequate",'Override Control Env1'!$D$9:$D$1006,E28)</f>
        <v>0</v>
      </c>
      <c r="E28" t="s">
        <v>777</v>
      </c>
    </row>
    <row r="29" spans="1:5" x14ac:dyDescent="0.3">
      <c r="A29" s="386"/>
      <c r="B29" s="157" t="s">
        <v>807</v>
      </c>
      <c r="C29" s="55">
        <v>4</v>
      </c>
      <c r="D29" s="55">
        <f>COUNTIFS('Override Control Env1'!$C$9:$C$1006,C29,'Override Control Env1'!$L$9:$L$1006,"Inadequate",'Override Control Env1'!$D$9:$D$1006,E29)</f>
        <v>0</v>
      </c>
      <c r="E29" t="s">
        <v>777</v>
      </c>
    </row>
    <row r="30" spans="1:5" x14ac:dyDescent="0.3">
      <c r="A30" s="386" t="s">
        <v>590</v>
      </c>
      <c r="B30" s="157" t="s">
        <v>804</v>
      </c>
      <c r="C30" s="55">
        <v>1</v>
      </c>
      <c r="D30" s="55">
        <f>COUNTIFS('Override Control Env1'!$C$9:$C$1006,C30,'Override Control Env1'!$L$9:$L$1006,"Inadequate",'Override Control Env1'!$D$9:$D$1006,E30)</f>
        <v>0</v>
      </c>
      <c r="E30" t="s">
        <v>590</v>
      </c>
    </row>
    <row r="31" spans="1:5" x14ac:dyDescent="0.3">
      <c r="A31" s="386"/>
      <c r="B31" s="157" t="s">
        <v>805</v>
      </c>
      <c r="C31" s="55">
        <v>2</v>
      </c>
      <c r="D31" s="55">
        <f>COUNTIFS('Override Control Env1'!$C$9:$C$1006,C31,'Override Control Env1'!$L$9:$L$1006,"Inadequate",'Override Control Env1'!$D$9:$D$1006,E31)</f>
        <v>0</v>
      </c>
      <c r="E31" t="s">
        <v>590</v>
      </c>
    </row>
    <row r="32" spans="1:5" x14ac:dyDescent="0.3">
      <c r="A32" s="386"/>
      <c r="B32" s="157" t="s">
        <v>806</v>
      </c>
      <c r="C32" s="55">
        <v>3</v>
      </c>
      <c r="D32" s="55">
        <f>COUNTIFS('Override Control Env1'!$C$9:$C$1006,C32,'Override Control Env1'!$L$9:$L$1006,"Inadequate",'Override Control Env1'!$D$9:$D$1006,E32)</f>
        <v>0</v>
      </c>
      <c r="E32" t="s">
        <v>590</v>
      </c>
    </row>
    <row r="33" spans="1:5" x14ac:dyDescent="0.3">
      <c r="A33" s="386"/>
      <c r="B33" s="157" t="s">
        <v>807</v>
      </c>
      <c r="C33" s="55">
        <v>4</v>
      </c>
      <c r="D33" s="55">
        <f>COUNTIFS('Override Control Env1'!$C$9:$C$1006,C33,'Override Control Env1'!$L$9:$L$1006,"Inadequate",'Override Control Env1'!$D$9:$D$1006,E33)</f>
        <v>1</v>
      </c>
      <c r="E33" t="s">
        <v>590</v>
      </c>
    </row>
    <row r="34" spans="1:5" x14ac:dyDescent="0.3">
      <c r="A34" s="386" t="s">
        <v>621</v>
      </c>
      <c r="B34" s="157" t="s">
        <v>804</v>
      </c>
      <c r="C34" s="55">
        <v>1</v>
      </c>
      <c r="D34" s="55">
        <f>COUNTIFS('Override Control Env1'!$C$9:$C$1006,C34,'Override Control Env1'!$L$9:$L$1006,"Inadequate",'Override Control Env1'!$D$9:$D$1006,E34)</f>
        <v>0</v>
      </c>
      <c r="E34" t="s">
        <v>621</v>
      </c>
    </row>
    <row r="35" spans="1:5" x14ac:dyDescent="0.3">
      <c r="A35" s="386"/>
      <c r="B35" s="157" t="s">
        <v>805</v>
      </c>
      <c r="C35" s="55">
        <v>2</v>
      </c>
      <c r="D35" s="55">
        <f>COUNTIFS('Override Control Env1'!$C$9:$C$1006,C35,'Override Control Env1'!$L$9:$L$1006,"Inadequate",'Override Control Env1'!$D$9:$D$1006,E35)</f>
        <v>0</v>
      </c>
      <c r="E35" t="s">
        <v>621</v>
      </c>
    </row>
    <row r="36" spans="1:5" x14ac:dyDescent="0.3">
      <c r="A36" s="386"/>
      <c r="B36" s="157" t="s">
        <v>806</v>
      </c>
      <c r="C36" s="55">
        <v>3</v>
      </c>
      <c r="D36" s="55">
        <f>COUNTIFS('Override Control Env1'!$C$9:$C$1006,C36,'Override Control Env1'!$L$9:$L$1006,"Inadequate",'Override Control Env1'!$D$9:$D$1006,E36)</f>
        <v>0</v>
      </c>
      <c r="E36" t="s">
        <v>621</v>
      </c>
    </row>
    <row r="37" spans="1:5" x14ac:dyDescent="0.3">
      <c r="A37" s="386"/>
      <c r="B37" s="157" t="s">
        <v>807</v>
      </c>
      <c r="C37" s="55">
        <v>4</v>
      </c>
      <c r="D37" s="55">
        <f>COUNTIFS('Override Control Env1'!$C$9:$C$1006,C37,'Override Control Env1'!$L$9:$L$1006,"Inadequate",'Override Control Env1'!$D$9:$D$1006,E37)</f>
        <v>5</v>
      </c>
      <c r="E37" t="s">
        <v>621</v>
      </c>
    </row>
    <row r="38" spans="1:5" x14ac:dyDescent="0.3">
      <c r="A38" s="386" t="s">
        <v>778</v>
      </c>
      <c r="B38" s="157" t="s">
        <v>804</v>
      </c>
      <c r="C38" s="55">
        <v>1</v>
      </c>
      <c r="D38" s="55">
        <f>COUNTIFS('Override Control Env1'!$C$9:$C$1006,C38,'Override Control Env1'!$L$9:$L$1006,"Inadequate",'Override Control Env1'!$D$9:$D$1006,E38)</f>
        <v>0</v>
      </c>
      <c r="E38" t="s">
        <v>778</v>
      </c>
    </row>
    <row r="39" spans="1:5" x14ac:dyDescent="0.3">
      <c r="A39" s="386"/>
      <c r="B39" s="157" t="s">
        <v>805</v>
      </c>
      <c r="C39" s="55">
        <v>2</v>
      </c>
      <c r="D39" s="55">
        <f>COUNTIFS('Override Control Env1'!$C$9:$C$1006,C39,'Override Control Env1'!$L$9:$L$1006,"Inadequate",'Override Control Env1'!$D$9:$D$1006,E39)</f>
        <v>0</v>
      </c>
      <c r="E39" t="s">
        <v>778</v>
      </c>
    </row>
    <row r="40" spans="1:5" x14ac:dyDescent="0.3">
      <c r="A40" s="386"/>
      <c r="B40" s="157" t="s">
        <v>806</v>
      </c>
      <c r="C40" s="55">
        <v>3</v>
      </c>
      <c r="D40" s="55">
        <f>COUNTIFS('Override Control Env1'!$C$9:$C$1006,C40,'Override Control Env1'!$L$9:$L$1006,"Inadequate",'Override Control Env1'!$D$9:$D$1006,E40)</f>
        <v>0</v>
      </c>
      <c r="E40" t="s">
        <v>778</v>
      </c>
    </row>
    <row r="41" spans="1:5" x14ac:dyDescent="0.3">
      <c r="A41" s="386"/>
      <c r="B41" s="157" t="s">
        <v>807</v>
      </c>
      <c r="C41" s="55">
        <v>4</v>
      </c>
      <c r="D41" s="55">
        <f>COUNTIFS('Override Control Env1'!$C$9:$C$1006,C41,'Override Control Env1'!$L$9:$L$1006,"Inadequate",'Override Control Env1'!$D$9:$D$1006,E41)</f>
        <v>3</v>
      </c>
      <c r="E41" t="s">
        <v>778</v>
      </c>
    </row>
    <row r="42" spans="1:5" x14ac:dyDescent="0.3">
      <c r="A42" s="386" t="s">
        <v>779</v>
      </c>
      <c r="B42" s="157" t="s">
        <v>804</v>
      </c>
      <c r="C42" s="55">
        <v>1</v>
      </c>
      <c r="D42" s="55">
        <f>COUNTIFS('Override Control Env1'!$C$9:$C$1006,C42,'Override Control Env1'!$L$9:$L$1006,"Inadequate",'Override Control Env1'!$D$9:$D$1006,E42)</f>
        <v>3</v>
      </c>
      <c r="E42" t="s">
        <v>779</v>
      </c>
    </row>
    <row r="43" spans="1:5" x14ac:dyDescent="0.3">
      <c r="A43" s="386"/>
      <c r="B43" s="157" t="s">
        <v>805</v>
      </c>
      <c r="C43" s="55">
        <v>2</v>
      </c>
      <c r="D43" s="55">
        <f>COUNTIFS('Override Control Env1'!$C$9:$C$1006,C43,'Override Control Env1'!$L$9:$L$1006,"Inadequate",'Override Control Env1'!$D$9:$D$1006,E43)</f>
        <v>0</v>
      </c>
      <c r="E43" t="s">
        <v>779</v>
      </c>
    </row>
    <row r="44" spans="1:5" x14ac:dyDescent="0.3">
      <c r="A44" s="386"/>
      <c r="B44" s="157" t="s">
        <v>806</v>
      </c>
      <c r="C44" s="55">
        <v>3</v>
      </c>
      <c r="D44" s="55">
        <f>COUNTIFS('Override Control Env1'!$C$9:$C$1006,C44,'Override Control Env1'!$L$9:$L$1006,"Inadequate",'Override Control Env1'!$D$9:$D$1006,E44)</f>
        <v>0</v>
      </c>
      <c r="E44" t="s">
        <v>779</v>
      </c>
    </row>
    <row r="45" spans="1:5" x14ac:dyDescent="0.3">
      <c r="A45" s="386"/>
      <c r="B45" s="157" t="s">
        <v>807</v>
      </c>
      <c r="C45" s="55">
        <v>4</v>
      </c>
      <c r="D45" s="55">
        <f>COUNTIFS('Override Control Env1'!$C$9:$C$1006,C45,'Override Control Env1'!$L$9:$L$1006,"Inadequate",'Override Control Env1'!$D$9:$D$1006,E45)</f>
        <v>2</v>
      </c>
      <c r="E45" t="s">
        <v>779</v>
      </c>
    </row>
    <row r="46" spans="1:5" x14ac:dyDescent="0.3">
      <c r="A46" s="386" t="s">
        <v>783</v>
      </c>
      <c r="B46" s="157" t="s">
        <v>804</v>
      </c>
      <c r="C46" s="55">
        <v>1</v>
      </c>
      <c r="D46" s="55">
        <f>COUNTIFS('Override Control Env1'!$C$9:$C$1006,C46,'Override Control Env1'!$L$9:$L$1006,"Inadequate",'Override Control Env1'!$D$9:$D$1006,E46)</f>
        <v>1</v>
      </c>
      <c r="E46" t="s">
        <v>783</v>
      </c>
    </row>
    <row r="47" spans="1:5" x14ac:dyDescent="0.3">
      <c r="A47" s="386"/>
      <c r="B47" s="157" t="s">
        <v>805</v>
      </c>
      <c r="C47" s="55">
        <v>2</v>
      </c>
      <c r="D47" s="55">
        <f>COUNTIFS('Override Control Env1'!$C$9:$C$1006,C47,'Override Control Env1'!$L$9:$L$1006,"Inadequate",'Override Control Env1'!$D$9:$D$1006,E47)</f>
        <v>0</v>
      </c>
      <c r="E47" t="s">
        <v>783</v>
      </c>
    </row>
    <row r="48" spans="1:5" x14ac:dyDescent="0.3">
      <c r="A48" s="386"/>
      <c r="B48" s="157" t="s">
        <v>806</v>
      </c>
      <c r="C48" s="55">
        <v>3</v>
      </c>
      <c r="D48" s="55">
        <f>COUNTIFS('Override Control Env1'!$C$9:$C$1006,C48,'Override Control Env1'!$L$9:$L$1006,"Inadequate",'Override Control Env1'!$D$9:$D$1006,E48)</f>
        <v>0</v>
      </c>
      <c r="E48" t="s">
        <v>783</v>
      </c>
    </row>
    <row r="49" spans="1:5" x14ac:dyDescent="0.3">
      <c r="A49" s="386"/>
      <c r="B49" s="157" t="s">
        <v>807</v>
      </c>
      <c r="C49" s="55">
        <v>4</v>
      </c>
      <c r="D49" s="55">
        <f>COUNTIFS('Override Control Env1'!$C$9:$C$1006,C49,'Override Control Env1'!$L$9:$L$1006,"Inadequate",'Override Control Env1'!$D$9:$D$1006,E49)</f>
        <v>1</v>
      </c>
      <c r="E49" t="s">
        <v>783</v>
      </c>
    </row>
  </sheetData>
  <mergeCells count="12">
    <mergeCell ref="A2:A5"/>
    <mergeCell ref="A6:A9"/>
    <mergeCell ref="A10:A13"/>
    <mergeCell ref="A14:A17"/>
    <mergeCell ref="A18:A21"/>
    <mergeCell ref="A42:A45"/>
    <mergeCell ref="A46:A49"/>
    <mergeCell ref="A22:A25"/>
    <mergeCell ref="A26:A29"/>
    <mergeCell ref="A30:A33"/>
    <mergeCell ref="A34:A37"/>
    <mergeCell ref="A38:A4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49"/>
  <sheetViews>
    <sheetView showGridLines="0" workbookViewId="0">
      <selection activeCell="E1" sqref="E1:E1048576"/>
    </sheetView>
  </sheetViews>
  <sheetFormatPr defaultColWidth="9" defaultRowHeight="14.4" x14ac:dyDescent="0.3"/>
  <cols>
    <col min="1" max="1" width="29.33203125" bestFit="1" customWidth="1"/>
    <col min="3" max="3" width="9" hidden="1" customWidth="1"/>
    <col min="4" max="4" width="11.88671875" customWidth="1"/>
    <col min="5" max="5" width="0" hidden="1" customWidth="1"/>
  </cols>
  <sheetData>
    <row r="1" spans="1:5" ht="28.8" x14ac:dyDescent="0.3">
      <c r="A1" s="55" t="s">
        <v>762</v>
      </c>
      <c r="B1" s="55" t="s">
        <v>759</v>
      </c>
      <c r="C1" s="55" t="s">
        <v>759</v>
      </c>
      <c r="D1" s="113" t="s">
        <v>803</v>
      </c>
    </row>
    <row r="2" spans="1:5" x14ac:dyDescent="0.3">
      <c r="A2" s="386" t="s">
        <v>773</v>
      </c>
      <c r="B2" s="157" t="s">
        <v>804</v>
      </c>
      <c r="C2" s="55">
        <v>1</v>
      </c>
      <c r="D2" s="55">
        <f>COUNTIFS('Override Control Env2'!$C$9:$C$1006,C2,'Override Control Env2'!$L$9:$L$1006,"Inadequate",'Override Control Env2'!$D$9:$D$1006,E2)</f>
        <v>0</v>
      </c>
      <c r="E2" t="s">
        <v>773</v>
      </c>
    </row>
    <row r="3" spans="1:5" x14ac:dyDescent="0.3">
      <c r="A3" s="386"/>
      <c r="B3" s="157" t="s">
        <v>805</v>
      </c>
      <c r="C3" s="55">
        <v>2</v>
      </c>
      <c r="D3" s="55">
        <f>COUNTIFS('Override Control Env2'!$C$9:$C$1006,C3,'Override Control Env2'!$L$9:$L$1006,"Inadequate",'Override Control Env2'!$D$9:$D$1006,E3)</f>
        <v>0</v>
      </c>
      <c r="E3" t="s">
        <v>773</v>
      </c>
    </row>
    <row r="4" spans="1:5" x14ac:dyDescent="0.3">
      <c r="A4" s="386"/>
      <c r="B4" s="157" t="s">
        <v>806</v>
      </c>
      <c r="C4" s="55">
        <v>3</v>
      </c>
      <c r="D4" s="55">
        <f>COUNTIFS('Override Control Env2'!$C$9:$C$1006,C4,'Override Control Env2'!$L$9:$L$1006,"Inadequate",'Override Control Env2'!$D$9:$D$1006,E4)</f>
        <v>0</v>
      </c>
      <c r="E4" t="s">
        <v>773</v>
      </c>
    </row>
    <row r="5" spans="1:5" x14ac:dyDescent="0.3">
      <c r="A5" s="386"/>
      <c r="B5" s="157" t="s">
        <v>807</v>
      </c>
      <c r="C5" s="55">
        <v>4</v>
      </c>
      <c r="D5" s="55">
        <f>COUNTIFS('Override Control Env2'!$C$9:$C$1006,C5,'Override Control Env2'!$L$9:$L$1006,"Inadequate",'Override Control Env2'!$D$9:$D$1006,E5)</f>
        <v>0</v>
      </c>
      <c r="E5" t="s">
        <v>773</v>
      </c>
    </row>
    <row r="6" spans="1:5" x14ac:dyDescent="0.3">
      <c r="A6" s="386" t="s">
        <v>391</v>
      </c>
      <c r="B6" s="157" t="s">
        <v>804</v>
      </c>
      <c r="C6" s="55">
        <v>1</v>
      </c>
      <c r="D6" s="55">
        <f>COUNTIFS('Override Control Env2'!$C$9:$C$1006,C6,'Override Control Env2'!$L$9:$L$1006,"Inadequate",'Override Control Env2'!$D$9:$D$1006,E6)</f>
        <v>0</v>
      </c>
      <c r="E6" t="s">
        <v>391</v>
      </c>
    </row>
    <row r="7" spans="1:5" x14ac:dyDescent="0.3">
      <c r="A7" s="386"/>
      <c r="B7" s="157" t="s">
        <v>805</v>
      </c>
      <c r="C7" s="55">
        <v>2</v>
      </c>
      <c r="D7" s="55">
        <f>COUNTIFS('Override Control Env2'!$C$9:$C$1006,C7,'Override Control Env2'!$L$9:$L$1006,"Inadequate",'Override Control Env2'!$D$9:$D$1006,E7)</f>
        <v>0</v>
      </c>
      <c r="E7" t="s">
        <v>391</v>
      </c>
    </row>
    <row r="8" spans="1:5" x14ac:dyDescent="0.3">
      <c r="A8" s="386"/>
      <c r="B8" s="157" t="s">
        <v>806</v>
      </c>
      <c r="C8" s="55">
        <v>3</v>
      </c>
      <c r="D8" s="55">
        <f>COUNTIFS('Override Control Env2'!$C$9:$C$1006,C8,'Override Control Env2'!$L$9:$L$1006,"Inadequate",'Override Control Env2'!$D$9:$D$1006,E8)</f>
        <v>0</v>
      </c>
      <c r="E8" t="s">
        <v>391</v>
      </c>
    </row>
    <row r="9" spans="1:5" x14ac:dyDescent="0.3">
      <c r="A9" s="386"/>
      <c r="B9" s="157" t="s">
        <v>807</v>
      </c>
      <c r="C9" s="55">
        <v>4</v>
      </c>
      <c r="D9" s="55">
        <f>COUNTIFS('Override Control Env2'!$C$9:$C$1006,C9,'Override Control Env2'!$L$9:$L$1006,"Inadequate",'Override Control Env2'!$D$9:$D$1006,E9)</f>
        <v>0</v>
      </c>
      <c r="E9" t="s">
        <v>391</v>
      </c>
    </row>
    <row r="10" spans="1:5" x14ac:dyDescent="0.3">
      <c r="A10" s="386" t="s">
        <v>412</v>
      </c>
      <c r="B10" s="157" t="s">
        <v>804</v>
      </c>
      <c r="C10" s="55">
        <v>1</v>
      </c>
      <c r="D10" s="55">
        <f>COUNTIFS('Override Control Env2'!$C$9:$C$1006,C10,'Override Control Env2'!$L$9:$L$1006,"Inadequate",'Override Control Env2'!$D$9:$D$1006,E10)</f>
        <v>0</v>
      </c>
      <c r="E10" t="s">
        <v>412</v>
      </c>
    </row>
    <row r="11" spans="1:5" x14ac:dyDescent="0.3">
      <c r="A11" s="386"/>
      <c r="B11" s="157" t="s">
        <v>805</v>
      </c>
      <c r="C11" s="55">
        <v>2</v>
      </c>
      <c r="D11" s="55">
        <f>COUNTIFS('Override Control Env2'!$C$9:$C$1006,C11,'Override Control Env2'!$L$9:$L$1006,"Inadequate",'Override Control Env2'!$D$9:$D$1006,E11)</f>
        <v>0</v>
      </c>
      <c r="E11" t="s">
        <v>412</v>
      </c>
    </row>
    <row r="12" spans="1:5" x14ac:dyDescent="0.3">
      <c r="A12" s="386"/>
      <c r="B12" s="157" t="s">
        <v>806</v>
      </c>
      <c r="C12" s="55">
        <v>3</v>
      </c>
      <c r="D12" s="55">
        <f>COUNTIFS('Override Control Env2'!$C$9:$C$1006,C12,'Override Control Env2'!$L$9:$L$1006,"Inadequate",'Override Control Env2'!$D$9:$D$1006,E12)</f>
        <v>0</v>
      </c>
      <c r="E12" t="s">
        <v>412</v>
      </c>
    </row>
    <row r="13" spans="1:5" x14ac:dyDescent="0.3">
      <c r="A13" s="386"/>
      <c r="B13" s="157" t="s">
        <v>807</v>
      </c>
      <c r="C13" s="55">
        <v>4</v>
      </c>
      <c r="D13" s="55">
        <f>COUNTIFS('Override Control Env2'!$C$9:$C$1006,C13,'Override Control Env2'!$L$9:$L$1006,"Inadequate",'Override Control Env2'!$D$9:$D$1006,E13)</f>
        <v>0</v>
      </c>
      <c r="E13" t="s">
        <v>412</v>
      </c>
    </row>
    <row r="14" spans="1:5" x14ac:dyDescent="0.3">
      <c r="A14" s="386" t="s">
        <v>796</v>
      </c>
      <c r="B14" s="157" t="s">
        <v>804</v>
      </c>
      <c r="C14" s="55">
        <v>1</v>
      </c>
      <c r="D14" s="55">
        <f>COUNTIFS('Override Control Env2'!$C$9:$C$1006,C14,'Override Control Env2'!$L$9:$L$1006,"Inadequate",'Override Control Env2'!$D$9:$D$1006,E14)</f>
        <v>0</v>
      </c>
      <c r="E14" t="s">
        <v>796</v>
      </c>
    </row>
    <row r="15" spans="1:5" x14ac:dyDescent="0.3">
      <c r="A15" s="386"/>
      <c r="B15" s="157" t="s">
        <v>805</v>
      </c>
      <c r="C15" s="55">
        <v>2</v>
      </c>
      <c r="D15" s="55">
        <f>COUNTIFS('Override Control Env2'!$C$9:$C$1006,C15,'Override Control Env2'!$L$9:$L$1006,"Inadequate",'Override Control Env2'!$D$9:$D$1006,E15)</f>
        <v>0</v>
      </c>
      <c r="E15" t="s">
        <v>796</v>
      </c>
    </row>
    <row r="16" spans="1:5" x14ac:dyDescent="0.3">
      <c r="A16" s="386"/>
      <c r="B16" s="157" t="s">
        <v>806</v>
      </c>
      <c r="C16" s="55">
        <v>3</v>
      </c>
      <c r="D16" s="55">
        <f>COUNTIFS('Override Control Env2'!$C$9:$C$1006,C16,'Override Control Env2'!$L$9:$L$1006,"Inadequate",'Override Control Env2'!$D$9:$D$1006,E16)</f>
        <v>0</v>
      </c>
      <c r="E16" t="s">
        <v>796</v>
      </c>
    </row>
    <row r="17" spans="1:5" x14ac:dyDescent="0.3">
      <c r="A17" s="386"/>
      <c r="B17" s="157" t="s">
        <v>807</v>
      </c>
      <c r="C17" s="55">
        <v>4</v>
      </c>
      <c r="D17" s="55">
        <f>COUNTIFS('Override Control Env2'!$C$9:$C$1006,C17,'Override Control Env2'!$L$9:$L$1006,"Inadequate",'Override Control Env2'!$D$9:$D$1006,E17)</f>
        <v>0</v>
      </c>
      <c r="E17" t="s">
        <v>796</v>
      </c>
    </row>
    <row r="18" spans="1:5" x14ac:dyDescent="0.3">
      <c r="A18" s="386" t="s">
        <v>797</v>
      </c>
      <c r="B18" s="157" t="s">
        <v>804</v>
      </c>
      <c r="C18" s="55">
        <v>1</v>
      </c>
      <c r="D18" s="55">
        <f>COUNTIFS('Override Control Env2'!$C$9:$C$1006,C18,'Override Control Env2'!$L$9:$L$1006,"Inadequate",'Override Control Env2'!$D$9:$D$1006,E18)</f>
        <v>0</v>
      </c>
      <c r="E18" t="s">
        <v>797</v>
      </c>
    </row>
    <row r="19" spans="1:5" x14ac:dyDescent="0.3">
      <c r="A19" s="386"/>
      <c r="B19" s="157" t="s">
        <v>805</v>
      </c>
      <c r="C19" s="55">
        <v>2</v>
      </c>
      <c r="D19" s="55">
        <f>COUNTIFS('Override Control Env2'!$C$9:$C$1006,C19,'Override Control Env2'!$L$9:$L$1006,"Inadequate",'Override Control Env2'!$D$9:$D$1006,E19)</f>
        <v>0</v>
      </c>
      <c r="E19" t="s">
        <v>797</v>
      </c>
    </row>
    <row r="20" spans="1:5" x14ac:dyDescent="0.3">
      <c r="A20" s="386"/>
      <c r="B20" s="157" t="s">
        <v>806</v>
      </c>
      <c r="C20" s="55">
        <v>3</v>
      </c>
      <c r="D20" s="55">
        <f>COUNTIFS('Override Control Env2'!$C$9:$C$1006,C20,'Override Control Env2'!$L$9:$L$1006,"Inadequate",'Override Control Env2'!$D$9:$D$1006,E20)</f>
        <v>0</v>
      </c>
      <c r="E20" t="s">
        <v>797</v>
      </c>
    </row>
    <row r="21" spans="1:5" x14ac:dyDescent="0.3">
      <c r="A21" s="386"/>
      <c r="B21" s="157" t="s">
        <v>807</v>
      </c>
      <c r="C21" s="55">
        <v>4</v>
      </c>
      <c r="D21" s="55">
        <f>COUNTIFS('Override Control Env2'!$C$9:$C$1006,C21,'Override Control Env2'!$L$9:$L$1006,"Inadequate",'Override Control Env2'!$D$9:$D$1006,E21)</f>
        <v>0</v>
      </c>
      <c r="E21" t="s">
        <v>797</v>
      </c>
    </row>
    <row r="22" spans="1:5" x14ac:dyDescent="0.3">
      <c r="A22" s="387" t="s">
        <v>775</v>
      </c>
      <c r="B22" s="157" t="s">
        <v>804</v>
      </c>
      <c r="C22" s="55">
        <v>1</v>
      </c>
      <c r="D22" s="55">
        <f>COUNTIFS('Override Control Env2'!$C$9:$C$1006,C22,'Override Control Env2'!$L$9:$L$1006,"Inadequate",'Override Control Env2'!$D$9:$D$1006,E22)</f>
        <v>0</v>
      </c>
      <c r="E22" t="s">
        <v>775</v>
      </c>
    </row>
    <row r="23" spans="1:5" x14ac:dyDescent="0.3">
      <c r="A23" s="387"/>
      <c r="B23" s="157" t="s">
        <v>805</v>
      </c>
      <c r="C23" s="55">
        <v>2</v>
      </c>
      <c r="D23" s="55">
        <f>COUNTIFS('Override Control Env2'!$C$9:$C$1006,C23,'Override Control Env2'!$L$9:$L$1006,"Inadequate",'Override Control Env2'!$D$9:$D$1006,E23)</f>
        <v>0</v>
      </c>
      <c r="E23" t="s">
        <v>775</v>
      </c>
    </row>
    <row r="24" spans="1:5" x14ac:dyDescent="0.3">
      <c r="A24" s="387"/>
      <c r="B24" s="157" t="s">
        <v>806</v>
      </c>
      <c r="C24" s="55">
        <v>3</v>
      </c>
      <c r="D24" s="55">
        <f>COUNTIFS('Override Control Env2'!$C$9:$C$1006,C24,'Override Control Env2'!$L$9:$L$1006,"Inadequate",'Override Control Env2'!$D$9:$D$1006,E24)</f>
        <v>0</v>
      </c>
      <c r="E24" t="s">
        <v>775</v>
      </c>
    </row>
    <row r="25" spans="1:5" x14ac:dyDescent="0.3">
      <c r="A25" s="387"/>
      <c r="B25" s="157" t="s">
        <v>807</v>
      </c>
      <c r="C25" s="55">
        <v>4</v>
      </c>
      <c r="D25" s="55">
        <f>COUNTIFS('Override Control Env2'!$C$9:$C$1006,C25,'Override Control Env2'!$L$9:$L$1006,"Inadequate",'Override Control Env2'!$D$9:$D$1006,E25)</f>
        <v>0</v>
      </c>
      <c r="E25" t="s">
        <v>775</v>
      </c>
    </row>
    <row r="26" spans="1:5" x14ac:dyDescent="0.3">
      <c r="A26" s="386" t="s">
        <v>777</v>
      </c>
      <c r="B26" s="157" t="s">
        <v>804</v>
      </c>
      <c r="C26" s="55">
        <v>1</v>
      </c>
      <c r="D26" s="55">
        <f>COUNTIFS('Override Control Env2'!$C$9:$C$1006,C26,'Override Control Env2'!$L$9:$L$1006,"Inadequate",'Override Control Env2'!$D$9:$D$1006,E26)</f>
        <v>0</v>
      </c>
      <c r="E26" t="s">
        <v>777</v>
      </c>
    </row>
    <row r="27" spans="1:5" x14ac:dyDescent="0.3">
      <c r="A27" s="386"/>
      <c r="B27" s="157" t="s">
        <v>805</v>
      </c>
      <c r="C27" s="55">
        <v>2</v>
      </c>
      <c r="D27" s="55">
        <f>COUNTIFS('Override Control Env2'!$C$9:$C$1006,C27,'Override Control Env2'!$L$9:$L$1006,"Inadequate",'Override Control Env2'!$D$9:$D$1006,E27)</f>
        <v>0</v>
      </c>
      <c r="E27" t="s">
        <v>777</v>
      </c>
    </row>
    <row r="28" spans="1:5" x14ac:dyDescent="0.3">
      <c r="A28" s="386"/>
      <c r="B28" s="157" t="s">
        <v>806</v>
      </c>
      <c r="C28" s="55">
        <v>3</v>
      </c>
      <c r="D28" s="55">
        <f>COUNTIFS('Override Control Env2'!$C$9:$C$1006,C28,'Override Control Env2'!$L$9:$L$1006,"Inadequate",'Override Control Env2'!$D$9:$D$1006,E28)</f>
        <v>0</v>
      </c>
      <c r="E28" t="s">
        <v>777</v>
      </c>
    </row>
    <row r="29" spans="1:5" x14ac:dyDescent="0.3">
      <c r="A29" s="386"/>
      <c r="B29" s="157" t="s">
        <v>807</v>
      </c>
      <c r="C29" s="55">
        <v>4</v>
      </c>
      <c r="D29" s="55">
        <f>COUNTIFS('Override Control Env2'!$C$9:$C$1006,C29,'Override Control Env2'!$L$9:$L$1006,"Inadequate",'Override Control Env2'!$D$9:$D$1006,E29)</f>
        <v>0</v>
      </c>
      <c r="E29" t="s">
        <v>777</v>
      </c>
    </row>
    <row r="30" spans="1:5" x14ac:dyDescent="0.3">
      <c r="A30" s="386" t="s">
        <v>590</v>
      </c>
      <c r="B30" s="157" t="s">
        <v>804</v>
      </c>
      <c r="C30" s="55">
        <v>1</v>
      </c>
      <c r="D30" s="55">
        <f>COUNTIFS('Override Control Env2'!$C$9:$C$1006,C30,'Override Control Env2'!$L$9:$L$1006,"Inadequate",'Override Control Env2'!$D$9:$D$1006,E30)</f>
        <v>0</v>
      </c>
      <c r="E30" t="s">
        <v>590</v>
      </c>
    </row>
    <row r="31" spans="1:5" x14ac:dyDescent="0.3">
      <c r="A31" s="386"/>
      <c r="B31" s="157" t="s">
        <v>805</v>
      </c>
      <c r="C31" s="55">
        <v>2</v>
      </c>
      <c r="D31" s="55">
        <f>COUNTIFS('Override Control Env2'!$C$9:$C$1006,C31,'Override Control Env2'!$L$9:$L$1006,"Inadequate",'Override Control Env2'!$D$9:$D$1006,E31)</f>
        <v>0</v>
      </c>
      <c r="E31" t="s">
        <v>590</v>
      </c>
    </row>
    <row r="32" spans="1:5" x14ac:dyDescent="0.3">
      <c r="A32" s="386"/>
      <c r="B32" s="157" t="s">
        <v>806</v>
      </c>
      <c r="C32" s="55">
        <v>3</v>
      </c>
      <c r="D32" s="55">
        <f>COUNTIFS('Override Control Env2'!$C$9:$C$1006,C32,'Override Control Env2'!$L$9:$L$1006,"Inadequate",'Override Control Env2'!$D$9:$D$1006,E32)</f>
        <v>0</v>
      </c>
      <c r="E32" t="s">
        <v>590</v>
      </c>
    </row>
    <row r="33" spans="1:5" x14ac:dyDescent="0.3">
      <c r="A33" s="386"/>
      <c r="B33" s="157" t="s">
        <v>807</v>
      </c>
      <c r="C33" s="55">
        <v>4</v>
      </c>
      <c r="D33" s="55">
        <f>COUNTIFS('Override Control Env2'!$C$9:$C$1006,C33,'Override Control Env2'!$L$9:$L$1006,"Inadequate",'Override Control Env2'!$D$9:$D$1006,E33)</f>
        <v>0</v>
      </c>
      <c r="E33" t="s">
        <v>590</v>
      </c>
    </row>
    <row r="34" spans="1:5" x14ac:dyDescent="0.3">
      <c r="A34" s="386" t="s">
        <v>621</v>
      </c>
      <c r="B34" s="157" t="s">
        <v>804</v>
      </c>
      <c r="C34" s="55">
        <v>1</v>
      </c>
      <c r="D34" s="55">
        <f>COUNTIFS('Override Control Env2'!$C$9:$C$1006,C34,'Override Control Env2'!$L$9:$L$1006,"Inadequate",'Override Control Env2'!$D$9:$D$1006,E34)</f>
        <v>0</v>
      </c>
      <c r="E34" t="s">
        <v>621</v>
      </c>
    </row>
    <row r="35" spans="1:5" x14ac:dyDescent="0.3">
      <c r="A35" s="386"/>
      <c r="B35" s="157" t="s">
        <v>805</v>
      </c>
      <c r="C35" s="55">
        <v>2</v>
      </c>
      <c r="D35" s="55">
        <f>COUNTIFS('Override Control Env2'!$C$9:$C$1006,C35,'Override Control Env2'!$L$9:$L$1006,"Inadequate",'Override Control Env2'!$D$9:$D$1006,E35)</f>
        <v>0</v>
      </c>
      <c r="E35" t="s">
        <v>621</v>
      </c>
    </row>
    <row r="36" spans="1:5" x14ac:dyDescent="0.3">
      <c r="A36" s="386"/>
      <c r="B36" s="157" t="s">
        <v>806</v>
      </c>
      <c r="C36" s="55">
        <v>3</v>
      </c>
      <c r="D36" s="55">
        <f>COUNTIFS('Override Control Env2'!$C$9:$C$1006,C36,'Override Control Env2'!$L$9:$L$1006,"Inadequate",'Override Control Env2'!$D$9:$D$1006,E36)</f>
        <v>0</v>
      </c>
      <c r="E36" t="s">
        <v>621</v>
      </c>
    </row>
    <row r="37" spans="1:5" x14ac:dyDescent="0.3">
      <c r="A37" s="386"/>
      <c r="B37" s="157" t="s">
        <v>807</v>
      </c>
      <c r="C37" s="55">
        <v>4</v>
      </c>
      <c r="D37" s="55">
        <f>COUNTIFS('Override Control Env2'!$C$9:$C$1006,C37,'Override Control Env2'!$L$9:$L$1006,"Inadequate",'Override Control Env2'!$D$9:$D$1006,E37)</f>
        <v>0</v>
      </c>
      <c r="E37" t="s">
        <v>621</v>
      </c>
    </row>
    <row r="38" spans="1:5" x14ac:dyDescent="0.3">
      <c r="A38" s="386" t="s">
        <v>778</v>
      </c>
      <c r="B38" s="157" t="s">
        <v>804</v>
      </c>
      <c r="C38" s="55">
        <v>1</v>
      </c>
      <c r="D38" s="55">
        <f>COUNTIFS('Override Control Env2'!$C$9:$C$1006,C38,'Override Control Env2'!$L$9:$L$1006,"Inadequate",'Override Control Env2'!$D$9:$D$1006,E38)</f>
        <v>0</v>
      </c>
      <c r="E38" t="s">
        <v>778</v>
      </c>
    </row>
    <row r="39" spans="1:5" x14ac:dyDescent="0.3">
      <c r="A39" s="386"/>
      <c r="B39" s="157" t="s">
        <v>805</v>
      </c>
      <c r="C39" s="55">
        <v>2</v>
      </c>
      <c r="D39" s="55">
        <f>COUNTIFS('Override Control Env2'!$C$9:$C$1006,C39,'Override Control Env2'!$L$9:$L$1006,"Inadequate",'Override Control Env2'!$D$9:$D$1006,E39)</f>
        <v>0</v>
      </c>
      <c r="E39" t="s">
        <v>778</v>
      </c>
    </row>
    <row r="40" spans="1:5" x14ac:dyDescent="0.3">
      <c r="A40" s="386"/>
      <c r="B40" s="157" t="s">
        <v>806</v>
      </c>
      <c r="C40" s="55">
        <v>3</v>
      </c>
      <c r="D40" s="55">
        <f>COUNTIFS('Override Control Env2'!$C$9:$C$1006,C40,'Override Control Env2'!$L$9:$L$1006,"Inadequate",'Override Control Env2'!$D$9:$D$1006,E40)</f>
        <v>0</v>
      </c>
      <c r="E40" t="s">
        <v>778</v>
      </c>
    </row>
    <row r="41" spans="1:5" x14ac:dyDescent="0.3">
      <c r="A41" s="386"/>
      <c r="B41" s="157" t="s">
        <v>807</v>
      </c>
      <c r="C41" s="55">
        <v>4</v>
      </c>
      <c r="D41" s="55">
        <f>COUNTIFS('Override Control Env2'!$C$9:$C$1006,C41,'Override Control Env2'!$L$9:$L$1006,"Inadequate",'Override Control Env2'!$D$9:$D$1006,E41)</f>
        <v>0</v>
      </c>
      <c r="E41" t="s">
        <v>778</v>
      </c>
    </row>
    <row r="42" spans="1:5" x14ac:dyDescent="0.3">
      <c r="A42" s="386" t="s">
        <v>779</v>
      </c>
      <c r="B42" s="157" t="s">
        <v>804</v>
      </c>
      <c r="C42" s="55">
        <v>1</v>
      </c>
      <c r="D42" s="55">
        <f>COUNTIFS('Override Control Env2'!$C$9:$C$1006,C42,'Override Control Env2'!$L$9:$L$1006,"Inadequate",'Override Control Env2'!$D$9:$D$1006,E42)</f>
        <v>0</v>
      </c>
      <c r="E42" t="s">
        <v>779</v>
      </c>
    </row>
    <row r="43" spans="1:5" x14ac:dyDescent="0.3">
      <c r="A43" s="386"/>
      <c r="B43" s="157" t="s">
        <v>805</v>
      </c>
      <c r="C43" s="55">
        <v>2</v>
      </c>
      <c r="D43" s="55">
        <f>COUNTIFS('Override Control Env2'!$C$9:$C$1006,C43,'Override Control Env2'!$L$9:$L$1006,"Inadequate",'Override Control Env2'!$D$9:$D$1006,E43)</f>
        <v>0</v>
      </c>
      <c r="E43" t="s">
        <v>779</v>
      </c>
    </row>
    <row r="44" spans="1:5" x14ac:dyDescent="0.3">
      <c r="A44" s="386"/>
      <c r="B44" s="157" t="s">
        <v>806</v>
      </c>
      <c r="C44" s="55">
        <v>3</v>
      </c>
      <c r="D44" s="55">
        <f>COUNTIFS('Override Control Env2'!$C$9:$C$1006,C44,'Override Control Env2'!$L$9:$L$1006,"Inadequate",'Override Control Env2'!$D$9:$D$1006,E44)</f>
        <v>0</v>
      </c>
      <c r="E44" t="s">
        <v>779</v>
      </c>
    </row>
    <row r="45" spans="1:5" x14ac:dyDescent="0.3">
      <c r="A45" s="386"/>
      <c r="B45" s="157" t="s">
        <v>807</v>
      </c>
      <c r="C45" s="55">
        <v>4</v>
      </c>
      <c r="D45" s="55">
        <f>COUNTIFS('Override Control Env2'!$C$9:$C$1006,C45,'Override Control Env2'!$L$9:$L$1006,"Inadequate",'Override Control Env2'!$D$9:$D$1006,E45)</f>
        <v>0</v>
      </c>
      <c r="E45" t="s">
        <v>779</v>
      </c>
    </row>
    <row r="46" spans="1:5" x14ac:dyDescent="0.3">
      <c r="A46" s="386" t="s">
        <v>783</v>
      </c>
      <c r="B46" s="157" t="s">
        <v>804</v>
      </c>
      <c r="C46" s="55">
        <v>1</v>
      </c>
      <c r="D46" s="55">
        <f>COUNTIFS('Override Control Env2'!$C$9:$C$1006,C46,'Override Control Env2'!$L$9:$L$1006,"Inadequate",'Override Control Env2'!$D$9:$D$1006,E46)</f>
        <v>0</v>
      </c>
      <c r="E46" t="s">
        <v>783</v>
      </c>
    </row>
    <row r="47" spans="1:5" x14ac:dyDescent="0.3">
      <c r="A47" s="386"/>
      <c r="B47" s="157" t="s">
        <v>805</v>
      </c>
      <c r="C47" s="55">
        <v>2</v>
      </c>
      <c r="D47" s="55">
        <f>COUNTIFS('Override Control Env2'!$C$9:$C$1006,C47,'Override Control Env2'!$L$9:$L$1006,"Inadequate",'Override Control Env2'!$D$9:$D$1006,E47)</f>
        <v>0</v>
      </c>
      <c r="E47" t="s">
        <v>783</v>
      </c>
    </row>
    <row r="48" spans="1:5" x14ac:dyDescent="0.3">
      <c r="A48" s="386"/>
      <c r="B48" s="157" t="s">
        <v>806</v>
      </c>
      <c r="C48" s="55">
        <v>3</v>
      </c>
      <c r="D48" s="55">
        <f>COUNTIFS('Override Control Env2'!$C$9:$C$1006,C48,'Override Control Env2'!$L$9:$L$1006,"Inadequate",'Override Control Env2'!$D$9:$D$1006,E48)</f>
        <v>0</v>
      </c>
      <c r="E48" t="s">
        <v>783</v>
      </c>
    </row>
    <row r="49" spans="1:5" x14ac:dyDescent="0.3">
      <c r="A49" s="386"/>
      <c r="B49" s="157" t="s">
        <v>807</v>
      </c>
      <c r="C49" s="55">
        <v>4</v>
      </c>
      <c r="D49" s="55">
        <f>COUNTIFS('Override Control Env2'!$C$9:$C$1006,C49,'Override Control Env2'!$L$9:$L$1006,"Inadequate",'Override Control Env2'!$D$9:$D$1006,E49)</f>
        <v>0</v>
      </c>
      <c r="E49" t="s">
        <v>783</v>
      </c>
    </row>
  </sheetData>
  <mergeCells count="12">
    <mergeCell ref="A2:A5"/>
    <mergeCell ref="A6:A9"/>
    <mergeCell ref="A10:A13"/>
    <mergeCell ref="A14:A17"/>
    <mergeCell ref="A18:A21"/>
    <mergeCell ref="A42:A45"/>
    <mergeCell ref="A46:A49"/>
    <mergeCell ref="A22:A25"/>
    <mergeCell ref="A26:A29"/>
    <mergeCell ref="A30:A33"/>
    <mergeCell ref="A34:A37"/>
    <mergeCell ref="A38:A4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49"/>
  <sheetViews>
    <sheetView showGridLines="0" workbookViewId="0">
      <selection activeCell="F2" sqref="F2"/>
    </sheetView>
  </sheetViews>
  <sheetFormatPr defaultColWidth="9" defaultRowHeight="14.4" x14ac:dyDescent="0.3"/>
  <cols>
    <col min="1" max="1" width="29.33203125" bestFit="1" customWidth="1"/>
    <col min="3" max="3" width="0" hidden="1" customWidth="1"/>
    <col min="4" max="4" width="14" customWidth="1"/>
    <col min="5" max="5" width="0" hidden="1" customWidth="1"/>
  </cols>
  <sheetData>
    <row r="1" spans="1:5" ht="28.8" x14ac:dyDescent="0.3">
      <c r="A1" s="55" t="s">
        <v>762</v>
      </c>
      <c r="B1" s="55" t="s">
        <v>759</v>
      </c>
      <c r="C1" s="55" t="s">
        <v>759</v>
      </c>
      <c r="D1" s="113" t="s">
        <v>803</v>
      </c>
    </row>
    <row r="2" spans="1:5" x14ac:dyDescent="0.3">
      <c r="A2" s="386" t="s">
        <v>773</v>
      </c>
      <c r="B2" s="157" t="s">
        <v>804</v>
      </c>
      <c r="C2" s="55">
        <v>1</v>
      </c>
      <c r="D2" s="55">
        <f>COUNTIFS('Override Control Env3'!$C$9:$C$1006,C2,'Override Control Env3'!$L$9:$L$1006,"Inadequate",'Override Control Env3'!$D$9:$D$1006,E2)</f>
        <v>0</v>
      </c>
      <c r="E2" t="s">
        <v>773</v>
      </c>
    </row>
    <row r="3" spans="1:5" x14ac:dyDescent="0.3">
      <c r="A3" s="386"/>
      <c r="B3" s="157" t="s">
        <v>805</v>
      </c>
      <c r="C3" s="55">
        <v>2</v>
      </c>
      <c r="D3" s="55">
        <f>COUNTIFS('Override Control Env3'!$C$9:$C$1006,C3,'Override Control Env3'!$L$9:$L$1006,"Inadequate",'Override Control Env3'!$D$9:$D$1006,E3)</f>
        <v>0</v>
      </c>
      <c r="E3" t="s">
        <v>773</v>
      </c>
    </row>
    <row r="4" spans="1:5" x14ac:dyDescent="0.3">
      <c r="A4" s="386"/>
      <c r="B4" s="157" t="s">
        <v>806</v>
      </c>
      <c r="C4" s="55">
        <v>3</v>
      </c>
      <c r="D4" s="55">
        <f>COUNTIFS('Override Control Env3'!$C$9:$C$1006,C4,'Override Control Env3'!$L$9:$L$1006,"Inadequate",'Override Control Env3'!$D$9:$D$1006,E4)</f>
        <v>0</v>
      </c>
      <c r="E4" t="s">
        <v>773</v>
      </c>
    </row>
    <row r="5" spans="1:5" x14ac:dyDescent="0.3">
      <c r="A5" s="386"/>
      <c r="B5" s="157" t="s">
        <v>807</v>
      </c>
      <c r="C5" s="55">
        <v>4</v>
      </c>
      <c r="D5" s="55">
        <f>COUNTIFS('Override Control Env3'!$C$9:$C$1006,C5,'Override Control Env3'!$L$9:$L$1006,"Inadequate",'Override Control Env3'!$D$9:$D$1006,E5)</f>
        <v>0</v>
      </c>
      <c r="E5" t="s">
        <v>773</v>
      </c>
    </row>
    <row r="6" spans="1:5" x14ac:dyDescent="0.3">
      <c r="A6" s="386" t="s">
        <v>391</v>
      </c>
      <c r="B6" s="157" t="s">
        <v>804</v>
      </c>
      <c r="C6" s="55">
        <v>1</v>
      </c>
      <c r="D6" s="55">
        <f>COUNTIFS('Override Control Env3'!$C$9:$C$1006,C6,'Override Control Env3'!$L$9:$L$1006,"Inadequate",'Override Control Env3'!$D$9:$D$1006,E6)</f>
        <v>0</v>
      </c>
      <c r="E6" t="s">
        <v>391</v>
      </c>
    </row>
    <row r="7" spans="1:5" x14ac:dyDescent="0.3">
      <c r="A7" s="386"/>
      <c r="B7" s="157" t="s">
        <v>805</v>
      </c>
      <c r="C7" s="55">
        <v>2</v>
      </c>
      <c r="D7" s="55">
        <f>COUNTIFS('Override Control Env3'!$C$9:$C$1006,C7,'Override Control Env3'!$L$9:$L$1006,"Inadequate",'Override Control Env3'!$D$9:$D$1006,E7)</f>
        <v>0</v>
      </c>
      <c r="E7" t="s">
        <v>391</v>
      </c>
    </row>
    <row r="8" spans="1:5" x14ac:dyDescent="0.3">
      <c r="A8" s="386"/>
      <c r="B8" s="157" t="s">
        <v>806</v>
      </c>
      <c r="C8" s="55">
        <v>3</v>
      </c>
      <c r="D8" s="55">
        <f>COUNTIFS('Override Control Env3'!$C$9:$C$1006,C8,'Override Control Env3'!$L$9:$L$1006,"Inadequate",'Override Control Env3'!$D$9:$D$1006,E8)</f>
        <v>0</v>
      </c>
      <c r="E8" t="s">
        <v>391</v>
      </c>
    </row>
    <row r="9" spans="1:5" x14ac:dyDescent="0.3">
      <c r="A9" s="386"/>
      <c r="B9" s="157" t="s">
        <v>807</v>
      </c>
      <c r="C9" s="55">
        <v>4</v>
      </c>
      <c r="D9" s="55">
        <f>COUNTIFS('Override Control Env3'!$C$9:$C$1006,C9,'Override Control Env3'!$L$9:$L$1006,"Inadequate",'Override Control Env3'!$D$9:$D$1006,E9)</f>
        <v>0</v>
      </c>
      <c r="E9" t="s">
        <v>391</v>
      </c>
    </row>
    <row r="10" spans="1:5" x14ac:dyDescent="0.3">
      <c r="A10" s="386" t="s">
        <v>412</v>
      </c>
      <c r="B10" s="157" t="s">
        <v>804</v>
      </c>
      <c r="C10" s="55">
        <v>1</v>
      </c>
      <c r="D10" s="55">
        <f>COUNTIFS('Override Control Env3'!$C$9:$C$1006,C10,'Override Control Env3'!$L$9:$L$1006,"Inadequate",'Override Control Env3'!$D$9:$D$1006,E10)</f>
        <v>0</v>
      </c>
      <c r="E10" t="s">
        <v>412</v>
      </c>
    </row>
    <row r="11" spans="1:5" x14ac:dyDescent="0.3">
      <c r="A11" s="386"/>
      <c r="B11" s="157" t="s">
        <v>805</v>
      </c>
      <c r="C11" s="55">
        <v>2</v>
      </c>
      <c r="D11" s="55">
        <f>COUNTIFS('Override Control Env3'!$C$9:$C$1006,C11,'Override Control Env3'!$L$9:$L$1006,"Inadequate",'Override Control Env3'!$D$9:$D$1006,E11)</f>
        <v>0</v>
      </c>
      <c r="E11" t="s">
        <v>412</v>
      </c>
    </row>
    <row r="12" spans="1:5" x14ac:dyDescent="0.3">
      <c r="A12" s="386"/>
      <c r="B12" s="157" t="s">
        <v>806</v>
      </c>
      <c r="C12" s="55">
        <v>3</v>
      </c>
      <c r="D12" s="55">
        <f>COUNTIFS('Override Control Env3'!$C$9:$C$1006,C12,'Override Control Env3'!$L$9:$L$1006,"Inadequate",'Override Control Env3'!$D$9:$D$1006,E12)</f>
        <v>0</v>
      </c>
      <c r="E12" t="s">
        <v>412</v>
      </c>
    </row>
    <row r="13" spans="1:5" x14ac:dyDescent="0.3">
      <c r="A13" s="386"/>
      <c r="B13" s="157" t="s">
        <v>807</v>
      </c>
      <c r="C13" s="55">
        <v>4</v>
      </c>
      <c r="D13" s="55">
        <f>COUNTIFS('Override Control Env3'!$C$9:$C$1006,C13,'Override Control Env3'!$L$9:$L$1006,"Inadequate",'Override Control Env3'!$D$9:$D$1006,E13)</f>
        <v>0</v>
      </c>
      <c r="E13" t="s">
        <v>412</v>
      </c>
    </row>
    <row r="14" spans="1:5" x14ac:dyDescent="0.3">
      <c r="A14" s="386" t="s">
        <v>796</v>
      </c>
      <c r="B14" s="157" t="s">
        <v>804</v>
      </c>
      <c r="C14" s="55">
        <v>1</v>
      </c>
      <c r="D14" s="55">
        <f>COUNTIFS('Override Control Env3'!$C$9:$C$1006,C14,'Override Control Env3'!$L$9:$L$1006,"Inadequate",'Override Control Env3'!$D$9:$D$1006,E14)</f>
        <v>0</v>
      </c>
      <c r="E14" t="s">
        <v>796</v>
      </c>
    </row>
    <row r="15" spans="1:5" x14ac:dyDescent="0.3">
      <c r="A15" s="386"/>
      <c r="B15" s="157" t="s">
        <v>805</v>
      </c>
      <c r="C15" s="55">
        <v>2</v>
      </c>
      <c r="D15" s="55">
        <f>COUNTIFS('Override Control Env3'!$C$9:$C$1006,C15,'Override Control Env3'!$L$9:$L$1006,"Inadequate",'Override Control Env3'!$D$9:$D$1006,E15)</f>
        <v>0</v>
      </c>
      <c r="E15" t="s">
        <v>796</v>
      </c>
    </row>
    <row r="16" spans="1:5" x14ac:dyDescent="0.3">
      <c r="A16" s="386"/>
      <c r="B16" s="157" t="s">
        <v>806</v>
      </c>
      <c r="C16" s="55">
        <v>3</v>
      </c>
      <c r="D16" s="55">
        <f>COUNTIFS('Override Control Env3'!$C$9:$C$1006,C16,'Override Control Env3'!$L$9:$L$1006,"Inadequate",'Override Control Env3'!$D$9:$D$1006,E16)</f>
        <v>0</v>
      </c>
      <c r="E16" t="s">
        <v>796</v>
      </c>
    </row>
    <row r="17" spans="1:5" x14ac:dyDescent="0.3">
      <c r="A17" s="386"/>
      <c r="B17" s="157" t="s">
        <v>807</v>
      </c>
      <c r="C17" s="55">
        <v>4</v>
      </c>
      <c r="D17" s="55">
        <f>COUNTIFS('Override Control Env3'!$C$9:$C$1006,C17,'Override Control Env3'!$L$9:$L$1006,"Inadequate",'Override Control Env3'!$D$9:$D$1006,E17)</f>
        <v>0</v>
      </c>
      <c r="E17" t="s">
        <v>796</v>
      </c>
    </row>
    <row r="18" spans="1:5" x14ac:dyDescent="0.3">
      <c r="A18" s="386" t="s">
        <v>797</v>
      </c>
      <c r="B18" s="157" t="s">
        <v>804</v>
      </c>
      <c r="C18" s="55">
        <v>1</v>
      </c>
      <c r="D18" s="55">
        <f>COUNTIFS('Override Control Env3'!$C$9:$C$1006,C18,'Override Control Env3'!$L$9:$L$1006,"Inadequate",'Override Control Env3'!$D$9:$D$1006,E18)</f>
        <v>0</v>
      </c>
      <c r="E18" t="s">
        <v>797</v>
      </c>
    </row>
    <row r="19" spans="1:5" x14ac:dyDescent="0.3">
      <c r="A19" s="386"/>
      <c r="B19" s="157" t="s">
        <v>805</v>
      </c>
      <c r="C19" s="55">
        <v>2</v>
      </c>
      <c r="D19" s="55">
        <f>COUNTIFS('Override Control Env3'!$C$9:$C$1006,C19,'Override Control Env3'!$L$9:$L$1006,"Inadequate",'Override Control Env3'!$D$9:$D$1006,E19)</f>
        <v>0</v>
      </c>
      <c r="E19" t="s">
        <v>797</v>
      </c>
    </row>
    <row r="20" spans="1:5" x14ac:dyDescent="0.3">
      <c r="A20" s="386"/>
      <c r="B20" s="157" t="s">
        <v>806</v>
      </c>
      <c r="C20" s="55">
        <v>3</v>
      </c>
      <c r="D20" s="55">
        <f>COUNTIFS('Override Control Env3'!$C$9:$C$1006,C20,'Override Control Env3'!$L$9:$L$1006,"Inadequate",'Override Control Env3'!$D$9:$D$1006,E20)</f>
        <v>0</v>
      </c>
      <c r="E20" t="s">
        <v>797</v>
      </c>
    </row>
    <row r="21" spans="1:5" x14ac:dyDescent="0.3">
      <c r="A21" s="386"/>
      <c r="B21" s="157" t="s">
        <v>807</v>
      </c>
      <c r="C21" s="55">
        <v>4</v>
      </c>
      <c r="D21" s="55">
        <f>COUNTIFS('Override Control Env3'!$C$9:$C$1006,C21,'Override Control Env3'!$L$9:$L$1006,"Inadequate",'Override Control Env3'!$D$9:$D$1006,E21)</f>
        <v>0</v>
      </c>
      <c r="E21" t="s">
        <v>797</v>
      </c>
    </row>
    <row r="22" spans="1:5" x14ac:dyDescent="0.3">
      <c r="A22" s="387" t="s">
        <v>775</v>
      </c>
      <c r="B22" s="157" t="s">
        <v>804</v>
      </c>
      <c r="C22" s="55">
        <v>1</v>
      </c>
      <c r="D22" s="55">
        <f>COUNTIFS('Override Control Env3'!$C$9:$C$1006,C22,'Override Control Env3'!$L$9:$L$1006,"Inadequate",'Override Control Env3'!$D$9:$D$1006,E22)</f>
        <v>0</v>
      </c>
      <c r="E22" t="s">
        <v>775</v>
      </c>
    </row>
    <row r="23" spans="1:5" x14ac:dyDescent="0.3">
      <c r="A23" s="387"/>
      <c r="B23" s="157" t="s">
        <v>805</v>
      </c>
      <c r="C23" s="55">
        <v>2</v>
      </c>
      <c r="D23" s="55">
        <f>COUNTIFS('Override Control Env3'!$C$9:$C$1006,C23,'Override Control Env3'!$L$9:$L$1006,"Inadequate",'Override Control Env3'!$D$9:$D$1006,E23)</f>
        <v>0</v>
      </c>
      <c r="E23" t="s">
        <v>775</v>
      </c>
    </row>
    <row r="24" spans="1:5" x14ac:dyDescent="0.3">
      <c r="A24" s="387"/>
      <c r="B24" s="157" t="s">
        <v>806</v>
      </c>
      <c r="C24" s="55">
        <v>3</v>
      </c>
      <c r="D24" s="55">
        <f>COUNTIFS('Override Control Env3'!$C$9:$C$1006,C24,'Override Control Env3'!$L$9:$L$1006,"Inadequate",'Override Control Env3'!$D$9:$D$1006,E24)</f>
        <v>0</v>
      </c>
      <c r="E24" t="s">
        <v>775</v>
      </c>
    </row>
    <row r="25" spans="1:5" x14ac:dyDescent="0.3">
      <c r="A25" s="387"/>
      <c r="B25" s="157" t="s">
        <v>807</v>
      </c>
      <c r="C25" s="55">
        <v>4</v>
      </c>
      <c r="D25" s="55">
        <f>COUNTIFS('Override Control Env3'!$C$9:$C$1006,C25,'Override Control Env3'!$L$9:$L$1006,"Inadequate",'Override Control Env3'!$D$9:$D$1006,E25)</f>
        <v>0</v>
      </c>
      <c r="E25" t="s">
        <v>775</v>
      </c>
    </row>
    <row r="26" spans="1:5" x14ac:dyDescent="0.3">
      <c r="A26" s="386" t="s">
        <v>777</v>
      </c>
      <c r="B26" s="157" t="s">
        <v>804</v>
      </c>
      <c r="C26" s="55">
        <v>1</v>
      </c>
      <c r="D26" s="55">
        <f>COUNTIFS('Override Control Env3'!$C$9:$C$1006,C26,'Override Control Env3'!$L$9:$L$1006,"Inadequate",'Override Control Env3'!$D$9:$D$1006,E26)</f>
        <v>0</v>
      </c>
      <c r="E26" t="s">
        <v>777</v>
      </c>
    </row>
    <row r="27" spans="1:5" x14ac:dyDescent="0.3">
      <c r="A27" s="386"/>
      <c r="B27" s="157" t="s">
        <v>805</v>
      </c>
      <c r="C27" s="55">
        <v>2</v>
      </c>
      <c r="D27" s="55">
        <f>COUNTIFS('Override Control Env3'!$C$9:$C$1006,C27,'Override Control Env3'!$L$9:$L$1006,"Inadequate",'Override Control Env3'!$D$9:$D$1006,E27)</f>
        <v>0</v>
      </c>
      <c r="E27" t="s">
        <v>777</v>
      </c>
    </row>
    <row r="28" spans="1:5" x14ac:dyDescent="0.3">
      <c r="A28" s="386"/>
      <c r="B28" s="157" t="s">
        <v>806</v>
      </c>
      <c r="C28" s="55">
        <v>3</v>
      </c>
      <c r="D28" s="55">
        <f>COUNTIFS('Override Control Env3'!$C$9:$C$1006,C28,'Override Control Env3'!$L$9:$L$1006,"Inadequate",'Override Control Env3'!$D$9:$D$1006,E28)</f>
        <v>0</v>
      </c>
      <c r="E28" t="s">
        <v>777</v>
      </c>
    </row>
    <row r="29" spans="1:5" x14ac:dyDescent="0.3">
      <c r="A29" s="386"/>
      <c r="B29" s="157" t="s">
        <v>807</v>
      </c>
      <c r="C29" s="55">
        <v>4</v>
      </c>
      <c r="D29" s="55">
        <f>COUNTIFS('Override Control Env3'!$C$9:$C$1006,C29,'Override Control Env3'!$L$9:$L$1006,"Inadequate",'Override Control Env3'!$D$9:$D$1006,E29)</f>
        <v>0</v>
      </c>
      <c r="E29" t="s">
        <v>777</v>
      </c>
    </row>
    <row r="30" spans="1:5" x14ac:dyDescent="0.3">
      <c r="A30" s="386" t="s">
        <v>590</v>
      </c>
      <c r="B30" s="157" t="s">
        <v>804</v>
      </c>
      <c r="C30" s="55">
        <v>1</v>
      </c>
      <c r="D30" s="55">
        <f>COUNTIFS('Override Control Env3'!$C$9:$C$1006,C30,'Override Control Env3'!$L$9:$L$1006,"Inadequate",'Override Control Env3'!$D$9:$D$1006,E30)</f>
        <v>0</v>
      </c>
      <c r="E30" t="s">
        <v>590</v>
      </c>
    </row>
    <row r="31" spans="1:5" x14ac:dyDescent="0.3">
      <c r="A31" s="386"/>
      <c r="B31" s="157" t="s">
        <v>805</v>
      </c>
      <c r="C31" s="55">
        <v>2</v>
      </c>
      <c r="D31" s="55">
        <f>COUNTIFS('Override Control Env3'!$C$9:$C$1006,C31,'Override Control Env3'!$L$9:$L$1006,"Inadequate",'Override Control Env3'!$D$9:$D$1006,E31)</f>
        <v>0</v>
      </c>
      <c r="E31" t="s">
        <v>590</v>
      </c>
    </row>
    <row r="32" spans="1:5" x14ac:dyDescent="0.3">
      <c r="A32" s="386"/>
      <c r="B32" s="157" t="s">
        <v>806</v>
      </c>
      <c r="C32" s="55">
        <v>3</v>
      </c>
      <c r="D32" s="55">
        <f>COUNTIFS('Override Control Env3'!$C$9:$C$1006,C32,'Override Control Env3'!$L$9:$L$1006,"Inadequate",'Override Control Env3'!$D$9:$D$1006,E32)</f>
        <v>0</v>
      </c>
      <c r="E32" t="s">
        <v>590</v>
      </c>
    </row>
    <row r="33" spans="1:5" x14ac:dyDescent="0.3">
      <c r="A33" s="386"/>
      <c r="B33" s="157" t="s">
        <v>807</v>
      </c>
      <c r="C33" s="55">
        <v>4</v>
      </c>
      <c r="D33" s="55">
        <f>COUNTIFS('Override Control Env3'!$C$9:$C$1006,C33,'Override Control Env3'!$L$9:$L$1006,"Inadequate",'Override Control Env3'!$D$9:$D$1006,E33)</f>
        <v>0</v>
      </c>
      <c r="E33" t="s">
        <v>590</v>
      </c>
    </row>
    <row r="34" spans="1:5" x14ac:dyDescent="0.3">
      <c r="A34" s="386" t="s">
        <v>621</v>
      </c>
      <c r="B34" s="157" t="s">
        <v>804</v>
      </c>
      <c r="C34" s="55">
        <v>1</v>
      </c>
      <c r="D34" s="55">
        <f>COUNTIFS('Override Control Env3'!$C$9:$C$1006,C34,'Override Control Env3'!$L$9:$L$1006,"Inadequate",'Override Control Env3'!$D$9:$D$1006,E34)</f>
        <v>0</v>
      </c>
      <c r="E34" t="s">
        <v>621</v>
      </c>
    </row>
    <row r="35" spans="1:5" x14ac:dyDescent="0.3">
      <c r="A35" s="386"/>
      <c r="B35" s="157" t="s">
        <v>805</v>
      </c>
      <c r="C35" s="55">
        <v>2</v>
      </c>
      <c r="D35" s="55">
        <f>COUNTIFS('Override Control Env3'!$C$9:$C$1006,C35,'Override Control Env3'!$L$9:$L$1006,"Inadequate",'Override Control Env3'!$D$9:$D$1006,E35)</f>
        <v>0</v>
      </c>
      <c r="E35" t="s">
        <v>621</v>
      </c>
    </row>
    <row r="36" spans="1:5" x14ac:dyDescent="0.3">
      <c r="A36" s="386"/>
      <c r="B36" s="157" t="s">
        <v>806</v>
      </c>
      <c r="C36" s="55">
        <v>3</v>
      </c>
      <c r="D36" s="55">
        <f>COUNTIFS('Override Control Env3'!$C$9:$C$1006,C36,'Override Control Env3'!$L$9:$L$1006,"Inadequate",'Override Control Env3'!$D$9:$D$1006,E36)</f>
        <v>0</v>
      </c>
      <c r="E36" t="s">
        <v>621</v>
      </c>
    </row>
    <row r="37" spans="1:5" x14ac:dyDescent="0.3">
      <c r="A37" s="386"/>
      <c r="B37" s="157" t="s">
        <v>807</v>
      </c>
      <c r="C37" s="55">
        <v>4</v>
      </c>
      <c r="D37" s="55">
        <f>COUNTIFS('Override Control Env3'!$C$9:$C$1006,C37,'Override Control Env3'!$L$9:$L$1006,"Inadequate",'Override Control Env3'!$D$9:$D$1006,E37)</f>
        <v>0</v>
      </c>
      <c r="E37" t="s">
        <v>621</v>
      </c>
    </row>
    <row r="38" spans="1:5" x14ac:dyDescent="0.3">
      <c r="A38" s="386" t="s">
        <v>778</v>
      </c>
      <c r="B38" s="157" t="s">
        <v>804</v>
      </c>
      <c r="C38" s="55">
        <v>1</v>
      </c>
      <c r="D38" s="55">
        <f>COUNTIFS('Override Control Env3'!$C$9:$C$1006,C38,'Override Control Env3'!$L$9:$L$1006,"Inadequate",'Override Control Env3'!$D$9:$D$1006,E38)</f>
        <v>0</v>
      </c>
      <c r="E38" t="s">
        <v>778</v>
      </c>
    </row>
    <row r="39" spans="1:5" x14ac:dyDescent="0.3">
      <c r="A39" s="386"/>
      <c r="B39" s="157" t="s">
        <v>805</v>
      </c>
      <c r="C39" s="55">
        <v>2</v>
      </c>
      <c r="D39" s="55">
        <f>COUNTIFS('Override Control Env3'!$C$9:$C$1006,C39,'Override Control Env3'!$L$9:$L$1006,"Inadequate",'Override Control Env3'!$D$9:$D$1006,E39)</f>
        <v>0</v>
      </c>
      <c r="E39" t="s">
        <v>778</v>
      </c>
    </row>
    <row r="40" spans="1:5" x14ac:dyDescent="0.3">
      <c r="A40" s="386"/>
      <c r="B40" s="157" t="s">
        <v>806</v>
      </c>
      <c r="C40" s="55">
        <v>3</v>
      </c>
      <c r="D40" s="55">
        <f>COUNTIFS('Override Control Env3'!$C$9:$C$1006,C40,'Override Control Env3'!$L$9:$L$1006,"Inadequate",'Override Control Env3'!$D$9:$D$1006,E40)</f>
        <v>0</v>
      </c>
      <c r="E40" t="s">
        <v>778</v>
      </c>
    </row>
    <row r="41" spans="1:5" x14ac:dyDescent="0.3">
      <c r="A41" s="386"/>
      <c r="B41" s="157" t="s">
        <v>807</v>
      </c>
      <c r="C41" s="55">
        <v>4</v>
      </c>
      <c r="D41" s="55">
        <f>COUNTIFS('Override Control Env3'!$C$9:$C$1006,C41,'Override Control Env3'!$L$9:$L$1006,"Inadequate",'Override Control Env3'!$D$9:$D$1006,E41)</f>
        <v>0</v>
      </c>
      <c r="E41" t="s">
        <v>778</v>
      </c>
    </row>
    <row r="42" spans="1:5" x14ac:dyDescent="0.3">
      <c r="A42" s="386" t="s">
        <v>779</v>
      </c>
      <c r="B42" s="157" t="s">
        <v>804</v>
      </c>
      <c r="C42" s="55">
        <v>1</v>
      </c>
      <c r="D42" s="55">
        <f>COUNTIFS('Override Control Env3'!$C$9:$C$1006,C42,'Override Control Env3'!$L$9:$L$1006,"Inadequate",'Override Control Env3'!$D$9:$D$1006,E42)</f>
        <v>0</v>
      </c>
      <c r="E42" t="s">
        <v>779</v>
      </c>
    </row>
    <row r="43" spans="1:5" x14ac:dyDescent="0.3">
      <c r="A43" s="386"/>
      <c r="B43" s="157" t="s">
        <v>805</v>
      </c>
      <c r="C43" s="55">
        <v>2</v>
      </c>
      <c r="D43" s="55">
        <f>COUNTIFS('Override Control Env3'!$C$9:$C$1006,C43,'Override Control Env3'!$L$9:$L$1006,"Inadequate",'Override Control Env3'!$D$9:$D$1006,E43)</f>
        <v>0</v>
      </c>
      <c r="E43" t="s">
        <v>779</v>
      </c>
    </row>
    <row r="44" spans="1:5" x14ac:dyDescent="0.3">
      <c r="A44" s="386"/>
      <c r="B44" s="157" t="s">
        <v>806</v>
      </c>
      <c r="C44" s="55">
        <v>3</v>
      </c>
      <c r="D44" s="55">
        <f>COUNTIFS('Override Control Env3'!$C$9:$C$1006,C44,'Override Control Env3'!$L$9:$L$1006,"Inadequate",'Override Control Env3'!$D$9:$D$1006,E44)</f>
        <v>0</v>
      </c>
      <c r="E44" t="s">
        <v>779</v>
      </c>
    </row>
    <row r="45" spans="1:5" x14ac:dyDescent="0.3">
      <c r="A45" s="386"/>
      <c r="B45" s="157" t="s">
        <v>807</v>
      </c>
      <c r="C45" s="55">
        <v>4</v>
      </c>
      <c r="D45" s="55">
        <f>COUNTIFS('Override Control Env3'!$C$9:$C$1006,C45,'Override Control Env3'!$L$9:$L$1006,"Inadequate",'Override Control Env3'!$D$9:$D$1006,E45)</f>
        <v>0</v>
      </c>
      <c r="E45" t="s">
        <v>779</v>
      </c>
    </row>
    <row r="46" spans="1:5" x14ac:dyDescent="0.3">
      <c r="A46" s="386" t="s">
        <v>783</v>
      </c>
      <c r="B46" s="157" t="s">
        <v>804</v>
      </c>
      <c r="C46" s="55">
        <v>1</v>
      </c>
      <c r="D46" s="55">
        <f>COUNTIFS('Override Control Env3'!$C$9:$C$1006,C46,'Override Control Env3'!$L$9:$L$1006,"Inadequate",'Override Control Env3'!$D$9:$D$1006,E46)</f>
        <v>0</v>
      </c>
      <c r="E46" t="s">
        <v>783</v>
      </c>
    </row>
    <row r="47" spans="1:5" x14ac:dyDescent="0.3">
      <c r="A47" s="386"/>
      <c r="B47" s="157" t="s">
        <v>805</v>
      </c>
      <c r="C47" s="55">
        <v>2</v>
      </c>
      <c r="D47" s="55">
        <f>COUNTIFS('Override Control Env3'!$C$9:$C$1006,C47,'Override Control Env3'!$L$9:$L$1006,"Inadequate",'Override Control Env3'!$D$9:$D$1006,E47)</f>
        <v>0</v>
      </c>
      <c r="E47" t="s">
        <v>783</v>
      </c>
    </row>
    <row r="48" spans="1:5" x14ac:dyDescent="0.3">
      <c r="A48" s="386"/>
      <c r="B48" s="157" t="s">
        <v>806</v>
      </c>
      <c r="C48" s="55">
        <v>3</v>
      </c>
      <c r="D48" s="55">
        <f>COUNTIFS('Override Control Env3'!$C$9:$C$1006,C48,'Override Control Env3'!$L$9:$L$1006,"Inadequate",'Override Control Env3'!$D$9:$D$1006,E48)</f>
        <v>0</v>
      </c>
      <c r="E48" t="s">
        <v>783</v>
      </c>
    </row>
    <row r="49" spans="1:5" x14ac:dyDescent="0.3">
      <c r="A49" s="386"/>
      <c r="B49" s="157" t="s">
        <v>807</v>
      </c>
      <c r="C49" s="55">
        <v>4</v>
      </c>
      <c r="D49" s="55">
        <f>COUNTIFS('Override Control Env3'!$C$9:$C$1006,C49,'Override Control Env3'!$L$9:$L$1006,"Inadequate",'Override Control Env3'!$D$9:$D$1006,E49)</f>
        <v>0</v>
      </c>
      <c r="E49" t="s">
        <v>783</v>
      </c>
    </row>
  </sheetData>
  <mergeCells count="12">
    <mergeCell ref="A2:A5"/>
    <mergeCell ref="A6:A9"/>
    <mergeCell ref="A10:A13"/>
    <mergeCell ref="A14:A17"/>
    <mergeCell ref="A18:A21"/>
    <mergeCell ref="A42:A45"/>
    <mergeCell ref="A46:A49"/>
    <mergeCell ref="A22:A25"/>
    <mergeCell ref="A26:A29"/>
    <mergeCell ref="A30:A33"/>
    <mergeCell ref="A34:A37"/>
    <mergeCell ref="A38:A4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68"/>
  <sheetViews>
    <sheetView showGridLines="0" workbookViewId="0">
      <selection activeCell="C68" sqref="C68"/>
    </sheetView>
  </sheetViews>
  <sheetFormatPr defaultRowHeight="14.4" x14ac:dyDescent="0.3"/>
  <cols>
    <col min="1" max="1" width="29.33203125" bestFit="1" customWidth="1"/>
    <col min="2" max="2" width="11.109375" bestFit="1" customWidth="1"/>
  </cols>
  <sheetData>
    <row r="1" spans="1:3" x14ac:dyDescent="0.3">
      <c r="A1" s="386" t="s">
        <v>773</v>
      </c>
      <c r="B1" s="55" t="s">
        <v>77</v>
      </c>
      <c r="C1" s="55">
        <f>COUNTIF('Override Control Env1'!$L$9:$L$19,B1)</f>
        <v>7</v>
      </c>
    </row>
    <row r="2" spans="1:3" x14ac:dyDescent="0.3">
      <c r="A2" s="386"/>
      <c r="B2" s="55" t="s">
        <v>79</v>
      </c>
      <c r="C2" s="55">
        <f>COUNTIF('Override Control Env1'!$L$9:$L$19,B2)</f>
        <v>4</v>
      </c>
    </row>
    <row r="3" spans="1:3" x14ac:dyDescent="0.3">
      <c r="A3" s="386"/>
      <c r="B3" s="55" t="s">
        <v>52</v>
      </c>
      <c r="C3" s="55">
        <f>COUNTIF('Override Control Env1'!$L$9:$L$19,B3)</f>
        <v>0</v>
      </c>
    </row>
    <row r="4" spans="1:3" x14ac:dyDescent="0.3">
      <c r="A4" s="386"/>
      <c r="B4" s="55" t="s">
        <v>790</v>
      </c>
      <c r="C4" s="55">
        <f>COUNTIF('Override Control Env1'!$L$9:$L$19,B4)</f>
        <v>0</v>
      </c>
    </row>
    <row r="5" spans="1:3" x14ac:dyDescent="0.3">
      <c r="A5" s="386" t="s">
        <v>391</v>
      </c>
      <c r="B5" s="55" t="s">
        <v>77</v>
      </c>
      <c r="C5" s="55">
        <f>COUNTIF('Override Control Env1'!$L$20:$L$24,B5)</f>
        <v>3</v>
      </c>
    </row>
    <row r="6" spans="1:3" x14ac:dyDescent="0.3">
      <c r="A6" s="386"/>
      <c r="B6" s="55" t="s">
        <v>79</v>
      </c>
      <c r="C6" s="55">
        <f>COUNTIF('Override Control Env1'!$L$20:$L$24,B6)</f>
        <v>2</v>
      </c>
    </row>
    <row r="7" spans="1:3" x14ac:dyDescent="0.3">
      <c r="A7" s="386"/>
      <c r="B7" s="55" t="s">
        <v>52</v>
      </c>
      <c r="C7" s="55">
        <f>COUNTIF('Override Control Env1'!$L$20:$L$24,B7)</f>
        <v>0</v>
      </c>
    </row>
    <row r="8" spans="1:3" x14ac:dyDescent="0.3">
      <c r="A8" s="386"/>
      <c r="B8" s="55" t="s">
        <v>790</v>
      </c>
      <c r="C8" s="55">
        <f>COUNTIF('Override Control Env1'!$L$20:$L$24,B8)</f>
        <v>0</v>
      </c>
    </row>
    <row r="9" spans="1:3" x14ac:dyDescent="0.3">
      <c r="A9" s="386" t="s">
        <v>412</v>
      </c>
      <c r="B9" s="55" t="s">
        <v>77</v>
      </c>
      <c r="C9" s="55">
        <f>COUNTIF('Override Control Env1'!$L$25:$L$33,B9)</f>
        <v>6</v>
      </c>
    </row>
    <row r="10" spans="1:3" x14ac:dyDescent="0.3">
      <c r="A10" s="386"/>
      <c r="B10" s="55" t="s">
        <v>79</v>
      </c>
      <c r="C10" s="55">
        <f>COUNTIF('Override Control Env1'!$L$25:$L$33,B10)</f>
        <v>3</v>
      </c>
    </row>
    <row r="11" spans="1:3" x14ac:dyDescent="0.3">
      <c r="A11" s="386"/>
      <c r="B11" s="55" t="s">
        <v>52</v>
      </c>
      <c r="C11" s="55">
        <f>COUNTIF('Override Control Env1'!$L$25:$L$33,B11)</f>
        <v>0</v>
      </c>
    </row>
    <row r="12" spans="1:3" x14ac:dyDescent="0.3">
      <c r="A12" s="386"/>
      <c r="B12" s="55" t="s">
        <v>790</v>
      </c>
      <c r="C12" s="55">
        <f>COUNTIF('Override Control Env1'!$L$25:$L$33,B12)</f>
        <v>0</v>
      </c>
    </row>
    <row r="13" spans="1:3" x14ac:dyDescent="0.3">
      <c r="A13" s="386" t="s">
        <v>796</v>
      </c>
      <c r="B13" s="55" t="s">
        <v>77</v>
      </c>
      <c r="C13" s="55" t="e">
        <f>COUNTIF('Override Control Env1'!#REF!,B13)</f>
        <v>#REF!</v>
      </c>
    </row>
    <row r="14" spans="1:3" x14ac:dyDescent="0.3">
      <c r="A14" s="386"/>
      <c r="B14" s="55" t="s">
        <v>79</v>
      </c>
      <c r="C14" s="55" t="e">
        <f>COUNTIF('Override Control Env1'!#REF!,B14)</f>
        <v>#REF!</v>
      </c>
    </row>
    <row r="15" spans="1:3" x14ac:dyDescent="0.3">
      <c r="A15" s="386"/>
      <c r="B15" s="55" t="s">
        <v>52</v>
      </c>
      <c r="C15" s="55" t="e">
        <f>COUNTIF('Override Control Env1'!#REF!,B15)</f>
        <v>#REF!</v>
      </c>
    </row>
    <row r="16" spans="1:3" x14ac:dyDescent="0.3">
      <c r="A16" s="386"/>
      <c r="B16" s="55" t="s">
        <v>790</v>
      </c>
      <c r="C16" s="55" t="e">
        <f>COUNTIF('Override Control Env1'!#REF!,B16)</f>
        <v>#REF!</v>
      </c>
    </row>
    <row r="17" spans="1:3" x14ac:dyDescent="0.3">
      <c r="A17" s="386" t="s">
        <v>797</v>
      </c>
      <c r="B17" s="55" t="s">
        <v>77</v>
      </c>
      <c r="C17" s="55">
        <f>COUNTIF('Override Control Env1'!$L$34:$L$56,B17)</f>
        <v>13</v>
      </c>
    </row>
    <row r="18" spans="1:3" x14ac:dyDescent="0.3">
      <c r="A18" s="386"/>
      <c r="B18" s="55" t="s">
        <v>79</v>
      </c>
      <c r="C18" s="55">
        <f>COUNTIF('Override Control Env1'!$L$34:$L$56,B18)</f>
        <v>10</v>
      </c>
    </row>
    <row r="19" spans="1:3" x14ac:dyDescent="0.3">
      <c r="A19" s="386"/>
      <c r="B19" s="55" t="s">
        <v>52</v>
      </c>
      <c r="C19" s="55">
        <f>COUNTIF('Override Control Env1'!$L$34:$L$56,B19)</f>
        <v>0</v>
      </c>
    </row>
    <row r="20" spans="1:3" x14ac:dyDescent="0.3">
      <c r="A20" s="386"/>
      <c r="B20" s="55" t="s">
        <v>790</v>
      </c>
      <c r="C20" s="55">
        <f>COUNTIF('Override Control Env1'!$L$34:$L$56,B20)</f>
        <v>0</v>
      </c>
    </row>
    <row r="21" spans="1:3" x14ac:dyDescent="0.3">
      <c r="A21" s="386" t="s">
        <v>798</v>
      </c>
      <c r="B21" s="55" t="s">
        <v>77</v>
      </c>
      <c r="C21" s="55" t="e">
        <f>COUNTIF('Override Control Env1'!#REF!,B21)</f>
        <v>#REF!</v>
      </c>
    </row>
    <row r="22" spans="1:3" x14ac:dyDescent="0.3">
      <c r="A22" s="386"/>
      <c r="B22" s="55" t="s">
        <v>79</v>
      </c>
      <c r="C22" s="55" t="e">
        <f>COUNTIF('Override Control Env1'!#REF!,B22)</f>
        <v>#REF!</v>
      </c>
    </row>
    <row r="23" spans="1:3" x14ac:dyDescent="0.3">
      <c r="A23" s="386"/>
      <c r="B23" s="55" t="s">
        <v>52</v>
      </c>
      <c r="C23" s="55" t="e">
        <f>COUNTIF('Override Control Env1'!#REF!,B23)</f>
        <v>#REF!</v>
      </c>
    </row>
    <row r="24" spans="1:3" x14ac:dyDescent="0.3">
      <c r="A24" s="386"/>
      <c r="B24" s="55" t="s">
        <v>790</v>
      </c>
      <c r="C24" s="55" t="e">
        <f>COUNTIF('Override Control Env1'!#REF!,B24)</f>
        <v>#REF!</v>
      </c>
    </row>
    <row r="25" spans="1:3" ht="15" customHeight="1" x14ac:dyDescent="0.3">
      <c r="A25" s="387" t="s">
        <v>775</v>
      </c>
      <c r="B25" s="55" t="s">
        <v>77</v>
      </c>
      <c r="C25" s="55">
        <f>COUNTIF('Override Control Env1'!$L$59:$L$70,B25)</f>
        <v>8</v>
      </c>
    </row>
    <row r="26" spans="1:3" x14ac:dyDescent="0.3">
      <c r="A26" s="387"/>
      <c r="B26" s="55" t="s">
        <v>79</v>
      </c>
      <c r="C26" s="55">
        <f>COUNTIF('Override Control Env1'!$L$59:$L$70,B26)</f>
        <v>4</v>
      </c>
    </row>
    <row r="27" spans="1:3" x14ac:dyDescent="0.3">
      <c r="A27" s="387"/>
      <c r="B27" s="55" t="s">
        <v>52</v>
      </c>
      <c r="C27" s="55">
        <f>COUNTIF('Override Control Env1'!$L$59:$L$70,B27)</f>
        <v>0</v>
      </c>
    </row>
    <row r="28" spans="1:3" x14ac:dyDescent="0.3">
      <c r="A28" s="387"/>
      <c r="B28" s="55" t="s">
        <v>790</v>
      </c>
      <c r="C28" s="55">
        <f>COUNTIF('Override Control Env1'!$L$59:$L$70,B28)</f>
        <v>0</v>
      </c>
    </row>
    <row r="29" spans="1:3" x14ac:dyDescent="0.3">
      <c r="A29" s="386" t="s">
        <v>777</v>
      </c>
      <c r="B29" s="55" t="s">
        <v>77</v>
      </c>
      <c r="C29" s="55">
        <f>COUNTIF('Override Control Env1'!$L$71:$L$81,B29)</f>
        <v>9</v>
      </c>
    </row>
    <row r="30" spans="1:3" x14ac:dyDescent="0.3">
      <c r="A30" s="386"/>
      <c r="B30" s="55" t="s">
        <v>79</v>
      </c>
      <c r="C30" s="55">
        <f>COUNTIF('Override Control Env1'!$L$71:$L$81,B30)</f>
        <v>2</v>
      </c>
    </row>
    <row r="31" spans="1:3" x14ac:dyDescent="0.3">
      <c r="A31" s="386"/>
      <c r="B31" s="55" t="s">
        <v>52</v>
      </c>
      <c r="C31" s="55">
        <f>COUNTIF('Override Control Env1'!$L$71:$L$81,B31)</f>
        <v>0</v>
      </c>
    </row>
    <row r="32" spans="1:3" x14ac:dyDescent="0.3">
      <c r="A32" s="386"/>
      <c r="B32" s="55" t="s">
        <v>790</v>
      </c>
      <c r="C32" s="55">
        <f>COUNTIF('Override Control Env1'!$L$71:$L$81,B32)</f>
        <v>0</v>
      </c>
    </row>
    <row r="33" spans="1:3" x14ac:dyDescent="0.3">
      <c r="A33" s="386" t="s">
        <v>590</v>
      </c>
      <c r="B33" s="55" t="s">
        <v>77</v>
      </c>
      <c r="C33" s="55">
        <f>COUNTIF('Override Control Env1'!$L$82:$L$91,B33)</f>
        <v>9</v>
      </c>
    </row>
    <row r="34" spans="1:3" x14ac:dyDescent="0.3">
      <c r="A34" s="386"/>
      <c r="B34" s="55" t="s">
        <v>79</v>
      </c>
      <c r="C34" s="55">
        <f>COUNTIF('Override Control Env1'!$L$82:$L$91,B34)</f>
        <v>1</v>
      </c>
    </row>
    <row r="35" spans="1:3" x14ac:dyDescent="0.3">
      <c r="A35" s="386"/>
      <c r="B35" s="55" t="s">
        <v>52</v>
      </c>
      <c r="C35" s="55">
        <f>COUNTIF('Override Control Env1'!$L$82:$L$91,B35)</f>
        <v>0</v>
      </c>
    </row>
    <row r="36" spans="1:3" x14ac:dyDescent="0.3">
      <c r="A36" s="386"/>
      <c r="B36" s="55" t="s">
        <v>790</v>
      </c>
      <c r="C36" s="55">
        <f>COUNTIF('Override Control Env1'!$L$82:$L$91,B36)</f>
        <v>0</v>
      </c>
    </row>
    <row r="37" spans="1:3" x14ac:dyDescent="0.3">
      <c r="A37" s="386" t="s">
        <v>799</v>
      </c>
      <c r="B37" s="55" t="s">
        <v>77</v>
      </c>
      <c r="C37" s="55" t="e">
        <f>COUNTIF('Override Control Env1'!#REF!,B37)</f>
        <v>#REF!</v>
      </c>
    </row>
    <row r="38" spans="1:3" x14ac:dyDescent="0.3">
      <c r="A38" s="386"/>
      <c r="B38" s="55" t="s">
        <v>79</v>
      </c>
      <c r="C38" s="55" t="e">
        <f>COUNTIF('Override Control Env1'!#REF!,B38)</f>
        <v>#REF!</v>
      </c>
    </row>
    <row r="39" spans="1:3" x14ac:dyDescent="0.3">
      <c r="A39" s="386"/>
      <c r="B39" s="55" t="s">
        <v>52</v>
      </c>
      <c r="C39" s="55" t="e">
        <f>COUNTIF('Override Control Env1'!#REF!,B39)</f>
        <v>#REF!</v>
      </c>
    </row>
    <row r="40" spans="1:3" x14ac:dyDescent="0.3">
      <c r="A40" s="386"/>
      <c r="B40" s="55" t="s">
        <v>790</v>
      </c>
      <c r="C40" s="55" t="e">
        <f>COUNTIF('Override Control Env1'!#REF!,B40)</f>
        <v>#REF!</v>
      </c>
    </row>
    <row r="41" spans="1:3" x14ac:dyDescent="0.3">
      <c r="A41" s="386" t="s">
        <v>800</v>
      </c>
      <c r="B41" s="55" t="s">
        <v>77</v>
      </c>
      <c r="C41" s="55" t="e">
        <f>COUNTIF('Override Control Env1'!#REF!,B41)</f>
        <v>#REF!</v>
      </c>
    </row>
    <row r="42" spans="1:3" x14ac:dyDescent="0.3">
      <c r="A42" s="386"/>
      <c r="B42" s="55" t="s">
        <v>79</v>
      </c>
      <c r="C42" s="55" t="e">
        <f>COUNTIF('Override Control Env1'!#REF!,B42)</f>
        <v>#REF!</v>
      </c>
    </row>
    <row r="43" spans="1:3" x14ac:dyDescent="0.3">
      <c r="A43" s="386"/>
      <c r="B43" s="55" t="s">
        <v>52</v>
      </c>
      <c r="C43" s="55" t="e">
        <f>COUNTIF('Override Control Env1'!#REF!,B43)</f>
        <v>#REF!</v>
      </c>
    </row>
    <row r="44" spans="1:3" x14ac:dyDescent="0.3">
      <c r="A44" s="386"/>
      <c r="B44" s="55" t="s">
        <v>790</v>
      </c>
      <c r="C44" s="55" t="e">
        <f>COUNTIF('Override Control Env1'!#REF!,B44)</f>
        <v>#REF!</v>
      </c>
    </row>
    <row r="45" spans="1:3" x14ac:dyDescent="0.3">
      <c r="A45" s="386" t="s">
        <v>801</v>
      </c>
      <c r="B45" s="55" t="s">
        <v>77</v>
      </c>
      <c r="C45" s="55" t="e">
        <f>COUNTIF('Override Control Env1'!#REF!,B45)</f>
        <v>#REF!</v>
      </c>
    </row>
    <row r="46" spans="1:3" x14ac:dyDescent="0.3">
      <c r="A46" s="386"/>
      <c r="B46" s="55" t="s">
        <v>79</v>
      </c>
      <c r="C46" s="55" t="e">
        <f>COUNTIF('Override Control Env1'!#REF!,B46)</f>
        <v>#REF!</v>
      </c>
    </row>
    <row r="47" spans="1:3" x14ac:dyDescent="0.3">
      <c r="A47" s="386"/>
      <c r="B47" s="55" t="s">
        <v>52</v>
      </c>
      <c r="C47" s="55" t="e">
        <f>COUNTIF('Override Control Env1'!#REF!,B47)</f>
        <v>#REF!</v>
      </c>
    </row>
    <row r="48" spans="1:3" x14ac:dyDescent="0.3">
      <c r="A48" s="386"/>
      <c r="B48" s="55" t="s">
        <v>790</v>
      </c>
      <c r="C48" s="55" t="e">
        <f>COUNTIF('Override Control Env1'!#REF!,B48)</f>
        <v>#REF!</v>
      </c>
    </row>
    <row r="49" spans="1:3" x14ac:dyDescent="0.3">
      <c r="A49" s="386" t="s">
        <v>621</v>
      </c>
      <c r="B49" s="55" t="s">
        <v>77</v>
      </c>
      <c r="C49" s="55">
        <f>COUNTIF('Override Control Env1'!$L$92:$L$102,B49)</f>
        <v>6</v>
      </c>
    </row>
    <row r="50" spans="1:3" x14ac:dyDescent="0.3">
      <c r="A50" s="386"/>
      <c r="B50" s="55" t="s">
        <v>79</v>
      </c>
      <c r="C50" s="55">
        <f>COUNTIF('Override Control Env1'!$L$92:$L$102,B50)</f>
        <v>5</v>
      </c>
    </row>
    <row r="51" spans="1:3" x14ac:dyDescent="0.3">
      <c r="A51" s="386"/>
      <c r="B51" s="55" t="s">
        <v>52</v>
      </c>
      <c r="C51" s="55">
        <f>COUNTIF('Override Control Env1'!$L$92:$L$102,B51)</f>
        <v>0</v>
      </c>
    </row>
    <row r="52" spans="1:3" x14ac:dyDescent="0.3">
      <c r="A52" s="386"/>
      <c r="B52" s="55" t="s">
        <v>790</v>
      </c>
      <c r="C52" s="55">
        <f>COUNTIF('Override Control Env1'!$L$92:$L$102,B52)</f>
        <v>0</v>
      </c>
    </row>
    <row r="53" spans="1:3" x14ac:dyDescent="0.3">
      <c r="A53" s="386" t="s">
        <v>802</v>
      </c>
      <c r="B53" s="55" t="s">
        <v>77</v>
      </c>
      <c r="C53" s="55" t="e">
        <f>COUNTIF('Override Control Env1'!#REF!,B53)</f>
        <v>#REF!</v>
      </c>
    </row>
    <row r="54" spans="1:3" x14ac:dyDescent="0.3">
      <c r="A54" s="386"/>
      <c r="B54" s="55" t="s">
        <v>79</v>
      </c>
      <c r="C54" s="55" t="e">
        <f>COUNTIF('Override Control Env1'!#REF!,B54)</f>
        <v>#REF!</v>
      </c>
    </row>
    <row r="55" spans="1:3" x14ac:dyDescent="0.3">
      <c r="A55" s="386"/>
      <c r="B55" s="55" t="s">
        <v>52</v>
      </c>
      <c r="C55" s="55" t="e">
        <f>COUNTIF('Override Control Env1'!#REF!,B55)</f>
        <v>#REF!</v>
      </c>
    </row>
    <row r="56" spans="1:3" x14ac:dyDescent="0.3">
      <c r="A56" s="386"/>
      <c r="B56" s="55" t="s">
        <v>790</v>
      </c>
      <c r="C56" s="55" t="e">
        <f>COUNTIF('Override Control Env1'!#REF!,B56)</f>
        <v>#REF!</v>
      </c>
    </row>
    <row r="57" spans="1:3" x14ac:dyDescent="0.3">
      <c r="A57" s="386" t="s">
        <v>778</v>
      </c>
      <c r="B57" s="55" t="s">
        <v>77</v>
      </c>
      <c r="C57" s="55">
        <f>COUNTIF('Override Control Env1'!$L$103:$L$111,B57)</f>
        <v>6</v>
      </c>
    </row>
    <row r="58" spans="1:3" x14ac:dyDescent="0.3">
      <c r="A58" s="386"/>
      <c r="B58" s="55" t="s">
        <v>79</v>
      </c>
      <c r="C58" s="55">
        <f>COUNTIF('Override Control Env1'!$L$103:$L$111,B58)</f>
        <v>3</v>
      </c>
    </row>
    <row r="59" spans="1:3" x14ac:dyDescent="0.3">
      <c r="A59" s="386"/>
      <c r="B59" s="55" t="s">
        <v>52</v>
      </c>
      <c r="C59" s="55">
        <f>COUNTIF('Override Control Env1'!$L$103:$L$111,B59)</f>
        <v>0</v>
      </c>
    </row>
    <row r="60" spans="1:3" x14ac:dyDescent="0.3">
      <c r="A60" s="386"/>
      <c r="B60" s="55" t="s">
        <v>790</v>
      </c>
      <c r="C60" s="55">
        <f>COUNTIF('Override Control Env1'!$L$103:$L$111,B60)</f>
        <v>0</v>
      </c>
    </row>
    <row r="61" spans="1:3" x14ac:dyDescent="0.3">
      <c r="A61" s="386" t="s">
        <v>779</v>
      </c>
      <c r="B61" s="55" t="s">
        <v>77</v>
      </c>
      <c r="C61" s="55">
        <f>COUNTIF('Override Control Env1'!$L$112:$L$124,B61)</f>
        <v>5</v>
      </c>
    </row>
    <row r="62" spans="1:3" x14ac:dyDescent="0.3">
      <c r="A62" s="386"/>
      <c r="B62" s="55" t="s">
        <v>79</v>
      </c>
      <c r="C62" s="55">
        <f>COUNTIF('Override Control Env1'!$L$112:$L$124,B62)</f>
        <v>5</v>
      </c>
    </row>
    <row r="63" spans="1:3" x14ac:dyDescent="0.3">
      <c r="A63" s="386"/>
      <c r="B63" s="55" t="s">
        <v>52</v>
      </c>
      <c r="C63" s="55">
        <f>COUNTIF('Override Control Env1'!$L$112:$L$124,B63)</f>
        <v>3</v>
      </c>
    </row>
    <row r="64" spans="1:3" x14ac:dyDescent="0.3">
      <c r="A64" s="386"/>
      <c r="B64" s="55" t="s">
        <v>790</v>
      </c>
      <c r="C64" s="55">
        <f>COUNTIF('Override Control Env1'!$L$112:$L$124,B64)</f>
        <v>0</v>
      </c>
    </row>
    <row r="65" spans="1:3" x14ac:dyDescent="0.3">
      <c r="A65" s="386" t="s">
        <v>783</v>
      </c>
      <c r="B65" s="55" t="s">
        <v>77</v>
      </c>
      <c r="C65" s="55">
        <f>COUNTIF('Override Control Env1'!$L$125:$L$128,B65)</f>
        <v>2</v>
      </c>
    </row>
    <row r="66" spans="1:3" x14ac:dyDescent="0.3">
      <c r="A66" s="386"/>
      <c r="B66" s="55" t="s">
        <v>79</v>
      </c>
      <c r="C66" s="55">
        <f>COUNTIF('Override Control Env1'!$L$125:$L$128,B66)</f>
        <v>2</v>
      </c>
    </row>
    <row r="67" spans="1:3" x14ac:dyDescent="0.3">
      <c r="A67" s="386"/>
      <c r="B67" s="55" t="s">
        <v>52</v>
      </c>
      <c r="C67" s="55">
        <f>COUNTIF('Override Control Env1'!$L$125:$L$128,B67)</f>
        <v>0</v>
      </c>
    </row>
    <row r="68" spans="1:3" x14ac:dyDescent="0.3">
      <c r="A68" s="386"/>
      <c r="B68" s="55" t="s">
        <v>790</v>
      </c>
      <c r="C68" s="55">
        <f>COUNTIF('Override Control Env1'!$L$125:$L$128,B68)</f>
        <v>0</v>
      </c>
    </row>
  </sheetData>
  <mergeCells count="17">
    <mergeCell ref="A45:A48"/>
    <mergeCell ref="A29:A32"/>
    <mergeCell ref="A33:A36"/>
    <mergeCell ref="A37:A40"/>
    <mergeCell ref="A41:A44"/>
    <mergeCell ref="A21:A24"/>
    <mergeCell ref="A25:A28"/>
    <mergeCell ref="A1:A4"/>
    <mergeCell ref="A5:A8"/>
    <mergeCell ref="A9:A12"/>
    <mergeCell ref="A13:A16"/>
    <mergeCell ref="A17:A20"/>
    <mergeCell ref="A49:A52"/>
    <mergeCell ref="A53:A56"/>
    <mergeCell ref="A57:A60"/>
    <mergeCell ref="A61:A64"/>
    <mergeCell ref="A65:A68"/>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68"/>
  <sheetViews>
    <sheetView showGridLines="0" topLeftCell="A40" workbookViewId="0">
      <selection activeCell="C68" sqref="C68"/>
    </sheetView>
  </sheetViews>
  <sheetFormatPr defaultColWidth="9" defaultRowHeight="14.4" x14ac:dyDescent="0.3"/>
  <cols>
    <col min="1" max="1" width="29.33203125" bestFit="1" customWidth="1"/>
    <col min="2" max="2" width="11.109375" bestFit="1" customWidth="1"/>
  </cols>
  <sheetData>
    <row r="1" spans="1:3" x14ac:dyDescent="0.3">
      <c r="A1" s="386" t="s">
        <v>773</v>
      </c>
      <c r="B1" s="55" t="s">
        <v>77</v>
      </c>
      <c r="C1" s="55">
        <f>COUNTIF('Override Control Env2'!$L$9:$L$19,B1)</f>
        <v>0</v>
      </c>
    </row>
    <row r="2" spans="1:3" x14ac:dyDescent="0.3">
      <c r="A2" s="386"/>
      <c r="B2" s="55" t="s">
        <v>79</v>
      </c>
      <c r="C2" s="55">
        <f>COUNTIF('Override Control Env2'!$L$9:$L$19,B2)</f>
        <v>0</v>
      </c>
    </row>
    <row r="3" spans="1:3" x14ac:dyDescent="0.3">
      <c r="A3" s="386"/>
      <c r="B3" s="55" t="s">
        <v>52</v>
      </c>
      <c r="C3" s="55">
        <f>COUNTIF('Override Control Env2'!$L$9:$L$19,B3)</f>
        <v>0</v>
      </c>
    </row>
    <row r="4" spans="1:3" x14ac:dyDescent="0.3">
      <c r="A4" s="386"/>
      <c r="B4" s="55" t="s">
        <v>790</v>
      </c>
      <c r="C4" s="55">
        <f>COUNTIF('Override Control Env2'!$L$9:$L$19,B4)</f>
        <v>11</v>
      </c>
    </row>
    <row r="5" spans="1:3" x14ac:dyDescent="0.3">
      <c r="A5" s="386" t="s">
        <v>391</v>
      </c>
      <c r="B5" s="55" t="s">
        <v>77</v>
      </c>
      <c r="C5" s="55">
        <f>COUNTIF('Override Control Env2'!$L$20:$L$24,B5)</f>
        <v>0</v>
      </c>
    </row>
    <row r="6" spans="1:3" x14ac:dyDescent="0.3">
      <c r="A6" s="386"/>
      <c r="B6" s="55" t="s">
        <v>79</v>
      </c>
      <c r="C6" s="55">
        <f>COUNTIF('Override Control Env2'!$L$20:$L$24,B6)</f>
        <v>0</v>
      </c>
    </row>
    <row r="7" spans="1:3" x14ac:dyDescent="0.3">
      <c r="A7" s="386"/>
      <c r="B7" s="55" t="s">
        <v>52</v>
      </c>
      <c r="C7" s="55">
        <f>COUNTIF('Override Control Env2'!$L$20:$L$24,B7)</f>
        <v>0</v>
      </c>
    </row>
    <row r="8" spans="1:3" x14ac:dyDescent="0.3">
      <c r="A8" s="386"/>
      <c r="B8" s="55" t="s">
        <v>790</v>
      </c>
      <c r="C8" s="55">
        <f>COUNTIF('Override Control Env2'!$L$20:$L$24,B8)</f>
        <v>5</v>
      </c>
    </row>
    <row r="9" spans="1:3" x14ac:dyDescent="0.3">
      <c r="A9" s="386" t="s">
        <v>412</v>
      </c>
      <c r="B9" s="55" t="s">
        <v>77</v>
      </c>
      <c r="C9" s="55">
        <f>COUNTIF('Override Control Env2'!$L$25:$L$33,B9)</f>
        <v>0</v>
      </c>
    </row>
    <row r="10" spans="1:3" x14ac:dyDescent="0.3">
      <c r="A10" s="386"/>
      <c r="B10" s="55" t="s">
        <v>79</v>
      </c>
      <c r="C10" s="55">
        <f>COUNTIF('Override Control Env2'!$L$25:$L$33,B10)</f>
        <v>0</v>
      </c>
    </row>
    <row r="11" spans="1:3" x14ac:dyDescent="0.3">
      <c r="A11" s="386"/>
      <c r="B11" s="55" t="s">
        <v>52</v>
      </c>
      <c r="C11" s="55">
        <f>COUNTIF('Override Control Env2'!$L$25:$L$33,B11)</f>
        <v>0</v>
      </c>
    </row>
    <row r="12" spans="1:3" x14ac:dyDescent="0.3">
      <c r="A12" s="386"/>
      <c r="B12" s="55" t="s">
        <v>790</v>
      </c>
      <c r="C12" s="55">
        <f>COUNTIF('Override Control Env2'!$L$25:$L$33,B12)</f>
        <v>9</v>
      </c>
    </row>
    <row r="13" spans="1:3" x14ac:dyDescent="0.3">
      <c r="A13" s="386" t="s">
        <v>796</v>
      </c>
      <c r="B13" s="55" t="s">
        <v>77</v>
      </c>
      <c r="C13" s="55" t="e">
        <f>COUNTIF('Override Control Env2'!#REF!,B13)</f>
        <v>#REF!</v>
      </c>
    </row>
    <row r="14" spans="1:3" x14ac:dyDescent="0.3">
      <c r="A14" s="386"/>
      <c r="B14" s="55" t="s">
        <v>79</v>
      </c>
      <c r="C14" s="55" t="e">
        <f>COUNTIF('Override Control Env2'!#REF!,B14)</f>
        <v>#REF!</v>
      </c>
    </row>
    <row r="15" spans="1:3" x14ac:dyDescent="0.3">
      <c r="A15" s="386"/>
      <c r="B15" s="55" t="s">
        <v>52</v>
      </c>
      <c r="C15" s="55" t="e">
        <f>COUNTIF('Override Control Env2'!#REF!,B15)</f>
        <v>#REF!</v>
      </c>
    </row>
    <row r="16" spans="1:3" x14ac:dyDescent="0.3">
      <c r="A16" s="386"/>
      <c r="B16" s="55" t="s">
        <v>790</v>
      </c>
      <c r="C16" s="55" t="e">
        <f>COUNTIF('Override Control Env2'!#REF!,B16)</f>
        <v>#REF!</v>
      </c>
    </row>
    <row r="17" spans="1:3" x14ac:dyDescent="0.3">
      <c r="A17" s="386" t="s">
        <v>797</v>
      </c>
      <c r="B17" s="55" t="s">
        <v>77</v>
      </c>
      <c r="C17" s="55">
        <f>COUNTIF('Override Control Env2'!$L$34:$L$56,B17)</f>
        <v>0</v>
      </c>
    </row>
    <row r="18" spans="1:3" x14ac:dyDescent="0.3">
      <c r="A18" s="386"/>
      <c r="B18" s="55" t="s">
        <v>79</v>
      </c>
      <c r="C18" s="55">
        <f>COUNTIF('Override Control Env2'!$L$34:$L$56,B18)</f>
        <v>0</v>
      </c>
    </row>
    <row r="19" spans="1:3" x14ac:dyDescent="0.3">
      <c r="A19" s="386"/>
      <c r="B19" s="55" t="s">
        <v>52</v>
      </c>
      <c r="C19" s="55">
        <f>COUNTIF('Override Control Env2'!$L$34:$L$56,B19)</f>
        <v>0</v>
      </c>
    </row>
    <row r="20" spans="1:3" x14ac:dyDescent="0.3">
      <c r="A20" s="386"/>
      <c r="B20" s="55" t="s">
        <v>790</v>
      </c>
      <c r="C20" s="55">
        <f>COUNTIF('Override Control Env2'!$L$34:$L$56,B20)</f>
        <v>23</v>
      </c>
    </row>
    <row r="21" spans="1:3" x14ac:dyDescent="0.3">
      <c r="A21" s="386" t="s">
        <v>798</v>
      </c>
      <c r="B21" s="55" t="s">
        <v>77</v>
      </c>
      <c r="C21" s="55" t="e">
        <f>COUNTIF('Override Control Env2'!#REF!,B21)</f>
        <v>#REF!</v>
      </c>
    </row>
    <row r="22" spans="1:3" x14ac:dyDescent="0.3">
      <c r="A22" s="386"/>
      <c r="B22" s="55" t="s">
        <v>79</v>
      </c>
      <c r="C22" s="55" t="e">
        <f>COUNTIF('Override Control Env2'!#REF!,B22)</f>
        <v>#REF!</v>
      </c>
    </row>
    <row r="23" spans="1:3" x14ac:dyDescent="0.3">
      <c r="A23" s="386"/>
      <c r="B23" s="55" t="s">
        <v>52</v>
      </c>
      <c r="C23" s="55" t="e">
        <f>COUNTIF('Override Control Env2'!#REF!,B23)</f>
        <v>#REF!</v>
      </c>
    </row>
    <row r="24" spans="1:3" x14ac:dyDescent="0.3">
      <c r="A24" s="386"/>
      <c r="B24" s="55" t="s">
        <v>790</v>
      </c>
      <c r="C24" s="55" t="e">
        <f>COUNTIF('Override Control Env2'!#REF!,B24)</f>
        <v>#REF!</v>
      </c>
    </row>
    <row r="25" spans="1:3" ht="15" customHeight="1" x14ac:dyDescent="0.3">
      <c r="A25" s="387" t="s">
        <v>775</v>
      </c>
      <c r="B25" s="55" t="s">
        <v>77</v>
      </c>
      <c r="C25" s="55">
        <f>COUNTIF('Override Control Env2'!$L$59:$L$70,B25)</f>
        <v>0</v>
      </c>
    </row>
    <row r="26" spans="1:3" x14ac:dyDescent="0.3">
      <c r="A26" s="387"/>
      <c r="B26" s="55" t="s">
        <v>79</v>
      </c>
      <c r="C26" s="55">
        <f>COUNTIF('Override Control Env2'!$L$59:$L$70,B26)</f>
        <v>0</v>
      </c>
    </row>
    <row r="27" spans="1:3" x14ac:dyDescent="0.3">
      <c r="A27" s="387"/>
      <c r="B27" s="55" t="s">
        <v>52</v>
      </c>
      <c r="C27" s="55">
        <f>COUNTIF('Override Control Env2'!$L$59:$L$70,B27)</f>
        <v>0</v>
      </c>
    </row>
    <row r="28" spans="1:3" x14ac:dyDescent="0.3">
      <c r="A28" s="387"/>
      <c r="B28" s="55" t="s">
        <v>790</v>
      </c>
      <c r="C28" s="55">
        <f>COUNTIF('Override Control Env2'!$L$59:$L$70,B28)</f>
        <v>12</v>
      </c>
    </row>
    <row r="29" spans="1:3" x14ac:dyDescent="0.3">
      <c r="A29" s="386" t="s">
        <v>777</v>
      </c>
      <c r="B29" s="55" t="s">
        <v>77</v>
      </c>
      <c r="C29" s="55">
        <f>COUNTIF('Override Control Env2'!$L$71:$L$81,B29)</f>
        <v>0</v>
      </c>
    </row>
    <row r="30" spans="1:3" x14ac:dyDescent="0.3">
      <c r="A30" s="386"/>
      <c r="B30" s="55" t="s">
        <v>79</v>
      </c>
      <c r="C30" s="55">
        <f>COUNTIF('Override Control Env2'!$L$71:$L$81,B30)</f>
        <v>0</v>
      </c>
    </row>
    <row r="31" spans="1:3" x14ac:dyDescent="0.3">
      <c r="A31" s="386"/>
      <c r="B31" s="55" t="s">
        <v>52</v>
      </c>
      <c r="C31" s="55">
        <f>COUNTIF('Override Control Env2'!$L$71:$L$81,B31)</f>
        <v>0</v>
      </c>
    </row>
    <row r="32" spans="1:3" x14ac:dyDescent="0.3">
      <c r="A32" s="386"/>
      <c r="B32" s="55" t="s">
        <v>790</v>
      </c>
      <c r="C32" s="55">
        <f>COUNTIF('Override Control Env2'!$L$71:$L$81,B32)</f>
        <v>11</v>
      </c>
    </row>
    <row r="33" spans="1:3" x14ac:dyDescent="0.3">
      <c r="A33" s="386" t="s">
        <v>590</v>
      </c>
      <c r="B33" s="55" t="s">
        <v>77</v>
      </c>
      <c r="C33" s="55">
        <f>COUNTIF('Override Control Env2'!$L$82:$L$91,B33)</f>
        <v>0</v>
      </c>
    </row>
    <row r="34" spans="1:3" x14ac:dyDescent="0.3">
      <c r="A34" s="386"/>
      <c r="B34" s="55" t="s">
        <v>79</v>
      </c>
      <c r="C34" s="55">
        <f>COUNTIF('Override Control Env2'!$L$82:$L$91,B34)</f>
        <v>0</v>
      </c>
    </row>
    <row r="35" spans="1:3" x14ac:dyDescent="0.3">
      <c r="A35" s="386"/>
      <c r="B35" s="55" t="s">
        <v>52</v>
      </c>
      <c r="C35" s="55">
        <f>COUNTIF('Override Control Env2'!$L$82:$L$91,B35)</f>
        <v>0</v>
      </c>
    </row>
    <row r="36" spans="1:3" x14ac:dyDescent="0.3">
      <c r="A36" s="386"/>
      <c r="B36" s="55" t="s">
        <v>790</v>
      </c>
      <c r="C36" s="55">
        <f>COUNTIF('Override Control Env2'!$L$82:$L$91,B36)</f>
        <v>10</v>
      </c>
    </row>
    <row r="37" spans="1:3" x14ac:dyDescent="0.3">
      <c r="A37" s="386" t="s">
        <v>799</v>
      </c>
      <c r="B37" s="55" t="s">
        <v>77</v>
      </c>
      <c r="C37" s="55" t="e">
        <f>COUNTIF('Override Control Env2'!#REF!,B37)</f>
        <v>#REF!</v>
      </c>
    </row>
    <row r="38" spans="1:3" x14ac:dyDescent="0.3">
      <c r="A38" s="386"/>
      <c r="B38" s="55" t="s">
        <v>79</v>
      </c>
      <c r="C38" s="55" t="e">
        <f>COUNTIF('Override Control Env2'!#REF!,B38)</f>
        <v>#REF!</v>
      </c>
    </row>
    <row r="39" spans="1:3" x14ac:dyDescent="0.3">
      <c r="A39" s="386"/>
      <c r="B39" s="55" t="s">
        <v>52</v>
      </c>
      <c r="C39" s="55" t="e">
        <f>COUNTIF('Override Control Env2'!#REF!,B39)</f>
        <v>#REF!</v>
      </c>
    </row>
    <row r="40" spans="1:3" x14ac:dyDescent="0.3">
      <c r="A40" s="386"/>
      <c r="B40" s="55" t="s">
        <v>790</v>
      </c>
      <c r="C40" s="55" t="e">
        <f>COUNTIF('Override Control Env2'!#REF!,B40)</f>
        <v>#REF!</v>
      </c>
    </row>
    <row r="41" spans="1:3" x14ac:dyDescent="0.3">
      <c r="A41" s="386" t="s">
        <v>800</v>
      </c>
      <c r="B41" s="55" t="s">
        <v>77</v>
      </c>
      <c r="C41" s="55" t="e">
        <f>COUNTIF('Override Control Env2'!#REF!,B41)</f>
        <v>#REF!</v>
      </c>
    </row>
    <row r="42" spans="1:3" x14ac:dyDescent="0.3">
      <c r="A42" s="386"/>
      <c r="B42" s="55" t="s">
        <v>79</v>
      </c>
      <c r="C42" s="55" t="e">
        <f>COUNTIF('Override Control Env2'!#REF!,B42)</f>
        <v>#REF!</v>
      </c>
    </row>
    <row r="43" spans="1:3" x14ac:dyDescent="0.3">
      <c r="A43" s="386"/>
      <c r="B43" s="55" t="s">
        <v>52</v>
      </c>
      <c r="C43" s="55" t="e">
        <f>COUNTIF('Override Control Env2'!#REF!,B43)</f>
        <v>#REF!</v>
      </c>
    </row>
    <row r="44" spans="1:3" x14ac:dyDescent="0.3">
      <c r="A44" s="386"/>
      <c r="B44" s="55" t="s">
        <v>790</v>
      </c>
      <c r="C44" s="55" t="e">
        <f>COUNTIF('Override Control Env2'!#REF!,B44)</f>
        <v>#REF!</v>
      </c>
    </row>
    <row r="45" spans="1:3" x14ac:dyDescent="0.3">
      <c r="A45" s="386" t="s">
        <v>801</v>
      </c>
      <c r="B45" s="55" t="s">
        <v>77</v>
      </c>
      <c r="C45" s="55" t="e">
        <f>COUNTIF('Override Control Env2'!#REF!,B45)</f>
        <v>#REF!</v>
      </c>
    </row>
    <row r="46" spans="1:3" x14ac:dyDescent="0.3">
      <c r="A46" s="386"/>
      <c r="B46" s="55" t="s">
        <v>79</v>
      </c>
      <c r="C46" s="55" t="e">
        <f>COUNTIF('Override Control Env2'!#REF!,B46)</f>
        <v>#REF!</v>
      </c>
    </row>
    <row r="47" spans="1:3" x14ac:dyDescent="0.3">
      <c r="A47" s="386"/>
      <c r="B47" s="55" t="s">
        <v>52</v>
      </c>
      <c r="C47" s="55" t="e">
        <f>COUNTIF('Override Control Env2'!#REF!,B47)</f>
        <v>#REF!</v>
      </c>
    </row>
    <row r="48" spans="1:3" x14ac:dyDescent="0.3">
      <c r="A48" s="386"/>
      <c r="B48" s="55" t="s">
        <v>790</v>
      </c>
      <c r="C48" s="55" t="e">
        <f>COUNTIF('Override Control Env2'!#REF!,B48)</f>
        <v>#REF!</v>
      </c>
    </row>
    <row r="49" spans="1:3" x14ac:dyDescent="0.3">
      <c r="A49" s="386" t="s">
        <v>621</v>
      </c>
      <c r="B49" s="55" t="s">
        <v>77</v>
      </c>
      <c r="C49" s="55">
        <f>COUNTIF('Override Control Env2'!$L$92:$L$102,B49)</f>
        <v>0</v>
      </c>
    </row>
    <row r="50" spans="1:3" x14ac:dyDescent="0.3">
      <c r="A50" s="386"/>
      <c r="B50" s="55" t="s">
        <v>79</v>
      </c>
      <c r="C50" s="55">
        <f>COUNTIF('Override Control Env2'!$L$92:$L$102,B50)</f>
        <v>0</v>
      </c>
    </row>
    <row r="51" spans="1:3" x14ac:dyDescent="0.3">
      <c r="A51" s="386"/>
      <c r="B51" s="55" t="s">
        <v>52</v>
      </c>
      <c r="C51" s="55">
        <f>COUNTIF('Override Control Env2'!$L$92:$L$102,B51)</f>
        <v>0</v>
      </c>
    </row>
    <row r="52" spans="1:3" x14ac:dyDescent="0.3">
      <c r="A52" s="386"/>
      <c r="B52" s="55" t="s">
        <v>790</v>
      </c>
      <c r="C52" s="55">
        <f>COUNTIF('Override Control Env2'!$L$92:$L$102,B52)</f>
        <v>11</v>
      </c>
    </row>
    <row r="53" spans="1:3" x14ac:dyDescent="0.3">
      <c r="A53" s="386" t="s">
        <v>802</v>
      </c>
      <c r="B53" s="55" t="s">
        <v>77</v>
      </c>
      <c r="C53" s="55" t="e">
        <f>COUNTIF('Override Control Env2'!#REF!,B53)</f>
        <v>#REF!</v>
      </c>
    </row>
    <row r="54" spans="1:3" x14ac:dyDescent="0.3">
      <c r="A54" s="386"/>
      <c r="B54" s="55" t="s">
        <v>79</v>
      </c>
      <c r="C54" s="55" t="e">
        <f>COUNTIF('Override Control Env2'!#REF!,B54)</f>
        <v>#REF!</v>
      </c>
    </row>
    <row r="55" spans="1:3" x14ac:dyDescent="0.3">
      <c r="A55" s="386"/>
      <c r="B55" s="55" t="s">
        <v>52</v>
      </c>
      <c r="C55" s="55" t="e">
        <f>COUNTIF('Override Control Env2'!#REF!,B55)</f>
        <v>#REF!</v>
      </c>
    </row>
    <row r="56" spans="1:3" x14ac:dyDescent="0.3">
      <c r="A56" s="386"/>
      <c r="B56" s="55" t="s">
        <v>790</v>
      </c>
      <c r="C56" s="55" t="e">
        <f>COUNTIF('Override Control Env2'!#REF!,B56)</f>
        <v>#REF!</v>
      </c>
    </row>
    <row r="57" spans="1:3" x14ac:dyDescent="0.3">
      <c r="A57" s="386" t="s">
        <v>778</v>
      </c>
      <c r="B57" s="55" t="s">
        <v>77</v>
      </c>
      <c r="C57" s="55">
        <f>COUNTIF('Override Control Env2'!$L$103:$L$111,B57)</f>
        <v>0</v>
      </c>
    </row>
    <row r="58" spans="1:3" x14ac:dyDescent="0.3">
      <c r="A58" s="386"/>
      <c r="B58" s="55" t="s">
        <v>79</v>
      </c>
      <c r="C58" s="55">
        <f>COUNTIF('Override Control Env2'!$L$103:$L$111,B58)</f>
        <v>0</v>
      </c>
    </row>
    <row r="59" spans="1:3" x14ac:dyDescent="0.3">
      <c r="A59" s="386"/>
      <c r="B59" s="55" t="s">
        <v>52</v>
      </c>
      <c r="C59" s="55">
        <f>COUNTIF('Override Control Env2'!$L$103:$L$111,B59)</f>
        <v>0</v>
      </c>
    </row>
    <row r="60" spans="1:3" x14ac:dyDescent="0.3">
      <c r="A60" s="386"/>
      <c r="B60" s="55" t="s">
        <v>790</v>
      </c>
      <c r="C60" s="55">
        <f>COUNTIF('Override Control Env2'!$L$103:$L$111,B60)</f>
        <v>9</v>
      </c>
    </row>
    <row r="61" spans="1:3" x14ac:dyDescent="0.3">
      <c r="A61" s="386" t="s">
        <v>779</v>
      </c>
      <c r="B61" s="55" t="s">
        <v>77</v>
      </c>
      <c r="C61" s="55">
        <f>COUNTIF('Override Control Env2'!$L$112:$L$124,B61)</f>
        <v>0</v>
      </c>
    </row>
    <row r="62" spans="1:3" x14ac:dyDescent="0.3">
      <c r="A62" s="386"/>
      <c r="B62" s="55" t="s">
        <v>79</v>
      </c>
      <c r="C62" s="55">
        <f>COUNTIF('Override Control Env2'!$L$112:$L$124,B62)</f>
        <v>0</v>
      </c>
    </row>
    <row r="63" spans="1:3" x14ac:dyDescent="0.3">
      <c r="A63" s="386"/>
      <c r="B63" s="55" t="s">
        <v>52</v>
      </c>
      <c r="C63" s="55">
        <f>COUNTIF('Override Control Env2'!$L$112:$L$124,B63)</f>
        <v>0</v>
      </c>
    </row>
    <row r="64" spans="1:3" x14ac:dyDescent="0.3">
      <c r="A64" s="386"/>
      <c r="B64" s="55" t="s">
        <v>790</v>
      </c>
      <c r="C64" s="55">
        <f>COUNTIF('Override Control Env2'!$L$112:$L$124,B64)</f>
        <v>13</v>
      </c>
    </row>
    <row r="65" spans="1:3" x14ac:dyDescent="0.3">
      <c r="A65" s="386" t="s">
        <v>783</v>
      </c>
      <c r="B65" s="55" t="s">
        <v>77</v>
      </c>
      <c r="C65" s="55">
        <f>COUNTIF('Override Control Env2'!$L$125:$L$128,B65)</f>
        <v>0</v>
      </c>
    </row>
    <row r="66" spans="1:3" x14ac:dyDescent="0.3">
      <c r="A66" s="386"/>
      <c r="B66" s="55" t="s">
        <v>79</v>
      </c>
      <c r="C66" s="55">
        <f>COUNTIF('Override Control Env2'!$L$125:$L$128,B66)</f>
        <v>0</v>
      </c>
    </row>
    <row r="67" spans="1:3" x14ac:dyDescent="0.3">
      <c r="A67" s="386"/>
      <c r="B67" s="55" t="s">
        <v>52</v>
      </c>
      <c r="C67" s="55">
        <f>COUNTIF('Override Control Env2'!$L$125:$L$128,B67)</f>
        <v>0</v>
      </c>
    </row>
    <row r="68" spans="1:3" x14ac:dyDescent="0.3">
      <c r="A68" s="386"/>
      <c r="B68" s="55" t="s">
        <v>790</v>
      </c>
      <c r="C68" s="55">
        <f>COUNTIF('Override Control Env2'!$L$125:$L$128,B68)</f>
        <v>4</v>
      </c>
    </row>
  </sheetData>
  <mergeCells count="17">
    <mergeCell ref="A45:A48"/>
    <mergeCell ref="A1:A4"/>
    <mergeCell ref="A5:A8"/>
    <mergeCell ref="A9:A12"/>
    <mergeCell ref="A13:A16"/>
    <mergeCell ref="A17:A20"/>
    <mergeCell ref="A21:A24"/>
    <mergeCell ref="A25:A28"/>
    <mergeCell ref="A29:A32"/>
    <mergeCell ref="A33:A36"/>
    <mergeCell ref="A37:A40"/>
    <mergeCell ref="A41:A44"/>
    <mergeCell ref="A49:A52"/>
    <mergeCell ref="A53:A56"/>
    <mergeCell ref="A57:A60"/>
    <mergeCell ref="A61:A64"/>
    <mergeCell ref="A65:A68"/>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68"/>
  <sheetViews>
    <sheetView showGridLines="0" topLeftCell="A34" workbookViewId="0">
      <selection activeCell="C68" sqref="C68"/>
    </sheetView>
  </sheetViews>
  <sheetFormatPr defaultColWidth="9" defaultRowHeight="14.4" x14ac:dyDescent="0.3"/>
  <cols>
    <col min="1" max="1" width="29.33203125" bestFit="1" customWidth="1"/>
    <col min="2" max="2" width="11.109375" bestFit="1" customWidth="1"/>
  </cols>
  <sheetData>
    <row r="1" spans="1:3" x14ac:dyDescent="0.3">
      <c r="A1" s="386" t="s">
        <v>773</v>
      </c>
      <c r="B1" s="55" t="s">
        <v>77</v>
      </c>
      <c r="C1" s="55">
        <f>COUNTIF('Override Control Env3'!$L$9:$L$19,B1)</f>
        <v>0</v>
      </c>
    </row>
    <row r="2" spans="1:3" x14ac:dyDescent="0.3">
      <c r="A2" s="386"/>
      <c r="B2" s="55" t="s">
        <v>79</v>
      </c>
      <c r="C2" s="55">
        <f>COUNTIF('Override Control Env3'!$L$9:$L$19,B2)</f>
        <v>0</v>
      </c>
    </row>
    <row r="3" spans="1:3" x14ac:dyDescent="0.3">
      <c r="A3" s="386"/>
      <c r="B3" s="55" t="s">
        <v>52</v>
      </c>
      <c r="C3" s="55">
        <f>COUNTIF('Override Control Env3'!$L$9:$L$19,B3)</f>
        <v>0</v>
      </c>
    </row>
    <row r="4" spans="1:3" x14ac:dyDescent="0.3">
      <c r="A4" s="386"/>
      <c r="B4" s="55" t="s">
        <v>790</v>
      </c>
      <c r="C4" s="55">
        <f>COUNTIF('Override Control Env3'!$L$9:$L$19,B4)</f>
        <v>11</v>
      </c>
    </row>
    <row r="5" spans="1:3" x14ac:dyDescent="0.3">
      <c r="A5" s="386" t="s">
        <v>391</v>
      </c>
      <c r="B5" s="55" t="s">
        <v>77</v>
      </c>
      <c r="C5" s="55">
        <f>COUNTIF('Override Control Env3'!$L$20:$L$24,B5)</f>
        <v>0</v>
      </c>
    </row>
    <row r="6" spans="1:3" x14ac:dyDescent="0.3">
      <c r="A6" s="386"/>
      <c r="B6" s="55" t="s">
        <v>79</v>
      </c>
      <c r="C6" s="55">
        <f>COUNTIF('Override Control Env3'!$L$20:$L$24,B6)</f>
        <v>0</v>
      </c>
    </row>
    <row r="7" spans="1:3" x14ac:dyDescent="0.3">
      <c r="A7" s="386"/>
      <c r="B7" s="55" t="s">
        <v>52</v>
      </c>
      <c r="C7" s="55">
        <f>COUNTIF('Override Control Env3'!$L$20:$L$24,B7)</f>
        <v>0</v>
      </c>
    </row>
    <row r="8" spans="1:3" x14ac:dyDescent="0.3">
      <c r="A8" s="386"/>
      <c r="B8" s="55" t="s">
        <v>790</v>
      </c>
      <c r="C8" s="55">
        <f>COUNTIF('Override Control Env3'!$L$20:$L$24,B8)</f>
        <v>5</v>
      </c>
    </row>
    <row r="9" spans="1:3" x14ac:dyDescent="0.3">
      <c r="A9" s="386" t="s">
        <v>412</v>
      </c>
      <c r="B9" s="55" t="s">
        <v>77</v>
      </c>
      <c r="C9" s="55">
        <f>COUNTIF('Override Control Env3'!$L$25:$L$33,B9)</f>
        <v>0</v>
      </c>
    </row>
    <row r="10" spans="1:3" x14ac:dyDescent="0.3">
      <c r="A10" s="386"/>
      <c r="B10" s="55" t="s">
        <v>79</v>
      </c>
      <c r="C10" s="55">
        <f>COUNTIF('Override Control Env3'!$L$25:$L$33,B10)</f>
        <v>0</v>
      </c>
    </row>
    <row r="11" spans="1:3" x14ac:dyDescent="0.3">
      <c r="A11" s="386"/>
      <c r="B11" s="55" t="s">
        <v>52</v>
      </c>
      <c r="C11" s="55">
        <f>COUNTIF('Override Control Env3'!$L$25:$L$33,B11)</f>
        <v>0</v>
      </c>
    </row>
    <row r="12" spans="1:3" x14ac:dyDescent="0.3">
      <c r="A12" s="386"/>
      <c r="B12" s="55" t="s">
        <v>790</v>
      </c>
      <c r="C12" s="55">
        <f>COUNTIF('Override Control Env3'!$L$25:$L$33,B12)</f>
        <v>9</v>
      </c>
    </row>
    <row r="13" spans="1:3" x14ac:dyDescent="0.3">
      <c r="A13" s="386" t="s">
        <v>796</v>
      </c>
      <c r="B13" s="55" t="s">
        <v>77</v>
      </c>
      <c r="C13" s="55" t="e">
        <f>COUNTIF('Override Control Env3'!#REF!,B13)</f>
        <v>#REF!</v>
      </c>
    </row>
    <row r="14" spans="1:3" x14ac:dyDescent="0.3">
      <c r="A14" s="386"/>
      <c r="B14" s="55" t="s">
        <v>79</v>
      </c>
      <c r="C14" s="55" t="e">
        <f>COUNTIF('Override Control Env3'!#REF!,B14)</f>
        <v>#REF!</v>
      </c>
    </row>
    <row r="15" spans="1:3" x14ac:dyDescent="0.3">
      <c r="A15" s="386"/>
      <c r="B15" s="55" t="s">
        <v>52</v>
      </c>
      <c r="C15" s="55" t="e">
        <f>COUNTIF('Override Control Env3'!#REF!,B15)</f>
        <v>#REF!</v>
      </c>
    </row>
    <row r="16" spans="1:3" x14ac:dyDescent="0.3">
      <c r="A16" s="386"/>
      <c r="B16" s="55" t="s">
        <v>790</v>
      </c>
      <c r="C16" s="55" t="e">
        <f>COUNTIF('Override Control Env3'!#REF!,B16)</f>
        <v>#REF!</v>
      </c>
    </row>
    <row r="17" spans="1:3" x14ac:dyDescent="0.3">
      <c r="A17" s="386" t="s">
        <v>797</v>
      </c>
      <c r="B17" s="55" t="s">
        <v>77</v>
      </c>
      <c r="C17" s="55">
        <f>COUNTIF('Override Control Env3'!$L$34:$L$56,B17)</f>
        <v>0</v>
      </c>
    </row>
    <row r="18" spans="1:3" x14ac:dyDescent="0.3">
      <c r="A18" s="386"/>
      <c r="B18" s="55" t="s">
        <v>79</v>
      </c>
      <c r="C18" s="55">
        <f>COUNTIF('Override Control Env3'!$L$34:$L$56,B18)</f>
        <v>0</v>
      </c>
    </row>
    <row r="19" spans="1:3" x14ac:dyDescent="0.3">
      <c r="A19" s="386"/>
      <c r="B19" s="55" t="s">
        <v>52</v>
      </c>
      <c r="C19" s="55">
        <f>COUNTIF('Override Control Env3'!$L$34:$L$56,B19)</f>
        <v>0</v>
      </c>
    </row>
    <row r="20" spans="1:3" x14ac:dyDescent="0.3">
      <c r="A20" s="386"/>
      <c r="B20" s="55" t="s">
        <v>790</v>
      </c>
      <c r="C20" s="55">
        <f>COUNTIF('Override Control Env3'!$L$34:$L$56,B20)</f>
        <v>23</v>
      </c>
    </row>
    <row r="21" spans="1:3" x14ac:dyDescent="0.3">
      <c r="A21" s="386" t="s">
        <v>798</v>
      </c>
      <c r="B21" s="55" t="s">
        <v>77</v>
      </c>
      <c r="C21" s="55" t="e">
        <f>COUNTIF('Override Control Env3'!#REF!,B21)</f>
        <v>#REF!</v>
      </c>
    </row>
    <row r="22" spans="1:3" x14ac:dyDescent="0.3">
      <c r="A22" s="386"/>
      <c r="B22" s="55" t="s">
        <v>79</v>
      </c>
      <c r="C22" s="55" t="e">
        <f>COUNTIF('Override Control Env3'!#REF!,B22)</f>
        <v>#REF!</v>
      </c>
    </row>
    <row r="23" spans="1:3" x14ac:dyDescent="0.3">
      <c r="A23" s="386"/>
      <c r="B23" s="55" t="s">
        <v>52</v>
      </c>
      <c r="C23" s="55" t="e">
        <f>COUNTIF('Override Control Env3'!#REF!,B23)</f>
        <v>#REF!</v>
      </c>
    </row>
    <row r="24" spans="1:3" x14ac:dyDescent="0.3">
      <c r="A24" s="386"/>
      <c r="B24" s="55" t="s">
        <v>790</v>
      </c>
      <c r="C24" s="55" t="e">
        <f>COUNTIF('Override Control Env3'!#REF!,B24)</f>
        <v>#REF!</v>
      </c>
    </row>
    <row r="25" spans="1:3" ht="15" customHeight="1" x14ac:dyDescent="0.3">
      <c r="A25" s="387" t="s">
        <v>775</v>
      </c>
      <c r="B25" s="55" t="s">
        <v>77</v>
      </c>
      <c r="C25" s="55">
        <f>COUNTIF('Override Control Env3'!$L$59:$L$70,B25)</f>
        <v>0</v>
      </c>
    </row>
    <row r="26" spans="1:3" x14ac:dyDescent="0.3">
      <c r="A26" s="387"/>
      <c r="B26" s="55" t="s">
        <v>79</v>
      </c>
      <c r="C26" s="55">
        <f>COUNTIF('Override Control Env3'!$L$59:$L$70,B26)</f>
        <v>0</v>
      </c>
    </row>
    <row r="27" spans="1:3" x14ac:dyDescent="0.3">
      <c r="A27" s="387"/>
      <c r="B27" s="55" t="s">
        <v>52</v>
      </c>
      <c r="C27" s="55">
        <f>COUNTIF('Override Control Env3'!$L$59:$L$70,B27)</f>
        <v>0</v>
      </c>
    </row>
    <row r="28" spans="1:3" x14ac:dyDescent="0.3">
      <c r="A28" s="387"/>
      <c r="B28" s="55" t="s">
        <v>790</v>
      </c>
      <c r="C28" s="55">
        <f>COUNTIF('Override Control Env3'!$L$59:$L$70,B28)</f>
        <v>12</v>
      </c>
    </row>
    <row r="29" spans="1:3" x14ac:dyDescent="0.3">
      <c r="A29" s="386" t="s">
        <v>777</v>
      </c>
      <c r="B29" s="55" t="s">
        <v>77</v>
      </c>
      <c r="C29" s="55">
        <f>COUNTIF('Override Control Env3'!$L$71:$L$81,B29)</f>
        <v>0</v>
      </c>
    </row>
    <row r="30" spans="1:3" x14ac:dyDescent="0.3">
      <c r="A30" s="386"/>
      <c r="B30" s="55" t="s">
        <v>79</v>
      </c>
      <c r="C30" s="55">
        <f>COUNTIF('Override Control Env3'!$L$71:$L$81,B30)</f>
        <v>0</v>
      </c>
    </row>
    <row r="31" spans="1:3" x14ac:dyDescent="0.3">
      <c r="A31" s="386"/>
      <c r="B31" s="55" t="s">
        <v>52</v>
      </c>
      <c r="C31" s="55">
        <f>COUNTIF('Override Control Env3'!$L$71:$L$81,B31)</f>
        <v>0</v>
      </c>
    </row>
    <row r="32" spans="1:3" x14ac:dyDescent="0.3">
      <c r="A32" s="386"/>
      <c r="B32" s="55" t="s">
        <v>790</v>
      </c>
      <c r="C32" s="55">
        <f>COUNTIF('Override Control Env3'!$L$71:$L$81,B32)</f>
        <v>11</v>
      </c>
    </row>
    <row r="33" spans="1:3" x14ac:dyDescent="0.3">
      <c r="A33" s="386" t="s">
        <v>590</v>
      </c>
      <c r="B33" s="55" t="s">
        <v>77</v>
      </c>
      <c r="C33" s="55">
        <f>COUNTIF('Override Control Env3'!$L$82:$L$91,B33)</f>
        <v>0</v>
      </c>
    </row>
    <row r="34" spans="1:3" x14ac:dyDescent="0.3">
      <c r="A34" s="386"/>
      <c r="B34" s="55" t="s">
        <v>79</v>
      </c>
      <c r="C34" s="55">
        <f>COUNTIF('Override Control Env3'!$L$82:$L$91,B34)</f>
        <v>0</v>
      </c>
    </row>
    <row r="35" spans="1:3" x14ac:dyDescent="0.3">
      <c r="A35" s="386"/>
      <c r="B35" s="55" t="s">
        <v>52</v>
      </c>
      <c r="C35" s="55">
        <f>COUNTIF('Override Control Env3'!$L$82:$L$91,B35)</f>
        <v>0</v>
      </c>
    </row>
    <row r="36" spans="1:3" x14ac:dyDescent="0.3">
      <c r="A36" s="386"/>
      <c r="B36" s="55" t="s">
        <v>790</v>
      </c>
      <c r="C36" s="55">
        <f>COUNTIF('Override Control Env3'!$L$82:$L$91,B36)</f>
        <v>10</v>
      </c>
    </row>
    <row r="37" spans="1:3" x14ac:dyDescent="0.3">
      <c r="A37" s="386" t="s">
        <v>799</v>
      </c>
      <c r="B37" s="55" t="s">
        <v>77</v>
      </c>
      <c r="C37" s="55" t="e">
        <f>COUNTIF('Override Control Env3'!#REF!,B37)</f>
        <v>#REF!</v>
      </c>
    </row>
    <row r="38" spans="1:3" x14ac:dyDescent="0.3">
      <c r="A38" s="386"/>
      <c r="B38" s="55" t="s">
        <v>79</v>
      </c>
      <c r="C38" s="55" t="e">
        <f>COUNTIF('Override Control Env3'!#REF!,B38)</f>
        <v>#REF!</v>
      </c>
    </row>
    <row r="39" spans="1:3" x14ac:dyDescent="0.3">
      <c r="A39" s="386"/>
      <c r="B39" s="55" t="s">
        <v>52</v>
      </c>
      <c r="C39" s="55" t="e">
        <f>COUNTIF('Override Control Env3'!#REF!,B39)</f>
        <v>#REF!</v>
      </c>
    </row>
    <row r="40" spans="1:3" x14ac:dyDescent="0.3">
      <c r="A40" s="386"/>
      <c r="B40" s="55" t="s">
        <v>790</v>
      </c>
      <c r="C40" s="55" t="e">
        <f>COUNTIF('Override Control Env3'!#REF!,B40)</f>
        <v>#REF!</v>
      </c>
    </row>
    <row r="41" spans="1:3" x14ac:dyDescent="0.3">
      <c r="A41" s="386" t="s">
        <v>800</v>
      </c>
      <c r="B41" s="55" t="s">
        <v>77</v>
      </c>
      <c r="C41" s="55" t="e">
        <f>COUNTIF('Override Control Env3'!#REF!,B41)</f>
        <v>#REF!</v>
      </c>
    </row>
    <row r="42" spans="1:3" x14ac:dyDescent="0.3">
      <c r="A42" s="386"/>
      <c r="B42" s="55" t="s">
        <v>79</v>
      </c>
      <c r="C42" s="55" t="e">
        <f>COUNTIF('Override Control Env3'!#REF!,B42)</f>
        <v>#REF!</v>
      </c>
    </row>
    <row r="43" spans="1:3" x14ac:dyDescent="0.3">
      <c r="A43" s="386"/>
      <c r="B43" s="55" t="s">
        <v>52</v>
      </c>
      <c r="C43" s="55" t="e">
        <f>COUNTIF('Override Control Env3'!#REF!,B43)</f>
        <v>#REF!</v>
      </c>
    </row>
    <row r="44" spans="1:3" x14ac:dyDescent="0.3">
      <c r="A44" s="386"/>
      <c r="B44" s="55" t="s">
        <v>790</v>
      </c>
      <c r="C44" s="55" t="e">
        <f>COUNTIF('Override Control Env3'!#REF!,B44)</f>
        <v>#REF!</v>
      </c>
    </row>
    <row r="45" spans="1:3" x14ac:dyDescent="0.3">
      <c r="A45" s="386" t="s">
        <v>801</v>
      </c>
      <c r="B45" s="55" t="s">
        <v>77</v>
      </c>
      <c r="C45" s="55" t="e">
        <f>COUNTIF('Override Control Env3'!#REF!,B45)</f>
        <v>#REF!</v>
      </c>
    </row>
    <row r="46" spans="1:3" x14ac:dyDescent="0.3">
      <c r="A46" s="386"/>
      <c r="B46" s="55" t="s">
        <v>79</v>
      </c>
      <c r="C46" s="55" t="e">
        <f>COUNTIF('Override Control Env3'!#REF!,B46)</f>
        <v>#REF!</v>
      </c>
    </row>
    <row r="47" spans="1:3" x14ac:dyDescent="0.3">
      <c r="A47" s="386"/>
      <c r="B47" s="55" t="s">
        <v>52</v>
      </c>
      <c r="C47" s="55" t="e">
        <f>COUNTIF('Override Control Env3'!#REF!,B47)</f>
        <v>#REF!</v>
      </c>
    </row>
    <row r="48" spans="1:3" x14ac:dyDescent="0.3">
      <c r="A48" s="386"/>
      <c r="B48" s="55" t="s">
        <v>790</v>
      </c>
      <c r="C48" s="55" t="e">
        <f>COUNTIF('Override Control Env3'!#REF!,B48)</f>
        <v>#REF!</v>
      </c>
    </row>
    <row r="49" spans="1:3" x14ac:dyDescent="0.3">
      <c r="A49" s="386" t="s">
        <v>621</v>
      </c>
      <c r="B49" s="55" t="s">
        <v>77</v>
      </c>
      <c r="C49" s="55">
        <f>COUNTIF('Override Control Env3'!$L$92:$L$102,B49)</f>
        <v>0</v>
      </c>
    </row>
    <row r="50" spans="1:3" x14ac:dyDescent="0.3">
      <c r="A50" s="386"/>
      <c r="B50" s="55" t="s">
        <v>79</v>
      </c>
      <c r="C50" s="55">
        <f>COUNTIF('Override Control Env3'!$L$92:$L$102,B50)</f>
        <v>0</v>
      </c>
    </row>
    <row r="51" spans="1:3" x14ac:dyDescent="0.3">
      <c r="A51" s="386"/>
      <c r="B51" s="55" t="s">
        <v>52</v>
      </c>
      <c r="C51" s="55">
        <f>COUNTIF('Override Control Env3'!$L$92:$L$102,B51)</f>
        <v>0</v>
      </c>
    </row>
    <row r="52" spans="1:3" x14ac:dyDescent="0.3">
      <c r="A52" s="386"/>
      <c r="B52" s="55" t="s">
        <v>790</v>
      </c>
      <c r="C52" s="55">
        <f>COUNTIF('Override Control Env3'!$L$92:$L$102,B52)</f>
        <v>11</v>
      </c>
    </row>
    <row r="53" spans="1:3" x14ac:dyDescent="0.3">
      <c r="A53" s="386" t="s">
        <v>802</v>
      </c>
      <c r="B53" s="55" t="s">
        <v>77</v>
      </c>
      <c r="C53" s="55" t="e">
        <f>COUNTIF('Override Control Env3'!#REF!,B53)</f>
        <v>#REF!</v>
      </c>
    </row>
    <row r="54" spans="1:3" x14ac:dyDescent="0.3">
      <c r="A54" s="386"/>
      <c r="B54" s="55" t="s">
        <v>79</v>
      </c>
      <c r="C54" s="55" t="e">
        <f>COUNTIF('Override Control Env3'!#REF!,B54)</f>
        <v>#REF!</v>
      </c>
    </row>
    <row r="55" spans="1:3" x14ac:dyDescent="0.3">
      <c r="A55" s="386"/>
      <c r="B55" s="55" t="s">
        <v>52</v>
      </c>
      <c r="C55" s="55" t="e">
        <f>COUNTIF('Override Control Env3'!#REF!,B55)</f>
        <v>#REF!</v>
      </c>
    </row>
    <row r="56" spans="1:3" x14ac:dyDescent="0.3">
      <c r="A56" s="386"/>
      <c r="B56" s="55" t="s">
        <v>790</v>
      </c>
      <c r="C56" s="55" t="e">
        <f>COUNTIF('Override Control Env3'!#REF!,B56)</f>
        <v>#REF!</v>
      </c>
    </row>
    <row r="57" spans="1:3" x14ac:dyDescent="0.3">
      <c r="A57" s="386" t="s">
        <v>778</v>
      </c>
      <c r="B57" s="55" t="s">
        <v>77</v>
      </c>
      <c r="C57" s="55">
        <f>COUNTIF('Override Control Env3'!$L$103:$L$111,B57)</f>
        <v>0</v>
      </c>
    </row>
    <row r="58" spans="1:3" x14ac:dyDescent="0.3">
      <c r="A58" s="386"/>
      <c r="B58" s="55" t="s">
        <v>79</v>
      </c>
      <c r="C58" s="55">
        <f>COUNTIF('Override Control Env3'!$L$103:$L$111,B58)</f>
        <v>0</v>
      </c>
    </row>
    <row r="59" spans="1:3" x14ac:dyDescent="0.3">
      <c r="A59" s="386"/>
      <c r="B59" s="55" t="s">
        <v>52</v>
      </c>
      <c r="C59" s="55">
        <f>COUNTIF('Override Control Env3'!$L$103:$L$111,B59)</f>
        <v>0</v>
      </c>
    </row>
    <row r="60" spans="1:3" x14ac:dyDescent="0.3">
      <c r="A60" s="386"/>
      <c r="B60" s="55" t="s">
        <v>790</v>
      </c>
      <c r="C60" s="55">
        <f>COUNTIF('Override Control Env3'!$L$103:$L$111,B60)</f>
        <v>9</v>
      </c>
    </row>
    <row r="61" spans="1:3" x14ac:dyDescent="0.3">
      <c r="A61" s="386" t="s">
        <v>779</v>
      </c>
      <c r="B61" s="55" t="s">
        <v>77</v>
      </c>
      <c r="C61" s="55">
        <f>COUNTIF('Override Control Env3'!$L$112:$L$124,B61)</f>
        <v>0</v>
      </c>
    </row>
    <row r="62" spans="1:3" x14ac:dyDescent="0.3">
      <c r="A62" s="386"/>
      <c r="B62" s="55" t="s">
        <v>79</v>
      </c>
      <c r="C62" s="55">
        <f>COUNTIF('Override Control Env3'!$L$112:$L$124,B62)</f>
        <v>0</v>
      </c>
    </row>
    <row r="63" spans="1:3" x14ac:dyDescent="0.3">
      <c r="A63" s="386"/>
      <c r="B63" s="55" t="s">
        <v>52</v>
      </c>
      <c r="C63" s="55">
        <f>COUNTIF('Override Control Env3'!$L$112:$L$124,B63)</f>
        <v>0</v>
      </c>
    </row>
    <row r="64" spans="1:3" x14ac:dyDescent="0.3">
      <c r="A64" s="386"/>
      <c r="B64" s="55" t="s">
        <v>790</v>
      </c>
      <c r="C64" s="55">
        <f>COUNTIF('Override Control Env3'!$L$112:$L$124,B64)</f>
        <v>13</v>
      </c>
    </row>
    <row r="65" spans="1:3" x14ac:dyDescent="0.3">
      <c r="A65" s="386" t="s">
        <v>783</v>
      </c>
      <c r="B65" s="55" t="s">
        <v>77</v>
      </c>
      <c r="C65" s="55">
        <f>COUNTIF('Override Control Env3'!$L$125:$L$128,B65)</f>
        <v>0</v>
      </c>
    </row>
    <row r="66" spans="1:3" x14ac:dyDescent="0.3">
      <c r="A66" s="386"/>
      <c r="B66" s="55" t="s">
        <v>79</v>
      </c>
      <c r="C66" s="55">
        <f>COUNTIF('Override Control Env3'!$L$125:$L$128,B66)</f>
        <v>0</v>
      </c>
    </row>
    <row r="67" spans="1:3" x14ac:dyDescent="0.3">
      <c r="A67" s="386"/>
      <c r="B67" s="55" t="s">
        <v>52</v>
      </c>
      <c r="C67" s="55">
        <f>COUNTIF('Override Control Env3'!$L$125:$L$128,B67)</f>
        <v>0</v>
      </c>
    </row>
    <row r="68" spans="1:3" x14ac:dyDescent="0.3">
      <c r="A68" s="386"/>
      <c r="B68" s="55" t="s">
        <v>790</v>
      </c>
      <c r="C68" s="55">
        <f>COUNTIF('Override Control Env3'!$L$125:$L$128,B68)</f>
        <v>4</v>
      </c>
    </row>
  </sheetData>
  <mergeCells count="17">
    <mergeCell ref="A45:A48"/>
    <mergeCell ref="A1:A4"/>
    <mergeCell ref="A5:A8"/>
    <mergeCell ref="A9:A12"/>
    <mergeCell ref="A13:A16"/>
    <mergeCell ref="A17:A20"/>
    <mergeCell ref="A21:A24"/>
    <mergeCell ref="A25:A28"/>
    <mergeCell ref="A29:A32"/>
    <mergeCell ref="A33:A36"/>
    <mergeCell ref="A37:A40"/>
    <mergeCell ref="A41:A44"/>
    <mergeCell ref="A49:A52"/>
    <mergeCell ref="A53:A56"/>
    <mergeCell ref="A57:A60"/>
    <mergeCell ref="A61:A64"/>
    <mergeCell ref="A65:A6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5E0526-B32C-402F-8FC5-B8007E55E7AE}">
  <ds:schemaRefs>
    <ds:schemaRef ds:uri="http://www.w3.org/XML/1998/namespace"/>
    <ds:schemaRef ds:uri="http://purl.org/dc/terms/"/>
    <ds:schemaRef ds:uri="http://schemas.microsoft.com/sharepoint/v3/fields"/>
    <ds:schemaRef ds:uri="http://schemas.openxmlformats.org/package/2006/metadata/core-properties"/>
    <ds:schemaRef ds:uri="http://purl.org/dc/elements/1.1/"/>
    <ds:schemaRef ds:uri="http://purl.org/dc/dcmitype/"/>
    <ds:schemaRef ds:uri="http://schemas.microsoft.com/office/2006/documentManagement/types"/>
    <ds:schemaRef ds:uri="http://schemas.microsoft.com/office/infopath/2007/PartnerControls"/>
    <ds:schemaRef ds:uri="14c339db-4fcb-4cbd-8633-1201a6f0e19b"/>
    <ds:schemaRef ds:uri="63a6c59b-4122-478b-aef6-4fc0178e5f33"/>
    <ds:schemaRef ds:uri="http://schemas.microsoft.com/office/2006/metadata/properties"/>
  </ds:schemaRefs>
</ds:datastoreItem>
</file>

<file path=customXml/itemProps2.xml><?xml version="1.0" encoding="utf-8"?>
<ds:datastoreItem xmlns:ds="http://schemas.openxmlformats.org/officeDocument/2006/customXml" ds:itemID="{17A8C3CF-B6CE-4163-9ADB-08E68213397E}"/>
</file>

<file path=customXml/itemProps3.xml><?xml version="1.0" encoding="utf-8"?>
<ds:datastoreItem xmlns:ds="http://schemas.openxmlformats.org/officeDocument/2006/customXml" ds:itemID="{D081B91C-BC72-46C1-BBDE-30FB0895CC62}">
  <ds:schemaRefs>
    <ds:schemaRef ds:uri="http://schemas.microsoft.com/sharepoint/v3/contenttype/forms"/>
  </ds:schemaRefs>
</ds:datastoreItem>
</file>

<file path=customXml/itemProps4.xml><?xml version="1.0" encoding="utf-8"?>
<ds:datastoreItem xmlns:ds="http://schemas.openxmlformats.org/officeDocument/2006/customXml" ds:itemID="{01D003EE-4B21-4F69-8AB6-B72AD93126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Cover Page</vt:lpstr>
      <vt:lpstr>Instructions</vt:lpstr>
      <vt:lpstr>Data Validation Key</vt:lpstr>
      <vt:lpstr>IRQ</vt:lpstr>
      <vt:lpstr>IVPQ</vt:lpstr>
      <vt:lpstr>Vendor Profile Questionnaire</vt:lpstr>
      <vt:lpstr>Scope</vt:lpstr>
      <vt:lpstr>Network_Architecture_Diagrams</vt:lpstr>
      <vt:lpstr>Connectivity Mapping</vt:lpstr>
      <vt:lpstr>Required Evidence</vt:lpstr>
      <vt:lpstr>Product Security Questionnaire</vt:lpstr>
      <vt:lpstr>1. Access Controls</vt:lpstr>
      <vt:lpstr>2. Awareness and Training</vt:lpstr>
      <vt:lpstr>3. Audit and Accountability</vt:lpstr>
      <vt:lpstr>5. Configuration</vt:lpstr>
      <vt:lpstr>7. Authentication&amp;Authorization</vt:lpstr>
      <vt:lpstr>8. Incident Response</vt:lpstr>
      <vt:lpstr>9. Maintenance</vt:lpstr>
      <vt:lpstr>13. Personnel Security</vt:lpstr>
      <vt:lpstr>15. System Acquisition</vt:lpstr>
      <vt:lpstr>16. System Data Protection</vt:lpstr>
      <vt:lpstr>17. System Data Integrity</vt:lpstr>
      <vt:lpstr>Override Control Env1</vt:lpstr>
      <vt:lpstr>Override Control Env2</vt:lpstr>
      <vt:lpstr>Override Control Env3</vt:lpstr>
      <vt:lpstr>Grading</vt:lpstr>
      <vt:lpstr>Distribution Env1</vt:lpstr>
      <vt:lpstr>Distribution Env2</vt:lpstr>
      <vt:lpstr>Distribution Env3</vt:lpstr>
      <vt:lpstr>Inadequacy Distribution Env1</vt:lpstr>
      <vt:lpstr>Inadequacy Distribution Env2</vt:lpstr>
      <vt:lpstr>Inadequacy Distribution Env3</vt:lpstr>
      <vt:lpstr>Adequacy Distribution Env1</vt:lpstr>
      <vt:lpstr>Adequacy Distribution Env2</vt:lpstr>
      <vt:lpstr>Adequacy Distribution Env3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Masten</dc:creator>
  <cp:keywords/>
  <dc:description/>
  <cp:lastModifiedBy>Bruno Bendavid</cp:lastModifiedBy>
  <cp:revision/>
  <dcterms:created xsi:type="dcterms:W3CDTF">2015-10-31T15:56:41Z</dcterms:created>
  <dcterms:modified xsi:type="dcterms:W3CDTF">2020-01-30T04:56:47Z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ContentType">
    <vt:lpwstr>Document</vt:lpwstr>
  </property>
  <property fmtid="{D5CDD505-2E9C-101B-9397-08002B2CF9AE}" pid="4" name="_DCDateModified">
    <vt:lpwstr/>
  </property>
  <property fmtid="{D5CDD505-2E9C-101B-9397-08002B2CF9AE}" pid="5" name="_Revision">
    <vt:lpwstr/>
  </property>
  <property fmtid="{D5CDD505-2E9C-101B-9397-08002B2CF9AE}" pid="6" name="_Status">
    <vt:lpwstr>Not Started</vt:lpwstr>
  </property>
  <property fmtid="{D5CDD505-2E9C-101B-9397-08002B2CF9AE}" pid="7" name="_dlc_DocIdItemGuid">
    <vt:lpwstr>cd0b49e4-77f1-44cf-b10e-ceb3293048cc</vt:lpwstr>
  </property>
  <property fmtid="{D5CDD505-2E9C-101B-9397-08002B2CF9AE}" pid="8" name="Order">
    <vt:r8>61700</vt:r8>
  </property>
  <property fmtid="{D5CDD505-2E9C-101B-9397-08002B2CF9AE}" pid="9" name="_ExtendedDescription">
    <vt:lpwstr/>
  </property>
</Properties>
</file>