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updateLinks="always"/>
  <mc:AlternateContent xmlns:mc="http://schemas.openxmlformats.org/markup-compatibility/2006">
    <mc:Choice Requires="x15">
      <x15ac:absPath xmlns:x15ac="http://schemas.microsoft.com/office/spreadsheetml/2010/11/ac" url="https://perigenlive-portal1.sharepoint.com/RFPs/Security and Privacy Surveys/SLUHN/"/>
    </mc:Choice>
  </mc:AlternateContent>
  <xr:revisionPtr revIDLastSave="301" documentId="8_{A4B90D0D-3008-4650-8ED5-77B90E7FA999}" xr6:coauthVersionLast="47" xr6:coauthVersionMax="47" xr10:uidLastSave="{BCB9B4E9-4506-43CE-8EEB-444DC168BE62}"/>
  <workbookProtection workbookAlgorithmName="SHA-512" workbookHashValue="Tuwr0Jy6e4hVS6iW+27dODrLqkWL2/FVaLN/HsxL5LPgEdz6eP78nO9gujW2SHer8/E7lt3xNVjh2Ud29zIMQg==" workbookSaltValue="4ybQk3jmMWPu5fi4L0NLTA==" workbookSpinCount="100000" lockStructure="1"/>
  <bookViews>
    <workbookView xWindow="690" yWindow="1875" windowWidth="22050" windowHeight="18675" tabRatio="824" activeTab="5" xr2:uid="{00000000-000D-0000-FFFF-FFFF00000000}"/>
  </bookViews>
  <sheets>
    <sheet name="Cover Page" sheetId="47" r:id="rId1"/>
    <sheet name="Instructions" sheetId="4" r:id="rId2"/>
    <sheet name="Data Validation Key" sheetId="2" state="hidden" r:id="rId3"/>
    <sheet name="IRQ" sheetId="1" state="hidden" r:id="rId4"/>
    <sheet name="IVPQ" sheetId="6" state="hidden" r:id="rId5"/>
    <sheet name="Vendor Profile Questionnaire" sheetId="45" r:id="rId6"/>
    <sheet name="Scope" sheetId="46" r:id="rId7"/>
    <sheet name="Network_Architecture_Diagrams" sheetId="61" r:id="rId8"/>
    <sheet name="Connectivity Mapping" sheetId="62" r:id="rId9"/>
    <sheet name="Required Evidence" sheetId="3" r:id="rId10"/>
    <sheet name="Product Security Questionnaire" sheetId="63" r:id="rId11"/>
    <sheet name="1. Access Controls" sheetId="5" r:id="rId12"/>
    <sheet name="2. Awareness and Training" sheetId="7" r:id="rId13"/>
    <sheet name="3. Audit and Accountability" sheetId="8" r:id="rId14"/>
    <sheet name="5. Configuration" sheetId="48" r:id="rId15"/>
    <sheet name="7. Authentication&amp;Authorization" sheetId="50" r:id="rId16"/>
    <sheet name="8. Incident Response" sheetId="51" r:id="rId17"/>
    <sheet name="9. Maintenance" sheetId="52" r:id="rId18"/>
    <sheet name="13. Personnel Security" sheetId="56" r:id="rId19"/>
    <sheet name="15. System Acquisition" sheetId="58" r:id="rId20"/>
    <sheet name="16. System Data Protection" sheetId="59" r:id="rId21"/>
    <sheet name="17. System Data Integrity" sheetId="60" r:id="rId22"/>
    <sheet name="Override Control Env1" sheetId="23" state="hidden" r:id="rId23"/>
    <sheet name="Override Control Env2" sheetId="28" state="hidden" r:id="rId24"/>
    <sheet name="Override Control Env3" sheetId="29" state="hidden" r:id="rId25"/>
    <sheet name="Grading" sheetId="24" state="hidden" r:id="rId26"/>
    <sheet name="Distribution Env1" sheetId="25" state="hidden" r:id="rId27"/>
    <sheet name="Distribution Env2" sheetId="32" state="hidden" r:id="rId28"/>
    <sheet name="Distribution Env3" sheetId="33" state="hidden" r:id="rId29"/>
    <sheet name="Inadequacy Distribution Env1" sheetId="27" state="hidden" r:id="rId30"/>
    <sheet name="Inadequacy Distribution Env2" sheetId="37" state="hidden" r:id="rId31"/>
    <sheet name="Inadequacy Distribution Env3" sheetId="38" state="hidden" r:id="rId32"/>
    <sheet name="Adequacy Distribution Env1" sheetId="26" state="hidden" r:id="rId33"/>
    <sheet name="Adequacy Distribution Env2" sheetId="41" state="hidden" r:id="rId34"/>
    <sheet name="Adequacy Distribution Env3" sheetId="42" state="hidden" r:id="rId35"/>
  </sheets>
  <externalReferences>
    <externalReference r:id="rId36"/>
    <externalReference r:id="rId37"/>
  </externalReferences>
  <definedNames>
    <definedName name="CORL">[1]Sheet1!$A$1:$A$2</definedName>
    <definedName name="Risk">[2]Sheet2!$A$3:$A$7</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7" i="29" l="1"/>
  <c r="I6" i="29"/>
  <c r="H6" i="29"/>
  <c r="G6" i="29"/>
  <c r="J5" i="29"/>
  <c r="I5" i="29"/>
  <c r="H5" i="29"/>
  <c r="G5" i="29"/>
  <c r="J4" i="29"/>
  <c r="I4" i="29"/>
  <c r="H4" i="29"/>
  <c r="G4" i="29"/>
  <c r="F4" i="29"/>
  <c r="J3" i="29"/>
  <c r="I3" i="29"/>
  <c r="H3" i="29"/>
  <c r="G3" i="29"/>
  <c r="F3" i="29"/>
  <c r="I7" i="28"/>
  <c r="I6" i="28"/>
  <c r="H6" i="28"/>
  <c r="G6" i="28"/>
  <c r="J5" i="28"/>
  <c r="I5" i="28"/>
  <c r="H5" i="28"/>
  <c r="G5" i="28"/>
  <c r="J4" i="28"/>
  <c r="I4" i="28"/>
  <c r="H4" i="28"/>
  <c r="G4" i="28"/>
  <c r="F4" i="28"/>
  <c r="J3" i="28"/>
  <c r="I3" i="28"/>
  <c r="H3" i="28"/>
  <c r="G3" i="28"/>
  <c r="F3" i="28"/>
  <c r="I7" i="23"/>
  <c r="I6" i="23"/>
  <c r="H6" i="23"/>
  <c r="G6" i="23"/>
  <c r="J5" i="23"/>
  <c r="I5" i="23"/>
  <c r="H5" i="23"/>
  <c r="G5" i="23"/>
  <c r="J4" i="23"/>
  <c r="I4" i="23"/>
  <c r="H4" i="23"/>
  <c r="G4" i="23"/>
  <c r="F4" i="23"/>
  <c r="J3" i="23"/>
  <c r="I3" i="23"/>
  <c r="H3" i="23"/>
  <c r="G3" i="23"/>
  <c r="F3" i="23"/>
  <c r="K1" i="60"/>
  <c r="J1" i="60"/>
  <c r="I1" i="60"/>
  <c r="H1" i="60"/>
  <c r="G1" i="60"/>
  <c r="F1" i="60"/>
  <c r="K1" i="59"/>
  <c r="J1" i="59"/>
  <c r="I1" i="59"/>
  <c r="H1" i="59"/>
  <c r="G1" i="59"/>
  <c r="F1" i="59"/>
  <c r="K1" i="58"/>
  <c r="J1" i="58"/>
  <c r="I1" i="58"/>
  <c r="H1" i="58"/>
  <c r="G1" i="58"/>
  <c r="F1" i="58"/>
  <c r="K1" i="56"/>
  <c r="J1" i="56"/>
  <c r="I1" i="56"/>
  <c r="H1" i="56"/>
  <c r="G1" i="56"/>
  <c r="F1" i="56"/>
  <c r="K1" i="52"/>
  <c r="J1" i="52"/>
  <c r="I1" i="52"/>
  <c r="H1" i="52"/>
  <c r="G1" i="52"/>
  <c r="F1" i="52"/>
  <c r="K1" i="51"/>
  <c r="J1" i="51"/>
  <c r="I1" i="51"/>
  <c r="H1" i="51"/>
  <c r="G1" i="51"/>
  <c r="F1" i="51"/>
  <c r="K1" i="50"/>
  <c r="J1" i="50"/>
  <c r="I1" i="50"/>
  <c r="H1" i="50"/>
  <c r="G1" i="50"/>
  <c r="F1" i="50"/>
  <c r="K1" i="48"/>
  <c r="J1" i="48"/>
  <c r="I1" i="48"/>
  <c r="H1" i="48"/>
  <c r="G1" i="48"/>
  <c r="F1" i="48"/>
  <c r="K1" i="8"/>
  <c r="J1" i="8"/>
  <c r="I1" i="8"/>
  <c r="H1" i="8"/>
  <c r="G1" i="8"/>
  <c r="F1" i="8"/>
  <c r="K1" i="7"/>
  <c r="J1" i="7"/>
  <c r="I1" i="7"/>
  <c r="H1" i="7"/>
  <c r="G1" i="7"/>
  <c r="F1" i="7"/>
  <c r="K1" i="5"/>
  <c r="J1" i="5"/>
  <c r="I1" i="5"/>
  <c r="H1" i="5"/>
  <c r="G1" i="5"/>
  <c r="F1" i="5"/>
  <c r="R57" i="28"/>
  <c r="R58" i="28"/>
  <c r="R57" i="29"/>
  <c r="R58" i="29"/>
  <c r="I57" i="29"/>
  <c r="I58" i="29"/>
  <c r="H57" i="29"/>
  <c r="P57" i="29" s="1"/>
  <c r="H58" i="29"/>
  <c r="P58" i="29" s="1"/>
  <c r="I57" i="28"/>
  <c r="I58" i="28"/>
  <c r="J58" i="28"/>
  <c r="L58" i="28" s="1"/>
  <c r="Q58" i="28" s="1"/>
  <c r="H57" i="28"/>
  <c r="P57" i="28"/>
  <c r="H58" i="28"/>
  <c r="P58" i="28" s="1"/>
  <c r="C58" i="29"/>
  <c r="S58" i="29"/>
  <c r="C57" i="29"/>
  <c r="S57" i="29" s="1"/>
  <c r="C58" i="28"/>
  <c r="S58" i="28"/>
  <c r="C57" i="28"/>
  <c r="S57" i="28" s="1"/>
  <c r="R57" i="23"/>
  <c r="R58" i="23"/>
  <c r="I57" i="23"/>
  <c r="I58" i="23"/>
  <c r="H57" i="23"/>
  <c r="P57" i="23"/>
  <c r="H58" i="23"/>
  <c r="P58" i="23" s="1"/>
  <c r="C58" i="23"/>
  <c r="S58" i="23"/>
  <c r="C57" i="23"/>
  <c r="S57" i="23" s="1"/>
  <c r="A37" i="24"/>
  <c r="A19" i="24"/>
  <c r="A1" i="24"/>
  <c r="I102" i="29"/>
  <c r="I126" i="29"/>
  <c r="I127" i="29"/>
  <c r="O127" i="29"/>
  <c r="I128" i="29"/>
  <c r="O128" i="29" s="1"/>
  <c r="H126" i="29"/>
  <c r="H127" i="29"/>
  <c r="P127" i="29"/>
  <c r="H128" i="29"/>
  <c r="P128" i="29" s="1"/>
  <c r="I125" i="29"/>
  <c r="H125" i="29"/>
  <c r="P125" i="29" s="1"/>
  <c r="I113" i="29"/>
  <c r="O113" i="29"/>
  <c r="I114" i="29"/>
  <c r="J114" i="29" s="1"/>
  <c r="L114" i="29" s="1"/>
  <c r="I115" i="29"/>
  <c r="J115" i="29"/>
  <c r="I116" i="29"/>
  <c r="I117" i="29"/>
  <c r="O117" i="29"/>
  <c r="I118" i="29"/>
  <c r="I119" i="29"/>
  <c r="I120" i="29"/>
  <c r="I121" i="29"/>
  <c r="I122" i="29"/>
  <c r="O122" i="29" s="1"/>
  <c r="I123" i="29"/>
  <c r="I124" i="29"/>
  <c r="H113" i="29"/>
  <c r="P113" i="29" s="1"/>
  <c r="H114" i="29"/>
  <c r="P114" i="29"/>
  <c r="H115" i="29"/>
  <c r="P115" i="29" s="1"/>
  <c r="H116" i="29"/>
  <c r="P116" i="29"/>
  <c r="H117" i="29"/>
  <c r="P117" i="29" s="1"/>
  <c r="H118" i="29"/>
  <c r="P118" i="29"/>
  <c r="H119" i="29"/>
  <c r="P119" i="29" s="1"/>
  <c r="H120" i="29"/>
  <c r="P120" i="29"/>
  <c r="H121" i="29"/>
  <c r="P121" i="29" s="1"/>
  <c r="H122" i="29"/>
  <c r="P122" i="29"/>
  <c r="H123" i="29"/>
  <c r="P123" i="29" s="1"/>
  <c r="H124" i="29"/>
  <c r="P124" i="29"/>
  <c r="I112" i="29"/>
  <c r="H112" i="29"/>
  <c r="P112" i="29" s="1"/>
  <c r="I104" i="29"/>
  <c r="I105" i="29"/>
  <c r="J105" i="29" s="1"/>
  <c r="L105" i="29" s="1"/>
  <c r="I106" i="29"/>
  <c r="I107" i="29"/>
  <c r="J107" i="29" s="1"/>
  <c r="L107" i="29" s="1"/>
  <c r="I108" i="29"/>
  <c r="O108" i="29"/>
  <c r="I109" i="29"/>
  <c r="I110" i="29"/>
  <c r="J110" i="29"/>
  <c r="L110" i="29"/>
  <c r="I111" i="29"/>
  <c r="O111" i="29" s="1"/>
  <c r="H104" i="29"/>
  <c r="H105" i="29"/>
  <c r="P105" i="29" s="1"/>
  <c r="H106" i="29"/>
  <c r="P106" i="29"/>
  <c r="H107" i="29"/>
  <c r="P107" i="29" s="1"/>
  <c r="H108" i="29"/>
  <c r="P108" i="29"/>
  <c r="H109" i="29"/>
  <c r="P109" i="29" s="1"/>
  <c r="H110" i="29"/>
  <c r="P110" i="29"/>
  <c r="H111" i="29"/>
  <c r="P111" i="29" s="1"/>
  <c r="I103" i="29"/>
  <c r="H103" i="29"/>
  <c r="C68" i="33"/>
  <c r="I93" i="29"/>
  <c r="I94" i="29"/>
  <c r="I95" i="29"/>
  <c r="I96" i="29"/>
  <c r="O96" i="29" s="1"/>
  <c r="I97" i="29"/>
  <c r="O97" i="29"/>
  <c r="I98" i="29"/>
  <c r="I99" i="29"/>
  <c r="I100" i="29"/>
  <c r="O100" i="29"/>
  <c r="I101" i="29"/>
  <c r="O101" i="29" s="1"/>
  <c r="H93" i="29"/>
  <c r="H94" i="29"/>
  <c r="H95" i="29"/>
  <c r="P95" i="29" s="1"/>
  <c r="H96" i="29"/>
  <c r="P96" i="29"/>
  <c r="H97" i="29"/>
  <c r="H98" i="29"/>
  <c r="H99" i="29"/>
  <c r="P99" i="29"/>
  <c r="H100" i="29"/>
  <c r="P100" i="29" s="1"/>
  <c r="H101" i="29"/>
  <c r="H102" i="29"/>
  <c r="I92" i="29"/>
  <c r="J92" i="29" s="1"/>
  <c r="H92" i="29"/>
  <c r="P92" i="29"/>
  <c r="C60" i="33"/>
  <c r="I83" i="29"/>
  <c r="I84" i="29"/>
  <c r="J84" i="29"/>
  <c r="I85" i="29"/>
  <c r="O85" i="29" s="1"/>
  <c r="I86" i="29"/>
  <c r="I87" i="29"/>
  <c r="I88" i="29"/>
  <c r="O88" i="29" s="1"/>
  <c r="I89" i="29"/>
  <c r="O89" i="29"/>
  <c r="I90" i="29"/>
  <c r="I91" i="29"/>
  <c r="H83" i="29"/>
  <c r="P83" i="29"/>
  <c r="H84" i="29"/>
  <c r="P84" i="29" s="1"/>
  <c r="H85" i="29"/>
  <c r="H86" i="29"/>
  <c r="P86" i="29"/>
  <c r="H87" i="29"/>
  <c r="P87" i="29" s="1"/>
  <c r="H88" i="29"/>
  <c r="P88" i="29"/>
  <c r="H89" i="29"/>
  <c r="H90" i="29"/>
  <c r="P90" i="29"/>
  <c r="H91" i="29"/>
  <c r="P91" i="29" s="1"/>
  <c r="I82" i="29"/>
  <c r="H82" i="29"/>
  <c r="I72" i="29"/>
  <c r="I73" i="29"/>
  <c r="J73" i="29" s="1"/>
  <c r="L73" i="29" s="1"/>
  <c r="Q73" i="29" s="1"/>
  <c r="I74" i="29"/>
  <c r="J74" i="29" s="1"/>
  <c r="I75" i="29"/>
  <c r="I76" i="29"/>
  <c r="I77" i="29"/>
  <c r="J77" i="29" s="1"/>
  <c r="L77" i="29" s="1"/>
  <c r="Q77" i="29"/>
  <c r="I78" i="29"/>
  <c r="O78" i="29"/>
  <c r="I79" i="29"/>
  <c r="I80" i="29"/>
  <c r="J80" i="29" s="1"/>
  <c r="I81" i="29"/>
  <c r="H72" i="29"/>
  <c r="P72" i="29" s="1"/>
  <c r="H73" i="29"/>
  <c r="H74" i="29"/>
  <c r="P74" i="29"/>
  <c r="H75" i="29"/>
  <c r="P75" i="29" s="1"/>
  <c r="H76" i="29"/>
  <c r="P76" i="29"/>
  <c r="H77" i="29"/>
  <c r="P77" i="29" s="1"/>
  <c r="H78" i="29"/>
  <c r="P78" i="29"/>
  <c r="H79" i="29"/>
  <c r="P79" i="29" s="1"/>
  <c r="H80" i="29"/>
  <c r="P80" i="29"/>
  <c r="H81" i="29"/>
  <c r="P81" i="29" s="1"/>
  <c r="I71" i="29"/>
  <c r="H71" i="29"/>
  <c r="P71" i="29" s="1"/>
  <c r="I60" i="29"/>
  <c r="I61" i="29"/>
  <c r="I62" i="29"/>
  <c r="O62" i="29" s="1"/>
  <c r="I63" i="29"/>
  <c r="O63" i="29"/>
  <c r="I64" i="29"/>
  <c r="J64" i="29" s="1"/>
  <c r="I65" i="29"/>
  <c r="O65" i="29"/>
  <c r="I66" i="29"/>
  <c r="J66" i="29" s="1"/>
  <c r="L66" i="29" s="1"/>
  <c r="I67" i="29"/>
  <c r="I68" i="29"/>
  <c r="J68" i="29" s="1"/>
  <c r="L68" i="29" s="1"/>
  <c r="I69" i="29"/>
  <c r="J69" i="29"/>
  <c r="L69" i="29" s="1"/>
  <c r="I70" i="29"/>
  <c r="J70" i="29"/>
  <c r="L70" i="29"/>
  <c r="H60" i="29"/>
  <c r="P60" i="29" s="1"/>
  <c r="H61" i="29"/>
  <c r="P61" i="29"/>
  <c r="H62" i="29"/>
  <c r="P62" i="29" s="1"/>
  <c r="H63" i="29"/>
  <c r="H64" i="29"/>
  <c r="P64" i="29" s="1"/>
  <c r="H65" i="29"/>
  <c r="P65" i="29"/>
  <c r="H66" i="29"/>
  <c r="P66" i="29" s="1"/>
  <c r="H67" i="29"/>
  <c r="P67" i="29"/>
  <c r="H68" i="29"/>
  <c r="P68" i="29" s="1"/>
  <c r="H69" i="29"/>
  <c r="P69" i="29"/>
  <c r="H70" i="29"/>
  <c r="P70" i="29" s="1"/>
  <c r="I59" i="29"/>
  <c r="H59" i="29"/>
  <c r="P59" i="29"/>
  <c r="I35" i="29"/>
  <c r="J35" i="29" s="1"/>
  <c r="L35" i="29" s="1"/>
  <c r="Q35" i="29" s="1"/>
  <c r="I36" i="29"/>
  <c r="J36" i="29"/>
  <c r="L36" i="29"/>
  <c r="Q36" i="29" s="1"/>
  <c r="I37" i="29"/>
  <c r="I38" i="29"/>
  <c r="J38" i="29"/>
  <c r="I39" i="29"/>
  <c r="J39" i="29" s="1"/>
  <c r="L39" i="29" s="1"/>
  <c r="Q39" i="29" s="1"/>
  <c r="I40" i="29"/>
  <c r="J40" i="29"/>
  <c r="L40" i="29"/>
  <c r="N40" i="29" s="1"/>
  <c r="I41" i="29"/>
  <c r="I42" i="29"/>
  <c r="J42" i="29"/>
  <c r="L42" i="29" s="1"/>
  <c r="I43" i="29"/>
  <c r="J43" i="29"/>
  <c r="I44" i="29"/>
  <c r="I45" i="29"/>
  <c r="I46" i="29"/>
  <c r="J46" i="29"/>
  <c r="L46" i="29"/>
  <c r="N46" i="29" s="1"/>
  <c r="I47" i="29"/>
  <c r="J47" i="29" s="1"/>
  <c r="L47" i="29" s="1"/>
  <c r="I48" i="29"/>
  <c r="O48" i="29" s="1"/>
  <c r="I49" i="29"/>
  <c r="I50" i="29"/>
  <c r="J50" i="29"/>
  <c r="I51" i="29"/>
  <c r="J51" i="29" s="1"/>
  <c r="I52" i="29"/>
  <c r="I53" i="29"/>
  <c r="I54" i="29"/>
  <c r="J54" i="29" s="1"/>
  <c r="L54" i="29" s="1"/>
  <c r="I55" i="29"/>
  <c r="O55" i="29" s="1"/>
  <c r="I56" i="29"/>
  <c r="O56" i="29"/>
  <c r="H35" i="29"/>
  <c r="P35" i="29" s="1"/>
  <c r="H36" i="29"/>
  <c r="P36" i="29"/>
  <c r="H37" i="29"/>
  <c r="P37" i="29" s="1"/>
  <c r="H38" i="29"/>
  <c r="P38" i="29"/>
  <c r="H39" i="29"/>
  <c r="H40" i="29"/>
  <c r="P40" i="29" s="1"/>
  <c r="H41" i="29"/>
  <c r="P41" i="29"/>
  <c r="H42" i="29"/>
  <c r="P42" i="29" s="1"/>
  <c r="H43" i="29"/>
  <c r="H44" i="29"/>
  <c r="P44" i="29" s="1"/>
  <c r="H45" i="29"/>
  <c r="P45" i="29"/>
  <c r="H46" i="29"/>
  <c r="P46" i="29" s="1"/>
  <c r="H47" i="29"/>
  <c r="H48" i="29"/>
  <c r="P48" i="29"/>
  <c r="H49" i="29"/>
  <c r="P49" i="29" s="1"/>
  <c r="H50" i="29"/>
  <c r="P50" i="29"/>
  <c r="H51" i="29"/>
  <c r="H52" i="29"/>
  <c r="P52" i="29"/>
  <c r="H53" i="29"/>
  <c r="P53" i="29" s="1"/>
  <c r="H54" i="29"/>
  <c r="P54" i="29"/>
  <c r="H55" i="29"/>
  <c r="P55" i="29" s="1"/>
  <c r="H56" i="29"/>
  <c r="P56" i="29"/>
  <c r="I34" i="29"/>
  <c r="H34" i="29"/>
  <c r="P34" i="29"/>
  <c r="R54" i="29"/>
  <c r="R55" i="29"/>
  <c r="R56" i="29"/>
  <c r="C56" i="29"/>
  <c r="S56" i="29"/>
  <c r="C55" i="29"/>
  <c r="S55" i="29" s="1"/>
  <c r="C54" i="29"/>
  <c r="S54" i="29"/>
  <c r="R11" i="29"/>
  <c r="R12" i="29"/>
  <c r="I11" i="29"/>
  <c r="I12" i="29"/>
  <c r="O12" i="29" s="1"/>
  <c r="H11" i="29"/>
  <c r="P11" i="29"/>
  <c r="H12" i="29"/>
  <c r="P12" i="29" s="1"/>
  <c r="C12" i="29"/>
  <c r="S12" i="29"/>
  <c r="C11" i="29"/>
  <c r="R54" i="28"/>
  <c r="R55" i="28"/>
  <c r="R56" i="28"/>
  <c r="R11" i="28"/>
  <c r="R12" i="28"/>
  <c r="I126" i="28"/>
  <c r="I127" i="28"/>
  <c r="J127" i="28" s="1"/>
  <c r="L127" i="28" s="1"/>
  <c r="I128" i="28"/>
  <c r="H126" i="28"/>
  <c r="P126" i="28" s="1"/>
  <c r="H127" i="28"/>
  <c r="H128" i="28"/>
  <c r="P128" i="28"/>
  <c r="I113" i="28"/>
  <c r="J113" i="28" s="1"/>
  <c r="I114" i="28"/>
  <c r="J114" i="28"/>
  <c r="L114" i="28" s="1"/>
  <c r="Q114" i="28" s="1"/>
  <c r="I115" i="28"/>
  <c r="I116" i="28"/>
  <c r="O116" i="28" s="1"/>
  <c r="I117" i="28"/>
  <c r="I118" i="28"/>
  <c r="O118" i="28"/>
  <c r="I119" i="28"/>
  <c r="O119" i="28" s="1"/>
  <c r="I120" i="28"/>
  <c r="I121" i="28"/>
  <c r="J121" i="28" s="1"/>
  <c r="I122" i="28"/>
  <c r="J122" i="28"/>
  <c r="L122" i="28"/>
  <c r="Q122" i="28" s="1"/>
  <c r="I123" i="28"/>
  <c r="O123" i="28"/>
  <c r="I124" i="28"/>
  <c r="J124" i="28" s="1"/>
  <c r="H113" i="28"/>
  <c r="P113" i="28"/>
  <c r="H114" i="28"/>
  <c r="P114" i="28" s="1"/>
  <c r="H115" i="28"/>
  <c r="P115" i="28"/>
  <c r="H116" i="28"/>
  <c r="P116" i="28" s="1"/>
  <c r="H117" i="28"/>
  <c r="P117" i="28"/>
  <c r="H118" i="28"/>
  <c r="P118" i="28" s="1"/>
  <c r="H119" i="28"/>
  <c r="H120" i="28"/>
  <c r="P120" i="28"/>
  <c r="H121" i="28"/>
  <c r="P121" i="28" s="1"/>
  <c r="H122" i="28"/>
  <c r="P122" i="28"/>
  <c r="H123" i="28"/>
  <c r="P123" i="28" s="1"/>
  <c r="H124" i="28"/>
  <c r="P124" i="28"/>
  <c r="R54" i="23"/>
  <c r="R55" i="23"/>
  <c r="R56" i="23"/>
  <c r="R11" i="23"/>
  <c r="R12" i="23"/>
  <c r="I104" i="28"/>
  <c r="J104" i="28"/>
  <c r="L104" i="28"/>
  <c r="I105" i="28"/>
  <c r="I106" i="28"/>
  <c r="J106" i="28"/>
  <c r="L106" i="28"/>
  <c r="I107" i="28"/>
  <c r="I108" i="28"/>
  <c r="O108" i="28" s="1"/>
  <c r="I109" i="28"/>
  <c r="I110" i="28"/>
  <c r="J110" i="28" s="1"/>
  <c r="L110" i="28" s="1"/>
  <c r="I111" i="28"/>
  <c r="O111" i="28"/>
  <c r="H104" i="28"/>
  <c r="P104" i="28" s="1"/>
  <c r="H105" i="28"/>
  <c r="P105" i="28" s="1"/>
  <c r="H106" i="28"/>
  <c r="P106" i="28" s="1"/>
  <c r="H107" i="28"/>
  <c r="H108" i="28"/>
  <c r="P108" i="28" s="1"/>
  <c r="H109" i="28"/>
  <c r="H110" i="28"/>
  <c r="P110" i="28" s="1"/>
  <c r="H111" i="28"/>
  <c r="P111" i="28" s="1"/>
  <c r="I93" i="28"/>
  <c r="O93" i="28"/>
  <c r="I94" i="28"/>
  <c r="I95" i="28"/>
  <c r="J95" i="28"/>
  <c r="L95" i="28"/>
  <c r="Q95" i="28" s="1"/>
  <c r="I96" i="28"/>
  <c r="J96" i="28"/>
  <c r="L96" i="28" s="1"/>
  <c r="I97" i="28"/>
  <c r="O97" i="28" s="1"/>
  <c r="I98" i="28"/>
  <c r="O98" i="28"/>
  <c r="I99" i="28"/>
  <c r="I100" i="28"/>
  <c r="I101" i="28"/>
  <c r="J101" i="28"/>
  <c r="I102" i="28"/>
  <c r="J102" i="28"/>
  <c r="H93" i="28"/>
  <c r="P93" i="28" s="1"/>
  <c r="H94" i="28"/>
  <c r="P94" i="28"/>
  <c r="H95" i="28"/>
  <c r="P95" i="28" s="1"/>
  <c r="H96" i="28"/>
  <c r="P96" i="28"/>
  <c r="H97" i="28"/>
  <c r="H98" i="28"/>
  <c r="P98" i="28" s="1"/>
  <c r="H99" i="28"/>
  <c r="P99" i="28"/>
  <c r="H100" i="28"/>
  <c r="P100" i="28" s="1"/>
  <c r="H101" i="28"/>
  <c r="P101" i="28" s="1"/>
  <c r="H102" i="28"/>
  <c r="I83" i="28"/>
  <c r="O83" i="28"/>
  <c r="I84" i="28"/>
  <c r="J84" i="28" s="1"/>
  <c r="L84" i="28" s="1"/>
  <c r="I85" i="28"/>
  <c r="I86" i="28"/>
  <c r="O86" i="28" s="1"/>
  <c r="I87" i="28"/>
  <c r="O87" i="28"/>
  <c r="I88" i="28"/>
  <c r="O88" i="28" s="1"/>
  <c r="I89" i="28"/>
  <c r="O89" i="28" s="1"/>
  <c r="I90" i="28"/>
  <c r="O90" i="28" s="1"/>
  <c r="I91" i="28"/>
  <c r="J91" i="28"/>
  <c r="L91" i="28" s="1"/>
  <c r="H83" i="28"/>
  <c r="P83" i="28"/>
  <c r="H84" i="28"/>
  <c r="P84" i="28" s="1"/>
  <c r="H85" i="28"/>
  <c r="P85" i="28"/>
  <c r="H86" i="28"/>
  <c r="P86" i="28" s="1"/>
  <c r="H87" i="28"/>
  <c r="P87" i="28"/>
  <c r="H88" i="28"/>
  <c r="P88" i="28" s="1"/>
  <c r="H89" i="28"/>
  <c r="P89" i="28"/>
  <c r="H90" i="28"/>
  <c r="P90" i="28" s="1"/>
  <c r="H91" i="28"/>
  <c r="P91" i="28"/>
  <c r="I72" i="28"/>
  <c r="O72" i="28" s="1"/>
  <c r="I73" i="28"/>
  <c r="J73" i="28"/>
  <c r="L73" i="28"/>
  <c r="I74" i="28"/>
  <c r="J74" i="28" s="1"/>
  <c r="I75" i="28"/>
  <c r="I76" i="28"/>
  <c r="J76" i="28"/>
  <c r="I77" i="28"/>
  <c r="O77" i="28" s="1"/>
  <c r="I78" i="28"/>
  <c r="J78" i="28"/>
  <c r="I79" i="28"/>
  <c r="I80" i="28"/>
  <c r="J80" i="28" s="1"/>
  <c r="I81" i="28"/>
  <c r="J81" i="28" s="1"/>
  <c r="H72" i="28"/>
  <c r="P72" i="28" s="1"/>
  <c r="H73" i="28"/>
  <c r="H74" i="28"/>
  <c r="P74" i="28" s="1"/>
  <c r="H75" i="28"/>
  <c r="P75" i="28"/>
  <c r="H76" i="28"/>
  <c r="P76" i="28" s="1"/>
  <c r="H77" i="28"/>
  <c r="H78" i="28"/>
  <c r="P78" i="28"/>
  <c r="H79" i="28"/>
  <c r="P79" i="28" s="1"/>
  <c r="H80" i="28"/>
  <c r="P80" i="28" s="1"/>
  <c r="H81" i="28"/>
  <c r="I60" i="28"/>
  <c r="O60" i="28"/>
  <c r="I61" i="28"/>
  <c r="J61" i="28"/>
  <c r="L61" i="28" s="1"/>
  <c r="I62" i="28"/>
  <c r="O62" i="28"/>
  <c r="I63" i="28"/>
  <c r="I64" i="28"/>
  <c r="O64" i="28"/>
  <c r="I65" i="28"/>
  <c r="O65" i="28" s="1"/>
  <c r="I66" i="28"/>
  <c r="O66" i="28"/>
  <c r="I67" i="28"/>
  <c r="I68" i="28"/>
  <c r="O68" i="28" s="1"/>
  <c r="I69" i="28"/>
  <c r="J69" i="28" s="1"/>
  <c r="I70" i="28"/>
  <c r="O70" i="28" s="1"/>
  <c r="H60" i="28"/>
  <c r="P60" i="28"/>
  <c r="H61" i="28"/>
  <c r="P61" i="28" s="1"/>
  <c r="H62" i="28"/>
  <c r="P62" i="28" s="1"/>
  <c r="H63" i="28"/>
  <c r="P63" i="28" s="1"/>
  <c r="H64" i="28"/>
  <c r="H65" i="28"/>
  <c r="P65" i="28" s="1"/>
  <c r="H66" i="28"/>
  <c r="P66" i="28"/>
  <c r="H67" i="28"/>
  <c r="P67" i="28" s="1"/>
  <c r="H68" i="28"/>
  <c r="H69" i="28"/>
  <c r="P69" i="28"/>
  <c r="H70" i="28"/>
  <c r="P70" i="28" s="1"/>
  <c r="I35" i="28"/>
  <c r="I36" i="28"/>
  <c r="J36" i="28"/>
  <c r="L36" i="28" s="1"/>
  <c r="Q36" i="28" s="1"/>
  <c r="I37" i="28"/>
  <c r="J37" i="28" s="1"/>
  <c r="L37" i="28" s="1"/>
  <c r="I38" i="28"/>
  <c r="J38" i="28" s="1"/>
  <c r="L38" i="28" s="1"/>
  <c r="I39" i="28"/>
  <c r="I40" i="28"/>
  <c r="O40" i="28" s="1"/>
  <c r="I41" i="28"/>
  <c r="O41" i="28" s="1"/>
  <c r="I42" i="28"/>
  <c r="O42" i="28" s="1"/>
  <c r="I43" i="28"/>
  <c r="J43" i="28"/>
  <c r="I44" i="28"/>
  <c r="J44" i="28"/>
  <c r="L44" i="28"/>
  <c r="Q44" i="28" s="1"/>
  <c r="I45" i="28"/>
  <c r="O45" i="28"/>
  <c r="I46" i="28"/>
  <c r="I47" i="28"/>
  <c r="J47" i="28" s="1"/>
  <c r="I48" i="28"/>
  <c r="I49" i="28"/>
  <c r="J49" i="28"/>
  <c r="I50" i="28"/>
  <c r="I51" i="28"/>
  <c r="J51" i="28" s="1"/>
  <c r="L51" i="28"/>
  <c r="Q51" i="28" s="1"/>
  <c r="I52" i="28"/>
  <c r="J52" i="28"/>
  <c r="L52" i="28" s="1"/>
  <c r="I53" i="28"/>
  <c r="I54" i="28"/>
  <c r="J54" i="28"/>
  <c r="L54" i="28" s="1"/>
  <c r="I55" i="28"/>
  <c r="J55" i="28"/>
  <c r="N55" i="28" s="1"/>
  <c r="L55" i="28"/>
  <c r="I56" i="28"/>
  <c r="H35" i="28"/>
  <c r="P35" i="28"/>
  <c r="H36" i="28"/>
  <c r="P36" i="28" s="1"/>
  <c r="H37" i="28"/>
  <c r="P37" i="28" s="1"/>
  <c r="H38" i="28"/>
  <c r="P38" i="28" s="1"/>
  <c r="H39" i="28"/>
  <c r="P39" i="28"/>
  <c r="H40" i="28"/>
  <c r="P40" i="28" s="1"/>
  <c r="H41" i="28"/>
  <c r="P41" i="28" s="1"/>
  <c r="H42" i="28"/>
  <c r="P42" i="28" s="1"/>
  <c r="H43" i="28"/>
  <c r="P43" i="28"/>
  <c r="H44" i="28"/>
  <c r="P44" i="28" s="1"/>
  <c r="H45" i="28"/>
  <c r="P45" i="28" s="1"/>
  <c r="H46" i="28"/>
  <c r="P46" i="28" s="1"/>
  <c r="H47" i="28"/>
  <c r="P47" i="28"/>
  <c r="H48" i="28"/>
  <c r="P48" i="28" s="1"/>
  <c r="H49" i="28"/>
  <c r="P49" i="28" s="1"/>
  <c r="H50" i="28"/>
  <c r="P50" i="28" s="1"/>
  <c r="H51" i="28"/>
  <c r="P51" i="28"/>
  <c r="H52" i="28"/>
  <c r="P52" i="28" s="1"/>
  <c r="H53" i="28"/>
  <c r="P53" i="28" s="1"/>
  <c r="H54" i="28"/>
  <c r="P54" i="28" s="1"/>
  <c r="H55" i="28"/>
  <c r="P55" i="28"/>
  <c r="H56" i="28"/>
  <c r="P56" i="28" s="1"/>
  <c r="I125" i="28"/>
  <c r="J125" i="28" s="1"/>
  <c r="L125" i="28" s="1"/>
  <c r="H125" i="28"/>
  <c r="I112" i="28"/>
  <c r="H112" i="28"/>
  <c r="P112" i="28"/>
  <c r="I103" i="28"/>
  <c r="H103" i="28"/>
  <c r="P103" i="28"/>
  <c r="I92" i="28"/>
  <c r="H92" i="28"/>
  <c r="P92" i="28" s="1"/>
  <c r="I82" i="28"/>
  <c r="H82" i="28"/>
  <c r="P82" i="28"/>
  <c r="I71" i="28"/>
  <c r="O71" i="28"/>
  <c r="H71" i="28"/>
  <c r="P71" i="28"/>
  <c r="I59" i="28"/>
  <c r="H59" i="28"/>
  <c r="P59" i="28" s="1"/>
  <c r="I34" i="28"/>
  <c r="H34" i="28"/>
  <c r="P34" i="28" s="1"/>
  <c r="C56" i="28"/>
  <c r="S56" i="28"/>
  <c r="C55" i="28"/>
  <c r="S55" i="28" s="1"/>
  <c r="C54" i="28"/>
  <c r="S54" i="28"/>
  <c r="I11" i="28"/>
  <c r="I12" i="28"/>
  <c r="J12" i="28" s="1"/>
  <c r="L12" i="28"/>
  <c r="H11" i="28"/>
  <c r="P11" i="28"/>
  <c r="H12" i="28"/>
  <c r="P12" i="28"/>
  <c r="C12" i="28"/>
  <c r="S12" i="28"/>
  <c r="C11" i="28"/>
  <c r="S11" i="28"/>
  <c r="I126" i="23"/>
  <c r="I127" i="23"/>
  <c r="O127" i="23" s="1"/>
  <c r="I128" i="23"/>
  <c r="J128" i="23"/>
  <c r="H126" i="23"/>
  <c r="P126" i="23"/>
  <c r="H127" i="23"/>
  <c r="P127" i="23"/>
  <c r="H128" i="23"/>
  <c r="P128" i="23"/>
  <c r="I125" i="23"/>
  <c r="O125" i="23"/>
  <c r="H125" i="23"/>
  <c r="P125" i="23"/>
  <c r="I113" i="23"/>
  <c r="I114" i="23"/>
  <c r="O114" i="23" s="1"/>
  <c r="I115" i="23"/>
  <c r="J115" i="23" s="1"/>
  <c r="L115" i="23" s="1"/>
  <c r="I116" i="23"/>
  <c r="J116" i="23"/>
  <c r="L116" i="23" s="1"/>
  <c r="Q116" i="23"/>
  <c r="I117" i="23"/>
  <c r="I118" i="23"/>
  <c r="O118" i="23" s="1"/>
  <c r="I119" i="23"/>
  <c r="O119" i="23" s="1"/>
  <c r="I120" i="23"/>
  <c r="O120" i="23" s="1"/>
  <c r="I121" i="23"/>
  <c r="I122" i="23"/>
  <c r="O122" i="23"/>
  <c r="I123" i="23"/>
  <c r="J123" i="23"/>
  <c r="L123" i="23" s="1"/>
  <c r="Q123" i="23"/>
  <c r="I124" i="23"/>
  <c r="H113" i="23"/>
  <c r="P113" i="23" s="1"/>
  <c r="H114" i="23"/>
  <c r="P114" i="23" s="1"/>
  <c r="H115" i="23"/>
  <c r="P115" i="23" s="1"/>
  <c r="H116" i="23"/>
  <c r="P116" i="23" s="1"/>
  <c r="H117" i="23"/>
  <c r="P117" i="23" s="1"/>
  <c r="H118" i="23"/>
  <c r="P118" i="23" s="1"/>
  <c r="H119" i="23"/>
  <c r="P119" i="23" s="1"/>
  <c r="H120" i="23"/>
  <c r="P120" i="23" s="1"/>
  <c r="H121" i="23"/>
  <c r="P121" i="23" s="1"/>
  <c r="H122" i="23"/>
  <c r="P122" i="23" s="1"/>
  <c r="H123" i="23"/>
  <c r="P123" i="23" s="1"/>
  <c r="H124" i="23"/>
  <c r="P124" i="23" s="1"/>
  <c r="I112" i="23"/>
  <c r="H112" i="23"/>
  <c r="P112" i="23"/>
  <c r="I104" i="23"/>
  <c r="J104" i="23"/>
  <c r="L104" i="23" s="1"/>
  <c r="I105" i="23"/>
  <c r="O105" i="23" s="1"/>
  <c r="I106" i="23"/>
  <c r="J106" i="23" s="1"/>
  <c r="L106" i="23" s="1"/>
  <c r="I107" i="23"/>
  <c r="J107" i="23"/>
  <c r="L107" i="23" s="1"/>
  <c r="Q107" i="23"/>
  <c r="T107" i="23" s="1"/>
  <c r="I108" i="23"/>
  <c r="O108" i="23"/>
  <c r="I109" i="23"/>
  <c r="I110" i="23"/>
  <c r="I111" i="23"/>
  <c r="J111" i="23"/>
  <c r="L111" i="23" s="1"/>
  <c r="H104" i="23"/>
  <c r="P104" i="23" s="1"/>
  <c r="H105" i="23"/>
  <c r="P105" i="23" s="1"/>
  <c r="H106" i="23"/>
  <c r="P106" i="23" s="1"/>
  <c r="H107" i="23"/>
  <c r="P107" i="23" s="1"/>
  <c r="H108" i="23"/>
  <c r="P108" i="23" s="1"/>
  <c r="H109" i="23"/>
  <c r="P109" i="23" s="1"/>
  <c r="H110" i="23"/>
  <c r="P110" i="23" s="1"/>
  <c r="H111" i="23"/>
  <c r="I103" i="23"/>
  <c r="H103" i="23"/>
  <c r="P103" i="23" s="1"/>
  <c r="I93" i="23"/>
  <c r="I94" i="23"/>
  <c r="J94" i="23"/>
  <c r="I95" i="23"/>
  <c r="O95" i="23" s="1"/>
  <c r="I96" i="23"/>
  <c r="J96" i="23" s="1"/>
  <c r="L96" i="23" s="1"/>
  <c r="I97" i="23"/>
  <c r="I98" i="23"/>
  <c r="J98" i="23" s="1"/>
  <c r="I99" i="23"/>
  <c r="O99" i="23" s="1"/>
  <c r="I100" i="23"/>
  <c r="O100" i="23" s="1"/>
  <c r="I101" i="23"/>
  <c r="J101" i="23" s="1"/>
  <c r="I102" i="23"/>
  <c r="J102" i="23" s="1"/>
  <c r="H93" i="23"/>
  <c r="P93" i="23" s="1"/>
  <c r="H94" i="23"/>
  <c r="P94" i="23" s="1"/>
  <c r="H95" i="23"/>
  <c r="P95" i="23" s="1"/>
  <c r="H96" i="23"/>
  <c r="P96" i="23" s="1"/>
  <c r="H97" i="23"/>
  <c r="P97" i="23" s="1"/>
  <c r="H98" i="23"/>
  <c r="P98" i="23" s="1"/>
  <c r="H99" i="23"/>
  <c r="P99" i="23" s="1"/>
  <c r="H100" i="23"/>
  <c r="P100" i="23" s="1"/>
  <c r="H101" i="23"/>
  <c r="P101" i="23" s="1"/>
  <c r="H102" i="23"/>
  <c r="P102" i="23" s="1"/>
  <c r="I92" i="23"/>
  <c r="H92" i="23"/>
  <c r="P92" i="23"/>
  <c r="H83" i="23"/>
  <c r="P83" i="23"/>
  <c r="H84" i="23"/>
  <c r="P84" i="23"/>
  <c r="H85" i="23"/>
  <c r="P85" i="23"/>
  <c r="H86" i="23"/>
  <c r="P86" i="23"/>
  <c r="H87" i="23"/>
  <c r="P87" i="23"/>
  <c r="H88" i="23"/>
  <c r="P88" i="23"/>
  <c r="H89" i="23"/>
  <c r="P89" i="23"/>
  <c r="H90" i="23"/>
  <c r="P90" i="23"/>
  <c r="H91" i="23"/>
  <c r="P91" i="23"/>
  <c r="H82" i="23"/>
  <c r="P82" i="23"/>
  <c r="I83" i="23"/>
  <c r="I84" i="23"/>
  <c r="J84" i="23" s="1"/>
  <c r="L84" i="23" s="1"/>
  <c r="I85" i="23"/>
  <c r="I86" i="23"/>
  <c r="O86" i="23" s="1"/>
  <c r="I87" i="23"/>
  <c r="I88" i="23"/>
  <c r="O88" i="23"/>
  <c r="I89" i="23"/>
  <c r="O89" i="23"/>
  <c r="I90" i="23"/>
  <c r="J90" i="23"/>
  <c r="L90" i="23" s="1"/>
  <c r="Q90" i="23" s="1"/>
  <c r="I91" i="23"/>
  <c r="I82" i="23"/>
  <c r="O82" i="23"/>
  <c r="I72" i="23"/>
  <c r="J72" i="23"/>
  <c r="I73" i="23"/>
  <c r="J73" i="23"/>
  <c r="I74" i="23"/>
  <c r="O74" i="23"/>
  <c r="I75" i="23"/>
  <c r="J75" i="23"/>
  <c r="L75" i="23" s="1"/>
  <c r="I76" i="23"/>
  <c r="O76" i="23" s="1"/>
  <c r="I77" i="23"/>
  <c r="J77" i="23" s="1"/>
  <c r="L77" i="23"/>
  <c r="I78" i="23"/>
  <c r="J78" i="23"/>
  <c r="L78" i="23" s="1"/>
  <c r="I79" i="23"/>
  <c r="I80" i="23"/>
  <c r="O80" i="23"/>
  <c r="I81" i="23"/>
  <c r="H72" i="23"/>
  <c r="P72" i="23" s="1"/>
  <c r="H73" i="23"/>
  <c r="P73" i="23" s="1"/>
  <c r="H74" i="23"/>
  <c r="P74" i="23" s="1"/>
  <c r="H75" i="23"/>
  <c r="P75" i="23" s="1"/>
  <c r="H76" i="23"/>
  <c r="P76" i="23" s="1"/>
  <c r="H77" i="23"/>
  <c r="P77" i="23" s="1"/>
  <c r="H78" i="23"/>
  <c r="P78" i="23" s="1"/>
  <c r="H79" i="23"/>
  <c r="P79" i="23" s="1"/>
  <c r="H80" i="23"/>
  <c r="P80" i="23" s="1"/>
  <c r="H81" i="23"/>
  <c r="P81" i="23" s="1"/>
  <c r="I71" i="23"/>
  <c r="H71" i="23"/>
  <c r="P71" i="23"/>
  <c r="I60" i="23"/>
  <c r="J60" i="23"/>
  <c r="L60" i="23" s="1"/>
  <c r="Q60" i="23"/>
  <c r="I61" i="23"/>
  <c r="J61" i="23"/>
  <c r="I62" i="23"/>
  <c r="I63" i="23"/>
  <c r="J63" i="23" s="1"/>
  <c r="L63" i="23" s="1"/>
  <c r="Q63" i="23" s="1"/>
  <c r="I64" i="23"/>
  <c r="J64" i="23" s="1"/>
  <c r="I65" i="23"/>
  <c r="J65" i="23" s="1"/>
  <c r="L65" i="23"/>
  <c r="I66" i="23"/>
  <c r="I67" i="23"/>
  <c r="I68" i="23"/>
  <c r="J68" i="23"/>
  <c r="I69" i="23"/>
  <c r="J69" i="23"/>
  <c r="L69" i="23" s="1"/>
  <c r="I70" i="23"/>
  <c r="I59" i="23"/>
  <c r="J59" i="23"/>
  <c r="H60" i="23"/>
  <c r="P60" i="23"/>
  <c r="H61" i="23"/>
  <c r="P61" i="23"/>
  <c r="H62" i="23"/>
  <c r="P62" i="23"/>
  <c r="H63" i="23"/>
  <c r="P63" i="23"/>
  <c r="H64" i="23"/>
  <c r="P64" i="23"/>
  <c r="H65" i="23"/>
  <c r="P65" i="23"/>
  <c r="H66" i="23"/>
  <c r="P66" i="23"/>
  <c r="H67" i="23"/>
  <c r="P67" i="23"/>
  <c r="H68" i="23"/>
  <c r="P68" i="23"/>
  <c r="H69" i="23"/>
  <c r="P69" i="23"/>
  <c r="H70" i="23"/>
  <c r="P70" i="23"/>
  <c r="H59" i="23"/>
  <c r="P59" i="23"/>
  <c r="I35" i="23"/>
  <c r="O35" i="23"/>
  <c r="I36" i="23"/>
  <c r="J36" i="23"/>
  <c r="L36" i="23" s="1"/>
  <c r="I37" i="23"/>
  <c r="I38" i="23"/>
  <c r="J38" i="23"/>
  <c r="L38" i="23" s="1"/>
  <c r="I39" i="23"/>
  <c r="J39" i="23" s="1"/>
  <c r="L39" i="23"/>
  <c r="Q39" i="23" s="1"/>
  <c r="I40" i="23"/>
  <c r="O40" i="23" s="1"/>
  <c r="I41" i="23"/>
  <c r="I42" i="23"/>
  <c r="J42" i="23"/>
  <c r="L42" i="23" s="1"/>
  <c r="Q42" i="23" s="1"/>
  <c r="I43" i="23"/>
  <c r="J43" i="23"/>
  <c r="L43" i="23" s="1"/>
  <c r="I44" i="23"/>
  <c r="I45" i="23"/>
  <c r="I46" i="23"/>
  <c r="O46" i="23" s="1"/>
  <c r="I47" i="23"/>
  <c r="O47" i="23" s="1"/>
  <c r="I48" i="23"/>
  <c r="J48" i="23" s="1"/>
  <c r="L48" i="23" s="1"/>
  <c r="I49" i="23"/>
  <c r="J49" i="23"/>
  <c r="L49" i="23" s="1"/>
  <c r="Q49" i="23"/>
  <c r="I50" i="23"/>
  <c r="J50" i="23"/>
  <c r="I51" i="23"/>
  <c r="O51" i="23"/>
  <c r="I52" i="23"/>
  <c r="I53" i="23"/>
  <c r="I54" i="23"/>
  <c r="O54" i="23"/>
  <c r="I55" i="23"/>
  <c r="I56" i="23"/>
  <c r="J56" i="23" s="1"/>
  <c r="I34" i="23"/>
  <c r="O34" i="23" s="1"/>
  <c r="H35" i="23"/>
  <c r="P35" i="23" s="1"/>
  <c r="H36" i="23"/>
  <c r="P36" i="23" s="1"/>
  <c r="H37" i="23"/>
  <c r="P37" i="23" s="1"/>
  <c r="H38" i="23"/>
  <c r="P38" i="23" s="1"/>
  <c r="H39" i="23"/>
  <c r="P39" i="23" s="1"/>
  <c r="H40" i="23"/>
  <c r="P40" i="23" s="1"/>
  <c r="H41" i="23"/>
  <c r="H42" i="23"/>
  <c r="P42" i="23"/>
  <c r="H43" i="23"/>
  <c r="P43" i="23"/>
  <c r="H44" i="23"/>
  <c r="P44" i="23"/>
  <c r="H45" i="23"/>
  <c r="P45" i="23"/>
  <c r="H46" i="23"/>
  <c r="P46" i="23"/>
  <c r="H47" i="23"/>
  <c r="P47" i="23"/>
  <c r="H48" i="23"/>
  <c r="P48" i="23"/>
  <c r="H49" i="23"/>
  <c r="P49" i="23"/>
  <c r="H50" i="23"/>
  <c r="P50" i="23"/>
  <c r="H51" i="23"/>
  <c r="P51" i="23"/>
  <c r="H52" i="23"/>
  <c r="P52" i="23"/>
  <c r="H53" i="23"/>
  <c r="P53" i="23"/>
  <c r="H54" i="23"/>
  <c r="P54" i="23"/>
  <c r="H55" i="23"/>
  <c r="P55" i="23"/>
  <c r="H56" i="23"/>
  <c r="P56" i="23"/>
  <c r="H34" i="23"/>
  <c r="P34" i="23"/>
  <c r="C56" i="23"/>
  <c r="S56" i="23"/>
  <c r="C55" i="23"/>
  <c r="S55" i="23"/>
  <c r="C54" i="23"/>
  <c r="S54" i="23"/>
  <c r="I11" i="23"/>
  <c r="I12" i="23"/>
  <c r="H11" i="23"/>
  <c r="P11" i="23"/>
  <c r="H12" i="23"/>
  <c r="P12" i="23"/>
  <c r="C12" i="23"/>
  <c r="S12" i="23"/>
  <c r="C11" i="23"/>
  <c r="S11" i="23"/>
  <c r="J56" i="29"/>
  <c r="I25" i="23"/>
  <c r="I26" i="23"/>
  <c r="J26" i="23" s="1"/>
  <c r="L26" i="23" s="1"/>
  <c r="Q26" i="23" s="1"/>
  <c r="I27" i="23"/>
  <c r="I28" i="23"/>
  <c r="I29" i="23"/>
  <c r="O29" i="23" s="1"/>
  <c r="I30" i="23"/>
  <c r="I31" i="23"/>
  <c r="O31" i="23" s="1"/>
  <c r="I32" i="23"/>
  <c r="I33" i="23"/>
  <c r="J33" i="23" s="1"/>
  <c r="O28" i="23"/>
  <c r="J30" i="23"/>
  <c r="I21" i="23"/>
  <c r="I20" i="23"/>
  <c r="I22" i="23"/>
  <c r="I23" i="23"/>
  <c r="I24" i="23"/>
  <c r="J24" i="23"/>
  <c r="L24" i="23" s="1"/>
  <c r="I25" i="29"/>
  <c r="O25" i="29" s="1"/>
  <c r="I26" i="29"/>
  <c r="J26" i="29" s="1"/>
  <c r="L26" i="29" s="1"/>
  <c r="I27" i="29"/>
  <c r="I28" i="29"/>
  <c r="O28" i="29" s="1"/>
  <c r="I29" i="29"/>
  <c r="O29" i="29" s="1"/>
  <c r="I30" i="29"/>
  <c r="J30" i="29"/>
  <c r="L30" i="29" s="1"/>
  <c r="I31" i="29"/>
  <c r="J31" i="29"/>
  <c r="I32" i="29"/>
  <c r="J32" i="29" s="1"/>
  <c r="L32" i="29" s="1"/>
  <c r="I33" i="29"/>
  <c r="O33" i="29" s="1"/>
  <c r="I21" i="29"/>
  <c r="J21" i="29" s="1"/>
  <c r="I22" i="29"/>
  <c r="J22" i="29"/>
  <c r="I23" i="29"/>
  <c r="J23" i="29"/>
  <c r="I24" i="29"/>
  <c r="I20" i="29"/>
  <c r="J20" i="29" s="1"/>
  <c r="L20" i="29"/>
  <c r="I10" i="29"/>
  <c r="J10" i="29"/>
  <c r="I13" i="29"/>
  <c r="J13" i="29"/>
  <c r="L13" i="29" s="1"/>
  <c r="Q13" i="29" s="1"/>
  <c r="I14" i="29"/>
  <c r="J14" i="29"/>
  <c r="I15" i="29"/>
  <c r="J15" i="29"/>
  <c r="I16" i="29"/>
  <c r="J16" i="29"/>
  <c r="L16" i="29" s="1"/>
  <c r="Q16" i="29" s="1"/>
  <c r="I17" i="29"/>
  <c r="J17" i="29" s="1"/>
  <c r="L17" i="29" s="1"/>
  <c r="I18" i="29"/>
  <c r="O18" i="29" s="1"/>
  <c r="I19" i="29"/>
  <c r="J19" i="29"/>
  <c r="L19" i="29"/>
  <c r="I9" i="29"/>
  <c r="J9" i="29" s="1"/>
  <c r="L9" i="29"/>
  <c r="I33" i="28"/>
  <c r="O33" i="28"/>
  <c r="I32" i="28"/>
  <c r="J32" i="28"/>
  <c r="L32" i="28" s="1"/>
  <c r="Q32" i="28"/>
  <c r="T32" i="28" s="1"/>
  <c r="I31" i="28"/>
  <c r="J31" i="28"/>
  <c r="L31" i="28" s="1"/>
  <c r="I30" i="28"/>
  <c r="J30" i="28" s="1"/>
  <c r="L30" i="28" s="1"/>
  <c r="I29" i="28"/>
  <c r="O29" i="28" s="1"/>
  <c r="I28" i="28"/>
  <c r="J28" i="28"/>
  <c r="L28" i="28"/>
  <c r="I27" i="28"/>
  <c r="J27" i="28" s="1"/>
  <c r="L27" i="28"/>
  <c r="I26" i="28"/>
  <c r="O26" i="28"/>
  <c r="I25" i="28"/>
  <c r="I24" i="28"/>
  <c r="O24" i="28"/>
  <c r="I23" i="28"/>
  <c r="I22" i="28"/>
  <c r="J22" i="28" s="1"/>
  <c r="L22" i="28" s="1"/>
  <c r="Q22" i="28" s="1"/>
  <c r="I21" i="28"/>
  <c r="O21" i="28"/>
  <c r="I20" i="28"/>
  <c r="I19" i="28"/>
  <c r="J19" i="28"/>
  <c r="L19" i="28"/>
  <c r="I18" i="28"/>
  <c r="I17" i="28"/>
  <c r="J17" i="28"/>
  <c r="L17" i="28"/>
  <c r="I16" i="28"/>
  <c r="J16" i="28"/>
  <c r="L16" i="28"/>
  <c r="Q16" i="28" s="1"/>
  <c r="I15" i="28"/>
  <c r="J15" i="28"/>
  <c r="I14" i="28"/>
  <c r="O14" i="28" s="1"/>
  <c r="I13" i="28"/>
  <c r="J13" i="28"/>
  <c r="L13" i="28"/>
  <c r="Q13" i="28" s="1"/>
  <c r="I10" i="28"/>
  <c r="J10" i="28"/>
  <c r="L10" i="28"/>
  <c r="I9" i="28"/>
  <c r="J9" i="28"/>
  <c r="L9" i="28"/>
  <c r="H25" i="28"/>
  <c r="P25" i="28" s="1"/>
  <c r="H26" i="28"/>
  <c r="P26" i="28" s="1"/>
  <c r="H27" i="28"/>
  <c r="P27" i="28" s="1"/>
  <c r="H28" i="28"/>
  <c r="P28" i="28"/>
  <c r="H29" i="28"/>
  <c r="P29" i="28" s="1"/>
  <c r="H30" i="28"/>
  <c r="P30" i="28" s="1"/>
  <c r="H31" i="28"/>
  <c r="P31" i="28" s="1"/>
  <c r="H32" i="28"/>
  <c r="P32" i="28"/>
  <c r="H33" i="28"/>
  <c r="P33" i="28" s="1"/>
  <c r="H21" i="28"/>
  <c r="P21" i="28" s="1"/>
  <c r="H22" i="28"/>
  <c r="P22" i="28" s="1"/>
  <c r="H23" i="28"/>
  <c r="H24" i="28"/>
  <c r="P24" i="28" s="1"/>
  <c r="H20" i="28"/>
  <c r="P20" i="28"/>
  <c r="H10" i="28"/>
  <c r="P10" i="28" s="1"/>
  <c r="H13" i="28"/>
  <c r="P13" i="28"/>
  <c r="H14" i="28"/>
  <c r="P14" i="28" s="1"/>
  <c r="H15" i="28"/>
  <c r="P15" i="28"/>
  <c r="H16" i="28"/>
  <c r="P16" i="28" s="1"/>
  <c r="H17" i="28"/>
  <c r="P17" i="28"/>
  <c r="H18" i="28"/>
  <c r="P18" i="28" s="1"/>
  <c r="H19" i="28"/>
  <c r="P19" i="28"/>
  <c r="H9" i="28"/>
  <c r="P9" i="28" s="1"/>
  <c r="H25" i="23"/>
  <c r="P25" i="23"/>
  <c r="H26" i="23"/>
  <c r="P26" i="23" s="1"/>
  <c r="H27" i="23"/>
  <c r="P27" i="23"/>
  <c r="H28" i="23"/>
  <c r="P28" i="23" s="1"/>
  <c r="H29" i="23"/>
  <c r="P29" i="23"/>
  <c r="H30" i="23"/>
  <c r="P30" i="23" s="1"/>
  <c r="H31" i="23"/>
  <c r="P31" i="23"/>
  <c r="H32" i="23"/>
  <c r="P32" i="23" s="1"/>
  <c r="H33" i="23"/>
  <c r="P33" i="23"/>
  <c r="H21" i="23"/>
  <c r="P21" i="23" s="1"/>
  <c r="H22" i="23"/>
  <c r="P22" i="23"/>
  <c r="H23" i="23"/>
  <c r="P23" i="23" s="1"/>
  <c r="H24" i="23"/>
  <c r="P24" i="23"/>
  <c r="H20" i="23"/>
  <c r="P20" i="23" s="1"/>
  <c r="H10" i="23"/>
  <c r="P10" i="23"/>
  <c r="H13" i="23"/>
  <c r="P13" i="23" s="1"/>
  <c r="H14" i="23"/>
  <c r="P14" i="23"/>
  <c r="H15" i="23"/>
  <c r="P15" i="23" s="1"/>
  <c r="H16" i="23"/>
  <c r="P16" i="23"/>
  <c r="H17" i="23"/>
  <c r="P17" i="23" s="1"/>
  <c r="H18" i="23"/>
  <c r="P18" i="23"/>
  <c r="H19" i="23"/>
  <c r="P19" i="23" s="1"/>
  <c r="H9" i="23"/>
  <c r="P9" i="23"/>
  <c r="C128" i="29"/>
  <c r="S128" i="29" s="1"/>
  <c r="R128" i="29"/>
  <c r="C127" i="29"/>
  <c r="S127" i="29"/>
  <c r="R127" i="29"/>
  <c r="C126" i="29"/>
  <c r="S126" i="29"/>
  <c r="R126" i="29"/>
  <c r="P126" i="29"/>
  <c r="J125" i="29"/>
  <c r="L125" i="29"/>
  <c r="C125" i="29"/>
  <c r="S125" i="29" s="1"/>
  <c r="R125" i="29"/>
  <c r="C124" i="29"/>
  <c r="S124" i="29"/>
  <c r="R124" i="29"/>
  <c r="J123" i="29"/>
  <c r="L123" i="29"/>
  <c r="C123" i="29"/>
  <c r="S123" i="29" s="1"/>
  <c r="R123" i="29"/>
  <c r="O123" i="29"/>
  <c r="C122" i="29"/>
  <c r="S122" i="29" s="1"/>
  <c r="R122" i="29"/>
  <c r="C121" i="29"/>
  <c r="S121" i="29"/>
  <c r="R121" i="29"/>
  <c r="C120" i="29"/>
  <c r="S120" i="29"/>
  <c r="R120" i="29"/>
  <c r="C119" i="29"/>
  <c r="S119" i="29" s="1"/>
  <c r="R119" i="29"/>
  <c r="O119" i="29"/>
  <c r="C118" i="29"/>
  <c r="S118" i="29" s="1"/>
  <c r="R118" i="29"/>
  <c r="C117" i="29"/>
  <c r="S117" i="29" s="1"/>
  <c r="R117" i="29"/>
  <c r="J116" i="29"/>
  <c r="L116" i="29"/>
  <c r="Q116" i="29" s="1"/>
  <c r="C116" i="29"/>
  <c r="S116" i="29" s="1"/>
  <c r="R116" i="29"/>
  <c r="O116" i="29"/>
  <c r="C115" i="29"/>
  <c r="S115" i="29" s="1"/>
  <c r="R115" i="29"/>
  <c r="C114" i="29"/>
  <c r="S114" i="29"/>
  <c r="R114" i="29"/>
  <c r="C113" i="29"/>
  <c r="S113" i="29" s="1"/>
  <c r="R113" i="29"/>
  <c r="C112" i="29"/>
  <c r="S112" i="29"/>
  <c r="R112" i="29"/>
  <c r="C111" i="29"/>
  <c r="S111" i="29" s="1"/>
  <c r="R111" i="29"/>
  <c r="C110" i="29"/>
  <c r="S110" i="29"/>
  <c r="R110" i="29"/>
  <c r="C109" i="29"/>
  <c r="S109" i="29" s="1"/>
  <c r="R109" i="29"/>
  <c r="C108" i="29"/>
  <c r="S108" i="29"/>
  <c r="R108" i="29"/>
  <c r="C107" i="29"/>
  <c r="S107" i="29" s="1"/>
  <c r="R107" i="29"/>
  <c r="C106" i="29"/>
  <c r="S106" i="29"/>
  <c r="R106" i="29"/>
  <c r="C105" i="29"/>
  <c r="S105" i="29" s="1"/>
  <c r="R105" i="29"/>
  <c r="J104" i="29"/>
  <c r="L104" i="29"/>
  <c r="C104" i="29"/>
  <c r="S104" i="29"/>
  <c r="R104" i="29"/>
  <c r="P104" i="29"/>
  <c r="O104" i="29"/>
  <c r="J103" i="29"/>
  <c r="L103" i="29" s="1"/>
  <c r="Q103" i="29"/>
  <c r="T103" i="29" s="1"/>
  <c r="C103" i="29"/>
  <c r="S103" i="29"/>
  <c r="R103" i="29"/>
  <c r="P103" i="29"/>
  <c r="O103" i="29"/>
  <c r="J102" i="29"/>
  <c r="L102" i="29" s="1"/>
  <c r="C102" i="29"/>
  <c r="S102" i="29" s="1"/>
  <c r="R102" i="29"/>
  <c r="P102" i="29"/>
  <c r="O102" i="29"/>
  <c r="C101" i="29"/>
  <c r="S101" i="29"/>
  <c r="R101" i="29"/>
  <c r="P101" i="29"/>
  <c r="C100" i="29"/>
  <c r="S100" i="29"/>
  <c r="R100" i="29"/>
  <c r="J99" i="29"/>
  <c r="C99" i="29"/>
  <c r="S99" i="29"/>
  <c r="R99" i="29"/>
  <c r="O99" i="29"/>
  <c r="J98" i="29"/>
  <c r="L98" i="29"/>
  <c r="C98" i="29"/>
  <c r="S98" i="29"/>
  <c r="R98" i="29"/>
  <c r="P98" i="29"/>
  <c r="O98" i="29"/>
  <c r="C97" i="29"/>
  <c r="S97" i="29" s="1"/>
  <c r="R97" i="29"/>
  <c r="P97" i="29"/>
  <c r="C96" i="29"/>
  <c r="S96" i="29" s="1"/>
  <c r="R96" i="29"/>
  <c r="J95" i="29"/>
  <c r="L95" i="29"/>
  <c r="C95" i="29"/>
  <c r="S95" i="29"/>
  <c r="R95" i="29"/>
  <c r="O95" i="29"/>
  <c r="J94" i="29"/>
  <c r="L94" i="29"/>
  <c r="C94" i="29"/>
  <c r="S94" i="29"/>
  <c r="R94" i="29"/>
  <c r="P94" i="29"/>
  <c r="O94" i="29"/>
  <c r="C93" i="29"/>
  <c r="S93" i="29" s="1"/>
  <c r="R93" i="29"/>
  <c r="P93" i="29"/>
  <c r="C92" i="29"/>
  <c r="R92" i="29"/>
  <c r="J91" i="29"/>
  <c r="L91" i="29" s="1"/>
  <c r="Q91" i="29" s="1"/>
  <c r="C91" i="29"/>
  <c r="S91" i="29"/>
  <c r="R91" i="29"/>
  <c r="O91" i="29"/>
  <c r="J90" i="29"/>
  <c r="L90" i="29"/>
  <c r="C90" i="29"/>
  <c r="S90" i="29"/>
  <c r="R90" i="29"/>
  <c r="O90" i="29"/>
  <c r="C89" i="29"/>
  <c r="S89" i="29"/>
  <c r="R89" i="29"/>
  <c r="P89" i="29"/>
  <c r="C88" i="29"/>
  <c r="S88" i="29"/>
  <c r="R88" i="29"/>
  <c r="C87" i="29"/>
  <c r="S87" i="29" s="1"/>
  <c r="R87" i="29"/>
  <c r="O87" i="29"/>
  <c r="C86" i="29"/>
  <c r="S86" i="29" s="1"/>
  <c r="R86" i="29"/>
  <c r="O86" i="29"/>
  <c r="C85" i="29"/>
  <c r="S85" i="29" s="1"/>
  <c r="R85" i="29"/>
  <c r="P85" i="29"/>
  <c r="C84" i="29"/>
  <c r="S84" i="29" s="1"/>
  <c r="R84" i="29"/>
  <c r="J83" i="29"/>
  <c r="C83" i="29"/>
  <c r="S83" i="29" s="1"/>
  <c r="R83" i="29"/>
  <c r="O83" i="29"/>
  <c r="C82" i="29"/>
  <c r="R82" i="29"/>
  <c r="P82" i="29"/>
  <c r="C81" i="29"/>
  <c r="S81" i="29"/>
  <c r="R81" i="29"/>
  <c r="C80" i="29"/>
  <c r="S80" i="29" s="1"/>
  <c r="R80" i="29"/>
  <c r="J79" i="29"/>
  <c r="L79" i="29"/>
  <c r="C79" i="29"/>
  <c r="S79" i="29"/>
  <c r="R79" i="29"/>
  <c r="O79" i="29"/>
  <c r="C78" i="29"/>
  <c r="S78" i="29"/>
  <c r="R78" i="29"/>
  <c r="C77" i="29"/>
  <c r="S77" i="29" s="1"/>
  <c r="R77" i="29"/>
  <c r="J76" i="29"/>
  <c r="L76" i="29"/>
  <c r="Q76" i="29" s="1"/>
  <c r="C76" i="29"/>
  <c r="S76" i="29" s="1"/>
  <c r="R76" i="29"/>
  <c r="O76" i="29"/>
  <c r="J75" i="29"/>
  <c r="L75" i="29" s="1"/>
  <c r="Q75" i="29" s="1"/>
  <c r="C75" i="29"/>
  <c r="S75" i="29"/>
  <c r="R75" i="29"/>
  <c r="O75" i="29"/>
  <c r="C74" i="29"/>
  <c r="S74" i="29"/>
  <c r="R74" i="29"/>
  <c r="C73" i="29"/>
  <c r="S73" i="29" s="1"/>
  <c r="R73" i="29"/>
  <c r="P73" i="29"/>
  <c r="J72" i="29"/>
  <c r="L72" i="29" s="1"/>
  <c r="Q72" i="29" s="1"/>
  <c r="T72" i="29" s="1"/>
  <c r="C72" i="29"/>
  <c r="R72" i="29"/>
  <c r="O72" i="29"/>
  <c r="C71" i="29"/>
  <c r="S71" i="29" s="1"/>
  <c r="R71" i="29"/>
  <c r="C70" i="29"/>
  <c r="S70" i="29"/>
  <c r="R70" i="29"/>
  <c r="C69" i="29"/>
  <c r="S69" i="29" s="1"/>
  <c r="R69" i="29"/>
  <c r="C68" i="29"/>
  <c r="S68" i="29"/>
  <c r="R68" i="29"/>
  <c r="C67" i="29"/>
  <c r="S67" i="29" s="1"/>
  <c r="R67" i="29"/>
  <c r="C66" i="29"/>
  <c r="S66" i="29"/>
  <c r="R66" i="29"/>
  <c r="C65" i="29"/>
  <c r="S65" i="29" s="1"/>
  <c r="R65" i="29"/>
  <c r="C64" i="29"/>
  <c r="S64" i="29"/>
  <c r="R64" i="29"/>
  <c r="C63" i="29"/>
  <c r="S63" i="29" s="1"/>
  <c r="R63" i="29"/>
  <c r="P63" i="29"/>
  <c r="C62" i="29"/>
  <c r="S62" i="29" s="1"/>
  <c r="R62" i="29"/>
  <c r="C61" i="29"/>
  <c r="S61" i="29"/>
  <c r="R61" i="29"/>
  <c r="C60" i="29"/>
  <c r="S60" i="29" s="1"/>
  <c r="R60" i="29"/>
  <c r="J59" i="29"/>
  <c r="L59" i="29"/>
  <c r="C59" i="29"/>
  <c r="S59" i="29"/>
  <c r="R59" i="29"/>
  <c r="O59" i="29"/>
  <c r="C53" i="29"/>
  <c r="S53" i="29" s="1"/>
  <c r="R53" i="29"/>
  <c r="C52" i="29"/>
  <c r="S52" i="29" s="1"/>
  <c r="R52" i="29"/>
  <c r="C51" i="29"/>
  <c r="S51" i="29"/>
  <c r="R51" i="29"/>
  <c r="P51" i="29"/>
  <c r="C50" i="29"/>
  <c r="S50" i="29"/>
  <c r="R50" i="29"/>
  <c r="J49" i="29"/>
  <c r="L49" i="29" s="1"/>
  <c r="C49" i="29"/>
  <c r="S49" i="29" s="1"/>
  <c r="R49" i="29"/>
  <c r="O49" i="29"/>
  <c r="C48" i="29"/>
  <c r="S48" i="29" s="1"/>
  <c r="R48" i="29"/>
  <c r="C47" i="29"/>
  <c r="S47" i="29"/>
  <c r="R47" i="29"/>
  <c r="P47" i="29"/>
  <c r="C46" i="29"/>
  <c r="S46" i="29"/>
  <c r="R46" i="29"/>
  <c r="O46" i="29"/>
  <c r="J45" i="29"/>
  <c r="C45" i="29"/>
  <c r="S45" i="29" s="1"/>
  <c r="R45" i="29"/>
  <c r="O45" i="29"/>
  <c r="C44" i="29"/>
  <c r="S44" i="29" s="1"/>
  <c r="R44" i="29"/>
  <c r="C43" i="29"/>
  <c r="S43" i="29"/>
  <c r="R43" i="29"/>
  <c r="P43" i="29"/>
  <c r="C42" i="29"/>
  <c r="S42" i="29"/>
  <c r="R42" i="29"/>
  <c r="C41" i="29"/>
  <c r="S41" i="29" s="1"/>
  <c r="R41" i="29"/>
  <c r="C40" i="29"/>
  <c r="S40" i="29"/>
  <c r="R40" i="29"/>
  <c r="O40" i="29"/>
  <c r="C39" i="29"/>
  <c r="S39" i="29"/>
  <c r="R39" i="29"/>
  <c r="P39" i="29"/>
  <c r="C38" i="29"/>
  <c r="S38" i="29"/>
  <c r="R38" i="29"/>
  <c r="C37" i="29"/>
  <c r="S37" i="29" s="1"/>
  <c r="R37" i="29"/>
  <c r="C36" i="29"/>
  <c r="S36" i="29"/>
  <c r="R36" i="29"/>
  <c r="O36" i="29"/>
  <c r="C35" i="29"/>
  <c r="S35" i="29"/>
  <c r="R35" i="29"/>
  <c r="C34" i="29"/>
  <c r="R34" i="29"/>
  <c r="C33" i="29"/>
  <c r="S33" i="29" s="1"/>
  <c r="R33" i="29"/>
  <c r="H33" i="29"/>
  <c r="P33" i="29"/>
  <c r="C32" i="29"/>
  <c r="S32" i="29"/>
  <c r="R32" i="29"/>
  <c r="H32" i="29"/>
  <c r="P32" i="29" s="1"/>
  <c r="C31" i="29"/>
  <c r="S31" i="29" s="1"/>
  <c r="R31" i="29"/>
  <c r="H31" i="29"/>
  <c r="P31" i="29"/>
  <c r="C30" i="29"/>
  <c r="S30" i="29"/>
  <c r="R30" i="29"/>
  <c r="H30" i="29"/>
  <c r="P30" i="29" s="1"/>
  <c r="C29" i="29"/>
  <c r="S29" i="29" s="1"/>
  <c r="R29" i="29"/>
  <c r="H29" i="29"/>
  <c r="P29" i="29"/>
  <c r="C28" i="29"/>
  <c r="S28" i="29"/>
  <c r="R28" i="29"/>
  <c r="H28" i="29"/>
  <c r="P28" i="29" s="1"/>
  <c r="C27" i="29"/>
  <c r="S27" i="29" s="1"/>
  <c r="R27" i="29"/>
  <c r="H27" i="29"/>
  <c r="P27" i="29"/>
  <c r="O27" i="29"/>
  <c r="C26" i="29"/>
  <c r="S26" i="29" s="1"/>
  <c r="R26" i="29"/>
  <c r="H26" i="29"/>
  <c r="P26" i="29"/>
  <c r="C25" i="29"/>
  <c r="R25" i="29"/>
  <c r="H25" i="29"/>
  <c r="P25" i="29"/>
  <c r="C24" i="29"/>
  <c r="S24" i="29"/>
  <c r="R24" i="29"/>
  <c r="H24" i="29"/>
  <c r="P24" i="29" s="1"/>
  <c r="C23" i="29"/>
  <c r="S23" i="29" s="1"/>
  <c r="R23" i="29"/>
  <c r="H23" i="29"/>
  <c r="P23" i="29"/>
  <c r="C22" i="29"/>
  <c r="S22" i="29" s="1"/>
  <c r="R22" i="29"/>
  <c r="H22" i="29"/>
  <c r="P22" i="29"/>
  <c r="C21" i="29"/>
  <c r="S21" i="29"/>
  <c r="R21" i="29"/>
  <c r="H21" i="29"/>
  <c r="P21" i="29" s="1"/>
  <c r="C20" i="29"/>
  <c r="S20" i="29" s="1"/>
  <c r="R20" i="29"/>
  <c r="H20" i="29"/>
  <c r="P20" i="29"/>
  <c r="C19" i="29"/>
  <c r="S19" i="29"/>
  <c r="R19" i="29"/>
  <c r="H19" i="29"/>
  <c r="P19" i="29" s="1"/>
  <c r="C18" i="29"/>
  <c r="S18" i="29" s="1"/>
  <c r="R18" i="29"/>
  <c r="H18" i="29"/>
  <c r="P18" i="29"/>
  <c r="C17" i="29"/>
  <c r="S17" i="29"/>
  <c r="R17" i="29"/>
  <c r="H17" i="29"/>
  <c r="P17" i="29" s="1"/>
  <c r="C16" i="29"/>
  <c r="S16" i="29" s="1"/>
  <c r="R16" i="29"/>
  <c r="H16" i="29"/>
  <c r="P16" i="29"/>
  <c r="C15" i="29"/>
  <c r="S15" i="29"/>
  <c r="R15" i="29"/>
  <c r="H15" i="29"/>
  <c r="P15" i="29" s="1"/>
  <c r="C14" i="29"/>
  <c r="S14" i="29" s="1"/>
  <c r="R14" i="29"/>
  <c r="H14" i="29"/>
  <c r="P14" i="29"/>
  <c r="C13" i="29"/>
  <c r="S13" i="29"/>
  <c r="R13" i="29"/>
  <c r="H13" i="29"/>
  <c r="P13" i="29" s="1"/>
  <c r="C10" i="29"/>
  <c r="S10" i="29" s="1"/>
  <c r="R10" i="29"/>
  <c r="H10" i="29"/>
  <c r="P10" i="29"/>
  <c r="C9" i="29"/>
  <c r="S9" i="29"/>
  <c r="R9" i="29"/>
  <c r="H9" i="29"/>
  <c r="P9" i="29" s="1"/>
  <c r="J128" i="28"/>
  <c r="L128" i="28" s="1"/>
  <c r="C128" i="28"/>
  <c r="S128" i="28" s="1"/>
  <c r="R128" i="28"/>
  <c r="C127" i="28"/>
  <c r="S127" i="28"/>
  <c r="R127" i="28"/>
  <c r="P127" i="28"/>
  <c r="J126" i="28"/>
  <c r="L126" i="28"/>
  <c r="C126" i="28"/>
  <c r="S126" i="28"/>
  <c r="R126" i="28"/>
  <c r="O126" i="28"/>
  <c r="C125" i="28"/>
  <c r="S125" i="28"/>
  <c r="R125" i="28"/>
  <c r="P125" i="28"/>
  <c r="C124" i="28"/>
  <c r="S124" i="28"/>
  <c r="R124" i="28"/>
  <c r="C123" i="28"/>
  <c r="S123" i="28" s="1"/>
  <c r="R123" i="28"/>
  <c r="C122" i="28"/>
  <c r="S122" i="28"/>
  <c r="R122" i="28"/>
  <c r="C121" i="28"/>
  <c r="S121" i="28" s="1"/>
  <c r="R121" i="28"/>
  <c r="C120" i="28"/>
  <c r="S120" i="28"/>
  <c r="R120" i="28"/>
  <c r="C119" i="28"/>
  <c r="S119" i="28" s="1"/>
  <c r="R119" i="28"/>
  <c r="P119" i="28"/>
  <c r="C118" i="28"/>
  <c r="S118" i="28" s="1"/>
  <c r="R118" i="28"/>
  <c r="J117" i="28"/>
  <c r="L117" i="28"/>
  <c r="C117" i="28"/>
  <c r="S117" i="28"/>
  <c r="R117" i="28"/>
  <c r="O117" i="28"/>
  <c r="C116" i="28"/>
  <c r="S116" i="28"/>
  <c r="R116" i="28"/>
  <c r="C115" i="28"/>
  <c r="S115" i="28" s="1"/>
  <c r="R115" i="28"/>
  <c r="C114" i="28"/>
  <c r="S114" i="28"/>
  <c r="R114" i="28"/>
  <c r="C113" i="28"/>
  <c r="S113" i="28" s="1"/>
  <c r="R113" i="28"/>
  <c r="C112" i="28"/>
  <c r="S112" i="28"/>
  <c r="R112" i="28"/>
  <c r="C111" i="28"/>
  <c r="S111" i="28" s="1"/>
  <c r="R111" i="28"/>
  <c r="C110" i="28"/>
  <c r="S110" i="28"/>
  <c r="R110" i="28"/>
  <c r="J109" i="28"/>
  <c r="L109" i="28" s="1"/>
  <c r="C109" i="28"/>
  <c r="S109" i="28" s="1"/>
  <c r="R109" i="28"/>
  <c r="P109" i="28"/>
  <c r="O109" i="28"/>
  <c r="C108" i="28"/>
  <c r="S108" i="28"/>
  <c r="R108" i="28"/>
  <c r="C107" i="28"/>
  <c r="S107" i="28" s="1"/>
  <c r="R107" i="28"/>
  <c r="P107" i="28"/>
  <c r="C106" i="28"/>
  <c r="S106" i="28" s="1"/>
  <c r="R106" i="28"/>
  <c r="J105" i="28"/>
  <c r="L105" i="28"/>
  <c r="C105" i="28"/>
  <c r="S105" i="28"/>
  <c r="R105" i="28"/>
  <c r="O105" i="28"/>
  <c r="C104" i="28"/>
  <c r="S104" i="28"/>
  <c r="R104" i="28"/>
  <c r="C103" i="28"/>
  <c r="S103" i="28" s="1"/>
  <c r="R103" i="28"/>
  <c r="C102" i="28"/>
  <c r="S102" i="28"/>
  <c r="R102" i="28"/>
  <c r="P102" i="28"/>
  <c r="C101" i="28"/>
  <c r="S101" i="28"/>
  <c r="R101" i="28"/>
  <c r="C100" i="28"/>
  <c r="S100" i="28" s="1"/>
  <c r="R100" i="28"/>
  <c r="J99" i="28"/>
  <c r="L99" i="28"/>
  <c r="Q99" i="28" s="1"/>
  <c r="C99" i="28"/>
  <c r="S99" i="28" s="1"/>
  <c r="R99" i="28"/>
  <c r="O99" i="28"/>
  <c r="C98" i="28"/>
  <c r="S98" i="28" s="1"/>
  <c r="R98" i="28"/>
  <c r="C97" i="28"/>
  <c r="S97" i="28"/>
  <c r="R97" i="28"/>
  <c r="P97" i="28"/>
  <c r="C96" i="28"/>
  <c r="S96" i="28"/>
  <c r="R96" i="28"/>
  <c r="C95" i="28"/>
  <c r="S95" i="28" s="1"/>
  <c r="R95" i="28"/>
  <c r="C94" i="28"/>
  <c r="S94" i="28"/>
  <c r="R94" i="28"/>
  <c r="C93" i="28"/>
  <c r="S93" i="28" s="1"/>
  <c r="R93" i="28"/>
  <c r="C92" i="28"/>
  <c r="R92" i="28"/>
  <c r="C91" i="28"/>
  <c r="S91" i="28"/>
  <c r="R91" i="28"/>
  <c r="C90" i="28"/>
  <c r="S90" i="28" s="1"/>
  <c r="R90" i="28"/>
  <c r="C89" i="28"/>
  <c r="S89" i="28"/>
  <c r="R89" i="28"/>
  <c r="C88" i="28"/>
  <c r="S88" i="28" s="1"/>
  <c r="R88" i="28"/>
  <c r="C87" i="28"/>
  <c r="S87" i="28"/>
  <c r="R87" i="28"/>
  <c r="C86" i="28"/>
  <c r="S86" i="28" s="1"/>
  <c r="R86" i="28"/>
  <c r="C85" i="28"/>
  <c r="S85" i="28"/>
  <c r="R85" i="28"/>
  <c r="C84" i="28"/>
  <c r="S84" i="28" s="1"/>
  <c r="R84" i="28"/>
  <c r="C83" i="28"/>
  <c r="S83" i="28"/>
  <c r="R83" i="28"/>
  <c r="C82" i="28"/>
  <c r="S82" i="28" s="1"/>
  <c r="R82" i="28"/>
  <c r="C81" i="28"/>
  <c r="S81" i="28"/>
  <c r="R81" i="28"/>
  <c r="P81" i="28"/>
  <c r="C80" i="28"/>
  <c r="S80" i="28"/>
  <c r="R80" i="28"/>
  <c r="C79" i="28"/>
  <c r="S79" i="28" s="1"/>
  <c r="R79" i="28"/>
  <c r="O79" i="28"/>
  <c r="C78" i="28"/>
  <c r="S78" i="28" s="1"/>
  <c r="R78" i="28"/>
  <c r="C77" i="28"/>
  <c r="S77" i="28"/>
  <c r="R77" i="28"/>
  <c r="P77" i="28"/>
  <c r="C76" i="28"/>
  <c r="S76" i="28"/>
  <c r="R76" i="28"/>
  <c r="C75" i="28"/>
  <c r="R75" i="28"/>
  <c r="C74" i="28"/>
  <c r="S74" i="28" s="1"/>
  <c r="R74" i="28"/>
  <c r="C73" i="28"/>
  <c r="S73" i="28"/>
  <c r="R73" i="28"/>
  <c r="P73" i="28"/>
  <c r="C72" i="28"/>
  <c r="S72" i="28"/>
  <c r="R72" i="28"/>
  <c r="J71" i="28"/>
  <c r="C71" i="28"/>
  <c r="R71" i="28"/>
  <c r="C70" i="28"/>
  <c r="S70" i="28" s="1"/>
  <c r="R70" i="28"/>
  <c r="C69" i="28"/>
  <c r="S69" i="28"/>
  <c r="R69" i="28"/>
  <c r="C68" i="28"/>
  <c r="S68" i="28" s="1"/>
  <c r="R68" i="28"/>
  <c r="P68" i="28"/>
  <c r="J67" i="28"/>
  <c r="L67" i="28"/>
  <c r="C67" i="28"/>
  <c r="S67" i="28"/>
  <c r="R67" i="28"/>
  <c r="O67" i="28"/>
  <c r="C66" i="28"/>
  <c r="S66" i="28"/>
  <c r="R66" i="28"/>
  <c r="C65" i="28"/>
  <c r="S65" i="28" s="1"/>
  <c r="R65" i="28"/>
  <c r="C64" i="28"/>
  <c r="S64" i="28"/>
  <c r="R64" i="28"/>
  <c r="P64" i="28"/>
  <c r="C63" i="28"/>
  <c r="S63" i="28"/>
  <c r="R63" i="28"/>
  <c r="C62" i="28"/>
  <c r="S62" i="28"/>
  <c r="R62" i="28"/>
  <c r="C61" i="28"/>
  <c r="S61" i="28"/>
  <c r="R61" i="28"/>
  <c r="C60" i="28"/>
  <c r="S60" i="28" s="1"/>
  <c r="R60" i="28"/>
  <c r="C59" i="28"/>
  <c r="S59" i="28"/>
  <c r="R59" i="28"/>
  <c r="C53" i="28"/>
  <c r="S53" i="28" s="1"/>
  <c r="R53" i="28"/>
  <c r="C52" i="28"/>
  <c r="S52" i="28"/>
  <c r="R52" i="28"/>
  <c r="C51" i="28"/>
  <c r="S51" i="28" s="1"/>
  <c r="R51" i="28"/>
  <c r="C50" i="28"/>
  <c r="S50" i="28" s="1"/>
  <c r="R50" i="28"/>
  <c r="C49" i="28"/>
  <c r="S49" i="28" s="1"/>
  <c r="R49" i="28"/>
  <c r="J48" i="28"/>
  <c r="L48" i="28"/>
  <c r="N48" i="28" s="1"/>
  <c r="C48" i="28"/>
  <c r="S48" i="28" s="1"/>
  <c r="R48" i="28"/>
  <c r="O48" i="28"/>
  <c r="C47" i="28"/>
  <c r="S47" i="28" s="1"/>
  <c r="R47" i="28"/>
  <c r="C46" i="28"/>
  <c r="S46" i="28" s="1"/>
  <c r="R46" i="28"/>
  <c r="C45" i="28"/>
  <c r="S45" i="28"/>
  <c r="R45" i="28"/>
  <c r="C44" i="28"/>
  <c r="S44" i="28" s="1"/>
  <c r="R44" i="28"/>
  <c r="C43" i="28"/>
  <c r="S43" i="28" s="1"/>
  <c r="R43" i="28"/>
  <c r="C42" i="28"/>
  <c r="S42" i="28"/>
  <c r="R42" i="28"/>
  <c r="J41" i="28"/>
  <c r="L41" i="28"/>
  <c r="C41" i="28"/>
  <c r="S41" i="28" s="1"/>
  <c r="R41" i="28"/>
  <c r="J40" i="28"/>
  <c r="L40" i="28"/>
  <c r="Q40" i="28" s="1"/>
  <c r="C40" i="28"/>
  <c r="S40" i="28"/>
  <c r="R40" i="28"/>
  <c r="C39" i="28"/>
  <c r="S39" i="28" s="1"/>
  <c r="R39" i="28"/>
  <c r="C38" i="28"/>
  <c r="S38" i="28"/>
  <c r="R38" i="28"/>
  <c r="C37" i="28"/>
  <c r="S37" i="28"/>
  <c r="R37" i="28"/>
  <c r="C36" i="28"/>
  <c r="S36" i="28"/>
  <c r="R36" i="28"/>
  <c r="C35" i="28"/>
  <c r="S35" i="28" s="1"/>
  <c r="R35" i="28"/>
  <c r="C34" i="28"/>
  <c r="S34" i="28"/>
  <c r="R34" i="28"/>
  <c r="C33" i="28"/>
  <c r="S33" i="28" s="1"/>
  <c r="R33" i="28"/>
  <c r="C32" i="28"/>
  <c r="S32" i="28"/>
  <c r="R32" i="28"/>
  <c r="C31" i="28"/>
  <c r="S31" i="28" s="1"/>
  <c r="R31" i="28"/>
  <c r="C30" i="28"/>
  <c r="S30" i="28" s="1"/>
  <c r="R30" i="28"/>
  <c r="C29" i="28"/>
  <c r="R29" i="28"/>
  <c r="C28" i="28"/>
  <c r="S28" i="28"/>
  <c r="R28" i="28"/>
  <c r="C27" i="28"/>
  <c r="S27" i="28" s="1"/>
  <c r="R27" i="28"/>
  <c r="C26" i="28"/>
  <c r="S26" i="28" s="1"/>
  <c r="R26" i="28"/>
  <c r="C25" i="28"/>
  <c r="R25" i="28"/>
  <c r="C24" i="28"/>
  <c r="S24" i="28" s="1"/>
  <c r="R24" i="28"/>
  <c r="C23" i="28"/>
  <c r="S23" i="28"/>
  <c r="R23" i="28"/>
  <c r="P23" i="28"/>
  <c r="C22" i="28"/>
  <c r="S22" i="28"/>
  <c r="R22" i="28"/>
  <c r="O22" i="28"/>
  <c r="C21" i="28"/>
  <c r="S21" i="28"/>
  <c r="R21" i="28"/>
  <c r="C20" i="28"/>
  <c r="S20" i="28" s="1"/>
  <c r="R20" i="28"/>
  <c r="C19" i="28"/>
  <c r="S19" i="28"/>
  <c r="R19" i="28"/>
  <c r="C18" i="28"/>
  <c r="S18" i="28" s="1"/>
  <c r="R18" i="28"/>
  <c r="C17" i="28"/>
  <c r="S17" i="28"/>
  <c r="R17" i="28"/>
  <c r="C16" i="28"/>
  <c r="S16" i="28" s="1"/>
  <c r="R16" i="28"/>
  <c r="C15" i="28"/>
  <c r="S15" i="28"/>
  <c r="R15" i="28"/>
  <c r="C14" i="28"/>
  <c r="S14" i="28" s="1"/>
  <c r="R14" i="28"/>
  <c r="C13" i="28"/>
  <c r="S13" i="28" s="1"/>
  <c r="R13" i="28"/>
  <c r="C10" i="28"/>
  <c r="S10" i="28" s="1"/>
  <c r="R10" i="28"/>
  <c r="C9" i="28"/>
  <c r="S9" i="28"/>
  <c r="R9" i="28"/>
  <c r="C9" i="23"/>
  <c r="S9" i="23" s="1"/>
  <c r="I14" i="23"/>
  <c r="J14" i="23"/>
  <c r="L14" i="23" s="1"/>
  <c r="I15" i="23"/>
  <c r="J15" i="23"/>
  <c r="I16" i="23"/>
  <c r="O16" i="23" s="1"/>
  <c r="I9" i="23"/>
  <c r="J9" i="23"/>
  <c r="L9" i="23" s="1"/>
  <c r="Q9" i="23" s="1"/>
  <c r="T9" i="23" s="1"/>
  <c r="I10" i="23"/>
  <c r="J10" i="23"/>
  <c r="I13" i="23"/>
  <c r="J13" i="23" s="1"/>
  <c r="L13" i="23" s="1"/>
  <c r="Q13" i="23" s="1"/>
  <c r="I17" i="23"/>
  <c r="J17" i="23" s="1"/>
  <c r="I18" i="23"/>
  <c r="J18" i="23"/>
  <c r="I19" i="23"/>
  <c r="J19" i="23"/>
  <c r="C10" i="23"/>
  <c r="R10"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9" i="23"/>
  <c r="P41" i="23"/>
  <c r="P111" i="23"/>
  <c r="C13" i="23"/>
  <c r="S13" i="23" s="1"/>
  <c r="C14" i="23"/>
  <c r="S14" i="23"/>
  <c r="C15" i="23"/>
  <c r="C16" i="23"/>
  <c r="S16" i="23" s="1"/>
  <c r="C17" i="23"/>
  <c r="S17" i="23" s="1"/>
  <c r="C18" i="23"/>
  <c r="S18" i="23" s="1"/>
  <c r="C19" i="23"/>
  <c r="S19" i="23" s="1"/>
  <c r="C20" i="23"/>
  <c r="S20" i="23"/>
  <c r="C21" i="23"/>
  <c r="S21" i="23" s="1"/>
  <c r="C22" i="23"/>
  <c r="S22" i="23"/>
  <c r="C23" i="23"/>
  <c r="S23" i="23" s="1"/>
  <c r="C24" i="23"/>
  <c r="S24" i="23" s="1"/>
  <c r="C25" i="23"/>
  <c r="S25" i="23" s="1"/>
  <c r="C26" i="23"/>
  <c r="S26" i="23" s="1"/>
  <c r="C27" i="23"/>
  <c r="S27" i="23" s="1"/>
  <c r="C28" i="23"/>
  <c r="S28" i="23"/>
  <c r="C29" i="23"/>
  <c r="S29" i="23" s="1"/>
  <c r="C30" i="23"/>
  <c r="S30" i="23"/>
  <c r="C31" i="23"/>
  <c r="S31" i="23" s="1"/>
  <c r="C32" i="23"/>
  <c r="S32" i="23" s="1"/>
  <c r="C33" i="23"/>
  <c r="S33" i="23" s="1"/>
  <c r="C34" i="23"/>
  <c r="S34" i="23" s="1"/>
  <c r="C35" i="23"/>
  <c r="S35" i="23" s="1"/>
  <c r="C36" i="23"/>
  <c r="S36" i="23"/>
  <c r="C37" i="23"/>
  <c r="S37" i="23" s="1"/>
  <c r="C38" i="23"/>
  <c r="S38" i="23"/>
  <c r="C39" i="23"/>
  <c r="S39" i="23" s="1"/>
  <c r="C40" i="23"/>
  <c r="S40" i="23" s="1"/>
  <c r="C41" i="23"/>
  <c r="S41" i="23" s="1"/>
  <c r="C42" i="23"/>
  <c r="S42" i="23" s="1"/>
  <c r="C43" i="23"/>
  <c r="S43" i="23" s="1"/>
  <c r="C44" i="23"/>
  <c r="S44" i="23"/>
  <c r="C45" i="23"/>
  <c r="S45" i="23" s="1"/>
  <c r="C46" i="23"/>
  <c r="S46" i="23"/>
  <c r="C47" i="23"/>
  <c r="S47" i="23" s="1"/>
  <c r="C48" i="23"/>
  <c r="S48" i="23" s="1"/>
  <c r="C49" i="23"/>
  <c r="S49" i="23" s="1"/>
  <c r="C50" i="23"/>
  <c r="S50" i="23" s="1"/>
  <c r="C51" i="23"/>
  <c r="S51" i="23" s="1"/>
  <c r="C52" i="23"/>
  <c r="S52" i="23"/>
  <c r="C53" i="23"/>
  <c r="S53" i="23" s="1"/>
  <c r="C59" i="23"/>
  <c r="S59" i="23"/>
  <c r="C60" i="23"/>
  <c r="S60" i="23" s="1"/>
  <c r="C61" i="23"/>
  <c r="S61" i="23" s="1"/>
  <c r="C62" i="23"/>
  <c r="S62" i="23" s="1"/>
  <c r="C63" i="23"/>
  <c r="S63" i="23" s="1"/>
  <c r="C64" i="23"/>
  <c r="S64" i="23" s="1"/>
  <c r="C65" i="23"/>
  <c r="S65" i="23"/>
  <c r="C66" i="23"/>
  <c r="S66" i="23" s="1"/>
  <c r="C67" i="23"/>
  <c r="S67" i="23"/>
  <c r="C68" i="23"/>
  <c r="S68" i="23" s="1"/>
  <c r="C69" i="23"/>
  <c r="S69" i="23" s="1"/>
  <c r="C70" i="23"/>
  <c r="S70" i="23" s="1"/>
  <c r="C71" i="23"/>
  <c r="S71" i="23" s="1"/>
  <c r="C72" i="23"/>
  <c r="S72" i="23" s="1"/>
  <c r="C73" i="23"/>
  <c r="S73" i="23"/>
  <c r="C74" i="23"/>
  <c r="S74" i="23" s="1"/>
  <c r="C75" i="23"/>
  <c r="S75" i="23"/>
  <c r="C76" i="23"/>
  <c r="S76" i="23" s="1"/>
  <c r="C77" i="23"/>
  <c r="S77" i="23" s="1"/>
  <c r="C78" i="23"/>
  <c r="S78" i="23" s="1"/>
  <c r="C79" i="23"/>
  <c r="S79" i="23" s="1"/>
  <c r="C80" i="23"/>
  <c r="S80" i="23" s="1"/>
  <c r="C81" i="23"/>
  <c r="S81" i="23"/>
  <c r="C82" i="23"/>
  <c r="S82" i="23" s="1"/>
  <c r="C83" i="23"/>
  <c r="S83" i="23"/>
  <c r="C84" i="23"/>
  <c r="S84" i="23" s="1"/>
  <c r="C85" i="23"/>
  <c r="S85" i="23" s="1"/>
  <c r="C86" i="23"/>
  <c r="S86" i="23" s="1"/>
  <c r="C87" i="23"/>
  <c r="S87" i="23" s="1"/>
  <c r="C88" i="23"/>
  <c r="S88" i="23" s="1"/>
  <c r="C89" i="23"/>
  <c r="S89" i="23"/>
  <c r="C90" i="23"/>
  <c r="S90" i="23" s="1"/>
  <c r="C91" i="23"/>
  <c r="S91" i="23"/>
  <c r="C92" i="23"/>
  <c r="S92" i="23" s="1"/>
  <c r="C93" i="23"/>
  <c r="S93" i="23" s="1"/>
  <c r="C94" i="23"/>
  <c r="S94" i="23" s="1"/>
  <c r="C95" i="23"/>
  <c r="S95" i="23" s="1"/>
  <c r="C96" i="23"/>
  <c r="S96" i="23" s="1"/>
  <c r="C97" i="23"/>
  <c r="S97" i="23"/>
  <c r="C98" i="23"/>
  <c r="S98" i="23" s="1"/>
  <c r="C99" i="23"/>
  <c r="S99" i="23"/>
  <c r="C100" i="23"/>
  <c r="S100" i="23" s="1"/>
  <c r="C101" i="23"/>
  <c r="S101" i="23" s="1"/>
  <c r="C102" i="23"/>
  <c r="S102" i="23" s="1"/>
  <c r="C103" i="23"/>
  <c r="S103" i="23" s="1"/>
  <c r="C104" i="23"/>
  <c r="S104" i="23" s="1"/>
  <c r="C105" i="23"/>
  <c r="S105" i="23"/>
  <c r="C106" i="23"/>
  <c r="S106" i="23" s="1"/>
  <c r="C107" i="23"/>
  <c r="S107" i="23"/>
  <c r="C108" i="23"/>
  <c r="S108" i="23" s="1"/>
  <c r="C109" i="23"/>
  <c r="S109" i="23" s="1"/>
  <c r="C110" i="23"/>
  <c r="S110" i="23" s="1"/>
  <c r="C111" i="23"/>
  <c r="S111" i="23" s="1"/>
  <c r="C112" i="23"/>
  <c r="S112" i="23" s="1"/>
  <c r="C113" i="23"/>
  <c r="S113" i="23"/>
  <c r="C114" i="23"/>
  <c r="S114" i="23" s="1"/>
  <c r="C115" i="23"/>
  <c r="S115" i="23"/>
  <c r="C116" i="23"/>
  <c r="S116" i="23" s="1"/>
  <c r="C117" i="23"/>
  <c r="S117" i="23" s="1"/>
  <c r="C118" i="23"/>
  <c r="S118" i="23" s="1"/>
  <c r="C119" i="23"/>
  <c r="S119" i="23" s="1"/>
  <c r="C120" i="23"/>
  <c r="S120" i="23" s="1"/>
  <c r="C121" i="23"/>
  <c r="S121" i="23"/>
  <c r="C122" i="23"/>
  <c r="S122" i="23" s="1"/>
  <c r="C123" i="23"/>
  <c r="S123" i="23"/>
  <c r="C124" i="23"/>
  <c r="S124" i="23" s="1"/>
  <c r="C125" i="23"/>
  <c r="S125" i="23" s="1"/>
  <c r="C126" i="23"/>
  <c r="S126" i="23" s="1"/>
  <c r="C127" i="23"/>
  <c r="S127" i="23" s="1"/>
  <c r="C128" i="23"/>
  <c r="S128" i="23" s="1"/>
  <c r="O98" i="23"/>
  <c r="O75" i="23"/>
  <c r="O102" i="23"/>
  <c r="O94" i="23"/>
  <c r="O111" i="23"/>
  <c r="L98" i="23"/>
  <c r="L102" i="23"/>
  <c r="J65" i="29"/>
  <c r="L65" i="29"/>
  <c r="Q65" i="29" s="1"/>
  <c r="J48" i="29"/>
  <c r="O69" i="29"/>
  <c r="O50" i="29"/>
  <c r="O92" i="29"/>
  <c r="N36" i="29"/>
  <c r="J77" i="28"/>
  <c r="O96" i="28"/>
  <c r="O32" i="28"/>
  <c r="O38" i="28"/>
  <c r="O73" i="28"/>
  <c r="O81" i="28"/>
  <c r="J42" i="28"/>
  <c r="L42" i="28"/>
  <c r="J24" i="28"/>
  <c r="L24" i="28"/>
  <c r="J97" i="28"/>
  <c r="L97" i="28"/>
  <c r="Q97" i="28" s="1"/>
  <c r="T97" i="28" s="1"/>
  <c r="O101" i="28"/>
  <c r="J93" i="28"/>
  <c r="L93" i="28"/>
  <c r="Q93" i="28" s="1"/>
  <c r="T93" i="28" s="1"/>
  <c r="O116" i="23"/>
  <c r="O55" i="28"/>
  <c r="O74" i="28"/>
  <c r="J111" i="28"/>
  <c r="L111" i="28"/>
  <c r="O110" i="29"/>
  <c r="J83" i="28"/>
  <c r="L83" i="28" s="1"/>
  <c r="O91" i="28"/>
  <c r="J89" i="28"/>
  <c r="J70" i="28"/>
  <c r="L70" i="28"/>
  <c r="J66" i="28"/>
  <c r="L66" i="28" s="1"/>
  <c r="J62" i="28"/>
  <c r="L62" i="28"/>
  <c r="J26" i="28"/>
  <c r="J21" i="28"/>
  <c r="L21" i="28"/>
  <c r="O13" i="28"/>
  <c r="O13" i="29"/>
  <c r="O17" i="28"/>
  <c r="Q9" i="28"/>
  <c r="T9" i="28" s="1"/>
  <c r="L23" i="29"/>
  <c r="N123" i="29"/>
  <c r="J78" i="29"/>
  <c r="O107" i="29"/>
  <c r="J127" i="29"/>
  <c r="L127" i="29" s="1"/>
  <c r="N103" i="29"/>
  <c r="O17" i="29"/>
  <c r="O32" i="29"/>
  <c r="N114" i="29"/>
  <c r="O23" i="29"/>
  <c r="J97" i="29"/>
  <c r="L97" i="29"/>
  <c r="L92" i="29"/>
  <c r="Q92" i="29" s="1"/>
  <c r="L21" i="29"/>
  <c r="Q21" i="29"/>
  <c r="C83" i="33"/>
  <c r="O20" i="29"/>
  <c r="O38" i="29"/>
  <c r="O42" i="29"/>
  <c r="O80" i="29"/>
  <c r="O21" i="29"/>
  <c r="O73" i="29"/>
  <c r="J96" i="29"/>
  <c r="J100" i="29"/>
  <c r="O15" i="29"/>
  <c r="O26" i="29"/>
  <c r="O84" i="29"/>
  <c r="C65" i="33"/>
  <c r="Q98" i="29"/>
  <c r="T98" i="29"/>
  <c r="N98" i="29"/>
  <c r="N9" i="29"/>
  <c r="Q9" i="29"/>
  <c r="T9" i="29"/>
  <c r="O9" i="29"/>
  <c r="O10" i="29"/>
  <c r="O31" i="29"/>
  <c r="O35" i="29"/>
  <c r="N49" i="29"/>
  <c r="J62" i="29"/>
  <c r="L62" i="29" s="1"/>
  <c r="J93" i="29"/>
  <c r="L93" i="29" s="1"/>
  <c r="J101" i="29"/>
  <c r="L101" i="29" s="1"/>
  <c r="N101" i="29" s="1"/>
  <c r="N73" i="29"/>
  <c r="O22" i="29"/>
  <c r="O39" i="29"/>
  <c r="O126" i="29"/>
  <c r="J126" i="29"/>
  <c r="L126" i="29"/>
  <c r="C66" i="42" s="1"/>
  <c r="L51" i="29"/>
  <c r="N51" i="29"/>
  <c r="L74" i="29"/>
  <c r="Q74" i="29"/>
  <c r="Q20" i="29"/>
  <c r="T20" i="29"/>
  <c r="Q69" i="29"/>
  <c r="T69" i="29"/>
  <c r="N69" i="29"/>
  <c r="N20" i="29"/>
  <c r="O14" i="29"/>
  <c r="O47" i="29"/>
  <c r="O51" i="29"/>
  <c r="O74" i="29"/>
  <c r="O77" i="29"/>
  <c r="C61" i="33"/>
  <c r="O43" i="29"/>
  <c r="O105" i="29"/>
  <c r="J111" i="29"/>
  <c r="N111" i="29" s="1"/>
  <c r="L111" i="29"/>
  <c r="C62" i="33"/>
  <c r="C64" i="33"/>
  <c r="J118" i="29"/>
  <c r="L118" i="29" s="1"/>
  <c r="C82" i="33"/>
  <c r="N75" i="29"/>
  <c r="N13" i="29"/>
  <c r="J18" i="29"/>
  <c r="O66" i="29"/>
  <c r="O70" i="29"/>
  <c r="S82" i="29"/>
  <c r="O93" i="29"/>
  <c r="J113" i="29"/>
  <c r="C9" i="33"/>
  <c r="J55" i="29"/>
  <c r="S25" i="29"/>
  <c r="T73" i="29"/>
  <c r="T75" i="29"/>
  <c r="S92" i="29"/>
  <c r="S72" i="29"/>
  <c r="T92" i="29"/>
  <c r="N39" i="29"/>
  <c r="S34" i="29"/>
  <c r="N72" i="29"/>
  <c r="C6" i="33"/>
  <c r="O54" i="29"/>
  <c r="C42" i="33"/>
  <c r="C56" i="33"/>
  <c r="C63" i="33"/>
  <c r="J12" i="29"/>
  <c r="L12" i="29" s="1"/>
  <c r="N12" i="29" s="1"/>
  <c r="C52" i="33"/>
  <c r="C59" i="33"/>
  <c r="C67" i="33"/>
  <c r="L80" i="28"/>
  <c r="Q80" i="28"/>
  <c r="T80" i="28" s="1"/>
  <c r="J72" i="28"/>
  <c r="L72" i="28"/>
  <c r="Q72" i="28" s="1"/>
  <c r="O80" i="28"/>
  <c r="O95" i="28"/>
  <c r="O106" i="28"/>
  <c r="O127" i="28"/>
  <c r="O76" i="28"/>
  <c r="J103" i="28"/>
  <c r="L103" i="28"/>
  <c r="C82" i="32"/>
  <c r="N95" i="28"/>
  <c r="L49" i="28"/>
  <c r="N49" i="28"/>
  <c r="L74" i="28"/>
  <c r="T74" i="28" s="1"/>
  <c r="Q74" i="28"/>
  <c r="N13" i="28"/>
  <c r="J98" i="28"/>
  <c r="L98" i="28"/>
  <c r="C56" i="32"/>
  <c r="N99" i="28"/>
  <c r="O20" i="28"/>
  <c r="J20" i="28"/>
  <c r="L20" i="28" s="1"/>
  <c r="N20" i="28" s="1"/>
  <c r="O44" i="28"/>
  <c r="J45" i="28"/>
  <c r="L45" i="28"/>
  <c r="O49" i="28"/>
  <c r="O52" i="28"/>
  <c r="J87" i="28"/>
  <c r="L87" i="28"/>
  <c r="O92" i="28"/>
  <c r="J92" i="28"/>
  <c r="L92" i="28" s="1"/>
  <c r="Q92" i="28" s="1"/>
  <c r="O94" i="28"/>
  <c r="J94" i="28"/>
  <c r="L94" i="28" s="1"/>
  <c r="Q94" i="28" s="1"/>
  <c r="O103" i="28"/>
  <c r="O122" i="28"/>
  <c r="O37" i="28"/>
  <c r="O114" i="28"/>
  <c r="O125" i="28"/>
  <c r="L47" i="28"/>
  <c r="Q47" i="28"/>
  <c r="T47" i="28" s="1"/>
  <c r="L43" i="28"/>
  <c r="Q43" i="28" s="1"/>
  <c r="T43" i="28" s="1"/>
  <c r="L78" i="28"/>
  <c r="Q78" i="28"/>
  <c r="L102" i="28"/>
  <c r="Q102" i="28"/>
  <c r="S25" i="28"/>
  <c r="O31" i="28"/>
  <c r="J60" i="28"/>
  <c r="L60" i="28"/>
  <c r="Q60" i="28" s="1"/>
  <c r="C61" i="32"/>
  <c r="N44" i="28"/>
  <c r="O36" i="28"/>
  <c r="O47" i="28"/>
  <c r="O51" i="28"/>
  <c r="O75" i="28"/>
  <c r="J75" i="28"/>
  <c r="L75" i="28" s="1"/>
  <c r="O78" i="28"/>
  <c r="O84" i="28"/>
  <c r="O102" i="28"/>
  <c r="C10" i="32"/>
  <c r="J120" i="28"/>
  <c r="L120" i="28" s="1"/>
  <c r="Q120" i="28" s="1"/>
  <c r="O10" i="28"/>
  <c r="O43" i="28"/>
  <c r="C36" i="32"/>
  <c r="O54" i="28"/>
  <c r="S75" i="28"/>
  <c r="C25" i="32"/>
  <c r="C24" i="32"/>
  <c r="J34" i="28"/>
  <c r="O34" i="28"/>
  <c r="J59" i="28"/>
  <c r="O59" i="28"/>
  <c r="O82" i="28"/>
  <c r="J82" i="28"/>
  <c r="L82" i="28" s="1"/>
  <c r="Q82" i="28"/>
  <c r="C59" i="32"/>
  <c r="C60" i="32"/>
  <c r="C67" i="32"/>
  <c r="C68" i="32"/>
  <c r="J56" i="28"/>
  <c r="L56" i="28"/>
  <c r="O56" i="28"/>
  <c r="O53" i="28"/>
  <c r="J53" i="28"/>
  <c r="L53" i="28"/>
  <c r="J46" i="28"/>
  <c r="L46" i="28"/>
  <c r="N46" i="28" s="1"/>
  <c r="O46" i="28"/>
  <c r="O39" i="28"/>
  <c r="J39" i="28"/>
  <c r="J18" i="28"/>
  <c r="L18" i="28" s="1"/>
  <c r="Q18" i="28" s="1"/>
  <c r="O18" i="28"/>
  <c r="N22" i="28"/>
  <c r="N96" i="28"/>
  <c r="T95" i="28"/>
  <c r="T99" i="28"/>
  <c r="T22" i="28"/>
  <c r="Q96" i="28"/>
  <c r="T96" i="28" s="1"/>
  <c r="J14" i="28"/>
  <c r="L14" i="28" s="1"/>
  <c r="J29" i="28"/>
  <c r="L29" i="28" s="1"/>
  <c r="N29" i="28" s="1"/>
  <c r="S92" i="28"/>
  <c r="C52" i="32"/>
  <c r="S71" i="28"/>
  <c r="J88" i="28"/>
  <c r="L88" i="28"/>
  <c r="J40" i="23"/>
  <c r="L40" i="23" s="1"/>
  <c r="Q40" i="23" s="1"/>
  <c r="J99" i="23"/>
  <c r="O42" i="23"/>
  <c r="O38" i="23"/>
  <c r="O50" i="23"/>
  <c r="O123" i="23"/>
  <c r="O63" i="23"/>
  <c r="J46" i="23"/>
  <c r="J80" i="23"/>
  <c r="L80" i="23"/>
  <c r="J95" i="23"/>
  <c r="L95" i="23"/>
  <c r="O72" i="23"/>
  <c r="J76" i="23"/>
  <c r="O104" i="23"/>
  <c r="C39" i="25"/>
  <c r="O78" i="23"/>
  <c r="J35" i="23"/>
  <c r="O39" i="23"/>
  <c r="N39" i="23"/>
  <c r="N43" i="23"/>
  <c r="O36" i="23"/>
  <c r="J100" i="23"/>
  <c r="L100" i="23"/>
  <c r="J127" i="23"/>
  <c r="L127" i="23"/>
  <c r="Q127" i="23" s="1"/>
  <c r="O96" i="23"/>
  <c r="O43" i="23"/>
  <c r="J47" i="23"/>
  <c r="L47" i="23"/>
  <c r="O24" i="23"/>
  <c r="J23" i="23"/>
  <c r="L23" i="23" s="1"/>
  <c r="N24" i="23"/>
  <c r="O48" i="23"/>
  <c r="O71" i="23"/>
  <c r="O33" i="23"/>
  <c r="C59" i="25"/>
  <c r="C38" i="25"/>
  <c r="J92" i="23"/>
  <c r="L92" i="23" s="1"/>
  <c r="Q92" i="23"/>
  <c r="O52" i="23"/>
  <c r="J52" i="23"/>
  <c r="L52" i="23"/>
  <c r="Q52" i="23" s="1"/>
  <c r="O44" i="23"/>
  <c r="J44" i="23"/>
  <c r="L44" i="23"/>
  <c r="N44" i="23" s="1"/>
  <c r="O37" i="23"/>
  <c r="J37" i="23"/>
  <c r="L37" i="23" s="1"/>
  <c r="Q37" i="23" s="1"/>
  <c r="O97" i="23"/>
  <c r="J97" i="23"/>
  <c r="J74" i="23"/>
  <c r="Q43" i="23"/>
  <c r="T43" i="23" s="1"/>
  <c r="L73" i="23"/>
  <c r="Q73" i="23" s="1"/>
  <c r="T73" i="23" s="1"/>
  <c r="C48" i="25"/>
  <c r="C26" i="25"/>
  <c r="J81" i="23"/>
  <c r="L81" i="23"/>
  <c r="O81" i="23"/>
  <c r="C40" i="25"/>
  <c r="O107" i="23"/>
  <c r="C36" i="25"/>
  <c r="O101" i="23"/>
  <c r="O77" i="23"/>
  <c r="O85" i="23"/>
  <c r="J89" i="23"/>
  <c r="O92" i="23"/>
  <c r="C62" i="25"/>
  <c r="J93" i="23"/>
  <c r="L93" i="23"/>
  <c r="O93" i="23"/>
  <c r="C69" i="25"/>
  <c r="C67" i="25"/>
  <c r="Q102" i="23"/>
  <c r="C61" i="25"/>
  <c r="J71" i="23"/>
  <c r="L71" i="23" s="1"/>
  <c r="O84" i="23"/>
  <c r="O73" i="23"/>
  <c r="O60" i="23"/>
  <c r="J51" i="23"/>
  <c r="L51" i="23"/>
  <c r="Q51" i="23" s="1"/>
  <c r="J22" i="23"/>
  <c r="O22" i="23"/>
  <c r="J16" i="23"/>
  <c r="J20" i="23"/>
  <c r="O20" i="23"/>
  <c r="C6" i="25"/>
  <c r="O53" i="23"/>
  <c r="J53" i="23"/>
  <c r="L53" i="23"/>
  <c r="Q53" i="23" s="1"/>
  <c r="T53" i="23" s="1"/>
  <c r="O70" i="23"/>
  <c r="J70" i="23"/>
  <c r="L70" i="23"/>
  <c r="J67" i="23"/>
  <c r="L67" i="23"/>
  <c r="O67" i="23"/>
  <c r="O66" i="23"/>
  <c r="J66" i="23"/>
  <c r="L66" i="23" s="1"/>
  <c r="J62" i="23"/>
  <c r="L62" i="23" s="1"/>
  <c r="O62" i="23"/>
  <c r="O79" i="23"/>
  <c r="J79" i="23"/>
  <c r="C37" i="25"/>
  <c r="J87" i="23"/>
  <c r="L87" i="23"/>
  <c r="O87" i="23"/>
  <c r="J83" i="23"/>
  <c r="L83" i="23" s="1"/>
  <c r="N83" i="23" s="1"/>
  <c r="Q83" i="23"/>
  <c r="O83" i="23"/>
  <c r="C54" i="25"/>
  <c r="C66" i="25"/>
  <c r="C68" i="25"/>
  <c r="C70" i="25"/>
  <c r="J124" i="23"/>
  <c r="L124" i="23" s="1"/>
  <c r="O124" i="23"/>
  <c r="O126" i="23"/>
  <c r="C84" i="25"/>
  <c r="J126" i="23"/>
  <c r="L126" i="23"/>
  <c r="N96" i="23"/>
  <c r="J21" i="23"/>
  <c r="L21" i="23" s="1"/>
  <c r="T21" i="23" s="1"/>
  <c r="J32" i="23"/>
  <c r="L32" i="23" s="1"/>
  <c r="N32" i="23" s="1"/>
  <c r="O32" i="23"/>
  <c r="J45" i="23"/>
  <c r="L45" i="23"/>
  <c r="O45" i="23"/>
  <c r="N77" i="23"/>
  <c r="J55" i="23"/>
  <c r="O55" i="23"/>
  <c r="Q96" i="23"/>
  <c r="T96" i="23"/>
  <c r="Q77" i="23"/>
  <c r="T77" i="23"/>
  <c r="O26" i="23"/>
  <c r="J54" i="23"/>
  <c r="L54" i="23" s="1"/>
  <c r="Q54" i="23" s="1"/>
  <c r="C46" i="25"/>
  <c r="C55" i="25"/>
  <c r="C56" i="25"/>
  <c r="N54" i="29"/>
  <c r="Q54" i="29"/>
  <c r="T54" i="29" s="1"/>
  <c r="N41" i="28"/>
  <c r="Q41" i="28"/>
  <c r="T41" i="28"/>
  <c r="N47" i="29"/>
  <c r="Q47" i="29"/>
  <c r="T47" i="29" s="1"/>
  <c r="N52" i="28"/>
  <c r="Q52" i="28"/>
  <c r="T52" i="28"/>
  <c r="T58" i="28"/>
  <c r="T51" i="28"/>
  <c r="T36" i="28"/>
  <c r="Q126" i="28"/>
  <c r="T126" i="28"/>
  <c r="N126" i="28"/>
  <c r="C85" i="32"/>
  <c r="Q125" i="28"/>
  <c r="T125" i="28"/>
  <c r="N125" i="28"/>
  <c r="Q128" i="28"/>
  <c r="Q125" i="29"/>
  <c r="T125" i="29"/>
  <c r="L128" i="23"/>
  <c r="N125" i="29"/>
  <c r="C83" i="25"/>
  <c r="C83" i="32"/>
  <c r="C84" i="33"/>
  <c r="C85" i="25"/>
  <c r="J125" i="23"/>
  <c r="C81" i="25"/>
  <c r="O128" i="23"/>
  <c r="O128" i="28"/>
  <c r="O125" i="29"/>
  <c r="J128" i="29"/>
  <c r="C84" i="32"/>
  <c r="C81" i="33"/>
  <c r="C85" i="33"/>
  <c r="C82" i="25"/>
  <c r="C81" i="32"/>
  <c r="O115" i="23"/>
  <c r="J119" i="29"/>
  <c r="L119" i="29"/>
  <c r="N114" i="28"/>
  <c r="J119" i="23"/>
  <c r="L119" i="23" s="1"/>
  <c r="Q119" i="23" s="1"/>
  <c r="L115" i="29"/>
  <c r="N115" i="29" s="1"/>
  <c r="L121" i="28"/>
  <c r="N121" i="28" s="1"/>
  <c r="L124" i="28"/>
  <c r="Q124" i="28" s="1"/>
  <c r="T124" i="28" s="1"/>
  <c r="L113" i="28"/>
  <c r="O120" i="28"/>
  <c r="C80" i="32"/>
  <c r="C76" i="33"/>
  <c r="C77" i="32"/>
  <c r="O113" i="28"/>
  <c r="O115" i="29"/>
  <c r="O118" i="29"/>
  <c r="O121" i="28"/>
  <c r="O124" i="28"/>
  <c r="C77" i="25"/>
  <c r="J122" i="23"/>
  <c r="L122" i="23" s="1"/>
  <c r="J114" i="23"/>
  <c r="J122" i="29"/>
  <c r="C78" i="25"/>
  <c r="J112" i="28"/>
  <c r="O114" i="29"/>
  <c r="J116" i="28"/>
  <c r="L116" i="28"/>
  <c r="J123" i="28"/>
  <c r="J117" i="29"/>
  <c r="L117" i="29" s="1"/>
  <c r="N117" i="29" s="1"/>
  <c r="T123" i="23"/>
  <c r="N123" i="23"/>
  <c r="Q123" i="29"/>
  <c r="T123" i="29" s="1"/>
  <c r="T114" i="28"/>
  <c r="T122" i="28"/>
  <c r="N116" i="23"/>
  <c r="T116" i="23"/>
  <c r="O112" i="23"/>
  <c r="C79" i="25"/>
  <c r="J112" i="23"/>
  <c r="N112" i="23" s="1"/>
  <c r="L112" i="23"/>
  <c r="C80" i="25"/>
  <c r="C76" i="25"/>
  <c r="J121" i="23"/>
  <c r="O121" i="23"/>
  <c r="J120" i="23"/>
  <c r="J118" i="23"/>
  <c r="J113" i="23"/>
  <c r="O113" i="23"/>
  <c r="J118" i="28"/>
  <c r="L118" i="28" s="1"/>
  <c r="J119" i="28"/>
  <c r="J115" i="28"/>
  <c r="O115" i="28"/>
  <c r="C76" i="32"/>
  <c r="C79" i="33"/>
  <c r="C78" i="33"/>
  <c r="J112" i="29"/>
  <c r="L112" i="29" s="1"/>
  <c r="Q112" i="29" s="1"/>
  <c r="C80" i="33"/>
  <c r="O112" i="29"/>
  <c r="C77" i="33"/>
  <c r="J124" i="29"/>
  <c r="O124" i="29"/>
  <c r="O121" i="29"/>
  <c r="J121" i="29"/>
  <c r="J120" i="29"/>
  <c r="O120" i="29"/>
  <c r="N117" i="28"/>
  <c r="Q117" i="28"/>
  <c r="T117" i="28" s="1"/>
  <c r="J117" i="23"/>
  <c r="O117" i="23"/>
  <c r="C79" i="32"/>
  <c r="O112" i="28"/>
  <c r="C78" i="32"/>
  <c r="Q114" i="29"/>
  <c r="T114" i="29"/>
  <c r="Q104" i="29"/>
  <c r="T104" i="29"/>
  <c r="N104" i="29"/>
  <c r="O106" i="23"/>
  <c r="O104" i="28"/>
  <c r="O110" i="28"/>
  <c r="N111" i="23"/>
  <c r="J105" i="23"/>
  <c r="O106" i="29"/>
  <c r="J108" i="29"/>
  <c r="J108" i="23"/>
  <c r="O109" i="29"/>
  <c r="J106" i="29"/>
  <c r="L106" i="29"/>
  <c r="Q104" i="28"/>
  <c r="T104" i="28"/>
  <c r="N104" i="28"/>
  <c r="Q105" i="29"/>
  <c r="T105" i="29" s="1"/>
  <c r="N105" i="29"/>
  <c r="Q109" i="28"/>
  <c r="N109" i="28"/>
  <c r="Q110" i="28"/>
  <c r="T110" i="28"/>
  <c r="N110" i="28"/>
  <c r="N107" i="29"/>
  <c r="Q107" i="29"/>
  <c r="T107" i="29"/>
  <c r="N104" i="23"/>
  <c r="Q104" i="23"/>
  <c r="T104" i="23" s="1"/>
  <c r="N105" i="28"/>
  <c r="Q105" i="28"/>
  <c r="T105" i="28"/>
  <c r="Q110" i="29"/>
  <c r="T110" i="29"/>
  <c r="N110" i="29"/>
  <c r="C60" i="25"/>
  <c r="C30" i="25"/>
  <c r="C57" i="32"/>
  <c r="C69" i="32"/>
  <c r="C57" i="33"/>
  <c r="C69" i="33"/>
  <c r="C16" i="25"/>
  <c r="C17" i="25"/>
  <c r="C52" i="25"/>
  <c r="C57" i="25"/>
  <c r="C27" i="25"/>
  <c r="C58" i="32"/>
  <c r="C66" i="32"/>
  <c r="C70" i="32"/>
  <c r="C58" i="33"/>
  <c r="C66" i="33"/>
  <c r="C70" i="33"/>
  <c r="C51" i="25"/>
  <c r="C53" i="25"/>
  <c r="C58" i="25"/>
  <c r="C45" i="42"/>
  <c r="C19" i="32"/>
  <c r="C16" i="32"/>
  <c r="C19" i="33"/>
  <c r="C29" i="32"/>
  <c r="C49" i="32"/>
  <c r="C48" i="32"/>
  <c r="C55" i="32"/>
  <c r="C51" i="32"/>
  <c r="C54" i="32"/>
  <c r="C53" i="32"/>
  <c r="C28" i="33"/>
  <c r="C27" i="33"/>
  <c r="C48" i="33"/>
  <c r="C47" i="33"/>
  <c r="C55" i="33"/>
  <c r="C51" i="33"/>
  <c r="C54" i="33"/>
  <c r="C53" i="33"/>
  <c r="C18" i="33"/>
  <c r="C28" i="25"/>
  <c r="C47" i="32"/>
  <c r="C19" i="25"/>
  <c r="C20" i="25"/>
  <c r="C29" i="25"/>
  <c r="C49" i="25"/>
  <c r="C47" i="25"/>
  <c r="C50" i="25"/>
  <c r="C27" i="32"/>
  <c r="C28" i="32"/>
  <c r="C30" i="33"/>
  <c r="C50" i="33"/>
  <c r="C46" i="33"/>
  <c r="C49" i="33"/>
  <c r="C20" i="32"/>
  <c r="C18" i="32"/>
  <c r="C16" i="41"/>
  <c r="C46" i="32"/>
  <c r="C50" i="32"/>
  <c r="C17" i="33"/>
  <c r="C18" i="25"/>
  <c r="Q84" i="23"/>
  <c r="T84" i="23"/>
  <c r="C45" i="32"/>
  <c r="J86" i="23"/>
  <c r="L86" i="23" s="1"/>
  <c r="Q86" i="23"/>
  <c r="O90" i="23"/>
  <c r="N91" i="29"/>
  <c r="J85" i="29"/>
  <c r="J89" i="29"/>
  <c r="L89" i="29" s="1"/>
  <c r="Q89" i="29" s="1"/>
  <c r="C44" i="32"/>
  <c r="J90" i="28"/>
  <c r="L90" i="28"/>
  <c r="C43" i="33"/>
  <c r="J87" i="29"/>
  <c r="L87" i="29" s="1"/>
  <c r="Q87" i="29" s="1"/>
  <c r="C41" i="32"/>
  <c r="Q90" i="29"/>
  <c r="N90" i="29"/>
  <c r="C42" i="32"/>
  <c r="C44" i="33"/>
  <c r="J88" i="23"/>
  <c r="L88" i="23"/>
  <c r="O85" i="28"/>
  <c r="J86" i="28"/>
  <c r="J82" i="29"/>
  <c r="L82" i="29" s="1"/>
  <c r="Q82" i="29"/>
  <c r="J86" i="29"/>
  <c r="L86" i="29"/>
  <c r="J88" i="29"/>
  <c r="L88" i="29"/>
  <c r="Q88" i="29" s="1"/>
  <c r="C43" i="32"/>
  <c r="C41" i="33"/>
  <c r="C45" i="33"/>
  <c r="J85" i="23"/>
  <c r="L85" i="23" s="1"/>
  <c r="Q85" i="23" s="1"/>
  <c r="T85" i="23" s="1"/>
  <c r="O82" i="29"/>
  <c r="J82" i="23"/>
  <c r="L82" i="23"/>
  <c r="J85" i="28"/>
  <c r="L85" i="28" s="1"/>
  <c r="Q84" i="28"/>
  <c r="T84" i="28" s="1"/>
  <c r="N84" i="28"/>
  <c r="N91" i="28"/>
  <c r="Q91" i="28"/>
  <c r="T91" i="28" s="1"/>
  <c r="T91" i="29"/>
  <c r="Q73" i="28"/>
  <c r="T73" i="28"/>
  <c r="N73" i="28"/>
  <c r="N78" i="23"/>
  <c r="Q78" i="23"/>
  <c r="T78" i="23"/>
  <c r="Q79" i="29"/>
  <c r="T79" i="29"/>
  <c r="N79" i="29"/>
  <c r="N75" i="23"/>
  <c r="Q75" i="23"/>
  <c r="T75" i="23"/>
  <c r="O65" i="23"/>
  <c r="J65" i="28"/>
  <c r="L65" i="28"/>
  <c r="Q65" i="28" s="1"/>
  <c r="T65" i="28"/>
  <c r="C35" i="25"/>
  <c r="N69" i="23"/>
  <c r="Q69" i="23"/>
  <c r="T69" i="23"/>
  <c r="O69" i="23"/>
  <c r="O69" i="28"/>
  <c r="O64" i="29"/>
  <c r="O68" i="29"/>
  <c r="N65" i="23"/>
  <c r="Q65" i="23"/>
  <c r="T65" i="23" s="1"/>
  <c r="O59" i="23"/>
  <c r="Q59" i="29"/>
  <c r="T59" i="29"/>
  <c r="N59" i="29"/>
  <c r="N70" i="29"/>
  <c r="Q70" i="29"/>
  <c r="T70" i="29"/>
  <c r="L59" i="23"/>
  <c r="N59" i="23"/>
  <c r="L68" i="23"/>
  <c r="N68" i="23"/>
  <c r="L64" i="23"/>
  <c r="N64" i="23"/>
  <c r="L61" i="23"/>
  <c r="N61" i="23"/>
  <c r="Q61" i="28"/>
  <c r="T61" i="28"/>
  <c r="Q66" i="29"/>
  <c r="T66" i="29" s="1"/>
  <c r="T63" i="23"/>
  <c r="N63" i="23"/>
  <c r="C34" i="25"/>
  <c r="O68" i="23"/>
  <c r="O64" i="23"/>
  <c r="O61" i="23"/>
  <c r="J60" i="29"/>
  <c r="N61" i="28"/>
  <c r="N68" i="29"/>
  <c r="N66" i="29"/>
  <c r="C32" i="25"/>
  <c r="C33" i="25"/>
  <c r="O61" i="28"/>
  <c r="J64" i="28"/>
  <c r="J68" i="28"/>
  <c r="O60" i="29"/>
  <c r="J63" i="29"/>
  <c r="Q68" i="29"/>
  <c r="T68" i="29"/>
  <c r="C31" i="25"/>
  <c r="Q70" i="28"/>
  <c r="C31" i="32"/>
  <c r="C17" i="32"/>
  <c r="C26" i="32"/>
  <c r="C30" i="32"/>
  <c r="C16" i="33"/>
  <c r="C20" i="33"/>
  <c r="C29" i="33"/>
  <c r="C26" i="33"/>
  <c r="L45" i="29"/>
  <c r="N45" i="29"/>
  <c r="O58" i="23"/>
  <c r="J58" i="23"/>
  <c r="J57" i="29"/>
  <c r="L57" i="29" s="1"/>
  <c r="Q57" i="29" s="1"/>
  <c r="O57" i="29"/>
  <c r="Q36" i="23"/>
  <c r="T36" i="23" s="1"/>
  <c r="Q38" i="28"/>
  <c r="T38" i="28"/>
  <c r="N38" i="28"/>
  <c r="N42" i="29"/>
  <c r="Q42" i="29"/>
  <c r="T42" i="29"/>
  <c r="L48" i="29"/>
  <c r="N48" i="29" s="1"/>
  <c r="Q54" i="28"/>
  <c r="T54" i="28"/>
  <c r="N54" i="28"/>
  <c r="N51" i="28"/>
  <c r="Q40" i="29"/>
  <c r="T40" i="29" s="1"/>
  <c r="L56" i="29"/>
  <c r="Q56" i="29" s="1"/>
  <c r="J34" i="23"/>
  <c r="J41" i="23"/>
  <c r="L41" i="23"/>
  <c r="Q41" i="23" s="1"/>
  <c r="O41" i="23"/>
  <c r="O50" i="28"/>
  <c r="J50" i="28"/>
  <c r="C23" i="32"/>
  <c r="O35" i="28"/>
  <c r="C21" i="32"/>
  <c r="C22" i="32"/>
  <c r="J35" i="28"/>
  <c r="N58" i="28"/>
  <c r="N36" i="28"/>
  <c r="T36" i="29"/>
  <c r="N36" i="23"/>
  <c r="Q38" i="23"/>
  <c r="T38" i="23" s="1"/>
  <c r="N38" i="23"/>
  <c r="L56" i="23"/>
  <c r="N56" i="23" s="1"/>
  <c r="J52" i="29"/>
  <c r="O52" i="29"/>
  <c r="J37" i="29"/>
  <c r="O37" i="29"/>
  <c r="O56" i="23"/>
  <c r="O58" i="28"/>
  <c r="J33" i="28"/>
  <c r="L33" i="28" s="1"/>
  <c r="C14" i="32"/>
  <c r="O30" i="29"/>
  <c r="J33" i="29"/>
  <c r="L33" i="29" s="1"/>
  <c r="L33" i="23"/>
  <c r="Q33" i="23"/>
  <c r="L30" i="23"/>
  <c r="N30" i="23"/>
  <c r="C15" i="33"/>
  <c r="O30" i="23"/>
  <c r="O30" i="28"/>
  <c r="Q30" i="29"/>
  <c r="T30" i="29" s="1"/>
  <c r="J29" i="23"/>
  <c r="L29" i="23" s="1"/>
  <c r="D8" i="27" s="1"/>
  <c r="O28" i="28"/>
  <c r="J29" i="29"/>
  <c r="L29" i="29" s="1"/>
  <c r="Q29" i="29" s="1"/>
  <c r="C11" i="33"/>
  <c r="N30" i="29"/>
  <c r="C12" i="25"/>
  <c r="J27" i="29"/>
  <c r="L27" i="29" s="1"/>
  <c r="C14" i="33"/>
  <c r="C13" i="32"/>
  <c r="N31" i="28"/>
  <c r="Q31" i="28"/>
  <c r="T31" i="28" s="1"/>
  <c r="N26" i="23"/>
  <c r="N28" i="28"/>
  <c r="Q28" i="28"/>
  <c r="T28" i="28" s="1"/>
  <c r="Q29" i="28"/>
  <c r="T29" i="28" s="1"/>
  <c r="L31" i="29"/>
  <c r="N31" i="29" s="1"/>
  <c r="Q27" i="28"/>
  <c r="T27" i="28"/>
  <c r="N27" i="28"/>
  <c r="N30" i="28"/>
  <c r="Q30" i="28"/>
  <c r="T30" i="28"/>
  <c r="N26" i="29"/>
  <c r="Q26" i="29"/>
  <c r="T26" i="29" s="1"/>
  <c r="Q32" i="29"/>
  <c r="T32" i="29"/>
  <c r="J28" i="23"/>
  <c r="L28" i="23" s="1"/>
  <c r="Q28" i="23" s="1"/>
  <c r="J25" i="23"/>
  <c r="J25" i="29"/>
  <c r="L25" i="29"/>
  <c r="C12" i="33"/>
  <c r="J31" i="23"/>
  <c r="L31" i="23" s="1"/>
  <c r="Q31" i="23" s="1"/>
  <c r="O27" i="28"/>
  <c r="J28" i="29"/>
  <c r="C11" i="32"/>
  <c r="C15" i="32"/>
  <c r="C13" i="33"/>
  <c r="N32" i="29"/>
  <c r="O16" i="28"/>
  <c r="O19" i="29"/>
  <c r="O12" i="28"/>
  <c r="O10" i="23"/>
  <c r="O17" i="23"/>
  <c r="C5" i="33"/>
  <c r="O19" i="23"/>
  <c r="O14" i="23"/>
  <c r="L15" i="28"/>
  <c r="N19" i="28"/>
  <c r="Q19" i="28"/>
  <c r="T19" i="28" s="1"/>
  <c r="O15" i="28"/>
  <c r="O19" i="28"/>
  <c r="O16" i="29"/>
  <c r="N9" i="28"/>
  <c r="O9" i="23"/>
  <c r="O9" i="28"/>
  <c r="L19" i="23"/>
  <c r="N19" i="23" s="1"/>
  <c r="Q19" i="29"/>
  <c r="T19" i="29"/>
  <c r="L10" i="29"/>
  <c r="N10" i="29" s="1"/>
  <c r="C5" i="25"/>
  <c r="L10" i="23"/>
  <c r="Q17" i="29"/>
  <c r="T17" i="29" s="1"/>
  <c r="N17" i="29"/>
  <c r="C2" i="25"/>
  <c r="N17" i="28"/>
  <c r="Q17" i="28"/>
  <c r="Q12" i="28"/>
  <c r="T12" i="28" s="1"/>
  <c r="C1" i="25"/>
  <c r="C3" i="25"/>
  <c r="C4" i="25"/>
  <c r="T16" i="29"/>
  <c r="N16" i="29"/>
  <c r="J11" i="23"/>
  <c r="L11" i="23" s="1"/>
  <c r="O11" i="23"/>
  <c r="O11" i="28"/>
  <c r="J11" i="28"/>
  <c r="J11" i="29"/>
  <c r="L11" i="29"/>
  <c r="N11" i="29" s="1"/>
  <c r="C4" i="33"/>
  <c r="C3" i="33"/>
  <c r="O11" i="29"/>
  <c r="C2" i="33"/>
  <c r="C1" i="33"/>
  <c r="L15" i="29"/>
  <c r="N15" i="29" s="1"/>
  <c r="C4" i="32"/>
  <c r="Q10" i="28"/>
  <c r="T10" i="28" s="1"/>
  <c r="O18" i="23"/>
  <c r="O13" i="23"/>
  <c r="O15" i="23"/>
  <c r="N19" i="29"/>
  <c r="C3" i="32"/>
  <c r="C2" i="32"/>
  <c r="C5" i="32"/>
  <c r="C1" i="32"/>
  <c r="T13" i="29"/>
  <c r="O12" i="23"/>
  <c r="J12" i="23"/>
  <c r="N12" i="28"/>
  <c r="N70" i="28"/>
  <c r="N83" i="28"/>
  <c r="N93" i="28"/>
  <c r="N72" i="28"/>
  <c r="N98" i="28"/>
  <c r="N103" i="28"/>
  <c r="N102" i="28"/>
  <c r="N45" i="28"/>
  <c r="Q15" i="28"/>
  <c r="N21" i="29"/>
  <c r="Q115" i="29"/>
  <c r="T115" i="29"/>
  <c r="L96" i="29"/>
  <c r="N96" i="29"/>
  <c r="N92" i="29"/>
  <c r="L113" i="29"/>
  <c r="C47" i="42"/>
  <c r="Q118" i="29"/>
  <c r="N80" i="28"/>
  <c r="C66" i="41"/>
  <c r="C65" i="41"/>
  <c r="N47" i="28"/>
  <c r="N74" i="28"/>
  <c r="C48" i="41"/>
  <c r="T102" i="28"/>
  <c r="C47" i="41"/>
  <c r="L34" i="28"/>
  <c r="C45" i="41"/>
  <c r="C46" i="41"/>
  <c r="L39" i="28"/>
  <c r="N127" i="23"/>
  <c r="N86" i="23"/>
  <c r="N93" i="23"/>
  <c r="N92" i="23"/>
  <c r="N70" i="23"/>
  <c r="C48" i="26"/>
  <c r="N73" i="23"/>
  <c r="L97" i="23"/>
  <c r="Q97" i="23"/>
  <c r="N51" i="23"/>
  <c r="N53" i="23"/>
  <c r="T51" i="23"/>
  <c r="N80" i="23"/>
  <c r="C46" i="26"/>
  <c r="C56" i="26"/>
  <c r="C53" i="26"/>
  <c r="Q70" i="23"/>
  <c r="T70" i="23" s="1"/>
  <c r="C47" i="26"/>
  <c r="L79" i="23"/>
  <c r="Q79" i="23" s="1"/>
  <c r="L20" i="23"/>
  <c r="C45" i="26"/>
  <c r="C55" i="26"/>
  <c r="C54" i="26"/>
  <c r="N128" i="23"/>
  <c r="Q128" i="23"/>
  <c r="T128" i="23" s="1"/>
  <c r="L128" i="29"/>
  <c r="N128" i="29"/>
  <c r="L125" i="23"/>
  <c r="N124" i="28"/>
  <c r="L122" i="29"/>
  <c r="L112" i="28"/>
  <c r="L114" i="23"/>
  <c r="N114" i="23"/>
  <c r="L123" i="28"/>
  <c r="N123" i="28"/>
  <c r="L117" i="23"/>
  <c r="L115" i="28"/>
  <c r="L118" i="23"/>
  <c r="N118" i="23" s="1"/>
  <c r="L120" i="23"/>
  <c r="N120" i="23"/>
  <c r="L124" i="29"/>
  <c r="L119" i="28"/>
  <c r="L113" i="23"/>
  <c r="L121" i="23"/>
  <c r="N121" i="23" s="1"/>
  <c r="L108" i="23"/>
  <c r="Q111" i="23"/>
  <c r="T111" i="23"/>
  <c r="C48" i="42"/>
  <c r="C46" i="42"/>
  <c r="C21" i="26"/>
  <c r="C13" i="41"/>
  <c r="C22" i="42"/>
  <c r="C24" i="41"/>
  <c r="L85" i="29"/>
  <c r="N82" i="29"/>
  <c r="L68" i="28"/>
  <c r="N68" i="28" s="1"/>
  <c r="L64" i="28"/>
  <c r="Q61" i="23"/>
  <c r="T61" i="23"/>
  <c r="Q59" i="23"/>
  <c r="T59" i="23"/>
  <c r="L63" i="29"/>
  <c r="N63" i="29"/>
  <c r="L60" i="29"/>
  <c r="Q68" i="23"/>
  <c r="T68" i="23" s="1"/>
  <c r="C23" i="42"/>
  <c r="C14" i="41"/>
  <c r="C15" i="41"/>
  <c r="C24" i="26"/>
  <c r="C21" i="42"/>
  <c r="C24" i="42"/>
  <c r="C22" i="26"/>
  <c r="C23" i="26"/>
  <c r="L37" i="29"/>
  <c r="L50" i="28"/>
  <c r="N50" i="28"/>
  <c r="L58" i="23"/>
  <c r="Q58" i="23" s="1"/>
  <c r="Q45" i="29"/>
  <c r="T45" i="29" s="1"/>
  <c r="L52" i="29"/>
  <c r="Q52" i="29" s="1"/>
  <c r="L34" i="23"/>
  <c r="Q56" i="23"/>
  <c r="N33" i="23"/>
  <c r="T29" i="29"/>
  <c r="Q31" i="29"/>
  <c r="N28" i="23"/>
  <c r="L25" i="23"/>
  <c r="Q25" i="23" s="1"/>
  <c r="L28" i="29"/>
  <c r="L11" i="28"/>
  <c r="L12" i="23"/>
  <c r="Q12" i="23" s="1"/>
  <c r="N11" i="23"/>
  <c r="Q96" i="29"/>
  <c r="T96" i="29" s="1"/>
  <c r="Q34" i="28"/>
  <c r="T79" i="23"/>
  <c r="C40" i="26"/>
  <c r="C37" i="26"/>
  <c r="C39" i="26"/>
  <c r="C38" i="26"/>
  <c r="N79" i="23"/>
  <c r="Q125" i="23"/>
  <c r="N125" i="23"/>
  <c r="Q128" i="29"/>
  <c r="T128" i="29" s="1"/>
  <c r="Q123" i="28"/>
  <c r="T123" i="28"/>
  <c r="Q113" i="23"/>
  <c r="T113" i="23"/>
  <c r="Q112" i="23"/>
  <c r="T112" i="23"/>
  <c r="Q119" i="28"/>
  <c r="Q124" i="29"/>
  <c r="Q118" i="23"/>
  <c r="N113" i="23"/>
  <c r="Q117" i="23"/>
  <c r="Q120" i="23"/>
  <c r="C21" i="41"/>
  <c r="C43" i="26"/>
  <c r="C42" i="26"/>
  <c r="C41" i="26"/>
  <c r="C44" i="26"/>
  <c r="C55" i="42"/>
  <c r="C54" i="42"/>
  <c r="C53" i="42"/>
  <c r="C56" i="42"/>
  <c r="C55" i="41"/>
  <c r="C53" i="41"/>
  <c r="C54" i="41"/>
  <c r="C56" i="41"/>
  <c r="C38" i="41"/>
  <c r="C40" i="41"/>
  <c r="C39" i="41"/>
  <c r="C37" i="41"/>
  <c r="C43" i="42"/>
  <c r="C44" i="42"/>
  <c r="C42" i="42"/>
  <c r="C41" i="42"/>
  <c r="C23" i="41"/>
  <c r="C22" i="41"/>
  <c r="C43" i="41"/>
  <c r="C41" i="41"/>
  <c r="C42" i="41"/>
  <c r="C44" i="41"/>
  <c r="C37" i="42"/>
  <c r="C40" i="42"/>
  <c r="C38" i="42"/>
  <c r="C39" i="42"/>
  <c r="C16" i="42"/>
  <c r="C15" i="42"/>
  <c r="C14" i="42"/>
  <c r="C13" i="42"/>
  <c r="Q85" i="29"/>
  <c r="N85" i="29"/>
  <c r="Q63" i="29"/>
  <c r="Q64" i="28"/>
  <c r="C14" i="26"/>
  <c r="C15" i="26"/>
  <c r="C13" i="26"/>
  <c r="C16" i="26"/>
  <c r="T57" i="29"/>
  <c r="Q34" i="23"/>
  <c r="Q37" i="29"/>
  <c r="N57" i="29"/>
  <c r="Q50" i="28"/>
  <c r="T50" i="28"/>
  <c r="T25" i="23"/>
  <c r="N25" i="23"/>
  <c r="T28" i="23"/>
  <c r="C1" i="41"/>
  <c r="T12" i="23"/>
  <c r="Q11" i="23"/>
  <c r="T11" i="23" s="1"/>
  <c r="Q29" i="23"/>
  <c r="L55" i="23"/>
  <c r="Q118" i="28"/>
  <c r="T118" i="28" s="1"/>
  <c r="N118" i="28"/>
  <c r="T54" i="23"/>
  <c r="N45" i="23"/>
  <c r="Q45" i="23"/>
  <c r="T45" i="23" s="1"/>
  <c r="Q53" i="28"/>
  <c r="T53" i="28" s="1"/>
  <c r="N53" i="28"/>
  <c r="T94" i="28"/>
  <c r="N94" i="28"/>
  <c r="T112" i="29"/>
  <c r="N112" i="29"/>
  <c r="Q44" i="23"/>
  <c r="T44" i="23"/>
  <c r="Q56" i="28"/>
  <c r="T56" i="28"/>
  <c r="N56" i="28"/>
  <c r="Q93" i="29"/>
  <c r="T93" i="29" s="1"/>
  <c r="N93" i="29"/>
  <c r="T40" i="23"/>
  <c r="N40" i="23"/>
  <c r="C68" i="42"/>
  <c r="C65" i="42"/>
  <c r="C67" i="42"/>
  <c r="Q87" i="23"/>
  <c r="N87" i="23"/>
  <c r="Q71" i="23"/>
  <c r="N71" i="23"/>
  <c r="Q33" i="28"/>
  <c r="N33" i="28"/>
  <c r="N75" i="28"/>
  <c r="Q75" i="28"/>
  <c r="Q11" i="29"/>
  <c r="T119" i="23"/>
  <c r="N119" i="23"/>
  <c r="N89" i="29"/>
  <c r="N122" i="23"/>
  <c r="Q85" i="28"/>
  <c r="T85" i="28" s="1"/>
  <c r="N85" i="28"/>
  <c r="Q119" i="29"/>
  <c r="N119" i="29"/>
  <c r="T119" i="29"/>
  <c r="L76" i="23"/>
  <c r="Q76" i="23" s="1"/>
  <c r="T120" i="28"/>
  <c r="N120" i="28"/>
  <c r="Q86" i="29"/>
  <c r="N86" i="29"/>
  <c r="T86" i="29"/>
  <c r="Q25" i="29"/>
  <c r="Q21" i="23"/>
  <c r="N18" i="29"/>
  <c r="Q42" i="28"/>
  <c r="T42" i="28"/>
  <c r="N42" i="28"/>
  <c r="Q33" i="29"/>
  <c r="T33" i="29" s="1"/>
  <c r="N33" i="29"/>
  <c r="Q116" i="28"/>
  <c r="Q126" i="23"/>
  <c r="T126" i="23" s="1"/>
  <c r="C67" i="26"/>
  <c r="C65" i="26"/>
  <c r="N81" i="23"/>
  <c r="Q46" i="28"/>
  <c r="T46" i="28"/>
  <c r="L35" i="28"/>
  <c r="C19" i="41" s="1"/>
  <c r="L120" i="29"/>
  <c r="Q120" i="29"/>
  <c r="N126" i="23"/>
  <c r="N16" i="28"/>
  <c r="O25" i="28"/>
  <c r="C13" i="25"/>
  <c r="C24" i="25"/>
  <c r="N49" i="23"/>
  <c r="C10" i="25"/>
  <c r="N47" i="23"/>
  <c r="Q55" i="28"/>
  <c r="T55" i="28"/>
  <c r="L101" i="23"/>
  <c r="N101" i="23"/>
  <c r="C26" i="26"/>
  <c r="N127" i="29"/>
  <c r="N32" i="28"/>
  <c r="O27" i="23"/>
  <c r="J27" i="23"/>
  <c r="C25" i="25"/>
  <c r="T49" i="23"/>
  <c r="N90" i="23"/>
  <c r="N122" i="28"/>
  <c r="Q55" i="23"/>
  <c r="T55" i="23" s="1"/>
  <c r="O21" i="23"/>
  <c r="C64" i="25"/>
  <c r="C63" i="25"/>
  <c r="L59" i="28"/>
  <c r="N59" i="28" s="1"/>
  <c r="L18" i="29"/>
  <c r="Q30" i="23"/>
  <c r="T30" i="23" s="1"/>
  <c r="T87" i="29"/>
  <c r="L105" i="23"/>
  <c r="N105" i="23"/>
  <c r="Q49" i="29"/>
  <c r="T49" i="29"/>
  <c r="N85" i="23"/>
  <c r="Q51" i="29"/>
  <c r="T51" i="29" s="1"/>
  <c r="N77" i="29"/>
  <c r="N66" i="28"/>
  <c r="N62" i="28"/>
  <c r="T16" i="28"/>
  <c r="J25" i="28"/>
  <c r="C22" i="25"/>
  <c r="T65" i="29"/>
  <c r="N60" i="23"/>
  <c r="N107" i="23"/>
  <c r="C65" i="25"/>
  <c r="N21" i="23"/>
  <c r="C23" i="25"/>
  <c r="T60" i="23"/>
  <c r="N116" i="29"/>
  <c r="O49" i="23"/>
  <c r="N35" i="29"/>
  <c r="N116" i="28"/>
  <c r="N52" i="23"/>
  <c r="N74" i="29"/>
  <c r="C14" i="25"/>
  <c r="C11" i="25"/>
  <c r="N65" i="29"/>
  <c r="T82" i="29"/>
  <c r="N106" i="28"/>
  <c r="N37" i="28"/>
  <c r="T56" i="29"/>
  <c r="N87" i="29"/>
  <c r="C21" i="25"/>
  <c r="C8" i="25"/>
  <c r="C9" i="25"/>
  <c r="N84" i="23"/>
  <c r="N52" i="29"/>
  <c r="T52" i="29"/>
  <c r="N60" i="29"/>
  <c r="Q60" i="29"/>
  <c r="T60" i="29" s="1"/>
  <c r="N64" i="28"/>
  <c r="T64" i="28"/>
  <c r="T117" i="23"/>
  <c r="Q27" i="29"/>
  <c r="T27" i="29" s="1"/>
  <c r="Q106" i="29"/>
  <c r="T106" i="29" s="1"/>
  <c r="N106" i="29"/>
  <c r="N41" i="23"/>
  <c r="T41" i="23"/>
  <c r="D4" i="27"/>
  <c r="D40" i="27"/>
  <c r="T31" i="29"/>
  <c r="N58" i="23"/>
  <c r="T58" i="23"/>
  <c r="N88" i="23"/>
  <c r="Q88" i="23"/>
  <c r="T88" i="23"/>
  <c r="T97" i="23"/>
  <c r="Q14" i="28"/>
  <c r="T14" i="28"/>
  <c r="Q126" i="29"/>
  <c r="T126" i="29" s="1"/>
  <c r="Q62" i="29"/>
  <c r="T62" i="29"/>
  <c r="Q23" i="29"/>
  <c r="T23" i="29" s="1"/>
  <c r="Q66" i="28"/>
  <c r="T66" i="28" s="1"/>
  <c r="Q111" i="28"/>
  <c r="T111" i="28" s="1"/>
  <c r="L77" i="28"/>
  <c r="N77" i="28" s="1"/>
  <c r="Q98" i="23"/>
  <c r="Q48" i="23"/>
  <c r="T48" i="23" s="1"/>
  <c r="N42" i="23"/>
  <c r="J103" i="23"/>
  <c r="C75" i="25"/>
  <c r="O103" i="23"/>
  <c r="C74" i="25"/>
  <c r="C71" i="25"/>
  <c r="O109" i="23"/>
  <c r="J109" i="23"/>
  <c r="L109" i="23" s="1"/>
  <c r="L69" i="28"/>
  <c r="N69" i="28"/>
  <c r="O63" i="28"/>
  <c r="J63" i="28"/>
  <c r="C32" i="32"/>
  <c r="C35" i="32"/>
  <c r="C33" i="32"/>
  <c r="C34" i="32"/>
  <c r="L81" i="28"/>
  <c r="Q81" i="28" s="1"/>
  <c r="N81" i="28"/>
  <c r="C37" i="32"/>
  <c r="C40" i="32"/>
  <c r="C39" i="32"/>
  <c r="J79" i="28"/>
  <c r="L79" i="28" s="1"/>
  <c r="C29" i="24" s="1"/>
  <c r="D29" i="24" s="1"/>
  <c r="C38" i="32"/>
  <c r="O100" i="28"/>
  <c r="C64" i="32"/>
  <c r="C65" i="32"/>
  <c r="C63" i="32"/>
  <c r="C62" i="32"/>
  <c r="J100" i="28"/>
  <c r="N100" i="28" s="1"/>
  <c r="C68" i="41"/>
  <c r="Q127" i="28"/>
  <c r="T127" i="28"/>
  <c r="C67" i="41"/>
  <c r="L43" i="29"/>
  <c r="N43" i="29" s="1"/>
  <c r="J41" i="29"/>
  <c r="O41" i="29"/>
  <c r="L38" i="29"/>
  <c r="Q38" i="29" s="1"/>
  <c r="O67" i="29"/>
  <c r="J67" i="29"/>
  <c r="J61" i="29"/>
  <c r="L61" i="29" s="1"/>
  <c r="C32" i="33"/>
  <c r="C35" i="33"/>
  <c r="C40" i="33"/>
  <c r="C38" i="33"/>
  <c r="O71" i="29"/>
  <c r="C36" i="33"/>
  <c r="O81" i="29"/>
  <c r="J81" i="29"/>
  <c r="L84" i="29"/>
  <c r="Q84" i="29" s="1"/>
  <c r="J109" i="29"/>
  <c r="C72" i="33"/>
  <c r="C73" i="33"/>
  <c r="C75" i="33"/>
  <c r="C74" i="33"/>
  <c r="O57" i="23"/>
  <c r="J57" i="23"/>
  <c r="T29" i="23"/>
  <c r="Q64" i="23"/>
  <c r="T64" i="23"/>
  <c r="T42" i="23"/>
  <c r="N78" i="28"/>
  <c r="N62" i="29"/>
  <c r="N111" i="28"/>
  <c r="T21" i="29"/>
  <c r="T13" i="23"/>
  <c r="C25" i="33"/>
  <c r="C34" i="33"/>
  <c r="T86" i="23"/>
  <c r="Q106" i="23"/>
  <c r="T106" i="23"/>
  <c r="Q105" i="23"/>
  <c r="T105" i="23"/>
  <c r="Q93" i="23"/>
  <c r="T93" i="23"/>
  <c r="L74" i="23"/>
  <c r="N74" i="23"/>
  <c r="N37" i="23"/>
  <c r="Q88" i="28"/>
  <c r="T70" i="28"/>
  <c r="T102" i="23"/>
  <c r="N102" i="23"/>
  <c r="N40" i="28"/>
  <c r="T40" i="28"/>
  <c r="N76" i="29"/>
  <c r="T76" i="29"/>
  <c r="L83" i="29"/>
  <c r="C35" i="42" s="1"/>
  <c r="N83" i="29"/>
  <c r="T90" i="29"/>
  <c r="N94" i="29"/>
  <c r="Q94" i="29"/>
  <c r="T94" i="29"/>
  <c r="L99" i="29"/>
  <c r="N99" i="29"/>
  <c r="Q102" i="29"/>
  <c r="T102" i="29"/>
  <c r="N102" i="29"/>
  <c r="J23" i="28"/>
  <c r="L23" i="28" s="1"/>
  <c r="C8" i="32"/>
  <c r="C9" i="32"/>
  <c r="C7" i="32"/>
  <c r="O23" i="28"/>
  <c r="C6" i="32"/>
  <c r="L14" i="29"/>
  <c r="O24" i="29"/>
  <c r="C10" i="33"/>
  <c r="J24" i="29"/>
  <c r="C7" i="33"/>
  <c r="C8" i="33"/>
  <c r="N117" i="23"/>
  <c r="Q114" i="23"/>
  <c r="T114" i="23"/>
  <c r="Q20" i="23"/>
  <c r="T20" i="23" s="1"/>
  <c r="N97" i="23"/>
  <c r="N20" i="23"/>
  <c r="Q15" i="29"/>
  <c r="T15" i="29" s="1"/>
  <c r="T37" i="23"/>
  <c r="C28" i="26"/>
  <c r="N23" i="23"/>
  <c r="T82" i="28"/>
  <c r="N82" i="28"/>
  <c r="T74" i="29"/>
  <c r="N23" i="29"/>
  <c r="N126" i="29"/>
  <c r="N18" i="28"/>
  <c r="N87" i="28"/>
  <c r="T26" i="23"/>
  <c r="T33" i="28"/>
  <c r="N48" i="23"/>
  <c r="C31" i="33"/>
  <c r="C33" i="33"/>
  <c r="T89" i="29"/>
  <c r="C71" i="33"/>
  <c r="N54" i="23"/>
  <c r="T83" i="23"/>
  <c r="Q66" i="23"/>
  <c r="T66" i="23" s="1"/>
  <c r="L16" i="23"/>
  <c r="N16" i="23"/>
  <c r="T127" i="23"/>
  <c r="T60" i="28"/>
  <c r="Q103" i="28"/>
  <c r="T103" i="28" s="1"/>
  <c r="Q12" i="29"/>
  <c r="T12" i="29" s="1"/>
  <c r="C37" i="33"/>
  <c r="Q111" i="29"/>
  <c r="T111" i="29" s="1"/>
  <c r="C39" i="33"/>
  <c r="J71" i="29"/>
  <c r="L71" i="29" s="1"/>
  <c r="Q83" i="28"/>
  <c r="T83" i="28" s="1"/>
  <c r="N97" i="28"/>
  <c r="Q48" i="28"/>
  <c r="T48" i="28"/>
  <c r="T109" i="28"/>
  <c r="T128" i="28"/>
  <c r="N128" i="28"/>
  <c r="N39" i="28"/>
  <c r="C25" i="26"/>
  <c r="N88" i="29"/>
  <c r="N29" i="23"/>
  <c r="N90" i="28"/>
  <c r="T92" i="28"/>
  <c r="T78" i="28"/>
  <c r="N92" i="28"/>
  <c r="N24" i="28"/>
  <c r="T18" i="28"/>
  <c r="C21" i="33"/>
  <c r="O61" i="29"/>
  <c r="N65" i="28"/>
  <c r="T88" i="29"/>
  <c r="Q90" i="28"/>
  <c r="T90" i="28" s="1"/>
  <c r="C73" i="25"/>
  <c r="L108" i="29"/>
  <c r="N108" i="29" s="1"/>
  <c r="Q117" i="29"/>
  <c r="T117" i="29"/>
  <c r="T52" i="23"/>
  <c r="Q23" i="23"/>
  <c r="T23" i="23" s="1"/>
  <c r="Q87" i="28"/>
  <c r="T87" i="28"/>
  <c r="Q45" i="28"/>
  <c r="T45" i="28" s="1"/>
  <c r="Q98" i="28"/>
  <c r="T98" i="28" s="1"/>
  <c r="Q49" i="28"/>
  <c r="T49" i="28" s="1"/>
  <c r="Q127" i="29"/>
  <c r="T127" i="29" s="1"/>
  <c r="Q62" i="28"/>
  <c r="T62" i="28" s="1"/>
  <c r="Q24" i="28"/>
  <c r="T24" i="28"/>
  <c r="T116" i="29"/>
  <c r="T39" i="23"/>
  <c r="N106" i="23"/>
  <c r="T44" i="28"/>
  <c r="Q46" i="29"/>
  <c r="T46" i="29" s="1"/>
  <c r="L50" i="29"/>
  <c r="N50" i="29"/>
  <c r="N127" i="28"/>
  <c r="L80" i="29"/>
  <c r="L64" i="29"/>
  <c r="N64" i="29"/>
  <c r="J57" i="28"/>
  <c r="L57" i="28" s="1"/>
  <c r="O57" i="28"/>
  <c r="Q35" i="28"/>
  <c r="T35" i="28"/>
  <c r="Q101" i="23"/>
  <c r="T101" i="23"/>
  <c r="L27" i="23"/>
  <c r="N55" i="23"/>
  <c r="T76" i="23"/>
  <c r="L25" i="28"/>
  <c r="N25" i="28" s="1"/>
  <c r="Q59" i="28"/>
  <c r="T59" i="28" s="1"/>
  <c r="N35" i="28"/>
  <c r="Q64" i="29"/>
  <c r="T64" i="29" s="1"/>
  <c r="Q74" i="23"/>
  <c r="T74" i="23"/>
  <c r="L57" i="23"/>
  <c r="N57" i="23"/>
  <c r="T84" i="29"/>
  <c r="L100" i="28"/>
  <c r="T81" i="28"/>
  <c r="Q69" i="28"/>
  <c r="T69" i="28" s="1"/>
  <c r="Q16" i="23"/>
  <c r="Q99" i="29"/>
  <c r="T99" i="29"/>
  <c r="L81" i="29"/>
  <c r="Q81" i="29" s="1"/>
  <c r="L41" i="29"/>
  <c r="Q41" i="29" s="1"/>
  <c r="L63" i="28"/>
  <c r="N63" i="28"/>
  <c r="L103" i="23"/>
  <c r="L24" i="29"/>
  <c r="N24" i="29" s="1"/>
  <c r="Q14" i="29"/>
  <c r="C2" i="42"/>
  <c r="C4" i="42"/>
  <c r="C1" i="42"/>
  <c r="Q83" i="29"/>
  <c r="T83" i="29"/>
  <c r="C33" i="42"/>
  <c r="C36" i="42"/>
  <c r="C34" i="42"/>
  <c r="L109" i="29"/>
  <c r="Q109" i="29" s="1"/>
  <c r="L67" i="29"/>
  <c r="Q67" i="29" s="1"/>
  <c r="Q50" i="29"/>
  <c r="T50" i="29" s="1"/>
  <c r="Q43" i="29"/>
  <c r="Q25" i="28"/>
  <c r="T25" i="28" s="1"/>
  <c r="N27" i="23"/>
  <c r="Q109" i="23"/>
  <c r="T109" i="23"/>
  <c r="T109" i="29"/>
  <c r="C60" i="42"/>
  <c r="C59" i="42"/>
  <c r="Q79" i="28"/>
  <c r="T79" i="28"/>
  <c r="D32" i="37"/>
  <c r="C28" i="24"/>
  <c r="D28" i="24" s="1"/>
  <c r="C30" i="24"/>
  <c r="D30" i="24"/>
  <c r="C31" i="24"/>
  <c r="D31" i="24" s="1"/>
  <c r="D48" i="37"/>
  <c r="D24" i="37"/>
  <c r="D16" i="37"/>
  <c r="D44" i="37"/>
  <c r="D40" i="37"/>
  <c r="D20" i="37"/>
  <c r="D4" i="37"/>
  <c r="D36" i="37"/>
  <c r="N79" i="28"/>
  <c r="N109" i="23"/>
  <c r="Q63" i="28"/>
  <c r="T63" i="28"/>
  <c r="C25" i="41"/>
  <c r="C27" i="41"/>
  <c r="C26" i="41"/>
  <c r="C28" i="41"/>
  <c r="N81" i="29"/>
  <c r="C58" i="42"/>
  <c r="Q100" i="28"/>
  <c r="T100" i="28"/>
  <c r="Q57" i="23"/>
  <c r="T57" i="23" s="1"/>
  <c r="C27" i="42" l="1"/>
  <c r="C26" i="42"/>
  <c r="C28" i="42"/>
  <c r="Q61" i="29"/>
  <c r="C25" i="42"/>
  <c r="T61" i="29"/>
  <c r="Q57" i="28"/>
  <c r="T57" i="28" s="1"/>
  <c r="N71" i="29"/>
  <c r="Q71" i="29"/>
  <c r="T71" i="29"/>
  <c r="C7" i="41"/>
  <c r="Q23" i="28"/>
  <c r="T23" i="28" s="1"/>
  <c r="C6" i="41"/>
  <c r="C5" i="41"/>
  <c r="C8" i="41"/>
  <c r="N23" i="28"/>
  <c r="Q103" i="23"/>
  <c r="Q27" i="23"/>
  <c r="T27" i="23" s="1"/>
  <c r="C9" i="26"/>
  <c r="C3" i="41"/>
  <c r="C2" i="41"/>
  <c r="Q11" i="28"/>
  <c r="N34" i="23"/>
  <c r="T34" i="23"/>
  <c r="Q115" i="28"/>
  <c r="T115" i="28" s="1"/>
  <c r="N115" i="28"/>
  <c r="C20" i="41"/>
  <c r="Q10" i="23"/>
  <c r="Q122" i="23"/>
  <c r="T122" i="23" s="1"/>
  <c r="Q124" i="23"/>
  <c r="T124" i="23" s="1"/>
  <c r="L15" i="23"/>
  <c r="N15" i="23" s="1"/>
  <c r="S29" i="28"/>
  <c r="Q67" i="28"/>
  <c r="N67" i="28"/>
  <c r="L71" i="28"/>
  <c r="L50" i="23"/>
  <c r="N50" i="23" s="1"/>
  <c r="L72" i="23"/>
  <c r="C44" i="25"/>
  <c r="O91" i="23"/>
  <c r="C45" i="25"/>
  <c r="C43" i="25"/>
  <c r="C42" i="25"/>
  <c r="C41" i="25"/>
  <c r="J91" i="23"/>
  <c r="J110" i="23"/>
  <c r="O110" i="23"/>
  <c r="N115" i="23"/>
  <c r="Q115" i="23"/>
  <c r="T115" i="23" s="1"/>
  <c r="C64" i="26"/>
  <c r="C61" i="26"/>
  <c r="L101" i="28"/>
  <c r="O107" i="28"/>
  <c r="C73" i="32"/>
  <c r="J108" i="28"/>
  <c r="C71" i="32"/>
  <c r="J107" i="28"/>
  <c r="C72" i="32"/>
  <c r="C74" i="32"/>
  <c r="S11" i="29"/>
  <c r="J34" i="29"/>
  <c r="O34" i="29"/>
  <c r="C22" i="33"/>
  <c r="C24" i="33"/>
  <c r="O53" i="29"/>
  <c r="J53" i="29"/>
  <c r="J44" i="29"/>
  <c r="O44" i="29"/>
  <c r="T81" i="29"/>
  <c r="T38" i="29"/>
  <c r="T16" i="23"/>
  <c r="Q121" i="23"/>
  <c r="T121" i="23" s="1"/>
  <c r="D24" i="27"/>
  <c r="C4" i="41"/>
  <c r="N28" i="29"/>
  <c r="C9" i="42"/>
  <c r="L86" i="28"/>
  <c r="N86" i="28"/>
  <c r="C75" i="32"/>
  <c r="Q100" i="23"/>
  <c r="T100" i="23"/>
  <c r="N100" i="23"/>
  <c r="Q95" i="23"/>
  <c r="T95" i="23" s="1"/>
  <c r="N95" i="23"/>
  <c r="L46" i="23"/>
  <c r="N46" i="23" s="1"/>
  <c r="N88" i="28"/>
  <c r="T88" i="28"/>
  <c r="L100" i="29"/>
  <c r="N100" i="29" s="1"/>
  <c r="Q97" i="29"/>
  <c r="T97" i="29" s="1"/>
  <c r="N97" i="29"/>
  <c r="Q21" i="28"/>
  <c r="T21" i="28" s="1"/>
  <c r="N21" i="28"/>
  <c r="L89" i="28"/>
  <c r="N89" i="28"/>
  <c r="T98" i="23"/>
  <c r="N98" i="23"/>
  <c r="S15" i="23"/>
  <c r="C10" i="24"/>
  <c r="D10" i="24" s="1"/>
  <c r="D36" i="27"/>
  <c r="D12" i="27"/>
  <c r="C12" i="24"/>
  <c r="D12" i="24" s="1"/>
  <c r="L17" i="23"/>
  <c r="N17" i="23" s="1"/>
  <c r="C11" i="26"/>
  <c r="N109" i="29"/>
  <c r="D12" i="37"/>
  <c r="D28" i="37"/>
  <c r="D8" i="37"/>
  <c r="T67" i="29"/>
  <c r="T41" i="29"/>
  <c r="C10" i="26"/>
  <c r="N103" i="23"/>
  <c r="N61" i="29"/>
  <c r="N57" i="28"/>
  <c r="C17" i="41"/>
  <c r="N14" i="29"/>
  <c r="T14" i="29"/>
  <c r="C63" i="26"/>
  <c r="N84" i="29"/>
  <c r="C23" i="33"/>
  <c r="C72" i="25"/>
  <c r="D44" i="27"/>
  <c r="N10" i="23"/>
  <c r="C61" i="41"/>
  <c r="T67" i="28"/>
  <c r="C64" i="41"/>
  <c r="C11" i="24"/>
  <c r="D11" i="24" s="1"/>
  <c r="T31" i="23"/>
  <c r="N11" i="28"/>
  <c r="T37" i="29"/>
  <c r="L121" i="29"/>
  <c r="N121" i="29" s="1"/>
  <c r="T120" i="23"/>
  <c r="C63" i="41"/>
  <c r="N112" i="28"/>
  <c r="Q112" i="28"/>
  <c r="T112" i="28" s="1"/>
  <c r="C62" i="41"/>
  <c r="N15" i="28"/>
  <c r="T15" i="28"/>
  <c r="T118" i="29"/>
  <c r="N118" i="29"/>
  <c r="Q24" i="29"/>
  <c r="T24" i="29" s="1"/>
  <c r="T103" i="23"/>
  <c r="N67" i="29"/>
  <c r="C12" i="26"/>
  <c r="T43" i="29"/>
  <c r="Q77" i="28"/>
  <c r="T77" i="28" s="1"/>
  <c r="D48" i="27"/>
  <c r="N80" i="29"/>
  <c r="Q80" i="29"/>
  <c r="T80" i="29" s="1"/>
  <c r="Q32" i="23"/>
  <c r="T32" i="23" s="1"/>
  <c r="Q108" i="29"/>
  <c r="T108" i="29" s="1"/>
  <c r="C57" i="42"/>
  <c r="C62" i="26"/>
  <c r="N38" i="29"/>
  <c r="N41" i="29"/>
  <c r="D20" i="27"/>
  <c r="T10" i="23"/>
  <c r="Q18" i="29"/>
  <c r="T18" i="29" s="1"/>
  <c r="C12" i="42"/>
  <c r="N124" i="23"/>
  <c r="T11" i="28"/>
  <c r="N31" i="23"/>
  <c r="Q28" i="29"/>
  <c r="T28" i="29" s="1"/>
  <c r="N108" i="23"/>
  <c r="Q108" i="23"/>
  <c r="T108" i="23" s="1"/>
  <c r="N119" i="28"/>
  <c r="T119" i="28"/>
  <c r="Q113" i="29"/>
  <c r="T113" i="29" s="1"/>
  <c r="N113" i="29"/>
  <c r="N62" i="23"/>
  <c r="Q62" i="23"/>
  <c r="T62" i="23" s="1"/>
  <c r="C27" i="26"/>
  <c r="Q67" i="23"/>
  <c r="T67" i="23" s="1"/>
  <c r="N67" i="23"/>
  <c r="L55" i="29"/>
  <c r="C33" i="41"/>
  <c r="T11" i="29"/>
  <c r="N29" i="29"/>
  <c r="T34" i="28"/>
  <c r="T56" i="23"/>
  <c r="N122" i="29"/>
  <c r="Q122" i="29"/>
  <c r="T122" i="29" s="1"/>
  <c r="T125" i="23"/>
  <c r="C68" i="26"/>
  <c r="Q39" i="28"/>
  <c r="T39" i="28" s="1"/>
  <c r="N34" i="28"/>
  <c r="T33" i="23"/>
  <c r="N37" i="29"/>
  <c r="N56" i="29"/>
  <c r="T116" i="28"/>
  <c r="T87" i="23"/>
  <c r="L22" i="23"/>
  <c r="N22" i="23"/>
  <c r="L89" i="23"/>
  <c r="T92" i="23"/>
  <c r="Q101" i="29"/>
  <c r="T101" i="29" s="1"/>
  <c r="L78" i="29"/>
  <c r="C31" i="42" s="1"/>
  <c r="Q19" i="23"/>
  <c r="T19" i="23"/>
  <c r="C10" i="42"/>
  <c r="Q82" i="23"/>
  <c r="N82" i="23"/>
  <c r="L35" i="23"/>
  <c r="C19" i="26" s="1"/>
  <c r="N76" i="23"/>
  <c r="Q80" i="23"/>
  <c r="T80" i="23" s="1"/>
  <c r="L99" i="23"/>
  <c r="N99" i="23"/>
  <c r="T75" i="28"/>
  <c r="L26" i="28"/>
  <c r="C26" i="24" s="1"/>
  <c r="D26" i="24" s="1"/>
  <c r="L18" i="23"/>
  <c r="N18" i="23"/>
  <c r="Q14" i="23"/>
  <c r="T14" i="23" s="1"/>
  <c r="Q95" i="29"/>
  <c r="T95" i="29"/>
  <c r="N95" i="29"/>
  <c r="C3" i="42"/>
  <c r="C18" i="41"/>
  <c r="N27" i="29"/>
  <c r="N13" i="23"/>
  <c r="D16" i="27"/>
  <c r="D28" i="27"/>
  <c r="D32" i="27"/>
  <c r="C11" i="42"/>
  <c r="T82" i="23"/>
  <c r="N14" i="23"/>
  <c r="Q48" i="29"/>
  <c r="T48" i="29" s="1"/>
  <c r="N60" i="28"/>
  <c r="T72" i="28"/>
  <c r="T120" i="29"/>
  <c r="Q81" i="23"/>
  <c r="T81" i="23" s="1"/>
  <c r="C66" i="26"/>
  <c r="T25" i="29"/>
  <c r="Q20" i="28"/>
  <c r="T20" i="28" s="1"/>
  <c r="N120" i="29"/>
  <c r="C13" i="24"/>
  <c r="D13" i="24" s="1"/>
  <c r="Q68" i="28"/>
  <c r="T68" i="28" s="1"/>
  <c r="T118" i="23"/>
  <c r="T63" i="29"/>
  <c r="T85" i="29"/>
  <c r="N124" i="29"/>
  <c r="T124" i="29"/>
  <c r="Q121" i="28"/>
  <c r="T121" i="28" s="1"/>
  <c r="N66" i="23"/>
  <c r="Q47" i="23"/>
  <c r="T47" i="23" s="1"/>
  <c r="N14" i="28"/>
  <c r="N12" i="23"/>
  <c r="T13" i="28"/>
  <c r="N25" i="29"/>
  <c r="N113" i="28"/>
  <c r="Q113" i="28"/>
  <c r="T113" i="28"/>
  <c r="T71" i="23"/>
  <c r="C36" i="41"/>
  <c r="S10" i="23"/>
  <c r="D10" i="27"/>
  <c r="Q10" i="29"/>
  <c r="T10" i="29" s="1"/>
  <c r="N9" i="23"/>
  <c r="T17" i="28"/>
  <c r="Q24" i="23"/>
  <c r="T24" i="23" s="1"/>
  <c r="L94" i="23"/>
  <c r="N94" i="23"/>
  <c r="N10" i="28"/>
  <c r="C12" i="32"/>
  <c r="N22" i="29"/>
  <c r="C7" i="25"/>
  <c r="O23" i="23"/>
  <c r="L22" i="29"/>
  <c r="O25" i="23"/>
  <c r="C15" i="25"/>
  <c r="T90" i="23"/>
  <c r="Q37" i="28"/>
  <c r="T37" i="28"/>
  <c r="L76" i="28"/>
  <c r="D6" i="37" s="1"/>
  <c r="N76" i="28"/>
  <c r="N43" i="28"/>
  <c r="Q106" i="28"/>
  <c r="T106" i="28"/>
  <c r="T39" i="29"/>
  <c r="T35" i="29"/>
  <c r="J58" i="29"/>
  <c r="O58" i="29"/>
  <c r="T77" i="29"/>
  <c r="Q89" i="23" l="1"/>
  <c r="T89" i="23"/>
  <c r="D12" i="38"/>
  <c r="D28" i="38"/>
  <c r="C47" i="24"/>
  <c r="D47" i="24" s="1"/>
  <c r="D36" i="38"/>
  <c r="C46" i="24"/>
  <c r="D46" i="24" s="1"/>
  <c r="D32" i="38"/>
  <c r="D4" i="38"/>
  <c r="C48" i="24"/>
  <c r="D48" i="24" s="1"/>
  <c r="D24" i="38"/>
  <c r="D44" i="38"/>
  <c r="D16" i="38"/>
  <c r="Q55" i="29"/>
  <c r="T55" i="29" s="1"/>
  <c r="D48" i="38"/>
  <c r="D20" i="38"/>
  <c r="L58" i="29"/>
  <c r="N58" i="29" s="1"/>
  <c r="Q94" i="23"/>
  <c r="T94" i="23" s="1"/>
  <c r="C52" i="26"/>
  <c r="C49" i="26"/>
  <c r="C50" i="26"/>
  <c r="D46" i="37"/>
  <c r="D42" i="27"/>
  <c r="C9" i="41"/>
  <c r="C4" i="24"/>
  <c r="D4" i="24" s="1"/>
  <c r="D18" i="27"/>
  <c r="C51" i="42"/>
  <c r="L44" i="29"/>
  <c r="N44" i="29"/>
  <c r="L108" i="28"/>
  <c r="C50" i="41"/>
  <c r="C52" i="41"/>
  <c r="C49" i="41"/>
  <c r="Q101" i="28"/>
  <c r="T101" i="28" s="1"/>
  <c r="C51" i="41"/>
  <c r="L91" i="23"/>
  <c r="N91" i="23" s="1"/>
  <c r="Q72" i="23"/>
  <c r="T72" i="23"/>
  <c r="C31" i="26"/>
  <c r="C30" i="26"/>
  <c r="C32" i="26"/>
  <c r="C29" i="26"/>
  <c r="C29" i="41"/>
  <c r="C31" i="41"/>
  <c r="Q71" i="28"/>
  <c r="D34" i="37"/>
  <c r="D38" i="37"/>
  <c r="C23" i="24"/>
  <c r="D23" i="24" s="1"/>
  <c r="T71" i="28"/>
  <c r="D18" i="37"/>
  <c r="D14" i="37"/>
  <c r="C30" i="41"/>
  <c r="C32" i="41"/>
  <c r="D26" i="37"/>
  <c r="D22" i="27"/>
  <c r="D27" i="37"/>
  <c r="D15" i="37"/>
  <c r="D11" i="37"/>
  <c r="Q76" i="28"/>
  <c r="T76" i="28" s="1"/>
  <c r="C51" i="26"/>
  <c r="Q18" i="23"/>
  <c r="T18" i="23" s="1"/>
  <c r="Q22" i="29"/>
  <c r="T22" i="29"/>
  <c r="D43" i="38"/>
  <c r="D11" i="38"/>
  <c r="C6" i="42"/>
  <c r="C8" i="42"/>
  <c r="D19" i="38"/>
  <c r="D35" i="38"/>
  <c r="D47" i="38"/>
  <c r="C43" i="24"/>
  <c r="D43" i="24" s="1"/>
  <c r="D27" i="38"/>
  <c r="C44" i="24"/>
  <c r="D44" i="24" s="1"/>
  <c r="D31" i="38"/>
  <c r="D23" i="38"/>
  <c r="D39" i="38"/>
  <c r="C7" i="42"/>
  <c r="D15" i="38"/>
  <c r="D3" i="38"/>
  <c r="D7" i="38"/>
  <c r="C5" i="42"/>
  <c r="C45" i="24"/>
  <c r="D45" i="24" s="1"/>
  <c r="C42" i="24"/>
  <c r="D42" i="24" s="1"/>
  <c r="N26" i="28"/>
  <c r="Q99" i="23"/>
  <c r="T99" i="23" s="1"/>
  <c r="N35" i="23"/>
  <c r="N78" i="29"/>
  <c r="C8" i="26"/>
  <c r="Q22" i="23"/>
  <c r="T22" i="23"/>
  <c r="C7" i="26"/>
  <c r="C6" i="26"/>
  <c r="C5" i="26"/>
  <c r="D42" i="37"/>
  <c r="D2" i="37"/>
  <c r="C2" i="26"/>
  <c r="D46" i="27"/>
  <c r="Q89" i="28"/>
  <c r="T89" i="28" s="1"/>
  <c r="C49" i="42"/>
  <c r="L53" i="29"/>
  <c r="N53" i="29"/>
  <c r="C21" i="24"/>
  <c r="Q15" i="23"/>
  <c r="T15" i="23" s="1"/>
  <c r="C4" i="26"/>
  <c r="C1" i="26"/>
  <c r="C25" i="24"/>
  <c r="D25" i="24" s="1"/>
  <c r="D3" i="37"/>
  <c r="C24" i="24"/>
  <c r="D24" i="24" s="1"/>
  <c r="Q26" i="28"/>
  <c r="C10" i="41"/>
  <c r="C12" i="41"/>
  <c r="T26" i="28"/>
  <c r="C11" i="41"/>
  <c r="Q35" i="23"/>
  <c r="T35" i="23"/>
  <c r="C17" i="26"/>
  <c r="D14" i="27"/>
  <c r="C20" i="26"/>
  <c r="C5" i="24"/>
  <c r="D5" i="24" s="1"/>
  <c r="C18" i="26"/>
  <c r="C3" i="24"/>
  <c r="Q78" i="29"/>
  <c r="T78" i="29" s="1"/>
  <c r="N89" i="23"/>
  <c r="N55" i="29"/>
  <c r="D38" i="27"/>
  <c r="D10" i="37"/>
  <c r="D6" i="27"/>
  <c r="C3" i="26"/>
  <c r="C22" i="24"/>
  <c r="D22" i="24" s="1"/>
  <c r="T17" i="23"/>
  <c r="Q17" i="23"/>
  <c r="C6" i="24"/>
  <c r="D6" i="24" s="1"/>
  <c r="D19" i="27"/>
  <c r="D23" i="27"/>
  <c r="D7" i="27"/>
  <c r="C7" i="24"/>
  <c r="D7" i="24" s="1"/>
  <c r="D3" i="27"/>
  <c r="D27" i="27"/>
  <c r="D11" i="27"/>
  <c r="D43" i="27"/>
  <c r="C8" i="24"/>
  <c r="D8" i="24" s="1"/>
  <c r="D47" i="27"/>
  <c r="D39" i="27"/>
  <c r="D31" i="27"/>
  <c r="D15" i="27"/>
  <c r="C9" i="24"/>
  <c r="D9" i="24" s="1"/>
  <c r="D35" i="27"/>
  <c r="Q100" i="29"/>
  <c r="T100" i="29"/>
  <c r="C52" i="42"/>
  <c r="C50" i="42"/>
  <c r="Q46" i="23"/>
  <c r="T46" i="23"/>
  <c r="L34" i="29"/>
  <c r="C49" i="24"/>
  <c r="D49" i="24" s="1"/>
  <c r="D40" i="38"/>
  <c r="L107" i="28"/>
  <c r="C33" i="24" s="1"/>
  <c r="D33" i="24" s="1"/>
  <c r="Q50" i="23"/>
  <c r="T50" i="23"/>
  <c r="D30" i="37"/>
  <c r="D2" i="27"/>
  <c r="D31" i="37"/>
  <c r="D39" i="37"/>
  <c r="D7" i="37"/>
  <c r="C27" i="24"/>
  <c r="D27" i="24" s="1"/>
  <c r="D19" i="37"/>
  <c r="C30" i="42"/>
  <c r="C29" i="42"/>
  <c r="C2" i="24"/>
  <c r="D2" i="24" s="1"/>
  <c r="D22" i="37"/>
  <c r="Q121" i="29"/>
  <c r="T121" i="29"/>
  <c r="C64" i="42"/>
  <c r="C62" i="42"/>
  <c r="C61" i="42"/>
  <c r="C63" i="42"/>
  <c r="D26" i="27"/>
  <c r="D30" i="27"/>
  <c r="C35" i="41"/>
  <c r="Q86" i="28"/>
  <c r="T86" i="28" s="1"/>
  <c r="C34" i="41"/>
  <c r="D8" i="38"/>
  <c r="N101" i="28"/>
  <c r="L110" i="23"/>
  <c r="C14" i="24" s="1"/>
  <c r="D14" i="24" s="1"/>
  <c r="N110" i="23"/>
  <c r="N72" i="23"/>
  <c r="N71" i="28"/>
  <c r="C20" i="24"/>
  <c r="D20" i="24" s="1"/>
  <c r="D34" i="27"/>
  <c r="D43" i="37"/>
  <c r="D47" i="37"/>
  <c r="D23" i="37"/>
  <c r="D35" i="37"/>
  <c r="C32" i="42"/>
  <c r="D13" i="27" l="1"/>
  <c r="D45" i="27"/>
  <c r="D29" i="27"/>
  <c r="D21" i="24"/>
  <c r="G21" i="24"/>
  <c r="G22" i="24" s="1"/>
  <c r="G23" i="24"/>
  <c r="G20" i="24"/>
  <c r="F27" i="24" s="1"/>
  <c r="D37" i="37"/>
  <c r="D33" i="37"/>
  <c r="T108" i="28"/>
  <c r="Q108" i="28"/>
  <c r="C33" i="26"/>
  <c r="C59" i="41"/>
  <c r="C57" i="41"/>
  <c r="C58" i="41"/>
  <c r="Q107" i="28"/>
  <c r="T107" i="28" s="1"/>
  <c r="D5" i="37"/>
  <c r="D21" i="37"/>
  <c r="D25" i="37"/>
  <c r="D17" i="37"/>
  <c r="C35" i="24"/>
  <c r="D35" i="24" s="1"/>
  <c r="C32" i="24"/>
  <c r="D32" i="24" s="1"/>
  <c r="D45" i="37"/>
  <c r="C60" i="41"/>
  <c r="Q34" i="29"/>
  <c r="C18" i="42"/>
  <c r="D33" i="38"/>
  <c r="D37" i="38"/>
  <c r="C19" i="42"/>
  <c r="C50" i="24"/>
  <c r="D50" i="24" s="1"/>
  <c r="D41" i="38"/>
  <c r="C52" i="24"/>
  <c r="D52" i="24" s="1"/>
  <c r="D9" i="38"/>
  <c r="D13" i="38"/>
  <c r="C17" i="42"/>
  <c r="D21" i="38"/>
  <c r="D49" i="38"/>
  <c r="C53" i="24"/>
  <c r="D53" i="24" s="1"/>
  <c r="D29" i="38"/>
  <c r="C51" i="24"/>
  <c r="D51" i="24" s="1"/>
  <c r="D17" i="38"/>
  <c r="T34" i="29"/>
  <c r="D5" i="38"/>
  <c r="D45" i="38"/>
  <c r="C20" i="42"/>
  <c r="D25" i="38"/>
  <c r="D37" i="27"/>
  <c r="D41" i="27"/>
  <c r="D17" i="27"/>
  <c r="D5" i="27"/>
  <c r="D41" i="37"/>
  <c r="D29" i="37"/>
  <c r="C34" i="26"/>
  <c r="G2" i="24"/>
  <c r="G5" i="24"/>
  <c r="D3" i="24"/>
  <c r="D25" i="27"/>
  <c r="D33" i="27"/>
  <c r="C16" i="24"/>
  <c r="D16" i="24" s="1"/>
  <c r="Q53" i="29"/>
  <c r="T53" i="29"/>
  <c r="D49" i="37"/>
  <c r="D9" i="37"/>
  <c r="Q44" i="29"/>
  <c r="T44" i="29"/>
  <c r="C40" i="24"/>
  <c r="D40" i="24" s="1"/>
  <c r="D6" i="38"/>
  <c r="D38" i="38"/>
  <c r="D30" i="38"/>
  <c r="D34" i="38"/>
  <c r="D14" i="38"/>
  <c r="D22" i="38"/>
  <c r="D42" i="38"/>
  <c r="D10" i="38"/>
  <c r="C38" i="24"/>
  <c r="D38" i="24" s="1"/>
  <c r="D18" i="38"/>
  <c r="C39" i="24"/>
  <c r="C41" i="24"/>
  <c r="D41" i="24" s="1"/>
  <c r="D46" i="38"/>
  <c r="D26" i="38"/>
  <c r="D2" i="38"/>
  <c r="Q110" i="23"/>
  <c r="T110" i="23" s="1"/>
  <c r="C57" i="26"/>
  <c r="C59" i="26"/>
  <c r="C58" i="26"/>
  <c r="C60" i="26"/>
  <c r="N107" i="28"/>
  <c r="N34" i="29"/>
  <c r="C17" i="24"/>
  <c r="D17" i="24" s="1"/>
  <c r="D21" i="27"/>
  <c r="D49" i="27"/>
  <c r="Q91" i="23"/>
  <c r="T91" i="23" s="1"/>
  <c r="C36" i="26"/>
  <c r="C15" i="24"/>
  <c r="D15" i="24" s="1"/>
  <c r="D9" i="27"/>
  <c r="D13" i="37"/>
  <c r="C34" i="24"/>
  <c r="D34" i="24" s="1"/>
  <c r="N108" i="28"/>
  <c r="Q58" i="29"/>
  <c r="T58" i="29"/>
  <c r="C35" i="26"/>
  <c r="D39" i="24" l="1"/>
  <c r="G38" i="24"/>
  <c r="F45" i="24" s="1"/>
  <c r="G41" i="24"/>
  <c r="G3" i="24"/>
  <c r="G4" i="24" s="1"/>
  <c r="F9" i="24" l="1"/>
  <c r="G39" i="24"/>
  <c r="G40"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Blount</author>
  </authors>
  <commentList>
    <comment ref="D2" authorId="0" shapeId="0" xr:uid="{00000000-0006-0000-0300-000001000000}">
      <text>
        <r>
          <rPr>
            <b/>
            <sz val="9"/>
            <color indexed="81"/>
            <rFont val="Tahoma"/>
            <family val="2"/>
          </rPr>
          <t>Point of Contact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500-000001000000}">
      <text>
        <r>
          <rPr>
            <b/>
            <sz val="9"/>
            <color indexed="81"/>
            <rFont val="Tahoma"/>
            <family val="2"/>
          </rPr>
          <t>Alex Masten:</t>
        </r>
        <r>
          <rPr>
            <sz val="9"/>
            <color indexed="81"/>
            <rFont val="Tahoma"/>
            <family val="2"/>
          </rPr>
          <t xml:space="preserve">
Reword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600-000001000000}">
      <text>
        <r>
          <rPr>
            <b/>
            <sz val="9"/>
            <color indexed="81"/>
            <rFont val="Tahoma"/>
            <family val="2"/>
          </rPr>
          <t>Alex Masten:</t>
        </r>
        <r>
          <rPr>
            <sz val="9"/>
            <color indexed="81"/>
            <rFont val="Tahoma"/>
            <family val="2"/>
          </rPr>
          <t xml:space="preserve">
Reword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700-000001000000}">
      <text>
        <r>
          <rPr>
            <b/>
            <sz val="9"/>
            <color indexed="81"/>
            <rFont val="Tahoma"/>
            <family val="2"/>
          </rPr>
          <t>Alex Masten:</t>
        </r>
        <r>
          <rPr>
            <sz val="9"/>
            <color indexed="81"/>
            <rFont val="Tahoma"/>
            <family val="2"/>
          </rPr>
          <t xml:space="preserve">
Reword question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8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8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8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<sst xmlns="http://schemas.openxmlformats.org/spreadsheetml/2006/main" count="4717" uniqueCount="1051">
  <si>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</si>
  <si>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"IRQ" - Inherent Risk Questionnaire - Business Owner to Complete</t>
  </si>
  <si>
    <t>"VPQ" - Vendor Profile Questionnaire - Vendor to Complete</t>
  </si>
  <si>
    <t>Scope - Vendor to Complete</t>
  </si>
  <si>
    <t>"VSQ" - Vendor Security Questionnaire -  Excel worksheets 1-17 herein - Vendor to Complete</t>
  </si>
  <si>
    <t>"Required Evidence" - Evidence and Assurances specific to CLIENT - Vendor to Provide</t>
  </si>
  <si>
    <t>Response Questions</t>
  </si>
  <si>
    <t>Data Classifications</t>
  </si>
  <si>
    <t>Types of Data:</t>
  </si>
  <si>
    <t>Type of Access</t>
  </si>
  <si>
    <t>Method of Access</t>
  </si>
  <si>
    <t>Volume of Records</t>
  </si>
  <si>
    <t>Financial Value</t>
  </si>
  <si>
    <t>Breah Business Impact</t>
  </si>
  <si>
    <t xml:space="preserve">Geographic Scope </t>
  </si>
  <si>
    <t>Size of Organization (# of Employees)</t>
  </si>
  <si>
    <t>How data is stored, hosted</t>
  </si>
  <si>
    <t>App / Product?</t>
  </si>
  <si>
    <t>Vendor Age / Business Relationship Length</t>
  </si>
  <si>
    <t>Yes</t>
  </si>
  <si>
    <t>Company Data</t>
  </si>
  <si>
    <t>PHI</t>
  </si>
  <si>
    <t>Intentionally Shared</t>
  </si>
  <si>
    <t>Electronic</t>
  </si>
  <si>
    <t>Most of our patients</t>
  </si>
  <si>
    <t>High</t>
  </si>
  <si>
    <t>International</t>
  </si>
  <si>
    <t>&gt; 100,000</t>
  </si>
  <si>
    <t>In the Cloud</t>
  </si>
  <si>
    <t>&lt; 5 Years</t>
  </si>
  <si>
    <t>No</t>
  </si>
  <si>
    <t>Restricted Data</t>
  </si>
  <si>
    <t>PII</t>
  </si>
  <si>
    <t>Incidental Access</t>
  </si>
  <si>
    <t>Physical</t>
  </si>
  <si>
    <t>Most our employees</t>
  </si>
  <si>
    <t>Medium High</t>
  </si>
  <si>
    <t>National</t>
  </si>
  <si>
    <t>&gt; 10,001</t>
  </si>
  <si>
    <t>On our Network</t>
  </si>
  <si>
    <t>5 - 10 Years</t>
  </si>
  <si>
    <t>Partial</t>
  </si>
  <si>
    <t>Sensitive Data</t>
  </si>
  <si>
    <t>PCI</t>
  </si>
  <si>
    <t>No Access</t>
  </si>
  <si>
    <t>Electronic and Physical</t>
  </si>
  <si>
    <t>Data related to a specific business unit or division</t>
  </si>
  <si>
    <t xml:space="preserve">Medium </t>
  </si>
  <si>
    <t>Single-State</t>
  </si>
  <si>
    <t>&gt; 1001</t>
  </si>
  <si>
    <t>At the Vendor's Location</t>
  </si>
  <si>
    <t>11 - 20 Years</t>
  </si>
  <si>
    <t>N/A</t>
  </si>
  <si>
    <t>Internal Data</t>
  </si>
  <si>
    <t>Intellectual property</t>
  </si>
  <si>
    <t>Data related to a specific service line or facility</t>
  </si>
  <si>
    <t>Medium Low</t>
  </si>
  <si>
    <t>&gt; 501</t>
  </si>
  <si>
    <t>&gt; 20 Years</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</si>
  <si>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</si>
  <si>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</si>
  <si>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</si>
  <si>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</si>
  <si>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</si>
  <si>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</si>
  <si>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</si>
  <si>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</si>
  <si>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</si>
  <si>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</si>
  <si>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</si>
  <si>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</si>
  <si>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</si>
  <si>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 xml:space="preserve">Key </t>
  </si>
  <si>
    <t>Overrides</t>
  </si>
  <si>
    <t>Tier 1</t>
  </si>
  <si>
    <t>No Override</t>
  </si>
  <si>
    <t>Tier 2</t>
  </si>
  <si>
    <t>Adequate</t>
  </si>
  <si>
    <t xml:space="preserve">Tier 3 </t>
  </si>
  <si>
    <t>Inadequate</t>
  </si>
  <si>
    <t>Conditional to other Questions</t>
  </si>
  <si>
    <t xml:space="preserve">Response acceptance dependent on the business relationship btwn client and vendor </t>
  </si>
  <si>
    <t>Questions dependent on comments and QA by CE</t>
  </si>
  <si>
    <t>Inherent Risk Questionnaire ("IRQ")</t>
  </si>
  <si>
    <t>Official Name of Vendor:</t>
  </si>
  <si>
    <t>Vendor POC Name:</t>
  </si>
  <si>
    <t>Vendor-specific business unit / division, if applicable: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</si>
  <si>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</si>
  <si>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</si>
  <si>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</si>
  <si>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</si>
  <si>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</si>
  <si>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</si>
  <si>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</si>
  <si>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</si>
  <si>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</si>
  <si>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</si>
  <si>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</si>
  <si>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</si>
  <si>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Does your organization use a vendor specific service/product(s)? (if "Yes" please list the names of the services/products in "Notes")</t>
  </si>
  <si>
    <t>Accessible Data</t>
  </si>
  <si>
    <t>Type of data vendor will have access to:</t>
  </si>
  <si>
    <t>Data Storage</t>
  </si>
  <si>
    <t>Where will the data of your organization be stored, hosted?</t>
  </si>
  <si>
    <t>Report Support</t>
  </si>
  <si>
    <t>Does vendor provide remote support?</t>
  </si>
  <si>
    <t>Records</t>
  </si>
  <si>
    <t>Volume of your organization's records accessible by vendor:</t>
  </si>
  <si>
    <t>Vendor Business Operations</t>
  </si>
  <si>
    <t>Geographic scope of the vendor (if vendor has international operations, please list country name(s) in "Notes"):</t>
  </si>
  <si>
    <t>Vendor Age</t>
  </si>
  <si>
    <t>How long has the vendor been in business in general?</t>
  </si>
  <si>
    <t>Business Relationship Length</t>
  </si>
  <si>
    <t>How long has the vendor been in business with your organization?</t>
  </si>
  <si>
    <t>Annual Revenue</t>
  </si>
  <si>
    <t>What is the vendor's annual revenue?</t>
  </si>
  <si>
    <t>Vendor Size</t>
  </si>
  <si>
    <t>Size of the vendor (# of employees):</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</si>
  <si>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</si>
  <si>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</si>
  <si>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</si>
  <si>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</si>
  <si>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</si>
  <si>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</si>
  <si>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r>
      <t xml:space="preserve">Initial Vendor Profile Questionnaire - for </t>
    </r>
    <r>
      <rPr>
        <b/>
        <sz val="12"/>
        <color rgb="FFFF0000"/>
        <rFont val="Arial"/>
        <family val="2"/>
      </rPr>
      <t>CLIENT NAME</t>
    </r>
  </si>
  <si>
    <t>Vendor name:</t>
  </si>
  <si>
    <t>Name:</t>
  </si>
  <si>
    <t>Service(s) / Product(s) provided:</t>
  </si>
  <si>
    <t>Title:</t>
  </si>
  <si>
    <t>Email:</t>
  </si>
  <si>
    <t>Date Completed:</t>
  </si>
  <si>
    <t>Phone:</t>
  </si>
  <si>
    <t>Response:</t>
  </si>
  <si>
    <t>Comments/ Notes:</t>
  </si>
  <si>
    <t>Evidence Provided</t>
  </si>
  <si>
    <t>NIST SP800-53 R4: Control #</t>
  </si>
  <si>
    <t xml:space="preserve">HIPAA CFR Control Reference(s): </t>
  </si>
  <si>
    <t>Vendor Discovery Questions:</t>
  </si>
  <si>
    <t>Will you have access to the following types of data:</t>
  </si>
  <si>
    <t>1.1-a</t>
  </si>
  <si>
    <t>PHI (Protected Health Information)</t>
  </si>
  <si>
    <t>1.1-b</t>
  </si>
  <si>
    <t>Intellectual Property</t>
  </si>
  <si>
    <t>1.1-c</t>
  </si>
  <si>
    <t>Financial Property</t>
  </si>
  <si>
    <t>1.1-d</t>
  </si>
  <si>
    <t>PII (Personally Identifiable Information)</t>
  </si>
  <si>
    <t>1.1-e</t>
  </si>
  <si>
    <t>PCI (Payment Card Industry)</t>
  </si>
  <si>
    <t>1.1-f</t>
  </si>
  <si>
    <t>Employee Information</t>
  </si>
  <si>
    <t>Security Leadership</t>
  </si>
  <si>
    <t>Do you have a designated responsible leader for information security? If so, please explain their title and role in the comments section.</t>
  </si>
  <si>
    <t>Security Assurances</t>
  </si>
  <si>
    <t>Has your company attained any of the following security certifications or external, independent validations of the following:?</t>
  </si>
  <si>
    <t>1.3-a</t>
  </si>
  <si>
    <t>SOC (indicate SOC 1, 2 or 3 and type 1 or 2)</t>
  </si>
  <si>
    <t>Example evidence: certification document</t>
  </si>
  <si>
    <t>1.3-b</t>
  </si>
  <si>
    <t>HITRUST</t>
  </si>
  <si>
    <t>1.3-c</t>
  </si>
  <si>
    <t>PCI Compliance</t>
  </si>
  <si>
    <t>1.3-d</t>
  </si>
  <si>
    <t>ISO 27001</t>
  </si>
  <si>
    <t>1.3-e</t>
  </si>
  <si>
    <t>FedRAMP</t>
  </si>
  <si>
    <t>1.3-f</t>
  </si>
  <si>
    <t>HIPAA (please provide type of assessment performed and certifying organization in the comments section)</t>
  </si>
  <si>
    <t>1.3-g</t>
  </si>
  <si>
    <t>NIST (please provide type of assessment performed and certifying organization in the comments section)</t>
  </si>
  <si>
    <t>1.3-h</t>
  </si>
  <si>
    <t>Other? (please specify in the comments section)</t>
  </si>
  <si>
    <t>Cyber Liability Insurance</t>
  </si>
  <si>
    <t>Do you maintain cyber liability insurance in addition to general liability insurance? If Yes, please explain how much in the comments section.</t>
  </si>
  <si>
    <t>Example evidence: insurance policy</t>
  </si>
  <si>
    <t>Contractors/Subcontractors</t>
  </si>
  <si>
    <t>Do you use any employees, contractors or subcontractors outside of the United States?</t>
  </si>
  <si>
    <t>Please list locations and approximate # of employees at each location</t>
  </si>
  <si>
    <t>Do any of your subcontractors (foreign or domestic) have access to sensitive and/or confidential data? If yes, please name the companies and services they provide to you in the comments section.</t>
  </si>
  <si>
    <t>Please provide a list of sub-contractors</t>
  </si>
  <si>
    <t>Employee Screenings</t>
  </si>
  <si>
    <t xml:space="preserve">Do you conduct background checks for all employees, contractors and subcontractors?  If not, for which areas/positions do you require a background check. Please explain in the comments section. </t>
  </si>
  <si>
    <t>PS-3</t>
  </si>
  <si>
    <t xml:space="preserve">164.308(a)(3)(ii)(B) 
</t>
  </si>
  <si>
    <t>Is this a remote hosted or cloud system? If yes, please answer the following questions.</t>
  </si>
  <si>
    <t>1.8-a</t>
  </si>
  <si>
    <t>Do you have any data centers outside of the United States?</t>
  </si>
  <si>
    <t>1.8-b</t>
  </si>
  <si>
    <t>Can data be restricted to be stored only within the United States?</t>
  </si>
  <si>
    <t>Will data be stored at an encrypted data center?</t>
  </si>
  <si>
    <t>Please list names of recognized data centers</t>
  </si>
  <si>
    <t>SC-13</t>
  </si>
  <si>
    <t>164.312(a)(2)(iv)
164.312(e)(2)(ii)</t>
  </si>
  <si>
    <t>Data Center Security Assurances</t>
  </si>
  <si>
    <t>What certifications does your data center have or external, independent validations of the following:?</t>
  </si>
  <si>
    <t>1.10-a</t>
  </si>
  <si>
    <t>SOC (indicate SOC 1, 2, or 3 and type 1 or 2)</t>
  </si>
  <si>
    <t>1.10-b</t>
  </si>
  <si>
    <t>1.10-c</t>
  </si>
  <si>
    <t>1.10-d</t>
  </si>
  <si>
    <t>1.10-e</t>
  </si>
  <si>
    <t>1.10-f</t>
  </si>
  <si>
    <t>1.10-g</t>
  </si>
  <si>
    <t>1.10-h</t>
  </si>
  <si>
    <t>Other (please specify in the comments section)</t>
  </si>
  <si>
    <t>Data Breach History</t>
  </si>
  <si>
    <t>Has your organization ever experienced a data breach?  If so, please explain in the comments box.</t>
  </si>
  <si>
    <t>Questions</t>
  </si>
  <si>
    <t>Disclosure Permitted?</t>
  </si>
  <si>
    <t>Comments</t>
  </si>
  <si>
    <t>Name of Information Security leader?</t>
  </si>
  <si>
    <t>Title</t>
  </si>
  <si>
    <t>Role</t>
  </si>
  <si>
    <t xml:space="preserve">  Number of full-time information security personnel?</t>
  </si>
  <si>
    <t>Name of incident response officer?</t>
  </si>
  <si>
    <t>Email</t>
  </si>
  <si>
    <t>Phone</t>
  </si>
  <si>
    <t>Does VENDOR maintain cyber liability insurance in addition to general liability insurance? If Yes, please explain how much in the comments section.</t>
  </si>
  <si>
    <t>Is there a current BAA in place?</t>
  </si>
  <si>
    <t>Vendor Scope Questions</t>
  </si>
  <si>
    <t>Environment 1</t>
  </si>
  <si>
    <t>Environment 2</t>
  </si>
  <si>
    <t>Environment 3</t>
  </si>
  <si>
    <t xml:space="preserve">Comments </t>
  </si>
  <si>
    <t>Please identity the environment (e.g., back office, systems involved in support /maintenance services, applications/softwares) in the "response" column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</si>
  <si>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</si>
  <si>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</si>
  <si>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</si>
  <si>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</si>
  <si>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</si>
  <si>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</si>
  <si>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</si>
  <si>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</si>
  <si>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</si>
  <si>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</si>
  <si>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</si>
  <si>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</si>
  <si>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</si>
  <si>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</si>
  <si>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</si>
  <si>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</si>
  <si>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</si>
  <si>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</si>
  <si>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</si>
  <si>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</si>
  <si>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</si>
  <si>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</si>
  <si>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</si>
  <si>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</si>
  <si>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</si>
  <si>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Key Control Question Reference #</t>
  </si>
  <si>
    <t>Key Control:</t>
  </si>
  <si>
    <t>Control Area #</t>
  </si>
  <si>
    <t>Evidence Requested:</t>
  </si>
  <si>
    <t>Provided to CORL?</t>
  </si>
  <si>
    <t>Vendor Comments</t>
  </si>
  <si>
    <t>CM-2.1</t>
  </si>
  <si>
    <t>Baseline Configuration</t>
  </si>
  <si>
    <t>CM-2</t>
  </si>
  <si>
    <t xml:space="preserve">Provide the most recent Baseline Configuration document for the information system (e.g., hardening procedures for Window OS, baseline security settings for sever AND application builds.) </t>
  </si>
  <si>
    <t>CM-3.1 - CM-3.6</t>
  </si>
  <si>
    <t>Configuration Change Control</t>
  </si>
  <si>
    <t>CM-3</t>
  </si>
  <si>
    <t>Configuration Change Control procedures</t>
  </si>
  <si>
    <t>CM-5.1</t>
  </si>
  <si>
    <t xml:space="preserve">Access Restrictions for Change  </t>
  </si>
  <si>
    <t>CM-5</t>
  </si>
  <si>
    <t>CM-6.1 - CM-6.3</t>
  </si>
  <si>
    <t xml:space="preserve">Configuration Settings  </t>
  </si>
  <si>
    <t>CM-6</t>
  </si>
  <si>
    <t xml:space="preserve">Provide report monitoring records related to most recent changes to the Configuration settings information system 
</t>
  </si>
  <si>
    <t>CM-7.1</t>
  </si>
  <si>
    <t>Least Functionality</t>
  </si>
  <si>
    <t>CM-7</t>
  </si>
  <si>
    <t>(See CM 2.1 - Most recent Baseline Configuration)</t>
  </si>
  <si>
    <t>CM-8.1 - CM-8.2</t>
  </si>
  <si>
    <t xml:space="preserve">Information System Component Inventory  </t>
  </si>
  <si>
    <t>CM-8</t>
  </si>
  <si>
    <t>Provide documentation that demonstrates information system Component Inventory is maintained and kept up to date.</t>
  </si>
  <si>
    <t>CM-9.1 - CM-9.4</t>
  </si>
  <si>
    <t>Configuration Management Plan</t>
  </si>
  <si>
    <t>CM-9</t>
  </si>
  <si>
    <t>Provide Software Development/Deployment Life Cycle (SDLC) documentation which includes secure coding procedures, where applicable.</t>
  </si>
  <si>
    <t>CM-10.1</t>
  </si>
  <si>
    <t xml:space="preserve">Software Usage Restrictions  </t>
  </si>
  <si>
    <t>CM-10</t>
  </si>
  <si>
    <t>Provide Acceptable Use policy. Provide samples of software licensing documentation.</t>
  </si>
  <si>
    <t>CM-11.1</t>
  </si>
  <si>
    <t>User-Installed Software</t>
  </si>
  <si>
    <t>CM-11</t>
  </si>
  <si>
    <t xml:space="preserve">Provide documentation that demonstrates unapproved software is prohibited from use on the information system. Provide evidence of any mechanisms that prevent unapproved software from being used. </t>
  </si>
  <si>
    <t>IA-5.2 - IA-5.8</t>
  </si>
  <si>
    <t>Authenticator Management</t>
  </si>
  <si>
    <t>IA-5</t>
  </si>
  <si>
    <t>Provide Password policy and procedures, including length and complexity requirements as well as process initial password distribution and changing of factory defaults.</t>
  </si>
  <si>
    <t>MA-4.1 - MA-4.5</t>
  </si>
  <si>
    <t>Non-local Maintenance</t>
  </si>
  <si>
    <t>MA-4</t>
  </si>
  <si>
    <t>Provide policy and procedures surrounding secure remote support of the information system.</t>
  </si>
  <si>
    <t>RA-5.1</t>
  </si>
  <si>
    <t>Vulnerability Scanning</t>
  </si>
  <si>
    <t>RA-5</t>
  </si>
  <si>
    <t>Provide Vulnerability Management procedures and copy of the most recent vulnerability scans of all systems which process, transmit, or store client data</t>
  </si>
  <si>
    <t>SC-15.1 - SC-15.3</t>
  </si>
  <si>
    <t>Collaborative Computing Devices</t>
  </si>
  <si>
    <t>SC-15</t>
  </si>
  <si>
    <t>Provide hardware configuration specifications that demonstrate remote activation of collaborative computing devices are prohibited</t>
  </si>
  <si>
    <t>SC-8.1, SC-8.2, SC-28.1</t>
  </si>
  <si>
    <t>Encryption</t>
  </si>
  <si>
    <t>SC-8, SC-28</t>
  </si>
  <si>
    <t>Provide Encryption policy and procedures for information in transit and information at rest.</t>
  </si>
  <si>
    <t>SC-18.1</t>
  </si>
  <si>
    <t>Mobile Code</t>
  </si>
  <si>
    <t>SC-18</t>
  </si>
  <si>
    <t>Provide Communications Protection policy and Mobile Code Implementation policy</t>
  </si>
  <si>
    <t>SI-2.1 - SI-2.3</t>
  </si>
  <si>
    <t>Flaw Remediation</t>
  </si>
  <si>
    <t>SI-2</t>
  </si>
  <si>
    <t>Provide documentation that all identified vulnerabilities are remediated in a timely manner.</t>
  </si>
  <si>
    <t>SI-3.1 - SI-3.4</t>
  </si>
  <si>
    <t>Malicious Code Protection</t>
  </si>
  <si>
    <t>SI-3</t>
  </si>
  <si>
    <t>Provide evidence that malware protection solutions are implemented on servers, workstations, and all other end points that process, transmit, or store client data.</t>
  </si>
  <si>
    <t>SI-4.1</t>
  </si>
  <si>
    <t>Information Systems Monitoring</t>
  </si>
  <si>
    <t>SI-4</t>
  </si>
  <si>
    <t>Provide evidence that intrusion detection and intrusion prevention solutions are implemented and monitored.</t>
  </si>
  <si>
    <t>SI-7.1</t>
  </si>
  <si>
    <t>Software, Firmware, and Information Integrity</t>
  </si>
  <si>
    <t>SI-7</t>
  </si>
  <si>
    <t>Provide evidence that information integrity tools are used. (e.g., tripwire)</t>
  </si>
  <si>
    <t>SI-8.1</t>
  </si>
  <si>
    <t>Spam Protection</t>
  </si>
  <si>
    <t>SI-8</t>
  </si>
  <si>
    <t xml:space="preserve">Provide documentation that spam protection mechanisms are employed at information system entry/exit points and are updated when new releases of such mechanisms are available. </t>
  </si>
  <si>
    <t>SA-4.1</t>
  </si>
  <si>
    <t>Acquisition Process</t>
  </si>
  <si>
    <t>SA-4</t>
  </si>
  <si>
    <t>Please provide Vendor Management Policy/ Procedures</t>
  </si>
  <si>
    <t>SA-12</t>
  </si>
  <si>
    <t>Supply Chain Protection</t>
  </si>
  <si>
    <t>IR-8</t>
  </si>
  <si>
    <t>Incident Response Plan</t>
  </si>
  <si>
    <t>Please provide comprehensive Incident Response Plan</t>
  </si>
  <si>
    <t xml:space="preserve">HIPAA CFR Control Reference(s) </t>
  </si>
  <si>
    <t>Security Questions:</t>
  </si>
  <si>
    <t>Access Control</t>
  </si>
  <si>
    <t>AC-1.1</t>
  </si>
  <si>
    <t>AC-1</t>
  </si>
  <si>
    <t xml:space="preserve">164.308(a)(3)(i) 
164.308(a)(3)(ii)(A)
164.308(a)(4)(i) 
164.308(a)(4)(ii)(B)
164.308(a)(4)(ii)(C)
164.312(a)(1) 
</t>
  </si>
  <si>
    <t>Access Control Policy and Procedures</t>
  </si>
  <si>
    <t>Are there formally documented policies and procedures for access control? If yes, please attach.</t>
  </si>
  <si>
    <t>Comment is required</t>
  </si>
  <si>
    <t>AC-3.1</t>
  </si>
  <si>
    <t>AC-3</t>
  </si>
  <si>
    <t xml:space="preserve">164.308(a)(3)(ii)(A)
164.308(a)(4)(ii)(B)
164.308(a)(4)(ii)(C)
164.310(a)(2)(iii)
164.310(b)
164.312(a)(1) 
164.312(a)(2)(i) 
164.312(a)(2)(ii)
164.312(a)(2)(iv)
</t>
  </si>
  <si>
    <t>Access Enforcement</t>
  </si>
  <si>
    <t xml:space="preserve">Does the information system verify the rights of a user to access the information system? (Access Control Lists, Group/Role membership?) If yes, detail how the access is enforced in the comment. </t>
  </si>
  <si>
    <t>AC-3.2</t>
  </si>
  <si>
    <t xml:space="preserve">Does the information system support role-based account management and access controls (RBAC)? </t>
  </si>
  <si>
    <t>AC-3.3</t>
  </si>
  <si>
    <t>If RBAC is supported, can a customer administrator create/customize unique roles and permissions.</t>
  </si>
  <si>
    <t>AC-7.1</t>
  </si>
  <si>
    <t>AC-7</t>
  </si>
  <si>
    <t>Unsuccessful Logon Attempts</t>
  </si>
  <si>
    <t>Is an account automatically locked out after a set amount of attempts? If yes, please provide the number of failed attempts that trigger an account to be locked out, in the comments section.</t>
  </si>
  <si>
    <t>AC-8.1</t>
  </si>
  <si>
    <t>AC-8</t>
  </si>
  <si>
    <t>System Use Notification</t>
  </si>
  <si>
    <t>Is there a system use notification displayed before granting access that provides privacy and security notices?</t>
  </si>
  <si>
    <t>AC-9.1</t>
  </si>
  <si>
    <t>AC-9</t>
  </si>
  <si>
    <t>Previous Logon Notification</t>
  </si>
  <si>
    <t>Does the system display the last user logon date and time to the user?</t>
  </si>
  <si>
    <t>AC-10.1</t>
  </si>
  <si>
    <t>AC-10</t>
  </si>
  <si>
    <t>Concurrent Session Control</t>
  </si>
  <si>
    <t>Does the system limit the number of concurrent sessions for the user?</t>
  </si>
  <si>
    <t>AC-11.1</t>
  </si>
  <si>
    <t>AC-11</t>
  </si>
  <si>
    <t xml:space="preserve">164.310(b)
164.312(a)(2)(iii)
</t>
  </si>
  <si>
    <t>Session Lock</t>
  </si>
  <si>
    <r>
      <t xml:space="preserve">Does the application/system have a session </t>
    </r>
    <r>
      <rPr>
        <i/>
        <sz val="9"/>
        <rFont val="Arial"/>
        <family val="2"/>
      </rPr>
      <t>lock</t>
    </r>
    <r>
      <rPr>
        <sz val="9"/>
        <rFont val="Arial"/>
        <family val="2"/>
      </rPr>
      <t xml:space="preserve"> after a period of inactivity that requires a user to reauthenticate?</t>
    </r>
  </si>
  <si>
    <t>AC-12.1</t>
  </si>
  <si>
    <t>AC-12</t>
  </si>
  <si>
    <t>Session Termination</t>
  </si>
  <si>
    <r>
      <t xml:space="preserve">Does the application/system </t>
    </r>
    <r>
      <rPr>
        <i/>
        <sz val="9"/>
        <rFont val="Arial"/>
        <family val="2"/>
      </rPr>
      <t>terminate</t>
    </r>
    <r>
      <rPr>
        <sz val="9"/>
        <rFont val="Arial"/>
        <family val="2"/>
      </rPr>
      <t xml:space="preserve"> the session after predefined circumstances?</t>
    </r>
  </si>
  <si>
    <t>AC-14.1</t>
  </si>
  <si>
    <t>AC-14</t>
  </si>
  <si>
    <t>Permitted Actions without Identification or
Authentication</t>
  </si>
  <si>
    <t>Does the system prevent user actions that can be performed on the system without identification and authentication?</t>
  </si>
  <si>
    <t>Awareness and Training</t>
  </si>
  <si>
    <t>AT-1.1</t>
  </si>
  <si>
    <t>AT-1</t>
  </si>
  <si>
    <t xml:space="preserve">164.308(a)(5)(i)
</t>
  </si>
  <si>
    <t>Security Awareness and Training Policy and
Procedures</t>
  </si>
  <si>
    <t>Are there formally documented procedures for security awareness and training for this information system? If yes, please attach.</t>
  </si>
  <si>
    <t>AT-2.1</t>
  </si>
  <si>
    <t>AT-2</t>
  </si>
  <si>
    <t xml:space="preserve">164.308(a)(5)(i)
164.308(a)(5)(ii)(A)
164.308(a)(5)(ii)(B)
</t>
  </si>
  <si>
    <t>Security Awareness</t>
  </si>
  <si>
    <t xml:space="preserve">Is basic security awareness training performed for all personnel as a part of the onboarding process? </t>
  </si>
  <si>
    <t>AT-2.2</t>
  </si>
  <si>
    <t>Is it periodically performed for all users?</t>
  </si>
  <si>
    <t>AT-3.1</t>
  </si>
  <si>
    <t>AT-3</t>
  </si>
  <si>
    <t>Role-Based Security Training</t>
  </si>
  <si>
    <t>Is there role-based security training for personnel with assigned security roles and responsibilities for this information system before access is granted and when required by information system changes?</t>
  </si>
  <si>
    <t>AT-4.1</t>
  </si>
  <si>
    <t>AT-4</t>
  </si>
  <si>
    <t>Security Training Records</t>
  </si>
  <si>
    <t>Do you document and monitor information system security training activities for individuals?</t>
  </si>
  <si>
    <t>Audit and Accountability</t>
  </si>
  <si>
    <t>AU-2.1</t>
  </si>
  <si>
    <t>AU-2</t>
  </si>
  <si>
    <t xml:space="preserve">164.308(a)(5)(ii)(C)
164.312(b)
</t>
  </si>
  <si>
    <t>Audit Events</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</si>
  <si>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</si>
  <si>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</si>
  <si>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</si>
  <si>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AU-3.1</t>
  </si>
  <si>
    <t>AU-3</t>
  </si>
  <si>
    <t xml:space="preserve">164.312(b)
</t>
  </si>
  <si>
    <t>Content of Audit Records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</si>
  <si>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</si>
  <si>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AU-5.1</t>
  </si>
  <si>
    <t>AU-5</t>
  </si>
  <si>
    <t>Response to Audit Processing Failures</t>
  </si>
  <si>
    <t>Does the information system generate an alert that notifies the team in the event of an audit processing failure?</t>
  </si>
  <si>
    <t>AU-7.1</t>
  </si>
  <si>
    <t>AU-7</t>
  </si>
  <si>
    <t xml:space="preserve">164.308(a)(1)(ii)(D)
164.312(b)
</t>
  </si>
  <si>
    <t>Audit Reduction and Report Generation</t>
  </si>
  <si>
    <t>Does the information system provide the capability to generate customizable audit reports?</t>
  </si>
  <si>
    <t>AU-7.2</t>
  </si>
  <si>
    <t>Does the generation of an audit report alter the original content or time stamp of the audit record?</t>
  </si>
  <si>
    <t>AU-8.1</t>
  </si>
  <si>
    <t>AU-8</t>
  </si>
  <si>
    <t>Time Stamps</t>
  </si>
  <si>
    <t>Are the audit logs time stamped? (Date and Time)</t>
  </si>
  <si>
    <t>AU-9.1</t>
  </si>
  <si>
    <t>AU-9</t>
  </si>
  <si>
    <t>Protection of Audit Information</t>
  </si>
  <si>
    <t>Does the system/application protect audit information from unauthorized access, modification, and deletion?</t>
  </si>
  <si>
    <t>AU-12.1</t>
  </si>
  <si>
    <t>AU-12</t>
  </si>
  <si>
    <t>Audit Generation</t>
  </si>
  <si>
    <t xml:space="preserve">Can the information system be configured to select which auditable events are captured in the audit log? </t>
  </si>
  <si>
    <t>Configuration Management</t>
  </si>
  <si>
    <t>CM-1.1</t>
  </si>
  <si>
    <t>CM-1</t>
  </si>
  <si>
    <t>Configuration Management Policy and
Procedures</t>
  </si>
  <si>
    <t>Are there documented procedures to outline who/when and how the system/application is configured? If yes, please attach</t>
  </si>
  <si>
    <t>Do you have a current configuration baseline documented for the information system? (The baseline configuration is a documented, up-to-date specification to which the information system is built.)</t>
  </si>
  <si>
    <t>CM-3.1</t>
  </si>
  <si>
    <t>Are types of changes to the information system that are configuration-controlled defined?</t>
  </si>
  <si>
    <t>CM-3.2</t>
  </si>
  <si>
    <t>Does the organization review proposed configuration-controlled changes to the information system, using defined security impact analyses?</t>
  </si>
  <si>
    <t>CM-3.3</t>
  </si>
  <si>
    <t>Are all configuration changes adequately documented?</t>
  </si>
  <si>
    <t>CM-3.4</t>
  </si>
  <si>
    <t>Are all approved configuration controls implemented timely?</t>
  </si>
  <si>
    <t>CM-3.5</t>
  </si>
  <si>
    <t>Does the organization retain records of configuration controlled changes?</t>
  </si>
  <si>
    <t>CM-3.6</t>
  </si>
  <si>
    <t>Are there auditing and monitoring activities implemented to assess the configuration-controlled changes?</t>
  </si>
  <si>
    <t>CM-4.1</t>
  </si>
  <si>
    <t>CM-4</t>
  </si>
  <si>
    <t>Security Impact Analysis</t>
  </si>
  <si>
    <t>Do you analyze changes to the information system to determine potential security impacts prior to change implementation?</t>
  </si>
  <si>
    <t>CM-6.1</t>
  </si>
  <si>
    <t>Configuration Settings</t>
  </si>
  <si>
    <t xml:space="preserve">Have all the configuration settings been documented that reflect the most restrictive mode consistent with operational requirements? </t>
  </si>
  <si>
    <t>CM-6.2</t>
  </si>
  <si>
    <t>Is there any automated or manual monitoring of configuration changes? (e.g. Tripwire, manual checklists)</t>
  </si>
  <si>
    <t>CM-6.3</t>
  </si>
  <si>
    <t>Do you document and approve deviations from the established configuration settings?</t>
  </si>
  <si>
    <t xml:space="preserve">Do you restrict or prohibit the use of any functions, ports, protocols and/or services that are not essential to the function of the information system? </t>
  </si>
  <si>
    <t>CM-8.1</t>
  </si>
  <si>
    <t xml:space="preserve">164.310(d)(1)
164.310(d)(2)(iii)
</t>
  </si>
  <si>
    <t>Information System Component Inventory</t>
  </si>
  <si>
    <t>Do you have an accurate and current documented inventory of the components within the information system?</t>
  </si>
  <si>
    <t>CM-8.2</t>
  </si>
  <si>
    <t>If yes, do you review and update the information system component inventory regularly?</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</si>
  <si>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</si>
  <si>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</si>
  <si>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</si>
  <si>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</si>
  <si>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</si>
  <si>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</si>
  <si>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</si>
  <si>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</si>
  <si>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Is user installation of software restricted and monitored?</t>
  </si>
  <si>
    <t>CM-12.1</t>
  </si>
  <si>
    <t>Patch Timeliness</t>
  </si>
  <si>
    <t>Are patches applied to the information system in a timely manner? If so, how quickly are patches applied?</t>
  </si>
  <si>
    <t>CM-12.2</t>
  </si>
  <si>
    <t>Patch Timeliness Policy</t>
  </si>
  <si>
    <t>Are there standards or policies which define the timing of patching the information system?</t>
  </si>
  <si>
    <t>CM-13.1</t>
  </si>
  <si>
    <t>Patch Management Environments</t>
  </si>
  <si>
    <t>Do you use Development, Test, QA, and Production environments during the patch management process? If so, describe the manner in which these environment are utilized?</t>
  </si>
  <si>
    <t>CM-14.1</t>
  </si>
  <si>
    <t>Patch Classification</t>
  </si>
  <si>
    <t>Do you categorize patches based on severity? If yes, please provide the categories, their definitions, and the associated time frames for deploying patches to production environments.</t>
  </si>
  <si>
    <t>CM-14.2</t>
  </si>
  <si>
    <t>Do you implement patches categorized as "critical" within 72 hours of patch release?</t>
  </si>
  <si>
    <t>Identification and Authentication</t>
  </si>
  <si>
    <t>IA-1.1</t>
  </si>
  <si>
    <t>IA-1</t>
  </si>
  <si>
    <t>Identification and Authentication Policy and Procedures</t>
  </si>
  <si>
    <t>Does the application/system use managed LDAP services for identification and authentication? If no, detail in the comment column what is used.</t>
  </si>
  <si>
    <t>IA-2.1</t>
  </si>
  <si>
    <t>IA-2</t>
  </si>
  <si>
    <t xml:space="preserve">164.308(a)(5)(ii)(D)
164.312(a)(2)(i) 
164.312(d)
</t>
  </si>
  <si>
    <t>Identification and Authentication
(Organizational Users)</t>
  </si>
  <si>
    <t>Does the information system use multifactor authentication for privileged or non-privileged access? (Uses at least two of: what you have, what you know, what you are.  E.g., tokens, passwords, biometrics.)</t>
  </si>
  <si>
    <t>IA-3.1</t>
  </si>
  <si>
    <t>IA-3</t>
  </si>
  <si>
    <t xml:space="preserve">164.312(a)(2)(i) 
164.312(d)
</t>
  </si>
  <si>
    <t>Device Identification and Authentication</t>
  </si>
  <si>
    <t>Does the information system uniquely identify and authenticate devices before establishing a connection? (E.g., MAC, TCP/IP, IEEE 802.1x)</t>
  </si>
  <si>
    <t>IA-4.2</t>
  </si>
  <si>
    <t>Identifier Management</t>
  </si>
  <si>
    <t>Does the application/system prevent reuse of user or device identifiers?</t>
  </si>
  <si>
    <t>IA-4.3</t>
  </si>
  <si>
    <t>Does the application/system disable the user or device account after a pre-defined period of inactivity?</t>
  </si>
  <si>
    <t>IA-5.1</t>
  </si>
  <si>
    <t xml:space="preserve">164.308(a)(5)(ii)(D)
</t>
  </si>
  <si>
    <t xml:space="preserve">Does the application/system comply with the password complexity as outlined in implemented policies? </t>
  </si>
  <si>
    <t>IA-5.2</t>
  </si>
  <si>
    <t>Does information system force the End User to comply with the following password requirements regarding complexity, length and change?
- Passwords at least 8 characters in length.
- Passwords contain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</si>
  <si>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</si>
  <si>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</si>
  <si>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IA-5.7</t>
  </si>
  <si>
    <t>Is authenticator content protected from unauthorized disclosure and modification?</t>
  </si>
  <si>
    <t>IA-5.9</t>
  </si>
  <si>
    <t>Is token-based authentication utilized?</t>
  </si>
  <si>
    <t>IA-6.1</t>
  </si>
  <si>
    <t>IA-6</t>
  </si>
  <si>
    <t>Authenticator Feedback</t>
  </si>
  <si>
    <t>Does the information system obscure the authenticator/password during the authentication process?</t>
  </si>
  <si>
    <t>IA-7.1</t>
  </si>
  <si>
    <t>IA-7</t>
  </si>
  <si>
    <t>Cryptographic Module Authentication</t>
  </si>
  <si>
    <t>Does the information system use mechanisms for authentication to a cryptographic module? (This control is used for mostly operating systems and appliances used to encrypt something.)</t>
  </si>
  <si>
    <t xml:space="preserve">Incident Response </t>
  </si>
  <si>
    <t>IR-1.1</t>
  </si>
  <si>
    <t>IR-1</t>
  </si>
  <si>
    <t>164.308(a)(6)(i)</t>
  </si>
  <si>
    <t xml:space="preserve">Incident Response Policies and Procedures </t>
  </si>
  <si>
    <t>Are there formally documented policies and procedures for Incident Response? If yes, please attach.</t>
  </si>
  <si>
    <t>IR-2.1</t>
  </si>
  <si>
    <t>IR-2</t>
  </si>
  <si>
    <t>Incident Response Training</t>
  </si>
  <si>
    <t>Are staff provided with incident response training?</t>
  </si>
  <si>
    <t>IR-2.2</t>
  </si>
  <si>
    <t>Is incident response training unique based on the role of the individual?</t>
  </si>
  <si>
    <t>IR-3.1</t>
  </si>
  <si>
    <t>IR-3</t>
  </si>
  <si>
    <t>Incident Response Testing and Exercises</t>
  </si>
  <si>
    <t>Are incident response tests conducted?</t>
  </si>
  <si>
    <t>IR-3.2</t>
  </si>
  <si>
    <t>Are the incident response test results analyzed?</t>
  </si>
  <si>
    <t>IR-4.1</t>
  </si>
  <si>
    <t>IR-4</t>
  </si>
  <si>
    <t xml:space="preserve">164.308(a)(6)(ii)
</t>
  </si>
  <si>
    <t>Incident Handling</t>
  </si>
  <si>
    <t>Is there an incident handling process</t>
  </si>
  <si>
    <t>IR-5.1</t>
  </si>
  <si>
    <t>IR-5</t>
  </si>
  <si>
    <t xml:space="preserve">164.308(a)(1)(ii)(D)
164.308(a)(6)(ii)
</t>
  </si>
  <si>
    <t>Incident Monitoring</t>
  </si>
  <si>
    <t>Are security incidents tracked and documented?</t>
  </si>
  <si>
    <t>IR-6.1</t>
  </si>
  <si>
    <t xml:space="preserve">IR-6 </t>
  </si>
  <si>
    <t xml:space="preserve">164.308(a)(1)(ii)(D)
164.308(a)(6)(ii)
164.314(a)(2)(i)
</t>
  </si>
  <si>
    <t>Incident Reporting</t>
  </si>
  <si>
    <t>Are security incidents timely reported to appropriate personnel/ government authorities?</t>
  </si>
  <si>
    <t>IR-7.1</t>
  </si>
  <si>
    <t xml:space="preserve">IR-7 </t>
  </si>
  <si>
    <t>164.308(a)(6)(ii)</t>
  </si>
  <si>
    <t>Incident Response Assistance</t>
  </si>
  <si>
    <t>Are incident response resources used outside of the incident response team?</t>
  </si>
  <si>
    <t>IR-8.1</t>
  </si>
  <si>
    <t>Is there a comprehensive Incident Response Plan? If so, please attach.</t>
  </si>
  <si>
    <t>IR-9.1</t>
  </si>
  <si>
    <t>IR-9</t>
  </si>
  <si>
    <t>Information Spillage Response</t>
  </si>
  <si>
    <t>Does the organization respond to information spillage appropriately and timely?</t>
  </si>
  <si>
    <t>Maintenance</t>
  </si>
  <si>
    <t>MA-1.1</t>
  </si>
  <si>
    <t>MA-1</t>
  </si>
  <si>
    <t xml:space="preserve">164.310(a)(2)(iv)
</t>
  </si>
  <si>
    <t>System Maintenance Policy and Procedures</t>
  </si>
  <si>
    <t>Are there formally documented policies and procedures for Maintenance? If yes, please attach.</t>
  </si>
  <si>
    <t>MA-2.5</t>
  </si>
  <si>
    <r>
      <rPr>
        <sz val="9"/>
        <rFont val="Arial"/>
        <family val="2"/>
      </rPr>
      <t>Controlled Maintenance</t>
    </r>
  </si>
  <si>
    <t>Do you check all potentially impacted security controls to verify that the controls are still functioning properly following maintenance or repair actions? (E.g., verify that audit logs are still functioning properly, user level of access is still appropriate.)</t>
  </si>
  <si>
    <t>MA-3.1</t>
  </si>
  <si>
    <t>MA-3</t>
  </si>
  <si>
    <t>Maintenance Tools</t>
  </si>
  <si>
    <t>Does the organization approve, control and monitor information system maintenance tools?</t>
  </si>
  <si>
    <t>MA-4.1</t>
  </si>
  <si>
    <t>Nonlocal Maintenance</t>
  </si>
  <si>
    <t>Is any nonlocal maintenance and diagnostic activity performed on the information system  (such as across the network, either internal or external, using terminal services/RDP)?</t>
  </si>
  <si>
    <t>MA-4.2</t>
  </si>
  <si>
    <t>Are all nonlocal maintenance and diagnostic activities approved and monitored?</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</si>
  <si>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</si>
  <si>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</si>
  <si>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</si>
  <si>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</si>
  <si>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</si>
  <si>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</si>
  <si>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t>MA-5.1</t>
  </si>
  <si>
    <t>MA-5</t>
  </si>
  <si>
    <t xml:space="preserve">164.308(a)(3)(ii)(A)
</t>
  </si>
  <si>
    <r>
      <rPr>
        <sz val="9"/>
        <rFont val="Arial"/>
        <family val="2"/>
      </rPr>
      <t>Maintenance Personnel</t>
    </r>
  </si>
  <si>
    <t>Do you authorize and maintain a list of authorized maintenance personnel?</t>
  </si>
  <si>
    <t>MA-5.2</t>
  </si>
  <si>
    <t>Do you ensure that personnel performing maintenance of the information system have the required access authorizations?</t>
  </si>
  <si>
    <t>Personnel Security</t>
  </si>
  <si>
    <t>PS-1.1</t>
  </si>
  <si>
    <t xml:space="preserve">PS-1 </t>
  </si>
  <si>
    <t xml:space="preserve">164.308(a)(3)(ii)(A)
164.308(a)(3)(ii)(B) 
164.308(a)(3)(ii)(C)
</t>
  </si>
  <si>
    <t xml:space="preserve">Personnel Security Policies and Procedures </t>
  </si>
  <si>
    <t>Are there formally documented policies and procedures for Personnel Security? If yes, please attach.</t>
  </si>
  <si>
    <t>PS-2.1</t>
  </si>
  <si>
    <t>PS-2</t>
  </si>
  <si>
    <t>Position Risk Designation</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</si>
  <si>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</si>
  <si>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</si>
  <si>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</si>
  <si>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</si>
  <si>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</si>
  <si>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PS-3.1</t>
  </si>
  <si>
    <t>Personnel Screening</t>
  </si>
  <si>
    <t>Does the organization screen individuals prior to authorizing access to the information system?</t>
  </si>
  <si>
    <t>PS-3.2</t>
  </si>
  <si>
    <t>Does the organization re-screen individuals with access to the information system?</t>
  </si>
  <si>
    <t>PS-4.1</t>
  </si>
  <si>
    <t>PS-4</t>
  </si>
  <si>
    <t xml:space="preserve">164.308(a)(3)(ii)(C)
</t>
  </si>
  <si>
    <t>Personnel Termination</t>
  </si>
  <si>
    <t>Does the organization have appropriate termination procedures in place to those with access to the information system?</t>
  </si>
  <si>
    <t>PS-5.1</t>
  </si>
  <si>
    <t>PS-5</t>
  </si>
  <si>
    <t>Personnel Transfer</t>
  </si>
  <si>
    <t>Does the organization have appropriate transfer procedures in place to those with access to the information system?</t>
  </si>
  <si>
    <t>PS-6.1</t>
  </si>
  <si>
    <t>PS-6</t>
  </si>
  <si>
    <t xml:space="preserve">164.308(a)(3)(ii)(A)
164.308(a)(3)(ii)(B)
164.308(a)(4)(ii)(B)
164.310(b)
164.310(d)(2)(iii)
164.314(a)(1)
164.314(a)(2)(i)
164.314(a)(2)(ii)
</t>
  </si>
  <si>
    <t>Access Agreements</t>
  </si>
  <si>
    <t>Does the organization have access agreements (reviewed annually) for individuals with access to the information system?</t>
  </si>
  <si>
    <t>PS-7.1</t>
  </si>
  <si>
    <t>PS-7</t>
  </si>
  <si>
    <t xml:space="preserve">164.308(a)(3)(ii)(A)
164.308(a)(4)(ii)(B)
164.308(b)(1)
164.314(a)(1)
164.314(a)(2)(i)
164.314(a)(2)(ii)
</t>
  </si>
  <si>
    <t>Third Party Personnel Security</t>
  </si>
  <si>
    <t>Does the organization have appropriate third-party access control procedures for external parties granted access to the information system?</t>
  </si>
  <si>
    <t>PS-8.1</t>
  </si>
  <si>
    <t>PS-8</t>
  </si>
  <si>
    <t>164.308(a)(1)(ii)(C)</t>
  </si>
  <si>
    <t>Personnel Sanctions</t>
  </si>
  <si>
    <t>Does the organization have appropriate personnel sanctions policies and procedures?</t>
  </si>
  <si>
    <t>System and Services Acquisition</t>
  </si>
  <si>
    <t>SA-1.1</t>
  </si>
  <si>
    <t>SA-1</t>
  </si>
  <si>
    <t>System and Services Acquisition Policy and Procedure</t>
  </si>
  <si>
    <t>Are there formally documented policies and procedures for System and Services Acquisitions? If yes, please attach.</t>
  </si>
  <si>
    <t>SA-3.1</t>
  </si>
  <si>
    <t>SA-3</t>
  </si>
  <si>
    <t>System Development Life Cycle</t>
  </si>
  <si>
    <t>Does the organization define a comprehensive life cycle for the information system?</t>
  </si>
  <si>
    <t xml:space="preserve">164.314(a)(2)(i)
</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</si>
  <si>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</si>
  <si>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</si>
  <si>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SA-5</t>
  </si>
  <si>
    <t>Information System Documentation</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</si>
  <si>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</si>
  <si>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</si>
  <si>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</si>
  <si>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</si>
  <si>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</si>
  <si>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</si>
  <si>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SA-8</t>
  </si>
  <si>
    <t>Security Engineering Principles</t>
  </si>
  <si>
    <t>Does the organization apply information system security engineering principles in the specification, design, development, implementation, and modification of the information system.</t>
  </si>
  <si>
    <t>SA-10.1</t>
  </si>
  <si>
    <t>SA-10</t>
  </si>
  <si>
    <t>Developer Configuration Management</t>
  </si>
  <si>
    <t>Does the organization require the developer of the information system, system component or information system service to perform configuration, document the changes and implement only organization-approved configuration changes?</t>
  </si>
  <si>
    <t>SA-11.1</t>
  </si>
  <si>
    <t>SA-11</t>
  </si>
  <si>
    <t>Developer Security Testing and Evaluation</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</si>
  <si>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</si>
  <si>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System and Communications Protection</t>
  </si>
  <si>
    <t>SC-1.1</t>
  </si>
  <si>
    <t>SC-1</t>
  </si>
  <si>
    <t>System and Communications Protection
Policy and Procedures</t>
  </si>
  <si>
    <t>Do you have formally documented policies and procedures for System and Communications Protection? If yes, please attach.</t>
  </si>
  <si>
    <t>SC-2.1</t>
  </si>
  <si>
    <t>SC-2</t>
  </si>
  <si>
    <t>Application Partitioning</t>
  </si>
  <si>
    <t>Does The information system separate user functionality (including user interface services) from information system management functionality?</t>
  </si>
  <si>
    <t>SC-8.1</t>
  </si>
  <si>
    <t>SC-8</t>
  </si>
  <si>
    <t xml:space="preserve">164.312(c)(1)
164.312(c)(2)
164.312(e)(1) *From SC-09
164.312(e)(2)(i)
164.312(e)(2)(ii) *From SC-09
</t>
  </si>
  <si>
    <t>Transmission Confidentiality and Integrity</t>
  </si>
  <si>
    <t xml:space="preserve">Does the application/system utilize cryptographic protocols to protect the integrity of transmitted information? If yes, how is this achieved (e.g., SSL 2, SSL 3, TLS 1.0)? </t>
  </si>
  <si>
    <t>SC-8.2</t>
  </si>
  <si>
    <t xml:space="preserve">Does the application/system employ cryptographic mechanisms to recognize changes to information during transmission (such as hashing algorithms)? </t>
  </si>
  <si>
    <t>SC-10.1</t>
  </si>
  <si>
    <t>SC-10</t>
  </si>
  <si>
    <t>Network Disconnect</t>
  </si>
  <si>
    <t>Does the information system terminate network connection associated with a communication session at the end of the session or after no longer than 30 minutes of inactivity?</t>
  </si>
  <si>
    <t>SC-13.1</t>
  </si>
  <si>
    <t xml:space="preserve">164.312(a)(2)(iv)
164.312(e)(2)(ii)
</t>
  </si>
  <si>
    <t>Cryptographic Protection</t>
  </si>
  <si>
    <t>Does the information system use cryptographic protections? If yes, detail the encryption algorithm and strength in the comment (AES 128,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</si>
  <si>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</si>
  <si>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</si>
  <si>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</si>
  <si>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</si>
  <si>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</si>
  <si>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</si>
  <si>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SC-20.1</t>
  </si>
  <si>
    <t>SC-20</t>
  </si>
  <si>
    <t>Secure Name/Address Resolution Service (Authoritative Source)</t>
  </si>
  <si>
    <t>Does the information system provide additional data origin authentication and integrity verification artifacts along with the authoritative name resolution data the system returns in response to external name/address resolution queries?</t>
  </si>
  <si>
    <t>SC-21.1</t>
  </si>
  <si>
    <t>SC-21</t>
  </si>
  <si>
    <t>Secure Name/Address Resolution Service (Recursive or Caching Resolver)</t>
  </si>
  <si>
    <t>Does the information system request and perform data origin authentication and data integrity verification on the name/address resolution responses the system receives from authoritative sources?</t>
  </si>
  <si>
    <t>SC-23.1</t>
  </si>
  <si>
    <t>SC-23</t>
  </si>
  <si>
    <t>Session Authenticity</t>
  </si>
  <si>
    <t>Does the information system protect the authenticity of communication sessions?</t>
  </si>
  <si>
    <t>SC-28.1</t>
  </si>
  <si>
    <t>SC-28</t>
  </si>
  <si>
    <t>Protection of Information at Rest</t>
  </si>
  <si>
    <t>Does the organization support the capability to use cryptographic mechanisms to protect information at rest?  If yes, please provide the encryption algorithm and strength in the comments section.</t>
  </si>
  <si>
    <t>System and Information Integrity</t>
  </si>
  <si>
    <t>SI-1.1</t>
  </si>
  <si>
    <t>SI-1</t>
  </si>
  <si>
    <t xml:space="preserve">164.312(c)(1)
</t>
  </si>
  <si>
    <t>System and Information Integrity Policy and
Procedures</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</si>
  <si>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</si>
  <si>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</si>
  <si>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</si>
  <si>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</si>
  <si>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</si>
  <si>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</si>
  <si>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</si>
  <si>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Environment Scope Summary</t>
  </si>
  <si>
    <t>Service or Product?</t>
  </si>
  <si>
    <t>Data Types:</t>
  </si>
  <si>
    <t>Client Data Accessible  via:</t>
  </si>
  <si>
    <t>Certifications</t>
  </si>
  <si>
    <t>Environment Access</t>
  </si>
  <si>
    <t>Tier</t>
  </si>
  <si>
    <t>Client Tier</t>
  </si>
  <si>
    <t>Calc Tier</t>
  </si>
  <si>
    <t>Control Family</t>
  </si>
  <si>
    <t>Security Question</t>
  </si>
  <si>
    <t>Comment</t>
  </si>
  <si>
    <t>Calc Response</t>
  </si>
  <si>
    <t>Override</t>
  </si>
  <si>
    <t>Final Response</t>
  </si>
  <si>
    <t>Reviewer Comments</t>
  </si>
  <si>
    <t>FindOverrideChanges</t>
  </si>
  <si>
    <t>FinalResponse</t>
  </si>
  <si>
    <t>OverrideTier</t>
  </si>
  <si>
    <t>CheckOverrideChanges</t>
  </si>
  <si>
    <t>Access Controls</t>
  </si>
  <si>
    <t>Is an account automatically locked out after a set amount of login attempts? If yes, please provide the number of failed attempts that trigger an account to be locked out, in the comments section.</t>
  </si>
  <si>
    <t>Authentication &amp; Authorization</t>
  </si>
  <si>
    <t>Is token-based authentication required?</t>
  </si>
  <si>
    <t>Incident Response</t>
  </si>
  <si>
    <t>System Acquisition</t>
  </si>
  <si>
    <t>System Data Protection</t>
  </si>
  <si>
    <t xml:space="preserve">Does the application/system utilize crytopgraphis protoco;s to protect the integrity of transmitted information? If yes, how is this achieved (e.g., SSL 2, SSL 3, TLS 1.0)? </t>
  </si>
  <si>
    <t>Does the information system use cryptographic protections for data-in-transit? If yes, detail the encryption algorithm and strength in the comment (AES, 3DES, etc.)</t>
  </si>
  <si>
    <t>Does the organization support the capability to use cryptographic mechanisms to protect information at rest? If yes, please provide the encryption algorithm and strength in the comments section.</t>
  </si>
  <si>
    <t>System Data Integrity</t>
  </si>
  <si>
    <t>Count</t>
  </si>
  <si>
    <t>% of tier</t>
  </si>
  <si>
    <t>Grade Test</t>
  </si>
  <si>
    <t>A</t>
  </si>
  <si>
    <t>B</t>
  </si>
  <si>
    <t>C</t>
  </si>
  <si>
    <t>Blank</t>
  </si>
  <si>
    <t>D</t>
  </si>
  <si>
    <t>F</t>
  </si>
  <si>
    <t>Grade</t>
  </si>
  <si>
    <t>Tier 3</t>
  </si>
  <si>
    <t>Tier 4</t>
  </si>
  <si>
    <t>Security Assessment</t>
  </si>
  <si>
    <t>Configuration</t>
  </si>
  <si>
    <t>Contingency Planning</t>
  </si>
  <si>
    <t>Media Protection</t>
  </si>
  <si>
    <t>Physical Security</t>
  </si>
  <si>
    <t>Planning</t>
  </si>
  <si>
    <t>Risk Assessments</t>
  </si>
  <si>
    <t>Count of Inadequacies</t>
  </si>
  <si>
    <t>T1</t>
  </si>
  <si>
    <t>T2</t>
  </si>
  <si>
    <t>T3</t>
  </si>
  <si>
    <t>T4</t>
  </si>
  <si>
    <t xml:space="preserve">Initial Product Profile </t>
  </si>
  <si>
    <t>Yes/No</t>
  </si>
  <si>
    <t>•  Protected Health Information (PHI)</t>
  </si>
  <si>
    <t>•  Personally Identifiable Information (PII)</t>
  </si>
  <si>
    <t>•  Payment Card Industry (PCI)</t>
  </si>
  <si>
    <t>•  Employee Information</t>
  </si>
  <si>
    <t>•  Other? Please explain in the comments section</t>
  </si>
  <si>
    <t>•  Software-as-a-Service</t>
  </si>
  <si>
    <t>•  Locally installed</t>
  </si>
  <si>
    <t>•  Hybrid (please explain in the comments section)</t>
  </si>
  <si>
    <t>•  Other (please explain in the comments section)</t>
  </si>
  <si>
    <t>(6) Is your organization is providing remote support or maintenance services? If yes, please outline the scope of the data  to which your organization will have access.</t>
  </si>
  <si>
    <t>(7) If your organization is providing remote support/maintenance services, please describe the method used to establish remote access to the client's infrastructure/ product.</t>
  </si>
  <si>
    <t>Comprehensive Product Security Questionnaire</t>
  </si>
  <si>
    <t>Comments/Evidence:</t>
  </si>
  <si>
    <t>• SSAE16 (indicate Type 1 or 2)</t>
  </si>
  <si>
    <t>• SOC 2 (indicate Type 1 or 2)</t>
  </si>
  <si>
    <t>• SOC 3 (indicate Trust Service Principles maintained)</t>
  </si>
  <si>
    <t>• HITRUST</t>
  </si>
  <si>
    <t>• ISO 27001</t>
  </si>
  <si>
    <t>• FedRamp</t>
  </si>
  <si>
    <t>• CSA STAR (indicate Certification or Attestation)</t>
  </si>
  <si>
    <t>• PCI DSS</t>
  </si>
  <si>
    <t>• Other? Please explain the in comments section.</t>
  </si>
  <si>
    <t>• HackerSafe</t>
  </si>
  <si>
    <t>• SquareTrade</t>
  </si>
  <si>
    <t>• Qualys</t>
  </si>
  <si>
    <t>• SysTrust/WebTrust</t>
  </si>
  <si>
    <t>• Symantec Certified</t>
  </si>
  <si>
    <t>• Truste</t>
  </si>
  <si>
    <t>• Safe Harbor</t>
  </si>
  <si>
    <t>• CSA STAR Self-Assessment</t>
  </si>
  <si>
    <t>Vulnerability Testing &amp; Patching</t>
  </si>
  <si>
    <t>(15) If applicable, what was the date of the most recent vulnerability test?</t>
  </si>
  <si>
    <t>Malware Protection</t>
  </si>
  <si>
    <t>Security Incident Response</t>
  </si>
  <si>
    <t>(23) Does your organization maintain a formal incident response policy? If "Yes", please attach the relevant policy documentation. If "No", please explain your incident handling process that applies to the product</t>
  </si>
  <si>
    <t>Access Controls &amp; Audit logging</t>
  </si>
  <si>
    <t>• Login</t>
  </si>
  <si>
    <t>• Log off</t>
  </si>
  <si>
    <t>• Failed login attempts</t>
  </si>
  <si>
    <t>• Files/records viewed</t>
  </si>
  <si>
    <t>• Files/records modified</t>
  </si>
  <si>
    <t>• Files/records deleted</t>
  </si>
  <si>
    <t>Data Encryption</t>
  </si>
  <si>
    <t>Data Center &amp; Disaster Recovery</t>
  </si>
  <si>
    <t>Authentication</t>
  </si>
  <si>
    <t>Version 3.00 (On Prem+PSQ)</t>
  </si>
  <si>
    <t>(3) Please describe how the PeriCALM is integrated with the client's infrastructure.</t>
  </si>
  <si>
    <t>(4) Do you maintain any documentation which include the details of PeriCALM's security configuration specifications? If so, please attach in the comments section.</t>
  </si>
  <si>
    <t>(8) Is there a point of contact for which security related questions/concerns about PeriCALM can be resolved? If so, please provide contact information, including: position title, email, and phone number in the comments section.</t>
  </si>
  <si>
    <t>(9) In what year was PeriCALM   first offered as a product?</t>
  </si>
  <si>
    <t>(10) Has PeriCALM attained any of the following security certifications:</t>
  </si>
  <si>
    <t xml:space="preserve">(11) Has PeriCALM attained any of the following miscellaneous certifications: </t>
  </si>
  <si>
    <t xml:space="preserve">(13) If PeriCALM is locally installed at the client's premises, does your organization perform vulnerability testing as part of the product's development lifecycle and whenever new vulnerabilities are identified in the industry? </t>
  </si>
  <si>
    <t>(14) If PeriCALM is a hosted solution, does your organization perform periodic vulnerability testing ? If so, how frequently (weekly, monthly, quarterly, etc.) and what tools are used for testing?</t>
  </si>
  <si>
    <t>(16) Are there any known vulnerabilities within PeriCALM  ? If yes, please provide the details of the existing vulnerabilities and if an fix/patch has been applied or is available to clients for implementation in their environment.</t>
  </si>
  <si>
    <t>(18) If the PeriCALM is locally installed at the client's premises, does your organization maintain a formal security patch management process that covers how the product's patches are developed, tested and released to clients? If yes, please provide the documentation. If no formal documentation is maintained, please describe the process in detail.</t>
  </si>
  <si>
    <t>(19) If the PeriCALM is a hosted solution, does your organization maintain a formal security patch management process that covers how patches are developed, tested, and applied to the hosted product environment? If yes, please provide the documentation. If no formal documentation is maintained, please describe the process in detail</t>
  </si>
  <si>
    <t xml:space="preserve">(20) Has PeriCALM undergone any major platform changes, upgrades, or enhancements in the past six months? If so, please provide a date and brief description of the each change/upgrade/enhancement.  </t>
  </si>
  <si>
    <t>(21) If PeriCALM is locally hosted, does it come with its own malware protection? If not, is PeriCALM capable of integrating with the customer’s existing malware protection such as McAfee or Symantec?</t>
  </si>
  <si>
    <t>(22) If PeriCALM is offered as a hosted solution, is server-side malware protection employed? If so, can you provide the name of the malware protection used (e.g., Symantec, McAfee, etc.)?</t>
  </si>
  <si>
    <t xml:space="preserve">(24) Does PeriCALM maintain audit logging capabilities? If so, please indicate which of the following events are captured by the PeriCALM audit log: </t>
  </si>
  <si>
    <t>(27) Does PeriCALM  support federated identity? If so, how is federated identity achieved (e.g., Active Directory, LDAP, SAML, Single Sign-On, etc.)?</t>
  </si>
  <si>
    <t>(30) If the PeriCALM is a hosted solution, can PeriCALM encrypt data-in-transit?  If so, Please provide all cipher suites supported by PeriCALM for data-in-transit encryption (e.g., TLS_RSA_WITH_AES_256_CBC_SHA256, TLS_RSA_WITH_RC4_128_SHA, etc.).</t>
  </si>
  <si>
    <t>(31) If the PeriCALM is a hosted solution, can  PeriCALM encrypt data-at-rest?  If so, Please provide all cipher suites supported by the PeriCALM for data-at-rest encryption (e.g., AES 128, 3DES, AES 256, etc.)?</t>
  </si>
  <si>
    <t>(32) Is PeriCALM hosted in a certified data center? If so, what certification(s) does the data center maintain, and can you please attach copies of the full audit reports in the comments section?</t>
  </si>
  <si>
    <t>(33) Does VENDOR maintain a disaster recovery policy which applies to PeriCALM  ? What are the disaster recovery capabilities of PeriCALM  ?  If so, please describe the policy and attach any relevant documentation.</t>
  </si>
  <si>
    <t>(34) What are the password length and complexity requirements enforced by PeriCALM?</t>
  </si>
  <si>
    <t>(36) Does PeriCALM support multi-factor authentication (MFA)? If so, how is MFA achieved?</t>
  </si>
  <si>
    <t>(37) Does PeriCALM maintain an account lock out feature, activated after a certain number of failed login attempts? If so, how many login attempts trigger an account to be locked and what is the process for unlocking the account?</t>
  </si>
  <si>
    <t xml:space="preserve">(38) Do all PeriCALM customers access PeriCALM via a single login portal or is each customer’s implementation accessed via a unique login portal? </t>
  </si>
  <si>
    <t>(39) Can you provide the URL for the PeriCALM login? If so, please provide.</t>
  </si>
  <si>
    <t>Please provide a summary of how you will be connecting to the St.Luke's (SLUHN) Network (if applicable)</t>
  </si>
  <si>
    <t>St. Luke's (SLUHN) Business Owner completes the Inherent Risk Questionnaire ("IRQ") to facilitate better understanding of the scope of business between the Vendor and the organization for the vendor security risk management project.</t>
  </si>
  <si>
    <t>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</si>
  <si>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St. Luke's (SLUHN) data. Please provided a response to all questions for each identified environment.</t>
  </si>
  <si>
    <t xml:space="preserve">St. Luke's (SLUHN) is obligated by regulations and internal risk management policies to gain reasonable assurance that its vendors are protecting St. Luke's (SLUHN) data.  To meet this obligation, St. Luke's (SLUHN) is requiring vendors to complete this Vendor Security Questionnaire (VSQ) within 15 business days of receiving it. All "N/A" and "Partial" responses MUST be accompanied by an explanation in the comments column. Any questions should be directed to CORL Client Engagement clientengagement@corltech.com. 
</t>
  </si>
  <si>
    <t>Upon completion of this questionnaire, CORL and St. Luke's (SLUHN) will obtain evidence and assurances relating to the key controls as defined by the St. Luke's (SLUHN) team. Please indicate within the "Required Evidence" sheet whether you have provided the documentation requested by CORL and St. Luke's (SLUHN).
Instructions surrounding Evidence and Assurances:  The Vendor Profile Questions (VPQ) &amp; Scope sections include questions that relate to information about your organization and the products and services provided to St. Luke's (SLUHN).  The Vendor Security Questionnaire (worksheets 1-17)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</si>
  <si>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(1) Will PeriCALM process transmit or store the following types of St. Luke's (SLUHN)'s data:</t>
  </si>
  <si>
    <t>(2) Please select the implementation method for the product that St. Luke's (SLUHN) is utilizing/will utilize:</t>
  </si>
  <si>
    <t>(5) Please provide a detailed overview of how PeriCALM will access, transmit, or store St. Luke's (SLUHN) data?</t>
  </si>
  <si>
    <t>(25) Does PeriCALM support role-based account management and access controls (RBAC) that are managed by St. Luke's (SLUHN)?</t>
  </si>
  <si>
    <t xml:space="preserve">(26) If RBAC is supported, can a St. Luke's (SLUHN) administrator create/customize unique roles &amp; permissions? </t>
  </si>
  <si>
    <t>(28) If the PeriCALM is locally hosted, can St. Luke's (SLUHN) configure the PeriCALM to encrypt data-in-transit, as per their encryption policies? If so, Please provide all cipher suites supported by the PeriCALM for data-in-transit encryption (e.g., TLS_RSA_WITH_AES_256_CBC_SHA256, TLS_RSA_WITH_RC4_128_SHA, etc.).</t>
  </si>
  <si>
    <t>(29) If the PeriCALM is locally hosted, can St. Luke's (SLUHN) configure the PeriCALM to encrypt data-in-rest, as per their encryption policies? If so, Please provide all cipher suites supported by the PeriCALM for data-at-rest encryption (e.g., AES 128, 3DES, AES 256, etc.)?</t>
  </si>
  <si>
    <t>(35) If password requirements are configurable by St. Luke's (SLUHN)'s administrator, what are the default requirements?</t>
  </si>
  <si>
    <t xml:space="preserve">Instructions: Please identify all environments that will handle, process, transmit, or store St. Luke's (SLUHN) data. Please provided a response to all questions for each identified environment. </t>
  </si>
  <si>
    <t>What is the volume of St. Luke's (SLUHN) records that the identified environment will transmit, process, or store?</t>
  </si>
  <si>
    <t>have access into the St. Luke's (SLUHN) network for remote Support</t>
  </si>
  <si>
    <t>have access into the St. Luke's (SLUHN)  network to provide onsite support</t>
  </si>
  <si>
    <t>Have access to infrastructure that stores or transmits St. Luke's (SLUHN) data:</t>
  </si>
  <si>
    <t>Have access to a database or application that stores or transmits St. Luke's (SLUHN) data:</t>
  </si>
  <si>
    <t>Receive transmitted data from St. Luke's (SLUHN)</t>
  </si>
  <si>
    <t>Not access  St. Luke's (SLUHN)'s information</t>
  </si>
  <si>
    <t>What types of St. Luke's (SLUHN) information will the identified environment have access to:</t>
  </si>
  <si>
    <t>St. Luke's (SLUHN) Internal/Proprietary Information</t>
  </si>
  <si>
    <t>Please indicate if the identified environment will utilize the following device(s) to access and/or transmit St. Luke's (SLUHN) data:</t>
  </si>
  <si>
    <t>St. Luke's (SLUHN) Workstation</t>
  </si>
  <si>
    <t>St. Luke's (SLUHN) Mobile Device</t>
  </si>
  <si>
    <t>St. Luke's (SLUHN) Data Center</t>
  </si>
  <si>
    <t>Is any of the St. Luke's (SLUHN) data not covered by the scope of the above identified certifications?</t>
  </si>
  <si>
    <t>Is all St. Luke's (SLUHN) data encrypted at rest within the identified environment? If so, please provide the level of encryption utilized in the comments section</t>
  </si>
  <si>
    <t>Initial Vendor Profile Questionnaire - on behalf of St. Luke's (SLUHN)</t>
  </si>
  <si>
    <t>Is any St. Luke's (SLUHN) data accessed, transmitted, or stored outside of the United States?</t>
  </si>
  <si>
    <t>Please describe how your organization obtains data from St. Luke's (SLUHN). Include file type(s) and the medium(s) utilized to transmit the data (e.g., SFTP, Encrypted email).</t>
  </si>
  <si>
    <t>Instructions: 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</si>
  <si>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</si>
  <si>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</si>
  <si>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 xml:space="preserve">Does PeriGen employ an incident response officer?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</si>
  <si>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</si>
  <si>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</si>
  <si>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</si>
  <si>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</si>
  <si>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</si>
  <si>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to St. Luke's (SLUHN) data? If yes, please provide the name of the subcontractor(s) in the comments section.</t>
  </si>
  <si>
    <t>PeriGen Workstation</t>
  </si>
  <si>
    <t>PeriGen Mobile Device</t>
  </si>
  <si>
    <t>PeriGen Data Center</t>
  </si>
  <si>
    <t>PeriGen Mobiel Device</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</si>
  <si>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</si>
  <si>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</si>
  <si>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Bruno Bendavid</t>
  </si>
  <si>
    <t>SVP Product Management</t>
  </si>
  <si>
    <t>Product Management</t>
  </si>
  <si>
    <t>bruno.bendavid@perigen.coom</t>
  </si>
  <si>
    <t>514-978-0611</t>
  </si>
  <si>
    <t>IT infrastructure management</t>
  </si>
  <si>
    <t>No. Role part of product development</t>
  </si>
  <si>
    <t>Liability insurance is set to $5 million (both general and cyber)</t>
  </si>
  <si>
    <t>PeriGen has technical resources residing outside the United States; Montreal, Canada and Tel Aviv, Israel.  The primary support center is in Cary, NC (PeriGen HQ). These resources may from time to time analyze and troubleshoot the solution which may require access to ePHI data via approved connections. ePHI is never copied or stored outside the US.</t>
  </si>
  <si>
    <t>&lt;100</t>
  </si>
  <si>
    <t>No data collected outside the servers hosted by the SLUHN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</si>
  <si>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</si>
  <si>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</si>
  <si>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</si>
  <si>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</si>
  <si>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</si>
  <si>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</si>
  <si>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</si>
  <si>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</si>
  <si>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</si>
  <si>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</si>
  <si>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</si>
  <si>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</si>
  <si>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</si>
  <si>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unclear. PeriGen does not provide any workstation 
hardware. Only customer supplied stations are in scope.</t>
  </si>
  <si>
    <t>Bruno Bendavid. SVP Product Management. Bruno.bendavid@perigen.com, 514-978-0611</t>
  </si>
  <si>
    <t xml:space="preserve">HIPAA compliance functions are coded within the system design. To date there has not been an external assessment. PeriGen is presently engaged to perfrom such an audit  </t>
  </si>
  <si>
    <t>N/A (comment required)</t>
  </si>
  <si>
    <t>Not a hosted solution</t>
  </si>
  <si>
    <t>None that we are aware of</t>
  </si>
  <si>
    <t>OS Security patches are the responsibility of the customer. PeriGen provides patches on an ongoing basis as part of maintenance release. When such releases are available, PeriGen Ops departement reviewes the version release notes with the customer and ccordinates the right time for deployment/training (if applicable). All versions/patches are first deployed in TEST environment and are approved by the customer prior to deployment to PROD.</t>
  </si>
  <si>
    <t>Hosted by the customer</t>
  </si>
  <si>
    <t xml:space="preserve">PeriCALM Tracing server is installed locally at the customers data center. Interfaces include ADT, inbound/outbound HL7 &amp; Single-Sign-On functions with the EMR and diect connectivity to fetal monitors via RS232.  </t>
  </si>
  <si>
    <t xml:space="preserve">We only maintain configuration parameterrs that were chosen by each customer. Typicaly, all authentication is done based on AD users and groups where group management is done within PeriCALM for authorization. This is controlled by the customer. </t>
  </si>
  <si>
    <t>Commercialization started in 2003</t>
  </si>
  <si>
    <t>The system is known to work with all modern malware protection systems</t>
  </si>
  <si>
    <t>User authentication is AD based. Only groups are managed in the PeriCALM systems. Users are fully managed by AD. AD Group names must mirror groups created in PeriCALM and authenticated users that belonging to a matching group receive those PeriCALM configured group authorization settings,</t>
  </si>
  <si>
    <t>Not natively. Server OS level encryption is possible. Archive files are encrypted with AES256.</t>
  </si>
  <si>
    <t>NA</t>
  </si>
  <si>
    <t>AD managed</t>
  </si>
  <si>
    <t>Configurable</t>
  </si>
  <si>
    <t>PeriCALM is a thick client .Net application</t>
  </si>
  <si>
    <t>Vendor: PeriGen</t>
  </si>
  <si>
    <t>Product name: PeriCALM Tracings</t>
  </si>
  <si>
    <t>Date Completed: Dec 18, 2019</t>
  </si>
  <si>
    <t xml:space="preserve">Completed by: </t>
  </si>
  <si>
    <t>Name: Bruno Bendavid</t>
  </si>
  <si>
    <t>Phone: 514-978-0611</t>
  </si>
  <si>
    <t>Title: SVP Product Management</t>
  </si>
  <si>
    <t>Email: bruno.bendavid@perigen.com</t>
  </si>
  <si>
    <t>Assuming that "PeriGen data" means data generated by the customer on the PeriGen server/system.
All data obtained at the site (ADT, HL7 interface, fetal monitoring and manual documentation by clinical staff) is stored on the server hosted by the customer. There are no interfaces or transmission of data outside the customer secured network.</t>
  </si>
  <si>
    <t>PeriGen support has access to the PeriGen main server and the data stored on it for remote support. The data includes limited patient indentifiers (from ADT) and clinical data collected for these patients (tracings and vitals collected from fetal monitors and manually entered data charted by clinicians).</t>
  </si>
  <si>
    <t>All remote access is done via SecureLink which was approved by SLUHN.</t>
  </si>
  <si>
    <t>The system includes backup tasks of the object-oriented DB used by PeriCALM. These are backed-up by customer enterprise backup tasks. In addition, the system relies on customer VM infrastructure (HA options) and internal backup inrastructure for disaster recovery.</t>
  </si>
  <si>
    <t>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t>
  </si>
  <si>
    <t>Via AD authentication controls.</t>
  </si>
  <si>
    <t>Customer responsibility to train their internal administrators/super-users to periodically train end-users</t>
  </si>
  <si>
    <t>All security related topics are cover during initial training and user guides</t>
  </si>
  <si>
    <t>PeriGen does not provide propriatary internal QMS documents</t>
  </si>
  <si>
    <t>Yes as part of QA/QC process of product releases. That said, controls on customer provided servers is the responsibility of the customer.</t>
  </si>
  <si>
    <t>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t>
  </si>
  <si>
    <t>Only Audit logs or access via SecureLink</t>
  </si>
  <si>
    <t>Access to hospital is goverend by individual account / profile in SecureLink.</t>
  </si>
  <si>
    <t>All employees are screened during job interviews</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</si>
  <si>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</si>
  <si>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 logon/logoff
* Access from station (hostname)
* Screens access by user
* All data changes (old values, new values, user, dataTime)
All the above include username and dataTime</t>
  </si>
  <si>
    <t>Configuration is a site/customer specific. The system comes with some defaults (ex: everything is logged) but other configurations like AD/LDAP servers for authentication, interfaces, bed-configurations are all done according to customer needs.</t>
  </si>
  <si>
    <t xml:space="preserve">All changes to the system are coordinated with the csustomer and require customer approval. </t>
  </si>
  <si>
    <t>Always coordinated with the customer</t>
  </si>
  <si>
    <t>Records are maintained in our corporate ticketing system or as part of formal project(s) to add/change aspects of the system</t>
  </si>
  <si>
    <t>Some changes have auditable controls associated, others do not. For example, adding a mapped field from HL7. The new field will show in the audit trail but the action of adding the field in the mapping tables in the DB do not.</t>
  </si>
  <si>
    <t>common best practices are used with the limited controls offered by PeriCALM Tracings</t>
  </si>
  <si>
    <t>We review all components and 3rd party tools when planning major releases</t>
  </si>
  <si>
    <t>This is customer responsibility</t>
  </si>
  <si>
    <t>All configuration and development items are tracked  as part of the product development process</t>
  </si>
  <si>
    <t xml:space="preserve">Hardware specifications, data acquisition devices are documented per release and communicated to the customer when they change </t>
  </si>
  <si>
    <t>Only designated PeriGen personnel or trained customer IT personnel can install elements of the system</t>
  </si>
  <si>
    <t>Customer controlled</t>
  </si>
  <si>
    <t>Mostly, OS hot-fixes and patches are pushed directly to all environments. PeriGen software is always loaded on the TEST system and only pushed to PROD upon customer approval</t>
  </si>
  <si>
    <t>Case by case basis</t>
  </si>
  <si>
    <t>Customer responsibility to provide. PeriCALM Tracings supports authentication via LDAP</t>
  </si>
  <si>
    <t>All stations must be configured for access on the server. Identification is done by hostname (DNS)</t>
  </si>
  <si>
    <t>AD controlled</t>
  </si>
  <si>
    <t>If required. Case by case basis.</t>
  </si>
  <si>
    <t>see internal policy</t>
  </si>
  <si>
    <t>Customers regularly scan our application befor go-lives</t>
  </si>
  <si>
    <t>When/if discovered, they are funneled into the Change Control process and based on priority//severity, assigned to a maintenance release or hot-fix</t>
  </si>
  <si>
    <t>Only for archive files (long term encrypted and compressed XML documents)</t>
  </si>
  <si>
    <t>No such function exist in PeriCALM</t>
  </si>
  <si>
    <t>No such devioces supported. When the system is in use, the UI is showing and active data is being collected/traced on the screen</t>
  </si>
  <si>
    <t>Data is trasmitted from client to server over MSMQ messages which rely on DNS hostname validation/registration. Only configured station (by hostname) can open a session to the server and access data if authenticated.</t>
  </si>
  <si>
    <t>as mentioned above</t>
  </si>
  <si>
    <t>only by DNS resolution</t>
  </si>
  <si>
    <t>Not natively. That said, full server/disk  encryption is possible</t>
  </si>
  <si>
    <t>yes as it applies to conracts for customers purchasing the PeriCALM software modules</t>
  </si>
  <si>
    <t>PeriGen provide end-user and administrator  documentation that cover all aspects of the system include acces controls and configurations. PeriGen provide admin training to customer technical staff and ongoing management is customer responsibility</t>
  </si>
  <si>
    <t>End-user and admin guides are provided/available to users accessing the system in a clinical setting. Other material is provided directly to staff during training sessions</t>
  </si>
  <si>
    <t>For internal access control to access customer sites - Yes. Regular checks of PeriCALM system is the responsibility of the customer.</t>
  </si>
  <si>
    <t>PeriCALM Tracings Fetal monitoring application</t>
  </si>
  <si>
    <t>The PeriCALM application is installed on workstation at the bedside and nursing stations. Data is communicated between workstations and server. Not data is cached or saved on the workstation.</t>
  </si>
  <si>
    <t>PeriGen</t>
  </si>
  <si>
    <t>PeriCALM Tracings</t>
  </si>
  <si>
    <t>www.perigen.com</t>
  </si>
  <si>
    <t>bruno.bendavid@perigen.com</t>
  </si>
  <si>
    <t>There are no specific procedures for "configuration change controls". Product development life cycle and change control in general are  embedded within QMS SOPs and Procedures propriatary to PeriGen</t>
  </si>
  <si>
    <t>PeriGen SDLC procedures are extensive and propriatary  in compliance with FDA and MDSAP guidelines for class II Medical Devices. Secure coding practices are followed but not formally captured in a procedure. This is planned for 2020</t>
  </si>
  <si>
    <t>This is the clause in standard PeriGen contracts regarding Acceptable Use:
"PeriGen grants to Customer a non-exclusive, non-transferable license (“License”) to use the Software solely at the applicable Facility(ies) listed in the Order Form, solely in object code form and solely for Customer’s internal use.  Customer shall ensure that all Staff responsible for using the Software are properly trained.  Customer will be allowed to make and retain a copy of the Software for back up purposes only, in accordance with Customer’s standard policies.  Each copy of the Software is subject to all of the terms and conditions of this Agreement and must contain the same titles, trademarks, and copyright notices as the original.  Customer and its Staff shall not (i) copy, modify or change the Software in any manner except as may be expressly permitted herein; (ii) make any modifications to the operation or installation of the Software without the written consent of PeriGen;  (iii) sell, rent, lease, lend, reproduce, license, sublicense, distribute or otherwise transfer the Software or  decompile, disassemble or reverse engineer the Software or any PeriGen Intellectual Property, in whole or in part; (iv) write or develop any derivative technology including, without limitation, any other software program based upon the Software or any PeriGen Intellectual Property; (v) use the Software to provide any facility management, service bureau or similar services to third parties; (vi) modify or attempt to modify the Software’s configuration without the prior written consent of PeriGen, to be given in PeriGen’s sole discretion, and any intervention or actions required to be taken by PeriGen with respect to such unauthorized modifications shall be at Customer’s expense; or (vii) remove any copyright, patent, trademark or other proprietary or restrictive notice or legend contained or included in any PeriGen Intellectual Property or any copies thereof.  Customer shall only use PeriGen-certified FDA compliant fetal monitor cables, if applicable. "</t>
  </si>
  <si>
    <t>Maybe clause in contract and allowed change control (like MS patches)</t>
  </si>
  <si>
    <t>No mobile code applicable for PeriCALM Tracings</t>
  </si>
  <si>
    <t xml:space="preserve">Guidelines and environments provided by the customer based on PeriGen provided specifications. See the attached System Specification. </t>
  </si>
  <si>
    <t>See attached SDLC master policy/procedure</t>
  </si>
  <si>
    <t>Controlled by customer IT policies. Only PeriGen employees can install the customer approved software version. Signed document are maintained for each installation. See an attached example.</t>
  </si>
  <si>
    <t>See the attached PeriGen Privacy &amp; Security Policy and Procedures document</t>
  </si>
  <si>
    <t>Embedded in SDLC process. Each flaw is assessed individulay and scheduled for release according to severity/priority. There is no direct document to demonstrate that other than what is covered in SDLC policy.</t>
  </si>
  <si>
    <t>Tracking is done within our development systems (VSTS). It isnt possible/practical to provide such a report.</t>
  </si>
  <si>
    <t>See the attached system specifications</t>
  </si>
  <si>
    <t>See 2 examples of system specifictaion for the version 3.18.04 and 3.18.05</t>
  </si>
  <si>
    <t>There are no collaborative devices being used at PeriGen as specified in 15.1</t>
  </si>
  <si>
    <t>See attached sample report from our automated system</t>
  </si>
  <si>
    <t>See attached</t>
  </si>
  <si>
    <t>Corporate policy as of Office 365 E5 service. See the attached screenshot for corporate SPAM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</si>
</sst>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56"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sz val="10"/>
      <color theme="0"/>
      <name val="Times New Roman"/>
      <family val="1"/>
    </font>
    <font>
      <i/>
      <sz val="9"/>
      <name val="Arial"/>
      <family val="2"/>
    </font>
    <font>
      <b/>
      <sz val="9"/>
      <name val="Arial"/>
      <family val="2"/>
    </font>
    <font>
      <b/>
      <sz val="12"/>
      <color theme="0"/>
      <name val="Arial"/>
      <family val="2"/>
    </font>
    <font>
      <sz val="10"/>
      <color theme="1"/>
      <name val="Arial"/>
      <family val="2"/>
    </font>
    <font>
      <sz val="12"/>
      <color theme="1"/>
      <name val="Calibri"/>
      <family val="2"/>
      <scheme val="minor"/>
    </font>
    <font>
      <sz val="9"/>
      <color rgb="FFFF0000"/>
      <name val="Arial"/>
      <family val="2"/>
    </font>
    <font>
      <b/>
      <sz val="12"/>
      <color theme="4" tint="-0.249977111117893"/>
      <name val="Arial"/>
      <family val="2"/>
    </font>
    <font>
      <sz val="12"/>
      <color theme="4" tint="-0.249977111117893"/>
      <name val="Arial"/>
      <family val="2"/>
    </font>
    <font>
      <sz val="12"/>
      <color theme="1"/>
      <name val="Arial"/>
      <family val="2"/>
    </font>
    <font>
      <sz val="12"/>
      <name val="Arial"/>
      <family val="2"/>
    </font>
    <font>
      <b/>
      <sz val="12"/>
      <color rgb="FFFF0000"/>
      <name val="Arial"/>
      <family val="2"/>
    </font>
    <font>
      <sz val="9"/>
      <color rgb="FF0070C0"/>
      <name val="Arial"/>
      <family val="2"/>
    </font>
    <font>
      <b/>
      <sz val="9"/>
      <color indexed="81"/>
      <name val="Tahoma"/>
      <family val="2"/>
    </font>
    <font>
      <sz val="11"/>
      <color theme="1"/>
      <name val="Arial"/>
      <family val="2"/>
    </font>
    <font>
      <sz val="9"/>
      <color indexed="81"/>
      <name val="Tahoma"/>
      <family val="2"/>
    </font>
    <font>
      <b/>
      <sz val="11"/>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sz val="14"/>
      <color theme="0"/>
      <name val="Calibri"/>
      <family val="2"/>
      <scheme val="minor"/>
    </font>
    <font>
      <b/>
      <sz val="12"/>
      <color theme="0"/>
      <name val="Calibri"/>
      <family val="2"/>
      <scheme val="minor"/>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u/>
      <sz val="11"/>
      <color theme="10"/>
      <name val="Calibri"/>
      <family val="2"/>
      <scheme val="minor"/>
    </font>
    <font>
      <sz val="11"/>
      <color theme="1"/>
      <name val="Calibri"/>
      <family val="2"/>
      <scheme val="minor"/>
    </font>
    <font>
      <sz val="72"/>
      <color theme="1"/>
      <name val="Calibri"/>
      <family val="2"/>
      <scheme val="minor"/>
    </font>
    <font>
      <sz val="9"/>
      <color theme="0"/>
      <name val="Arial"/>
      <family val="2"/>
    </font>
    <font>
      <b/>
      <sz val="22"/>
      <color rgb="FFFFFFFF"/>
      <name val="Cambria"/>
      <family val="1"/>
    </font>
    <font>
      <b/>
      <sz val="14"/>
      <color rgb="FFFFFFFF"/>
      <name val="Cambria"/>
      <family val="1"/>
    </font>
    <font>
      <b/>
      <sz val="24"/>
      <color theme="0"/>
      <name val="Cambria"/>
      <family val="1"/>
    </font>
    <font>
      <sz val="24"/>
      <color rgb="FF000000"/>
      <name val="Cambria"/>
      <family val="1"/>
    </font>
    <font>
      <b/>
      <sz val="16"/>
      <color theme="1"/>
      <name val="Cambria"/>
      <family val="1"/>
    </font>
    <font>
      <b/>
      <sz val="16"/>
      <color rgb="FFF8F8F8"/>
      <name val="Cambria"/>
      <family val="1"/>
    </font>
    <font>
      <i/>
      <sz val="11"/>
      <name val="Cambria"/>
      <family val="1"/>
    </font>
    <font>
      <sz val="11"/>
      <color rgb="FFFF0000"/>
      <name val="Cambria"/>
      <family val="1"/>
    </font>
    <font>
      <sz val="11"/>
      <name val="Cambria"/>
      <family val="1"/>
    </font>
    <font>
      <b/>
      <sz val="16"/>
      <name val="Cambria"/>
      <family val="1"/>
    </font>
    <font>
      <b/>
      <sz val="16"/>
      <color theme="0"/>
      <name val="Cambria"/>
      <family val="1"/>
    </font>
    <font>
      <sz val="16"/>
      <name val="Cambria"/>
      <family val="1"/>
    </font>
  </fonts>
  <fills count="2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double">
        <color indexed="64"/>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double">
        <color indexed="64"/>
      </right>
      <top/>
      <bottom/>
      <diagonal/>
    </border>
    <border>
      <left/>
      <right/>
      <top style="double">
        <color indexed="64"/>
      </top>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40" fillId="0" borderId="0" applyNumberFormat="0" applyFill="0" applyBorder="0" applyAlignment="0" applyProtection="0"/>
  </cellStyleXfs>
  <cellXfs count="388">
    <xf numFmtId="0" fontId="0" fillId="0" borderId="0" xfId="0"/>
    <xf numFmtId="0" fontId="2" fillId="0" borderId="1" xfId="0" applyFont="1" applyBorder="1" applyAlignment="1">
      <alignment horizontal="left" wrapText="1"/>
    </xf>
    <xf numFmtId="0" fontId="5" fillId="4"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2" borderId="4" xfId="0" applyFont="1" applyFill="1" applyBorder="1" applyAlignment="1">
      <alignment horizontal="left" vertical="center" wrapText="1"/>
    </xf>
    <xf numFmtId="164" fontId="2" fillId="0" borderId="1" xfId="0" applyNumberFormat="1" applyFont="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lignment horizontal="left" indent="11"/>
    </xf>
    <xf numFmtId="0" fontId="12" fillId="0" borderId="0" xfId="0" applyFont="1"/>
    <xf numFmtId="0" fontId="13"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7" borderId="0" xfId="0" applyFont="1" applyFill="1" applyAlignment="1">
      <alignment vertical="center" wrapText="1"/>
    </xf>
    <xf numFmtId="0" fontId="2" fillId="7" borderId="2" xfId="0" applyFont="1" applyFill="1" applyBorder="1" applyAlignment="1">
      <alignment vertical="center" wrapText="1"/>
    </xf>
    <xf numFmtId="0" fontId="17" fillId="3" borderId="0" xfId="0" applyFont="1" applyFill="1"/>
    <xf numFmtId="0" fontId="17" fillId="0" borderId="0" xfId="0" applyFont="1"/>
    <xf numFmtId="0" fontId="17" fillId="7" borderId="0" xfId="0" applyFont="1" applyFill="1"/>
    <xf numFmtId="0" fontId="18" fillId="7" borderId="0" xfId="0" applyFont="1" applyFill="1" applyAlignment="1">
      <alignment vertical="center" wrapText="1"/>
    </xf>
    <xf numFmtId="0" fontId="13" fillId="3" borderId="0" xfId="0" applyFont="1" applyFill="1"/>
    <xf numFmtId="0" fontId="20" fillId="3" borderId="8" xfId="0" applyFont="1" applyFill="1" applyBorder="1" applyAlignment="1">
      <alignment vertical="center" wrapText="1"/>
    </xf>
    <xf numFmtId="0" fontId="20" fillId="3" borderId="10" xfId="0" applyFont="1" applyFill="1" applyBorder="1" applyAlignment="1">
      <alignment vertical="center" wrapText="1"/>
    </xf>
    <xf numFmtId="0" fontId="20" fillId="3" borderId="12" xfId="0" applyFont="1" applyFill="1" applyBorder="1" applyAlignment="1">
      <alignment vertical="center" wrapText="1"/>
    </xf>
    <xf numFmtId="0" fontId="11" fillId="5" borderId="7" xfId="0" applyFont="1" applyFill="1" applyBorder="1" applyAlignment="1">
      <alignment vertical="center"/>
    </xf>
    <xf numFmtId="0" fontId="11" fillId="5" borderId="11" xfId="0" applyFont="1" applyFill="1" applyBorder="1" applyAlignment="1">
      <alignment vertical="center"/>
    </xf>
    <xf numFmtId="0" fontId="11" fillId="5" borderId="3" xfId="0" applyFont="1" applyFill="1" applyBorder="1" applyAlignment="1">
      <alignment vertical="center"/>
    </xf>
    <xf numFmtId="0" fontId="12" fillId="0" borderId="1" xfId="0" applyFont="1" applyBorder="1" applyAlignment="1">
      <alignment vertical="center" wrapText="1"/>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wrapText="1"/>
    </xf>
    <xf numFmtId="49" fontId="6" fillId="3" borderId="1" xfId="0" applyNumberFormat="1" applyFont="1" applyFill="1" applyBorder="1" applyAlignment="1">
      <alignment vertical="center" wrapText="1"/>
    </xf>
    <xf numFmtId="49" fontId="7" fillId="3" borderId="1" xfId="0" applyNumberFormat="1" applyFont="1" applyFill="1" applyBorder="1" applyAlignment="1">
      <alignment vertical="center" wrapText="1"/>
    </xf>
    <xf numFmtId="0" fontId="22" fillId="0" borderId="0" xfId="0" applyFont="1"/>
    <xf numFmtId="0" fontId="12" fillId="0" borderId="0" xfId="0" applyFont="1" applyAlignment="1">
      <alignment horizontal="left" vertical="center"/>
    </xf>
    <xf numFmtId="0" fontId="22" fillId="0" borderId="0" xfId="0" applyFont="1" applyAlignment="1">
      <alignment horizontal="center"/>
    </xf>
    <xf numFmtId="0" fontId="12" fillId="0" borderId="1" xfId="0" applyFont="1" applyBorder="1" applyAlignment="1">
      <alignment horizontal="left" vertical="center"/>
    </xf>
    <xf numFmtId="16" fontId="2" fillId="0" borderId="0" xfId="0" applyNumberFormat="1" applyFont="1"/>
    <xf numFmtId="0" fontId="1" fillId="2" borderId="1" xfId="0" applyFont="1" applyFill="1" applyBorder="1" applyAlignment="1">
      <alignment horizontal="left" vertical="center"/>
    </xf>
    <xf numFmtId="0" fontId="0" fillId="8" borderId="0" xfId="0" applyFill="1"/>
    <xf numFmtId="0" fontId="2" fillId="9" borderId="0" xfId="0" applyFont="1" applyFill="1"/>
    <xf numFmtId="0" fontId="2" fillId="10" borderId="0" xfId="0" applyFont="1" applyFill="1"/>
    <xf numFmtId="0" fontId="2" fillId="5" borderId="0" xfId="0" applyFont="1" applyFill="1"/>
    <xf numFmtId="0" fontId="2" fillId="8" borderId="0" xfId="0" applyFont="1" applyFill="1" applyAlignment="1">
      <alignment wrapText="1"/>
    </xf>
    <xf numFmtId="0" fontId="2" fillId="0" borderId="0" xfId="0" applyFont="1" applyAlignment="1">
      <alignment wrapText="1"/>
    </xf>
    <xf numFmtId="0" fontId="6" fillId="0" borderId="0" xfId="0" applyFont="1" applyAlignment="1">
      <alignment horizontal="center" vertical="center" wrapText="1"/>
    </xf>
    <xf numFmtId="0" fontId="24" fillId="4" borderId="0" xfId="0" applyFont="1" applyFill="1"/>
    <xf numFmtId="0" fontId="0" fillId="11" borderId="0" xfId="0" applyFill="1"/>
    <xf numFmtId="0" fontId="6" fillId="0" borderId="0" xfId="0" applyFont="1" applyAlignment="1">
      <alignment horizontal="center" vertical="center"/>
    </xf>
    <xf numFmtId="0" fontId="0" fillId="0" borderId="1" xfId="0" applyBorder="1"/>
    <xf numFmtId="0" fontId="24" fillId="4" borderId="0" xfId="0" applyFont="1" applyFill="1" applyAlignment="1">
      <alignment horizontal="left"/>
    </xf>
    <xf numFmtId="0" fontId="6" fillId="0" borderId="0" xfId="0" applyFont="1" applyAlignment="1">
      <alignment horizontal="left" vertical="center"/>
    </xf>
    <xf numFmtId="0" fontId="0" fillId="0" borderId="0" xfId="0" applyAlignment="1">
      <alignment horizontal="left"/>
    </xf>
    <xf numFmtId="0" fontId="6" fillId="0" borderId="0" xfId="0" applyFont="1" applyAlignment="1">
      <alignment vertical="center"/>
    </xf>
    <xf numFmtId="0" fontId="10" fillId="0" borderId="0" xfId="0" applyFont="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center" vertical="center"/>
    </xf>
    <xf numFmtId="0" fontId="22" fillId="0" borderId="1" xfId="0" applyFont="1" applyBorder="1" applyAlignment="1">
      <alignment horizontal="left" vertical="center"/>
    </xf>
    <xf numFmtId="0" fontId="12" fillId="0" borderId="1" xfId="0" applyFont="1" applyBorder="1" applyAlignment="1">
      <alignment horizontal="center"/>
    </xf>
    <xf numFmtId="0" fontId="24" fillId="10" borderId="0" xfId="0" applyFont="1" applyFill="1"/>
    <xf numFmtId="0" fontId="11" fillId="4" borderId="7" xfId="0" applyFont="1" applyFill="1" applyBorder="1" applyAlignment="1">
      <alignment vertical="center"/>
    </xf>
    <xf numFmtId="0" fontId="11" fillId="4" borderId="0" xfId="0" applyFont="1" applyFill="1" applyAlignment="1">
      <alignment vertical="center"/>
    </xf>
    <xf numFmtId="0" fontId="11" fillId="4" borderId="2" xfId="0" applyFont="1" applyFill="1" applyBorder="1" applyAlignment="1">
      <alignment vertical="center"/>
    </xf>
    <xf numFmtId="0" fontId="11" fillId="0" borderId="33" xfId="0" applyFont="1" applyBorder="1" applyAlignment="1">
      <alignment vertical="center"/>
    </xf>
    <xf numFmtId="0" fontId="11" fillId="0" borderId="0" xfId="0" applyFont="1" applyAlignment="1">
      <alignment vertical="center"/>
    </xf>
    <xf numFmtId="0" fontId="12" fillId="0" borderId="5" xfId="0" applyFont="1" applyBorder="1" applyAlignment="1">
      <alignment vertical="center" wrapText="1"/>
    </xf>
    <xf numFmtId="0" fontId="20" fillId="0" borderId="33" xfId="0" applyFont="1" applyBorder="1" applyAlignment="1">
      <alignment horizontal="left" vertical="center" wrapText="1"/>
    </xf>
    <xf numFmtId="0" fontId="20" fillId="0" borderId="0" xfId="0" applyFont="1" applyAlignment="1">
      <alignment horizontal="left" vertical="center" wrapText="1"/>
    </xf>
    <xf numFmtId="0" fontId="0" fillId="0" borderId="33" xfId="0" applyBorder="1"/>
    <xf numFmtId="0" fontId="27" fillId="12" borderId="1" xfId="0" applyFont="1" applyFill="1" applyBorder="1" applyAlignment="1">
      <alignment vertical="top" wrapText="1"/>
    </xf>
    <xf numFmtId="0" fontId="27" fillId="12" borderId="34"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Border="1" applyAlignment="1" applyProtection="1">
      <alignment vertical="top" wrapText="1"/>
      <protection locked="0"/>
    </xf>
    <xf numFmtId="0" fontId="28" fillId="0" borderId="34" xfId="0" applyFont="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28" fillId="13" borderId="22" xfId="0" applyFont="1" applyFill="1" applyBorder="1" applyAlignment="1">
      <alignment horizontal="left" vertical="top" wrapText="1"/>
    </xf>
    <xf numFmtId="0" fontId="28" fillId="0" borderId="22" xfId="0" applyFont="1" applyBorder="1" applyAlignment="1" applyProtection="1">
      <alignment vertical="top" wrapText="1"/>
      <protection locked="0"/>
    </xf>
    <xf numFmtId="0" fontId="33" fillId="4" borderId="25" xfId="0" applyFont="1" applyFill="1" applyBorder="1" applyAlignment="1">
      <alignment horizontal="center"/>
    </xf>
    <xf numFmtId="0" fontId="33" fillId="4" borderId="26" xfId="0" applyFont="1" applyFill="1" applyBorder="1" applyAlignment="1">
      <alignment horizontal="center"/>
    </xf>
    <xf numFmtId="0" fontId="33" fillId="4" borderId="17" xfId="0" applyFont="1" applyFill="1" applyBorder="1" applyAlignment="1">
      <alignment horizontal="center"/>
    </xf>
    <xf numFmtId="0" fontId="33" fillId="4" borderId="18" xfId="0" applyFont="1" applyFill="1" applyBorder="1" applyAlignment="1">
      <alignment horizontal="center"/>
    </xf>
    <xf numFmtId="0" fontId="27" fillId="4" borderId="6" xfId="0" applyFont="1" applyFill="1" applyBorder="1" applyAlignment="1">
      <alignment vertical="top" wrapText="1"/>
    </xf>
    <xf numFmtId="0" fontId="28" fillId="13" borderId="34" xfId="0" applyFont="1" applyFill="1" applyBorder="1" applyAlignment="1">
      <alignment horizontal="left" vertical="top" wrapText="1"/>
    </xf>
    <xf numFmtId="0" fontId="28" fillId="0" borderId="23" xfId="0" applyFont="1" applyBorder="1" applyAlignment="1" applyProtection="1">
      <alignment horizontal="center" vertical="center" wrapText="1"/>
      <protection locked="0"/>
    </xf>
    <xf numFmtId="0" fontId="28" fillId="0" borderId="24" xfId="0" applyFont="1" applyBorder="1" applyAlignment="1" applyProtection="1">
      <alignment horizontal="center" vertical="center" wrapText="1"/>
      <protection locked="0"/>
    </xf>
    <xf numFmtId="0" fontId="28" fillId="13" borderId="44" xfId="0" applyFont="1" applyFill="1" applyBorder="1" applyAlignment="1">
      <alignment horizontal="left" vertical="top" wrapText="1"/>
    </xf>
    <xf numFmtId="0" fontId="28" fillId="0" borderId="19" xfId="0" applyFont="1" applyBorder="1" applyAlignment="1" applyProtection="1">
      <alignment horizontal="center" vertical="center" wrapText="1"/>
      <protection locked="0"/>
    </xf>
    <xf numFmtId="0" fontId="28" fillId="0" borderId="21" xfId="0" applyFont="1" applyBorder="1" applyAlignment="1" applyProtection="1">
      <alignment horizontal="center" vertical="center" wrapText="1"/>
      <protection locked="0"/>
    </xf>
    <xf numFmtId="0" fontId="27" fillId="4" borderId="46" xfId="0" applyFont="1" applyFill="1" applyBorder="1" applyAlignment="1">
      <alignment horizontal="left" vertical="top" wrapText="1"/>
    </xf>
    <xf numFmtId="0" fontId="28" fillId="0" borderId="47" xfId="0" applyFont="1" applyBorder="1" applyAlignment="1" applyProtection="1">
      <alignment horizontal="center" vertical="center" wrapText="1"/>
      <protection locked="0"/>
    </xf>
    <xf numFmtId="0" fontId="28" fillId="0" borderId="48"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9" fillId="0" borderId="19" xfId="0" applyFont="1" applyBorder="1" applyAlignment="1" applyProtection="1">
      <alignment horizontal="center" vertical="center" wrapText="1"/>
      <protection locked="0"/>
    </xf>
    <xf numFmtId="0" fontId="29" fillId="0" borderId="21" xfId="0" applyFont="1" applyBorder="1" applyAlignment="1" applyProtection="1">
      <alignment horizontal="center" vertical="center" wrapText="1"/>
      <protection locked="0"/>
    </xf>
    <xf numFmtId="0" fontId="31" fillId="4" borderId="49" xfId="0" applyFont="1" applyFill="1" applyBorder="1" applyAlignment="1">
      <alignment wrapText="1"/>
    </xf>
    <xf numFmtId="0" fontId="28" fillId="0" borderId="39" xfId="0" applyFont="1" applyBorder="1" applyAlignment="1" applyProtection="1">
      <alignment horizontal="center" vertical="center" wrapText="1"/>
      <protection locked="0"/>
    </xf>
    <xf numFmtId="0" fontId="31" fillId="4" borderId="46" xfId="0" applyFont="1" applyFill="1" applyBorder="1" applyAlignment="1">
      <alignment wrapText="1"/>
    </xf>
    <xf numFmtId="0" fontId="31" fillId="4" borderId="50" xfId="0" applyFont="1" applyFill="1" applyBorder="1" applyAlignment="1">
      <alignment wrapText="1"/>
    </xf>
    <xf numFmtId="0" fontId="17" fillId="7" borderId="0" xfId="0" applyFont="1" applyFill="1" applyAlignment="1">
      <alignment horizontal="left"/>
    </xf>
    <xf numFmtId="0" fontId="0" fillId="0" borderId="1" xfId="0" applyBorder="1" applyAlignment="1">
      <alignment wrapText="1"/>
    </xf>
    <xf numFmtId="0" fontId="20" fillId="0" borderId="34" xfId="0" applyFont="1" applyBorder="1" applyAlignment="1" applyProtection="1">
      <alignment horizontal="left" vertical="center" wrapText="1"/>
      <protection locked="0"/>
    </xf>
    <xf numFmtId="0" fontId="20" fillId="0" borderId="1" xfId="0" applyFont="1" applyBorder="1" applyAlignment="1" applyProtection="1">
      <alignment vertical="center" wrapText="1"/>
      <protection locked="0"/>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14" fillId="0" borderId="1" xfId="0" applyFont="1" applyBorder="1" applyAlignment="1" applyProtection="1">
      <alignment vertical="center"/>
      <protection locked="0"/>
    </xf>
    <xf numFmtId="0" fontId="31" fillId="0" borderId="19" xfId="0" applyFont="1" applyBorder="1" applyAlignment="1" applyProtection="1">
      <alignment horizontal="center" vertical="center"/>
      <protection locked="0"/>
    </xf>
    <xf numFmtId="0" fontId="31" fillId="0" borderId="21" xfId="0" applyFont="1" applyBorder="1" applyAlignment="1" applyProtection="1">
      <alignment horizontal="center" vertical="center" wrapText="1"/>
      <protection locked="0"/>
    </xf>
    <xf numFmtId="0" fontId="29" fillId="0" borderId="48" xfId="0" applyFont="1" applyBorder="1" applyAlignment="1" applyProtection="1">
      <alignment horizontal="center" vertical="center" wrapText="1"/>
      <protection locked="0"/>
    </xf>
    <xf numFmtId="0" fontId="29" fillId="0" borderId="41" xfId="0" applyFont="1" applyBorder="1" applyAlignment="1" applyProtection="1">
      <alignment horizontal="center" vertical="center" wrapText="1"/>
      <protection locked="0"/>
    </xf>
    <xf numFmtId="0" fontId="0" fillId="0" borderId="0" xfId="0" applyProtection="1">
      <protection locked="0"/>
    </xf>
    <xf numFmtId="0" fontId="5" fillId="4" borderId="13" xfId="0" applyFont="1" applyFill="1" applyBorder="1" applyAlignment="1">
      <alignment horizontal="left" vertical="center" wrapText="1"/>
    </xf>
    <xf numFmtId="0" fontId="5"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5" fillId="4" borderId="1" xfId="0" applyFont="1" applyFill="1" applyBorder="1" applyAlignment="1">
      <alignment vertical="center"/>
    </xf>
    <xf numFmtId="0" fontId="0" fillId="0" borderId="0" xfId="0" applyAlignment="1">
      <alignment horizontal="center" vertical="top" wrapText="1"/>
    </xf>
    <xf numFmtId="0" fontId="17" fillId="0" borderId="0" xfId="0" applyFont="1" applyAlignment="1">
      <alignment vertical="center"/>
    </xf>
    <xf numFmtId="0" fontId="24" fillId="4" borderId="0" xfId="0" applyFont="1" applyFill="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1" applyFont="1" applyAlignment="1">
      <alignment vertical="center" wrapText="1"/>
    </xf>
    <xf numFmtId="0" fontId="2" fillId="0" borderId="0" xfId="0" applyFont="1" applyAlignment="1">
      <alignment horizontal="left" wrapText="1"/>
    </xf>
    <xf numFmtId="0" fontId="6" fillId="0" borderId="0" xfId="1" applyFont="1" applyAlignment="1">
      <alignment horizontal="left" vertical="center" wrapText="1"/>
    </xf>
    <xf numFmtId="0" fontId="0" fillId="0" borderId="0" xfId="0" applyAlignment="1">
      <alignment horizontal="left" wrapText="1"/>
    </xf>
    <xf numFmtId="0" fontId="12" fillId="0" borderId="1" xfId="0" applyFont="1" applyBorder="1" applyAlignment="1">
      <alignment wrapText="1"/>
    </xf>
    <xf numFmtId="0" fontId="5" fillId="4" borderId="55" xfId="0" applyFont="1" applyFill="1" applyBorder="1" applyAlignment="1">
      <alignment horizontal="left" vertical="center"/>
    </xf>
    <xf numFmtId="0" fontId="5" fillId="4" borderId="1" xfId="0" applyFont="1" applyFill="1" applyBorder="1" applyAlignment="1">
      <alignment horizontal="left" vertical="center"/>
    </xf>
    <xf numFmtId="0" fontId="12" fillId="0" borderId="1" xfId="0" applyFont="1" applyBorder="1"/>
    <xf numFmtId="0" fontId="12" fillId="0" borderId="1" xfId="0" applyFont="1" applyBorder="1" applyAlignment="1" applyProtection="1">
      <alignment horizontal="left" vertical="center"/>
      <protection locked="0"/>
    </xf>
    <xf numFmtId="0" fontId="29" fillId="13" borderId="20" xfId="0" applyFont="1" applyFill="1" applyBorder="1" applyAlignment="1">
      <alignment horizontal="left" vertical="center" wrapText="1"/>
    </xf>
    <xf numFmtId="0" fontId="0" fillId="0" borderId="44" xfId="0" applyBorder="1" applyProtection="1">
      <protection locked="0"/>
    </xf>
    <xf numFmtId="0" fontId="6" fillId="0" borderId="1" xfId="0" applyFont="1" applyBorder="1" applyAlignment="1" applyProtection="1">
      <alignment horizontal="center" vertical="center" wrapText="1"/>
      <protection locked="0"/>
    </xf>
    <xf numFmtId="0" fontId="28" fillId="0" borderId="34"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26" fillId="4"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40" fillId="3" borderId="1" xfId="14" applyFill="1"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40" fillId="0" borderId="1" xfId="14" applyBorder="1" applyAlignment="1" applyProtection="1">
      <alignment horizontal="center" vertical="center" wrapText="1"/>
      <protection locked="0"/>
    </xf>
    <xf numFmtId="0" fontId="1"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xf>
    <xf numFmtId="0" fontId="0" fillId="0" borderId="1" xfId="0" applyBorder="1" applyAlignment="1">
      <alignment horizontal="center" vertical="center"/>
    </xf>
    <xf numFmtId="0" fontId="10" fillId="3" borderId="22" xfId="0" applyFont="1" applyFill="1" applyBorder="1" applyAlignment="1">
      <alignment horizontal="center" vertical="center"/>
    </xf>
    <xf numFmtId="0" fontId="6" fillId="3" borderId="5" xfId="0" applyFont="1" applyFill="1" applyBorder="1" applyAlignment="1">
      <alignment horizontal="left" vertical="center" wrapText="1"/>
    </xf>
    <xf numFmtId="0" fontId="40" fillId="3" borderId="5" xfId="14" applyFill="1" applyBorder="1" applyAlignment="1" applyProtection="1">
      <alignment horizontal="left" vertical="center"/>
      <protection locked="0"/>
    </xf>
    <xf numFmtId="0" fontId="41" fillId="0" borderId="27" xfId="0" applyFont="1" applyBorder="1"/>
    <xf numFmtId="0" fontId="41" fillId="0" borderId="0" xfId="0" applyFont="1"/>
    <xf numFmtId="0" fontId="41" fillId="0" borderId="15" xfId="0" applyFont="1" applyBorder="1"/>
    <xf numFmtId="10" fontId="41" fillId="0" borderId="16" xfId="0" applyNumberFormat="1" applyFont="1" applyBorder="1"/>
    <xf numFmtId="0" fontId="41" fillId="0" borderId="17" xfId="0" applyFont="1" applyBorder="1"/>
    <xf numFmtId="0" fontId="41" fillId="0" borderId="18" xfId="0" applyFont="1" applyBorder="1"/>
    <xf numFmtId="0" fontId="41" fillId="0" borderId="1" xfId="0" applyFont="1" applyBorder="1"/>
    <xf numFmtId="10" fontId="41" fillId="0" borderId="18" xfId="0" applyNumberFormat="1" applyFont="1" applyBorder="1"/>
    <xf numFmtId="0" fontId="41" fillId="0" borderId="20" xfId="0" applyFont="1" applyBorder="1"/>
    <xf numFmtId="10" fontId="41" fillId="0" borderId="21" xfId="0" applyNumberFormat="1" applyFont="1" applyBorder="1"/>
    <xf numFmtId="0" fontId="41" fillId="0" borderId="5" xfId="0" applyFont="1" applyBorder="1"/>
    <xf numFmtId="10" fontId="41" fillId="0" borderId="24" xfId="0" applyNumberFormat="1" applyFont="1" applyBorder="1"/>
    <xf numFmtId="0" fontId="41" fillId="0" borderId="19" xfId="0" applyFont="1" applyBorder="1"/>
    <xf numFmtId="0" fontId="41" fillId="0" borderId="21" xfId="0" applyFont="1" applyBorder="1"/>
    <xf numFmtId="0" fontId="41" fillId="0" borderId="22" xfId="0" applyFont="1" applyBorder="1"/>
    <xf numFmtId="10" fontId="41" fillId="0" borderId="26" xfId="0" applyNumberFormat="1" applyFont="1" applyBorder="1"/>
    <xf numFmtId="10" fontId="41" fillId="0" borderId="0" xfId="0" applyNumberFormat="1" applyFont="1"/>
    <xf numFmtId="0" fontId="31" fillId="4" borderId="44" xfId="0" applyFont="1" applyFill="1" applyBorder="1" applyAlignment="1">
      <alignment horizontal="left" vertical="center" wrapText="1"/>
    </xf>
    <xf numFmtId="0" fontId="43" fillId="3" borderId="1" xfId="0" applyFont="1" applyFill="1" applyBorder="1" applyAlignment="1" applyProtection="1">
      <alignment horizontal="left" vertical="center" wrapText="1"/>
      <protection locked="0"/>
    </xf>
    <xf numFmtId="0" fontId="43" fillId="3"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24" fillId="14" borderId="5" xfId="0" applyFont="1" applyFill="1" applyBorder="1" applyAlignment="1">
      <alignment horizontal="center" vertical="center"/>
    </xf>
    <xf numFmtId="0" fontId="24" fillId="14" borderId="5" xfId="0" applyFont="1" applyFill="1" applyBorder="1" applyAlignment="1">
      <alignment horizontal="center" vertical="center" wrapText="1"/>
    </xf>
    <xf numFmtId="0" fontId="0" fillId="14" borderId="1" xfId="0" applyFill="1" applyBorder="1" applyAlignment="1">
      <alignment horizontal="left"/>
    </xf>
    <xf numFmtId="0" fontId="0" fillId="14" borderId="1" xfId="0" applyFill="1" applyBorder="1" applyAlignment="1">
      <alignment horizontal="left" wrapText="1"/>
    </xf>
    <xf numFmtId="0" fontId="0" fillId="14" borderId="1" xfId="0" applyFill="1" applyBorder="1" applyAlignment="1">
      <alignment vertical="top"/>
    </xf>
    <xf numFmtId="0" fontId="0" fillId="14" borderId="1" xfId="0" applyFill="1" applyBorder="1" applyAlignment="1">
      <alignment wrapText="1"/>
    </xf>
    <xf numFmtId="0" fontId="0" fillId="14" borderId="1" xfId="0" applyFill="1" applyBorder="1"/>
    <xf numFmtId="0" fontId="24" fillId="14" borderId="1" xfId="0" applyFont="1" applyFill="1" applyBorder="1" applyAlignment="1">
      <alignment horizontal="center" vertical="center"/>
    </xf>
    <xf numFmtId="0" fontId="24" fillId="14" borderId="1" xfId="0" applyFont="1" applyFill="1" applyBorder="1" applyAlignment="1">
      <alignment horizontal="center" vertical="center" wrapText="1"/>
    </xf>
    <xf numFmtId="0" fontId="24" fillId="4" borderId="28" xfId="0" applyFont="1" applyFill="1" applyBorder="1"/>
    <xf numFmtId="0" fontId="24" fillId="4" borderId="29" xfId="0" applyFont="1" applyFill="1" applyBorder="1"/>
    <xf numFmtId="0" fontId="24" fillId="0" borderId="0" xfId="0" applyFont="1"/>
    <xf numFmtId="0" fontId="28" fillId="0" borderId="58" xfId="0" applyFont="1" applyBorder="1" applyAlignment="1">
      <alignment vertical="center" wrapText="1"/>
    </xf>
    <xf numFmtId="0" fontId="28" fillId="0" borderId="60" xfId="0" applyFont="1" applyBorder="1" applyAlignment="1">
      <alignment vertical="center" wrapText="1"/>
    </xf>
    <xf numFmtId="0" fontId="26" fillId="4" borderId="58" xfId="0" applyFont="1" applyFill="1" applyBorder="1" applyAlignment="1">
      <alignment horizontal="center" vertical="center" wrapText="1"/>
    </xf>
    <xf numFmtId="0" fontId="26" fillId="4" borderId="60" xfId="0" applyFont="1" applyFill="1" applyBorder="1" applyAlignment="1">
      <alignment horizontal="center" vertical="center" wrapText="1"/>
    </xf>
    <xf numFmtId="0" fontId="28" fillId="13" borderId="58" xfId="0" applyFont="1" applyFill="1" applyBorder="1" applyAlignment="1">
      <alignment horizontal="left" vertical="center" wrapText="1" indent="5"/>
    </xf>
    <xf numFmtId="0" fontId="28" fillId="0" borderId="60" xfId="0" applyFont="1" applyFill="1" applyBorder="1" applyAlignment="1" applyProtection="1">
      <alignment vertical="center" wrapText="1"/>
      <protection locked="0"/>
    </xf>
    <xf numFmtId="0" fontId="28" fillId="13" borderId="62" xfId="0" applyFont="1" applyFill="1" applyBorder="1" applyAlignment="1">
      <alignment horizontal="left" vertical="center" wrapText="1" indent="5"/>
    </xf>
    <xf numFmtId="0" fontId="28" fillId="0" borderId="63" xfId="0" applyFont="1" applyFill="1" applyBorder="1" applyAlignment="1" applyProtection="1">
      <alignment vertical="center" wrapText="1"/>
      <protection locked="0"/>
    </xf>
    <xf numFmtId="0" fontId="28" fillId="13" borderId="58" xfId="0" applyFont="1" applyFill="1" applyBorder="1" applyAlignment="1">
      <alignment vertical="center" wrapText="1"/>
    </xf>
    <xf numFmtId="0" fontId="25" fillId="0" borderId="0" xfId="0" applyFont="1"/>
    <xf numFmtId="0" fontId="45" fillId="4" borderId="58" xfId="0" applyFont="1" applyFill="1" applyBorder="1" applyAlignment="1">
      <alignment horizontal="center" vertical="center" wrapText="1"/>
    </xf>
    <xf numFmtId="0" fontId="45" fillId="4" borderId="60" xfId="0" applyFont="1" applyFill="1" applyBorder="1" applyAlignment="1">
      <alignment horizontal="center" vertical="center" wrapText="1"/>
    </xf>
    <xf numFmtId="0" fontId="28" fillId="15" borderId="66" xfId="0" applyFont="1" applyFill="1" applyBorder="1" applyAlignment="1">
      <alignment horizontal="left" vertical="center" wrapText="1" indent="5"/>
    </xf>
    <xf numFmtId="0" fontId="25" fillId="16" borderId="62" xfId="0" applyFont="1" applyFill="1" applyBorder="1" applyAlignment="1" applyProtection="1">
      <alignment vertical="top" wrapText="1"/>
      <protection locked="0"/>
    </xf>
    <xf numFmtId="0" fontId="50" fillId="16" borderId="62" xfId="0" applyFont="1" applyFill="1" applyBorder="1" applyAlignment="1" applyProtection="1">
      <alignment vertical="top" wrapText="1"/>
      <protection locked="0"/>
    </xf>
    <xf numFmtId="0" fontId="51" fillId="16" borderId="62" xfId="0" applyFont="1" applyFill="1" applyBorder="1" applyAlignment="1" applyProtection="1">
      <alignment vertical="top" wrapText="1"/>
      <protection locked="0"/>
    </xf>
    <xf numFmtId="0" fontId="52" fillId="16" borderId="62" xfId="0" applyFont="1" applyFill="1" applyBorder="1" applyAlignment="1" applyProtection="1">
      <alignment vertical="top" wrapText="1"/>
      <protection locked="0"/>
    </xf>
    <xf numFmtId="0" fontId="29" fillId="15" borderId="58" xfId="0" applyFont="1" applyFill="1" applyBorder="1" applyAlignment="1">
      <alignment horizontal="left" vertical="center" wrapText="1" indent="5"/>
    </xf>
    <xf numFmtId="0" fontId="29" fillId="11" borderId="62" xfId="0" applyFont="1" applyFill="1" applyBorder="1" applyAlignment="1">
      <alignment vertical="center" wrapText="1"/>
    </xf>
    <xf numFmtId="0" fontId="25" fillId="17" borderId="62" xfId="0" applyFont="1" applyFill="1" applyBorder="1" applyAlignment="1" applyProtection="1">
      <alignment horizontal="left" vertical="top"/>
      <protection locked="0"/>
    </xf>
    <xf numFmtId="0" fontId="52" fillId="17" borderId="62" xfId="0" applyFont="1" applyFill="1" applyBorder="1" applyAlignment="1" applyProtection="1">
      <alignment horizontal="left" vertical="top" wrapText="1"/>
      <protection locked="0"/>
    </xf>
    <xf numFmtId="0" fontId="29" fillId="11" borderId="62" xfId="0" applyFont="1" applyFill="1" applyBorder="1" applyAlignment="1">
      <alignment vertical="center"/>
    </xf>
    <xf numFmtId="0" fontId="29" fillId="18" borderId="62" xfId="0" applyFont="1" applyFill="1" applyBorder="1" applyAlignment="1">
      <alignment vertical="center" wrapText="1"/>
    </xf>
    <xf numFmtId="0" fontId="25" fillId="19" borderId="62" xfId="0" applyFont="1" applyFill="1" applyBorder="1" applyAlignment="1" applyProtection="1">
      <alignment horizontal="left" vertical="top"/>
      <protection locked="0"/>
    </xf>
    <xf numFmtId="0" fontId="52" fillId="19" borderId="62" xfId="0" applyFont="1" applyFill="1" applyBorder="1" applyAlignment="1" applyProtection="1">
      <alignment horizontal="left" vertical="top" wrapText="1"/>
      <protection locked="0"/>
    </xf>
    <xf numFmtId="0" fontId="25" fillId="20" borderId="0" xfId="0" applyFont="1" applyFill="1" applyAlignment="1">
      <alignment vertical="center" wrapText="1"/>
    </xf>
    <xf numFmtId="0" fontId="52" fillId="21" borderId="62" xfId="0" applyFont="1" applyFill="1" applyBorder="1" applyAlignment="1" applyProtection="1">
      <alignment horizontal="left" vertical="top" wrapText="1"/>
      <protection locked="0"/>
    </xf>
    <xf numFmtId="0" fontId="25" fillId="0" borderId="0" xfId="0" applyFont="1" applyFill="1"/>
    <xf numFmtId="0" fontId="35" fillId="13" borderId="0" xfId="0" applyFont="1" applyFill="1" applyAlignment="1">
      <alignment vertical="center" wrapText="1"/>
    </xf>
    <xf numFmtId="0" fontId="52" fillId="14" borderId="62" xfId="0" applyFont="1" applyFill="1" applyBorder="1" applyAlignment="1" applyProtection="1">
      <alignment horizontal="left" vertical="top"/>
      <protection locked="0"/>
    </xf>
    <xf numFmtId="0" fontId="52" fillId="14" borderId="62" xfId="0" applyFont="1" applyFill="1" applyBorder="1" applyAlignment="1" applyProtection="1">
      <alignment horizontal="left" vertical="top" wrapText="1"/>
      <protection locked="0"/>
    </xf>
    <xf numFmtId="0" fontId="35" fillId="13" borderId="62" xfId="0" applyFont="1" applyFill="1" applyBorder="1" applyAlignment="1">
      <alignment horizontal="left" vertical="center" indent="5"/>
    </xf>
    <xf numFmtId="0" fontId="35" fillId="13" borderId="62" xfId="0" applyFont="1" applyFill="1" applyBorder="1" applyAlignment="1">
      <alignment vertical="center" wrapText="1"/>
    </xf>
    <xf numFmtId="0" fontId="29" fillId="22" borderId="62" xfId="0" applyFont="1" applyFill="1" applyBorder="1" applyAlignment="1">
      <alignment vertical="center" wrapText="1"/>
    </xf>
    <xf numFmtId="0" fontId="25" fillId="19" borderId="62" xfId="0" applyFont="1" applyFill="1" applyBorder="1" applyAlignment="1" applyProtection="1">
      <alignment horizontal="left" vertical="top" wrapText="1"/>
      <protection locked="0"/>
    </xf>
    <xf numFmtId="0" fontId="29" fillId="23" borderId="62" xfId="0" applyFont="1" applyFill="1" applyBorder="1" applyAlignment="1">
      <alignment vertical="center" wrapText="1"/>
    </xf>
    <xf numFmtId="0" fontId="25" fillId="24" borderId="62" xfId="0" applyFont="1" applyFill="1" applyBorder="1" applyAlignment="1" applyProtection="1">
      <alignment horizontal="left" vertical="top"/>
      <protection locked="0"/>
    </xf>
    <xf numFmtId="0" fontId="25" fillId="24" borderId="62" xfId="0" applyFont="1" applyFill="1" applyBorder="1" applyAlignment="1" applyProtection="1">
      <alignment horizontal="left" vertical="top" wrapText="1"/>
      <protection locked="0"/>
    </xf>
    <xf numFmtId="0" fontId="29" fillId="15" borderId="62" xfId="0" applyFont="1" applyFill="1" applyBorder="1" applyAlignment="1">
      <alignment vertical="center" wrapText="1"/>
    </xf>
    <xf numFmtId="0" fontId="25" fillId="16" borderId="62" xfId="0" applyFont="1" applyFill="1" applyBorder="1" applyAlignment="1" applyProtection="1">
      <alignment horizontal="left" vertical="top"/>
      <protection locked="0"/>
    </xf>
    <xf numFmtId="0" fontId="52" fillId="16" borderId="62" xfId="0" applyFont="1" applyFill="1" applyBorder="1" applyAlignment="1" applyProtection="1">
      <alignment horizontal="left" vertical="top" wrapText="1"/>
      <protection locked="0"/>
    </xf>
    <xf numFmtId="0" fontId="40" fillId="0" borderId="1" xfId="14" applyBorder="1" applyAlignment="1" applyProtection="1">
      <alignment vertical="top" wrapText="1"/>
      <protection locked="0"/>
    </xf>
    <xf numFmtId="165" fontId="28" fillId="0" borderId="1" xfId="0" applyNumberFormat="1" applyFont="1" applyBorder="1" applyAlignment="1" applyProtection="1">
      <alignment vertical="top" wrapText="1"/>
      <protection locked="0"/>
    </xf>
    <xf numFmtId="0" fontId="31" fillId="0" borderId="19" xfId="0" applyFont="1" applyFill="1" applyBorder="1" applyAlignment="1" applyProtection="1">
      <alignment horizontal="center" vertical="center"/>
      <protection locked="0"/>
    </xf>
    <xf numFmtId="0" fontId="31" fillId="0" borderId="45" xfId="0" applyFont="1" applyFill="1" applyBorder="1" applyAlignment="1" applyProtection="1">
      <alignment horizontal="center" vertical="center" wrapText="1"/>
      <protection locked="0"/>
    </xf>
    <xf numFmtId="0" fontId="28" fillId="0" borderId="47"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0" borderId="24"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8" fillId="0" borderId="19" xfId="0" applyFont="1" applyFill="1" applyBorder="1" applyAlignment="1" applyProtection="1">
      <alignment horizontal="center" vertical="center" wrapText="1"/>
      <protection locked="0"/>
    </xf>
    <xf numFmtId="0" fontId="28" fillId="0" borderId="39" xfId="0" applyFont="1" applyFill="1" applyBorder="1" applyAlignment="1" applyProtection="1">
      <alignment horizontal="center" vertical="center" wrapText="1"/>
      <protection locked="0"/>
    </xf>
    <xf numFmtId="0" fontId="0" fillId="0" borderId="0" xfId="0" applyAlignment="1">
      <alignment wrapText="1"/>
    </xf>
    <xf numFmtId="0" fontId="6" fillId="0" borderId="1" xfId="0" applyFont="1" applyFill="1" applyBorder="1" applyAlignment="1" applyProtection="1">
      <alignment horizontal="center" vertical="center" wrapText="1"/>
      <protection locked="0"/>
    </xf>
    <xf numFmtId="0" fontId="40" fillId="0" borderId="34" xfId="14" applyBorder="1" applyAlignment="1" applyProtection="1">
      <alignment horizontal="left" vertical="center" wrapText="1"/>
      <protection locked="0"/>
    </xf>
    <xf numFmtId="0" fontId="5" fillId="4" borderId="34" xfId="0" applyFont="1" applyFill="1" applyBorder="1" applyAlignment="1">
      <alignment horizontal="left" vertical="center"/>
    </xf>
    <xf numFmtId="0" fontId="12" fillId="0" borderId="34" xfId="0" applyFont="1" applyBorder="1" applyAlignment="1" applyProtection="1">
      <alignment horizontal="left" vertical="center" wrapText="1"/>
      <protection locked="0"/>
    </xf>
    <xf numFmtId="0" fontId="22" fillId="0" borderId="34" xfId="0" applyFont="1" applyBorder="1" applyAlignment="1" applyProtection="1">
      <alignment wrapText="1"/>
      <protection locked="0"/>
    </xf>
    <xf numFmtId="0" fontId="22" fillId="0" borderId="1" xfId="0" applyFont="1" applyBorder="1"/>
    <xf numFmtId="0" fontId="36" fillId="0" borderId="0" xfId="0" applyFont="1" applyAlignment="1">
      <alignment horizontal="center" vertical="top" wrapText="1"/>
    </xf>
    <xf numFmtId="0" fontId="15" fillId="6" borderId="0" xfId="0" applyFont="1" applyFill="1" applyAlignment="1"/>
    <xf numFmtId="0" fontId="16" fillId="0" borderId="0" xfId="0" applyFont="1" applyAlignment="1"/>
    <xf numFmtId="0" fontId="15" fillId="6" borderId="0" xfId="0" applyFont="1" applyFill="1" applyAlignment="1">
      <alignment horizontal="left"/>
    </xf>
    <xf numFmtId="0" fontId="11" fillId="4" borderId="1" xfId="0" applyFont="1" applyFill="1" applyBorder="1" applyAlignment="1">
      <alignment horizontal="left"/>
    </xf>
    <xf numFmtId="0" fontId="20" fillId="0" borderId="1" xfId="0" applyFont="1" applyBorder="1" applyAlignment="1" applyProtection="1">
      <alignment horizontal="center" vertical="center" wrapText="1"/>
      <protection locked="0"/>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0" fillId="0" borderId="34"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0" fontId="0" fillId="0" borderId="34" xfId="0" applyBorder="1" applyAlignment="1" applyProtection="1">
      <protection locked="0"/>
    </xf>
    <xf numFmtId="0" fontId="0" fillId="0" borderId="36" xfId="0" applyBorder="1" applyAlignment="1" applyProtection="1">
      <protection locked="0"/>
    </xf>
    <xf numFmtId="0" fontId="0" fillId="0" borderId="37" xfId="0" applyBorder="1" applyAlignment="1" applyProtection="1">
      <protection locked="0"/>
    </xf>
    <xf numFmtId="0" fontId="0" fillId="0" borderId="38" xfId="0" applyBorder="1" applyAlignment="1" applyProtection="1">
      <protection locked="0"/>
    </xf>
    <xf numFmtId="0" fontId="28" fillId="0" borderId="34"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0" fontId="28" fillId="0" borderId="1" xfId="0" applyFont="1" applyBorder="1" applyAlignment="1" applyProtection="1">
      <alignment horizontal="left" vertical="center" wrapText="1"/>
      <protection locked="0"/>
    </xf>
    <xf numFmtId="0" fontId="28" fillId="0" borderId="18" xfId="0" applyFont="1" applyBorder="1" applyAlignment="1" applyProtection="1">
      <alignment horizontal="left" vertical="center" wrapText="1"/>
      <protection locked="0"/>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0" fontId="25" fillId="8" borderId="30" xfId="0" applyFont="1" applyFill="1" applyBorder="1" applyAlignment="1">
      <alignment horizontal="center" wrapText="1"/>
    </xf>
    <xf numFmtId="0" fontId="25" fillId="8" borderId="31" xfId="0" applyFont="1" applyFill="1" applyBorder="1" applyAlignment="1">
      <alignment horizontal="center" wrapText="1"/>
    </xf>
    <xf numFmtId="0" fontId="25" fillId="8" borderId="32" xfId="0" applyFont="1" applyFill="1" applyBorder="1" applyAlignment="1">
      <alignment horizontal="center" wrapText="1"/>
    </xf>
    <xf numFmtId="0" fontId="40" fillId="0" borderId="1" xfId="14" applyBorder="1" applyAlignment="1" applyProtection="1">
      <alignment horizontal="center" vertical="center" wrapText="1"/>
      <protection locked="0"/>
    </xf>
    <xf numFmtId="15" fontId="20" fillId="0" borderId="1" xfId="0" applyNumberFormat="1" applyFont="1" applyBorder="1" applyAlignment="1" applyProtection="1">
      <alignment horizontal="center" vertical="center" wrapText="1"/>
      <protection locked="0"/>
    </xf>
    <xf numFmtId="0" fontId="26" fillId="4" borderId="1" xfId="0" applyFont="1" applyFill="1" applyBorder="1" applyAlignment="1">
      <alignment horizontal="center" vertical="top" wrapText="1"/>
    </xf>
    <xf numFmtId="0" fontId="26" fillId="4" borderId="34" xfId="0" applyFont="1" applyFill="1" applyBorder="1" applyAlignment="1">
      <alignment horizontal="center" vertical="top" wrapText="1"/>
    </xf>
    <xf numFmtId="0" fontId="27" fillId="12" borderId="34" xfId="0" applyFont="1" applyFill="1" applyBorder="1" applyAlignment="1">
      <alignment horizontal="center" vertical="top" wrapText="1"/>
    </xf>
    <xf numFmtId="0" fontId="27" fillId="12" borderId="35" xfId="0" applyFont="1" applyFill="1" applyBorder="1" applyAlignment="1">
      <alignment horizontal="center" vertical="top" wrapText="1"/>
    </xf>
    <xf numFmtId="0" fontId="28" fillId="0" borderId="35" xfId="0" applyFont="1" applyBorder="1" applyAlignment="1" applyProtection="1">
      <alignment horizontal="left" vertical="center" wrapText="1"/>
      <protection locked="0"/>
    </xf>
    <xf numFmtId="0" fontId="27" fillId="12" borderId="52" xfId="0" applyFont="1" applyFill="1" applyBorder="1" applyAlignment="1">
      <alignment horizontal="center" vertical="top" wrapText="1"/>
    </xf>
    <xf numFmtId="0" fontId="27" fillId="12" borderId="53" xfId="0" applyFont="1" applyFill="1" applyBorder="1" applyAlignment="1">
      <alignment horizontal="center" vertical="top" wrapText="1"/>
    </xf>
    <xf numFmtId="0" fontId="27" fillId="12" borderId="54" xfId="0" applyFont="1" applyFill="1" applyBorder="1" applyAlignment="1">
      <alignment horizontal="center" vertical="top" wrapText="1"/>
    </xf>
    <xf numFmtId="0" fontId="30" fillId="2" borderId="39" xfId="0" applyFont="1" applyFill="1" applyBorder="1" applyAlignment="1">
      <alignment wrapText="1"/>
    </xf>
    <xf numFmtId="0" fontId="30" fillId="2" borderId="40" xfId="0" applyFont="1" applyFill="1" applyBorder="1" applyAlignment="1">
      <alignment wrapText="1"/>
    </xf>
    <xf numFmtId="0" fontId="29" fillId="8" borderId="42" xfId="0" applyFont="1" applyFill="1" applyBorder="1" applyAlignment="1">
      <alignment horizontal="center" wrapText="1"/>
    </xf>
    <xf numFmtId="0" fontId="29" fillId="8" borderId="43" xfId="0" applyFont="1" applyFill="1" applyBorder="1" applyAlignment="1">
      <alignment horizontal="center" wrapText="1"/>
    </xf>
    <xf numFmtId="0" fontId="32" fillId="4" borderId="23" xfId="0" applyFont="1" applyFill="1" applyBorder="1" applyAlignment="1">
      <alignment horizontal="center"/>
    </xf>
    <xf numFmtId="0" fontId="32" fillId="4" borderId="24" xfId="0" applyFont="1" applyFill="1" applyBorder="1" applyAlignment="1">
      <alignment horizontal="center"/>
    </xf>
    <xf numFmtId="0" fontId="27" fillId="12" borderId="23" xfId="0" applyFont="1" applyFill="1" applyBorder="1" applyAlignment="1">
      <alignment vertical="top" wrapText="1"/>
    </xf>
    <xf numFmtId="0" fontId="27" fillId="12" borderId="5" xfId="0" applyFont="1" applyFill="1" applyBorder="1" applyAlignment="1">
      <alignment vertical="top" wrapText="1"/>
    </xf>
    <xf numFmtId="0" fontId="34" fillId="12" borderId="52" xfId="0" applyFont="1" applyFill="1" applyBorder="1" applyAlignment="1">
      <alignment horizontal="center" vertical="top" wrapText="1"/>
    </xf>
    <xf numFmtId="0" fontId="34" fillId="12" borderId="53" xfId="0" applyFont="1" applyFill="1" applyBorder="1" applyAlignment="1">
      <alignment horizontal="center" vertical="top" wrapText="1"/>
    </xf>
    <xf numFmtId="0" fontId="34" fillId="12" borderId="54" xfId="0" applyFont="1" applyFill="1" applyBorder="1" applyAlignment="1">
      <alignment horizontal="center" vertical="top" wrapText="1"/>
    </xf>
    <xf numFmtId="0" fontId="28" fillId="13" borderId="56" xfId="0" applyFont="1" applyFill="1" applyBorder="1" applyAlignment="1">
      <alignment vertical="center" wrapText="1"/>
    </xf>
    <xf numFmtId="0" fontId="28" fillId="13" borderId="57" xfId="0" applyFont="1" applyFill="1" applyBorder="1" applyAlignment="1">
      <alignment vertical="center" wrapText="1"/>
    </xf>
    <xf numFmtId="0" fontId="28" fillId="13" borderId="50" xfId="0" applyFont="1" applyFill="1" applyBorder="1" applyAlignment="1">
      <alignment vertical="center" wrapText="1"/>
    </xf>
    <xf numFmtId="0" fontId="44" fillId="4" borderId="56" xfId="0" applyFont="1" applyFill="1" applyBorder="1" applyAlignment="1">
      <alignment horizontal="center" vertical="center"/>
    </xf>
    <xf numFmtId="0" fontId="45" fillId="4" borderId="57" xfId="0" applyFont="1" applyFill="1" applyBorder="1" applyAlignment="1">
      <alignment horizontal="center" vertical="center"/>
    </xf>
    <xf numFmtId="0" fontId="45" fillId="4" borderId="50" xfId="0" applyFont="1" applyFill="1" applyBorder="1" applyAlignment="1">
      <alignment horizontal="center" vertical="center"/>
    </xf>
    <xf numFmtId="0" fontId="28" fillId="0" borderId="59" xfId="0" applyFont="1" applyBorder="1" applyAlignment="1">
      <alignment vertical="center" wrapText="1"/>
    </xf>
    <xf numFmtId="0" fontId="28" fillId="0" borderId="61" xfId="0" applyFont="1" applyBorder="1" applyAlignment="1">
      <alignment vertical="center" wrapText="1"/>
    </xf>
    <xf numFmtId="0" fontId="28" fillId="0" borderId="58" xfId="0" applyFont="1" applyBorder="1" applyAlignment="1">
      <alignment vertical="center" wrapText="1"/>
    </xf>
    <xf numFmtId="0" fontId="26" fillId="4" borderId="56"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8" fillId="0" borderId="56" xfId="0" applyFont="1" applyFill="1" applyBorder="1" applyAlignment="1" applyProtection="1">
      <alignment vertical="center" wrapText="1"/>
      <protection locked="0"/>
    </xf>
    <xf numFmtId="0" fontId="28" fillId="0" borderId="50" xfId="0" applyFont="1" applyFill="1" applyBorder="1" applyAlignment="1" applyProtection="1">
      <alignment vertical="center" wrapText="1"/>
      <protection locked="0"/>
    </xf>
    <xf numFmtId="0" fontId="29" fillId="0" borderId="56" xfId="0" applyFont="1" applyFill="1" applyBorder="1" applyAlignment="1" applyProtection="1">
      <alignment vertical="center" wrapText="1"/>
      <protection locked="0"/>
    </xf>
    <xf numFmtId="0" fontId="29" fillId="0" borderId="50" xfId="0" applyFont="1" applyFill="1" applyBorder="1" applyAlignment="1" applyProtection="1">
      <alignment vertical="center" wrapText="1"/>
      <protection locked="0"/>
    </xf>
    <xf numFmtId="0" fontId="29" fillId="0" borderId="56" xfId="0" applyFont="1" applyFill="1" applyBorder="1" applyAlignment="1" applyProtection="1">
      <alignment horizontal="left" vertical="center" wrapText="1"/>
      <protection locked="0"/>
    </xf>
    <xf numFmtId="0" fontId="29" fillId="0" borderId="50" xfId="0" applyFont="1" applyFill="1" applyBorder="1" applyAlignment="1" applyProtection="1">
      <alignment horizontal="left" vertical="center" wrapText="1"/>
      <protection locked="0"/>
    </xf>
    <xf numFmtId="0" fontId="46" fillId="4" borderId="39" xfId="0" applyFont="1" applyFill="1" applyBorder="1" applyAlignment="1">
      <alignment horizontal="center" vertical="center" wrapText="1"/>
    </xf>
    <xf numFmtId="0" fontId="47" fillId="4" borderId="40" xfId="0" applyFont="1" applyFill="1" applyBorder="1" applyAlignment="1">
      <alignment horizontal="center" vertical="center" wrapText="1"/>
    </xf>
    <xf numFmtId="0" fontId="47" fillId="4" borderId="41" xfId="0" applyFont="1" applyFill="1" applyBorder="1" applyAlignment="1">
      <alignment horizontal="center" vertical="center" wrapText="1"/>
    </xf>
    <xf numFmtId="0" fontId="28" fillId="0" borderId="56" xfId="0" applyFont="1" applyFill="1" applyBorder="1" applyAlignment="1" applyProtection="1">
      <alignment horizontal="center" vertical="center" wrapText="1"/>
      <protection locked="0"/>
    </xf>
    <xf numFmtId="0" fontId="28" fillId="0" borderId="50" xfId="0" applyFont="1" applyFill="1" applyBorder="1" applyAlignment="1" applyProtection="1">
      <alignment horizontal="center" vertical="center" wrapText="1"/>
      <protection locked="0"/>
    </xf>
    <xf numFmtId="0" fontId="53" fillId="13" borderId="56" xfId="0" applyFont="1" applyFill="1" applyBorder="1" applyAlignment="1">
      <alignment vertical="center"/>
    </xf>
    <xf numFmtId="0" fontId="53" fillId="13" borderId="57" xfId="0" applyFont="1" applyFill="1" applyBorder="1" applyAlignment="1">
      <alignment vertical="center"/>
    </xf>
    <xf numFmtId="0" fontId="53" fillId="13" borderId="50" xfId="0" applyFont="1" applyFill="1" applyBorder="1" applyAlignment="1">
      <alignment vertical="center"/>
    </xf>
    <xf numFmtId="0" fontId="53" fillId="22" borderId="56" xfId="0" applyFont="1" applyFill="1" applyBorder="1" applyAlignment="1">
      <alignment vertical="center"/>
    </xf>
    <xf numFmtId="0" fontId="55" fillId="22" borderId="57" xfId="0" applyFont="1" applyFill="1" applyBorder="1" applyAlignment="1">
      <alignment vertical="center"/>
    </xf>
    <xf numFmtId="0" fontId="55" fillId="22" borderId="50" xfId="0" applyFont="1" applyFill="1" applyBorder="1" applyAlignment="1">
      <alignment vertical="center"/>
    </xf>
    <xf numFmtId="0" fontId="53" fillId="23" borderId="56" xfId="0" applyFont="1" applyFill="1" applyBorder="1" applyAlignment="1">
      <alignment vertical="center" wrapText="1"/>
    </xf>
    <xf numFmtId="0" fontId="53" fillId="23" borderId="57" xfId="0" applyFont="1" applyFill="1" applyBorder="1" applyAlignment="1">
      <alignment vertical="center" wrapText="1"/>
    </xf>
    <xf numFmtId="0" fontId="53" fillId="23" borderId="50" xfId="0" applyFont="1" applyFill="1" applyBorder="1" applyAlignment="1">
      <alignment vertical="center" wrapText="1"/>
    </xf>
    <xf numFmtId="0" fontId="53" fillId="15" borderId="56" xfId="0" applyFont="1" applyFill="1" applyBorder="1" applyAlignment="1">
      <alignment vertical="center"/>
    </xf>
    <xf numFmtId="0" fontId="55" fillId="15" borderId="57" xfId="0" applyFont="1" applyFill="1" applyBorder="1" applyAlignment="1">
      <alignment vertical="center"/>
    </xf>
    <xf numFmtId="0" fontId="55" fillId="15" borderId="50" xfId="0" applyFont="1" applyFill="1" applyBorder="1" applyAlignment="1">
      <alignment vertical="center"/>
    </xf>
    <xf numFmtId="0" fontId="48" fillId="15" borderId="56" xfId="0" applyFont="1" applyFill="1" applyBorder="1" applyAlignment="1">
      <alignment vertical="center" wrapText="1"/>
    </xf>
    <xf numFmtId="0" fontId="49" fillId="15" borderId="57" xfId="0" applyFont="1" applyFill="1" applyBorder="1" applyAlignment="1">
      <alignment vertical="center" wrapText="1"/>
    </xf>
    <xf numFmtId="0" fontId="49" fillId="15" borderId="50" xfId="0" applyFont="1" applyFill="1" applyBorder="1" applyAlignment="1">
      <alignment vertical="center" wrapText="1"/>
    </xf>
    <xf numFmtId="0" fontId="28" fillId="15" borderId="56" xfId="0" applyFont="1" applyFill="1" applyBorder="1" applyAlignment="1">
      <alignment vertical="center" wrapText="1"/>
    </xf>
    <xf numFmtId="0" fontId="28" fillId="15" borderId="64" xfId="0" applyFont="1" applyFill="1" applyBorder="1" applyAlignment="1">
      <alignment vertical="center" wrapText="1"/>
    </xf>
    <xf numFmtId="0" fontId="28" fillId="15" borderId="65" xfId="0" applyFont="1" applyFill="1" applyBorder="1" applyAlignment="1">
      <alignment vertical="center" wrapText="1"/>
    </xf>
    <xf numFmtId="0" fontId="29" fillId="15" borderId="56" xfId="0" applyFont="1" applyFill="1" applyBorder="1" applyAlignment="1">
      <alignment vertical="center" wrapText="1"/>
    </xf>
    <xf numFmtId="0" fontId="29" fillId="15" borderId="63" xfId="0" applyFont="1" applyFill="1" applyBorder="1" applyAlignment="1">
      <alignment vertical="center" wrapText="1"/>
    </xf>
    <xf numFmtId="0" fontId="29" fillId="15" borderId="60" xfId="0" applyFont="1" applyFill="1" applyBorder="1" applyAlignment="1">
      <alignment vertical="center" wrapText="1"/>
    </xf>
    <xf numFmtId="0" fontId="53" fillId="11" borderId="56" xfId="0" applyFont="1" applyFill="1" applyBorder="1" applyAlignment="1">
      <alignment vertical="center"/>
    </xf>
    <xf numFmtId="0" fontId="54" fillId="11" borderId="57" xfId="0" applyFont="1" applyFill="1" applyBorder="1" applyAlignment="1">
      <alignment vertical="center"/>
    </xf>
    <xf numFmtId="0" fontId="54" fillId="11" borderId="50" xfId="0" applyFont="1" applyFill="1" applyBorder="1" applyAlignment="1">
      <alignment vertical="center"/>
    </xf>
    <xf numFmtId="0" fontId="53" fillId="18" borderId="56" xfId="0" applyFont="1" applyFill="1" applyBorder="1" applyAlignment="1">
      <alignment vertical="center"/>
    </xf>
    <xf numFmtId="0" fontId="55" fillId="18" borderId="57" xfId="0" applyFont="1" applyFill="1" applyBorder="1" applyAlignment="1">
      <alignment vertical="center"/>
    </xf>
    <xf numFmtId="0" fontId="55" fillId="18" borderId="50" xfId="0" applyFont="1" applyFill="1" applyBorder="1" applyAlignment="1">
      <alignment vertical="center"/>
    </xf>
    <xf numFmtId="0" fontId="53" fillId="20" borderId="56" xfId="0" applyFont="1" applyFill="1" applyBorder="1" applyAlignment="1">
      <alignment vertical="center"/>
    </xf>
    <xf numFmtId="0" fontId="55" fillId="20" borderId="57" xfId="0" applyFont="1" applyFill="1" applyBorder="1" applyAlignment="1">
      <alignment vertical="center"/>
    </xf>
    <xf numFmtId="0" fontId="55" fillId="20" borderId="50" xfId="0" applyFont="1" applyFill="1" applyBorder="1" applyAlignment="1">
      <alignment vertical="center"/>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6" fillId="3" borderId="22"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 xfId="0" applyFont="1" applyFill="1" applyBorder="1" applyAlignment="1" applyProtection="1">
      <alignment horizontal="center" vertical="center" wrapText="1"/>
      <protection locked="0"/>
    </xf>
    <xf numFmtId="0" fontId="6" fillId="3" borderId="1" xfId="0" applyFont="1" applyFill="1" applyBorder="1" applyAlignment="1">
      <alignment vertical="center" wrapText="1"/>
    </xf>
    <xf numFmtId="0" fontId="40" fillId="3" borderId="1" xfId="14" applyFill="1" applyBorder="1" applyAlignment="1" applyProtection="1">
      <alignment horizontal="center" vertical="center"/>
      <protection locked="0"/>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40" fillId="3" borderId="1" xfId="14" applyFill="1" applyBorder="1" applyAlignment="1" applyProtection="1">
      <alignment horizontal="center" vertical="center" wrapText="1"/>
      <protection locked="0"/>
    </xf>
    <xf numFmtId="0" fontId="40" fillId="0" borderId="1" xfId="14" applyBorder="1" applyAlignment="1" applyProtection="1">
      <alignment horizontal="center" vertical="center"/>
      <protection locked="0"/>
    </xf>
    <xf numFmtId="0" fontId="24" fillId="4" borderId="20" xfId="0" applyFont="1" applyFill="1" applyBorder="1" applyAlignment="1">
      <alignment horizontal="center"/>
    </xf>
    <xf numFmtId="0" fontId="24" fillId="4" borderId="22" xfId="0" applyFont="1" applyFill="1" applyBorder="1" applyAlignment="1">
      <alignment horizontal="center"/>
    </xf>
    <xf numFmtId="0" fontId="24" fillId="4" borderId="14" xfId="0" applyFont="1" applyFill="1" applyBorder="1" applyAlignment="1">
      <alignment horizontal="center" vertical="center" textRotation="90"/>
    </xf>
    <xf numFmtId="0" fontId="24" fillId="4" borderId="17" xfId="0" applyFont="1" applyFill="1" applyBorder="1" applyAlignment="1">
      <alignment horizontal="center" vertical="center" textRotation="90"/>
    </xf>
    <xf numFmtId="0" fontId="24" fillId="4" borderId="19" xfId="0" applyFont="1" applyFill="1" applyBorder="1" applyAlignment="1">
      <alignment horizontal="center" vertical="center" textRotation="90"/>
    </xf>
    <xf numFmtId="0" fontId="24" fillId="4" borderId="23"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41" fillId="4" borderId="14" xfId="0" applyFont="1" applyFill="1" applyBorder="1" applyAlignment="1">
      <alignment horizontal="center"/>
    </xf>
    <xf numFmtId="0" fontId="41" fillId="4" borderId="16" xfId="0" applyFont="1" applyFill="1" applyBorder="1" applyAlignment="1">
      <alignment horizont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21" xfId="0" applyFont="1" applyBorder="1" applyAlignment="1">
      <alignment horizontal="center" vertical="center"/>
    </xf>
    <xf numFmtId="0" fontId="41" fillId="0" borderId="0" xfId="0" applyFont="1" applyAlignment="1">
      <alignment horizontal="center"/>
    </xf>
    <xf numFmtId="0" fontId="24" fillId="0" borderId="0" xfId="0" applyFont="1" applyAlignment="1">
      <alignment horizontal="center" vertical="center" textRotation="90"/>
    </xf>
    <xf numFmtId="0" fontId="42"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140">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20" Type="http://schemas.openxmlformats.org/officeDocument/2006/relationships/worksheet" Target="worksheets/sheet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Env1'!$A$1:$B$85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Env1'!$C$1:$C$85</c:f>
              <c:numCache>
                <c:formatCode>General</c:formatCode>
                <c:ptCount val="85"/>
                <c:pt idx="0">
                  <c:v>7</c:v>
                </c:pt>
                <c:pt idx="1">
                  <c:v>4</c:v>
                </c:pt>
                <c:pt idx="2">
                  <c:v>0</c:v>
                </c:pt>
                <c:pt idx="3">
                  <c:v>0</c:v>
                </c:pt>
                <c:pt idx="4">
                  <c:v>0</c:v>
                </c:pt>
                <c:pt idx="5">
                  <c:v>3</c:v>
                </c:pt>
                <c:pt idx="6">
                  <c:v>2</c:v>
                </c:pt>
                <c:pt idx="7">
                  <c:v>0</c:v>
                </c:pt>
                <c:pt idx="8">
                  <c:v>0</c:v>
                </c:pt>
                <c:pt idx="9">
                  <c:v>0</c:v>
                </c:pt>
                <c:pt idx="10">
                  <c:v>5</c:v>
                </c:pt>
                <c:pt idx="11">
                  <c:v>4</c:v>
                </c:pt>
                <c:pt idx="12">
                  <c:v>0</c:v>
                </c:pt>
                <c:pt idx="13">
                  <c:v>0</c:v>
                </c:pt>
                <c:pt idx="14">
                  <c:v>0</c:v>
                </c:pt>
                <c:pt idx="15">
                  <c:v>0</c:v>
                </c:pt>
                <c:pt idx="16">
                  <c:v>0</c:v>
                </c:pt>
                <c:pt idx="17">
                  <c:v>0</c:v>
                </c:pt>
                <c:pt idx="18">
                  <c:v>0</c:v>
                </c:pt>
                <c:pt idx="19">
                  <c:v>0</c:v>
                </c:pt>
                <c:pt idx="20">
                  <c:v>13</c:v>
                </c:pt>
                <c:pt idx="21">
                  <c:v>8</c:v>
                </c:pt>
                <c:pt idx="22">
                  <c:v>1</c:v>
                </c:pt>
                <c:pt idx="23">
                  <c:v>1</c:v>
                </c:pt>
                <c:pt idx="24">
                  <c:v>0</c:v>
                </c:pt>
                <c:pt idx="25">
                  <c:v>0</c:v>
                </c:pt>
                <c:pt idx="26">
                  <c:v>0</c:v>
                </c:pt>
                <c:pt idx="27">
                  <c:v>0</c:v>
                </c:pt>
                <c:pt idx="28">
                  <c:v>0</c:v>
                </c:pt>
                <c:pt idx="29">
                  <c:v>0</c:v>
                </c:pt>
                <c:pt idx="30">
                  <c:v>8</c:v>
                </c:pt>
                <c:pt idx="31">
                  <c:v>2</c:v>
                </c:pt>
                <c:pt idx="32">
                  <c:v>0</c:v>
                </c:pt>
                <c:pt idx="33">
                  <c:v>2</c:v>
                </c:pt>
                <c:pt idx="34">
                  <c:v>0</c:v>
                </c:pt>
                <c:pt idx="35">
                  <c:v>9</c:v>
                </c:pt>
                <c:pt idx="36">
                  <c:v>2</c:v>
                </c:pt>
                <c:pt idx="37">
                  <c:v>0</c:v>
                </c:pt>
                <c:pt idx="38">
                  <c:v>0</c:v>
                </c:pt>
                <c:pt idx="39">
                  <c:v>0</c:v>
                </c:pt>
                <c:pt idx="40">
                  <c:v>9</c:v>
                </c:pt>
                <c:pt idx="41">
                  <c:v>0</c:v>
                </c:pt>
                <c:pt idx="42">
                  <c:v>1</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6</c:v>
                </c:pt>
                <c:pt idx="61">
                  <c:v>4</c:v>
                </c:pt>
                <c:pt idx="62">
                  <c:v>1</c:v>
                </c:pt>
                <c:pt idx="63">
                  <c:v>0</c:v>
                </c:pt>
                <c:pt idx="64">
                  <c:v>0</c:v>
                </c:pt>
                <c:pt idx="65">
                  <c:v>0</c:v>
                </c:pt>
                <c:pt idx="66">
                  <c:v>0</c:v>
                </c:pt>
                <c:pt idx="67">
                  <c:v>0</c:v>
                </c:pt>
                <c:pt idx="68">
                  <c:v>0</c:v>
                </c:pt>
                <c:pt idx="69">
                  <c:v>0</c:v>
                </c:pt>
                <c:pt idx="70">
                  <c:v>6</c:v>
                </c:pt>
                <c:pt idx="71">
                  <c:v>2</c:v>
                </c:pt>
                <c:pt idx="72">
                  <c:v>1</c:v>
                </c:pt>
                <c:pt idx="73">
                  <c:v>0</c:v>
                </c:pt>
                <c:pt idx="74">
                  <c:v>0</c:v>
                </c:pt>
                <c:pt idx="75">
                  <c:v>5</c:v>
                </c:pt>
                <c:pt idx="76">
                  <c:v>5</c:v>
                </c:pt>
                <c:pt idx="77">
                  <c:v>1</c:v>
                </c:pt>
                <c:pt idx="78">
                  <c:v>2</c:v>
                </c:pt>
                <c:pt idx="79">
                  <c:v>0</c:v>
                </c:pt>
                <c:pt idx="80">
                  <c:v>2</c:v>
                </c:pt>
                <c:pt idx="81">
                  <c:v>2</c:v>
                </c:pt>
                <c:pt idx="82">
                  <c:v>0</c:v>
                </c:pt>
                <c:pt idx="83">
                  <c:v>0</c:v>
                </c:pt>
                <c:pt idx="84">
                  <c:v>0</c:v>
                </c:pt>
              </c:numCache>
            </c:numRef>
          </c:val>
          <c:extLst>
            <c:ext xmlns:c16="http://schemas.microsoft.com/office/drawing/2014/chart" uri="{C3380CC4-5D6E-409C-BE32-E72D297353CC}">
              <c16:uniqueId val="{00000000-909C-414D-8219-203EFA12BEE8}"/>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Env2'!$A$1:$B$85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Env2'!$C$1:$C$85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DA25-4000-8EC9-6E0DB7896DFD}"/>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Env3'!$A$1:$B$85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Env3'!$C$1:$C$85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4EDC-4B3E-A1AE-A7DF76F22B30}"/>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1BBC-4AAD-8813-98058E606F29}"/>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Env1'!$D$2:$D$49</c:f>
              <c:numCache>
                <c:formatCode>General</c:formatCode>
                <c:ptCount val="48"/>
                <c:pt idx="0">
                  <c:v>0</c:v>
                </c:pt>
                <c:pt idx="1">
                  <c:v>1</c:v>
                </c:pt>
                <c:pt idx="2">
                  <c:v>0</c:v>
                </c:pt>
                <c:pt idx="3">
                  <c:v>3</c:v>
                </c:pt>
                <c:pt idx="4">
                  <c:v>0</c:v>
                </c:pt>
                <c:pt idx="5">
                  <c:v>2</c:v>
                </c:pt>
                <c:pt idx="6">
                  <c:v>0</c:v>
                </c:pt>
                <c:pt idx="7">
                  <c:v>0</c:v>
                </c:pt>
                <c:pt idx="8">
                  <c:v>0</c:v>
                </c:pt>
                <c:pt idx="9">
                  <c:v>0</c:v>
                </c:pt>
                <c:pt idx="10">
                  <c:v>3</c:v>
                </c:pt>
                <c:pt idx="11">
                  <c:v>0</c:v>
                </c:pt>
                <c:pt idx="12">
                  <c:v>0</c:v>
                </c:pt>
                <c:pt idx="13">
                  <c:v>0</c:v>
                </c:pt>
                <c:pt idx="14">
                  <c:v>0</c:v>
                </c:pt>
                <c:pt idx="15">
                  <c:v>0</c:v>
                </c:pt>
                <c:pt idx="16">
                  <c:v>0</c:v>
                </c:pt>
                <c:pt idx="17">
                  <c:v>0</c:v>
                </c:pt>
                <c:pt idx="18">
                  <c:v>0</c:v>
                </c:pt>
                <c:pt idx="19">
                  <c:v>0</c:v>
                </c:pt>
                <c:pt idx="20">
                  <c:v>1</c:v>
                </c:pt>
                <c:pt idx="21">
                  <c:v>0</c:v>
                </c:pt>
                <c:pt idx="22">
                  <c:v>1</c:v>
                </c:pt>
                <c:pt idx="23">
                  <c:v>2</c:v>
                </c:pt>
                <c:pt idx="24">
                  <c:v>0</c:v>
                </c:pt>
                <c:pt idx="25">
                  <c:v>2</c:v>
                </c:pt>
                <c:pt idx="26">
                  <c:v>0</c:v>
                </c:pt>
                <c:pt idx="27">
                  <c:v>0</c:v>
                </c:pt>
                <c:pt idx="28">
                  <c:v>0</c:v>
                </c:pt>
                <c:pt idx="29">
                  <c:v>0</c:v>
                </c:pt>
                <c:pt idx="30">
                  <c:v>0</c:v>
                </c:pt>
                <c:pt idx="31">
                  <c:v>1</c:v>
                </c:pt>
                <c:pt idx="32">
                  <c:v>0</c:v>
                </c:pt>
                <c:pt idx="33">
                  <c:v>0</c:v>
                </c:pt>
                <c:pt idx="34">
                  <c:v>0</c:v>
                </c:pt>
                <c:pt idx="35">
                  <c:v>5</c:v>
                </c:pt>
                <c:pt idx="36">
                  <c:v>0</c:v>
                </c:pt>
                <c:pt idx="37">
                  <c:v>0</c:v>
                </c:pt>
                <c:pt idx="38">
                  <c:v>0</c:v>
                </c:pt>
                <c:pt idx="39">
                  <c:v>3</c:v>
                </c:pt>
                <c:pt idx="40">
                  <c:v>3</c:v>
                </c:pt>
                <c:pt idx="41">
                  <c:v>0</c:v>
                </c:pt>
                <c:pt idx="42">
                  <c:v>0</c:v>
                </c:pt>
                <c:pt idx="43">
                  <c:v>2</c:v>
                </c:pt>
                <c:pt idx="44">
                  <c:v>1</c:v>
                </c:pt>
                <c:pt idx="45">
                  <c:v>0</c:v>
                </c:pt>
                <c:pt idx="46">
                  <c:v>0</c:v>
                </c:pt>
                <c:pt idx="47">
                  <c:v>1</c:v>
                </c:pt>
              </c:numCache>
            </c:numRef>
          </c:val>
          <c:extLst>
            <c:ext xmlns:c16="http://schemas.microsoft.com/office/drawing/2014/chart" uri="{C3380CC4-5D6E-409C-BE32-E72D297353CC}">
              <c16:uniqueId val="{00000001-1BBC-4AAD-8813-98058E606F2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221A-4F58-A13D-D4CF99880989}"/>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Env2'!$D$2:$D$49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21A-4F58-A13D-D4CF9988098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A815-4DB1-AAF3-64604BD87103}"/>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Env3'!$D$2:$D$49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A815-4DB1-AAF3-64604BD87103}"/>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Env1'!$A$1:$B$68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Env1'!$C$1:$C$68</c:f>
              <c:numCache>
                <c:formatCode>General</c:formatCode>
                <c:ptCount val="68"/>
                <c:pt idx="0">
                  <c:v>7</c:v>
                </c:pt>
                <c:pt idx="1">
                  <c:v>4</c:v>
                </c:pt>
                <c:pt idx="2">
                  <c:v>0</c:v>
                </c:pt>
                <c:pt idx="3">
                  <c:v>0</c:v>
                </c:pt>
                <c:pt idx="4">
                  <c:v>3</c:v>
                </c:pt>
                <c:pt idx="5">
                  <c:v>2</c:v>
                </c:pt>
                <c:pt idx="6">
                  <c:v>0</c:v>
                </c:pt>
                <c:pt idx="7">
                  <c:v>0</c:v>
                </c:pt>
                <c:pt idx="8">
                  <c:v>6</c:v>
                </c:pt>
                <c:pt idx="9">
                  <c:v>3</c:v>
                </c:pt>
                <c:pt idx="10">
                  <c:v>0</c:v>
                </c:pt>
                <c:pt idx="11">
                  <c:v>0</c:v>
                </c:pt>
                <c:pt idx="12">
                  <c:v>0</c:v>
                </c:pt>
                <c:pt idx="13">
                  <c:v>0</c:v>
                </c:pt>
                <c:pt idx="14">
                  <c:v>0</c:v>
                </c:pt>
                <c:pt idx="15">
                  <c:v>0</c:v>
                </c:pt>
                <c:pt idx="16">
                  <c:v>13</c:v>
                </c:pt>
                <c:pt idx="17">
                  <c:v>10</c:v>
                </c:pt>
                <c:pt idx="18">
                  <c:v>0</c:v>
                </c:pt>
                <c:pt idx="19">
                  <c:v>0</c:v>
                </c:pt>
                <c:pt idx="20">
                  <c:v>0</c:v>
                </c:pt>
                <c:pt idx="21">
                  <c:v>0</c:v>
                </c:pt>
                <c:pt idx="22">
                  <c:v>0</c:v>
                </c:pt>
                <c:pt idx="23">
                  <c:v>0</c:v>
                </c:pt>
                <c:pt idx="24">
                  <c:v>8</c:v>
                </c:pt>
                <c:pt idx="25">
                  <c:v>4</c:v>
                </c:pt>
                <c:pt idx="26">
                  <c:v>0</c:v>
                </c:pt>
                <c:pt idx="27">
                  <c:v>0</c:v>
                </c:pt>
                <c:pt idx="28">
                  <c:v>9</c:v>
                </c:pt>
                <c:pt idx="29">
                  <c:v>2</c:v>
                </c:pt>
                <c:pt idx="30">
                  <c:v>0</c:v>
                </c:pt>
                <c:pt idx="31">
                  <c:v>0</c:v>
                </c:pt>
                <c:pt idx="32">
                  <c:v>9</c:v>
                </c:pt>
                <c:pt idx="33">
                  <c:v>1</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c:v>
                </c:pt>
                <c:pt idx="49">
                  <c:v>5</c:v>
                </c:pt>
                <c:pt idx="50">
                  <c:v>0</c:v>
                </c:pt>
                <c:pt idx="51">
                  <c:v>0</c:v>
                </c:pt>
                <c:pt idx="52">
                  <c:v>0</c:v>
                </c:pt>
                <c:pt idx="53">
                  <c:v>0</c:v>
                </c:pt>
                <c:pt idx="54">
                  <c:v>0</c:v>
                </c:pt>
                <c:pt idx="55">
                  <c:v>0</c:v>
                </c:pt>
                <c:pt idx="56">
                  <c:v>6</c:v>
                </c:pt>
                <c:pt idx="57">
                  <c:v>3</c:v>
                </c:pt>
                <c:pt idx="58">
                  <c:v>0</c:v>
                </c:pt>
                <c:pt idx="59">
                  <c:v>0</c:v>
                </c:pt>
                <c:pt idx="60">
                  <c:v>5</c:v>
                </c:pt>
                <c:pt idx="61">
                  <c:v>5</c:v>
                </c:pt>
                <c:pt idx="62">
                  <c:v>3</c:v>
                </c:pt>
                <c:pt idx="63">
                  <c:v>0</c:v>
                </c:pt>
                <c:pt idx="64">
                  <c:v>2</c:v>
                </c:pt>
                <c:pt idx="65">
                  <c:v>2</c:v>
                </c:pt>
                <c:pt idx="66">
                  <c:v>0</c:v>
                </c:pt>
                <c:pt idx="67">
                  <c:v>0</c:v>
                </c:pt>
              </c:numCache>
            </c:numRef>
          </c:val>
          <c:extLst>
            <c:ext xmlns:c16="http://schemas.microsoft.com/office/drawing/2014/chart" uri="{C3380CC4-5D6E-409C-BE32-E72D297353CC}">
              <c16:uniqueId val="{00000000-C8B4-4F45-AE13-3BD642905973}"/>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Env2'!$A$1:$B$68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Env2'!$C$1:$C$68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0EF8-42FF-A9A0-BC18579D9469}"/>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Env3'!$A$1:$B$68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Env3'!$C$1:$C$68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EE2E-4CEB-9950-414F08CA1890}"/>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3333750</xdr:colOff>
      <xdr:row>0</xdr:row>
      <xdr:rowOff>85725</xdr:rowOff>
    </xdr:from>
    <xdr:to>
      <xdr:col>0</xdr:col>
      <xdr:colOff>15278100</xdr:colOff>
      <xdr:row>0</xdr:row>
      <xdr:rowOff>95250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3333750" y="85725"/>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3372678</xdr:colOff>
      <xdr:row>2</xdr:row>
      <xdr:rowOff>710648</xdr:rowOff>
    </xdr:from>
    <xdr:to>
      <xdr:col>0</xdr:col>
      <xdr:colOff>15317028</xdr:colOff>
      <xdr:row>2</xdr:row>
      <xdr:rowOff>720173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3372678" y="3368123"/>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13</xdr:row>
      <xdr:rowOff>91994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113168</xdr:colOff>
      <xdr:row>2</xdr:row>
      <xdr:rowOff>103739</xdr:rowOff>
    </xdr:from>
    <xdr:to>
      <xdr:col>4</xdr:col>
      <xdr:colOff>103737</xdr:colOff>
      <xdr:row>52</xdr:row>
      <xdr:rowOff>180596</xdr:rowOff>
    </xdr:to>
    <xdr:pic>
      <xdr:nvPicPr>
        <xdr:cNvPr id="2" name="Picture 1">
          <a:extLst>
            <a:ext uri="{FF2B5EF4-FFF2-40B4-BE49-F238E27FC236}">
              <a16:creationId xmlns:a16="http://schemas.microsoft.com/office/drawing/2014/main" id="{4CB22E20-C6AF-4931-BFDD-1984B1FB9022}"/>
            </a:ext>
          </a:extLst>
        </xdr:cNvPr>
        <xdr:cNvPicPr>
          <a:picLocks noChangeAspect="1"/>
        </xdr:cNvPicPr>
      </xdr:nvPicPr>
      <xdr:blipFill>
        <a:blip xmlns:r="http://schemas.openxmlformats.org/officeDocument/2006/relationships" r:embed="rId1"/>
        <a:stretch>
          <a:fillRect/>
        </a:stretch>
      </xdr:blipFill>
      <xdr:spPr>
        <a:xfrm>
          <a:off x="113168" y="895917"/>
          <a:ext cx="13033218" cy="9507550"/>
        </a:xfrm>
        <a:prstGeom prst="rect">
          <a:avLst/>
        </a:prstGeom>
      </xdr:spPr>
    </xdr:pic>
    <xdr:clientData/>
  </xdr:twoCellAnchor>
  <xdr:twoCellAnchor editAs="oneCell">
    <xdr:from>
      <xdr:col>0</xdr:col>
      <xdr:colOff>141460</xdr:colOff>
      <xdr:row>53</xdr:row>
      <xdr:rowOff>75445</xdr:rowOff>
    </xdr:from>
    <xdr:to>
      <xdr:col>4</xdr:col>
      <xdr:colOff>94306</xdr:colOff>
      <xdr:row>97</xdr:row>
      <xdr:rowOff>150224</xdr:rowOff>
    </xdr:to>
    <xdr:pic>
      <xdr:nvPicPr>
        <xdr:cNvPr id="4" name="Picture 3">
          <a:extLst>
            <a:ext uri="{FF2B5EF4-FFF2-40B4-BE49-F238E27FC236}">
              <a16:creationId xmlns:a16="http://schemas.microsoft.com/office/drawing/2014/main" id="{845EA835-8131-4DB1-AB99-6B044EFF4773}"/>
            </a:ext>
          </a:extLst>
        </xdr:cNvPr>
        <xdr:cNvPicPr>
          <a:picLocks noChangeAspect="1"/>
        </xdr:cNvPicPr>
      </xdr:nvPicPr>
      <xdr:blipFill>
        <a:blip xmlns:r="http://schemas.openxmlformats.org/officeDocument/2006/relationships" r:embed="rId2"/>
        <a:stretch>
          <a:fillRect/>
        </a:stretch>
      </xdr:blipFill>
      <xdr:spPr>
        <a:xfrm>
          <a:off x="141460" y="10486930"/>
          <a:ext cx="12995495" cy="83737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228600</xdr:colOff>
      <xdr:row>0</xdr:row>
      <xdr:rowOff>85725</xdr:rowOff>
    </xdr:from>
    <xdr:to>
      <xdr:col>27</xdr:col>
      <xdr:colOff>400050</xdr:colOff>
      <xdr:row>31</xdr:row>
      <xdr:rowOff>47625</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row r="3">
          <cell r="A3" t="str">
            <v>Shawn Mcdaniel</v>
          </cell>
        </row>
        <row r="4">
          <cell r="A4" t="str">
            <v>Maryann DiMarco</v>
          </cell>
        </row>
        <row r="5">
          <cell r="A5" t="str">
            <v>Pete Sekulovski</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http://www.perigen.com/" TargetMode="External"/><Relationship Id="rId1" Type="http://schemas.openxmlformats.org/officeDocument/2006/relationships/hyperlink" Target="mailto:bruno.bendavid@perigen.coom" TargetMode="Externa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hyperlink" Target="https://nvd.nist.gov/800-53/Rev4/control/AC-12" TargetMode="External"/><Relationship Id="rId3" Type="http://schemas.openxmlformats.org/officeDocument/2006/relationships/hyperlink" Target="https://nvd.nist.gov/800-53/Rev4/control/AC-7" TargetMode="External"/><Relationship Id="rId7" Type="http://schemas.openxmlformats.org/officeDocument/2006/relationships/hyperlink" Target="https://nvd.nist.gov/800-53/Rev4/control/AC-11" TargetMode="External"/><Relationship Id="rId2" Type="http://schemas.openxmlformats.org/officeDocument/2006/relationships/hyperlink" Target="https://nvd.nist.gov/800-53/Rev4/control/AC-2" TargetMode="External"/><Relationship Id="rId1" Type="http://schemas.openxmlformats.org/officeDocument/2006/relationships/hyperlink" Target="https://nvd.nist.gov/800-53/Rev4/control/AC-1" TargetMode="External"/><Relationship Id="rId6" Type="http://schemas.openxmlformats.org/officeDocument/2006/relationships/hyperlink" Target="https://nvd.nist.gov/800-53/Rev4/control/AC-10" TargetMode="External"/><Relationship Id="rId5" Type="http://schemas.openxmlformats.org/officeDocument/2006/relationships/hyperlink" Target="https://nvd.nist.gov/800-53/Rev4/control/AC-9" TargetMode="External"/><Relationship Id="rId10" Type="http://schemas.openxmlformats.org/officeDocument/2006/relationships/printerSettings" Target="../printerSettings/printerSettings8.bin"/><Relationship Id="rId4" Type="http://schemas.openxmlformats.org/officeDocument/2006/relationships/hyperlink" Target="https://nvd.nist.gov/800-53/Rev4/control/AC-8" TargetMode="External"/><Relationship Id="rId9" Type="http://schemas.openxmlformats.org/officeDocument/2006/relationships/hyperlink" Target="https://nvd.nist.gov/800-53/Rev4/control/AC-1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nvd.nist.gov/800-53/Rev4/control/AT-3" TargetMode="External"/><Relationship Id="rId2" Type="http://schemas.openxmlformats.org/officeDocument/2006/relationships/hyperlink" Target="https://nvd.nist.gov/800-53/Rev4/control/AT-2" TargetMode="External"/><Relationship Id="rId1" Type="http://schemas.openxmlformats.org/officeDocument/2006/relationships/hyperlink" Target="https://nvd.nist.gov/800-53/Rev4/control/AT-1" TargetMode="External"/><Relationship Id="rId4" Type="http://schemas.openxmlformats.org/officeDocument/2006/relationships/hyperlink" Target="https://nvd.nist.gov/800-53/Rev4/control/AT-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vd.nist.gov/800-53/Rev4/control/AU-5" TargetMode="External"/><Relationship Id="rId7" Type="http://schemas.openxmlformats.org/officeDocument/2006/relationships/hyperlink" Target="https://nvd.nist.gov/800-53/Rev4/control/AU-12" TargetMode="External"/><Relationship Id="rId2" Type="http://schemas.openxmlformats.org/officeDocument/2006/relationships/hyperlink" Target="https://nvd.nist.gov/800-53/Rev4/control/AU-3" TargetMode="External"/><Relationship Id="rId1" Type="http://schemas.openxmlformats.org/officeDocument/2006/relationships/hyperlink" Target="https://nvd.nist.gov/800-53/Rev4/control/AU-2" TargetMode="External"/><Relationship Id="rId6" Type="http://schemas.openxmlformats.org/officeDocument/2006/relationships/hyperlink" Target="https://nvd.nist.gov/800-53/Rev4/control/AU-9" TargetMode="External"/><Relationship Id="rId5" Type="http://schemas.openxmlformats.org/officeDocument/2006/relationships/hyperlink" Target="https://nvd.nist.gov/800-53/Rev4/control/AU-8" TargetMode="External"/><Relationship Id="rId4" Type="http://schemas.openxmlformats.org/officeDocument/2006/relationships/hyperlink" Target="https://nvd.nist.gov/800-53/Rev4/control/AU-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nvd.nist.gov/800-53/Rev4/control/CM-9" TargetMode="External"/><Relationship Id="rId3" Type="http://schemas.openxmlformats.org/officeDocument/2006/relationships/hyperlink" Target="https://nvd.nist.gov/800-53/Rev4/control/CM-3" TargetMode="External"/><Relationship Id="rId7" Type="http://schemas.openxmlformats.org/officeDocument/2006/relationships/hyperlink" Target="https://nvd.nist.gov/800-53/Rev4/control/CM-8" TargetMode="External"/><Relationship Id="rId2" Type="http://schemas.openxmlformats.org/officeDocument/2006/relationships/hyperlink" Target="https://nvd.nist.gov/800-53/Rev4/control/CM-2" TargetMode="External"/><Relationship Id="rId1" Type="http://schemas.openxmlformats.org/officeDocument/2006/relationships/hyperlink" Target="https://nvd.nist.gov/800-53/Rev4/control/CM-1" TargetMode="External"/><Relationship Id="rId6" Type="http://schemas.openxmlformats.org/officeDocument/2006/relationships/hyperlink" Target="https://nvd.nist.gov/800-53/Rev4/control/CM-7" TargetMode="External"/><Relationship Id="rId5" Type="http://schemas.openxmlformats.org/officeDocument/2006/relationships/hyperlink" Target="https://nvd.nist.gov/800-53/Rev4/control/CM-6" TargetMode="External"/><Relationship Id="rId10" Type="http://schemas.openxmlformats.org/officeDocument/2006/relationships/printerSettings" Target="../printerSettings/printerSettings9.bin"/><Relationship Id="rId4" Type="http://schemas.openxmlformats.org/officeDocument/2006/relationships/hyperlink" Target="https://nvd.nist.gov/800-53/Rev4/control/CM-4" TargetMode="External"/><Relationship Id="rId9" Type="http://schemas.openxmlformats.org/officeDocument/2006/relationships/hyperlink" Target="https://nvd.nist.gov/800-53/Rev4/control/CM-1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nvd.nist.gov/800-53/Rev4/control/IA-3" TargetMode="External"/><Relationship Id="rId7" Type="http://schemas.openxmlformats.org/officeDocument/2006/relationships/hyperlink" Target="https://nvd.nist.gov/800-53/Rev4/control/IA-7" TargetMode="External"/><Relationship Id="rId2" Type="http://schemas.openxmlformats.org/officeDocument/2006/relationships/hyperlink" Target="https://nvd.nist.gov/800-53/Rev4/control/IA-2" TargetMode="External"/><Relationship Id="rId1" Type="http://schemas.openxmlformats.org/officeDocument/2006/relationships/hyperlink" Target="https://nvd.nist.gov/800-53/Rev4/control/IA-1" TargetMode="External"/><Relationship Id="rId6" Type="http://schemas.openxmlformats.org/officeDocument/2006/relationships/hyperlink" Target="https://nvd.nist.gov/800-53/Rev4/control/IA-6" TargetMode="External"/><Relationship Id="rId5" Type="http://schemas.openxmlformats.org/officeDocument/2006/relationships/hyperlink" Target="https://nvd.nist.gov/800-53/Rev4/control/IA-5" TargetMode="External"/><Relationship Id="rId4" Type="http://schemas.openxmlformats.org/officeDocument/2006/relationships/hyperlink" Target="https://nvd.nist.gov/800-53/Rev4/control/IA-4"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d.nist.gov/800-53/Rev4/control/IR-8" TargetMode="External"/><Relationship Id="rId3" Type="http://schemas.openxmlformats.org/officeDocument/2006/relationships/hyperlink" Target="https://nvd.nist.gov/800-53/Rev4/control/IR-3" TargetMode="External"/><Relationship Id="rId7" Type="http://schemas.openxmlformats.org/officeDocument/2006/relationships/hyperlink" Target="https://nvd.nist.gov/800-53/Rev4/control/IR-7" TargetMode="External"/><Relationship Id="rId2" Type="http://schemas.openxmlformats.org/officeDocument/2006/relationships/hyperlink" Target="https://nvd.nist.gov/800-53/Rev4/control/IR-2" TargetMode="External"/><Relationship Id="rId1" Type="http://schemas.openxmlformats.org/officeDocument/2006/relationships/hyperlink" Target="https://nvd.nist.gov/800-53/Rev4/control/IR-1" TargetMode="External"/><Relationship Id="rId6" Type="http://schemas.openxmlformats.org/officeDocument/2006/relationships/hyperlink" Target="https://nvd.nist.gov/800-53/Rev4/control/IR-6" TargetMode="External"/><Relationship Id="rId5" Type="http://schemas.openxmlformats.org/officeDocument/2006/relationships/hyperlink" Target="https://nvd.nist.gov/800-53/Rev4/control/IR-5" TargetMode="External"/><Relationship Id="rId4" Type="http://schemas.openxmlformats.org/officeDocument/2006/relationships/hyperlink" Target="https://nvd.nist.gov/800-53/Rev4/control/IR-4" TargetMode="External"/><Relationship Id="rId9" Type="http://schemas.openxmlformats.org/officeDocument/2006/relationships/hyperlink" Target="https://nvd.nist.gov/800-53/Rev4/control/IR-9"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nvd.nist.gov/800-53/Rev4/control/MA-3" TargetMode="External"/><Relationship Id="rId2" Type="http://schemas.openxmlformats.org/officeDocument/2006/relationships/hyperlink" Target="https://nvd.nist.gov/800-53/Rev4/control/MA-2" TargetMode="External"/><Relationship Id="rId1" Type="http://schemas.openxmlformats.org/officeDocument/2006/relationships/hyperlink" Target="https://nvd.nist.gov/800-53/Rev4/control/MA-1" TargetMode="External"/><Relationship Id="rId5" Type="http://schemas.openxmlformats.org/officeDocument/2006/relationships/hyperlink" Target="https://nvd.nist.gov/800-53/Rev4/control/MA-5" TargetMode="External"/><Relationship Id="rId4" Type="http://schemas.openxmlformats.org/officeDocument/2006/relationships/hyperlink" Target="https://nvd.nist.gov/800-53/Rev4/control/MA-4"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nvd.nist.gov/800-53/Rev4/control/PS-8" TargetMode="External"/><Relationship Id="rId3" Type="http://schemas.openxmlformats.org/officeDocument/2006/relationships/hyperlink" Target="https://nvd.nist.gov/800-53/Rev4/control/PS-3" TargetMode="External"/><Relationship Id="rId7" Type="http://schemas.openxmlformats.org/officeDocument/2006/relationships/hyperlink" Target="https://nvd.nist.gov/800-53/Rev4/control/PS-7" TargetMode="External"/><Relationship Id="rId2" Type="http://schemas.openxmlformats.org/officeDocument/2006/relationships/hyperlink" Target="https://nvd.nist.gov/800-53/Rev4/control/PS-2" TargetMode="External"/><Relationship Id="rId1" Type="http://schemas.openxmlformats.org/officeDocument/2006/relationships/hyperlink" Target="https://nvd.nist.gov/800-53/Rev4/control/PS-1" TargetMode="External"/><Relationship Id="rId6" Type="http://schemas.openxmlformats.org/officeDocument/2006/relationships/hyperlink" Target="https://nvd.nist.gov/800-53/Rev4/control/PS-6" TargetMode="External"/><Relationship Id="rId5" Type="http://schemas.openxmlformats.org/officeDocument/2006/relationships/hyperlink" Target="https://nvd.nist.gov/800-53/Rev4/control/PS-5" TargetMode="External"/><Relationship Id="rId4" Type="http://schemas.openxmlformats.org/officeDocument/2006/relationships/hyperlink" Target="https://nvd.nist.gov/800-53/Rev4/control/PS-4"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nvd.nist.gov/800-53/Rev4/control/SA-4" TargetMode="External"/><Relationship Id="rId7" Type="http://schemas.openxmlformats.org/officeDocument/2006/relationships/hyperlink" Target="https://nvd.nist.gov/800-53/Rev4/control/SA-11" TargetMode="External"/><Relationship Id="rId2" Type="http://schemas.openxmlformats.org/officeDocument/2006/relationships/hyperlink" Target="https://nvd.nist.gov/800-53/Rev4/control/SA-3" TargetMode="External"/><Relationship Id="rId1" Type="http://schemas.openxmlformats.org/officeDocument/2006/relationships/hyperlink" Target="https://nvd.nist.gov/800-53/Rev4/control/SA-1" TargetMode="External"/><Relationship Id="rId6" Type="http://schemas.openxmlformats.org/officeDocument/2006/relationships/hyperlink" Target="https://nvd.nist.gov/800-53/Rev4/control/SA-10" TargetMode="External"/><Relationship Id="rId5" Type="http://schemas.openxmlformats.org/officeDocument/2006/relationships/hyperlink" Target="https://nvd.nist.gov/800-53/Rev4/control/SA-8" TargetMode="External"/><Relationship Id="rId4" Type="http://schemas.openxmlformats.org/officeDocument/2006/relationships/hyperlink" Target="https://nvd.nist.gov/800-53/Rev4/control/SA-5"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vd.nist.gov/800-53/Rev4/control/SC-21" TargetMode="External"/><Relationship Id="rId3" Type="http://schemas.openxmlformats.org/officeDocument/2006/relationships/hyperlink" Target="https://nvd.nist.gov/800-53/Rev4/control/SC-8" TargetMode="External"/><Relationship Id="rId7" Type="http://schemas.openxmlformats.org/officeDocument/2006/relationships/hyperlink" Target="https://nvd.nist.gov/800-53/Rev4/control/SC-20" TargetMode="External"/><Relationship Id="rId2" Type="http://schemas.openxmlformats.org/officeDocument/2006/relationships/hyperlink" Target="https://nvd.nist.gov/800-53/Rev4/control/SC-2" TargetMode="External"/><Relationship Id="rId1" Type="http://schemas.openxmlformats.org/officeDocument/2006/relationships/hyperlink" Target="https://nvd.nist.gov/800-53/Rev4/control/SC-1" TargetMode="External"/><Relationship Id="rId6" Type="http://schemas.openxmlformats.org/officeDocument/2006/relationships/hyperlink" Target="https://nvd.nist.gov/800-53/Rev4/control/SC-15" TargetMode="External"/><Relationship Id="rId5" Type="http://schemas.openxmlformats.org/officeDocument/2006/relationships/hyperlink" Target="https://nvd.nist.gov/800-53/Rev4/control/SC-13" TargetMode="External"/><Relationship Id="rId10" Type="http://schemas.openxmlformats.org/officeDocument/2006/relationships/hyperlink" Target="https://nvd.nist.gov/800-53/Rev4/control/SC-28" TargetMode="External"/><Relationship Id="rId4" Type="http://schemas.openxmlformats.org/officeDocument/2006/relationships/hyperlink" Target="https://nvd.nist.gov/800-53/Rev4/control/SC-10" TargetMode="External"/><Relationship Id="rId9" Type="http://schemas.openxmlformats.org/officeDocument/2006/relationships/hyperlink" Target="https://nvd.nist.gov/800-53/Rev4/control/SC-23"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nvd.nist.gov/800-53/Rev4/control/SI-2" TargetMode="External"/><Relationship Id="rId1" Type="http://schemas.openxmlformats.org/officeDocument/2006/relationships/hyperlink" Target="https://nvd.nist.gov/800-53/Rev4/control/SI-1"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zoomScale="70" zoomScaleNormal="70" workbookViewId="0">
      <selection sqref="A1:A11"/>
    </sheetView>
  </sheetViews>
  <sheetFormatPr defaultColWidth="9.140625" defaultRowHeight="15" x14ac:dyDescent="0.25"/>
  <cols>
    <col min="1" max="1" width="255.5703125" style="128" customWidth="1"/>
    <col min="2" max="16384" width="9.140625" style="128"/>
  </cols>
  <sheetData>
    <row r="1" spans="1:1" ht="45" customHeight="1" x14ac:dyDescent="0.25">
      <c r="A1" s="253" t="s">
        <v>0</v>
      </c>
    </row>
    <row r="2" spans="1:1" ht="164.25" customHeight="1" x14ac:dyDescent="0.25">
      <c r="A2" s="253"/>
    </row>
    <row r="3" spans="1:1" ht="269.25" customHeight="1" x14ac:dyDescent="0.25">
      <c r="A3" s="253"/>
    </row>
    <row r="4" spans="1:1" ht="15" customHeight="1" x14ac:dyDescent="0.25">
      <c r="A4" s="253"/>
    </row>
    <row r="5" spans="1:1" ht="15" customHeight="1" x14ac:dyDescent="0.25">
      <c r="A5" s="253"/>
    </row>
    <row r="6" spans="1:1" ht="15" customHeight="1" x14ac:dyDescent="0.25">
      <c r="A6" s="253"/>
    </row>
    <row r="7" spans="1:1" ht="15" customHeight="1" x14ac:dyDescent="0.25">
      <c r="A7" s="253"/>
    </row>
    <row r="8" spans="1:1" ht="8.25" customHeight="1" x14ac:dyDescent="0.25">
      <c r="A8" s="253"/>
    </row>
    <row r="9" spans="1:1" ht="15" hidden="1" customHeight="1" x14ac:dyDescent="0.25">
      <c r="A9" s="253"/>
    </row>
    <row r="10" spans="1:1" ht="15" hidden="1" customHeight="1" x14ac:dyDescent="0.25">
      <c r="A10" s="253"/>
    </row>
    <row r="11" spans="1:1" ht="60" hidden="1" customHeight="1" x14ac:dyDescent="0.25">
      <c r="A11" s="253"/>
    </row>
    <row r="12" spans="1:1" x14ac:dyDescent="0.25">
      <c r="A12" s="128" t="s">
        <v>855</v>
      </c>
    </row>
  </sheetData>
  <sheetProtection algorithmName="SHA-512" hashValue="oXXo1MRabaO/+lGhXaB65CtW5G6ii3cl0RswVMwKSP0dKGZEVSA/0erAW1nvLoWCTUtTZ6TpBKuNgsWNJrGf5g==" saltValue="R7DA58CIWkTutP20YcsUaw=="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showGridLines="0" zoomScale="80" zoomScaleNormal="80" workbookViewId="0">
      <selection activeCell="C14" sqref="C14"/>
    </sheetView>
  </sheetViews>
  <sheetFormatPr defaultColWidth="9.140625" defaultRowHeight="15.75" x14ac:dyDescent="0.25"/>
  <cols>
    <col min="1" max="1" width="18.5703125" style="14" customWidth="1"/>
    <col min="2" max="2" width="203.28515625" style="14" customWidth="1"/>
    <col min="3" max="3" width="61.140625" style="25" customWidth="1"/>
    <col min="4" max="4" width="9.140625" style="25"/>
    <col min="5" max="16384" width="9.140625" style="14"/>
  </cols>
  <sheetData>
    <row r="1" spans="1:4" s="22" customFormat="1" x14ac:dyDescent="0.25">
      <c r="A1" s="254" t="s">
        <v>1</v>
      </c>
      <c r="B1" s="255"/>
      <c r="C1" s="21"/>
      <c r="D1" s="21"/>
    </row>
    <row r="2" spans="1:4" s="22" customFormat="1" ht="30" x14ac:dyDescent="0.2">
      <c r="A2" s="23"/>
      <c r="B2" s="24" t="s">
        <v>882</v>
      </c>
      <c r="C2" s="21"/>
      <c r="D2" s="21"/>
    </row>
    <row r="3" spans="1:4" s="21" customFormat="1" ht="15" x14ac:dyDescent="0.2"/>
    <row r="4" spans="1:4" s="22" customFormat="1" x14ac:dyDescent="0.25">
      <c r="A4" s="254" t="s">
        <v>2</v>
      </c>
      <c r="B4" s="254"/>
      <c r="C4" s="21"/>
      <c r="D4" s="21"/>
    </row>
    <row r="5" spans="1:4" s="22" customFormat="1" ht="45.95" customHeight="1" x14ac:dyDescent="0.2">
      <c r="A5" s="23"/>
      <c r="B5" s="24" t="s">
        <v>883</v>
      </c>
      <c r="C5" s="21"/>
      <c r="D5" s="21"/>
    </row>
    <row r="6" spans="1:4" s="21" customFormat="1" ht="12.95" customHeight="1" x14ac:dyDescent="0.2"/>
    <row r="7" spans="1:4" s="21" customFormat="1" x14ac:dyDescent="0.25">
      <c r="A7" s="256" t="s">
        <v>3</v>
      </c>
      <c r="B7" s="256"/>
    </row>
    <row r="8" spans="1:4" s="21" customFormat="1" ht="15" x14ac:dyDescent="0.2">
      <c r="A8" s="112"/>
      <c r="B8" s="112" t="s">
        <v>884</v>
      </c>
    </row>
    <row r="9" spans="1:4" s="21" customFormat="1" ht="27.95" customHeight="1" x14ac:dyDescent="0.2"/>
    <row r="10" spans="1:4" s="22" customFormat="1" x14ac:dyDescent="0.25">
      <c r="A10" s="254" t="s">
        <v>4</v>
      </c>
      <c r="B10" s="254"/>
      <c r="C10" s="21"/>
      <c r="D10" s="21"/>
    </row>
    <row r="11" spans="1:4" s="22" customFormat="1" ht="105.75" customHeight="1" x14ac:dyDescent="0.2">
      <c r="A11" s="23"/>
      <c r="B11" s="24" t="s">
        <v>885</v>
      </c>
      <c r="C11" s="21"/>
      <c r="D11" s="21"/>
    </row>
    <row r="12" spans="1:4" s="21" customFormat="1" ht="15" x14ac:dyDescent="0.2"/>
    <row r="13" spans="1:4" s="22" customFormat="1" x14ac:dyDescent="0.25">
      <c r="A13" s="254" t="s">
        <v>5</v>
      </c>
      <c r="B13" s="255"/>
      <c r="C13" s="21"/>
      <c r="D13" s="21"/>
    </row>
    <row r="14" spans="1:4" s="22" customFormat="1" ht="189.6" customHeight="1" x14ac:dyDescent="0.2">
      <c r="A14" s="23"/>
      <c r="B14" s="24" t="s">
        <v>886</v>
      </c>
      <c r="C14" s="21"/>
      <c r="D14" s="21"/>
    </row>
    <row r="15" spans="1:4" s="25" customFormat="1" x14ac:dyDescent="0.25"/>
    <row r="16" spans="1:4" s="25" customFormat="1" x14ac:dyDescent="0.25"/>
    <row r="17" s="25" customFormat="1" x14ac:dyDescent="0.25"/>
    <row r="18" s="25" customFormat="1" x14ac:dyDescent="0.25"/>
    <row r="19" s="25" customFormat="1" x14ac:dyDescent="0.25"/>
    <row r="20" s="25" customFormat="1" x14ac:dyDescent="0.25"/>
    <row r="21" s="25" customFormat="1" x14ac:dyDescent="0.25"/>
    <row r="22" s="25" customFormat="1" x14ac:dyDescent="0.25"/>
    <row r="23" s="25" customFormat="1" x14ac:dyDescent="0.25"/>
    <row r="24" s="25" customFormat="1" x14ac:dyDescent="0.25"/>
    <row r="25" s="25" customFormat="1" x14ac:dyDescent="0.25"/>
    <row r="26" s="25" customFormat="1" x14ac:dyDescent="0.25"/>
    <row r="27" s="25" customFormat="1" x14ac:dyDescent="0.25"/>
    <row r="28" s="25" customFormat="1" x14ac:dyDescent="0.25"/>
    <row r="29" s="25" customFormat="1" x14ac:dyDescent="0.25"/>
    <row r="30" s="25" customFormat="1" x14ac:dyDescent="0.25"/>
    <row r="31" s="25" customFormat="1" x14ac:dyDescent="0.25"/>
    <row r="32" s="25" customFormat="1" x14ac:dyDescent="0.25"/>
    <row r="33" s="25" customFormat="1" x14ac:dyDescent="0.25"/>
    <row r="34" s="25" customFormat="1" x14ac:dyDescent="0.25"/>
    <row r="35" s="25" customFormat="1" x14ac:dyDescent="0.25"/>
    <row r="36" s="25" customFormat="1" x14ac:dyDescent="0.25"/>
    <row r="37" s="25" customFormat="1" x14ac:dyDescent="0.25"/>
    <row r="38" s="25" customFormat="1" x14ac:dyDescent="0.25"/>
    <row r="39" s="25" customFormat="1" x14ac:dyDescent="0.25"/>
    <row r="40" s="25" customFormat="1" x14ac:dyDescent="0.25"/>
    <row r="41" s="25" customFormat="1" x14ac:dyDescent="0.25"/>
    <row r="42" s="25" customFormat="1" x14ac:dyDescent="0.25"/>
    <row r="43" s="25" customFormat="1" x14ac:dyDescent="0.25"/>
    <row r="44" s="25" customFormat="1" x14ac:dyDescent="0.25"/>
    <row r="45" s="25" customFormat="1" x14ac:dyDescent="0.25"/>
  </sheetData>
  <sheetProtection selectLockedCells="1"/>
  <mergeCells count="5">
    <mergeCell ref="A1:B1"/>
    <mergeCell ref="A13:B13"/>
    <mergeCell ref="A4:B4"/>
    <mergeCell ref="A10:B10"/>
    <mergeCell ref="A7:B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90" zoomScaleNormal="90" workbookViewId="0">
      <selection activeCell="H13" sqref="H13"/>
    </sheetView>
  </sheetViews>
  <sheetFormatPr defaultColWidth="9.140625" defaultRowHeight="15" x14ac:dyDescent="0.25"/>
  <cols>
    <col min="1" max="1" width="20.7109375" style="15" customWidth="1"/>
    <col min="2" max="2" width="12.7109375" style="15" customWidth="1"/>
    <col min="3" max="3" width="7.28515625" style="15" customWidth="1"/>
    <col min="4" max="4" width="16" style="15" customWidth="1"/>
    <col min="5" max="5" width="18.42578125" style="15" customWidth="1"/>
    <col min="6" max="6" width="21.85546875" style="15" customWidth="1"/>
    <col min="7" max="7" width="13.140625" style="15" bestFit="1" customWidth="1"/>
    <col min="8" max="8" width="10.7109375" style="15" customWidth="1"/>
    <col min="9" max="9" width="14.5703125" style="15" customWidth="1"/>
    <col min="10" max="10" width="13.5703125" style="15" customWidth="1"/>
    <col min="11" max="11" width="17.42578125" style="15" customWidth="1"/>
    <col min="12" max="12" width="11.5703125" style="15" bestFit="1" customWidth="1"/>
    <col min="13" max="13" width="14.7109375" style="15" customWidth="1"/>
    <col min="14" max="14" width="9.140625" style="15"/>
    <col min="15" max="15" width="9" customWidth="1"/>
    <col min="16" max="16384" width="9.140625" style="15"/>
  </cols>
  <sheetData>
    <row r="1" spans="1:14" s="19" customFormat="1" ht="48" x14ac:dyDescent="0.25">
      <c r="A1" s="20" t="s">
        <v>6</v>
      </c>
      <c r="B1" s="20" t="s">
        <v>7</v>
      </c>
      <c r="C1" s="20" t="s">
        <v>8</v>
      </c>
      <c r="D1" s="20" t="s">
        <v>9</v>
      </c>
      <c r="E1" s="20" t="s">
        <v>10</v>
      </c>
      <c r="F1" s="20" t="s">
        <v>11</v>
      </c>
      <c r="G1" s="20" t="s">
        <v>12</v>
      </c>
      <c r="H1" s="20" t="s">
        <v>13</v>
      </c>
      <c r="I1" s="20" t="s">
        <v>14</v>
      </c>
      <c r="J1" s="20" t="s">
        <v>15</v>
      </c>
      <c r="K1" s="20" t="s">
        <v>16</v>
      </c>
      <c r="L1" s="20" t="s">
        <v>17</v>
      </c>
      <c r="M1" s="20" t="s">
        <v>18</v>
      </c>
      <c r="N1" s="20"/>
    </row>
    <row r="2" spans="1:14" x14ac:dyDescent="0.25">
      <c r="A2" s="15" t="s">
        <v>19</v>
      </c>
      <c r="B2" s="15" t="s">
        <v>20</v>
      </c>
      <c r="C2" s="15" t="s">
        <v>21</v>
      </c>
      <c r="D2" s="15" t="s">
        <v>22</v>
      </c>
      <c r="E2" s="15" t="s">
        <v>23</v>
      </c>
      <c r="F2" s="15" t="s">
        <v>24</v>
      </c>
      <c r="G2" s="15" t="s">
        <v>25</v>
      </c>
      <c r="H2" s="15" t="s">
        <v>25</v>
      </c>
      <c r="I2" s="15" t="s">
        <v>26</v>
      </c>
      <c r="J2" s="15" t="s">
        <v>27</v>
      </c>
      <c r="K2" s="15" t="s">
        <v>28</v>
      </c>
      <c r="L2" s="15" t="s">
        <v>19</v>
      </c>
      <c r="M2" s="43" t="s">
        <v>29</v>
      </c>
    </row>
    <row r="3" spans="1:14" x14ac:dyDescent="0.25">
      <c r="A3" s="15" t="s">
        <v>30</v>
      </c>
      <c r="B3" s="15" t="s">
        <v>31</v>
      </c>
      <c r="C3" s="15" t="s">
        <v>32</v>
      </c>
      <c r="D3" s="15" t="s">
        <v>33</v>
      </c>
      <c r="E3" s="15" t="s">
        <v>34</v>
      </c>
      <c r="F3" s="15" t="s">
        <v>35</v>
      </c>
      <c r="G3" s="15" t="s">
        <v>36</v>
      </c>
      <c r="H3" s="15" t="s">
        <v>36</v>
      </c>
      <c r="I3" s="15" t="s">
        <v>37</v>
      </c>
      <c r="J3" s="15" t="s">
        <v>38</v>
      </c>
      <c r="K3" s="15" t="s">
        <v>39</v>
      </c>
      <c r="L3" s="15" t="s">
        <v>30</v>
      </c>
      <c r="M3" s="15" t="s">
        <v>40</v>
      </c>
    </row>
    <row r="4" spans="1:14" x14ac:dyDescent="0.25">
      <c r="A4" s="15" t="s">
        <v>41</v>
      </c>
      <c r="B4" s="15" t="s">
        <v>42</v>
      </c>
      <c r="C4" s="15" t="s">
        <v>43</v>
      </c>
      <c r="D4" s="15" t="s">
        <v>44</v>
      </c>
      <c r="E4" s="15" t="s">
        <v>45</v>
      </c>
      <c r="F4" s="15" t="s">
        <v>46</v>
      </c>
      <c r="G4" s="15" t="s">
        <v>47</v>
      </c>
      <c r="H4" s="15" t="s">
        <v>47</v>
      </c>
      <c r="I4" s="15" t="s">
        <v>48</v>
      </c>
      <c r="J4" s="15" t="s">
        <v>49</v>
      </c>
      <c r="K4" s="15" t="s">
        <v>50</v>
      </c>
      <c r="M4" s="15" t="s">
        <v>51</v>
      </c>
    </row>
    <row r="5" spans="1:14" x14ac:dyDescent="0.25">
      <c r="A5" s="15" t="s">
        <v>52</v>
      </c>
      <c r="B5" s="15" t="s">
        <v>53</v>
      </c>
      <c r="C5" s="15" t="s">
        <v>54</v>
      </c>
      <c r="F5" s="15" t="s">
        <v>55</v>
      </c>
      <c r="G5" s="15" t="s">
        <v>56</v>
      </c>
      <c r="H5" s="15" t="s">
        <v>56</v>
      </c>
      <c r="J5" s="15" t="s">
        <v>57</v>
      </c>
      <c r="M5" s="15" t="s">
        <v>58</v>
      </c>
    </row>
    <row r="6" spans="1:14" x14ac:dyDescent="0.25">
      <c r="B6" s="15" t="s">
        <v>59</v>
      </c>
      <c r="C6" s="15" t="s">
        <v>60</v>
      </c>
      <c r="F6" s="15" t="s">
        <v>61</v>
      </c>
      <c r="G6" s="15" t="s">
        <v>62</v>
      </c>
      <c r="H6" s="15" t="s">
        <v>62</v>
      </c>
      <c r="J6" s="15" t="s">
        <v>63</v>
      </c>
    </row>
    <row r="7" spans="1:14" x14ac:dyDescent="0.25">
      <c r="C7" s="15" t="s">
        <v>64</v>
      </c>
      <c r="G7" s="15" t="s">
        <v>65</v>
      </c>
      <c r="H7" s="15" t="s">
        <v>65</v>
      </c>
      <c r="J7" s="15" t="s">
        <v>66</v>
      </c>
    </row>
    <row r="8" spans="1:14" x14ac:dyDescent="0.25">
      <c r="C8" s="15" t="s">
        <v>67</v>
      </c>
    </row>
    <row r="9" spans="1:14" x14ac:dyDescent="0.25">
      <c r="C9" s="15" t="s">
        <v>68</v>
      </c>
    </row>
    <row r="10" spans="1:14" x14ac:dyDescent="0.25">
      <c r="C10" s="15" t="s">
        <v>69</v>
      </c>
    </row>
    <row r="11" spans="1:14" x14ac:dyDescent="0.25">
      <c r="C11" s="15" t="s">
        <v>70</v>
      </c>
    </row>
    <row r="12" spans="1:14" x14ac:dyDescent="0.25">
      <c r="C12" s="15" t="s">
        <v>71</v>
      </c>
    </row>
    <row r="20" spans="1:3" x14ac:dyDescent="0.25">
      <c r="A20" s="15" t="s">
        <v>72</v>
      </c>
      <c r="C20" s="15" t="s">
        <v>73</v>
      </c>
    </row>
    <row r="21" spans="1:3" x14ac:dyDescent="0.25">
      <c r="A21" s="46" t="s">
        <v>74</v>
      </c>
      <c r="C21" s="15" t="s">
        <v>75</v>
      </c>
    </row>
    <row r="22" spans="1:3" x14ac:dyDescent="0.25">
      <c r="A22" s="47" t="s">
        <v>76</v>
      </c>
      <c r="C22" s="15" t="s">
        <v>77</v>
      </c>
    </row>
    <row r="23" spans="1:3" x14ac:dyDescent="0.25">
      <c r="A23" s="48" t="s">
        <v>78</v>
      </c>
      <c r="C23" s="15" t="s">
        <v>79</v>
      </c>
    </row>
    <row r="24" spans="1:3" ht="24.75" x14ac:dyDescent="0.25">
      <c r="A24" s="49" t="s">
        <v>80</v>
      </c>
      <c r="C24" s="15" t="s">
        <v>52</v>
      </c>
    </row>
    <row r="25" spans="1:3" ht="48.75" x14ac:dyDescent="0.25">
      <c r="A25" s="50" t="s">
        <v>81</v>
      </c>
    </row>
    <row r="26" spans="1:3" ht="36.75" x14ac:dyDescent="0.25">
      <c r="A26" s="50" t="s">
        <v>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zoomScaleNormal="100" workbookViewId="0">
      <selection activeCell="B2" sqref="B2:C2"/>
    </sheetView>
  </sheetViews>
  <sheetFormatPr defaultRowHeight="15" x14ac:dyDescent="0.25"/>
  <cols>
    <col min="1" max="1" width="29" customWidth="1"/>
    <col min="2" max="2" width="36.5703125" customWidth="1"/>
    <col min="3" max="3" width="49.7109375" customWidth="1"/>
    <col min="4" max="4" width="20.42578125" bestFit="1" customWidth="1"/>
    <col min="5" max="5" width="68.7109375" customWidth="1"/>
  </cols>
  <sheetData>
    <row r="1" spans="1:5" s="22" customFormat="1" ht="15.75" x14ac:dyDescent="0.25">
      <c r="A1" s="257" t="s">
        <v>83</v>
      </c>
      <c r="B1" s="257"/>
      <c r="C1" s="257"/>
      <c r="D1" s="257"/>
      <c r="E1" s="257"/>
    </row>
    <row r="2" spans="1:5" s="13" customFormat="1" ht="15.75" customHeight="1" x14ac:dyDescent="0.2">
      <c r="A2" s="32" t="s">
        <v>84</v>
      </c>
      <c r="B2" s="258"/>
      <c r="C2" s="258"/>
      <c r="D2" s="32" t="s">
        <v>85</v>
      </c>
      <c r="E2" s="115"/>
    </row>
    <row r="3" spans="1:5" s="13" customFormat="1" ht="25.5" x14ac:dyDescent="0.2">
      <c r="A3" s="32" t="s">
        <v>86</v>
      </c>
      <c r="B3" s="258"/>
      <c r="C3" s="258"/>
      <c r="D3" s="32" t="s">
        <v>87</v>
      </c>
      <c r="E3" s="115"/>
    </row>
    <row r="4" spans="1:5" s="13" customFormat="1" ht="12.75" x14ac:dyDescent="0.2">
      <c r="A4" s="32" t="s">
        <v>88</v>
      </c>
      <c r="B4" s="258"/>
      <c r="C4" s="258"/>
      <c r="D4" s="32" t="s">
        <v>89</v>
      </c>
      <c r="E4" s="115"/>
    </row>
    <row r="5" spans="1:5" s="13" customFormat="1" ht="15.75" customHeight="1" x14ac:dyDescent="0.2">
      <c r="A5" s="32" t="s">
        <v>90</v>
      </c>
      <c r="B5" s="258"/>
      <c r="C5" s="258"/>
      <c r="D5" s="32" t="s">
        <v>91</v>
      </c>
      <c r="E5" s="115"/>
    </row>
    <row r="6" spans="1:5" s="13" customFormat="1" ht="12.75" x14ac:dyDescent="0.2">
      <c r="A6" s="127" t="s">
        <v>92</v>
      </c>
      <c r="B6" s="127" t="s">
        <v>93</v>
      </c>
      <c r="C6" s="127" t="s">
        <v>94</v>
      </c>
      <c r="D6" s="127" t="s">
        <v>95</v>
      </c>
      <c r="E6" s="127" t="s">
        <v>96</v>
      </c>
    </row>
    <row r="7" spans="1:5" s="14" customFormat="1" ht="15.75" x14ac:dyDescent="0.25">
      <c r="A7" s="44" t="s">
        <v>97</v>
      </c>
      <c r="B7" s="153"/>
      <c r="C7" s="153"/>
      <c r="D7" s="153"/>
      <c r="E7" s="153"/>
    </row>
    <row r="8" spans="1:5" s="17" customFormat="1" ht="36" x14ac:dyDescent="0.25">
      <c r="A8" s="16">
        <v>1</v>
      </c>
      <c r="B8" s="16" t="s">
        <v>98</v>
      </c>
      <c r="C8" s="18" t="s">
        <v>99</v>
      </c>
      <c r="D8" s="116"/>
      <c r="E8" s="117"/>
    </row>
    <row r="9" spans="1:5" s="17" customFormat="1" ht="12" x14ac:dyDescent="0.25">
      <c r="A9" s="16">
        <v>2</v>
      </c>
      <c r="B9" s="16" t="s">
        <v>100</v>
      </c>
      <c r="C9" s="18" t="s">
        <v>101</v>
      </c>
      <c r="D9" s="116"/>
      <c r="E9" s="117"/>
    </row>
    <row r="10" spans="1:5" s="17" customFormat="1" ht="12" x14ac:dyDescent="0.25">
      <c r="A10" s="16">
        <v>3</v>
      </c>
      <c r="B10" s="16" t="s">
        <v>102</v>
      </c>
      <c r="C10" s="18" t="s">
        <v>103</v>
      </c>
      <c r="D10" s="116"/>
      <c r="E10" s="117"/>
    </row>
    <row r="11" spans="1:5" s="17" customFormat="1" ht="12" x14ac:dyDescent="0.25">
      <c r="A11" s="16">
        <v>4</v>
      </c>
      <c r="B11" s="16" t="s">
        <v>104</v>
      </c>
      <c r="C11" s="18" t="s">
        <v>105</v>
      </c>
      <c r="D11" s="116"/>
      <c r="E11" s="117"/>
    </row>
    <row r="12" spans="1:5" s="17" customFormat="1" ht="12" x14ac:dyDescent="0.25">
      <c r="A12" s="16">
        <v>5</v>
      </c>
      <c r="B12" s="16" t="s">
        <v>106</v>
      </c>
      <c r="C12" s="18" t="s">
        <v>107</v>
      </c>
      <c r="D12" s="118"/>
      <c r="E12" s="117"/>
    </row>
    <row r="13" spans="1:5" s="17" customFormat="1" ht="24" x14ac:dyDescent="0.25">
      <c r="A13" s="16">
        <v>6</v>
      </c>
      <c r="B13" s="16" t="s">
        <v>108</v>
      </c>
      <c r="C13" s="18" t="s">
        <v>109</v>
      </c>
      <c r="D13" s="118"/>
      <c r="E13" s="117"/>
    </row>
    <row r="14" spans="1:5" s="17" customFormat="1" ht="12" x14ac:dyDescent="0.25">
      <c r="A14" s="16">
        <v>7</v>
      </c>
      <c r="B14" s="16" t="s">
        <v>110</v>
      </c>
      <c r="C14" s="18" t="s">
        <v>111</v>
      </c>
      <c r="D14" s="118"/>
      <c r="E14" s="117"/>
    </row>
    <row r="15" spans="1:5" s="17" customFormat="1" ht="24" x14ac:dyDescent="0.25">
      <c r="A15" s="16">
        <v>8</v>
      </c>
      <c r="B15" s="16" t="s">
        <v>112</v>
      </c>
      <c r="C15" s="18" t="s">
        <v>113</v>
      </c>
      <c r="D15" s="118"/>
      <c r="E15" s="117"/>
    </row>
    <row r="16" spans="1:5" s="17" customFormat="1" ht="12" x14ac:dyDescent="0.25">
      <c r="A16" s="16">
        <v>9</v>
      </c>
      <c r="B16" s="16" t="s">
        <v>114</v>
      </c>
      <c r="C16" s="18" t="s">
        <v>115</v>
      </c>
      <c r="D16" s="117"/>
      <c r="E16" s="117"/>
    </row>
    <row r="17" spans="1:5" s="17" customFormat="1" ht="12" x14ac:dyDescent="0.25">
      <c r="A17" s="16">
        <v>10</v>
      </c>
      <c r="B17" s="16" t="s">
        <v>116</v>
      </c>
      <c r="C17" s="18" t="s">
        <v>117</v>
      </c>
      <c r="D17" s="116"/>
      <c r="E17" s="117"/>
    </row>
    <row r="18" spans="1:5" s="17" customFormat="1" ht="24" x14ac:dyDescent="0.25">
      <c r="A18" s="16">
        <v>11</v>
      </c>
      <c r="B18" s="16" t="s">
        <v>118</v>
      </c>
      <c r="C18" s="18" t="s">
        <v>119</v>
      </c>
      <c r="D18" s="116"/>
      <c r="E18" s="117"/>
    </row>
    <row r="19" spans="1:5" s="17" customFormat="1" ht="24" x14ac:dyDescent="0.25">
      <c r="A19" s="16">
        <v>12</v>
      </c>
      <c r="B19" s="16" t="s">
        <v>120</v>
      </c>
      <c r="C19" s="18" t="s">
        <v>121</v>
      </c>
      <c r="D19" s="116"/>
      <c r="E19" s="117"/>
    </row>
    <row r="20" spans="1:5" s="17" customFormat="1" ht="48" x14ac:dyDescent="0.25">
      <c r="A20" s="16">
        <v>13</v>
      </c>
      <c r="B20" s="16" t="s">
        <v>122</v>
      </c>
      <c r="C20" s="18" t="s">
        <v>123</v>
      </c>
      <c r="D20" s="116"/>
      <c r="E20" s="117"/>
    </row>
  </sheetData>
  <sheetProtection algorithmName="SHA-512" hashValue="gVOcgs5oUEf2ucwwdzuwf5x1Jj5OMBD1YtW30Ki0NoKPBWGZctr7UM/lSCA+Z6JWIE1dlbVCHBF9oXIvP+jNiA==" saltValue="kBDVnkMaxhpEiam0WOs7/g==" spinCount="100000" sheet="1" objects="1" scenarios="1" selectLockedCells="1"/>
  <mergeCells count="5">
    <mergeCell ref="A1:E1"/>
    <mergeCell ref="B2:C2"/>
    <mergeCell ref="B3:C3"/>
    <mergeCell ref="B4:C4"/>
    <mergeCell ref="B5:C5"/>
  </mergeCell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'Data Validation Key'!$C$2:$C$12</xm:f>
          </x14:formula1>
          <xm:sqref>D9</xm:sqref>
        </x14:dataValidation>
        <x14:dataValidation type="list" allowBlank="1" showInputMessage="1" showErrorMessage="1" xr:uid="{00000000-0002-0000-0300-000001000000}">
          <x14:formula1>
            <xm:f>'Data Validation Key'!$K$2:$K$4</xm:f>
          </x14:formula1>
          <xm:sqref>D10</xm:sqref>
        </x14:dataValidation>
        <x14:dataValidation type="list" allowBlank="1" showInputMessage="1" showErrorMessage="1" xr:uid="{00000000-0002-0000-0300-000002000000}">
          <x14:formula1>
            <xm:f>'Data Validation Key'!$I$2:$I$4</xm:f>
          </x14:formula1>
          <xm:sqref>D13</xm:sqref>
        </x14:dataValidation>
        <x14:dataValidation type="list" allowBlank="1" showInputMessage="1" showErrorMessage="1" xr:uid="{00000000-0002-0000-0300-000003000000}">
          <x14:formula1>
            <xm:f>'Data Validation Key'!$J$2:$J$7</xm:f>
          </x14:formula1>
          <xm:sqref>D17</xm:sqref>
        </x14:dataValidation>
        <x14:dataValidation type="list" allowBlank="1" showInputMessage="1" showErrorMessage="1" xr:uid="{00000000-0002-0000-0300-000004000000}">
          <x14:formula1>
            <xm:f>'Data Validation Key'!$A$2:$A$5</xm:f>
          </x14:formula1>
          <xm:sqref>D8 D11 D18:D20</xm:sqref>
        </x14:dataValidation>
        <x14:dataValidation type="list" allowBlank="1" showInputMessage="1" showErrorMessage="1" xr:uid="{00000000-0002-0000-0300-000005000000}">
          <x14:formula1>
            <xm:f>'Data Validation Key'!$M$2:$M$5</xm:f>
          </x14:formula1>
          <xm:sqref>D14:D15</xm:sqref>
        </x14:dataValidation>
        <x14:dataValidation type="list" allowBlank="1" showInputMessage="1" showErrorMessage="1" xr:uid="{00000000-0002-0000-0300-000006000000}">
          <x14:formula1>
            <xm:f>'Data Validation Key'!$F$2:$F$6</xm:f>
          </x14:formula1>
          <xm:sqref>D12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4" zoomScale="85" zoomScaleNormal="85" workbookViewId="0">
      <selection activeCell="H20" sqref="H20"/>
    </sheetView>
  </sheetViews>
  <sheetFormatPr defaultRowHeight="15" x14ac:dyDescent="0.25"/>
  <cols>
    <col min="1" max="1" width="23.85546875" customWidth="1"/>
    <col min="2" max="3" width="41.140625" customWidth="1"/>
    <col min="4" max="4" width="10.28515625" bestFit="1" customWidth="1"/>
    <col min="5" max="8" width="41.140625" customWidth="1"/>
  </cols>
  <sheetData>
    <row r="1" spans="1:8" s="22" customFormat="1" ht="17.25" thickTop="1" thickBot="1" x14ac:dyDescent="0.25">
      <c r="A1" s="30" t="s">
        <v>124</v>
      </c>
      <c r="B1" s="30"/>
      <c r="C1" s="30"/>
      <c r="D1" s="29"/>
      <c r="E1" s="29"/>
      <c r="F1" s="29"/>
      <c r="G1" s="29"/>
      <c r="H1" s="31"/>
    </row>
    <row r="2" spans="1:8" s="13" customFormat="1" ht="15.75" customHeight="1" thickTop="1" x14ac:dyDescent="0.2">
      <c r="A2" s="32" t="s">
        <v>125</v>
      </c>
      <c r="B2" s="260"/>
      <c r="C2" s="260"/>
      <c r="D2" s="32" t="s">
        <v>126</v>
      </c>
      <c r="E2" s="259"/>
      <c r="F2" s="259"/>
      <c r="G2" s="259"/>
      <c r="H2" s="26"/>
    </row>
    <row r="3" spans="1:8" s="13" customFormat="1" ht="25.5" x14ac:dyDescent="0.2">
      <c r="A3" s="32" t="s">
        <v>127</v>
      </c>
      <c r="B3" s="260"/>
      <c r="C3" s="260"/>
      <c r="D3" s="32" t="s">
        <v>128</v>
      </c>
      <c r="E3" s="259"/>
      <c r="F3" s="259"/>
      <c r="G3" s="259"/>
      <c r="H3" s="27"/>
    </row>
    <row r="4" spans="1:8" s="13" customFormat="1" ht="25.5" x14ac:dyDescent="0.2">
      <c r="A4" s="32" t="s">
        <v>88</v>
      </c>
      <c r="B4" s="260"/>
      <c r="C4" s="260"/>
      <c r="D4" s="32" t="s">
        <v>129</v>
      </c>
      <c r="E4" s="259"/>
      <c r="F4" s="259"/>
      <c r="G4" s="259"/>
      <c r="H4" s="27"/>
    </row>
    <row r="5" spans="1:8" s="13" customFormat="1" ht="15.75" customHeight="1" thickBot="1" x14ac:dyDescent="0.25">
      <c r="A5" s="32" t="s">
        <v>130</v>
      </c>
      <c r="B5" s="260"/>
      <c r="C5" s="260"/>
      <c r="D5" s="32" t="s">
        <v>131</v>
      </c>
      <c r="E5" s="259"/>
      <c r="F5" s="259"/>
      <c r="G5" s="259"/>
      <c r="H5" s="28"/>
    </row>
    <row r="6" spans="1:8" ht="15.75" thickTop="1" x14ac:dyDescent="0.25">
      <c r="A6" s="7" t="s">
        <v>92</v>
      </c>
      <c r="B6" s="7" t="s">
        <v>93</v>
      </c>
      <c r="C6" s="7" t="s">
        <v>94</v>
      </c>
      <c r="D6" s="7" t="s">
        <v>132</v>
      </c>
      <c r="E6" s="7" t="s">
        <v>133</v>
      </c>
      <c r="F6" s="7" t="s">
        <v>134</v>
      </c>
      <c r="G6" s="7" t="s">
        <v>135</v>
      </c>
      <c r="H6" s="8" t="s">
        <v>136</v>
      </c>
    </row>
    <row r="7" spans="1:8" ht="15.75" x14ac:dyDescent="0.25">
      <c r="A7" s="6" t="s">
        <v>137</v>
      </c>
      <c r="B7" s="5"/>
      <c r="C7" s="5"/>
      <c r="D7" s="5"/>
      <c r="E7" s="5"/>
      <c r="F7" s="5"/>
      <c r="G7" s="5"/>
      <c r="H7" s="9"/>
    </row>
    <row r="8" spans="1:8" x14ac:dyDescent="0.25">
      <c r="A8" s="3">
        <v>1.1000000000000001</v>
      </c>
      <c r="B8" s="3" t="s">
        <v>100</v>
      </c>
      <c r="C8" s="4" t="s">
        <v>138</v>
      </c>
      <c r="D8" s="33"/>
      <c r="E8" s="4"/>
      <c r="F8" s="4"/>
      <c r="G8" s="4" t="s">
        <v>52</v>
      </c>
      <c r="H8" s="4" t="s">
        <v>52</v>
      </c>
    </row>
    <row r="9" spans="1:8" x14ac:dyDescent="0.25">
      <c r="A9" s="12" t="s">
        <v>139</v>
      </c>
      <c r="B9" s="3" t="s">
        <v>100</v>
      </c>
      <c r="C9" s="1" t="s">
        <v>140</v>
      </c>
      <c r="D9" s="33"/>
      <c r="E9" s="4"/>
      <c r="F9" s="4"/>
      <c r="G9" s="4" t="s">
        <v>52</v>
      </c>
      <c r="H9" s="4" t="s">
        <v>52</v>
      </c>
    </row>
    <row r="10" spans="1:8" x14ac:dyDescent="0.25">
      <c r="A10" s="12" t="s">
        <v>141</v>
      </c>
      <c r="B10" s="3" t="s">
        <v>100</v>
      </c>
      <c r="C10" s="1" t="s">
        <v>142</v>
      </c>
      <c r="D10" s="33"/>
      <c r="E10" s="4"/>
      <c r="F10" s="4"/>
      <c r="G10" s="4" t="s">
        <v>52</v>
      </c>
      <c r="H10" s="4" t="s">
        <v>52</v>
      </c>
    </row>
    <row r="11" spans="1:8" x14ac:dyDescent="0.25">
      <c r="A11" s="12" t="s">
        <v>143</v>
      </c>
      <c r="B11" s="3" t="s">
        <v>100</v>
      </c>
      <c r="C11" s="1" t="s">
        <v>144</v>
      </c>
      <c r="D11" s="33"/>
      <c r="E11" s="4"/>
      <c r="F11" s="4"/>
      <c r="G11" s="4" t="s">
        <v>52</v>
      </c>
      <c r="H11" s="4" t="s">
        <v>52</v>
      </c>
    </row>
    <row r="12" spans="1:8" x14ac:dyDescent="0.25">
      <c r="A12" s="12" t="s">
        <v>145</v>
      </c>
      <c r="B12" s="3" t="s">
        <v>100</v>
      </c>
      <c r="C12" s="1" t="s">
        <v>146</v>
      </c>
      <c r="D12" s="33"/>
      <c r="E12" s="4"/>
      <c r="F12" s="4"/>
      <c r="G12" s="4" t="s">
        <v>52</v>
      </c>
      <c r="H12" s="4" t="s">
        <v>52</v>
      </c>
    </row>
    <row r="13" spans="1:8" x14ac:dyDescent="0.25">
      <c r="A13" s="12" t="s">
        <v>147</v>
      </c>
      <c r="B13" s="3" t="s">
        <v>100</v>
      </c>
      <c r="C13" s="1" t="s">
        <v>148</v>
      </c>
      <c r="D13" s="33"/>
      <c r="E13" s="4"/>
      <c r="F13" s="4"/>
      <c r="G13" s="4" t="s">
        <v>52</v>
      </c>
      <c r="H13" s="4" t="s">
        <v>52</v>
      </c>
    </row>
    <row r="14" spans="1:8" x14ac:dyDescent="0.25">
      <c r="A14" s="12" t="s">
        <v>149</v>
      </c>
      <c r="B14" s="3" t="s">
        <v>100</v>
      </c>
      <c r="C14" s="1" t="s">
        <v>150</v>
      </c>
      <c r="D14" s="33"/>
      <c r="E14" s="4"/>
      <c r="F14" s="4"/>
      <c r="G14" s="4" t="s">
        <v>52</v>
      </c>
      <c r="H14" s="4" t="s">
        <v>52</v>
      </c>
    </row>
    <row r="15" spans="1:8" ht="36.75" x14ac:dyDescent="0.25">
      <c r="A15" s="3">
        <v>1.2</v>
      </c>
      <c r="B15" s="3" t="s">
        <v>151</v>
      </c>
      <c r="C15" s="4" t="s">
        <v>152</v>
      </c>
      <c r="D15" s="33"/>
      <c r="E15" s="4"/>
      <c r="F15" s="4"/>
      <c r="G15" s="4" t="s">
        <v>52</v>
      </c>
      <c r="H15" s="4" t="s">
        <v>52</v>
      </c>
    </row>
    <row r="16" spans="1:8" ht="36.75" x14ac:dyDescent="0.25">
      <c r="A16" s="3">
        <v>1.3</v>
      </c>
      <c r="B16" s="3" t="s">
        <v>153</v>
      </c>
      <c r="C16" s="4" t="s">
        <v>154</v>
      </c>
      <c r="D16" s="33"/>
      <c r="E16" s="4"/>
      <c r="F16" s="4"/>
      <c r="G16" s="4" t="s">
        <v>52</v>
      </c>
      <c r="H16" s="4" t="s">
        <v>52</v>
      </c>
    </row>
    <row r="17" spans="1:8" x14ac:dyDescent="0.25">
      <c r="A17" s="12" t="s">
        <v>155</v>
      </c>
      <c r="B17" s="3" t="s">
        <v>153</v>
      </c>
      <c r="C17" s="1" t="s">
        <v>156</v>
      </c>
      <c r="D17" s="33"/>
      <c r="E17" s="4"/>
      <c r="F17" s="4" t="s">
        <v>157</v>
      </c>
      <c r="G17" s="4" t="s">
        <v>52</v>
      </c>
      <c r="H17" s="4" t="s">
        <v>52</v>
      </c>
    </row>
    <row r="18" spans="1:8" x14ac:dyDescent="0.25">
      <c r="A18" s="12" t="s">
        <v>158</v>
      </c>
      <c r="B18" s="3" t="s">
        <v>153</v>
      </c>
      <c r="C18" s="1" t="s">
        <v>159</v>
      </c>
      <c r="D18" s="33"/>
      <c r="E18" s="4"/>
      <c r="F18" s="4" t="s">
        <v>157</v>
      </c>
      <c r="G18" s="4" t="s">
        <v>52</v>
      </c>
      <c r="H18" s="4" t="s">
        <v>52</v>
      </c>
    </row>
    <row r="19" spans="1:8" x14ac:dyDescent="0.25">
      <c r="A19" s="12" t="s">
        <v>160</v>
      </c>
      <c r="B19" s="3" t="s">
        <v>153</v>
      </c>
      <c r="C19" s="1" t="s">
        <v>161</v>
      </c>
      <c r="D19" s="33"/>
      <c r="E19" s="4"/>
      <c r="F19" s="4" t="s">
        <v>157</v>
      </c>
      <c r="G19" s="4" t="s">
        <v>52</v>
      </c>
      <c r="H19" s="4" t="s">
        <v>52</v>
      </c>
    </row>
    <row r="20" spans="1:8" x14ac:dyDescent="0.25">
      <c r="A20" s="12" t="s">
        <v>162</v>
      </c>
      <c r="B20" s="3" t="s">
        <v>153</v>
      </c>
      <c r="C20" s="1" t="s">
        <v>163</v>
      </c>
      <c r="D20" s="33"/>
      <c r="E20" s="4"/>
      <c r="F20" s="4" t="s">
        <v>157</v>
      </c>
      <c r="G20" s="4" t="s">
        <v>52</v>
      </c>
      <c r="H20" s="4" t="s">
        <v>52</v>
      </c>
    </row>
    <row r="21" spans="1:8" x14ac:dyDescent="0.25">
      <c r="A21" s="12" t="s">
        <v>164</v>
      </c>
      <c r="B21" s="3" t="s">
        <v>153</v>
      </c>
      <c r="C21" s="1" t="s">
        <v>165</v>
      </c>
      <c r="D21" s="33"/>
      <c r="E21" s="4"/>
      <c r="F21" s="4" t="s">
        <v>157</v>
      </c>
      <c r="G21" s="4" t="s">
        <v>52</v>
      </c>
      <c r="H21" s="4" t="s">
        <v>52</v>
      </c>
    </row>
    <row r="22" spans="1:8" ht="36.75" x14ac:dyDescent="0.25">
      <c r="A22" s="12" t="s">
        <v>166</v>
      </c>
      <c r="B22" s="3" t="s">
        <v>153</v>
      </c>
      <c r="C22" s="1" t="s">
        <v>167</v>
      </c>
      <c r="D22" s="33"/>
      <c r="E22" s="4"/>
      <c r="F22" s="4" t="s">
        <v>157</v>
      </c>
      <c r="G22" s="4" t="s">
        <v>52</v>
      </c>
      <c r="H22" s="4" t="s">
        <v>52</v>
      </c>
    </row>
    <row r="23" spans="1:8" ht="36.75" x14ac:dyDescent="0.25">
      <c r="A23" s="12" t="s">
        <v>168</v>
      </c>
      <c r="B23" s="3" t="s">
        <v>153</v>
      </c>
      <c r="C23" s="1" t="s">
        <v>169</v>
      </c>
      <c r="D23" s="33"/>
      <c r="E23" s="4"/>
      <c r="F23" s="4" t="s">
        <v>157</v>
      </c>
      <c r="G23" s="4" t="s">
        <v>52</v>
      </c>
      <c r="H23" s="4" t="s">
        <v>52</v>
      </c>
    </row>
    <row r="24" spans="1:8" x14ac:dyDescent="0.25">
      <c r="A24" s="12" t="s">
        <v>170</v>
      </c>
      <c r="B24" s="3" t="s">
        <v>153</v>
      </c>
      <c r="C24" s="1" t="s">
        <v>171</v>
      </c>
      <c r="D24" s="33"/>
      <c r="E24" s="4"/>
      <c r="F24" s="4" t="s">
        <v>157</v>
      </c>
      <c r="G24" s="4" t="s">
        <v>52</v>
      </c>
      <c r="H24" s="4" t="s">
        <v>52</v>
      </c>
    </row>
    <row r="25" spans="1:8" ht="48.75" x14ac:dyDescent="0.25">
      <c r="A25" s="3">
        <v>1.4</v>
      </c>
      <c r="B25" s="3" t="s">
        <v>172</v>
      </c>
      <c r="C25" s="4" t="s">
        <v>173</v>
      </c>
      <c r="D25" s="33"/>
      <c r="E25" s="4"/>
      <c r="F25" s="4" t="s">
        <v>174</v>
      </c>
      <c r="G25" s="4" t="s">
        <v>52</v>
      </c>
      <c r="H25" s="4" t="s">
        <v>52</v>
      </c>
    </row>
    <row r="26" spans="1:8" ht="24.75" x14ac:dyDescent="0.25">
      <c r="A26" s="3">
        <v>1.5</v>
      </c>
      <c r="B26" s="3" t="s">
        <v>175</v>
      </c>
      <c r="C26" s="4" t="s">
        <v>176</v>
      </c>
      <c r="D26" s="33"/>
      <c r="E26" s="4" t="s">
        <v>177</v>
      </c>
      <c r="F26" s="4"/>
      <c r="G26" s="4" t="s">
        <v>52</v>
      </c>
      <c r="H26" s="4" t="s">
        <v>52</v>
      </c>
    </row>
    <row r="27" spans="1:8" ht="60.75" x14ac:dyDescent="0.25">
      <c r="A27" s="3">
        <v>1.6</v>
      </c>
      <c r="B27" s="3" t="s">
        <v>175</v>
      </c>
      <c r="C27" s="4" t="s">
        <v>178</v>
      </c>
      <c r="D27" s="33"/>
      <c r="E27" s="4" t="s">
        <v>179</v>
      </c>
      <c r="F27" s="4"/>
      <c r="G27" s="4" t="s">
        <v>52</v>
      </c>
      <c r="H27" s="4" t="s">
        <v>52</v>
      </c>
    </row>
    <row r="28" spans="1:8" ht="60.75" x14ac:dyDescent="0.25">
      <c r="A28" s="3">
        <v>1.7</v>
      </c>
      <c r="B28" s="3" t="s">
        <v>180</v>
      </c>
      <c r="C28" s="4" t="s">
        <v>181</v>
      </c>
      <c r="D28" s="33"/>
      <c r="E28" s="4"/>
      <c r="F28" s="4"/>
      <c r="G28" s="4" t="s">
        <v>182</v>
      </c>
      <c r="H28" s="4" t="s">
        <v>183</v>
      </c>
    </row>
    <row r="29" spans="1:8" ht="24.75" x14ac:dyDescent="0.25">
      <c r="A29" s="10">
        <v>1.8</v>
      </c>
      <c r="B29" s="3" t="s">
        <v>102</v>
      </c>
      <c r="C29" s="4" t="s">
        <v>184</v>
      </c>
      <c r="D29" s="33"/>
      <c r="E29" s="4"/>
      <c r="F29" s="4"/>
      <c r="G29" s="4" t="s">
        <v>52</v>
      </c>
      <c r="H29" s="4" t="s">
        <v>52</v>
      </c>
    </row>
    <row r="30" spans="1:8" ht="24.75" x14ac:dyDescent="0.25">
      <c r="A30" s="12" t="s">
        <v>185</v>
      </c>
      <c r="B30" s="3" t="s">
        <v>102</v>
      </c>
      <c r="C30" s="1" t="s">
        <v>186</v>
      </c>
      <c r="D30" s="33"/>
      <c r="E30" s="4"/>
      <c r="F30" s="4"/>
      <c r="G30" s="4" t="s">
        <v>52</v>
      </c>
      <c r="H30" s="4" t="s">
        <v>52</v>
      </c>
    </row>
    <row r="31" spans="1:8" ht="24.75" x14ac:dyDescent="0.25">
      <c r="A31" s="12" t="s">
        <v>187</v>
      </c>
      <c r="B31" s="3" t="s">
        <v>102</v>
      </c>
      <c r="C31" s="1" t="s">
        <v>188</v>
      </c>
      <c r="D31" s="33"/>
      <c r="E31" s="4"/>
      <c r="F31" s="4"/>
      <c r="G31" s="4" t="s">
        <v>52</v>
      </c>
      <c r="H31" s="4" t="s">
        <v>52</v>
      </c>
    </row>
    <row r="32" spans="1:8" ht="24.75" x14ac:dyDescent="0.25">
      <c r="A32" s="3">
        <v>1.9</v>
      </c>
      <c r="B32" s="3" t="s">
        <v>102</v>
      </c>
      <c r="C32" s="4" t="s">
        <v>189</v>
      </c>
      <c r="D32" s="33"/>
      <c r="E32" s="4" t="s">
        <v>190</v>
      </c>
      <c r="F32" s="4"/>
      <c r="G32" s="4" t="s">
        <v>191</v>
      </c>
      <c r="H32" s="4" t="s">
        <v>192</v>
      </c>
    </row>
    <row r="33" spans="1:8" ht="36.75" x14ac:dyDescent="0.25">
      <c r="A33" s="11">
        <v>1.1000000000000001</v>
      </c>
      <c r="B33" s="3" t="s">
        <v>193</v>
      </c>
      <c r="C33" s="4" t="s">
        <v>194</v>
      </c>
      <c r="D33" s="33"/>
      <c r="E33" s="4"/>
      <c r="F33" s="4"/>
      <c r="G33" s="4" t="s">
        <v>52</v>
      </c>
      <c r="H33" s="4" t="s">
        <v>52</v>
      </c>
    </row>
    <row r="34" spans="1:8" x14ac:dyDescent="0.25">
      <c r="A34" s="12" t="s">
        <v>195</v>
      </c>
      <c r="B34" s="3" t="s">
        <v>193</v>
      </c>
      <c r="C34" s="1" t="s">
        <v>196</v>
      </c>
      <c r="D34" s="33"/>
      <c r="E34" s="4"/>
      <c r="F34" s="4"/>
      <c r="G34" s="4" t="s">
        <v>52</v>
      </c>
      <c r="H34" s="4" t="s">
        <v>52</v>
      </c>
    </row>
    <row r="35" spans="1:8" x14ac:dyDescent="0.25">
      <c r="A35" s="12" t="s">
        <v>197</v>
      </c>
      <c r="B35" s="3" t="s">
        <v>193</v>
      </c>
      <c r="C35" s="1" t="s">
        <v>161</v>
      </c>
      <c r="D35" s="33"/>
      <c r="E35" s="4"/>
      <c r="F35" s="4"/>
      <c r="G35" s="4" t="s">
        <v>52</v>
      </c>
      <c r="H35" s="4" t="s">
        <v>52</v>
      </c>
    </row>
    <row r="36" spans="1:8" x14ac:dyDescent="0.25">
      <c r="A36" s="12" t="s">
        <v>198</v>
      </c>
      <c r="B36" s="3" t="s">
        <v>193</v>
      </c>
      <c r="C36" s="1" t="s">
        <v>159</v>
      </c>
      <c r="D36" s="33"/>
      <c r="E36" s="4"/>
      <c r="F36" s="4"/>
      <c r="G36" s="4" t="s">
        <v>52</v>
      </c>
      <c r="H36" s="4" t="s">
        <v>52</v>
      </c>
    </row>
    <row r="37" spans="1:8" x14ac:dyDescent="0.25">
      <c r="A37" s="12" t="s">
        <v>199</v>
      </c>
      <c r="B37" s="3" t="s">
        <v>193</v>
      </c>
      <c r="C37" s="1" t="s">
        <v>163</v>
      </c>
      <c r="D37" s="33"/>
      <c r="E37" s="4"/>
      <c r="F37" s="4"/>
      <c r="G37" s="4" t="s">
        <v>52</v>
      </c>
      <c r="H37" s="4" t="s">
        <v>52</v>
      </c>
    </row>
    <row r="38" spans="1:8" x14ac:dyDescent="0.25">
      <c r="A38" s="12" t="s">
        <v>200</v>
      </c>
      <c r="B38" s="3" t="s">
        <v>193</v>
      </c>
      <c r="C38" s="1" t="s">
        <v>165</v>
      </c>
      <c r="D38" s="33"/>
      <c r="E38" s="4"/>
      <c r="F38" s="4"/>
      <c r="G38" s="4" t="s">
        <v>52</v>
      </c>
      <c r="H38" s="4" t="s">
        <v>52</v>
      </c>
    </row>
    <row r="39" spans="1:8" ht="36.75" x14ac:dyDescent="0.25">
      <c r="A39" s="12" t="s">
        <v>201</v>
      </c>
      <c r="B39" s="3" t="s">
        <v>193</v>
      </c>
      <c r="C39" s="1" t="s">
        <v>167</v>
      </c>
      <c r="D39" s="33"/>
      <c r="E39" s="4"/>
      <c r="F39" s="4"/>
      <c r="G39" s="4" t="s">
        <v>52</v>
      </c>
      <c r="H39" s="4" t="s">
        <v>52</v>
      </c>
    </row>
    <row r="40" spans="1:8" ht="36.75" x14ac:dyDescent="0.25">
      <c r="A40" s="12" t="s">
        <v>202</v>
      </c>
      <c r="B40" s="3" t="s">
        <v>193</v>
      </c>
      <c r="C40" s="1" t="s">
        <v>169</v>
      </c>
      <c r="D40" s="33"/>
      <c r="E40" s="4"/>
      <c r="F40" s="4"/>
      <c r="G40" s="4" t="s">
        <v>52</v>
      </c>
      <c r="H40" s="4" t="s">
        <v>52</v>
      </c>
    </row>
    <row r="41" spans="1:8" x14ac:dyDescent="0.25">
      <c r="A41" s="12" t="s">
        <v>203</v>
      </c>
      <c r="B41" s="3" t="s">
        <v>193</v>
      </c>
      <c r="C41" s="1" t="s">
        <v>204</v>
      </c>
      <c r="D41" s="33"/>
      <c r="E41" s="4"/>
      <c r="F41" s="4"/>
      <c r="G41" s="4" t="s">
        <v>52</v>
      </c>
      <c r="H41" s="4" t="s">
        <v>52</v>
      </c>
    </row>
    <row r="42" spans="1:8" ht="36.75" x14ac:dyDescent="0.25">
      <c r="A42" s="3">
        <v>1.1100000000000001</v>
      </c>
      <c r="B42" s="3" t="s">
        <v>205</v>
      </c>
      <c r="C42" s="4" t="s">
        <v>206</v>
      </c>
      <c r="D42" s="33"/>
      <c r="E42" s="4"/>
      <c r="F42" s="4"/>
      <c r="G42" s="4" t="s">
        <v>52</v>
      </c>
      <c r="H42" s="4" t="s">
        <v>52</v>
      </c>
    </row>
  </sheetData>
  <mergeCells count="8">
    <mergeCell ref="E2:G2"/>
    <mergeCell ref="E3:G3"/>
    <mergeCell ref="E4:G4"/>
    <mergeCell ref="E5:G5"/>
    <mergeCell ref="B2:C2"/>
    <mergeCell ref="B3:C3"/>
    <mergeCell ref="B4:C4"/>
    <mergeCell ref="B5:C5"/>
  </mergeCells>
  <dataValidations count="1">
    <dataValidation type="list" showInputMessage="1" showErrorMessage="1" sqref="D8:D42" xr:uid="{00000000-0002-0000-0400-000000000000}">
      <formula1>"Yes, No, Partial,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showGridLines="0" tabSelected="1" zoomScale="85" zoomScaleNormal="85" workbookViewId="0">
      <selection activeCell="B25" sqref="B25"/>
    </sheetView>
  </sheetViews>
  <sheetFormatPr defaultColWidth="8.85546875" defaultRowHeight="15" customHeight="1" x14ac:dyDescent="0.25"/>
  <cols>
    <col min="1" max="1" width="91" customWidth="1"/>
    <col min="2" max="2" width="40.28515625" customWidth="1"/>
    <col min="3" max="3" width="23.140625" customWidth="1"/>
    <col min="5" max="5" width="80.5703125" customWidth="1"/>
  </cols>
  <sheetData>
    <row r="1" spans="1:7" ht="40.5" customHeight="1" thickBot="1" x14ac:dyDescent="0.3">
      <c r="A1" s="277" t="s">
        <v>914</v>
      </c>
      <c r="B1" s="278"/>
      <c r="C1" s="278"/>
      <c r="D1" s="278"/>
      <c r="E1" s="279"/>
    </row>
    <row r="2" spans="1:7" ht="32.25" customHeight="1" thickTop="1" x14ac:dyDescent="0.25">
      <c r="A2" s="69" t="s">
        <v>911</v>
      </c>
      <c r="B2" s="70"/>
      <c r="C2" s="70"/>
      <c r="D2" s="71"/>
      <c r="E2" s="71"/>
      <c r="F2" s="72"/>
      <c r="G2" s="73"/>
    </row>
    <row r="3" spans="1:7" ht="15" customHeight="1" x14ac:dyDescent="0.25">
      <c r="A3" s="74" t="s">
        <v>125</v>
      </c>
      <c r="B3" s="258" t="s">
        <v>1030</v>
      </c>
      <c r="C3" s="258"/>
      <c r="D3" s="32" t="s">
        <v>126</v>
      </c>
      <c r="E3" s="114" t="s">
        <v>930</v>
      </c>
      <c r="F3" s="75"/>
      <c r="G3" s="76"/>
    </row>
    <row r="4" spans="1:7" ht="15" customHeight="1" x14ac:dyDescent="0.25">
      <c r="A4" s="32" t="s">
        <v>127</v>
      </c>
      <c r="B4" s="258" t="s">
        <v>1031</v>
      </c>
      <c r="C4" s="258"/>
      <c r="D4" s="32" t="s">
        <v>128</v>
      </c>
      <c r="E4" s="114" t="s">
        <v>931</v>
      </c>
      <c r="F4" s="75"/>
      <c r="G4" s="76"/>
    </row>
    <row r="5" spans="1:7" ht="15" customHeight="1" x14ac:dyDescent="0.25">
      <c r="A5" s="32" t="s">
        <v>88</v>
      </c>
      <c r="B5" s="280" t="s">
        <v>1032</v>
      </c>
      <c r="C5" s="258"/>
      <c r="D5" s="32" t="s">
        <v>129</v>
      </c>
      <c r="E5" s="248" t="s">
        <v>1033</v>
      </c>
      <c r="F5" s="75"/>
      <c r="G5" s="76"/>
    </row>
    <row r="6" spans="1:7" ht="15" customHeight="1" x14ac:dyDescent="0.25">
      <c r="A6" s="32" t="s">
        <v>130</v>
      </c>
      <c r="B6" s="281">
        <v>43817</v>
      </c>
      <c r="C6" s="258"/>
      <c r="D6" s="32" t="s">
        <v>131</v>
      </c>
      <c r="E6" s="114" t="s">
        <v>934</v>
      </c>
      <c r="F6" s="75"/>
      <c r="G6" s="76"/>
    </row>
    <row r="7" spans="1:7" ht="15.75" x14ac:dyDescent="0.25">
      <c r="A7" s="275" t="s">
        <v>137</v>
      </c>
      <c r="B7" s="276"/>
      <c r="C7" s="276"/>
      <c r="D7" s="276"/>
      <c r="E7" s="276"/>
      <c r="F7" s="77"/>
    </row>
    <row r="8" spans="1:7" ht="36" x14ac:dyDescent="0.25">
      <c r="A8" s="147" t="s">
        <v>207</v>
      </c>
      <c r="B8" s="147" t="s">
        <v>95</v>
      </c>
      <c r="C8" s="147" t="s">
        <v>208</v>
      </c>
      <c r="D8" s="282" t="s">
        <v>209</v>
      </c>
      <c r="E8" s="283"/>
      <c r="F8" s="77"/>
    </row>
    <row r="9" spans="1:7" ht="15.75" x14ac:dyDescent="0.25">
      <c r="A9" s="78"/>
      <c r="B9" s="78"/>
      <c r="C9" s="79"/>
      <c r="D9" s="284"/>
      <c r="E9" s="285"/>
      <c r="F9" s="77"/>
    </row>
    <row r="10" spans="1:7" ht="15.75" x14ac:dyDescent="0.25">
      <c r="A10" s="80" t="s">
        <v>915</v>
      </c>
      <c r="B10" s="81" t="s">
        <v>19</v>
      </c>
      <c r="C10" s="82" t="s">
        <v>19</v>
      </c>
      <c r="D10" s="267"/>
      <c r="E10" s="286"/>
      <c r="F10" s="77"/>
    </row>
    <row r="11" spans="1:7" ht="15.75" x14ac:dyDescent="0.25">
      <c r="A11" s="83" t="s">
        <v>210</v>
      </c>
      <c r="B11" s="81" t="s">
        <v>930</v>
      </c>
      <c r="C11" s="82" t="s">
        <v>19</v>
      </c>
      <c r="D11" s="267"/>
      <c r="E11" s="286"/>
      <c r="F11" s="77"/>
    </row>
    <row r="12" spans="1:7" ht="15.75" x14ac:dyDescent="0.25">
      <c r="A12" s="83" t="s">
        <v>211</v>
      </c>
      <c r="B12" s="81" t="s">
        <v>931</v>
      </c>
      <c r="C12" s="82" t="s">
        <v>19</v>
      </c>
      <c r="D12" s="267"/>
      <c r="E12" s="286"/>
      <c r="F12" s="77"/>
    </row>
    <row r="13" spans="1:7" ht="15.75" x14ac:dyDescent="0.25">
      <c r="A13" s="83" t="s">
        <v>212</v>
      </c>
      <c r="B13" s="81" t="s">
        <v>932</v>
      </c>
      <c r="C13" s="82" t="s">
        <v>19</v>
      </c>
      <c r="D13" s="267"/>
      <c r="E13" s="286"/>
      <c r="F13" s="77"/>
    </row>
    <row r="14" spans="1:7" ht="15.75" x14ac:dyDescent="0.25">
      <c r="A14" s="80" t="s">
        <v>916</v>
      </c>
      <c r="B14" s="81" t="s">
        <v>30</v>
      </c>
      <c r="C14" s="82" t="s">
        <v>19</v>
      </c>
      <c r="D14" s="267"/>
      <c r="E14" s="286"/>
      <c r="F14" s="77"/>
    </row>
    <row r="15" spans="1:7" ht="15.75" x14ac:dyDescent="0.25">
      <c r="A15" s="84" t="s">
        <v>213</v>
      </c>
      <c r="B15" s="81" t="s">
        <v>936</v>
      </c>
      <c r="C15" s="82" t="s">
        <v>19</v>
      </c>
      <c r="D15" s="267"/>
      <c r="E15" s="268"/>
    </row>
    <row r="16" spans="1:7" ht="15.75" x14ac:dyDescent="0.25">
      <c r="A16" s="80" t="s">
        <v>917</v>
      </c>
      <c r="B16" s="81"/>
      <c r="C16" s="82" t="s">
        <v>19</v>
      </c>
      <c r="D16" s="145"/>
      <c r="E16" s="146"/>
    </row>
    <row r="17" spans="1:5" ht="15.75" x14ac:dyDescent="0.25">
      <c r="A17" s="83" t="s">
        <v>214</v>
      </c>
      <c r="B17" s="81" t="s">
        <v>930</v>
      </c>
      <c r="C17" s="82" t="s">
        <v>19</v>
      </c>
      <c r="D17" s="145"/>
      <c r="E17" s="146"/>
    </row>
    <row r="18" spans="1:5" ht="15.75" x14ac:dyDescent="0.25">
      <c r="A18" s="83" t="s">
        <v>211</v>
      </c>
      <c r="B18" s="81" t="s">
        <v>931</v>
      </c>
      <c r="C18" s="82" t="s">
        <v>19</v>
      </c>
      <c r="D18" s="145"/>
      <c r="E18" s="146"/>
    </row>
    <row r="19" spans="1:5" ht="15.75" x14ac:dyDescent="0.25">
      <c r="A19" s="83" t="s">
        <v>215</v>
      </c>
      <c r="B19" s="235" t="s">
        <v>933</v>
      </c>
      <c r="C19" s="82" t="s">
        <v>19</v>
      </c>
      <c r="D19" s="145"/>
      <c r="E19" s="146"/>
    </row>
    <row r="20" spans="1:5" ht="15.75" x14ac:dyDescent="0.25">
      <c r="A20" s="83" t="s">
        <v>216</v>
      </c>
      <c r="B20" s="81" t="s">
        <v>934</v>
      </c>
      <c r="C20" s="82" t="s">
        <v>19</v>
      </c>
      <c r="D20" s="145"/>
      <c r="E20" s="146"/>
    </row>
    <row r="21" spans="1:5" ht="31.5" x14ac:dyDescent="0.25">
      <c r="A21" s="80" t="s">
        <v>918</v>
      </c>
      <c r="B21" s="81" t="s">
        <v>19</v>
      </c>
      <c r="C21" s="82" t="s">
        <v>19</v>
      </c>
      <c r="D21" s="267" t="s">
        <v>935</v>
      </c>
      <c r="E21" s="268"/>
    </row>
    <row r="22" spans="1:5" ht="31.5" x14ac:dyDescent="0.25">
      <c r="A22" s="80" t="s">
        <v>217</v>
      </c>
      <c r="B22" s="81" t="s">
        <v>19</v>
      </c>
      <c r="C22" s="81" t="s">
        <v>19</v>
      </c>
      <c r="D22" s="269" t="s">
        <v>937</v>
      </c>
      <c r="E22" s="270"/>
    </row>
    <row r="23" spans="1:5" ht="31.5" x14ac:dyDescent="0.25">
      <c r="A23" s="80" t="s">
        <v>919</v>
      </c>
      <c r="B23" s="81" t="s">
        <v>19</v>
      </c>
      <c r="C23" s="81" t="s">
        <v>19</v>
      </c>
      <c r="D23" s="271"/>
      <c r="E23" s="272"/>
    </row>
    <row r="24" spans="1:5" ht="61.15" customHeight="1" x14ac:dyDescent="0.25">
      <c r="A24" s="80" t="s">
        <v>912</v>
      </c>
      <c r="B24" s="81" t="s">
        <v>30</v>
      </c>
      <c r="C24" s="81" t="s">
        <v>19</v>
      </c>
      <c r="D24" s="271" t="s">
        <v>938</v>
      </c>
      <c r="E24" s="272"/>
    </row>
    <row r="25" spans="1:5" ht="15.75" x14ac:dyDescent="0.25">
      <c r="A25" s="80" t="s">
        <v>920</v>
      </c>
      <c r="B25" s="236">
        <v>36164</v>
      </c>
      <c r="C25" s="81" t="s">
        <v>19</v>
      </c>
      <c r="D25" s="271"/>
      <c r="E25" s="272"/>
    </row>
    <row r="26" spans="1:5" ht="15.75" x14ac:dyDescent="0.25">
      <c r="A26" s="80" t="s">
        <v>921</v>
      </c>
      <c r="B26" s="81" t="s">
        <v>939</v>
      </c>
      <c r="C26" s="81" t="s">
        <v>19</v>
      </c>
      <c r="D26" s="271"/>
      <c r="E26" s="272"/>
    </row>
    <row r="27" spans="1:5" ht="31.5" x14ac:dyDescent="0.25">
      <c r="A27" s="85" t="s">
        <v>922</v>
      </c>
      <c r="B27" s="81" t="s">
        <v>30</v>
      </c>
      <c r="C27" s="81" t="s">
        <v>19</v>
      </c>
      <c r="D27" s="261"/>
      <c r="E27" s="262"/>
    </row>
    <row r="28" spans="1:5" ht="15.75" x14ac:dyDescent="0.25">
      <c r="A28" s="80" t="s">
        <v>218</v>
      </c>
      <c r="B28" s="81" t="s">
        <v>19</v>
      </c>
      <c r="C28" s="81" t="s">
        <v>19</v>
      </c>
      <c r="D28" s="263"/>
      <c r="E28" s="264"/>
    </row>
    <row r="29" spans="1:5" ht="31.5" x14ac:dyDescent="0.25">
      <c r="A29" s="86" t="s">
        <v>923</v>
      </c>
      <c r="B29" s="81" t="s">
        <v>30</v>
      </c>
      <c r="C29" s="87" t="s">
        <v>19</v>
      </c>
      <c r="D29" s="265"/>
      <c r="E29" s="266"/>
    </row>
    <row r="30" spans="1:5" ht="39.75" customHeight="1" thickBot="1" x14ac:dyDescent="0.3">
      <c r="A30" s="142" t="s">
        <v>913</v>
      </c>
      <c r="B30" s="81" t="s">
        <v>940</v>
      </c>
      <c r="C30" s="143" t="s">
        <v>52</v>
      </c>
      <c r="D30" s="273"/>
      <c r="E30" s="274"/>
    </row>
  </sheetData>
  <sheetProtection selectLockedCells="1"/>
  <mergeCells count="24">
    <mergeCell ref="D30:E30"/>
    <mergeCell ref="A7:E7"/>
    <mergeCell ref="A1:E1"/>
    <mergeCell ref="B3:C3"/>
    <mergeCell ref="B4:C4"/>
    <mergeCell ref="B5:C5"/>
    <mergeCell ref="B6:C6"/>
    <mergeCell ref="D24:E24"/>
    <mergeCell ref="D8:E8"/>
    <mergeCell ref="D9:E9"/>
    <mergeCell ref="D10:E10"/>
    <mergeCell ref="D11:E11"/>
    <mergeCell ref="D12:E12"/>
    <mergeCell ref="D13:E13"/>
    <mergeCell ref="D14:E14"/>
    <mergeCell ref="D15:E15"/>
    <mergeCell ref="D27:E27"/>
    <mergeCell ref="D28:E28"/>
    <mergeCell ref="D29:E29"/>
    <mergeCell ref="D21:E21"/>
    <mergeCell ref="D22:E22"/>
    <mergeCell ref="D23:E23"/>
    <mergeCell ref="D25:E25"/>
    <mergeCell ref="D26:E26"/>
  </mergeCells>
  <dataValidations count="2">
    <dataValidation type="list" showInputMessage="1" showErrorMessage="1" sqref="C10:C29" xr:uid="{00000000-0002-0000-0500-000000000000}">
      <formula1>"Yes, No"</formula1>
    </dataValidation>
    <dataValidation type="list" allowBlank="1" showInputMessage="1" showErrorMessage="1" sqref="B10 B14 B21:B24 B27:B29 B16" xr:uid="{00000000-0002-0000-0500-000001000000}">
      <formula1>"Yes, No"</formula1>
    </dataValidation>
  </dataValidations>
  <hyperlinks>
    <hyperlink ref="B19" r:id="rId1" xr:uid="{4DB5628B-A383-4AB0-B509-90B8B7036ED0}"/>
    <hyperlink ref="B5" r:id="rId2" xr:uid="{47135554-A43C-4575-A242-77F4F7F669B5}"/>
    <hyperlink ref="E5" r:id="rId3" xr:uid="{31D5E4B1-140F-4965-9EC1-097C6ACF0039}"/>
  </hyperlinks>
  <pageMargins left="0.7" right="0.7" top="0.75" bottom="0.75" header="0.3" footer="0.3"/>
  <pageSetup orientation="portrait" horizontalDpi="4294967292" verticalDpi="4294967292"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5"/>
  <sheetViews>
    <sheetView showGridLines="0" zoomScale="72" zoomScaleNormal="85" zoomScalePageLayoutView="70" workbookViewId="0">
      <selection activeCell="F55" sqref="F55"/>
    </sheetView>
  </sheetViews>
  <sheetFormatPr defaultColWidth="9" defaultRowHeight="15" x14ac:dyDescent="0.25"/>
  <cols>
    <col min="1" max="1" width="61.140625" customWidth="1"/>
    <col min="2" max="2" width="50.5703125" bestFit="1" customWidth="1"/>
    <col min="3" max="3" width="46.42578125" customWidth="1"/>
    <col min="4" max="4" width="15.7109375" customWidth="1"/>
    <col min="5" max="5" width="26.7109375" customWidth="1"/>
    <col min="6" max="6" width="15.7109375" customWidth="1"/>
    <col min="7" max="7" width="26.7109375" customWidth="1"/>
    <col min="8" max="8" width="21.85546875" bestFit="1" customWidth="1"/>
  </cols>
  <sheetData>
    <row r="1" spans="1:7" ht="18.75" thickBot="1" x14ac:dyDescent="0.3">
      <c r="A1" s="290" t="s">
        <v>219</v>
      </c>
      <c r="B1" s="291"/>
      <c r="C1" s="291"/>
      <c r="D1" s="291"/>
      <c r="E1" s="291"/>
      <c r="F1" s="291"/>
      <c r="G1" s="291"/>
    </row>
    <row r="2" spans="1:7" ht="21.75" customHeight="1" x14ac:dyDescent="0.3">
      <c r="A2" s="292" t="s">
        <v>895</v>
      </c>
      <c r="B2" s="294" t="s">
        <v>220</v>
      </c>
      <c r="C2" s="295"/>
      <c r="D2" s="294" t="s">
        <v>221</v>
      </c>
      <c r="E2" s="295"/>
      <c r="F2" s="294" t="s">
        <v>222</v>
      </c>
      <c r="G2" s="295"/>
    </row>
    <row r="3" spans="1:7" ht="43.5" customHeight="1" x14ac:dyDescent="0.25">
      <c r="A3" s="293"/>
      <c r="B3" s="88" t="s">
        <v>95</v>
      </c>
      <c r="C3" s="89" t="s">
        <v>223</v>
      </c>
      <c r="D3" s="90" t="s">
        <v>95</v>
      </c>
      <c r="E3" s="91" t="s">
        <v>209</v>
      </c>
      <c r="F3" s="90" t="s">
        <v>95</v>
      </c>
      <c r="G3" s="91" t="s">
        <v>209</v>
      </c>
    </row>
    <row r="4" spans="1:7" ht="87.75" customHeight="1" thickBot="1" x14ac:dyDescent="0.3">
      <c r="A4" s="178" t="s">
        <v>224</v>
      </c>
      <c r="B4" s="237" t="s">
        <v>1028</v>
      </c>
      <c r="C4" s="238" t="s">
        <v>941</v>
      </c>
      <c r="D4" s="119"/>
      <c r="E4" s="120"/>
      <c r="F4" s="119"/>
      <c r="G4" s="120"/>
    </row>
    <row r="5" spans="1:7" ht="31.5" customHeight="1" x14ac:dyDescent="0.25">
      <c r="A5" s="92" t="s">
        <v>225</v>
      </c>
      <c r="B5" s="296"/>
      <c r="C5" s="297"/>
      <c r="D5" s="297"/>
      <c r="E5" s="297"/>
      <c r="F5" s="297"/>
      <c r="G5" s="297"/>
    </row>
    <row r="6" spans="1:7" ht="15.75" x14ac:dyDescent="0.25">
      <c r="A6" s="93" t="s">
        <v>226</v>
      </c>
      <c r="B6" s="94" t="s">
        <v>30</v>
      </c>
      <c r="C6" s="95"/>
      <c r="D6" s="94"/>
      <c r="E6" s="95"/>
      <c r="F6" s="94"/>
      <c r="G6" s="95"/>
    </row>
    <row r="7" spans="1:7" ht="16.5" thickBot="1" x14ac:dyDescent="0.3">
      <c r="A7" s="96" t="s">
        <v>227</v>
      </c>
      <c r="B7" s="97" t="s">
        <v>19</v>
      </c>
      <c r="C7" s="98"/>
      <c r="D7" s="97"/>
      <c r="E7" s="98"/>
      <c r="F7" s="97"/>
      <c r="G7" s="98"/>
    </row>
    <row r="8" spans="1:7" ht="79.5" thickBot="1" x14ac:dyDescent="0.3">
      <c r="A8" s="99" t="s">
        <v>896</v>
      </c>
      <c r="B8" s="239" t="s">
        <v>942</v>
      </c>
      <c r="C8" s="101"/>
      <c r="D8" s="100"/>
      <c r="E8" s="101"/>
      <c r="F8" s="100"/>
      <c r="G8" s="101"/>
    </row>
    <row r="9" spans="1:7" ht="31.5" customHeight="1" x14ac:dyDescent="0.25">
      <c r="A9" s="92" t="s">
        <v>228</v>
      </c>
      <c r="B9" s="298" t="s">
        <v>229</v>
      </c>
      <c r="C9" s="299"/>
      <c r="D9" s="299"/>
      <c r="E9" s="299"/>
      <c r="F9" s="299"/>
      <c r="G9" s="300"/>
    </row>
    <row r="10" spans="1:7" ht="47.25" x14ac:dyDescent="0.25">
      <c r="A10" s="93" t="s">
        <v>897</v>
      </c>
      <c r="B10" s="240" t="s">
        <v>19</v>
      </c>
      <c r="C10" s="241" t="s">
        <v>943</v>
      </c>
      <c r="D10" s="94"/>
      <c r="E10" s="95"/>
      <c r="F10" s="94"/>
      <c r="G10" s="95"/>
    </row>
    <row r="11" spans="1:7" ht="63" x14ac:dyDescent="0.25">
      <c r="A11" s="93" t="s">
        <v>898</v>
      </c>
      <c r="B11" s="240" t="s">
        <v>19</v>
      </c>
      <c r="C11" s="242" t="s">
        <v>944</v>
      </c>
      <c r="D11" s="102"/>
      <c r="E11" s="103"/>
      <c r="F11" s="102"/>
      <c r="G11" s="103"/>
    </row>
    <row r="12" spans="1:7" ht="31.5" x14ac:dyDescent="0.25">
      <c r="A12" s="93" t="s">
        <v>899</v>
      </c>
      <c r="B12" s="240" t="s">
        <v>30</v>
      </c>
      <c r="C12" s="242" t="s">
        <v>945</v>
      </c>
      <c r="D12" s="102"/>
      <c r="E12" s="103"/>
      <c r="F12" s="102"/>
      <c r="G12" s="103"/>
    </row>
    <row r="13" spans="1:7" ht="31.5" x14ac:dyDescent="0.25">
      <c r="A13" s="93" t="s">
        <v>900</v>
      </c>
      <c r="B13" s="240" t="s">
        <v>19</v>
      </c>
      <c r="C13" s="242" t="s">
        <v>946</v>
      </c>
      <c r="D13" s="102"/>
      <c r="E13" s="103"/>
      <c r="F13" s="102"/>
      <c r="G13" s="103"/>
    </row>
    <row r="14" spans="1:7" ht="15.75" x14ac:dyDescent="0.25">
      <c r="A14" s="93" t="s">
        <v>901</v>
      </c>
      <c r="B14" s="240" t="s">
        <v>19</v>
      </c>
      <c r="C14" s="242" t="s">
        <v>947</v>
      </c>
      <c r="D14" s="102"/>
      <c r="E14" s="103"/>
      <c r="F14" s="102"/>
      <c r="G14" s="103"/>
    </row>
    <row r="15" spans="1:7" ht="16.5" thickBot="1" x14ac:dyDescent="0.3">
      <c r="A15" s="96" t="s">
        <v>902</v>
      </c>
      <c r="B15" s="240" t="s">
        <v>30</v>
      </c>
      <c r="C15" s="243"/>
      <c r="D15" s="97"/>
      <c r="E15" s="98"/>
      <c r="F15" s="97"/>
      <c r="G15" s="98"/>
    </row>
    <row r="16" spans="1:7" ht="31.5" customHeight="1" x14ac:dyDescent="0.25">
      <c r="A16" s="92" t="s">
        <v>903</v>
      </c>
      <c r="B16" s="298" t="s">
        <v>229</v>
      </c>
      <c r="C16" s="299"/>
      <c r="D16" s="299"/>
      <c r="E16" s="299"/>
      <c r="F16" s="299"/>
      <c r="G16" s="300"/>
    </row>
    <row r="17" spans="1:7" ht="31.5" x14ac:dyDescent="0.25">
      <c r="A17" s="93" t="s">
        <v>140</v>
      </c>
      <c r="B17" s="102" t="s">
        <v>19</v>
      </c>
      <c r="C17" s="95" t="s">
        <v>948</v>
      </c>
      <c r="D17" s="94"/>
      <c r="E17" s="95"/>
      <c r="F17" s="94"/>
      <c r="G17" s="95"/>
    </row>
    <row r="18" spans="1:7" ht="15.75" x14ac:dyDescent="0.25">
      <c r="A18" s="93" t="s">
        <v>146</v>
      </c>
      <c r="B18" s="102" t="s">
        <v>30</v>
      </c>
      <c r="C18" s="103"/>
      <c r="D18" s="102"/>
      <c r="E18" s="103"/>
      <c r="F18" s="102"/>
      <c r="G18" s="103"/>
    </row>
    <row r="19" spans="1:7" ht="15.75" x14ac:dyDescent="0.25">
      <c r="A19" s="93" t="s">
        <v>148</v>
      </c>
      <c r="B19" s="102" t="s">
        <v>30</v>
      </c>
      <c r="C19" s="103"/>
      <c r="D19" s="102"/>
      <c r="E19" s="103"/>
      <c r="F19" s="102"/>
      <c r="G19" s="103"/>
    </row>
    <row r="20" spans="1:7" ht="15.75" x14ac:dyDescent="0.25">
      <c r="A20" s="93" t="s">
        <v>150</v>
      </c>
      <c r="B20" s="102" t="s">
        <v>30</v>
      </c>
      <c r="C20" s="103"/>
      <c r="D20" s="102"/>
      <c r="E20" s="103"/>
      <c r="F20" s="104"/>
      <c r="G20" s="105"/>
    </row>
    <row r="21" spans="1:7" ht="16.5" thickBot="1" x14ac:dyDescent="0.3">
      <c r="A21" s="96" t="s">
        <v>904</v>
      </c>
      <c r="B21" s="97" t="s">
        <v>30</v>
      </c>
      <c r="C21" s="98"/>
      <c r="D21" s="97"/>
      <c r="E21" s="98"/>
      <c r="F21" s="106"/>
      <c r="G21" s="107"/>
    </row>
    <row r="22" spans="1:7" ht="47.25" customHeight="1" x14ac:dyDescent="0.25">
      <c r="A22" s="92" t="s">
        <v>905</v>
      </c>
      <c r="B22" s="298" t="s">
        <v>229</v>
      </c>
      <c r="C22" s="299"/>
      <c r="D22" s="299"/>
      <c r="E22" s="299"/>
      <c r="F22" s="299"/>
      <c r="G22" s="300"/>
    </row>
    <row r="23" spans="1:7" ht="78.75" x14ac:dyDescent="0.25">
      <c r="A23" s="93" t="s">
        <v>906</v>
      </c>
      <c r="B23" s="94" t="s">
        <v>19</v>
      </c>
      <c r="C23" s="241" t="s">
        <v>1029</v>
      </c>
      <c r="D23" s="94"/>
      <c r="E23" s="95"/>
      <c r="F23" s="94"/>
      <c r="G23" s="95"/>
    </row>
    <row r="24" spans="1:7" ht="60" x14ac:dyDescent="0.25">
      <c r="A24" s="93" t="s">
        <v>924</v>
      </c>
      <c r="B24" s="94" t="s">
        <v>30</v>
      </c>
      <c r="C24" s="246" t="s">
        <v>954</v>
      </c>
      <c r="D24" s="94"/>
      <c r="E24" s="95"/>
      <c r="F24" s="94"/>
      <c r="G24" s="95"/>
    </row>
    <row r="25" spans="1:7" ht="15.75" x14ac:dyDescent="0.25">
      <c r="A25" s="93" t="s">
        <v>907</v>
      </c>
      <c r="B25" s="102" t="s">
        <v>30</v>
      </c>
      <c r="D25" s="102"/>
      <c r="E25" s="103"/>
      <c r="F25" s="102" t="s">
        <v>230</v>
      </c>
      <c r="G25" s="103"/>
    </row>
    <row r="26" spans="1:7" ht="15.75" x14ac:dyDescent="0.25">
      <c r="A26" s="93" t="s">
        <v>925</v>
      </c>
      <c r="B26" s="102" t="s">
        <v>30</v>
      </c>
      <c r="C26" s="103"/>
      <c r="D26" s="102"/>
      <c r="E26" s="103"/>
      <c r="F26" s="102"/>
      <c r="G26" s="103"/>
    </row>
    <row r="27" spans="1:7" ht="63" x14ac:dyDescent="0.25">
      <c r="A27" s="93" t="s">
        <v>231</v>
      </c>
      <c r="B27" s="102" t="s">
        <v>19</v>
      </c>
      <c r="C27" s="242" t="s">
        <v>949</v>
      </c>
      <c r="D27" s="102"/>
      <c r="E27" s="103"/>
      <c r="F27" s="102"/>
      <c r="G27" s="103"/>
    </row>
    <row r="28" spans="1:7" ht="16.5" thickBot="1" x14ac:dyDescent="0.3">
      <c r="A28" s="96" t="s">
        <v>232</v>
      </c>
      <c r="B28" s="97" t="s">
        <v>30</v>
      </c>
      <c r="C28" s="98"/>
      <c r="D28" s="97"/>
      <c r="E28" s="98"/>
      <c r="F28" s="106"/>
      <c r="G28" s="107"/>
    </row>
    <row r="29" spans="1:7" ht="31.5" customHeight="1" x14ac:dyDescent="0.25">
      <c r="A29" s="92" t="s">
        <v>233</v>
      </c>
      <c r="B29" s="298" t="s">
        <v>229</v>
      </c>
      <c r="C29" s="299"/>
      <c r="D29" s="299"/>
      <c r="E29" s="299"/>
      <c r="F29" s="299"/>
      <c r="G29" s="300"/>
    </row>
    <row r="30" spans="1:7" ht="78.75" x14ac:dyDescent="0.25">
      <c r="A30" s="93" t="s">
        <v>908</v>
      </c>
      <c r="B30" s="94" t="s">
        <v>19</v>
      </c>
      <c r="C30" s="241" t="s">
        <v>950</v>
      </c>
      <c r="D30" s="94"/>
      <c r="E30" s="95"/>
      <c r="F30" s="94"/>
      <c r="G30" s="95"/>
    </row>
    <row r="31" spans="1:7" ht="15.75" x14ac:dyDescent="0.25">
      <c r="A31" s="93" t="s">
        <v>926</v>
      </c>
      <c r="B31" s="102" t="s">
        <v>30</v>
      </c>
      <c r="C31" s="103"/>
      <c r="D31" s="102"/>
      <c r="E31" s="103"/>
      <c r="F31" s="102"/>
      <c r="G31" s="103"/>
    </row>
    <row r="32" spans="1:7" ht="15.75" x14ac:dyDescent="0.25">
      <c r="A32" s="93" t="s">
        <v>234</v>
      </c>
      <c r="B32" s="102" t="s">
        <v>30</v>
      </c>
      <c r="C32" s="103"/>
      <c r="D32" s="102"/>
      <c r="E32" s="103"/>
      <c r="F32" s="102"/>
      <c r="G32" s="103"/>
    </row>
    <row r="33" spans="1:7" ht="15.75" x14ac:dyDescent="0.25">
      <c r="A33" s="93" t="s">
        <v>906</v>
      </c>
      <c r="B33" s="102" t="s">
        <v>30</v>
      </c>
      <c r="C33" s="103"/>
      <c r="D33" s="102"/>
      <c r="E33" s="103"/>
      <c r="F33" s="102"/>
      <c r="G33" s="103"/>
    </row>
    <row r="34" spans="1:7" ht="15.75" x14ac:dyDescent="0.25">
      <c r="A34" s="93" t="s">
        <v>924</v>
      </c>
      <c r="B34" s="102" t="s">
        <v>30</v>
      </c>
      <c r="C34" s="103"/>
      <c r="D34" s="102"/>
      <c r="E34" s="103"/>
      <c r="F34" s="102"/>
      <c r="G34" s="103"/>
    </row>
    <row r="35" spans="1:7" ht="15.75" x14ac:dyDescent="0.25">
      <c r="A35" s="93" t="s">
        <v>907</v>
      </c>
      <c r="B35" s="102" t="s">
        <v>30</v>
      </c>
      <c r="C35" s="103"/>
      <c r="D35" s="102"/>
      <c r="E35" s="103"/>
      <c r="F35" s="102"/>
      <c r="G35" s="103"/>
    </row>
    <row r="36" spans="1:7" ht="15.75" x14ac:dyDescent="0.25">
      <c r="A36" s="93" t="s">
        <v>927</v>
      </c>
      <c r="B36" s="102" t="s">
        <v>30</v>
      </c>
      <c r="C36" s="103"/>
      <c r="D36" s="102"/>
      <c r="E36" s="103"/>
      <c r="F36" s="102"/>
      <c r="G36" s="103"/>
    </row>
    <row r="37" spans="1:7" ht="15.75" x14ac:dyDescent="0.25">
      <c r="A37" s="93" t="s">
        <v>231</v>
      </c>
      <c r="B37" s="102" t="s">
        <v>30</v>
      </c>
      <c r="C37" s="103"/>
      <c r="D37" s="102"/>
      <c r="E37" s="103"/>
      <c r="F37" s="102"/>
      <c r="G37" s="103"/>
    </row>
    <row r="38" spans="1:7" ht="16.5" thickBot="1" x14ac:dyDescent="0.3">
      <c r="A38" s="96" t="s">
        <v>235</v>
      </c>
      <c r="B38" s="102" t="s">
        <v>30</v>
      </c>
      <c r="C38" s="98"/>
      <c r="D38" s="97"/>
      <c r="E38" s="98"/>
      <c r="F38" s="106"/>
      <c r="G38" s="107"/>
    </row>
    <row r="39" spans="1:7" ht="31.5" x14ac:dyDescent="0.25">
      <c r="A39" s="92" t="s">
        <v>236</v>
      </c>
      <c r="B39" s="287"/>
      <c r="C39" s="288"/>
      <c r="D39" s="288"/>
      <c r="E39" s="288"/>
      <c r="F39" s="288"/>
      <c r="G39" s="289"/>
    </row>
    <row r="40" spans="1:7" ht="16.5" thickBot="1" x14ac:dyDescent="0.3">
      <c r="A40" s="93" t="s">
        <v>237</v>
      </c>
      <c r="B40" s="244" t="s">
        <v>30</v>
      </c>
      <c r="C40" s="241"/>
      <c r="D40" s="94"/>
      <c r="E40" s="95"/>
      <c r="F40" s="94"/>
      <c r="G40" s="95"/>
    </row>
    <row r="41" spans="1:7" ht="16.5" thickBot="1" x14ac:dyDescent="0.3">
      <c r="A41" s="93" t="s">
        <v>238</v>
      </c>
      <c r="B41" s="244" t="s">
        <v>30</v>
      </c>
      <c r="C41" s="242"/>
      <c r="D41" s="102"/>
      <c r="E41" s="103"/>
      <c r="F41" s="102"/>
      <c r="G41" s="103"/>
    </row>
    <row r="42" spans="1:7" ht="16.5" thickBot="1" x14ac:dyDescent="0.3">
      <c r="A42" s="93" t="s">
        <v>239</v>
      </c>
      <c r="B42" s="244" t="s">
        <v>30</v>
      </c>
      <c r="C42" s="242"/>
      <c r="D42" s="102"/>
      <c r="E42" s="103"/>
      <c r="F42" s="102"/>
      <c r="G42" s="103"/>
    </row>
    <row r="43" spans="1:7" ht="16.5" thickBot="1" x14ac:dyDescent="0.3">
      <c r="A43" s="93" t="s">
        <v>240</v>
      </c>
      <c r="B43" s="244" t="s">
        <v>30</v>
      </c>
      <c r="C43" s="242"/>
      <c r="D43" s="102"/>
      <c r="E43" s="103"/>
      <c r="F43" s="102"/>
      <c r="G43" s="103"/>
    </row>
    <row r="44" spans="1:7" ht="16.5" thickBot="1" x14ac:dyDescent="0.3">
      <c r="A44" s="93" t="s">
        <v>241</v>
      </c>
      <c r="B44" s="244" t="s">
        <v>30</v>
      </c>
      <c r="C44" s="242"/>
      <c r="D44" s="102"/>
      <c r="E44" s="103"/>
      <c r="F44" s="102"/>
      <c r="G44" s="103"/>
    </row>
    <row r="45" spans="1:7" ht="16.5" thickBot="1" x14ac:dyDescent="0.3">
      <c r="A45" s="93" t="s">
        <v>159</v>
      </c>
      <c r="B45" s="244" t="s">
        <v>30</v>
      </c>
      <c r="C45" s="242"/>
      <c r="D45" s="102"/>
      <c r="E45" s="103"/>
      <c r="F45" s="102"/>
      <c r="G45" s="103"/>
    </row>
    <row r="46" spans="1:7" ht="16.5" thickBot="1" x14ac:dyDescent="0.3">
      <c r="A46" s="93" t="s">
        <v>161</v>
      </c>
      <c r="B46" s="244" t="s">
        <v>30</v>
      </c>
      <c r="C46" s="242"/>
      <c r="D46" s="102"/>
      <c r="E46" s="103"/>
      <c r="F46" s="102"/>
      <c r="G46" s="103"/>
    </row>
    <row r="47" spans="1:7" ht="16.5" thickBot="1" x14ac:dyDescent="0.3">
      <c r="A47" s="93" t="s">
        <v>242</v>
      </c>
      <c r="B47" s="244" t="s">
        <v>30</v>
      </c>
      <c r="C47" s="242"/>
      <c r="D47" s="102"/>
      <c r="E47" s="103"/>
      <c r="F47" s="102"/>
      <c r="G47" s="103"/>
    </row>
    <row r="48" spans="1:7" ht="16.5" thickBot="1" x14ac:dyDescent="0.3">
      <c r="A48" s="93" t="s">
        <v>165</v>
      </c>
      <c r="B48" s="244" t="s">
        <v>30</v>
      </c>
      <c r="C48" s="242"/>
      <c r="D48" s="102"/>
      <c r="E48" s="103"/>
      <c r="F48" s="102"/>
      <c r="G48" s="103"/>
    </row>
    <row r="49" spans="1:7" ht="63" x14ac:dyDescent="0.25">
      <c r="A49" s="93" t="s">
        <v>167</v>
      </c>
      <c r="B49" s="240" t="s">
        <v>19</v>
      </c>
      <c r="C49" s="242" t="s">
        <v>956</v>
      </c>
      <c r="D49" s="102"/>
      <c r="E49" s="103"/>
      <c r="F49" s="102"/>
      <c r="G49" s="103"/>
    </row>
    <row r="50" spans="1:7" ht="47.25" x14ac:dyDescent="0.25">
      <c r="A50" s="93" t="s">
        <v>169</v>
      </c>
      <c r="B50" s="240" t="s">
        <v>30</v>
      </c>
      <c r="C50" s="242" t="s">
        <v>951</v>
      </c>
      <c r="D50" s="102"/>
      <c r="E50" s="103"/>
      <c r="F50" s="102"/>
      <c r="G50" s="103"/>
    </row>
    <row r="51" spans="1:7" ht="16.5" thickBot="1" x14ac:dyDescent="0.3">
      <c r="A51" s="96" t="s">
        <v>171</v>
      </c>
      <c r="B51" s="244" t="s">
        <v>30</v>
      </c>
      <c r="C51" s="243"/>
      <c r="D51" s="97"/>
      <c r="E51" s="98"/>
      <c r="F51" s="97"/>
      <c r="G51" s="98"/>
    </row>
    <row r="52" spans="1:7" ht="32.25" thickBot="1" x14ac:dyDescent="0.3">
      <c r="A52" s="99" t="s">
        <v>909</v>
      </c>
      <c r="B52" s="239" t="s">
        <v>30</v>
      </c>
      <c r="C52" s="121"/>
      <c r="D52" s="100"/>
      <c r="E52" s="121"/>
      <c r="F52" s="100"/>
      <c r="G52" s="121"/>
    </row>
    <row r="53" spans="1:7" ht="79.5" thickBot="1" x14ac:dyDescent="0.3">
      <c r="A53" s="108" t="s">
        <v>910</v>
      </c>
      <c r="B53" s="245" t="s">
        <v>30</v>
      </c>
      <c r="C53" s="122" t="s">
        <v>952</v>
      </c>
      <c r="D53" s="109"/>
      <c r="E53" s="122"/>
      <c r="F53" s="109"/>
      <c r="G53" s="122"/>
    </row>
    <row r="54" spans="1:7" ht="63.75" thickBot="1" x14ac:dyDescent="0.3">
      <c r="A54" s="110" t="s">
        <v>928</v>
      </c>
      <c r="B54" s="239" t="s">
        <v>19</v>
      </c>
      <c r="C54" s="121"/>
      <c r="D54" s="100"/>
      <c r="E54" s="121"/>
      <c r="F54" s="100"/>
      <c r="G54" s="121"/>
    </row>
    <row r="55" spans="1:7" ht="79.5" thickBot="1" x14ac:dyDescent="0.3">
      <c r="A55" s="111" t="s">
        <v>929</v>
      </c>
      <c r="B55" s="239" t="s">
        <v>19</v>
      </c>
      <c r="C55" s="121"/>
      <c r="D55" s="100"/>
      <c r="E55" s="121"/>
      <c r="F55" s="100"/>
      <c r="G55" s="121"/>
    </row>
  </sheetData>
  <sheetProtection selectLockedCells="1"/>
  <mergeCells count="11">
    <mergeCell ref="B39:G39"/>
    <mergeCell ref="A1:G1"/>
    <mergeCell ref="A2:A3"/>
    <mergeCell ref="B2:C2"/>
    <mergeCell ref="D2:E2"/>
    <mergeCell ref="F2:G2"/>
    <mergeCell ref="B5:G5"/>
    <mergeCell ref="B9:G9"/>
    <mergeCell ref="B16:G16"/>
    <mergeCell ref="B22:G22"/>
    <mergeCell ref="B29:G29"/>
  </mergeCells>
  <dataValidations count="2">
    <dataValidation showInputMessage="1" showErrorMessage="1" sqref="F8 D8 B8" xr:uid="{00000000-0002-0000-0600-000000000000}"/>
    <dataValidation type="list" showInputMessage="1" showErrorMessage="1" sqref="D6:D7 B6:B7 B23:B28 B17:B21 B30:B38 D40:D55 D30:D38 D23:D28 D17:D21 D10:D15 F6:F7 F10:F15 F17:F21 F23:F28 F30:F38 F40:F55 B10:B15 B40:B55" xr:uid="{00000000-0002-0000-0600-000001000000}">
      <formula1>"Yes, 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showGridLines="0" zoomScale="101" workbookViewId="0">
      <selection activeCell="I91" sqref="I91"/>
    </sheetView>
  </sheetViews>
  <sheetFormatPr defaultColWidth="9.140625" defaultRowHeight="15" x14ac:dyDescent="0.25"/>
  <cols>
    <col min="1" max="1" width="68.42578125" bestFit="1" customWidth="1"/>
    <col min="2" max="2" width="51.42578125" customWidth="1"/>
    <col min="3" max="3" width="66.42578125" bestFit="1" customWidth="1"/>
  </cols>
  <sheetData>
    <row r="1" spans="1:3" ht="20.25" customHeight="1" thickTop="1" x14ac:dyDescent="0.25">
      <c r="A1" s="124" t="s">
        <v>243</v>
      </c>
      <c r="B1" s="124" t="s">
        <v>244</v>
      </c>
      <c r="C1" s="124" t="s">
        <v>245</v>
      </c>
    </row>
    <row r="2" spans="1:3" ht="42" customHeight="1" x14ac:dyDescent="0.25">
      <c r="A2" s="42" t="s">
        <v>246</v>
      </c>
      <c r="B2" s="61"/>
      <c r="C2" s="42" t="s">
        <v>247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showGridLines="0" zoomScale="130" zoomScaleNormal="130" workbookViewId="0">
      <selection activeCell="B2" sqref="B2"/>
    </sheetView>
  </sheetViews>
  <sheetFormatPr defaultColWidth="9.140625" defaultRowHeight="15" x14ac:dyDescent="0.25"/>
  <cols>
    <col min="1" max="1" width="86.85546875" customWidth="1"/>
    <col min="2" max="2" width="66.7109375" customWidth="1"/>
    <col min="3" max="3" width="45.7109375" customWidth="1"/>
  </cols>
  <sheetData>
    <row r="1" spans="1:3" ht="15.75" thickTop="1" x14ac:dyDescent="0.25">
      <c r="A1" s="124" t="s">
        <v>243</v>
      </c>
      <c r="B1" s="124" t="s">
        <v>248</v>
      </c>
      <c r="C1" s="124" t="s">
        <v>245</v>
      </c>
    </row>
    <row r="2" spans="1:3" ht="117.75" customHeight="1" x14ac:dyDescent="0.25">
      <c r="A2" s="42" t="s">
        <v>881</v>
      </c>
      <c r="B2" s="61" t="s">
        <v>953</v>
      </c>
      <c r="C2" s="42" t="s">
        <v>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showGridLines="0" zoomScale="99" zoomScaleNormal="99" workbookViewId="0">
      <pane ySplit="1" topLeftCell="A11" activePane="bottomLeft" state="frozen"/>
      <selection pane="bottomLeft" activeCell="F21" sqref="F21"/>
    </sheetView>
  </sheetViews>
  <sheetFormatPr defaultColWidth="9.140625" defaultRowHeight="14.25" x14ac:dyDescent="0.2"/>
  <cols>
    <col min="1" max="1" width="19.7109375" style="39" customWidth="1"/>
    <col min="2" max="2" width="37.42578125" style="39" customWidth="1"/>
    <col min="3" max="3" width="15.28515625" style="41" bestFit="1" customWidth="1"/>
    <col min="4" max="4" width="58.85546875" style="39" customWidth="1"/>
    <col min="5" max="5" width="23.140625" style="39" customWidth="1"/>
    <col min="6" max="6" width="102.85546875" style="39" customWidth="1"/>
    <col min="7" max="7" width="74.7109375" style="252" customWidth="1"/>
    <col min="8" max="16384" width="9.140625" style="39"/>
  </cols>
  <sheetData>
    <row r="1" spans="1:7" s="40" customFormat="1" ht="39" thickTop="1" x14ac:dyDescent="0.25">
      <c r="A1" s="124" t="s">
        <v>250</v>
      </c>
      <c r="B1" s="125" t="s">
        <v>251</v>
      </c>
      <c r="C1" s="126" t="s">
        <v>252</v>
      </c>
      <c r="D1" s="138" t="s">
        <v>253</v>
      </c>
      <c r="E1" s="139" t="s">
        <v>254</v>
      </c>
      <c r="F1" s="249" t="s">
        <v>255</v>
      </c>
      <c r="G1" s="42"/>
    </row>
    <row r="2" spans="1:7" s="40" customFormat="1" ht="38.25" x14ac:dyDescent="0.25">
      <c r="A2" s="42" t="s">
        <v>256</v>
      </c>
      <c r="B2" s="61" t="s">
        <v>257</v>
      </c>
      <c r="C2" s="62" t="s">
        <v>258</v>
      </c>
      <c r="D2" s="63" t="s">
        <v>259</v>
      </c>
      <c r="E2" s="141" t="s">
        <v>19</v>
      </c>
      <c r="F2" s="250" t="s">
        <v>1039</v>
      </c>
      <c r="G2" s="42"/>
    </row>
    <row r="3" spans="1:7" s="40" customFormat="1" ht="38.25" x14ac:dyDescent="0.25">
      <c r="A3" s="42" t="s">
        <v>260</v>
      </c>
      <c r="B3" s="42" t="s">
        <v>261</v>
      </c>
      <c r="C3" s="62" t="s">
        <v>262</v>
      </c>
      <c r="D3" s="64" t="s">
        <v>263</v>
      </c>
      <c r="E3" s="141" t="s">
        <v>19</v>
      </c>
      <c r="F3" s="250" t="s">
        <v>1040</v>
      </c>
      <c r="G3" s="250" t="s">
        <v>1034</v>
      </c>
    </row>
    <row r="4" spans="1:7" s="40" customFormat="1" ht="12.75" x14ac:dyDescent="0.25">
      <c r="A4" s="42" t="s">
        <v>264</v>
      </c>
      <c r="B4" s="42" t="s">
        <v>265</v>
      </c>
      <c r="C4" s="62" t="s">
        <v>266</v>
      </c>
      <c r="D4" s="63" t="s">
        <v>263</v>
      </c>
      <c r="E4" s="141" t="s">
        <v>19</v>
      </c>
      <c r="F4" s="250" t="s">
        <v>1040</v>
      </c>
      <c r="G4" s="42"/>
    </row>
    <row r="5" spans="1:7" s="40" customFormat="1" ht="38.25" x14ac:dyDescent="0.25">
      <c r="A5" s="42" t="s">
        <v>267</v>
      </c>
      <c r="B5" s="42" t="s">
        <v>268</v>
      </c>
      <c r="C5" s="62" t="s">
        <v>269</v>
      </c>
      <c r="D5" s="63" t="s">
        <v>270</v>
      </c>
      <c r="E5" s="141" t="s">
        <v>30</v>
      </c>
      <c r="F5" s="250" t="s">
        <v>1044</v>
      </c>
      <c r="G5" s="42"/>
    </row>
    <row r="6" spans="1:7" s="40" customFormat="1" ht="12.75" x14ac:dyDescent="0.25">
      <c r="A6" s="42" t="s">
        <v>271</v>
      </c>
      <c r="B6" s="42" t="s">
        <v>272</v>
      </c>
      <c r="C6" s="62" t="s">
        <v>273</v>
      </c>
      <c r="D6" s="63" t="s">
        <v>274</v>
      </c>
      <c r="E6" s="141" t="s">
        <v>19</v>
      </c>
      <c r="F6" s="250" t="s">
        <v>1045</v>
      </c>
      <c r="G6" s="42"/>
    </row>
    <row r="7" spans="1:7" s="40" customFormat="1" ht="25.5" x14ac:dyDescent="0.25">
      <c r="A7" s="42" t="s">
        <v>275</v>
      </c>
      <c r="B7" s="42" t="s">
        <v>276</v>
      </c>
      <c r="C7" s="62" t="s">
        <v>277</v>
      </c>
      <c r="D7" s="63" t="s">
        <v>278</v>
      </c>
      <c r="E7" s="141" t="s">
        <v>19</v>
      </c>
      <c r="F7" s="250" t="s">
        <v>1046</v>
      </c>
      <c r="G7" s="42"/>
    </row>
    <row r="8" spans="1:7" ht="57" x14ac:dyDescent="0.2">
      <c r="A8" s="42" t="s">
        <v>279</v>
      </c>
      <c r="B8" s="61" t="s">
        <v>280</v>
      </c>
      <c r="C8" s="62" t="s">
        <v>281</v>
      </c>
      <c r="D8" s="64" t="s">
        <v>282</v>
      </c>
      <c r="E8" s="63" t="s">
        <v>19</v>
      </c>
      <c r="F8" s="63" t="s">
        <v>1040</v>
      </c>
      <c r="G8" s="251" t="s">
        <v>1035</v>
      </c>
    </row>
    <row r="9" spans="1:7" ht="242.25" x14ac:dyDescent="0.2">
      <c r="A9" s="42" t="s">
        <v>283</v>
      </c>
      <c r="B9" s="42" t="s">
        <v>284</v>
      </c>
      <c r="C9" s="62" t="s">
        <v>285</v>
      </c>
      <c r="D9" s="63" t="s">
        <v>286</v>
      </c>
      <c r="E9" s="63" t="s">
        <v>19</v>
      </c>
      <c r="F9" s="63" t="s">
        <v>1036</v>
      </c>
    </row>
    <row r="10" spans="1:7" ht="38.25" x14ac:dyDescent="0.2">
      <c r="A10" s="42" t="s">
        <v>287</v>
      </c>
      <c r="B10" s="42" t="s">
        <v>288</v>
      </c>
      <c r="C10" s="62" t="s">
        <v>289</v>
      </c>
      <c r="D10" s="63" t="s">
        <v>290</v>
      </c>
      <c r="E10" s="63" t="s">
        <v>52</v>
      </c>
      <c r="F10" s="63" t="s">
        <v>1041</v>
      </c>
      <c r="G10" s="252" t="s">
        <v>1037</v>
      </c>
    </row>
    <row r="11" spans="1:7" ht="38.25" x14ac:dyDescent="0.2">
      <c r="A11" s="42" t="s">
        <v>291</v>
      </c>
      <c r="B11" s="42" t="s">
        <v>292</v>
      </c>
      <c r="C11" s="65" t="s">
        <v>293</v>
      </c>
      <c r="D11" s="64" t="s">
        <v>294</v>
      </c>
      <c r="E11" s="63" t="s">
        <v>19</v>
      </c>
      <c r="F11" s="63" t="s">
        <v>1042</v>
      </c>
    </row>
    <row r="12" spans="1:7" ht="25.5" x14ac:dyDescent="0.2">
      <c r="A12" s="42" t="s">
        <v>295</v>
      </c>
      <c r="B12" s="42" t="s">
        <v>296</v>
      </c>
      <c r="C12" s="65" t="s">
        <v>297</v>
      </c>
      <c r="D12" s="64" t="s">
        <v>298</v>
      </c>
      <c r="E12" s="63" t="s">
        <v>19</v>
      </c>
      <c r="F12" s="63" t="s">
        <v>1042</v>
      </c>
    </row>
    <row r="13" spans="1:7" ht="38.25" x14ac:dyDescent="0.2">
      <c r="A13" s="42" t="s">
        <v>299</v>
      </c>
      <c r="B13" s="42" t="s">
        <v>300</v>
      </c>
      <c r="C13" s="65" t="s">
        <v>301</v>
      </c>
      <c r="D13" s="64" t="s">
        <v>302</v>
      </c>
      <c r="E13" s="63" t="s">
        <v>19</v>
      </c>
      <c r="F13" s="63" t="s">
        <v>1042</v>
      </c>
    </row>
    <row r="14" spans="1:7" ht="25.5" x14ac:dyDescent="0.2">
      <c r="A14" s="42" t="s">
        <v>303</v>
      </c>
      <c r="B14" s="61" t="s">
        <v>304</v>
      </c>
      <c r="C14" s="62" t="s">
        <v>305</v>
      </c>
      <c r="D14" s="64" t="s">
        <v>306</v>
      </c>
      <c r="E14" s="63" t="s">
        <v>52</v>
      </c>
      <c r="F14" s="63" t="s">
        <v>1047</v>
      </c>
    </row>
    <row r="15" spans="1:7" ht="25.5" x14ac:dyDescent="0.2">
      <c r="A15" s="42" t="s">
        <v>307</v>
      </c>
      <c r="B15" s="61" t="s">
        <v>308</v>
      </c>
      <c r="C15" s="62" t="s">
        <v>309</v>
      </c>
      <c r="D15" s="64" t="s">
        <v>310</v>
      </c>
      <c r="E15" s="63" t="s">
        <v>19</v>
      </c>
      <c r="F15" s="63" t="s">
        <v>1042</v>
      </c>
    </row>
    <row r="16" spans="1:7" ht="26.25" customHeight="1" x14ac:dyDescent="0.2">
      <c r="A16" s="42" t="s">
        <v>311</v>
      </c>
      <c r="B16" s="61" t="s">
        <v>312</v>
      </c>
      <c r="C16" s="62" t="s">
        <v>313</v>
      </c>
      <c r="D16" s="64" t="s">
        <v>314</v>
      </c>
      <c r="E16" s="63" t="s">
        <v>52</v>
      </c>
      <c r="F16" s="63" t="s">
        <v>1038</v>
      </c>
    </row>
    <row r="17" spans="1:6" ht="25.5" x14ac:dyDescent="0.2">
      <c r="A17" s="42" t="s">
        <v>315</v>
      </c>
      <c r="B17" s="61" t="s">
        <v>316</v>
      </c>
      <c r="C17" s="62" t="s">
        <v>317</v>
      </c>
      <c r="D17" s="64" t="s">
        <v>318</v>
      </c>
      <c r="E17" s="63" t="s">
        <v>41</v>
      </c>
      <c r="F17" s="63" t="s">
        <v>1043</v>
      </c>
    </row>
    <row r="18" spans="1:6" ht="38.25" x14ac:dyDescent="0.2">
      <c r="A18" s="66" t="s">
        <v>319</v>
      </c>
      <c r="B18" s="42" t="s">
        <v>320</v>
      </c>
      <c r="C18" s="67" t="s">
        <v>321</v>
      </c>
      <c r="D18" s="137" t="s">
        <v>322</v>
      </c>
      <c r="E18" s="63" t="s">
        <v>19</v>
      </c>
      <c r="F18" s="63" t="s">
        <v>1048</v>
      </c>
    </row>
    <row r="19" spans="1:6" ht="25.5" x14ac:dyDescent="0.2">
      <c r="A19" s="42" t="s">
        <v>323</v>
      </c>
      <c r="B19" s="61" t="s">
        <v>324</v>
      </c>
      <c r="C19" s="62" t="s">
        <v>325</v>
      </c>
      <c r="D19" s="64" t="s">
        <v>326</v>
      </c>
      <c r="E19" s="63" t="s">
        <v>19</v>
      </c>
      <c r="F19" s="63" t="s">
        <v>1049</v>
      </c>
    </row>
    <row r="20" spans="1:6" ht="25.5" x14ac:dyDescent="0.2">
      <c r="A20" s="42" t="s">
        <v>327</v>
      </c>
      <c r="B20" s="61" t="s">
        <v>328</v>
      </c>
      <c r="C20" s="62" t="s">
        <v>329</v>
      </c>
      <c r="D20" s="64" t="s">
        <v>330</v>
      </c>
      <c r="E20" s="63" t="s">
        <v>30</v>
      </c>
      <c r="F20" s="63"/>
    </row>
    <row r="21" spans="1:6" ht="38.25" x14ac:dyDescent="0.2">
      <c r="A21" s="42" t="s">
        <v>331</v>
      </c>
      <c r="B21" s="42" t="s">
        <v>332</v>
      </c>
      <c r="C21" s="67" t="s">
        <v>333</v>
      </c>
      <c r="D21" s="63" t="s">
        <v>334</v>
      </c>
      <c r="E21" s="63" t="s">
        <v>19</v>
      </c>
      <c r="F21" s="63" t="s">
        <v>1050</v>
      </c>
    </row>
    <row r="22" spans="1:6" x14ac:dyDescent="0.2">
      <c r="A22" s="42" t="s">
        <v>335</v>
      </c>
      <c r="B22" s="42" t="s">
        <v>336</v>
      </c>
      <c r="C22" s="65" t="s">
        <v>337</v>
      </c>
      <c r="D22" s="64" t="s">
        <v>338</v>
      </c>
      <c r="E22" s="63" t="s">
        <v>30</v>
      </c>
      <c r="F22" s="63"/>
    </row>
    <row r="23" spans="1:6" x14ac:dyDescent="0.2">
      <c r="A23" s="140" t="s">
        <v>339</v>
      </c>
      <c r="B23" s="140" t="s">
        <v>340</v>
      </c>
      <c r="C23" s="67" t="s">
        <v>339</v>
      </c>
      <c r="D23" s="64" t="s">
        <v>338</v>
      </c>
      <c r="E23" s="63" t="s">
        <v>30</v>
      </c>
      <c r="F23" s="63"/>
    </row>
    <row r="24" spans="1:6" x14ac:dyDescent="0.2">
      <c r="A24" s="35" t="s">
        <v>341</v>
      </c>
      <c r="B24" s="35" t="s">
        <v>342</v>
      </c>
      <c r="C24" s="154" t="s">
        <v>341</v>
      </c>
      <c r="D24" s="36" t="s">
        <v>343</v>
      </c>
      <c r="E24" s="63" t="s">
        <v>19</v>
      </c>
      <c r="F24" s="63" t="s">
        <v>1042</v>
      </c>
    </row>
  </sheetData>
  <sheetProtection selectLockedCells="1"/>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E2:E24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49C3-51E9-4092-B8F2-1E3310A9AA60}">
  <dimension ref="A1:D85"/>
  <sheetViews>
    <sheetView showGridLines="0" zoomScale="85" zoomScaleNormal="85" workbookViewId="0">
      <selection activeCell="C82" sqref="C82"/>
    </sheetView>
  </sheetViews>
  <sheetFormatPr defaultRowHeight="15" x14ac:dyDescent="0.25"/>
  <cols>
    <col min="1" max="1" width="75.140625" customWidth="1"/>
    <col min="2" max="2" width="49.28515625" customWidth="1"/>
    <col min="3" max="3" width="87.28515625" customWidth="1"/>
    <col min="4" max="4" width="45.42578125" customWidth="1"/>
    <col min="5" max="5" width="31.28515625" customWidth="1"/>
  </cols>
  <sheetData>
    <row r="1" spans="1:4" ht="27.75" thickBot="1" x14ac:dyDescent="0.3">
      <c r="A1" s="304" t="s">
        <v>808</v>
      </c>
      <c r="B1" s="305"/>
      <c r="C1" s="305"/>
      <c r="D1" s="306"/>
    </row>
    <row r="2" spans="1:4" ht="16.5" thickBot="1" x14ac:dyDescent="0.3">
      <c r="A2" s="194" t="s">
        <v>972</v>
      </c>
      <c r="B2" s="307" t="s">
        <v>975</v>
      </c>
      <c r="C2" s="195" t="s">
        <v>976</v>
      </c>
      <c r="D2" s="195" t="s">
        <v>978</v>
      </c>
    </row>
    <row r="3" spans="1:4" ht="16.5" thickBot="1" x14ac:dyDescent="0.3">
      <c r="A3" s="194" t="s">
        <v>973</v>
      </c>
      <c r="B3" s="308"/>
      <c r="C3" s="307" t="s">
        <v>977</v>
      </c>
      <c r="D3" s="307" t="s">
        <v>979</v>
      </c>
    </row>
    <row r="4" spans="1:4" ht="16.5" thickBot="1" x14ac:dyDescent="0.3">
      <c r="A4" s="194" t="s">
        <v>974</v>
      </c>
      <c r="B4" s="309"/>
      <c r="C4" s="309"/>
      <c r="D4" s="309"/>
    </row>
    <row r="5" spans="1:4" ht="18.75" thickBot="1" x14ac:dyDescent="0.3">
      <c r="A5" s="196" t="s">
        <v>207</v>
      </c>
      <c r="B5" s="197" t="s">
        <v>809</v>
      </c>
      <c r="C5" s="310" t="s">
        <v>209</v>
      </c>
      <c r="D5" s="311"/>
    </row>
    <row r="6" spans="1:4" ht="16.5" thickBot="1" x14ac:dyDescent="0.3">
      <c r="A6" s="301" t="s">
        <v>887</v>
      </c>
      <c r="B6" s="302"/>
      <c r="C6" s="302"/>
      <c r="D6" s="303"/>
    </row>
    <row r="7" spans="1:4" ht="16.5" thickBot="1" x14ac:dyDescent="0.3">
      <c r="A7" s="198" t="s">
        <v>810</v>
      </c>
      <c r="B7" s="199" t="s">
        <v>19</v>
      </c>
      <c r="C7" s="312"/>
      <c r="D7" s="313"/>
    </row>
    <row r="8" spans="1:4" ht="16.5" thickBot="1" x14ac:dyDescent="0.3">
      <c r="A8" s="198" t="s">
        <v>811</v>
      </c>
      <c r="B8" s="199" t="s">
        <v>19</v>
      </c>
      <c r="C8" s="312"/>
      <c r="D8" s="313"/>
    </row>
    <row r="9" spans="1:4" ht="16.5" thickBot="1" x14ac:dyDescent="0.3">
      <c r="A9" s="198" t="s">
        <v>812</v>
      </c>
      <c r="B9" s="199" t="s">
        <v>30</v>
      </c>
      <c r="C9" s="312"/>
      <c r="D9" s="313"/>
    </row>
    <row r="10" spans="1:4" ht="16.5" thickBot="1" x14ac:dyDescent="0.3">
      <c r="A10" s="198" t="s">
        <v>813</v>
      </c>
      <c r="B10" s="199" t="s">
        <v>30</v>
      </c>
      <c r="C10" s="314"/>
      <c r="D10" s="315"/>
    </row>
    <row r="11" spans="1:4" ht="16.5" thickBot="1" x14ac:dyDescent="0.3">
      <c r="A11" s="200" t="s">
        <v>814</v>
      </c>
      <c r="B11" s="201"/>
      <c r="C11" s="316"/>
      <c r="D11" s="317"/>
    </row>
    <row r="12" spans="1:4" ht="16.5" thickBot="1" x14ac:dyDescent="0.3">
      <c r="A12" s="301" t="s">
        <v>888</v>
      </c>
      <c r="B12" s="302"/>
      <c r="C12" s="302"/>
      <c r="D12" s="303"/>
    </row>
    <row r="13" spans="1:4" ht="16.5" thickBot="1" x14ac:dyDescent="0.3">
      <c r="A13" s="198" t="s">
        <v>815</v>
      </c>
      <c r="B13" s="199" t="s">
        <v>30</v>
      </c>
      <c r="C13" s="312"/>
      <c r="D13" s="313"/>
    </row>
    <row r="14" spans="1:4" ht="16.5" thickBot="1" x14ac:dyDescent="0.3">
      <c r="A14" s="198" t="s">
        <v>816</v>
      </c>
      <c r="B14" s="199" t="s">
        <v>19</v>
      </c>
      <c r="C14" s="312"/>
      <c r="D14" s="313"/>
    </row>
    <row r="15" spans="1:4" ht="16.5" thickBot="1" x14ac:dyDescent="0.3">
      <c r="A15" s="198" t="s">
        <v>817</v>
      </c>
      <c r="B15" s="199"/>
      <c r="C15" s="312"/>
      <c r="D15" s="313"/>
    </row>
    <row r="16" spans="1:4" ht="16.5" thickBot="1" x14ac:dyDescent="0.3">
      <c r="A16" s="198" t="s">
        <v>818</v>
      </c>
      <c r="B16" s="199"/>
      <c r="C16" s="312"/>
      <c r="D16" s="313"/>
    </row>
    <row r="17" spans="1:4" ht="44.25" customHeight="1" thickBot="1" x14ac:dyDescent="0.3">
      <c r="A17" s="202" t="s">
        <v>856</v>
      </c>
      <c r="B17" s="199" t="s">
        <v>19</v>
      </c>
      <c r="C17" s="312" t="s">
        <v>962</v>
      </c>
      <c r="D17" s="313"/>
    </row>
    <row r="18" spans="1:4" ht="48" thickBot="1" x14ac:dyDescent="0.3">
      <c r="A18" s="202" t="s">
        <v>857</v>
      </c>
      <c r="B18" s="199" t="s">
        <v>30</v>
      </c>
      <c r="C18" s="321" t="s">
        <v>963</v>
      </c>
      <c r="D18" s="322"/>
    </row>
    <row r="19" spans="1:4" ht="66.75" customHeight="1" thickBot="1" x14ac:dyDescent="0.3">
      <c r="A19" s="202" t="s">
        <v>889</v>
      </c>
      <c r="B19" s="199" t="s">
        <v>19</v>
      </c>
      <c r="C19" s="321" t="s">
        <v>980</v>
      </c>
      <c r="D19" s="322"/>
    </row>
    <row r="20" spans="1:4" ht="48" thickBot="1" x14ac:dyDescent="0.3">
      <c r="A20" s="202" t="s">
        <v>819</v>
      </c>
      <c r="B20" s="199" t="s">
        <v>19</v>
      </c>
      <c r="C20" s="321" t="s">
        <v>981</v>
      </c>
      <c r="D20" s="322"/>
    </row>
    <row r="21" spans="1:4" ht="76.5" customHeight="1" thickBot="1" x14ac:dyDescent="0.3">
      <c r="A21" s="202" t="s">
        <v>820</v>
      </c>
      <c r="B21" s="199" t="s">
        <v>19</v>
      </c>
      <c r="C21" s="321" t="s">
        <v>982</v>
      </c>
      <c r="D21" s="322"/>
    </row>
    <row r="22" spans="1:4" ht="78" customHeight="1" thickBot="1" x14ac:dyDescent="0.3">
      <c r="A22" s="202" t="s">
        <v>858</v>
      </c>
      <c r="B22" s="199" t="s">
        <v>19</v>
      </c>
      <c r="C22" s="312" t="s">
        <v>955</v>
      </c>
      <c r="D22" s="313"/>
    </row>
    <row r="23" spans="1:4" ht="60" customHeight="1" thickBot="1" x14ac:dyDescent="0.3">
      <c r="A23" s="202" t="s">
        <v>859</v>
      </c>
      <c r="B23" s="199"/>
      <c r="C23" s="312" t="s">
        <v>964</v>
      </c>
      <c r="D23" s="313"/>
    </row>
    <row r="24" spans="1:4" ht="15.75" thickBot="1" x14ac:dyDescent="0.3">
      <c r="A24" s="203"/>
      <c r="B24" s="203"/>
      <c r="C24" s="203"/>
      <c r="D24" s="203"/>
    </row>
    <row r="25" spans="1:4" ht="30.75" thickBot="1" x14ac:dyDescent="0.3">
      <c r="A25" s="318" t="s">
        <v>821</v>
      </c>
      <c r="B25" s="319"/>
      <c r="C25" s="320"/>
      <c r="D25" s="203"/>
    </row>
    <row r="26" spans="1:4" ht="18.75" thickBot="1" x14ac:dyDescent="0.3">
      <c r="A26" s="204" t="s">
        <v>345</v>
      </c>
      <c r="B26" s="205" t="s">
        <v>132</v>
      </c>
      <c r="C26" s="205" t="s">
        <v>822</v>
      </c>
      <c r="D26" s="203"/>
    </row>
    <row r="27" spans="1:4" ht="21" thickBot="1" x14ac:dyDescent="0.3">
      <c r="A27" s="335" t="s">
        <v>757</v>
      </c>
      <c r="B27" s="336"/>
      <c r="C27" s="337"/>
      <c r="D27" s="203"/>
    </row>
    <row r="28" spans="1:4" ht="16.5" thickBot="1" x14ac:dyDescent="0.3">
      <c r="A28" s="338" t="s">
        <v>860</v>
      </c>
      <c r="B28" s="339"/>
      <c r="C28" s="340"/>
      <c r="D28" s="203"/>
    </row>
    <row r="29" spans="1:4" ht="16.5" thickBot="1" x14ac:dyDescent="0.3">
      <c r="A29" s="206" t="s">
        <v>823</v>
      </c>
      <c r="B29" s="207" t="s">
        <v>30</v>
      </c>
      <c r="C29" s="208"/>
      <c r="D29" s="203"/>
    </row>
    <row r="30" spans="1:4" ht="16.5" thickBot="1" x14ac:dyDescent="0.3">
      <c r="A30" s="206" t="s">
        <v>824</v>
      </c>
      <c r="B30" s="207" t="s">
        <v>30</v>
      </c>
      <c r="C30" s="208"/>
      <c r="D30" s="203"/>
    </row>
    <row r="31" spans="1:4" ht="16.5" thickBot="1" x14ac:dyDescent="0.3">
      <c r="A31" s="206" t="s">
        <v>825</v>
      </c>
      <c r="B31" s="207" t="s">
        <v>30</v>
      </c>
      <c r="C31" s="208"/>
      <c r="D31" s="203"/>
    </row>
    <row r="32" spans="1:4" ht="16.5" thickBot="1" x14ac:dyDescent="0.3">
      <c r="A32" s="206" t="s">
        <v>826</v>
      </c>
      <c r="B32" s="207" t="s">
        <v>30</v>
      </c>
      <c r="C32" s="208"/>
      <c r="D32" s="203"/>
    </row>
    <row r="33" spans="1:4" ht="16.5" thickBot="1" x14ac:dyDescent="0.3">
      <c r="A33" s="206" t="s">
        <v>827</v>
      </c>
      <c r="B33" s="207" t="s">
        <v>30</v>
      </c>
      <c r="C33" s="209"/>
      <c r="D33" s="203"/>
    </row>
    <row r="34" spans="1:4" ht="16.5" thickBot="1" x14ac:dyDescent="0.3">
      <c r="A34" s="206" t="s">
        <v>828</v>
      </c>
      <c r="B34" s="207" t="s">
        <v>30</v>
      </c>
      <c r="C34" s="210"/>
      <c r="D34" s="203"/>
    </row>
    <row r="35" spans="1:4" ht="16.5" thickBot="1" x14ac:dyDescent="0.3">
      <c r="A35" s="206" t="s">
        <v>829</v>
      </c>
      <c r="B35" s="207" t="s">
        <v>30</v>
      </c>
      <c r="C35" s="210"/>
      <c r="D35" s="203"/>
    </row>
    <row r="36" spans="1:4" ht="28.9" customHeight="1" thickBot="1" x14ac:dyDescent="0.3">
      <c r="A36" s="206" t="s">
        <v>830</v>
      </c>
      <c r="B36" s="207" t="s">
        <v>30</v>
      </c>
      <c r="C36" s="210"/>
      <c r="D36" s="203"/>
    </row>
    <row r="37" spans="1:4" ht="16.5" thickBot="1" x14ac:dyDescent="0.3">
      <c r="A37" s="206" t="s">
        <v>831</v>
      </c>
      <c r="B37" s="207" t="s">
        <v>30</v>
      </c>
      <c r="C37" s="207"/>
      <c r="D37" s="203"/>
    </row>
    <row r="38" spans="1:4" ht="16.5" thickBot="1" x14ac:dyDescent="0.3">
      <c r="A38" s="341" t="s">
        <v>861</v>
      </c>
      <c r="B38" s="342"/>
      <c r="C38" s="343"/>
      <c r="D38" s="203"/>
    </row>
    <row r="39" spans="1:4" ht="16.5" thickBot="1" x14ac:dyDescent="0.3">
      <c r="A39" s="211" t="s">
        <v>832</v>
      </c>
      <c r="B39" s="207" t="s">
        <v>30</v>
      </c>
      <c r="C39" s="207"/>
      <c r="D39" s="203"/>
    </row>
    <row r="40" spans="1:4" ht="16.5" thickBot="1" x14ac:dyDescent="0.3">
      <c r="A40" s="211" t="s">
        <v>833</v>
      </c>
      <c r="B40" s="207" t="s">
        <v>30</v>
      </c>
      <c r="C40" s="207"/>
      <c r="D40" s="203"/>
    </row>
    <row r="41" spans="1:4" ht="16.5" thickBot="1" x14ac:dyDescent="0.3">
      <c r="A41" s="211" t="s">
        <v>834</v>
      </c>
      <c r="B41" s="207" t="s">
        <v>30</v>
      </c>
      <c r="C41" s="207"/>
      <c r="D41" s="203"/>
    </row>
    <row r="42" spans="1:4" ht="16.5" thickBot="1" x14ac:dyDescent="0.3">
      <c r="A42" s="211" t="s">
        <v>835</v>
      </c>
      <c r="B42" s="207" t="s">
        <v>30</v>
      </c>
      <c r="C42" s="207"/>
      <c r="D42" s="203"/>
    </row>
    <row r="43" spans="1:4" ht="16.5" thickBot="1" x14ac:dyDescent="0.3">
      <c r="A43" s="211" t="s">
        <v>836</v>
      </c>
      <c r="B43" s="207" t="s">
        <v>30</v>
      </c>
      <c r="C43" s="207"/>
      <c r="D43" s="203"/>
    </row>
    <row r="44" spans="1:4" ht="16.5" thickBot="1" x14ac:dyDescent="0.3">
      <c r="A44" s="211" t="s">
        <v>837</v>
      </c>
      <c r="B44" s="207" t="s">
        <v>30</v>
      </c>
      <c r="C44" s="207"/>
      <c r="D44" s="203"/>
    </row>
    <row r="45" spans="1:4" ht="16.5" thickBot="1" x14ac:dyDescent="0.3">
      <c r="A45" s="211" t="s">
        <v>838</v>
      </c>
      <c r="B45" s="207" t="s">
        <v>30</v>
      </c>
      <c r="C45" s="207"/>
      <c r="D45" s="203"/>
    </row>
    <row r="46" spans="1:4" ht="16.5" thickBot="1" x14ac:dyDescent="0.3">
      <c r="A46" s="211" t="s">
        <v>839</v>
      </c>
      <c r="B46" s="207" t="s">
        <v>30</v>
      </c>
      <c r="C46" s="207"/>
      <c r="D46" s="203"/>
    </row>
    <row r="47" spans="1:4" ht="21" thickBot="1" x14ac:dyDescent="0.3">
      <c r="A47" s="344" t="s">
        <v>840</v>
      </c>
      <c r="B47" s="345"/>
      <c r="C47" s="346"/>
      <c r="D47" s="203"/>
    </row>
    <row r="48" spans="1:4" ht="75.75" customHeight="1" thickBot="1" x14ac:dyDescent="0.3">
      <c r="A48" s="212" t="s">
        <v>862</v>
      </c>
      <c r="B48" s="213" t="s">
        <v>19</v>
      </c>
      <c r="C48" s="214"/>
      <c r="D48" s="203"/>
    </row>
    <row r="49" spans="1:4" ht="78" customHeight="1" thickBot="1" x14ac:dyDescent="0.3">
      <c r="A49" s="212" t="s">
        <v>863</v>
      </c>
      <c r="B49" s="213" t="s">
        <v>957</v>
      </c>
      <c r="C49" s="214" t="s">
        <v>958</v>
      </c>
      <c r="D49" s="203"/>
    </row>
    <row r="50" spans="1:4" ht="42.75" customHeight="1" thickBot="1" x14ac:dyDescent="0.3">
      <c r="A50" s="215" t="s">
        <v>841</v>
      </c>
      <c r="B50" s="213"/>
      <c r="C50" s="213"/>
      <c r="D50" s="203"/>
    </row>
    <row r="51" spans="1:4" ht="63.75" thickBot="1" x14ac:dyDescent="0.3">
      <c r="A51" s="212" t="s">
        <v>864</v>
      </c>
      <c r="B51" s="213" t="s">
        <v>30</v>
      </c>
      <c r="C51" s="213" t="s">
        <v>959</v>
      </c>
      <c r="D51" s="203"/>
    </row>
    <row r="52" spans="1:4" ht="95.25" thickBot="1" x14ac:dyDescent="0.3">
      <c r="A52" s="212" t="s">
        <v>865</v>
      </c>
      <c r="B52" s="213" t="s">
        <v>30</v>
      </c>
      <c r="C52" s="214" t="s">
        <v>960</v>
      </c>
      <c r="D52" s="203"/>
    </row>
    <row r="53" spans="1:4" ht="79.5" thickBot="1" x14ac:dyDescent="0.3">
      <c r="A53" s="212" t="s">
        <v>866</v>
      </c>
      <c r="B53" s="213" t="s">
        <v>957</v>
      </c>
      <c r="C53" s="214" t="s">
        <v>958</v>
      </c>
      <c r="D53" s="203"/>
    </row>
    <row r="54" spans="1:4" ht="71.25" customHeight="1" thickBot="1" x14ac:dyDescent="0.3">
      <c r="A54" s="212" t="s">
        <v>867</v>
      </c>
      <c r="B54" s="213" t="s">
        <v>30</v>
      </c>
      <c r="C54" s="214"/>
      <c r="D54" s="203"/>
    </row>
    <row r="55" spans="1:4" ht="21" thickBot="1" x14ac:dyDescent="0.3">
      <c r="A55" s="347" t="s">
        <v>842</v>
      </c>
      <c r="B55" s="348"/>
      <c r="C55" s="349"/>
      <c r="D55" s="203"/>
    </row>
    <row r="56" spans="1:4" ht="59.25" customHeight="1" thickBot="1" x14ac:dyDescent="0.3">
      <c r="A56" s="216" t="s">
        <v>868</v>
      </c>
      <c r="B56" s="217" t="s">
        <v>30</v>
      </c>
      <c r="C56" s="218" t="s">
        <v>965</v>
      </c>
      <c r="D56" s="203"/>
    </row>
    <row r="57" spans="1:4" ht="61.5" customHeight="1" thickBot="1" x14ac:dyDescent="0.3">
      <c r="A57" s="216" t="s">
        <v>869</v>
      </c>
      <c r="B57" s="217" t="s">
        <v>957</v>
      </c>
      <c r="C57" s="218" t="s">
        <v>961</v>
      </c>
      <c r="D57" s="203"/>
    </row>
    <row r="58" spans="1:4" ht="21" thickBot="1" x14ac:dyDescent="0.3">
      <c r="A58" s="350" t="s">
        <v>843</v>
      </c>
      <c r="B58" s="351"/>
      <c r="C58" s="352"/>
      <c r="D58" s="203"/>
    </row>
    <row r="59" spans="1:4" ht="67.5" customHeight="1" thickBot="1" x14ac:dyDescent="0.3">
      <c r="A59" s="219" t="s">
        <v>844</v>
      </c>
      <c r="B59" s="217" t="s">
        <v>19</v>
      </c>
      <c r="C59" s="220"/>
    </row>
    <row r="60" spans="1:4" ht="21" thickBot="1" x14ac:dyDescent="0.3">
      <c r="A60" s="323" t="s">
        <v>845</v>
      </c>
      <c r="B60" s="324"/>
      <c r="C60" s="325"/>
      <c r="D60" s="221"/>
    </row>
    <row r="61" spans="1:4" ht="48" thickBot="1" x14ac:dyDescent="0.3">
      <c r="A61" s="222" t="s">
        <v>870</v>
      </c>
      <c r="B61" s="223"/>
      <c r="C61" s="224"/>
      <c r="D61" s="203"/>
    </row>
    <row r="62" spans="1:4" ht="16.5" thickBot="1" x14ac:dyDescent="0.3">
      <c r="A62" s="225" t="s">
        <v>846</v>
      </c>
      <c r="B62" s="223" t="s">
        <v>19</v>
      </c>
      <c r="C62" s="224"/>
      <c r="D62" s="203"/>
    </row>
    <row r="63" spans="1:4" ht="16.5" thickBot="1" x14ac:dyDescent="0.3">
      <c r="A63" s="225" t="s">
        <v>847</v>
      </c>
      <c r="B63" s="223" t="s">
        <v>19</v>
      </c>
      <c r="C63" s="224"/>
      <c r="D63" s="203"/>
    </row>
    <row r="64" spans="1:4" ht="16.5" thickBot="1" x14ac:dyDescent="0.3">
      <c r="A64" s="225" t="s">
        <v>848</v>
      </c>
      <c r="B64" s="223" t="s">
        <v>19</v>
      </c>
      <c r="C64" s="224"/>
      <c r="D64" s="203"/>
    </row>
    <row r="65" spans="1:4" ht="16.5" thickBot="1" x14ac:dyDescent="0.3">
      <c r="A65" s="225" t="s">
        <v>849</v>
      </c>
      <c r="B65" s="223" t="s">
        <v>19</v>
      </c>
      <c r="C65" s="224"/>
      <c r="D65" s="203"/>
    </row>
    <row r="66" spans="1:4" ht="16.5" thickBot="1" x14ac:dyDescent="0.3">
      <c r="A66" s="225" t="s">
        <v>850</v>
      </c>
      <c r="B66" s="223" t="s">
        <v>19</v>
      </c>
      <c r="C66" s="224"/>
      <c r="D66" s="203"/>
    </row>
    <row r="67" spans="1:4" ht="16.5" thickBot="1" x14ac:dyDescent="0.3">
      <c r="A67" s="225" t="s">
        <v>851</v>
      </c>
      <c r="B67" s="223" t="s">
        <v>19</v>
      </c>
      <c r="C67" s="224"/>
      <c r="D67" s="203"/>
    </row>
    <row r="68" spans="1:4" ht="42.75" customHeight="1" thickBot="1" x14ac:dyDescent="0.3">
      <c r="A68" s="226" t="s">
        <v>890</v>
      </c>
      <c r="B68" s="223" t="s">
        <v>19</v>
      </c>
      <c r="C68" s="224" t="s">
        <v>966</v>
      </c>
      <c r="D68" s="203"/>
    </row>
    <row r="69" spans="1:4" ht="44.25" customHeight="1" thickBot="1" x14ac:dyDescent="0.3">
      <c r="A69" s="226" t="s">
        <v>891</v>
      </c>
      <c r="B69" s="223" t="s">
        <v>19</v>
      </c>
      <c r="C69" s="223"/>
      <c r="D69" s="203"/>
    </row>
    <row r="70" spans="1:4" ht="48" thickBot="1" x14ac:dyDescent="0.3">
      <c r="A70" s="226" t="s">
        <v>871</v>
      </c>
      <c r="B70" s="223" t="s">
        <v>19</v>
      </c>
      <c r="C70" s="223"/>
      <c r="D70" s="203"/>
    </row>
    <row r="71" spans="1:4" ht="21" thickBot="1" x14ac:dyDescent="0.3">
      <c r="A71" s="326" t="s">
        <v>852</v>
      </c>
      <c r="B71" s="327"/>
      <c r="C71" s="328"/>
      <c r="D71" s="203"/>
    </row>
    <row r="72" spans="1:4" ht="90" customHeight="1" thickBot="1" x14ac:dyDescent="0.3">
      <c r="A72" s="227" t="s">
        <v>892</v>
      </c>
      <c r="B72" s="217" t="s">
        <v>30</v>
      </c>
      <c r="C72" s="228"/>
      <c r="D72" s="203"/>
    </row>
    <row r="73" spans="1:4" ht="78" customHeight="1" thickBot="1" x14ac:dyDescent="0.3">
      <c r="A73" s="227" t="s">
        <v>893</v>
      </c>
      <c r="B73" s="217" t="s">
        <v>30</v>
      </c>
      <c r="C73" s="228" t="s">
        <v>967</v>
      </c>
      <c r="D73" s="203"/>
    </row>
    <row r="74" spans="1:4" ht="79.5" thickBot="1" x14ac:dyDescent="0.3">
      <c r="A74" s="227" t="s">
        <v>872</v>
      </c>
      <c r="B74" s="217" t="s">
        <v>957</v>
      </c>
      <c r="C74" s="228"/>
      <c r="D74" s="203"/>
    </row>
    <row r="75" spans="1:4" ht="63" customHeight="1" thickBot="1" x14ac:dyDescent="0.3">
      <c r="A75" s="227" t="s">
        <v>873</v>
      </c>
      <c r="B75" s="217" t="s">
        <v>957</v>
      </c>
      <c r="C75" s="228"/>
      <c r="D75" s="203"/>
    </row>
    <row r="76" spans="1:4" ht="21" thickBot="1" x14ac:dyDescent="0.3">
      <c r="A76" s="329" t="s">
        <v>853</v>
      </c>
      <c r="B76" s="330"/>
      <c r="C76" s="331"/>
      <c r="D76" s="203"/>
    </row>
    <row r="77" spans="1:4" ht="56.25" customHeight="1" thickBot="1" x14ac:dyDescent="0.3">
      <c r="A77" s="229" t="s">
        <v>874</v>
      </c>
      <c r="B77" s="230" t="s">
        <v>30</v>
      </c>
      <c r="C77" s="231"/>
      <c r="D77" s="203"/>
    </row>
    <row r="78" spans="1:4" ht="66" customHeight="1" thickBot="1" x14ac:dyDescent="0.3">
      <c r="A78" s="229" t="s">
        <v>875</v>
      </c>
      <c r="B78" s="230" t="s">
        <v>19</v>
      </c>
      <c r="C78" s="231" t="s">
        <v>983</v>
      </c>
      <c r="D78" s="203"/>
    </row>
    <row r="79" spans="1:4" ht="21" thickBot="1" x14ac:dyDescent="0.3">
      <c r="A79" s="332" t="s">
        <v>854</v>
      </c>
      <c r="B79" s="333"/>
      <c r="C79" s="334"/>
      <c r="D79" s="203"/>
    </row>
    <row r="80" spans="1:4" ht="59.25" customHeight="1" thickBot="1" x14ac:dyDescent="0.3">
      <c r="A80" s="232" t="s">
        <v>876</v>
      </c>
      <c r="B80" s="233" t="s">
        <v>968</v>
      </c>
      <c r="C80" s="234" t="s">
        <v>969</v>
      </c>
      <c r="D80" s="203"/>
    </row>
    <row r="81" spans="1:4" ht="57" customHeight="1" thickBot="1" x14ac:dyDescent="0.3">
      <c r="A81" s="232" t="s">
        <v>894</v>
      </c>
      <c r="B81" s="233" t="s">
        <v>968</v>
      </c>
      <c r="C81" s="234" t="s">
        <v>969</v>
      </c>
      <c r="D81" s="203"/>
    </row>
    <row r="82" spans="1:4" ht="57" customHeight="1" thickBot="1" x14ac:dyDescent="0.3">
      <c r="A82" s="232" t="s">
        <v>877</v>
      </c>
      <c r="B82" s="233" t="s">
        <v>30</v>
      </c>
      <c r="C82" s="233"/>
      <c r="D82" s="203"/>
    </row>
    <row r="83" spans="1:4" ht="78.75" customHeight="1" thickBot="1" x14ac:dyDescent="0.3">
      <c r="A83" s="232" t="s">
        <v>878</v>
      </c>
      <c r="B83" s="233" t="s">
        <v>19</v>
      </c>
      <c r="C83" s="233" t="s">
        <v>970</v>
      </c>
      <c r="D83" s="203"/>
    </row>
    <row r="84" spans="1:4" ht="63" customHeight="1" thickBot="1" x14ac:dyDescent="0.3">
      <c r="A84" s="232" t="s">
        <v>879</v>
      </c>
      <c r="B84" s="233" t="s">
        <v>968</v>
      </c>
      <c r="C84" s="233" t="s">
        <v>971</v>
      </c>
      <c r="D84" s="203"/>
    </row>
    <row r="85" spans="1:4" ht="49.5" customHeight="1" thickBot="1" x14ac:dyDescent="0.3">
      <c r="A85" s="232" t="s">
        <v>880</v>
      </c>
      <c r="B85" s="233" t="s">
        <v>957</v>
      </c>
      <c r="C85" s="233" t="s">
        <v>971</v>
      </c>
      <c r="D85" s="203"/>
    </row>
  </sheetData>
  <sheetProtection selectLockedCells="1"/>
  <mergeCells count="34">
    <mergeCell ref="A60:C60"/>
    <mergeCell ref="A71:C71"/>
    <mergeCell ref="A76:C76"/>
    <mergeCell ref="A79:C79"/>
    <mergeCell ref="A27:C27"/>
    <mergeCell ref="A28:C28"/>
    <mergeCell ref="A38:C38"/>
    <mergeCell ref="A47:C47"/>
    <mergeCell ref="A55:C55"/>
    <mergeCell ref="A58:C58"/>
    <mergeCell ref="A25:C25"/>
    <mergeCell ref="C13:D13"/>
    <mergeCell ref="C14:D14"/>
    <mergeCell ref="C15:D15"/>
    <mergeCell ref="C16:D16"/>
    <mergeCell ref="C17:D17"/>
    <mergeCell ref="C18:D18"/>
    <mergeCell ref="C19:D19"/>
    <mergeCell ref="C20:D20"/>
    <mergeCell ref="C21:D21"/>
    <mergeCell ref="C22:D22"/>
    <mergeCell ref="C23:D23"/>
    <mergeCell ref="A12:D12"/>
    <mergeCell ref="A1:D1"/>
    <mergeCell ref="B2:B4"/>
    <mergeCell ref="C3:C4"/>
    <mergeCell ref="D3:D4"/>
    <mergeCell ref="C5:D5"/>
    <mergeCell ref="A6:D6"/>
    <mergeCell ref="C7:D7"/>
    <mergeCell ref="C8:D8"/>
    <mergeCell ref="C9:D9"/>
    <mergeCell ref="C10:D10"/>
    <mergeCell ref="C11:D11"/>
  </mergeCells>
  <dataValidations count="4">
    <dataValidation type="list" allowBlank="1" showInputMessage="1" showErrorMessage="1" sqref="B7:B11 B13:B22 B39:B46" xr:uid="{D7BFB92F-FA92-4A39-953A-11C6C0914A8E}">
      <formula1>"Yes, No"</formula1>
    </dataValidation>
    <dataValidation type="list" allowBlank="1" showInputMessage="1" showErrorMessage="1" sqref="B56:B57 B77:B78 B61:B70 B59 B48:B49 B51:B54" xr:uid="{043FCC82-8FF9-435A-A403-1DEF62524CD0}">
      <formula1>"Yes, No, Partial (comment required), N/A (comment required)"</formula1>
    </dataValidation>
    <dataValidation type="list" allowBlank="1" showInputMessage="1" showErrorMessage="1" sqref="B72:B75" xr:uid="{3D108CB7-FC58-43BD-8292-0C15BD797506}">
      <formula1>"Yes, No, Partial (comment requried), N/A (comment required)"</formula1>
    </dataValidation>
    <dataValidation type="list" allowBlank="1" showInputMessage="1" showErrorMessage="1" sqref="B85 B82:B83" xr:uid="{848E3A40-4180-441F-84F5-7609B0CCAB27}">
      <formula1>"Yes, No, N/A (comment required)"</formula1>
    </dataValidation>
  </dataValidation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showGridLines="0" zoomScale="90" zoomScaleNormal="90" workbookViewId="0">
      <pane xSplit="2" ySplit="2" topLeftCell="C5" activePane="bottomRight" state="frozen"/>
      <selection pane="topRight" activeCell="D20" sqref="D20"/>
      <selection pane="bottomLeft" activeCell="D20" sqref="D20"/>
      <selection pane="bottomRight" activeCell="F13" sqref="F13"/>
    </sheetView>
  </sheetViews>
  <sheetFormatPr defaultRowHeight="15" x14ac:dyDescent="0.25"/>
  <cols>
    <col min="1" max="1" width="17.28515625" customWidth="1"/>
    <col min="2" max="2" width="17.5703125" customWidth="1"/>
    <col min="3" max="3" width="25.140625" bestFit="1" customWidth="1"/>
    <col min="4" max="4" width="25" bestFit="1" customWidth="1"/>
    <col min="5" max="5" width="51.425781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x14ac:dyDescent="0.25">
      <c r="A2" s="353" t="s">
        <v>346</v>
      </c>
      <c r="B2" s="354"/>
      <c r="C2" s="354"/>
      <c r="D2" s="354"/>
      <c r="E2" s="354"/>
      <c r="F2" s="354"/>
      <c r="G2" s="354"/>
      <c r="H2" s="354"/>
      <c r="I2" s="354"/>
      <c r="J2" s="354"/>
      <c r="K2" s="354"/>
    </row>
    <row r="3" spans="1:11" ht="84" x14ac:dyDescent="0.25">
      <c r="A3" s="148" t="s">
        <v>347</v>
      </c>
      <c r="B3" s="152" t="s">
        <v>348</v>
      </c>
      <c r="C3" s="151" t="s">
        <v>349</v>
      </c>
      <c r="D3" s="148" t="s">
        <v>350</v>
      </c>
      <c r="E3" s="151" t="s">
        <v>351</v>
      </c>
      <c r="F3" s="33" t="s">
        <v>19</v>
      </c>
      <c r="G3" s="179" t="s">
        <v>352</v>
      </c>
      <c r="H3" s="33"/>
      <c r="I3" s="180" t="s">
        <v>352</v>
      </c>
      <c r="J3" s="33"/>
      <c r="K3" s="180" t="s">
        <v>352</v>
      </c>
    </row>
    <row r="4" spans="1:11" ht="216" x14ac:dyDescent="0.25">
      <c r="A4" s="148" t="s">
        <v>353</v>
      </c>
      <c r="B4" s="152" t="s">
        <v>354</v>
      </c>
      <c r="C4" s="151" t="s">
        <v>355</v>
      </c>
      <c r="D4" s="355" t="s">
        <v>356</v>
      </c>
      <c r="E4" s="151" t="s">
        <v>357</v>
      </c>
      <c r="F4" s="33" t="s">
        <v>19</v>
      </c>
      <c r="G4" s="179" t="s">
        <v>984</v>
      </c>
      <c r="H4" s="33"/>
      <c r="I4" s="179" t="s">
        <v>352</v>
      </c>
      <c r="J4" s="33"/>
      <c r="K4" s="179" t="s">
        <v>352</v>
      </c>
    </row>
    <row r="5" spans="1:11" ht="24" x14ac:dyDescent="0.25">
      <c r="A5" s="148" t="s">
        <v>358</v>
      </c>
      <c r="B5" s="144" t="s">
        <v>52</v>
      </c>
      <c r="C5" s="151"/>
      <c r="D5" s="356"/>
      <c r="E5" s="35" t="s">
        <v>359</v>
      </c>
      <c r="F5" s="33" t="s">
        <v>19</v>
      </c>
      <c r="G5" s="179" t="s">
        <v>352</v>
      </c>
      <c r="H5" s="33"/>
      <c r="I5" s="179" t="s">
        <v>352</v>
      </c>
      <c r="J5" s="33"/>
      <c r="K5" s="179" t="s">
        <v>352</v>
      </c>
    </row>
    <row r="6" spans="1:11" ht="24" x14ac:dyDescent="0.25">
      <c r="A6" s="148" t="s">
        <v>360</v>
      </c>
      <c r="B6" s="144" t="s">
        <v>52</v>
      </c>
      <c r="C6" s="151"/>
      <c r="D6" s="357"/>
      <c r="E6" s="35" t="s">
        <v>361</v>
      </c>
      <c r="F6" s="33" t="s">
        <v>19</v>
      </c>
      <c r="G6" s="179" t="s">
        <v>352</v>
      </c>
      <c r="H6" s="33"/>
      <c r="I6" s="179" t="s">
        <v>352</v>
      </c>
      <c r="J6" s="33"/>
      <c r="K6" s="179" t="s">
        <v>352</v>
      </c>
    </row>
    <row r="7" spans="1:11" ht="48" x14ac:dyDescent="0.25">
      <c r="A7" s="148" t="s">
        <v>362</v>
      </c>
      <c r="B7" s="152" t="s">
        <v>363</v>
      </c>
      <c r="C7" s="151"/>
      <c r="D7" s="148" t="s">
        <v>364</v>
      </c>
      <c r="E7" s="35" t="s">
        <v>365</v>
      </c>
      <c r="F7" s="33" t="s">
        <v>19</v>
      </c>
      <c r="G7" s="179" t="s">
        <v>985</v>
      </c>
      <c r="H7" s="33"/>
      <c r="I7" s="179" t="s">
        <v>352</v>
      </c>
      <c r="J7" s="33"/>
      <c r="K7" s="179" t="s">
        <v>352</v>
      </c>
    </row>
    <row r="8" spans="1:11" ht="24" x14ac:dyDescent="0.25">
      <c r="A8" s="148" t="s">
        <v>366</v>
      </c>
      <c r="B8" s="150" t="s">
        <v>367</v>
      </c>
      <c r="C8" s="151"/>
      <c r="D8" s="148" t="s">
        <v>368</v>
      </c>
      <c r="E8" s="151" t="s">
        <v>369</v>
      </c>
      <c r="F8" s="33" t="s">
        <v>30</v>
      </c>
      <c r="G8" s="179" t="s">
        <v>352</v>
      </c>
      <c r="H8" s="33"/>
      <c r="I8" s="179" t="s">
        <v>352</v>
      </c>
      <c r="J8" s="33"/>
      <c r="K8" s="179" t="s">
        <v>352</v>
      </c>
    </row>
    <row r="9" spans="1:11" ht="24" x14ac:dyDescent="0.25">
      <c r="A9" s="148" t="s">
        <v>370</v>
      </c>
      <c r="B9" s="150" t="s">
        <v>371</v>
      </c>
      <c r="C9" s="151"/>
      <c r="D9" s="148" t="s">
        <v>372</v>
      </c>
      <c r="E9" s="151" t="s">
        <v>373</v>
      </c>
      <c r="F9" s="33" t="s">
        <v>30</v>
      </c>
      <c r="G9" s="179" t="s">
        <v>352</v>
      </c>
      <c r="H9" s="33"/>
      <c r="I9" s="179" t="s">
        <v>352</v>
      </c>
      <c r="J9" s="33"/>
      <c r="K9" s="179" t="s">
        <v>352</v>
      </c>
    </row>
    <row r="10" spans="1:11" ht="24" x14ac:dyDescent="0.25">
      <c r="A10" s="148" t="s">
        <v>374</v>
      </c>
      <c r="B10" s="150" t="s">
        <v>375</v>
      </c>
      <c r="C10" s="151"/>
      <c r="D10" s="148" t="s">
        <v>376</v>
      </c>
      <c r="E10" s="35" t="s">
        <v>377</v>
      </c>
      <c r="F10" s="33" t="s">
        <v>30</v>
      </c>
      <c r="G10" s="179" t="s">
        <v>352</v>
      </c>
      <c r="H10" s="33"/>
      <c r="I10" s="179" t="s">
        <v>352</v>
      </c>
      <c r="J10" s="33"/>
      <c r="K10" s="179" t="s">
        <v>352</v>
      </c>
    </row>
    <row r="11" spans="1:11" ht="36" x14ac:dyDescent="0.25">
      <c r="A11" s="148" t="s">
        <v>378</v>
      </c>
      <c r="B11" s="152" t="s">
        <v>379</v>
      </c>
      <c r="C11" s="151" t="s">
        <v>380</v>
      </c>
      <c r="D11" s="148" t="s">
        <v>381</v>
      </c>
      <c r="E11" s="151" t="s">
        <v>382</v>
      </c>
      <c r="F11" s="33" t="s">
        <v>19</v>
      </c>
      <c r="G11" s="179" t="s">
        <v>352</v>
      </c>
      <c r="H11" s="33"/>
      <c r="I11" s="179" t="s">
        <v>352</v>
      </c>
      <c r="J11" s="33"/>
      <c r="K11" s="179" t="s">
        <v>352</v>
      </c>
    </row>
    <row r="12" spans="1:11" ht="36" x14ac:dyDescent="0.25">
      <c r="A12" s="148" t="s">
        <v>383</v>
      </c>
      <c r="B12" s="152" t="s">
        <v>384</v>
      </c>
      <c r="C12" s="151" t="s">
        <v>380</v>
      </c>
      <c r="D12" s="148" t="s">
        <v>385</v>
      </c>
      <c r="E12" s="151" t="s">
        <v>386</v>
      </c>
      <c r="F12" s="33" t="s">
        <v>30</v>
      </c>
      <c r="G12" s="179" t="s">
        <v>352</v>
      </c>
      <c r="H12" s="33"/>
      <c r="I12" s="179" t="s">
        <v>352</v>
      </c>
      <c r="J12" s="33"/>
      <c r="K12" s="179" t="s">
        <v>352</v>
      </c>
    </row>
    <row r="13" spans="1:11" ht="36" x14ac:dyDescent="0.25">
      <c r="A13" s="148" t="s">
        <v>387</v>
      </c>
      <c r="B13" s="150" t="s">
        <v>388</v>
      </c>
      <c r="C13" s="151"/>
      <c r="D13" s="148" t="s">
        <v>389</v>
      </c>
      <c r="E13" s="151" t="s">
        <v>390</v>
      </c>
      <c r="F13" s="33" t="s">
        <v>19</v>
      </c>
      <c r="G13" s="179" t="s">
        <v>352</v>
      </c>
      <c r="H13" s="33"/>
      <c r="I13" s="179" t="s">
        <v>352</v>
      </c>
      <c r="J13" s="33"/>
      <c r="K13" s="179" t="s">
        <v>352</v>
      </c>
    </row>
  </sheetData>
  <sheetProtection algorithmName="SHA-512" hashValue="MLdlEbHzHfZwplbMBVtx06rNIfrcdsF04XjW3v87qpSCX2GXvydehxcAi/XLApmnA2xU/2jxys+aY3LNhEw2jw==" saltValue="Tng8kbstFnjJY7GPqhIXSw==" spinCount="100000" sheet="1" selectLockedCells="1"/>
  <mergeCells count="2">
    <mergeCell ref="A2:K2"/>
    <mergeCell ref="D4:D6"/>
  </mergeCells>
  <conditionalFormatting sqref="G3">
    <cfRule type="expression" dxfId="139" priority="42">
      <formula>NOT(G3="Comment is required")</formula>
    </cfRule>
    <cfRule type="expression" dxfId="138" priority="47">
      <formula>AND(OR(F3="N/A",F3="Partial"),G3="Comment is required")</formula>
    </cfRule>
  </conditionalFormatting>
  <conditionalFormatting sqref="I3">
    <cfRule type="expression" dxfId="137" priority="45">
      <formula>NOT(I3="Comment is required")</formula>
    </cfRule>
    <cfRule type="expression" dxfId="136" priority="46">
      <formula>AND(OR(H3="N/A",H3="Partial"),I3="Comment is required")</formula>
    </cfRule>
  </conditionalFormatting>
  <conditionalFormatting sqref="K3">
    <cfRule type="expression" dxfId="135" priority="43">
      <formula>NOT(K3="Comment is required")</formula>
    </cfRule>
    <cfRule type="expression" dxfId="134" priority="44">
      <formula>AND(OR(J3="N/A",J3="Partial"),K3="Comment is required")</formula>
    </cfRule>
  </conditionalFormatting>
  <conditionalFormatting sqref="G4">
    <cfRule type="expression" dxfId="133" priority="33">
      <formula>NOT(G4="Comment is required")</formula>
    </cfRule>
    <cfRule type="expression" dxfId="132" priority="41">
      <formula>AND(OR(F4="N/A",F4="Partial"),G4="Comment is required")</formula>
    </cfRule>
  </conditionalFormatting>
  <conditionalFormatting sqref="G4">
    <cfRule type="expression" dxfId="131" priority="40">
      <formula>F4="Yes"</formula>
    </cfRule>
  </conditionalFormatting>
  <conditionalFormatting sqref="I4">
    <cfRule type="expression" dxfId="130" priority="38">
      <formula>NOT(I4="Comment is required")</formula>
    </cfRule>
    <cfRule type="expression" dxfId="129" priority="39">
      <formula>AND(OR(H4="N/A",H4="Partial"),I4="Comment is required")</formula>
    </cfRule>
  </conditionalFormatting>
  <conditionalFormatting sqref="I4">
    <cfRule type="expression" dxfId="128" priority="37">
      <formula>H4="Yes"</formula>
    </cfRule>
  </conditionalFormatting>
  <conditionalFormatting sqref="K4">
    <cfRule type="expression" dxfId="127" priority="35">
      <formula>NOT(K4="Comment is required")</formula>
    </cfRule>
    <cfRule type="expression" dxfId="126" priority="36">
      <formula>AND(OR(J4="N/A",J4="Partial"),K4="Comment is required")</formula>
    </cfRule>
  </conditionalFormatting>
  <conditionalFormatting sqref="K4">
    <cfRule type="expression" dxfId="125" priority="34">
      <formula>J4="Yes"</formula>
    </cfRule>
  </conditionalFormatting>
  <conditionalFormatting sqref="G5:G6">
    <cfRule type="expression" dxfId="124" priority="27">
      <formula>NOT(G5="Comment is required")</formula>
    </cfRule>
    <cfRule type="expression" dxfId="123" priority="32">
      <formula>AND(OR(F5="N/A",F5="Partial"),G5="Comment is required")</formula>
    </cfRule>
  </conditionalFormatting>
  <conditionalFormatting sqref="I5:I6">
    <cfRule type="expression" dxfId="122" priority="30">
      <formula>NOT(I5="Comment is required")</formula>
    </cfRule>
    <cfRule type="expression" dxfId="121" priority="31">
      <formula>AND(OR(H5="N/A",H5="Partial"),I5="Comment is required")</formula>
    </cfRule>
  </conditionalFormatting>
  <conditionalFormatting sqref="K5:K6">
    <cfRule type="expression" dxfId="120" priority="28">
      <formula>NOT(K5="Comment is required")</formula>
    </cfRule>
    <cfRule type="expression" dxfId="119" priority="29">
      <formula>AND(OR(J5="N/A",J5="Partial"),K5="Comment is required")</formula>
    </cfRule>
  </conditionalFormatting>
  <conditionalFormatting sqref="G7:G13">
    <cfRule type="expression" dxfId="118" priority="7">
      <formula>NOT(G7="Comment is required")</formula>
    </cfRule>
    <cfRule type="expression" dxfId="117" priority="13">
      <formula>AND(OR(F7="N/A",F7="Partial"),G7="Comment is required")</formula>
    </cfRule>
  </conditionalFormatting>
  <conditionalFormatting sqref="I8:I13">
    <cfRule type="expression" dxfId="116" priority="10">
      <formula>NOT(I8="Comment is required")</formula>
    </cfRule>
    <cfRule type="expression" dxfId="115" priority="11">
      <formula>AND(OR(H8="N/A",H8="Partial"),I8="Comment is required")</formula>
    </cfRule>
  </conditionalFormatting>
  <conditionalFormatting sqref="K8:K13">
    <cfRule type="expression" dxfId="114" priority="8">
      <formula>NOT(K8="Comment is required")</formula>
    </cfRule>
    <cfRule type="expression" dxfId="113" priority="9">
      <formula>AND(OR(J8="N/A",J8="Partial"),K8="Comment is required")</formula>
    </cfRule>
  </conditionalFormatting>
  <conditionalFormatting sqref="G7">
    <cfRule type="expression" dxfId="112" priority="12">
      <formula>F7="Yes"</formula>
    </cfRule>
  </conditionalFormatting>
  <conditionalFormatting sqref="I7">
    <cfRule type="expression" dxfId="111" priority="5">
      <formula>NOT(I7="Comment is required")</formula>
    </cfRule>
    <cfRule type="expression" dxfId="110" priority="6">
      <formula>AND(OR(H7="N/A",H7="Partial"),I7="Comment is required")</formula>
    </cfRule>
  </conditionalFormatting>
  <conditionalFormatting sqref="I7">
    <cfRule type="expression" dxfId="109" priority="4">
      <formula>H7="YES"</formula>
    </cfRule>
  </conditionalFormatting>
  <conditionalFormatting sqref="K7">
    <cfRule type="expression" dxfId="108" priority="2">
      <formula>NOT(K7="Comment is required")</formula>
    </cfRule>
    <cfRule type="expression" dxfId="107" priority="3">
      <formula>AND(OR(J7="N/A",J7="Partial"),K7="Comment is required")</formula>
    </cfRule>
  </conditionalFormatting>
  <conditionalFormatting sqref="K7">
    <cfRule type="expression" dxfId="106" priority="1">
      <formula>J7="YES"</formula>
    </cfRule>
  </conditionalFormatting>
  <dataValidations count="2">
    <dataValidation type="list" showInputMessage="1" showErrorMessage="1" sqref="F3:F13 J3:J13 H3:H13" xr:uid="{00000000-0002-0000-0A00-000000000000}">
      <formula1>"Yes, No, Partial, N/A"</formula1>
    </dataValidation>
    <dataValidation showInputMessage="1" showErrorMessage="1" sqref="G3:G13 I3:I13 K3:K13" xr:uid="{00000000-0002-0000-0A00-000001000000}"/>
  </dataValidations>
  <hyperlinks>
    <hyperlink ref="B3" r:id="rId1" xr:uid="{00000000-0004-0000-0A00-000000000000}"/>
    <hyperlink ref="B4" r:id="rId2" xr:uid="{00000000-0004-0000-0A00-000001000000}"/>
    <hyperlink ref="B7" r:id="rId3" xr:uid="{00000000-0004-0000-0A00-000002000000}"/>
    <hyperlink ref="B8" r:id="rId4" xr:uid="{00000000-0004-0000-0A00-000003000000}"/>
    <hyperlink ref="B9" r:id="rId5" xr:uid="{00000000-0004-0000-0A00-000004000000}"/>
    <hyperlink ref="B10" r:id="rId6" xr:uid="{00000000-0004-0000-0A00-000005000000}"/>
    <hyperlink ref="B11" r:id="rId7" xr:uid="{00000000-0004-0000-0A00-000006000000}"/>
    <hyperlink ref="B12" r:id="rId8" xr:uid="{00000000-0004-0000-0A00-000007000000}"/>
    <hyperlink ref="B13" r:id="rId9" xr:uid="{00000000-0004-0000-0A00-000008000000}"/>
  </hyperlinks>
  <pageMargins left="0.7" right="0.7" top="0.75" bottom="0.75" header="0.3" footer="0.3"/>
  <pageSetup orientation="portrait"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showGridLines="0" zoomScale="145" zoomScaleNormal="145" workbookViewId="0">
      <pane xSplit="2" ySplit="2" topLeftCell="C3" activePane="bottomRight" state="frozen"/>
      <selection pane="topRight" activeCell="D20" sqref="D20"/>
      <selection pane="bottomLeft" activeCell="D20" sqref="D20"/>
      <selection pane="bottomRight" activeCell="F7" sqref="F7"/>
    </sheetView>
  </sheetViews>
  <sheetFormatPr defaultRowHeight="15" x14ac:dyDescent="0.25"/>
  <cols>
    <col min="1" max="1" width="17.5703125" customWidth="1"/>
    <col min="2" max="2" width="20.7109375" customWidth="1"/>
    <col min="3" max="3" width="28.85546875" customWidth="1"/>
    <col min="4" max="4" width="21.140625" customWidth="1"/>
    <col min="5" max="5" width="55.140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6.5" customHeight="1" x14ac:dyDescent="0.25">
      <c r="A2" s="358" t="s">
        <v>391</v>
      </c>
      <c r="B2" s="358"/>
      <c r="C2" s="358"/>
      <c r="D2" s="358"/>
      <c r="E2" s="358"/>
      <c r="F2" s="358"/>
      <c r="G2" s="358"/>
      <c r="H2" s="358"/>
      <c r="I2" s="358"/>
      <c r="J2" s="358"/>
      <c r="K2" s="358"/>
    </row>
    <row r="3" spans="1:11" ht="36" x14ac:dyDescent="0.25">
      <c r="A3" s="148" t="s">
        <v>392</v>
      </c>
      <c r="B3" s="152" t="s">
        <v>393</v>
      </c>
      <c r="C3" s="151" t="s">
        <v>394</v>
      </c>
      <c r="D3" s="148" t="s">
        <v>395</v>
      </c>
      <c r="E3" s="151" t="s">
        <v>396</v>
      </c>
      <c r="F3" s="33" t="s">
        <v>19</v>
      </c>
      <c r="G3" s="179" t="s">
        <v>352</v>
      </c>
      <c r="H3" s="33"/>
      <c r="I3" s="179" t="s">
        <v>352</v>
      </c>
      <c r="J3" s="33"/>
      <c r="K3" s="179" t="s">
        <v>352</v>
      </c>
    </row>
    <row r="4" spans="1:11" ht="24" x14ac:dyDescent="0.25">
      <c r="A4" s="148" t="s">
        <v>397</v>
      </c>
      <c r="B4" s="280" t="s">
        <v>398</v>
      </c>
      <c r="C4" s="359" t="s">
        <v>399</v>
      </c>
      <c r="D4" s="360" t="s">
        <v>400</v>
      </c>
      <c r="E4" s="151" t="s">
        <v>401</v>
      </c>
      <c r="F4" s="33" t="s">
        <v>19</v>
      </c>
      <c r="G4" s="179" t="s">
        <v>352</v>
      </c>
      <c r="H4" s="33"/>
      <c r="I4" s="179" t="s">
        <v>352</v>
      </c>
      <c r="J4" s="33"/>
      <c r="K4" s="179" t="s">
        <v>352</v>
      </c>
    </row>
    <row r="5" spans="1:11" ht="21.75" customHeight="1" x14ac:dyDescent="0.25">
      <c r="A5" s="148" t="s">
        <v>402</v>
      </c>
      <c r="B5" s="280"/>
      <c r="C5" s="359"/>
      <c r="D5" s="360"/>
      <c r="E5" s="151" t="s">
        <v>403</v>
      </c>
      <c r="F5" s="33" t="s">
        <v>19</v>
      </c>
      <c r="G5" s="179" t="s">
        <v>986</v>
      </c>
      <c r="H5" s="33"/>
      <c r="I5" s="179" t="s">
        <v>352</v>
      </c>
      <c r="J5" s="33"/>
      <c r="K5" s="179" t="s">
        <v>352</v>
      </c>
    </row>
    <row r="6" spans="1:11" ht="48" x14ac:dyDescent="0.25">
      <c r="A6" s="148" t="s">
        <v>404</v>
      </c>
      <c r="B6" s="152" t="s">
        <v>405</v>
      </c>
      <c r="C6" s="151" t="s">
        <v>394</v>
      </c>
      <c r="D6" s="148" t="s">
        <v>406</v>
      </c>
      <c r="E6" s="151" t="s">
        <v>407</v>
      </c>
      <c r="F6" s="33" t="s">
        <v>30</v>
      </c>
      <c r="G6" s="179" t="s">
        <v>987</v>
      </c>
      <c r="H6" s="33"/>
      <c r="I6" s="179" t="s">
        <v>352</v>
      </c>
      <c r="J6" s="33"/>
      <c r="K6" s="179" t="s">
        <v>352</v>
      </c>
    </row>
    <row r="7" spans="1:11" ht="24" x14ac:dyDescent="0.25">
      <c r="A7" s="148" t="s">
        <v>408</v>
      </c>
      <c r="B7" s="152" t="s">
        <v>409</v>
      </c>
      <c r="C7" s="151" t="s">
        <v>394</v>
      </c>
      <c r="D7" s="148" t="s">
        <v>410</v>
      </c>
      <c r="E7" s="151" t="s">
        <v>411</v>
      </c>
      <c r="F7" s="33" t="s">
        <v>30</v>
      </c>
      <c r="G7" s="179" t="s">
        <v>352</v>
      </c>
      <c r="H7" s="33"/>
      <c r="I7" s="179" t="s">
        <v>352</v>
      </c>
      <c r="J7" s="33"/>
      <c r="K7" s="179" t="s">
        <v>352</v>
      </c>
    </row>
  </sheetData>
  <sheetProtection algorithmName="SHA-512" hashValue="oKysM4N3I/IjC98JgJHMQVPdB0H9Ixt67SJpedQKH5zorXCUdfCHM7iF0uqq/SXbpEagmKi8g+6WVE7idVYMqw==" saltValue="J3/5u3w4XLxwFgA/ffpA6A==" spinCount="100000" sheet="1" selectLockedCells="1"/>
  <mergeCells count="4">
    <mergeCell ref="A2:K2"/>
    <mergeCell ref="B4:B5"/>
    <mergeCell ref="C4:C5"/>
    <mergeCell ref="D4:D5"/>
  </mergeCells>
  <conditionalFormatting sqref="G3:G7">
    <cfRule type="expression" dxfId="105" priority="3">
      <formula>NOT(G3="Comment is required")</formula>
    </cfRule>
    <cfRule type="expression" dxfId="104" priority="4">
      <formula>AND(OR(F3="N/A",F3="Partial"),G3="Comment is required")</formula>
    </cfRule>
  </conditionalFormatting>
  <conditionalFormatting sqref="K3:K7 I3:I7">
    <cfRule type="expression" dxfId="103" priority="1">
      <formula>NOT(I3="Comment is required")</formula>
    </cfRule>
    <cfRule type="expression" dxfId="102" priority="2">
      <formula>AND(OR(H3="N/A",H3="Partial"),I3="Comment is required")</formula>
    </cfRule>
  </conditionalFormatting>
  <dataValidations count="2">
    <dataValidation type="list" showInputMessage="1" showErrorMessage="1" sqref="J3:J7 F3:F7 H3:H7" xr:uid="{285DA79E-58A6-4258-93D7-6480F160A93B}">
      <formula1>"Yes, No, Partial, N/A"</formula1>
    </dataValidation>
    <dataValidation showInputMessage="1" showErrorMessage="1" sqref="G3:G7 I3:I7 K3:K7" xr:uid="{EB62368A-DF90-42A1-8188-B003A7629BB5}"/>
  </dataValidations>
  <hyperlinks>
    <hyperlink ref="B3" r:id="rId1" xr:uid="{00000000-0004-0000-0B00-000000000000}"/>
    <hyperlink ref="B4:B5" r:id="rId2" display="AT-2" xr:uid="{00000000-0004-0000-0B00-000001000000}"/>
    <hyperlink ref="B6" r:id="rId3" xr:uid="{00000000-0004-0000-0B00-000002000000}"/>
    <hyperlink ref="B7" r:id="rId4" xr:uid="{00000000-0004-0000-0B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showGridLines="0" zoomScale="130" zoomScaleNormal="130" workbookViewId="0">
      <pane xSplit="2" ySplit="2" topLeftCell="D7" activePane="bottomRight" state="frozen"/>
      <selection pane="topRight" activeCell="D20" sqref="D20"/>
      <selection pane="bottomLeft" activeCell="D20" sqref="D20"/>
      <selection pane="bottomRight" activeCell="G3" sqref="G3"/>
    </sheetView>
  </sheetViews>
  <sheetFormatPr defaultRowHeight="15" x14ac:dyDescent="0.25"/>
  <cols>
    <col min="1" max="1" width="17.5703125" customWidth="1"/>
    <col min="2" max="2" width="19.5703125" customWidth="1"/>
    <col min="3" max="3" width="23" customWidth="1"/>
    <col min="4" max="4" width="20" customWidth="1"/>
    <col min="5" max="5" width="52"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412</v>
      </c>
      <c r="B2" s="358"/>
      <c r="C2" s="358"/>
      <c r="D2" s="358"/>
      <c r="E2" s="358"/>
      <c r="F2" s="358"/>
      <c r="G2" s="358"/>
      <c r="H2" s="358"/>
      <c r="I2" s="358"/>
      <c r="J2" s="358"/>
      <c r="K2" s="358"/>
    </row>
    <row r="3" spans="1:11" ht="144" x14ac:dyDescent="0.25">
      <c r="A3" s="148" t="s">
        <v>413</v>
      </c>
      <c r="B3" s="280" t="s">
        <v>414</v>
      </c>
      <c r="C3" s="359" t="s">
        <v>415</v>
      </c>
      <c r="D3" s="360" t="s">
        <v>416</v>
      </c>
      <c r="E3" s="34" t="s">
        <v>417</v>
      </c>
      <c r="F3" s="33" t="s">
        <v>19</v>
      </c>
      <c r="G3" s="179" t="s">
        <v>995</v>
      </c>
      <c r="H3" s="33"/>
      <c r="I3" s="179" t="s">
        <v>352</v>
      </c>
      <c r="J3" s="33"/>
      <c r="K3" s="179" t="s">
        <v>352</v>
      </c>
    </row>
    <row r="4" spans="1:11" ht="24" x14ac:dyDescent="0.25">
      <c r="A4" s="148" t="s">
        <v>418</v>
      </c>
      <c r="B4" s="280"/>
      <c r="C4" s="359"/>
      <c r="D4" s="360"/>
      <c r="E4" s="34" t="s">
        <v>419</v>
      </c>
      <c r="F4" s="33" t="s">
        <v>19</v>
      </c>
      <c r="G4" s="179" t="s">
        <v>352</v>
      </c>
      <c r="H4" s="33"/>
      <c r="I4" s="179" t="s">
        <v>352</v>
      </c>
      <c r="J4" s="33"/>
      <c r="K4" s="179" t="s">
        <v>352</v>
      </c>
    </row>
    <row r="5" spans="1:11" ht="72" x14ac:dyDescent="0.25">
      <c r="A5" s="148" t="s">
        <v>420</v>
      </c>
      <c r="B5" s="152" t="s">
        <v>421</v>
      </c>
      <c r="C5" s="151" t="s">
        <v>422</v>
      </c>
      <c r="D5" s="148" t="s">
        <v>423</v>
      </c>
      <c r="E5" s="34" t="s">
        <v>424</v>
      </c>
      <c r="F5" s="33" t="s">
        <v>19</v>
      </c>
      <c r="G5" s="179" t="s">
        <v>352</v>
      </c>
      <c r="H5" s="33"/>
      <c r="I5" s="179" t="s">
        <v>352</v>
      </c>
      <c r="J5" s="33"/>
      <c r="K5" s="179" t="s">
        <v>352</v>
      </c>
    </row>
    <row r="6" spans="1:11" ht="24" x14ac:dyDescent="0.25">
      <c r="A6" s="148" t="s">
        <v>425</v>
      </c>
      <c r="B6" s="152" t="s">
        <v>426</v>
      </c>
      <c r="C6" s="151"/>
      <c r="D6" s="148" t="s">
        <v>427</v>
      </c>
      <c r="E6" s="34" t="s">
        <v>428</v>
      </c>
      <c r="F6" s="33" t="s">
        <v>30</v>
      </c>
      <c r="G6" s="179" t="s">
        <v>352</v>
      </c>
      <c r="H6" s="33"/>
      <c r="I6" s="179" t="s">
        <v>352</v>
      </c>
      <c r="J6" s="33"/>
      <c r="K6" s="179" t="s">
        <v>352</v>
      </c>
    </row>
    <row r="7" spans="1:11" ht="24" x14ac:dyDescent="0.25">
      <c r="A7" s="148" t="s">
        <v>429</v>
      </c>
      <c r="B7" s="280" t="s">
        <v>430</v>
      </c>
      <c r="C7" s="359" t="s">
        <v>431</v>
      </c>
      <c r="D7" s="360" t="s">
        <v>432</v>
      </c>
      <c r="E7" s="34" t="s">
        <v>433</v>
      </c>
      <c r="F7" s="33" t="s">
        <v>30</v>
      </c>
      <c r="G7" s="179" t="s">
        <v>352</v>
      </c>
      <c r="H7" s="33"/>
      <c r="I7" s="179" t="s">
        <v>352</v>
      </c>
      <c r="J7" s="33"/>
      <c r="K7" s="179" t="s">
        <v>352</v>
      </c>
    </row>
    <row r="8" spans="1:11" ht="24" x14ac:dyDescent="0.25">
      <c r="A8" s="148" t="s">
        <v>434</v>
      </c>
      <c r="B8" s="280"/>
      <c r="C8" s="359"/>
      <c r="D8" s="360"/>
      <c r="E8" s="151" t="s">
        <v>435</v>
      </c>
      <c r="F8" s="33" t="s">
        <v>30</v>
      </c>
      <c r="G8" s="179" t="s">
        <v>352</v>
      </c>
      <c r="H8" s="33"/>
      <c r="I8" s="179" t="s">
        <v>352</v>
      </c>
      <c r="J8" s="33"/>
      <c r="K8" s="179" t="s">
        <v>352</v>
      </c>
    </row>
    <row r="9" spans="1:11" x14ac:dyDescent="0.25">
      <c r="A9" s="148" t="s">
        <v>436</v>
      </c>
      <c r="B9" s="152" t="s">
        <v>437</v>
      </c>
      <c r="C9" s="151"/>
      <c r="D9" s="148" t="s">
        <v>438</v>
      </c>
      <c r="E9" s="34" t="s">
        <v>439</v>
      </c>
      <c r="F9" s="33" t="s">
        <v>19</v>
      </c>
      <c r="G9" s="179" t="s">
        <v>352</v>
      </c>
      <c r="H9" s="33"/>
      <c r="I9" s="179" t="s">
        <v>352</v>
      </c>
      <c r="J9" s="33"/>
      <c r="K9" s="179" t="s">
        <v>352</v>
      </c>
    </row>
    <row r="10" spans="1:11" ht="24" x14ac:dyDescent="0.25">
      <c r="A10" s="148" t="s">
        <v>440</v>
      </c>
      <c r="B10" s="152" t="s">
        <v>441</v>
      </c>
      <c r="C10" s="151"/>
      <c r="D10" s="148" t="s">
        <v>442</v>
      </c>
      <c r="E10" s="34" t="s">
        <v>443</v>
      </c>
      <c r="F10" s="33" t="s">
        <v>19</v>
      </c>
      <c r="G10" s="179" t="s">
        <v>352</v>
      </c>
      <c r="H10" s="33"/>
      <c r="I10" s="179" t="s">
        <v>352</v>
      </c>
      <c r="J10" s="33"/>
      <c r="K10" s="179" t="s">
        <v>352</v>
      </c>
    </row>
    <row r="11" spans="1:11" ht="24" x14ac:dyDescent="0.25">
      <c r="A11" s="148" t="s">
        <v>444</v>
      </c>
      <c r="B11" s="152" t="s">
        <v>445</v>
      </c>
      <c r="C11" s="151"/>
      <c r="D11" s="148" t="s">
        <v>446</v>
      </c>
      <c r="E11" s="34" t="s">
        <v>447</v>
      </c>
      <c r="F11" s="33" t="s">
        <v>30</v>
      </c>
      <c r="G11" s="179" t="s">
        <v>352</v>
      </c>
      <c r="H11" s="33"/>
      <c r="I11" s="179" t="s">
        <v>352</v>
      </c>
      <c r="J11" s="33"/>
      <c r="K11" s="179" t="s">
        <v>352</v>
      </c>
    </row>
  </sheetData>
  <sheetProtection algorithmName="SHA-512" hashValue="1fFMVgP5IqJAV3iImsV7m1EG1qnFWR7t6oaXMVqKKuey3movSNzau5KwkNqY6zfaNbAow6lHp3GbEDDVM/l9bQ==" saltValue="GRqYoXV5quzkTpzoTQw9yw==" spinCount="100000" sheet="1" selectLockedCells="1"/>
  <mergeCells count="7">
    <mergeCell ref="A2:K2"/>
    <mergeCell ref="B3:B4"/>
    <mergeCell ref="C3:C4"/>
    <mergeCell ref="B7:B8"/>
    <mergeCell ref="C7:C8"/>
    <mergeCell ref="D3:D4"/>
    <mergeCell ref="D7:D8"/>
  </mergeCells>
  <conditionalFormatting sqref="G4:G11 I4:I11 K4:K11">
    <cfRule type="expression" dxfId="101" priority="1">
      <formula>NOT(G4="Comment is required")</formula>
    </cfRule>
    <cfRule type="expression" dxfId="100" priority="2">
      <formula>AND(OR(F4="N/A",F4="Partial"),G4="Comment is required")</formula>
    </cfRule>
  </conditionalFormatting>
  <conditionalFormatting sqref="G3 I3 K3">
    <cfRule type="expression" dxfId="99" priority="6">
      <formula>NOT(G3="Comment is required")</formula>
    </cfRule>
    <cfRule type="expression" dxfId="98" priority="7">
      <formula>AND(OR(F3="N/A",F3="Partial"),G3="Comment is required")</formula>
    </cfRule>
  </conditionalFormatting>
  <conditionalFormatting sqref="G3">
    <cfRule type="expression" dxfId="97" priority="5">
      <formula>F3="Yes"</formula>
    </cfRule>
  </conditionalFormatting>
  <conditionalFormatting sqref="I3">
    <cfRule type="expression" dxfId="96" priority="4">
      <formula>H3="Yes"</formula>
    </cfRule>
  </conditionalFormatting>
  <conditionalFormatting sqref="K3">
    <cfRule type="expression" dxfId="95" priority="3">
      <formula>J3="Yes"</formula>
    </cfRule>
  </conditionalFormatting>
  <dataValidations count="2">
    <dataValidation type="list" showInputMessage="1" showErrorMessage="1" sqref="H3:H11 J3:J11 F3:F11" xr:uid="{00000000-0002-0000-0C00-000000000000}">
      <formula1>"Yes, No, Partial, N/A"</formula1>
    </dataValidation>
    <dataValidation showInputMessage="1" showErrorMessage="1" sqref="G3:G11 I3:I11" xr:uid="{00000000-0002-0000-0C00-000001000000}"/>
  </dataValidations>
  <hyperlinks>
    <hyperlink ref="B3:B4" r:id="rId1" display="AU-2" xr:uid="{00000000-0004-0000-0C00-000000000000}"/>
    <hyperlink ref="B5" r:id="rId2" xr:uid="{00000000-0004-0000-0C00-000001000000}"/>
    <hyperlink ref="B6" r:id="rId3" xr:uid="{00000000-0004-0000-0C00-000002000000}"/>
    <hyperlink ref="B7:B8" r:id="rId4" display="AU-7" xr:uid="{00000000-0004-0000-0C00-000003000000}"/>
    <hyperlink ref="B9" r:id="rId5" xr:uid="{00000000-0004-0000-0C00-000004000000}"/>
    <hyperlink ref="B10" r:id="rId6" xr:uid="{00000000-0004-0000-0C00-000005000000}"/>
    <hyperlink ref="B11" r:id="rId7" xr:uid="{00000000-0004-0000-0C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7"/>
  <sheetViews>
    <sheetView showGridLines="0" zoomScale="145" zoomScaleNormal="145" workbookViewId="0">
      <pane xSplit="2" ySplit="2" topLeftCell="E3" activePane="bottomRight" state="frozen"/>
      <selection pane="topRight" activeCell="D19" sqref="D19:D22"/>
      <selection pane="bottomLeft" activeCell="D19" sqref="D19:D22"/>
      <selection pane="bottomRight" activeCell="G27" sqref="G27"/>
    </sheetView>
  </sheetViews>
  <sheetFormatPr defaultColWidth="9" defaultRowHeight="15" x14ac:dyDescent="0.25"/>
  <cols>
    <col min="1" max="1" width="17.5703125" customWidth="1"/>
    <col min="2" max="2" width="20.42578125" customWidth="1"/>
    <col min="3" max="3" width="18.5703125" customWidth="1"/>
    <col min="4" max="4" width="24.7109375" customWidth="1"/>
    <col min="5" max="5" width="55.71093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448</v>
      </c>
      <c r="B2" s="358"/>
      <c r="C2" s="358"/>
      <c r="D2" s="358"/>
      <c r="E2" s="358"/>
      <c r="F2" s="358"/>
      <c r="G2" s="358"/>
      <c r="H2" s="358"/>
      <c r="I2" s="358"/>
      <c r="J2" s="358"/>
      <c r="K2" s="358"/>
    </row>
    <row r="3" spans="1:11" ht="36" x14ac:dyDescent="0.25">
      <c r="A3" s="148" t="s">
        <v>449</v>
      </c>
      <c r="B3" s="150" t="s">
        <v>450</v>
      </c>
      <c r="C3" s="151"/>
      <c r="D3" s="148" t="s">
        <v>451</v>
      </c>
      <c r="E3" s="151" t="s">
        <v>452</v>
      </c>
      <c r="F3" s="33" t="s">
        <v>19</v>
      </c>
      <c r="G3" s="179" t="s">
        <v>352</v>
      </c>
      <c r="H3" s="33"/>
      <c r="I3" s="179" t="s">
        <v>352</v>
      </c>
      <c r="J3" s="33"/>
      <c r="K3" s="179" t="s">
        <v>352</v>
      </c>
    </row>
    <row r="4" spans="1:11" ht="144" x14ac:dyDescent="0.25">
      <c r="A4" s="148" t="s">
        <v>256</v>
      </c>
      <c r="B4" s="152" t="s">
        <v>258</v>
      </c>
      <c r="C4" s="151"/>
      <c r="D4" s="148" t="s">
        <v>257</v>
      </c>
      <c r="E4" s="34" t="s">
        <v>453</v>
      </c>
      <c r="F4" s="33" t="s">
        <v>30</v>
      </c>
      <c r="G4" s="179" t="s">
        <v>996</v>
      </c>
      <c r="H4" s="33"/>
      <c r="I4" s="179" t="s">
        <v>352</v>
      </c>
      <c r="J4" s="33"/>
      <c r="K4" s="179" t="s">
        <v>352</v>
      </c>
    </row>
    <row r="5" spans="1:11" ht="24" customHeight="1" x14ac:dyDescent="0.25">
      <c r="A5" s="148" t="s">
        <v>454</v>
      </c>
      <c r="B5" s="280" t="s">
        <v>262</v>
      </c>
      <c r="C5" s="360"/>
      <c r="D5" s="360" t="s">
        <v>261</v>
      </c>
      <c r="E5" s="36" t="s">
        <v>455</v>
      </c>
      <c r="F5" s="33" t="s">
        <v>30</v>
      </c>
      <c r="G5" s="179" t="s">
        <v>997</v>
      </c>
      <c r="H5" s="33"/>
      <c r="I5" s="179" t="s">
        <v>352</v>
      </c>
      <c r="J5" s="33"/>
      <c r="K5" s="179" t="s">
        <v>352</v>
      </c>
    </row>
    <row r="6" spans="1:11" ht="36" x14ac:dyDescent="0.25">
      <c r="A6" s="148" t="s">
        <v>456</v>
      </c>
      <c r="B6" s="280"/>
      <c r="C6" s="360"/>
      <c r="D6" s="360"/>
      <c r="E6" s="36" t="s">
        <v>457</v>
      </c>
      <c r="F6" s="33" t="s">
        <v>19</v>
      </c>
      <c r="G6" s="179" t="s">
        <v>352</v>
      </c>
      <c r="H6" s="33"/>
      <c r="I6" s="179" t="s">
        <v>352</v>
      </c>
      <c r="J6" s="33"/>
      <c r="K6" s="179" t="s">
        <v>352</v>
      </c>
    </row>
    <row r="7" spans="1:11" ht="24" x14ac:dyDescent="0.25">
      <c r="A7" s="148" t="s">
        <v>458</v>
      </c>
      <c r="B7" s="280"/>
      <c r="C7" s="360"/>
      <c r="D7" s="360"/>
      <c r="E7" s="36" t="s">
        <v>459</v>
      </c>
      <c r="F7" s="33" t="s">
        <v>19</v>
      </c>
      <c r="G7" s="179" t="s">
        <v>998</v>
      </c>
      <c r="H7" s="33"/>
      <c r="I7" s="179" t="s">
        <v>352</v>
      </c>
      <c r="J7" s="33"/>
      <c r="K7" s="179" t="s">
        <v>352</v>
      </c>
    </row>
    <row r="8" spans="1:11" ht="24" x14ac:dyDescent="0.25">
      <c r="A8" s="148" t="s">
        <v>460</v>
      </c>
      <c r="B8" s="280"/>
      <c r="C8" s="360"/>
      <c r="D8" s="360"/>
      <c r="E8" s="36" t="s">
        <v>461</v>
      </c>
      <c r="F8" s="33" t="s">
        <v>19</v>
      </c>
      <c r="G8" s="179" t="s">
        <v>998</v>
      </c>
      <c r="H8" s="33"/>
      <c r="I8" s="179" t="s">
        <v>352</v>
      </c>
      <c r="J8" s="33"/>
      <c r="K8" s="179" t="s">
        <v>352</v>
      </c>
    </row>
    <row r="9" spans="1:11" ht="72" x14ac:dyDescent="0.25">
      <c r="A9" s="148" t="s">
        <v>462</v>
      </c>
      <c r="B9" s="280"/>
      <c r="C9" s="360"/>
      <c r="D9" s="360"/>
      <c r="E9" s="36" t="s">
        <v>463</v>
      </c>
      <c r="F9" s="33" t="s">
        <v>19</v>
      </c>
      <c r="G9" s="179" t="s">
        <v>999</v>
      </c>
      <c r="H9" s="33"/>
      <c r="I9" s="179" t="s">
        <v>352</v>
      </c>
      <c r="J9" s="33"/>
      <c r="K9" s="179" t="s">
        <v>352</v>
      </c>
    </row>
    <row r="10" spans="1:11" ht="120" x14ac:dyDescent="0.25">
      <c r="A10" s="148" t="s">
        <v>464</v>
      </c>
      <c r="B10" s="280"/>
      <c r="C10" s="360"/>
      <c r="D10" s="360"/>
      <c r="E10" s="36" t="s">
        <v>465</v>
      </c>
      <c r="F10" s="33" t="s">
        <v>41</v>
      </c>
      <c r="G10" s="179" t="s">
        <v>1000</v>
      </c>
      <c r="H10" s="33"/>
      <c r="I10" s="179" t="s">
        <v>352</v>
      </c>
      <c r="J10" s="33"/>
      <c r="K10" s="179" t="s">
        <v>352</v>
      </c>
    </row>
    <row r="11" spans="1:11" ht="24" x14ac:dyDescent="0.25">
      <c r="A11" s="148" t="s">
        <v>466</v>
      </c>
      <c r="B11" s="152" t="s">
        <v>467</v>
      </c>
      <c r="C11" s="151"/>
      <c r="D11" s="148" t="s">
        <v>468</v>
      </c>
      <c r="E11" s="34" t="s">
        <v>469</v>
      </c>
      <c r="F11" s="33" t="s">
        <v>30</v>
      </c>
      <c r="G11" s="179"/>
      <c r="H11" s="33"/>
      <c r="I11" s="179" t="s">
        <v>352</v>
      </c>
      <c r="J11" s="33"/>
      <c r="K11" s="179" t="s">
        <v>352</v>
      </c>
    </row>
    <row r="12" spans="1:11" ht="48" x14ac:dyDescent="0.25">
      <c r="A12" s="148" t="s">
        <v>470</v>
      </c>
      <c r="B12" s="280" t="s">
        <v>269</v>
      </c>
      <c r="C12" s="359"/>
      <c r="D12" s="360" t="s">
        <v>471</v>
      </c>
      <c r="E12" s="34" t="s">
        <v>472</v>
      </c>
      <c r="F12" s="33" t="s">
        <v>30</v>
      </c>
      <c r="G12" s="179" t="s">
        <v>1001</v>
      </c>
      <c r="H12" s="33"/>
      <c r="I12" s="179" t="s">
        <v>352</v>
      </c>
      <c r="J12" s="33"/>
      <c r="K12" s="179" t="s">
        <v>352</v>
      </c>
    </row>
    <row r="13" spans="1:11" ht="24" x14ac:dyDescent="0.25">
      <c r="A13" s="148" t="s">
        <v>473</v>
      </c>
      <c r="B13" s="280"/>
      <c r="C13" s="359"/>
      <c r="D13" s="360"/>
      <c r="E13" s="34" t="s">
        <v>474</v>
      </c>
      <c r="F13" s="33" t="s">
        <v>30</v>
      </c>
      <c r="G13" s="179" t="s">
        <v>352</v>
      </c>
      <c r="H13" s="33"/>
      <c r="I13" s="179" t="s">
        <v>352</v>
      </c>
      <c r="J13" s="33"/>
      <c r="K13" s="179" t="s">
        <v>352</v>
      </c>
    </row>
    <row r="14" spans="1:11" ht="24" x14ac:dyDescent="0.25">
      <c r="A14" s="148" t="s">
        <v>475</v>
      </c>
      <c r="B14" s="280"/>
      <c r="C14" s="359"/>
      <c r="D14" s="360"/>
      <c r="E14" s="34" t="s">
        <v>476</v>
      </c>
      <c r="F14" s="33" t="s">
        <v>30</v>
      </c>
      <c r="G14" s="179" t="s">
        <v>352</v>
      </c>
      <c r="H14" s="33"/>
      <c r="I14" s="179" t="s">
        <v>352</v>
      </c>
      <c r="J14" s="33"/>
      <c r="K14" s="179" t="s">
        <v>352</v>
      </c>
    </row>
    <row r="15" spans="1:11" ht="36" x14ac:dyDescent="0.25">
      <c r="A15" s="148" t="s">
        <v>271</v>
      </c>
      <c r="B15" s="152" t="s">
        <v>273</v>
      </c>
      <c r="C15" s="151"/>
      <c r="D15" s="148" t="s">
        <v>272</v>
      </c>
      <c r="E15" s="34" t="s">
        <v>477</v>
      </c>
      <c r="F15" s="33" t="s">
        <v>19</v>
      </c>
      <c r="G15" s="179" t="s">
        <v>352</v>
      </c>
      <c r="H15" s="33"/>
      <c r="I15" s="179" t="s">
        <v>352</v>
      </c>
      <c r="J15" s="33"/>
      <c r="K15" s="179" t="s">
        <v>352</v>
      </c>
    </row>
    <row r="16" spans="1:11" ht="24" customHeight="1" x14ac:dyDescent="0.25">
      <c r="A16" s="148" t="s">
        <v>478</v>
      </c>
      <c r="B16" s="280" t="s">
        <v>277</v>
      </c>
      <c r="C16" s="359" t="s">
        <v>479</v>
      </c>
      <c r="D16" s="360" t="s">
        <v>480</v>
      </c>
      <c r="E16" s="34" t="s">
        <v>481</v>
      </c>
      <c r="F16" s="33" t="s">
        <v>19</v>
      </c>
      <c r="G16" s="179" t="s">
        <v>352</v>
      </c>
      <c r="H16" s="33"/>
      <c r="I16" s="179" t="s">
        <v>352</v>
      </c>
      <c r="J16" s="33"/>
      <c r="K16" s="179" t="s">
        <v>352</v>
      </c>
    </row>
    <row r="17" spans="1:11" ht="48" x14ac:dyDescent="0.25">
      <c r="A17" s="148" t="s">
        <v>482</v>
      </c>
      <c r="B17" s="280"/>
      <c r="C17" s="359"/>
      <c r="D17" s="360"/>
      <c r="E17" s="34" t="s">
        <v>483</v>
      </c>
      <c r="F17" s="33" t="s">
        <v>19</v>
      </c>
      <c r="G17" s="179" t="s">
        <v>1002</v>
      </c>
      <c r="H17" s="33"/>
      <c r="I17" s="179" t="s">
        <v>352</v>
      </c>
      <c r="J17" s="33"/>
      <c r="K17" s="179" t="s">
        <v>352</v>
      </c>
    </row>
    <row r="18" spans="1:11" ht="36" customHeight="1" x14ac:dyDescent="0.25">
      <c r="A18" s="148" t="s">
        <v>484</v>
      </c>
      <c r="B18" s="280" t="s">
        <v>281</v>
      </c>
      <c r="C18" s="360"/>
      <c r="D18" s="360" t="s">
        <v>280</v>
      </c>
      <c r="E18" s="34" t="s">
        <v>485</v>
      </c>
      <c r="F18" s="33" t="s">
        <v>30</v>
      </c>
      <c r="G18" s="179" t="s">
        <v>1003</v>
      </c>
      <c r="H18" s="33"/>
      <c r="I18" s="179" t="s">
        <v>352</v>
      </c>
      <c r="J18" s="33"/>
      <c r="K18" s="179" t="s">
        <v>352</v>
      </c>
    </row>
    <row r="19" spans="1:11" ht="60" x14ac:dyDescent="0.25">
      <c r="A19" s="148" t="s">
        <v>486</v>
      </c>
      <c r="B19" s="280"/>
      <c r="C19" s="360"/>
      <c r="D19" s="360"/>
      <c r="E19" s="34" t="s">
        <v>487</v>
      </c>
      <c r="F19" s="33" t="s">
        <v>19</v>
      </c>
      <c r="G19" s="179" t="s">
        <v>1004</v>
      </c>
      <c r="H19" s="33"/>
      <c r="I19" s="179" t="s">
        <v>352</v>
      </c>
      <c r="J19" s="33"/>
      <c r="K19" s="179" t="s">
        <v>352</v>
      </c>
    </row>
    <row r="20" spans="1:11" ht="84" x14ac:dyDescent="0.25">
      <c r="A20" s="148" t="s">
        <v>488</v>
      </c>
      <c r="B20" s="280"/>
      <c r="C20" s="360"/>
      <c r="D20" s="360"/>
      <c r="E20" s="34" t="s">
        <v>489</v>
      </c>
      <c r="F20" s="33" t="s">
        <v>19</v>
      </c>
      <c r="G20" s="179" t="s">
        <v>1005</v>
      </c>
      <c r="H20" s="33"/>
      <c r="I20" s="179" t="s">
        <v>352</v>
      </c>
      <c r="J20" s="33"/>
      <c r="K20" s="179" t="s">
        <v>352</v>
      </c>
    </row>
    <row r="21" spans="1:11" ht="24" x14ac:dyDescent="0.25">
      <c r="A21" s="148" t="s">
        <v>490</v>
      </c>
      <c r="B21" s="280"/>
      <c r="C21" s="360"/>
      <c r="D21" s="360"/>
      <c r="E21" s="34" t="s">
        <v>491</v>
      </c>
      <c r="F21" s="33" t="s">
        <v>19</v>
      </c>
      <c r="G21" s="179" t="s">
        <v>352</v>
      </c>
      <c r="H21" s="33"/>
      <c r="I21" s="179" t="s">
        <v>352</v>
      </c>
      <c r="J21" s="33"/>
      <c r="K21" s="179" t="s">
        <v>352</v>
      </c>
    </row>
    <row r="22" spans="1:11" ht="60" x14ac:dyDescent="0.25">
      <c r="A22" s="148" t="s">
        <v>287</v>
      </c>
      <c r="B22" s="152" t="s">
        <v>289</v>
      </c>
      <c r="C22" s="148"/>
      <c r="D22" s="148" t="s">
        <v>288</v>
      </c>
      <c r="E22" s="151" t="s">
        <v>492</v>
      </c>
      <c r="F22" s="33" t="s">
        <v>52</v>
      </c>
      <c r="G22" s="179" t="s">
        <v>1006</v>
      </c>
      <c r="H22" s="33"/>
      <c r="I22" s="179" t="s">
        <v>352</v>
      </c>
      <c r="J22" s="33"/>
      <c r="K22" s="179" t="s">
        <v>352</v>
      </c>
    </row>
    <row r="23" spans="1:11" ht="24" x14ac:dyDescent="0.25">
      <c r="A23" s="154" t="s">
        <v>493</v>
      </c>
      <c r="B23" s="362" t="s">
        <v>52</v>
      </c>
      <c r="C23" s="355"/>
      <c r="D23" s="148" t="s">
        <v>494</v>
      </c>
      <c r="E23" s="36" t="s">
        <v>495</v>
      </c>
      <c r="F23" s="33" t="s">
        <v>19</v>
      </c>
      <c r="G23" s="179" t="s">
        <v>1007</v>
      </c>
      <c r="H23" s="33"/>
      <c r="I23" s="179" t="s">
        <v>352</v>
      </c>
      <c r="J23" s="33"/>
      <c r="K23" s="179" t="s">
        <v>352</v>
      </c>
    </row>
    <row r="24" spans="1:11" ht="24" x14ac:dyDescent="0.25">
      <c r="A24" s="154" t="s">
        <v>496</v>
      </c>
      <c r="B24" s="363"/>
      <c r="C24" s="357"/>
      <c r="D24" s="148" t="s">
        <v>497</v>
      </c>
      <c r="E24" s="36" t="s">
        <v>498</v>
      </c>
      <c r="F24" s="33" t="s">
        <v>30</v>
      </c>
      <c r="G24" s="179" t="s">
        <v>1007</v>
      </c>
      <c r="H24" s="33"/>
      <c r="I24" s="179" t="s">
        <v>352</v>
      </c>
      <c r="J24" s="33"/>
      <c r="K24" s="179" t="s">
        <v>352</v>
      </c>
    </row>
    <row r="25" spans="1:11" ht="108" x14ac:dyDescent="0.25">
      <c r="A25" s="154" t="s">
        <v>499</v>
      </c>
      <c r="B25" s="33" t="s">
        <v>52</v>
      </c>
      <c r="C25" s="148"/>
      <c r="D25" s="149" t="s">
        <v>500</v>
      </c>
      <c r="E25" s="36" t="s">
        <v>501</v>
      </c>
      <c r="F25" s="33" t="s">
        <v>19</v>
      </c>
      <c r="G25" s="179" t="s">
        <v>1008</v>
      </c>
      <c r="H25" s="33"/>
      <c r="I25" s="179" t="s">
        <v>352</v>
      </c>
      <c r="J25" s="33"/>
      <c r="K25" s="179" t="s">
        <v>352</v>
      </c>
    </row>
    <row r="26" spans="1:11" ht="36" x14ac:dyDescent="0.25">
      <c r="A26" s="154" t="s">
        <v>502</v>
      </c>
      <c r="B26" s="144" t="s">
        <v>52</v>
      </c>
      <c r="C26" s="154"/>
      <c r="D26" s="361" t="s">
        <v>503</v>
      </c>
      <c r="E26" s="36" t="s">
        <v>504</v>
      </c>
      <c r="F26" s="33" t="s">
        <v>30</v>
      </c>
      <c r="G26" s="179" t="s">
        <v>1009</v>
      </c>
      <c r="H26" s="33"/>
      <c r="I26" s="179" t="s">
        <v>352</v>
      </c>
      <c r="J26" s="33"/>
      <c r="K26" s="179" t="s">
        <v>352</v>
      </c>
    </row>
    <row r="27" spans="1:11" ht="24" x14ac:dyDescent="0.25">
      <c r="A27" s="154" t="s">
        <v>505</v>
      </c>
      <c r="B27" s="144" t="s">
        <v>52</v>
      </c>
      <c r="C27" s="154"/>
      <c r="D27" s="361"/>
      <c r="E27" s="36" t="s">
        <v>506</v>
      </c>
      <c r="F27" s="33" t="s">
        <v>41</v>
      </c>
      <c r="G27" s="179" t="s">
        <v>1009</v>
      </c>
      <c r="H27" s="33"/>
      <c r="I27" s="179" t="s">
        <v>352</v>
      </c>
      <c r="J27" s="33"/>
      <c r="K27" s="179" t="s">
        <v>352</v>
      </c>
    </row>
  </sheetData>
  <sheetProtection algorithmName="SHA-512" hashValue="HY2CHAXmwBKVO9Q/0uDtbD44CODZOHJjtA1sgyf3kbmUKt0qdzliVdzk4+W5TkocBs4OABOlTL9xt+c33l9LHA==" saltValue="Bm0glP0A+BelFpGRapOtgQ==" spinCount="100000" sheet="1" selectLockedCells="1"/>
  <mergeCells count="16">
    <mergeCell ref="A2:K2"/>
    <mergeCell ref="B5:B10"/>
    <mergeCell ref="C5:C10"/>
    <mergeCell ref="D5:D10"/>
    <mergeCell ref="B12:B14"/>
    <mergeCell ref="C12:C14"/>
    <mergeCell ref="D12:D14"/>
    <mergeCell ref="B16:B17"/>
    <mergeCell ref="C16:C17"/>
    <mergeCell ref="D16:D17"/>
    <mergeCell ref="D26:D27"/>
    <mergeCell ref="B18:B21"/>
    <mergeCell ref="C18:C21"/>
    <mergeCell ref="D18:D21"/>
    <mergeCell ref="B23:B24"/>
    <mergeCell ref="C23:C24"/>
  </mergeCells>
  <conditionalFormatting sqref="I3:I21 G3:G21">
    <cfRule type="expression" dxfId="94" priority="22">
      <formula>NOT(G3="Comment is required")</formula>
    </cfRule>
    <cfRule type="expression" dxfId="93" priority="23">
      <formula>AND(OR(F3="N/A",F3="Partial"),G3="Comment is required")</formula>
    </cfRule>
  </conditionalFormatting>
  <conditionalFormatting sqref="K3:K21">
    <cfRule type="expression" dxfId="92" priority="20">
      <formula>NOT(K3="Comment is required")</formula>
    </cfRule>
    <cfRule type="expression" dxfId="91" priority="21">
      <formula>AND(OR(J3="N/A",J3="Partial"),K3="Comment is required")</formula>
    </cfRule>
  </conditionalFormatting>
  <conditionalFormatting sqref="I22 G22 I24 I27">
    <cfRule type="expression" dxfId="90" priority="18">
      <formula>NOT(G22="Comment is required")</formula>
    </cfRule>
    <cfRule type="expression" dxfId="89" priority="19">
      <formula>AND(OR(F22="N/A",F22="Partial"),G22="Comment is required")</formula>
    </cfRule>
  </conditionalFormatting>
  <conditionalFormatting sqref="K22 K24 K27">
    <cfRule type="expression" dxfId="88" priority="16">
      <formula>NOT(K22="Comment is required")</formula>
    </cfRule>
    <cfRule type="expression" dxfId="87" priority="17">
      <formula>AND(OR(J22="N/A",J22="Partial"),K22="Comment is required")</formula>
    </cfRule>
  </conditionalFormatting>
  <conditionalFormatting sqref="K26 I26 G26 K23 I23 G23">
    <cfRule type="expression" dxfId="86" priority="14">
      <formula>NOT(G23="Comment is required")</formula>
    </cfRule>
    <cfRule type="expression" dxfId="85" priority="15">
      <formula>AND(OR(F23="N/A",F23="Partial"),G23="Comment is required")</formula>
    </cfRule>
  </conditionalFormatting>
  <conditionalFormatting sqref="K26 I26 G26 K23 I23 G23">
    <cfRule type="expression" dxfId="84" priority="13">
      <formula>F23="Yes"</formula>
    </cfRule>
  </conditionalFormatting>
  <conditionalFormatting sqref="G25">
    <cfRule type="expression" dxfId="83" priority="11">
      <formula>NOT(G25="Comment is required")</formula>
    </cfRule>
    <cfRule type="expression" dxfId="82" priority="12">
      <formula>AND(OR(F25="N/A",F25="Partial"),G25="Comment is required")</formula>
    </cfRule>
  </conditionalFormatting>
  <conditionalFormatting sqref="G25">
    <cfRule type="expression" dxfId="81" priority="10">
      <formula>F25="Yes"</formula>
    </cfRule>
  </conditionalFormatting>
  <conditionalFormatting sqref="K25 I25">
    <cfRule type="expression" dxfId="80" priority="8">
      <formula>NOT(I25="Comment is required")</formula>
    </cfRule>
    <cfRule type="expression" dxfId="79" priority="9">
      <formula>AND(OR(H25="N/A",H25="Partial"),I25="Comment is required")</formula>
    </cfRule>
  </conditionalFormatting>
  <conditionalFormatting sqref="K25 I25">
    <cfRule type="expression" dxfId="78" priority="7">
      <formula>H25="Yes"</formula>
    </cfRule>
  </conditionalFormatting>
  <conditionalFormatting sqref="G24">
    <cfRule type="expression" dxfId="77" priority="5">
      <formula>NOT(G24="Comment is required")</formula>
    </cfRule>
    <cfRule type="expression" dxfId="76" priority="6">
      <formula>AND(OR(F24="N/A",F24="Partial"),G24="Comment is required")</formula>
    </cfRule>
  </conditionalFormatting>
  <conditionalFormatting sqref="G24">
    <cfRule type="expression" dxfId="75" priority="4">
      <formula>F24="Yes"</formula>
    </cfRule>
  </conditionalFormatting>
  <conditionalFormatting sqref="G27">
    <cfRule type="expression" dxfId="74" priority="2">
      <formula>NOT(G27="Comment is required")</formula>
    </cfRule>
    <cfRule type="expression" dxfId="73" priority="3">
      <formula>AND(OR(F27="N/A",F27="Partial"),G27="Comment is required")</formula>
    </cfRule>
  </conditionalFormatting>
  <conditionalFormatting sqref="G27">
    <cfRule type="expression" dxfId="72" priority="1">
      <formula>F27="Yes"</formula>
    </cfRule>
  </conditionalFormatting>
  <dataValidations count="2">
    <dataValidation type="list" showInputMessage="1" showErrorMessage="1" sqref="J3:J27 H3:H27 F3:F27" xr:uid="{00000000-0002-0000-0D00-000000000000}">
      <formula1>"Yes, No, Partial, N/A"</formula1>
    </dataValidation>
    <dataValidation showInputMessage="1" showErrorMessage="1" sqref="K3:K27 G3:G27 I3:I27" xr:uid="{00000000-0002-0000-0D00-000001000000}"/>
  </dataValidations>
  <hyperlinks>
    <hyperlink ref="B3" r:id="rId1" xr:uid="{00000000-0004-0000-0D00-000000000000}"/>
    <hyperlink ref="B4" r:id="rId2" xr:uid="{00000000-0004-0000-0D00-000001000000}"/>
    <hyperlink ref="B5:B10" r:id="rId3" display="CM-3" xr:uid="{00000000-0004-0000-0D00-000002000000}"/>
    <hyperlink ref="B11" r:id="rId4" xr:uid="{00000000-0004-0000-0D00-000003000000}"/>
    <hyperlink ref="B12:B14" r:id="rId5" display="CM-6" xr:uid="{00000000-0004-0000-0D00-000004000000}"/>
    <hyperlink ref="B15" r:id="rId6" xr:uid="{00000000-0004-0000-0D00-000005000000}"/>
    <hyperlink ref="B16:B17" r:id="rId7" display="CM-8" xr:uid="{00000000-0004-0000-0D00-000006000000}"/>
    <hyperlink ref="B18:B21" r:id="rId8" display="CM-9" xr:uid="{00000000-0004-0000-0D00-000007000000}"/>
    <hyperlink ref="B22" r:id="rId9" xr:uid="{00000000-0004-0000-0D00-000008000000}"/>
  </hyperlinks>
  <pageMargins left="0.7" right="0.7" top="0.75" bottom="0.75" header="0.3" footer="0.3"/>
  <pageSetup orientation="portrait"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
  <sheetViews>
    <sheetView showGridLines="0" zoomScale="145" zoomScaleNormal="145" workbookViewId="0">
      <pane xSplit="2" ySplit="2" topLeftCell="C3" activePane="bottomRight" state="frozen"/>
      <selection pane="topRight" activeCell="D19" sqref="D19:D22"/>
      <selection pane="bottomLeft" activeCell="D19" sqref="D19:D22"/>
      <selection pane="bottomRight" activeCell="F14" sqref="F14"/>
    </sheetView>
  </sheetViews>
  <sheetFormatPr defaultColWidth="9" defaultRowHeight="15" x14ac:dyDescent="0.25"/>
  <cols>
    <col min="1" max="1" width="17.5703125" customWidth="1"/>
    <col min="2" max="2" width="19.7109375" customWidth="1"/>
    <col min="3" max="3" width="21.7109375" customWidth="1"/>
    <col min="4" max="4" width="19.7109375" customWidth="1"/>
    <col min="5" max="5" width="59.71093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507</v>
      </c>
      <c r="B2" s="358"/>
      <c r="C2" s="358"/>
      <c r="D2" s="358"/>
      <c r="E2" s="358"/>
      <c r="F2" s="358"/>
      <c r="G2" s="358"/>
      <c r="H2" s="358"/>
      <c r="I2" s="358"/>
      <c r="J2" s="358"/>
      <c r="K2" s="358"/>
    </row>
    <row r="3" spans="1:11" ht="24" customHeight="1" x14ac:dyDescent="0.25">
      <c r="A3" s="148" t="s">
        <v>508</v>
      </c>
      <c r="B3" s="150" t="s">
        <v>509</v>
      </c>
      <c r="C3" s="151"/>
      <c r="D3" s="148" t="s">
        <v>510</v>
      </c>
      <c r="E3" s="36" t="s">
        <v>511</v>
      </c>
      <c r="F3" s="33" t="s">
        <v>19</v>
      </c>
      <c r="G3" s="179" t="s">
        <v>1010</v>
      </c>
      <c r="H3" s="33"/>
      <c r="I3" s="179" t="s">
        <v>352</v>
      </c>
      <c r="J3" s="33"/>
      <c r="K3" s="179" t="s">
        <v>352</v>
      </c>
    </row>
    <row r="4" spans="1:11" ht="48" x14ac:dyDescent="0.25">
      <c r="A4" s="148" t="s">
        <v>512</v>
      </c>
      <c r="B4" s="150" t="s">
        <v>513</v>
      </c>
      <c r="C4" s="151" t="s">
        <v>514</v>
      </c>
      <c r="D4" s="148" t="s">
        <v>515</v>
      </c>
      <c r="E4" s="34" t="s">
        <v>516</v>
      </c>
      <c r="F4" s="33" t="s">
        <v>30</v>
      </c>
      <c r="G4" s="179" t="s">
        <v>352</v>
      </c>
      <c r="H4" s="33"/>
      <c r="I4" s="179" t="s">
        <v>352</v>
      </c>
      <c r="J4" s="33"/>
      <c r="K4" s="179" t="s">
        <v>352</v>
      </c>
    </row>
    <row r="5" spans="1:11" ht="60" x14ac:dyDescent="0.25">
      <c r="A5" s="148" t="s">
        <v>517</v>
      </c>
      <c r="B5" s="152" t="s">
        <v>518</v>
      </c>
      <c r="C5" s="151" t="s">
        <v>519</v>
      </c>
      <c r="D5" s="148" t="s">
        <v>520</v>
      </c>
      <c r="E5" s="34" t="s">
        <v>521</v>
      </c>
      <c r="F5" s="33" t="s">
        <v>19</v>
      </c>
      <c r="G5" s="179" t="s">
        <v>1011</v>
      </c>
      <c r="H5" s="33"/>
      <c r="I5" s="179" t="s">
        <v>352</v>
      </c>
      <c r="J5" s="33"/>
      <c r="K5" s="179" t="s">
        <v>352</v>
      </c>
    </row>
    <row r="6" spans="1:11" x14ac:dyDescent="0.25">
      <c r="A6" s="148" t="s">
        <v>522</v>
      </c>
      <c r="B6" s="280"/>
      <c r="C6" s="359"/>
      <c r="D6" s="360" t="s">
        <v>523</v>
      </c>
      <c r="E6" s="34" t="s">
        <v>524</v>
      </c>
      <c r="F6" s="33" t="s">
        <v>19</v>
      </c>
      <c r="G6" s="179" t="s">
        <v>352</v>
      </c>
      <c r="H6" s="33"/>
      <c r="I6" s="179" t="s">
        <v>352</v>
      </c>
      <c r="J6" s="33"/>
      <c r="K6" s="179" t="s">
        <v>352</v>
      </c>
    </row>
    <row r="7" spans="1:11" ht="24" x14ac:dyDescent="0.25">
      <c r="A7" s="148" t="s">
        <v>525</v>
      </c>
      <c r="B7" s="280"/>
      <c r="C7" s="359"/>
      <c r="D7" s="360"/>
      <c r="E7" s="34" t="s">
        <v>526</v>
      </c>
      <c r="F7" s="33" t="s">
        <v>19</v>
      </c>
      <c r="G7" s="179" t="s">
        <v>352</v>
      </c>
      <c r="H7" s="33"/>
      <c r="I7" s="179" t="s">
        <v>352</v>
      </c>
      <c r="J7" s="33"/>
      <c r="K7" s="179" t="s">
        <v>352</v>
      </c>
    </row>
    <row r="8" spans="1:11" ht="24" customHeight="1" x14ac:dyDescent="0.25">
      <c r="A8" s="148" t="s">
        <v>527</v>
      </c>
      <c r="B8" s="280" t="s">
        <v>293</v>
      </c>
      <c r="C8" s="359" t="s">
        <v>528</v>
      </c>
      <c r="D8" s="360" t="s">
        <v>292</v>
      </c>
      <c r="E8" s="34" t="s">
        <v>529</v>
      </c>
      <c r="F8" s="33" t="s">
        <v>52</v>
      </c>
      <c r="G8" s="179" t="s">
        <v>1012</v>
      </c>
      <c r="H8" s="33"/>
      <c r="I8" s="179" t="s">
        <v>352</v>
      </c>
      <c r="J8" s="33"/>
      <c r="K8" s="179" t="s">
        <v>352</v>
      </c>
    </row>
    <row r="9" spans="1:11" ht="120" x14ac:dyDescent="0.25">
      <c r="A9" s="148" t="s">
        <v>530</v>
      </c>
      <c r="B9" s="280"/>
      <c r="C9" s="359"/>
      <c r="D9" s="360"/>
      <c r="E9" s="36" t="s">
        <v>531</v>
      </c>
      <c r="F9" s="33" t="s">
        <v>52</v>
      </c>
      <c r="G9" s="179" t="s">
        <v>1012</v>
      </c>
      <c r="H9" s="33"/>
      <c r="I9" s="179" t="s">
        <v>352</v>
      </c>
      <c r="J9" s="33"/>
      <c r="K9" s="179" t="s">
        <v>352</v>
      </c>
    </row>
    <row r="10" spans="1:11" ht="24" x14ac:dyDescent="0.25">
      <c r="A10" s="148" t="s">
        <v>532</v>
      </c>
      <c r="B10" s="280"/>
      <c r="C10" s="359"/>
      <c r="D10" s="360"/>
      <c r="E10" s="34" t="s">
        <v>533</v>
      </c>
      <c r="F10" s="33" t="s">
        <v>19</v>
      </c>
      <c r="G10" s="179" t="s">
        <v>352</v>
      </c>
      <c r="H10" s="33"/>
      <c r="I10" s="179" t="s">
        <v>352</v>
      </c>
      <c r="J10" s="33"/>
      <c r="K10" s="179" t="s">
        <v>352</v>
      </c>
    </row>
    <row r="11" spans="1:11" ht="24" x14ac:dyDescent="0.25">
      <c r="A11" s="148" t="s">
        <v>534</v>
      </c>
      <c r="B11" s="280"/>
      <c r="C11" s="359"/>
      <c r="D11" s="360"/>
      <c r="E11" s="34" t="s">
        <v>535</v>
      </c>
      <c r="F11" s="33" t="s">
        <v>19</v>
      </c>
      <c r="G11" s="179" t="s">
        <v>352</v>
      </c>
      <c r="H11" s="33"/>
      <c r="I11" s="179" t="s">
        <v>352</v>
      </c>
      <c r="J11" s="33"/>
      <c r="K11" s="179" t="s">
        <v>352</v>
      </c>
    </row>
    <row r="12" spans="1:11" x14ac:dyDescent="0.25">
      <c r="A12" s="148" t="s">
        <v>536</v>
      </c>
      <c r="B12" s="280"/>
      <c r="C12" s="359"/>
      <c r="D12" s="360"/>
      <c r="E12" s="34" t="s">
        <v>537</v>
      </c>
      <c r="F12" s="33" t="s">
        <v>19</v>
      </c>
      <c r="G12" s="179" t="s">
        <v>1012</v>
      </c>
      <c r="H12" s="33"/>
      <c r="I12" s="179" t="s">
        <v>352</v>
      </c>
      <c r="J12" s="33"/>
      <c r="K12" s="179" t="s">
        <v>352</v>
      </c>
    </row>
    <row r="13" spans="1:11" ht="24" x14ac:dyDescent="0.25">
      <c r="A13" s="148" t="s">
        <v>538</v>
      </c>
      <c r="B13" s="150" t="s">
        <v>539</v>
      </c>
      <c r="C13" s="151" t="s">
        <v>528</v>
      </c>
      <c r="D13" s="148" t="s">
        <v>540</v>
      </c>
      <c r="E13" s="34" t="s">
        <v>541</v>
      </c>
      <c r="F13" s="33" t="s">
        <v>19</v>
      </c>
      <c r="G13" s="179" t="s">
        <v>352</v>
      </c>
      <c r="H13" s="33"/>
      <c r="I13" s="179" t="s">
        <v>352</v>
      </c>
      <c r="J13" s="33"/>
      <c r="K13" s="179" t="s">
        <v>352</v>
      </c>
    </row>
    <row r="14" spans="1:11" ht="36" x14ac:dyDescent="0.25">
      <c r="A14" s="148" t="s">
        <v>542</v>
      </c>
      <c r="B14" s="150" t="s">
        <v>543</v>
      </c>
      <c r="C14" s="151" t="s">
        <v>528</v>
      </c>
      <c r="D14" s="148" t="s">
        <v>544</v>
      </c>
      <c r="E14" s="34" t="s">
        <v>545</v>
      </c>
      <c r="F14" s="33" t="s">
        <v>30</v>
      </c>
      <c r="G14" s="179" t="s">
        <v>352</v>
      </c>
      <c r="H14" s="33"/>
      <c r="I14" s="179" t="s">
        <v>352</v>
      </c>
      <c r="J14" s="33"/>
      <c r="K14" s="179" t="s">
        <v>352</v>
      </c>
    </row>
  </sheetData>
  <sheetProtection algorithmName="SHA-512" hashValue="YyB/tXh2xAWjyoybcQOvJccJl1KBoLieOs7KkCzSwirYhhGPmSMdetM9pL3ORst0qhOQWuOB/g2rdU+IM6MUgQ==" saltValue="9uh3GTfTEAXNB4BwtVXDFQ==" spinCount="100000" sheet="1" selectLockedCells="1"/>
  <mergeCells count="7">
    <mergeCell ref="B8:B12"/>
    <mergeCell ref="C8:C12"/>
    <mergeCell ref="D8:D12"/>
    <mergeCell ref="A2:K2"/>
    <mergeCell ref="B6:B7"/>
    <mergeCell ref="C6:C7"/>
    <mergeCell ref="D6:D7"/>
  </mergeCells>
  <conditionalFormatting sqref="K3 I3 G3">
    <cfRule type="expression" dxfId="71" priority="14">
      <formula>NOT(G3="Comment is required")</formula>
    </cfRule>
    <cfRule type="expression" dxfId="70" priority="15">
      <formula>AND(OR(F3="N/A",F3="Partial"),G3="Comment is required")</formula>
    </cfRule>
  </conditionalFormatting>
  <conditionalFormatting sqref="K3 I3 G3">
    <cfRule type="expression" dxfId="69" priority="13">
      <formula>F3="No"</formula>
    </cfRule>
  </conditionalFormatting>
  <conditionalFormatting sqref="K4:K5 I4:I5 G4:G5">
    <cfRule type="expression" dxfId="68" priority="11">
      <formula>NOT(G4="Comment is required")</formula>
    </cfRule>
    <cfRule type="expression" dxfId="67" priority="12">
      <formula>AND(OR(F4="N/A",F4="Partial"),G4="Comment is required")</formula>
    </cfRule>
  </conditionalFormatting>
  <conditionalFormatting sqref="K6:K10 I6:I10 G6:G10">
    <cfRule type="expression" dxfId="66" priority="9">
      <formula>NOT(G6="Comment is required")</formula>
    </cfRule>
    <cfRule type="expression" dxfId="65" priority="10">
      <formula>AND(OR(F6="N/A",F6="Partial"),G6="Comment is required")</formula>
    </cfRule>
  </conditionalFormatting>
  <conditionalFormatting sqref="K11 I11 G11">
    <cfRule type="expression" dxfId="64" priority="7">
      <formula>NOT(G11="Comment is required")</formula>
    </cfRule>
    <cfRule type="expression" dxfId="63" priority="8">
      <formula>AND(OR(F11="N/A",F11="Partial"),G11="Comment is required")</formula>
    </cfRule>
  </conditionalFormatting>
  <conditionalFormatting sqref="K12 I12">
    <cfRule type="expression" dxfId="62" priority="5">
      <formula>NOT(I12="Comment is required")</formula>
    </cfRule>
    <cfRule type="expression" dxfId="61" priority="6">
      <formula>AND(OR(H12="N/A",H12="Partial"),I12="Comment is required")</formula>
    </cfRule>
  </conditionalFormatting>
  <conditionalFormatting sqref="K13:K14 I13:I14 G13:G14">
    <cfRule type="expression" dxfId="60" priority="3">
      <formula>NOT(G13="Comment is required")</formula>
    </cfRule>
    <cfRule type="expression" dxfId="59" priority="4">
      <formula>AND(OR(F13="N/A",F13="Partial"),G13="Comment is required")</formula>
    </cfRule>
  </conditionalFormatting>
  <conditionalFormatting sqref="G12">
    <cfRule type="expression" dxfId="58" priority="1">
      <formula>NOT(G12="Comment is required")</formula>
    </cfRule>
    <cfRule type="expression" dxfId="57" priority="2">
      <formula>AND(OR(F12="N/A",F12="Partial"),G12="Comment is required")</formula>
    </cfRule>
  </conditionalFormatting>
  <dataValidations count="2">
    <dataValidation type="list" showInputMessage="1" showErrorMessage="1" sqref="J3:J14 H3:H14 F3:F14" xr:uid="{00000000-0002-0000-0E00-000000000000}">
      <formula1>"Yes, No, Partial, N/A"</formula1>
    </dataValidation>
    <dataValidation showInputMessage="1" showErrorMessage="1" sqref="K3:K14 I3:I14 G3:G14" xr:uid="{00000000-0002-0000-0E00-000001000000}"/>
  </dataValidations>
  <hyperlinks>
    <hyperlink ref="B3" r:id="rId1" xr:uid="{00000000-0004-0000-0E00-000000000000}"/>
    <hyperlink ref="B4" r:id="rId2" xr:uid="{00000000-0004-0000-0E00-000001000000}"/>
    <hyperlink ref="B5" r:id="rId3" xr:uid="{00000000-0004-0000-0E00-000002000000}"/>
    <hyperlink ref="B6:B7" r:id="rId4" display="IA-4" xr:uid="{00000000-0004-0000-0E00-000003000000}"/>
    <hyperlink ref="B8:B12" r:id="rId5" display="IA-5" xr:uid="{00000000-0004-0000-0E00-000004000000}"/>
    <hyperlink ref="B13" r:id="rId6" xr:uid="{00000000-0004-0000-0E00-000005000000}"/>
    <hyperlink ref="B14" r:id="rId7" xr:uid="{00000000-0004-0000-0E00-000006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showGridLines="0" zoomScale="160" zoomScaleNormal="160" workbookViewId="0">
      <pane xSplit="2" ySplit="2" topLeftCell="C3" activePane="bottomRight" state="frozen"/>
      <selection pane="topRight" activeCell="D19" sqref="D19:D22"/>
      <selection pane="bottomLeft" activeCell="D19" sqref="D19:D22"/>
      <selection pane="bottomRight" activeCell="B13" sqref="B13"/>
    </sheetView>
  </sheetViews>
  <sheetFormatPr defaultColWidth="9" defaultRowHeight="15" x14ac:dyDescent="0.25"/>
  <cols>
    <col min="1" max="1" width="17.5703125" customWidth="1"/>
    <col min="2" max="2" width="17.7109375" bestFit="1" customWidth="1"/>
    <col min="3" max="3" width="18.42578125" bestFit="1" customWidth="1"/>
    <col min="4" max="4" width="23.140625" bestFit="1" customWidth="1"/>
    <col min="5" max="5" width="50"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546</v>
      </c>
      <c r="B2" s="358"/>
      <c r="C2" s="358"/>
      <c r="D2" s="358"/>
      <c r="E2" s="358"/>
      <c r="F2" s="358"/>
      <c r="G2" s="358"/>
      <c r="H2" s="358"/>
      <c r="I2" s="358"/>
      <c r="J2" s="358"/>
      <c r="K2" s="358"/>
    </row>
    <row r="3" spans="1:11" ht="24" x14ac:dyDescent="0.25">
      <c r="A3" s="148" t="s">
        <v>547</v>
      </c>
      <c r="B3" s="152" t="s">
        <v>548</v>
      </c>
      <c r="C3" s="38" t="s">
        <v>549</v>
      </c>
      <c r="D3" s="148" t="s">
        <v>550</v>
      </c>
      <c r="E3" s="151" t="s">
        <v>551</v>
      </c>
      <c r="F3" s="33" t="s">
        <v>19</v>
      </c>
      <c r="G3" s="179" t="s">
        <v>352</v>
      </c>
      <c r="H3" s="33"/>
      <c r="I3" s="179" t="s">
        <v>352</v>
      </c>
      <c r="J3" s="33"/>
      <c r="K3" s="179" t="s">
        <v>352</v>
      </c>
    </row>
    <row r="4" spans="1:11" x14ac:dyDescent="0.25">
      <c r="A4" s="148" t="s">
        <v>552</v>
      </c>
      <c r="B4" s="280" t="s">
        <v>553</v>
      </c>
      <c r="C4" s="364" t="s">
        <v>549</v>
      </c>
      <c r="D4" s="360" t="s">
        <v>554</v>
      </c>
      <c r="E4" s="34" t="s">
        <v>555</v>
      </c>
      <c r="F4" s="33" t="s">
        <v>19</v>
      </c>
      <c r="G4" s="179" t="s">
        <v>352</v>
      </c>
      <c r="H4" s="33"/>
      <c r="I4" s="179" t="s">
        <v>352</v>
      </c>
      <c r="J4" s="33"/>
      <c r="K4" s="179" t="s">
        <v>352</v>
      </c>
    </row>
    <row r="5" spans="1:11" ht="24" x14ac:dyDescent="0.25">
      <c r="A5" s="148" t="s">
        <v>556</v>
      </c>
      <c r="B5" s="280"/>
      <c r="C5" s="364"/>
      <c r="D5" s="360"/>
      <c r="E5" s="34" t="s">
        <v>557</v>
      </c>
      <c r="F5" s="33" t="s">
        <v>19</v>
      </c>
      <c r="G5" s="179" t="s">
        <v>352</v>
      </c>
      <c r="H5" s="33"/>
      <c r="I5" s="179" t="s">
        <v>352</v>
      </c>
      <c r="J5" s="33"/>
      <c r="K5" s="179" t="s">
        <v>352</v>
      </c>
    </row>
    <row r="6" spans="1:11" x14ac:dyDescent="0.25">
      <c r="A6" s="148" t="s">
        <v>558</v>
      </c>
      <c r="B6" s="280" t="s">
        <v>559</v>
      </c>
      <c r="C6" s="364" t="s">
        <v>549</v>
      </c>
      <c r="D6" s="360" t="s">
        <v>560</v>
      </c>
      <c r="E6" s="34" t="s">
        <v>561</v>
      </c>
      <c r="F6" s="33" t="s">
        <v>30</v>
      </c>
      <c r="G6" s="179" t="s">
        <v>352</v>
      </c>
      <c r="H6" s="33"/>
      <c r="I6" s="179" t="s">
        <v>352</v>
      </c>
      <c r="J6" s="33"/>
      <c r="K6" s="179" t="s">
        <v>352</v>
      </c>
    </row>
    <row r="7" spans="1:11" x14ac:dyDescent="0.25">
      <c r="A7" s="148" t="s">
        <v>562</v>
      </c>
      <c r="B7" s="280"/>
      <c r="C7" s="364"/>
      <c r="D7" s="360"/>
      <c r="E7" s="34" t="s">
        <v>563</v>
      </c>
      <c r="F7" s="33" t="s">
        <v>30</v>
      </c>
      <c r="G7" s="179" t="s">
        <v>352</v>
      </c>
      <c r="H7" s="33"/>
      <c r="I7" s="179" t="s">
        <v>352</v>
      </c>
      <c r="J7" s="33"/>
      <c r="K7" s="179" t="s">
        <v>352</v>
      </c>
    </row>
    <row r="8" spans="1:11" ht="15" customHeight="1" x14ac:dyDescent="0.25">
      <c r="A8" s="148" t="s">
        <v>564</v>
      </c>
      <c r="B8" s="152" t="s">
        <v>565</v>
      </c>
      <c r="C8" s="155" t="s">
        <v>566</v>
      </c>
      <c r="D8" s="148" t="s">
        <v>567</v>
      </c>
      <c r="E8" s="34" t="s">
        <v>568</v>
      </c>
      <c r="F8" s="33" t="s">
        <v>19</v>
      </c>
      <c r="G8" s="179" t="s">
        <v>352</v>
      </c>
      <c r="H8" s="33"/>
      <c r="I8" s="179" t="s">
        <v>352</v>
      </c>
      <c r="J8" s="33"/>
      <c r="K8" s="179" t="s">
        <v>352</v>
      </c>
    </row>
    <row r="9" spans="1:11" ht="36" x14ac:dyDescent="0.25">
      <c r="A9" s="148" t="s">
        <v>569</v>
      </c>
      <c r="B9" s="152" t="s">
        <v>570</v>
      </c>
      <c r="C9" s="155" t="s">
        <v>571</v>
      </c>
      <c r="D9" s="148" t="s">
        <v>572</v>
      </c>
      <c r="E9" s="34" t="s">
        <v>573</v>
      </c>
      <c r="F9" s="33" t="s">
        <v>19</v>
      </c>
      <c r="G9" s="179" t="s">
        <v>352</v>
      </c>
      <c r="H9" s="33"/>
      <c r="I9" s="179" t="s">
        <v>352</v>
      </c>
      <c r="J9" s="33"/>
      <c r="K9" s="179" t="s">
        <v>352</v>
      </c>
    </row>
    <row r="10" spans="1:11" ht="48" x14ac:dyDescent="0.25">
      <c r="A10" s="148" t="s">
        <v>574</v>
      </c>
      <c r="B10" s="152" t="s">
        <v>575</v>
      </c>
      <c r="C10" s="155" t="s">
        <v>576</v>
      </c>
      <c r="D10" s="148" t="s">
        <v>577</v>
      </c>
      <c r="E10" s="34" t="s">
        <v>578</v>
      </c>
      <c r="F10" s="33" t="s">
        <v>19</v>
      </c>
      <c r="G10" s="179" t="s">
        <v>352</v>
      </c>
      <c r="H10" s="33"/>
      <c r="I10" s="179" t="s">
        <v>352</v>
      </c>
      <c r="J10" s="33"/>
      <c r="K10" s="179" t="s">
        <v>352</v>
      </c>
    </row>
    <row r="11" spans="1:11" ht="24" x14ac:dyDescent="0.25">
      <c r="A11" s="148" t="s">
        <v>579</v>
      </c>
      <c r="B11" s="152" t="s">
        <v>580</v>
      </c>
      <c r="C11" s="155" t="s">
        <v>581</v>
      </c>
      <c r="D11" s="148" t="s">
        <v>582</v>
      </c>
      <c r="E11" s="34" t="s">
        <v>583</v>
      </c>
      <c r="F11" s="33" t="s">
        <v>19</v>
      </c>
      <c r="G11" s="179" t="s">
        <v>1013</v>
      </c>
      <c r="H11" s="33"/>
      <c r="I11" s="179" t="s">
        <v>352</v>
      </c>
      <c r="J11" s="33"/>
      <c r="K11" s="179" t="s">
        <v>352</v>
      </c>
    </row>
    <row r="12" spans="1:11" ht="24" x14ac:dyDescent="0.25">
      <c r="A12" s="148" t="s">
        <v>584</v>
      </c>
      <c r="B12" s="152" t="s">
        <v>341</v>
      </c>
      <c r="C12" s="155"/>
      <c r="D12" s="148" t="s">
        <v>342</v>
      </c>
      <c r="E12" s="34" t="s">
        <v>585</v>
      </c>
      <c r="F12" s="33" t="s">
        <v>19</v>
      </c>
      <c r="G12" s="179" t="s">
        <v>1014</v>
      </c>
      <c r="H12" s="33"/>
      <c r="I12" s="179" t="s">
        <v>352</v>
      </c>
      <c r="J12" s="33"/>
      <c r="K12" s="179" t="s">
        <v>352</v>
      </c>
    </row>
    <row r="13" spans="1:11" ht="24" x14ac:dyDescent="0.25">
      <c r="A13" s="148" t="s">
        <v>586</v>
      </c>
      <c r="B13" s="152" t="s">
        <v>587</v>
      </c>
      <c r="C13" s="155"/>
      <c r="D13" s="148" t="s">
        <v>588</v>
      </c>
      <c r="E13" s="36" t="s">
        <v>589</v>
      </c>
      <c r="F13" s="33" t="s">
        <v>19</v>
      </c>
      <c r="G13" s="179" t="s">
        <v>352</v>
      </c>
      <c r="H13" s="33"/>
      <c r="I13" s="179" t="s">
        <v>352</v>
      </c>
      <c r="J13" s="33"/>
      <c r="K13" s="179" t="s">
        <v>352</v>
      </c>
    </row>
  </sheetData>
  <sheetProtection algorithmName="SHA-512" hashValue="7WtG4/48S/epoVaJCS6qNl0xjYWIN3tFfPsbb55oDvHI3MDnzE3tAV74RDeHPBtSLYL08x12vuKvqX/Fe8TbUA==" saltValue="PQJlGEq00Zb4XxhqDqTaUw==" spinCount="100000" sheet="1" selectLockedCells="1"/>
  <mergeCells count="7">
    <mergeCell ref="B6:B7"/>
    <mergeCell ref="C6:C7"/>
    <mergeCell ref="D6:D7"/>
    <mergeCell ref="A2:K2"/>
    <mergeCell ref="B4:B5"/>
    <mergeCell ref="C4:C5"/>
    <mergeCell ref="D4:D5"/>
  </mergeCells>
  <conditionalFormatting sqref="I3:I7 K3:K7 G3:G7">
    <cfRule type="expression" dxfId="56" priority="5">
      <formula>NOT(G3="Comment is required")</formula>
    </cfRule>
    <cfRule type="expression" dxfId="55" priority="6">
      <formula>AND(OR(F3="N/A",F3="Partial"),G3="Comment is required")</formula>
    </cfRule>
  </conditionalFormatting>
  <conditionalFormatting sqref="I8 K8 G8">
    <cfRule type="expression" dxfId="54" priority="3">
      <formula>NOT(G8="Comment is required")</formula>
    </cfRule>
    <cfRule type="expression" dxfId="53" priority="4">
      <formula>AND(OR(F8="N/A",F8="Partial"),G8="Comment is required")</formula>
    </cfRule>
  </conditionalFormatting>
  <conditionalFormatting sqref="I9:I13 K9:K13 G9:G13">
    <cfRule type="expression" dxfId="52" priority="1">
      <formula>NOT(G9="Comment is required")</formula>
    </cfRule>
    <cfRule type="expression" dxfId="51" priority="2">
      <formula>AND(OR(F9="N/A",F9="Partial"),G9="Comment is required")</formula>
    </cfRule>
  </conditionalFormatting>
  <dataValidations count="2">
    <dataValidation type="list" showInputMessage="1" showErrorMessage="1" sqref="H3:H13 F3:F13 J3:J13" xr:uid="{00000000-0002-0000-0F00-000000000000}">
      <formula1>"Yes, No, Partial, N/A"</formula1>
    </dataValidation>
    <dataValidation showInputMessage="1" showErrorMessage="1" sqref="I3:I13 G3:G13 K3:K13" xr:uid="{00000000-0002-0000-0F00-000001000000}"/>
  </dataValidations>
  <hyperlinks>
    <hyperlink ref="B3" r:id="rId1" xr:uid="{00000000-0004-0000-0F00-000000000000}"/>
    <hyperlink ref="B4:B5" r:id="rId2" display="IR-2" xr:uid="{00000000-0004-0000-0F00-000001000000}"/>
    <hyperlink ref="B6:B7" r:id="rId3" display="IR-3" xr:uid="{00000000-0004-0000-0F00-000002000000}"/>
    <hyperlink ref="B8" r:id="rId4" xr:uid="{00000000-0004-0000-0F00-000003000000}"/>
    <hyperlink ref="B9" r:id="rId5" xr:uid="{00000000-0004-0000-0F00-000004000000}"/>
    <hyperlink ref="B10" r:id="rId6" xr:uid="{00000000-0004-0000-0F00-000005000000}"/>
    <hyperlink ref="B11" r:id="rId7" xr:uid="{00000000-0004-0000-0F00-000006000000}"/>
    <hyperlink ref="B12" r:id="rId8" xr:uid="{00000000-0004-0000-0F00-000007000000}"/>
    <hyperlink ref="B13" r:id="rId9" xr:uid="{00000000-0004-0000-0F00-000008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showGridLines="0" zoomScaleNormal="100" workbookViewId="0">
      <pane xSplit="2" ySplit="2" topLeftCell="C3" activePane="bottomRight" state="frozen"/>
      <selection pane="topRight" activeCell="D19" sqref="D19:D22"/>
      <selection pane="bottomLeft" activeCell="D19" sqref="D19:D22"/>
      <selection pane="bottomRight" activeCell="G4" sqref="G4"/>
    </sheetView>
  </sheetViews>
  <sheetFormatPr defaultColWidth="9" defaultRowHeight="15" x14ac:dyDescent="0.25"/>
  <cols>
    <col min="1" max="2" width="17.5703125" customWidth="1"/>
    <col min="3" max="3" width="16.140625" customWidth="1"/>
    <col min="4" max="4" width="26.28515625" bestFit="1" customWidth="1"/>
    <col min="5" max="5" width="58.855468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590</v>
      </c>
      <c r="B2" s="358"/>
      <c r="C2" s="358"/>
      <c r="D2" s="358"/>
      <c r="E2" s="358"/>
      <c r="F2" s="358"/>
      <c r="G2" s="358"/>
      <c r="H2" s="358"/>
      <c r="I2" s="358"/>
      <c r="J2" s="358"/>
      <c r="K2" s="358"/>
    </row>
    <row r="3" spans="1:11" ht="36" x14ac:dyDescent="0.25">
      <c r="A3" s="148" t="s">
        <v>591</v>
      </c>
      <c r="B3" s="150" t="s">
        <v>592</v>
      </c>
      <c r="C3" s="151" t="s">
        <v>593</v>
      </c>
      <c r="D3" s="148" t="s">
        <v>594</v>
      </c>
      <c r="E3" s="151" t="s">
        <v>595</v>
      </c>
      <c r="F3" s="33" t="s">
        <v>19</v>
      </c>
      <c r="G3" s="180" t="s">
        <v>988</v>
      </c>
      <c r="H3" s="33"/>
      <c r="I3" s="180" t="s">
        <v>352</v>
      </c>
      <c r="J3" s="33"/>
      <c r="K3" s="180" t="s">
        <v>352</v>
      </c>
    </row>
    <row r="4" spans="1:11" s="58" customFormat="1" ht="84" x14ac:dyDescent="0.25">
      <c r="A4" s="156" t="s">
        <v>596</v>
      </c>
      <c r="B4" s="160"/>
      <c r="C4" s="159"/>
      <c r="D4" s="158" t="s">
        <v>597</v>
      </c>
      <c r="E4" s="34" t="s">
        <v>598</v>
      </c>
      <c r="F4" s="33" t="s">
        <v>41</v>
      </c>
      <c r="G4" s="180" t="s">
        <v>1027</v>
      </c>
      <c r="H4" s="33"/>
      <c r="I4" s="180" t="s">
        <v>352</v>
      </c>
      <c r="J4" s="33"/>
      <c r="K4" s="180" t="s">
        <v>352</v>
      </c>
    </row>
    <row r="5" spans="1:11" ht="84" x14ac:dyDescent="0.25">
      <c r="A5" s="148" t="s">
        <v>599</v>
      </c>
      <c r="B5" s="150" t="s">
        <v>600</v>
      </c>
      <c r="C5" s="151"/>
      <c r="D5" s="148" t="s">
        <v>601</v>
      </c>
      <c r="E5" s="36" t="s">
        <v>602</v>
      </c>
      <c r="F5" s="33" t="s">
        <v>19</v>
      </c>
      <c r="G5" s="180" t="s">
        <v>989</v>
      </c>
      <c r="H5" s="33"/>
      <c r="I5" s="180" t="s">
        <v>352</v>
      </c>
      <c r="J5" s="33"/>
      <c r="K5" s="180" t="s">
        <v>352</v>
      </c>
    </row>
    <row r="6" spans="1:11" ht="36" x14ac:dyDescent="0.25">
      <c r="A6" s="148" t="s">
        <v>603</v>
      </c>
      <c r="B6" s="280" t="s">
        <v>297</v>
      </c>
      <c r="C6" s="359"/>
      <c r="D6" s="360" t="s">
        <v>604</v>
      </c>
      <c r="E6" s="34" t="s">
        <v>605</v>
      </c>
      <c r="F6" s="33" t="s">
        <v>19</v>
      </c>
      <c r="G6" s="180" t="s">
        <v>352</v>
      </c>
      <c r="H6" s="33"/>
      <c r="I6" s="180" t="s">
        <v>352</v>
      </c>
      <c r="J6" s="33"/>
      <c r="K6" s="180" t="s">
        <v>352</v>
      </c>
    </row>
    <row r="7" spans="1:11" ht="192" x14ac:dyDescent="0.25">
      <c r="A7" s="148" t="s">
        <v>606</v>
      </c>
      <c r="B7" s="280"/>
      <c r="C7" s="359"/>
      <c r="D7" s="360"/>
      <c r="E7" s="36" t="s">
        <v>607</v>
      </c>
      <c r="F7" s="33" t="s">
        <v>19</v>
      </c>
      <c r="G7" s="180" t="s">
        <v>990</v>
      </c>
      <c r="H7" s="33"/>
      <c r="I7" s="180" t="s">
        <v>352</v>
      </c>
      <c r="J7" s="33"/>
      <c r="K7" s="180" t="s">
        <v>352</v>
      </c>
    </row>
    <row r="8" spans="1:11" ht="24" x14ac:dyDescent="0.25">
      <c r="A8" s="148" t="s">
        <v>608</v>
      </c>
      <c r="B8" s="280"/>
      <c r="C8" s="359"/>
      <c r="D8" s="360"/>
      <c r="E8" s="36" t="s">
        <v>609</v>
      </c>
      <c r="F8" s="33" t="s">
        <v>19</v>
      </c>
      <c r="G8" s="180" t="s">
        <v>352</v>
      </c>
      <c r="H8" s="33"/>
      <c r="I8" s="180" t="s">
        <v>352</v>
      </c>
      <c r="J8" s="33"/>
      <c r="K8" s="180" t="s">
        <v>352</v>
      </c>
    </row>
    <row r="9" spans="1:11" ht="24" x14ac:dyDescent="0.25">
      <c r="A9" s="148" t="s">
        <v>610</v>
      </c>
      <c r="B9" s="280"/>
      <c r="C9" s="359"/>
      <c r="D9" s="360"/>
      <c r="E9" s="36" t="s">
        <v>611</v>
      </c>
      <c r="F9" s="33" t="s">
        <v>19</v>
      </c>
      <c r="G9" s="180" t="s">
        <v>991</v>
      </c>
      <c r="H9" s="33"/>
      <c r="I9" s="180" t="s">
        <v>352</v>
      </c>
      <c r="J9" s="33"/>
      <c r="K9" s="180" t="s">
        <v>352</v>
      </c>
    </row>
    <row r="10" spans="1:11" ht="24" x14ac:dyDescent="0.25">
      <c r="A10" s="148" t="s">
        <v>612</v>
      </c>
      <c r="B10" s="280"/>
      <c r="C10" s="359"/>
      <c r="D10" s="360"/>
      <c r="E10" s="36" t="s">
        <v>613</v>
      </c>
      <c r="F10" s="33" t="s">
        <v>19</v>
      </c>
      <c r="G10" s="180" t="s">
        <v>352</v>
      </c>
      <c r="H10" s="33"/>
      <c r="I10" s="180" t="s">
        <v>352</v>
      </c>
      <c r="J10" s="33"/>
      <c r="K10" s="180" t="s">
        <v>352</v>
      </c>
    </row>
    <row r="11" spans="1:11" ht="48" x14ac:dyDescent="0.25">
      <c r="A11" s="156" t="s">
        <v>614</v>
      </c>
      <c r="B11" s="365" t="s">
        <v>615</v>
      </c>
      <c r="C11" s="359" t="s">
        <v>616</v>
      </c>
      <c r="D11" s="367" t="s">
        <v>617</v>
      </c>
      <c r="E11" s="34" t="s">
        <v>618</v>
      </c>
      <c r="F11" s="247" t="s">
        <v>19</v>
      </c>
      <c r="G11" s="33" t="s">
        <v>992</v>
      </c>
      <c r="H11" s="33"/>
      <c r="I11" s="180" t="s">
        <v>352</v>
      </c>
      <c r="J11" s="33"/>
      <c r="K11" s="180" t="s">
        <v>352</v>
      </c>
    </row>
    <row r="12" spans="1:11" ht="24" x14ac:dyDescent="0.25">
      <c r="A12" s="156" t="s">
        <v>619</v>
      </c>
      <c r="B12" s="365"/>
      <c r="C12" s="366"/>
      <c r="D12" s="367"/>
      <c r="E12" s="34" t="s">
        <v>620</v>
      </c>
      <c r="F12" s="247" t="s">
        <v>19</v>
      </c>
      <c r="G12" s="180" t="s">
        <v>352</v>
      </c>
      <c r="H12" s="33"/>
      <c r="I12" s="180" t="s">
        <v>352</v>
      </c>
      <c r="J12" s="33"/>
      <c r="K12" s="180" t="s">
        <v>352</v>
      </c>
    </row>
  </sheetData>
  <sheetProtection algorithmName="SHA-512" hashValue="c08NMSLIPh0OYpDuslsnKnqp5AQTks+A46aHx4hYVO9t4/JNWn1Px8JFZH9YJeS7jAMBJ5/EUlrCanvGa/BekQ==" saltValue="MGPwKLY4dpIS9Whn/5KqtQ==" spinCount="100000" sheet="1" selectLockedCells="1"/>
  <mergeCells count="7">
    <mergeCell ref="B11:B12"/>
    <mergeCell ref="C11:C12"/>
    <mergeCell ref="D11:D12"/>
    <mergeCell ref="A2:K2"/>
    <mergeCell ref="B6:B10"/>
    <mergeCell ref="C6:C10"/>
    <mergeCell ref="D6:D10"/>
  </mergeCells>
  <conditionalFormatting sqref="K3 I3">
    <cfRule type="expression" dxfId="50" priority="7">
      <formula>NOT(I3="Comment is required")</formula>
    </cfRule>
    <cfRule type="expression" dxfId="49" priority="8">
      <formula>AND(OR(H3="N/A",H3="Partial"),I3="Comment is required")</formula>
    </cfRule>
  </conditionalFormatting>
  <conditionalFormatting sqref="K4:K12 I4:I12">
    <cfRule type="expression" dxfId="48" priority="5">
      <formula>NOT(I4="Comment is required")</formula>
    </cfRule>
    <cfRule type="expression" dxfId="47" priority="6">
      <formula>AND(OR(H4="N/A",H4="Partial"),I4="Comment is required")</formula>
    </cfRule>
  </conditionalFormatting>
  <conditionalFormatting sqref="G3">
    <cfRule type="expression" dxfId="46" priority="3">
      <formula>NOT(G3="Comment is required")</formula>
    </cfRule>
    <cfRule type="expression" dxfId="45" priority="4">
      <formula>AND(OR(F3="N/A",F3="Partial"),G3="Comment is required")</formula>
    </cfRule>
  </conditionalFormatting>
  <conditionalFormatting sqref="G4:G10 G12">
    <cfRule type="expression" dxfId="44" priority="1">
      <formula>NOT(G4="Comment is required")</formula>
    </cfRule>
    <cfRule type="expression" dxfId="43" priority="2">
      <formula>AND(OR(F4="N/A",F4="Partial"),G4="Comment is required")</formula>
    </cfRule>
  </conditionalFormatting>
  <dataValidations count="2">
    <dataValidation type="list" showInputMessage="1" showErrorMessage="1" sqref="H3:H12 J3:J12 F3:F12" xr:uid="{00000000-0002-0000-1000-000000000000}">
      <formula1>"Yes, No, Partial, N/A"</formula1>
    </dataValidation>
    <dataValidation showInputMessage="1" showErrorMessage="1" sqref="I3:I12 K3:K12 G3:G12" xr:uid="{00000000-0002-0000-1000-000001000000}"/>
  </dataValidations>
  <hyperlinks>
    <hyperlink ref="B3" r:id="rId1" xr:uid="{00000000-0004-0000-1000-000000000000}"/>
    <hyperlink ref="B4" r:id="rId2" display="MA-2" xr:uid="{00000000-0004-0000-1000-000001000000}"/>
    <hyperlink ref="B5" r:id="rId3" xr:uid="{00000000-0004-0000-1000-000002000000}"/>
    <hyperlink ref="B6:B10" r:id="rId4" display="MA-4" xr:uid="{00000000-0004-0000-1000-000003000000}"/>
    <hyperlink ref="B11:B12" r:id="rId5" display="MA-5" xr:uid="{00000000-0004-0000-10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
  <sheetViews>
    <sheetView showGridLines="0" zoomScaleNormal="100" workbookViewId="0">
      <pane xSplit="2" ySplit="2" topLeftCell="C3" activePane="bottomRight" state="frozen"/>
      <selection pane="topRight" activeCell="D19" sqref="D19:D22"/>
      <selection pane="bottomLeft" activeCell="D19" sqref="D19:D22"/>
      <selection pane="bottomRight" activeCell="F3" sqref="F3:G13"/>
    </sheetView>
  </sheetViews>
  <sheetFormatPr defaultColWidth="9" defaultRowHeight="15" x14ac:dyDescent="0.25"/>
  <cols>
    <col min="1" max="1" width="17.5703125" customWidth="1"/>
    <col min="2" max="2" width="18.140625" customWidth="1"/>
    <col min="3" max="3" width="18.42578125" bestFit="1" customWidth="1"/>
    <col min="4" max="4" width="26.42578125" bestFit="1" customWidth="1"/>
    <col min="5" max="5" width="48.28515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621</v>
      </c>
      <c r="B2" s="358"/>
      <c r="C2" s="358"/>
      <c r="D2" s="358"/>
      <c r="E2" s="358"/>
      <c r="F2" s="358"/>
      <c r="G2" s="358"/>
      <c r="H2" s="358"/>
      <c r="I2" s="358"/>
      <c r="J2" s="358"/>
      <c r="K2" s="358"/>
    </row>
    <row r="3" spans="1:11" ht="48" x14ac:dyDescent="0.25">
      <c r="A3" s="148" t="s">
        <v>622</v>
      </c>
      <c r="B3" s="150" t="s">
        <v>623</v>
      </c>
      <c r="C3" s="151" t="s">
        <v>624</v>
      </c>
      <c r="D3" s="148" t="s">
        <v>625</v>
      </c>
      <c r="E3" s="35" t="s">
        <v>626</v>
      </c>
      <c r="F3" s="33" t="s">
        <v>19</v>
      </c>
      <c r="G3" s="33"/>
      <c r="H3" s="33"/>
      <c r="I3" s="180" t="s">
        <v>352</v>
      </c>
      <c r="J3" s="33"/>
      <c r="K3" s="180" t="s">
        <v>352</v>
      </c>
    </row>
    <row r="4" spans="1:11" ht="24" x14ac:dyDescent="0.25">
      <c r="A4" s="148" t="s">
        <v>627</v>
      </c>
      <c r="B4" s="368" t="s">
        <v>628</v>
      </c>
      <c r="C4" s="359" t="s">
        <v>183</v>
      </c>
      <c r="D4" s="360" t="s">
        <v>629</v>
      </c>
      <c r="E4" s="36" t="s">
        <v>630</v>
      </c>
      <c r="F4" s="33" t="s">
        <v>30</v>
      </c>
      <c r="G4" s="33"/>
      <c r="H4" s="33"/>
      <c r="I4" s="180" t="s">
        <v>352</v>
      </c>
      <c r="J4" s="33"/>
      <c r="K4" s="180" t="s">
        <v>352</v>
      </c>
    </row>
    <row r="5" spans="1:11" ht="36" x14ac:dyDescent="0.25">
      <c r="A5" s="148" t="s">
        <v>631</v>
      </c>
      <c r="B5" s="368"/>
      <c r="C5" s="359"/>
      <c r="D5" s="360"/>
      <c r="E5" s="36" t="s">
        <v>632</v>
      </c>
      <c r="F5" s="33" t="s">
        <v>19</v>
      </c>
      <c r="G5" s="33" t="s">
        <v>993</v>
      </c>
      <c r="H5" s="33"/>
      <c r="I5" s="180" t="s">
        <v>352</v>
      </c>
      <c r="J5" s="33"/>
      <c r="K5" s="180" t="s">
        <v>352</v>
      </c>
    </row>
    <row r="6" spans="1:11" ht="24" x14ac:dyDescent="0.25">
      <c r="A6" s="148" t="s">
        <v>633</v>
      </c>
      <c r="B6" s="368"/>
      <c r="C6" s="359"/>
      <c r="D6" s="360"/>
      <c r="E6" s="36" t="s">
        <v>634</v>
      </c>
      <c r="F6" s="33" t="s">
        <v>30</v>
      </c>
      <c r="G6" s="33"/>
      <c r="H6" s="33"/>
      <c r="I6" s="180" t="s">
        <v>352</v>
      </c>
      <c r="J6" s="33"/>
      <c r="K6" s="180" t="s">
        <v>352</v>
      </c>
    </row>
    <row r="7" spans="1:11" ht="36" x14ac:dyDescent="0.25">
      <c r="A7" s="148" t="s">
        <v>635</v>
      </c>
      <c r="B7" s="368" t="s">
        <v>182</v>
      </c>
      <c r="C7" s="359" t="s">
        <v>183</v>
      </c>
      <c r="D7" s="360" t="s">
        <v>636</v>
      </c>
      <c r="E7" s="36" t="s">
        <v>637</v>
      </c>
      <c r="F7" s="33" t="s">
        <v>19</v>
      </c>
      <c r="G7" s="33" t="s">
        <v>993</v>
      </c>
      <c r="H7" s="33"/>
      <c r="I7" s="180" t="s">
        <v>352</v>
      </c>
      <c r="J7" s="33"/>
      <c r="K7" s="180" t="s">
        <v>352</v>
      </c>
    </row>
    <row r="8" spans="1:11" ht="24" x14ac:dyDescent="0.25">
      <c r="A8" s="148" t="s">
        <v>638</v>
      </c>
      <c r="B8" s="368"/>
      <c r="C8" s="359"/>
      <c r="D8" s="360"/>
      <c r="E8" s="36" t="s">
        <v>639</v>
      </c>
      <c r="F8" s="33" t="s">
        <v>30</v>
      </c>
      <c r="G8" s="33"/>
      <c r="H8" s="33"/>
      <c r="I8" s="180" t="s">
        <v>352</v>
      </c>
      <c r="J8" s="33"/>
      <c r="K8" s="180" t="s">
        <v>352</v>
      </c>
    </row>
    <row r="9" spans="1:11" ht="36" x14ac:dyDescent="0.25">
      <c r="A9" s="148" t="s">
        <v>640</v>
      </c>
      <c r="B9" s="150" t="s">
        <v>641</v>
      </c>
      <c r="C9" s="151" t="s">
        <v>642</v>
      </c>
      <c r="D9" s="148" t="s">
        <v>643</v>
      </c>
      <c r="E9" s="36" t="s">
        <v>644</v>
      </c>
      <c r="F9" s="33" t="s">
        <v>19</v>
      </c>
      <c r="G9" s="33"/>
      <c r="H9" s="33"/>
      <c r="I9" s="180" t="s">
        <v>352</v>
      </c>
      <c r="J9" s="33"/>
      <c r="K9" s="180" t="s">
        <v>352</v>
      </c>
    </row>
    <row r="10" spans="1:11" ht="36" x14ac:dyDescent="0.25">
      <c r="A10" s="148" t="s">
        <v>645</v>
      </c>
      <c r="B10" s="150" t="s">
        <v>646</v>
      </c>
      <c r="C10" s="151" t="s">
        <v>642</v>
      </c>
      <c r="D10" s="148" t="s">
        <v>647</v>
      </c>
      <c r="E10" s="36" t="s">
        <v>648</v>
      </c>
      <c r="F10" s="33" t="s">
        <v>30</v>
      </c>
      <c r="G10" s="33"/>
      <c r="H10" s="33"/>
      <c r="I10" s="180" t="s">
        <v>352</v>
      </c>
      <c r="J10" s="33"/>
      <c r="K10" s="180" t="s">
        <v>352</v>
      </c>
    </row>
    <row r="11" spans="1:11" ht="216" x14ac:dyDescent="0.25">
      <c r="A11" s="148" t="s">
        <v>649</v>
      </c>
      <c r="B11" s="150" t="s">
        <v>650</v>
      </c>
      <c r="C11" s="151" t="s">
        <v>651</v>
      </c>
      <c r="D11" s="148" t="s">
        <v>652</v>
      </c>
      <c r="E11" s="36" t="s">
        <v>653</v>
      </c>
      <c r="F11" s="33" t="s">
        <v>41</v>
      </c>
      <c r="G11" s="33" t="s">
        <v>994</v>
      </c>
      <c r="H11" s="33"/>
      <c r="I11" s="180" t="s">
        <v>352</v>
      </c>
      <c r="J11" s="33"/>
      <c r="K11" s="180" t="s">
        <v>352</v>
      </c>
    </row>
    <row r="12" spans="1:11" ht="84" x14ac:dyDescent="0.25">
      <c r="A12" s="148" t="s">
        <v>654</v>
      </c>
      <c r="B12" s="150" t="s">
        <v>655</v>
      </c>
      <c r="C12" s="151" t="s">
        <v>656</v>
      </c>
      <c r="D12" s="148" t="s">
        <v>657</v>
      </c>
      <c r="E12" s="36" t="s">
        <v>658</v>
      </c>
      <c r="F12" s="33" t="s">
        <v>19</v>
      </c>
      <c r="G12" s="33"/>
      <c r="H12" s="33"/>
      <c r="I12" s="180" t="s">
        <v>352</v>
      </c>
      <c r="J12" s="33"/>
      <c r="K12" s="180" t="s">
        <v>352</v>
      </c>
    </row>
    <row r="13" spans="1:11" ht="24" x14ac:dyDescent="0.25">
      <c r="A13" s="148" t="s">
        <v>659</v>
      </c>
      <c r="B13" s="150" t="s">
        <v>660</v>
      </c>
      <c r="C13" s="37" t="s">
        <v>661</v>
      </c>
      <c r="D13" s="148" t="s">
        <v>662</v>
      </c>
      <c r="E13" s="36" t="s">
        <v>663</v>
      </c>
      <c r="F13" s="33" t="s">
        <v>19</v>
      </c>
      <c r="G13" s="33"/>
      <c r="H13" s="33"/>
      <c r="I13" s="180" t="s">
        <v>352</v>
      </c>
      <c r="J13" s="33"/>
      <c r="K13" s="180" t="s">
        <v>352</v>
      </c>
    </row>
  </sheetData>
  <sheetProtection algorithmName="SHA-512" hashValue="W1PqDjhW3HtpVmVMSLvhYIjFbxyAuiU5iHGjdLIQvdzKS08EEVU7Py/wxZVVcAmDxdjSF/FOKTTurlIQFkKPMA==" saltValue="+YAfkBu/0eUyYGQNaFXWQQ==" spinCount="100000" sheet="1" selectLockedCells="1"/>
  <mergeCells count="7">
    <mergeCell ref="B7:B8"/>
    <mergeCell ref="C7:C8"/>
    <mergeCell ref="D7:D8"/>
    <mergeCell ref="A2:K2"/>
    <mergeCell ref="B4:B6"/>
    <mergeCell ref="C4:C6"/>
    <mergeCell ref="D4:D6"/>
  </mergeCells>
  <conditionalFormatting sqref="K3:K13 I3:I13">
    <cfRule type="expression" dxfId="42" priority="3">
      <formula>NOT(I3="Comment is required")</formula>
    </cfRule>
    <cfRule type="expression" dxfId="41" priority="4">
      <formula>AND(OR(H3="N/A",H3="Partial"),I3="Comment is required")</formula>
    </cfRule>
  </conditionalFormatting>
  <conditionalFormatting sqref="G3:G13">
    <cfRule type="expression" dxfId="40" priority="1">
      <formula>NOT(G3="Comment is required")</formula>
    </cfRule>
    <cfRule type="expression" dxfId="39" priority="2">
      <formula>AND(OR(F3="N/A",F3="Partial"),G3="Comment is required")</formula>
    </cfRule>
  </conditionalFormatting>
  <dataValidations count="2">
    <dataValidation type="list" showInputMessage="1" showErrorMessage="1" sqref="H3:H13 F3:F13 J3:J13" xr:uid="{E845B263-AC5D-45D7-8F09-AD0437A30421}">
      <formula1>"Yes, No, Partial, N/A"</formula1>
    </dataValidation>
    <dataValidation showInputMessage="1" showErrorMessage="1" sqref="G3:G13 I3:I13 K3:K13" xr:uid="{174332A5-AA17-43C6-BAF9-73227EA3C360}"/>
  </dataValidations>
  <hyperlinks>
    <hyperlink ref="B3" r:id="rId1" xr:uid="{00000000-0004-0000-1100-000000000000}"/>
    <hyperlink ref="B4:B6" r:id="rId2" display="PS-2" xr:uid="{00000000-0004-0000-1100-000001000000}"/>
    <hyperlink ref="B7:B8" r:id="rId3" display="PS-3" xr:uid="{00000000-0004-0000-1100-000002000000}"/>
    <hyperlink ref="B9" r:id="rId4" xr:uid="{00000000-0004-0000-1100-000003000000}"/>
    <hyperlink ref="B10" r:id="rId5" xr:uid="{00000000-0004-0000-1100-000004000000}"/>
    <hyperlink ref="B11" r:id="rId6" xr:uid="{00000000-0004-0000-1100-000005000000}"/>
    <hyperlink ref="B12" r:id="rId7" xr:uid="{00000000-0004-0000-1100-000006000000}"/>
    <hyperlink ref="B13" r:id="rId8" xr:uid="{00000000-0004-0000-1100-000007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showGridLines="0" zoomScale="130" zoomScaleNormal="130" workbookViewId="0">
      <pane xSplit="2" ySplit="2" topLeftCell="C6" activePane="bottomRight" state="frozen"/>
      <selection pane="topRight" activeCell="D19" sqref="D19:D22"/>
      <selection pane="bottomLeft" activeCell="D19" sqref="D19:D22"/>
      <selection pane="bottomRight" activeCell="F11" sqref="F11"/>
    </sheetView>
  </sheetViews>
  <sheetFormatPr defaultColWidth="9" defaultRowHeight="15" x14ac:dyDescent="0.25"/>
  <cols>
    <col min="1" max="1" width="17.5703125" customWidth="1"/>
    <col min="2" max="2" width="18" customWidth="1"/>
    <col min="3" max="3" width="18.7109375" customWidth="1"/>
    <col min="4" max="4" width="26.7109375" customWidth="1"/>
    <col min="5" max="5" width="45.1406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664</v>
      </c>
      <c r="B2" s="358"/>
      <c r="C2" s="358"/>
      <c r="D2" s="358"/>
      <c r="E2" s="358"/>
      <c r="F2" s="358"/>
      <c r="G2" s="358"/>
      <c r="H2" s="358"/>
      <c r="I2" s="358"/>
      <c r="J2" s="358"/>
      <c r="K2" s="358"/>
    </row>
    <row r="3" spans="1:11" ht="36" x14ac:dyDescent="0.25">
      <c r="A3" s="148" t="s">
        <v>665</v>
      </c>
      <c r="B3" s="150" t="s">
        <v>666</v>
      </c>
      <c r="C3" s="151"/>
      <c r="D3" s="148" t="s">
        <v>667</v>
      </c>
      <c r="E3" s="35" t="s">
        <v>668</v>
      </c>
      <c r="F3" s="33" t="s">
        <v>30</v>
      </c>
      <c r="G3" s="180" t="s">
        <v>352</v>
      </c>
      <c r="H3" s="33"/>
      <c r="I3" s="180" t="s">
        <v>352</v>
      </c>
      <c r="J3" s="33"/>
      <c r="K3" s="180" t="s">
        <v>352</v>
      </c>
    </row>
    <row r="4" spans="1:11" ht="24" x14ac:dyDescent="0.25">
      <c r="A4" s="148" t="s">
        <v>669</v>
      </c>
      <c r="B4" s="150" t="s">
        <v>670</v>
      </c>
      <c r="C4" s="151"/>
      <c r="D4" s="148" t="s">
        <v>671</v>
      </c>
      <c r="E4" s="36" t="s">
        <v>672</v>
      </c>
      <c r="F4" s="33" t="s">
        <v>19</v>
      </c>
      <c r="G4" s="180" t="s">
        <v>352</v>
      </c>
      <c r="H4" s="33"/>
      <c r="I4" s="180" t="s">
        <v>352</v>
      </c>
      <c r="J4" s="33"/>
      <c r="K4" s="180" t="s">
        <v>352</v>
      </c>
    </row>
    <row r="5" spans="1:11" ht="96" x14ac:dyDescent="0.25">
      <c r="A5" s="148" t="s">
        <v>335</v>
      </c>
      <c r="B5" s="152" t="s">
        <v>337</v>
      </c>
      <c r="C5" s="151" t="s">
        <v>673</v>
      </c>
      <c r="D5" s="148" t="s">
        <v>336</v>
      </c>
      <c r="E5" s="36" t="s">
        <v>674</v>
      </c>
      <c r="F5" s="33" t="s">
        <v>19</v>
      </c>
      <c r="G5" s="180" t="s">
        <v>1024</v>
      </c>
      <c r="H5" s="33"/>
      <c r="I5" s="180" t="s">
        <v>352</v>
      </c>
      <c r="J5" s="33"/>
      <c r="K5" s="180" t="s">
        <v>352</v>
      </c>
    </row>
    <row r="6" spans="1:11" ht="108" x14ac:dyDescent="0.25">
      <c r="A6" s="148" t="s">
        <v>675</v>
      </c>
      <c r="B6" s="368" t="s">
        <v>676</v>
      </c>
      <c r="C6" s="360"/>
      <c r="D6" s="360" t="s">
        <v>677</v>
      </c>
      <c r="E6" s="151" t="s">
        <v>678</v>
      </c>
      <c r="F6" s="33" t="s">
        <v>19</v>
      </c>
      <c r="G6" s="180" t="s">
        <v>352</v>
      </c>
      <c r="H6" s="33"/>
      <c r="I6" s="180" t="s">
        <v>352</v>
      </c>
      <c r="J6" s="33"/>
      <c r="K6" s="180" t="s">
        <v>352</v>
      </c>
    </row>
    <row r="7" spans="1:11" ht="144" x14ac:dyDescent="0.25">
      <c r="A7" s="148" t="s">
        <v>679</v>
      </c>
      <c r="B7" s="368"/>
      <c r="C7" s="360"/>
      <c r="D7" s="360"/>
      <c r="E7" s="151" t="s">
        <v>680</v>
      </c>
      <c r="F7" s="33" t="s">
        <v>41</v>
      </c>
      <c r="G7" s="180" t="s">
        <v>1025</v>
      </c>
      <c r="H7" s="33"/>
      <c r="I7" s="180" t="s">
        <v>352</v>
      </c>
      <c r="J7" s="33"/>
      <c r="K7" s="180" t="s">
        <v>352</v>
      </c>
    </row>
    <row r="8" spans="1:11" ht="96" x14ac:dyDescent="0.25">
      <c r="A8" s="148" t="s">
        <v>681</v>
      </c>
      <c r="B8" s="368"/>
      <c r="C8" s="360"/>
      <c r="D8" s="360"/>
      <c r="E8" s="35" t="s">
        <v>682</v>
      </c>
      <c r="F8" s="33" t="s">
        <v>30</v>
      </c>
      <c r="G8" s="180" t="s">
        <v>1026</v>
      </c>
      <c r="H8" s="33"/>
      <c r="I8" s="180" t="s">
        <v>352</v>
      </c>
      <c r="J8" s="33"/>
      <c r="K8" s="180" t="s">
        <v>352</v>
      </c>
    </row>
    <row r="9" spans="1:11" ht="48" x14ac:dyDescent="0.25">
      <c r="A9" s="148" t="s">
        <v>683</v>
      </c>
      <c r="B9" s="150" t="s">
        <v>684</v>
      </c>
      <c r="C9" s="151"/>
      <c r="D9" s="148" t="s">
        <v>685</v>
      </c>
      <c r="E9" s="36" t="s">
        <v>686</v>
      </c>
      <c r="F9" s="33" t="s">
        <v>19</v>
      </c>
      <c r="G9" s="180" t="s">
        <v>352</v>
      </c>
      <c r="H9" s="33"/>
      <c r="I9" s="180" t="s">
        <v>352</v>
      </c>
      <c r="J9" s="33"/>
      <c r="K9" s="180" t="s">
        <v>352</v>
      </c>
    </row>
    <row r="10" spans="1:11" ht="60" x14ac:dyDescent="0.25">
      <c r="A10" s="148" t="s">
        <v>687</v>
      </c>
      <c r="B10" s="150" t="s">
        <v>688</v>
      </c>
      <c r="C10" s="151"/>
      <c r="D10" s="148" t="s">
        <v>689</v>
      </c>
      <c r="E10" s="36" t="s">
        <v>690</v>
      </c>
      <c r="F10" s="33" t="s">
        <v>19</v>
      </c>
      <c r="G10" s="180" t="s">
        <v>352</v>
      </c>
      <c r="H10" s="33"/>
      <c r="I10" s="180" t="s">
        <v>352</v>
      </c>
      <c r="J10" s="33"/>
      <c r="K10" s="180" t="s">
        <v>352</v>
      </c>
    </row>
    <row r="11" spans="1:11" ht="72" x14ac:dyDescent="0.25">
      <c r="A11" s="148" t="s">
        <v>691</v>
      </c>
      <c r="B11" s="152" t="s">
        <v>692</v>
      </c>
      <c r="C11" s="151"/>
      <c r="D11" s="148" t="s">
        <v>693</v>
      </c>
      <c r="E11" s="36" t="s">
        <v>694</v>
      </c>
      <c r="F11" s="33" t="s">
        <v>19</v>
      </c>
      <c r="G11" s="180" t="s">
        <v>352</v>
      </c>
      <c r="H11" s="33"/>
      <c r="I11" s="180" t="s">
        <v>352</v>
      </c>
      <c r="J11" s="33"/>
      <c r="K11" s="180" t="s">
        <v>352</v>
      </c>
    </row>
    <row r="12" spans="1:11" x14ac:dyDescent="0.25">
      <c r="C12" s="129"/>
    </row>
    <row r="13" spans="1:11" x14ac:dyDescent="0.25">
      <c r="C13" s="129"/>
    </row>
    <row r="14" spans="1:11" x14ac:dyDescent="0.25">
      <c r="C14" s="129"/>
    </row>
  </sheetData>
  <sheetProtection algorithmName="SHA-512" hashValue="/bhBdLits23vtAxgOYfiMqVFGcMhLnXJj9UEwa+0mbH2/CZ16i3I/COHv/3CaW4cfHOHgpDmF0oyCLftaRttFA==" saltValue="1rjJ1ndxRjkgutRF3mI8TA==" spinCount="100000" sheet="1" selectLockedCells="1"/>
  <mergeCells count="4">
    <mergeCell ref="A2:K2"/>
    <mergeCell ref="B6:B8"/>
    <mergeCell ref="C6:C8"/>
    <mergeCell ref="D6:D8"/>
  </mergeCells>
  <conditionalFormatting sqref="G3 I3 K3">
    <cfRule type="expression" dxfId="38" priority="7">
      <formula>NOT(G3="Comment is required")</formula>
    </cfRule>
    <cfRule type="expression" dxfId="37" priority="8">
      <formula>AND(OR(F3="N/A",F3="Partial"),G3="Comment is required")</formula>
    </cfRule>
  </conditionalFormatting>
  <conditionalFormatting sqref="G10:G11 I10:I11 K10:K11">
    <cfRule type="expression" dxfId="36" priority="1">
      <formula>NOT(G10="Comment is required")</formula>
    </cfRule>
    <cfRule type="expression" dxfId="35" priority="2">
      <formula>AND(OR(F10="N/A",F10="Partial"),G10="Comment is required")</formula>
    </cfRule>
  </conditionalFormatting>
  <conditionalFormatting sqref="G4:G7 I4:I7 K4:K7">
    <cfRule type="expression" dxfId="34" priority="5">
      <formula>NOT(G4="Comment is required")</formula>
    </cfRule>
    <cfRule type="expression" dxfId="33" priority="6">
      <formula>AND(OR(F4="N/A",F4="Partial"),G4="Comment is required")</formula>
    </cfRule>
  </conditionalFormatting>
  <conditionalFormatting sqref="G8:G9 I8:I9 K8:K9">
    <cfRule type="expression" dxfId="32" priority="3">
      <formula>NOT(G8="Comment is required")</formula>
    </cfRule>
    <cfRule type="expression" dxfId="31" priority="4">
      <formula>AND(OR(F8="N/A",F8="Partial"),G8="Comment is required")</formula>
    </cfRule>
  </conditionalFormatting>
  <dataValidations count="2">
    <dataValidation type="list" showInputMessage="1" showErrorMessage="1" sqref="H3:H11 J3:J11 F3:F11" xr:uid="{00000000-0002-0000-1200-000000000000}">
      <formula1>"Yes, No, Partial, N/A"</formula1>
    </dataValidation>
    <dataValidation showInputMessage="1" showErrorMessage="1" sqref="I3:I11 K3:K11 G3:G11" xr:uid="{00000000-0002-0000-1200-000001000000}"/>
  </dataValidations>
  <hyperlinks>
    <hyperlink ref="B3" r:id="rId1" xr:uid="{00000000-0004-0000-1200-000000000000}"/>
    <hyperlink ref="B4" r:id="rId2" xr:uid="{00000000-0004-0000-1200-000001000000}"/>
    <hyperlink ref="B5" r:id="rId3" xr:uid="{00000000-0004-0000-1200-000002000000}"/>
    <hyperlink ref="B6:B8" r:id="rId4" display="SA-5" xr:uid="{00000000-0004-0000-1200-000003000000}"/>
    <hyperlink ref="B9" r:id="rId5" xr:uid="{00000000-0004-0000-1200-000004000000}"/>
    <hyperlink ref="B10" r:id="rId6" xr:uid="{00000000-0004-0000-1200-000005000000}"/>
    <hyperlink ref="B11" r:id="rId7" xr:uid="{00000000-0004-0000-1200-000006000000}"/>
  </hyperlinks>
  <pageMargins left="0.7" right="0.7" top="0.75" bottom="0.75" header="0.3" footer="0.3"/>
  <pageSetup orientation="portrait" r:id="rId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zoomScaleNormal="100" workbookViewId="0">
      <pane xSplit="2" ySplit="2" topLeftCell="C3" activePane="bottomRight" state="frozen"/>
      <selection pane="topRight" activeCell="D19" sqref="D19:D22"/>
      <selection pane="bottomLeft" activeCell="D19" sqref="D19:D22"/>
      <selection pane="bottomRight" activeCell="H3" sqref="H3"/>
    </sheetView>
  </sheetViews>
  <sheetFormatPr defaultColWidth="9" defaultRowHeight="15" x14ac:dyDescent="0.25"/>
  <cols>
    <col min="1" max="1" width="17.5703125" customWidth="1"/>
    <col min="2" max="4" width="25.42578125" customWidth="1"/>
    <col min="5" max="5" width="54.8554687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695</v>
      </c>
      <c r="B2" s="358"/>
      <c r="C2" s="358"/>
      <c r="D2" s="358"/>
      <c r="E2" s="358"/>
      <c r="F2" s="358"/>
      <c r="G2" s="358"/>
      <c r="H2" s="358"/>
      <c r="I2" s="358"/>
      <c r="J2" s="358"/>
      <c r="K2" s="358"/>
    </row>
    <row r="3" spans="1:11" ht="36" x14ac:dyDescent="0.25">
      <c r="A3" s="148" t="s">
        <v>696</v>
      </c>
      <c r="B3" s="150" t="s">
        <v>697</v>
      </c>
      <c r="C3" s="151"/>
      <c r="D3" s="148" t="s">
        <v>698</v>
      </c>
      <c r="E3" s="151" t="s">
        <v>699</v>
      </c>
      <c r="F3" s="33" t="s">
        <v>30</v>
      </c>
      <c r="G3" s="180" t="s">
        <v>352</v>
      </c>
      <c r="H3" s="33"/>
      <c r="I3" s="180" t="s">
        <v>352</v>
      </c>
      <c r="J3" s="33"/>
      <c r="K3" s="180" t="s">
        <v>352</v>
      </c>
    </row>
    <row r="4" spans="1:11" ht="36" x14ac:dyDescent="0.25">
      <c r="A4" s="148" t="s">
        <v>700</v>
      </c>
      <c r="B4" s="150" t="s">
        <v>701</v>
      </c>
      <c r="C4" s="151"/>
      <c r="D4" s="148" t="s">
        <v>702</v>
      </c>
      <c r="E4" s="35" t="s">
        <v>703</v>
      </c>
      <c r="F4" s="33" t="s">
        <v>19</v>
      </c>
      <c r="G4" s="180" t="s">
        <v>352</v>
      </c>
      <c r="H4" s="33"/>
      <c r="I4" s="180" t="s">
        <v>352</v>
      </c>
      <c r="J4" s="33"/>
      <c r="K4" s="180" t="s">
        <v>352</v>
      </c>
    </row>
    <row r="5" spans="1:11" ht="36" x14ac:dyDescent="0.25">
      <c r="A5" s="156" t="s">
        <v>704</v>
      </c>
      <c r="B5" s="369" t="s">
        <v>705</v>
      </c>
      <c r="C5" s="359" t="s">
        <v>706</v>
      </c>
      <c r="D5" s="360" t="s">
        <v>707</v>
      </c>
      <c r="E5" s="36" t="s">
        <v>708</v>
      </c>
      <c r="F5" s="33" t="s">
        <v>30</v>
      </c>
      <c r="G5" s="179" t="s">
        <v>352</v>
      </c>
      <c r="H5" s="33"/>
      <c r="I5" s="179" t="s">
        <v>352</v>
      </c>
      <c r="J5" s="33"/>
      <c r="K5" s="179" t="s">
        <v>352</v>
      </c>
    </row>
    <row r="6" spans="1:11" ht="36" x14ac:dyDescent="0.25">
      <c r="A6" s="156" t="s">
        <v>709</v>
      </c>
      <c r="B6" s="369"/>
      <c r="C6" s="366"/>
      <c r="D6" s="360"/>
      <c r="E6" s="34" t="s">
        <v>710</v>
      </c>
      <c r="F6" s="33" t="s">
        <v>30</v>
      </c>
      <c r="G6" s="180" t="s">
        <v>352</v>
      </c>
      <c r="H6" s="33"/>
      <c r="I6" s="180" t="s">
        <v>352</v>
      </c>
      <c r="J6" s="33"/>
      <c r="K6" s="180" t="s">
        <v>352</v>
      </c>
    </row>
    <row r="7" spans="1:11" ht="36" x14ac:dyDescent="0.25">
      <c r="A7" s="148" t="s">
        <v>711</v>
      </c>
      <c r="B7" s="150" t="s">
        <v>712</v>
      </c>
      <c r="C7" s="151"/>
      <c r="D7" s="148" t="s">
        <v>713</v>
      </c>
      <c r="E7" s="36" t="s">
        <v>714</v>
      </c>
      <c r="F7" s="33" t="s">
        <v>19</v>
      </c>
      <c r="G7" s="180" t="s">
        <v>352</v>
      </c>
      <c r="H7" s="33"/>
      <c r="I7" s="180" t="s">
        <v>352</v>
      </c>
      <c r="J7" s="33"/>
      <c r="K7" s="180" t="s">
        <v>352</v>
      </c>
    </row>
    <row r="8" spans="1:11" ht="48" x14ac:dyDescent="0.25">
      <c r="A8" s="148" t="s">
        <v>715</v>
      </c>
      <c r="B8" s="150" t="s">
        <v>191</v>
      </c>
      <c r="C8" s="151" t="s">
        <v>716</v>
      </c>
      <c r="D8" s="148" t="s">
        <v>717</v>
      </c>
      <c r="E8" s="36" t="s">
        <v>718</v>
      </c>
      <c r="F8" s="33" t="s">
        <v>41</v>
      </c>
      <c r="G8" s="179" t="s">
        <v>1017</v>
      </c>
      <c r="H8" s="33"/>
      <c r="I8" s="179" t="s">
        <v>352</v>
      </c>
      <c r="J8" s="33"/>
      <c r="K8" s="179" t="s">
        <v>352</v>
      </c>
    </row>
    <row r="9" spans="1:11" ht="36" x14ac:dyDescent="0.25">
      <c r="A9" s="148" t="s">
        <v>719</v>
      </c>
      <c r="B9" s="280" t="s">
        <v>305</v>
      </c>
      <c r="C9" s="359"/>
      <c r="D9" s="360" t="s">
        <v>304</v>
      </c>
      <c r="E9" s="34" t="s">
        <v>720</v>
      </c>
      <c r="F9" s="33" t="s">
        <v>30</v>
      </c>
      <c r="G9" s="180" t="s">
        <v>352</v>
      </c>
      <c r="H9" s="33"/>
      <c r="I9" s="180" t="s">
        <v>352</v>
      </c>
      <c r="J9" s="33"/>
      <c r="K9" s="180" t="s">
        <v>352</v>
      </c>
    </row>
    <row r="10" spans="1:11" ht="24" x14ac:dyDescent="0.25">
      <c r="A10" s="148" t="s">
        <v>721</v>
      </c>
      <c r="B10" s="280"/>
      <c r="C10" s="359"/>
      <c r="D10" s="360"/>
      <c r="E10" s="36" t="s">
        <v>722</v>
      </c>
      <c r="F10" s="33" t="s">
        <v>52</v>
      </c>
      <c r="G10" s="180" t="s">
        <v>1018</v>
      </c>
      <c r="H10" s="33"/>
      <c r="I10" s="180" t="s">
        <v>352</v>
      </c>
      <c r="J10" s="33"/>
      <c r="K10" s="180" t="s">
        <v>352</v>
      </c>
    </row>
    <row r="11" spans="1:11" ht="84" x14ac:dyDescent="0.25">
      <c r="A11" s="148" t="s">
        <v>723</v>
      </c>
      <c r="B11" s="280"/>
      <c r="C11" s="359"/>
      <c r="D11" s="360"/>
      <c r="E11" s="36" t="s">
        <v>724</v>
      </c>
      <c r="F11" s="33" t="s">
        <v>52</v>
      </c>
      <c r="G11" s="180" t="s">
        <v>1019</v>
      </c>
      <c r="H11" s="33"/>
      <c r="I11" s="180" t="s">
        <v>352</v>
      </c>
      <c r="J11" s="33"/>
      <c r="K11" s="180" t="s">
        <v>352</v>
      </c>
    </row>
    <row r="12" spans="1:11" ht="120" x14ac:dyDescent="0.25">
      <c r="A12" s="148" t="s">
        <v>725</v>
      </c>
      <c r="B12" s="150" t="s">
        <v>726</v>
      </c>
      <c r="C12" s="151"/>
      <c r="D12" s="148" t="s">
        <v>727</v>
      </c>
      <c r="E12" s="36" t="s">
        <v>728</v>
      </c>
      <c r="F12" s="33" t="s">
        <v>19</v>
      </c>
      <c r="G12" s="180" t="s">
        <v>1020</v>
      </c>
      <c r="H12" s="33"/>
      <c r="I12" s="180" t="s">
        <v>352</v>
      </c>
      <c r="J12" s="33"/>
      <c r="K12" s="180" t="s">
        <v>352</v>
      </c>
    </row>
    <row r="13" spans="1:11" ht="48" x14ac:dyDescent="0.25">
      <c r="A13" s="148" t="s">
        <v>729</v>
      </c>
      <c r="B13" s="150" t="s">
        <v>730</v>
      </c>
      <c r="C13" s="151"/>
      <c r="D13" s="148" t="s">
        <v>731</v>
      </c>
      <c r="E13" s="36" t="s">
        <v>732</v>
      </c>
      <c r="F13" s="33" t="s">
        <v>19</v>
      </c>
      <c r="G13" s="180" t="s">
        <v>1021</v>
      </c>
      <c r="H13" s="33"/>
      <c r="I13" s="180" t="s">
        <v>352</v>
      </c>
      <c r="J13" s="33"/>
      <c r="K13" s="180" t="s">
        <v>352</v>
      </c>
    </row>
    <row r="14" spans="1:11" ht="24" x14ac:dyDescent="0.25">
      <c r="A14" s="148" t="s">
        <v>733</v>
      </c>
      <c r="B14" s="152" t="s">
        <v>734</v>
      </c>
      <c r="C14" s="151"/>
      <c r="D14" s="148" t="s">
        <v>735</v>
      </c>
      <c r="E14" s="36" t="s">
        <v>736</v>
      </c>
      <c r="F14" s="33" t="s">
        <v>19</v>
      </c>
      <c r="G14" s="180" t="s">
        <v>1022</v>
      </c>
      <c r="H14" s="33"/>
      <c r="I14" s="180" t="s">
        <v>352</v>
      </c>
      <c r="J14" s="33"/>
      <c r="K14" s="180" t="s">
        <v>352</v>
      </c>
    </row>
    <row r="15" spans="1:11" ht="36" x14ac:dyDescent="0.25">
      <c r="A15" s="148" t="s">
        <v>737</v>
      </c>
      <c r="B15" s="152" t="s">
        <v>738</v>
      </c>
      <c r="C15" s="151"/>
      <c r="D15" s="148" t="s">
        <v>739</v>
      </c>
      <c r="E15" s="36" t="s">
        <v>740</v>
      </c>
      <c r="F15" s="33" t="s">
        <v>30</v>
      </c>
      <c r="G15" s="179" t="s">
        <v>1023</v>
      </c>
      <c r="H15" s="33"/>
      <c r="I15" s="179" t="s">
        <v>352</v>
      </c>
      <c r="J15" s="33"/>
      <c r="K15" s="179" t="s">
        <v>352</v>
      </c>
    </row>
  </sheetData>
  <sheetProtection algorithmName="SHA-512" hashValue="dzkCuqRGyzM3a633p1rzVEE9UsvBgM/WT49WmMLQVrP0Cey5qa30tjvUk9gHihb+qHvN8YXI8VXf65i0soY9Yg==" saltValue="cv+FJvdlQjgJuit0GXH0dA==" spinCount="100000" sheet="1" selectLockedCells="1"/>
  <mergeCells count="7">
    <mergeCell ref="B9:B11"/>
    <mergeCell ref="C9:C11"/>
    <mergeCell ref="D9:D11"/>
    <mergeCell ref="A2:K2"/>
    <mergeCell ref="B5:B6"/>
    <mergeCell ref="C5:C6"/>
    <mergeCell ref="D5:D6"/>
  </mergeCells>
  <conditionalFormatting sqref="K3:K4 I3:I4 G3:G4">
    <cfRule type="expression" dxfId="30" priority="18">
      <formula>NOT(G3="Comment is required")</formula>
    </cfRule>
    <cfRule type="expression" dxfId="29" priority="19">
      <formula>AND(OR(F3="N/A",F3="Partial"),G3="Comment is required")</formula>
    </cfRule>
  </conditionalFormatting>
  <conditionalFormatting sqref="G6:G7 I6:I7 K6:K7">
    <cfRule type="expression" dxfId="28" priority="16">
      <formula>NOT(G6="Comment is required")</formula>
    </cfRule>
    <cfRule type="expression" dxfId="27" priority="17">
      <formula>AND(OR(F6="N/A",F6="Partial"),G6="Comment is required")</formula>
    </cfRule>
  </conditionalFormatting>
  <conditionalFormatting sqref="K5 I5 G5">
    <cfRule type="expression" dxfId="26" priority="14">
      <formula>NOT(G5="Comment is required")</formula>
    </cfRule>
    <cfRule type="expression" dxfId="25" priority="15">
      <formula>AND(OR(F5="N/A",F5="Partial"),G5="Comment is required")</formula>
    </cfRule>
  </conditionalFormatting>
  <conditionalFormatting sqref="K5 I5 G5">
    <cfRule type="expression" dxfId="24" priority="13">
      <formula>F5="Yes"</formula>
    </cfRule>
  </conditionalFormatting>
  <conditionalFormatting sqref="G9:G11 I9:I11 K9:K11">
    <cfRule type="expression" dxfId="23" priority="11">
      <formula>NOT(G9="Comment is required")</formula>
    </cfRule>
    <cfRule type="expression" dxfId="22" priority="12">
      <formula>AND(OR(F9="N/A",F9="Partial"),G9="Comment is required")</formula>
    </cfRule>
  </conditionalFormatting>
  <conditionalFormatting sqref="K8 I8 G8">
    <cfRule type="expression" dxfId="21" priority="9">
      <formula>NOT(G8="Comment is required")</formula>
    </cfRule>
    <cfRule type="expression" dxfId="20" priority="10">
      <formula>AND(OR(F8="N/A",F8="Partial"),G8="Comment is required")</formula>
    </cfRule>
  </conditionalFormatting>
  <conditionalFormatting sqref="K8 I8 G8">
    <cfRule type="expression" dxfId="19" priority="8">
      <formula>F8="Yes"</formula>
    </cfRule>
  </conditionalFormatting>
  <conditionalFormatting sqref="G12:G13 I12:I13 K12:K13">
    <cfRule type="expression" dxfId="18" priority="6">
      <formula>NOT(G12="Comment is required")</formula>
    </cfRule>
    <cfRule type="expression" dxfId="17" priority="7">
      <formula>AND(OR(F12="N/A",F12="Partial"),G12="Comment is required")</formula>
    </cfRule>
  </conditionalFormatting>
  <conditionalFormatting sqref="G14 I14 K14">
    <cfRule type="expression" dxfId="16" priority="4">
      <formula>NOT(G14="Comment is required")</formula>
    </cfRule>
    <cfRule type="expression" dxfId="15" priority="5">
      <formula>AND(OR(F14="N/A",F14="Partial"),G14="Comment is required")</formula>
    </cfRule>
  </conditionalFormatting>
  <conditionalFormatting sqref="K15 I15 G15">
    <cfRule type="expression" dxfId="14" priority="2">
      <formula>NOT(G15="Comment is required")</formula>
    </cfRule>
    <cfRule type="expression" dxfId="13" priority="3">
      <formula>AND(OR(F15="N/A",F15="Partial"),G15="Comment is required")</formula>
    </cfRule>
  </conditionalFormatting>
  <conditionalFormatting sqref="K15 I15 G15">
    <cfRule type="expression" dxfId="12" priority="1">
      <formula>F15="Yes"</formula>
    </cfRule>
  </conditionalFormatting>
  <dataValidations count="2">
    <dataValidation type="list" showInputMessage="1" showErrorMessage="1" sqref="H3:H15 F3:F15 J3:J15" xr:uid="{00000000-0002-0000-1300-000000000000}">
      <formula1>"Yes, No, Partial, N/A"</formula1>
    </dataValidation>
    <dataValidation showInputMessage="1" showErrorMessage="1" sqref="I3:I15 G3:G15 K3:K15" xr:uid="{00000000-0002-0000-1300-000001000000}"/>
  </dataValidations>
  <hyperlinks>
    <hyperlink ref="B3" r:id="rId1" xr:uid="{00000000-0004-0000-1300-000000000000}"/>
    <hyperlink ref="B4" r:id="rId2" xr:uid="{00000000-0004-0000-1300-000001000000}"/>
    <hyperlink ref="B5:B6" r:id="rId3" display="SC-8" xr:uid="{00000000-0004-0000-1300-000002000000}"/>
    <hyperlink ref="B7" r:id="rId4" xr:uid="{00000000-0004-0000-1300-000003000000}"/>
    <hyperlink ref="B8" r:id="rId5" xr:uid="{00000000-0004-0000-1300-000004000000}"/>
    <hyperlink ref="B9:B11" r:id="rId6" display="SC-15" xr:uid="{00000000-0004-0000-1300-000005000000}"/>
    <hyperlink ref="B12" r:id="rId7" xr:uid="{00000000-0004-0000-1300-000006000000}"/>
    <hyperlink ref="B13" r:id="rId8" xr:uid="{00000000-0004-0000-1300-000007000000}"/>
    <hyperlink ref="B14" r:id="rId9" xr:uid="{00000000-0004-0000-1300-000008000000}"/>
    <hyperlink ref="B15" r:id="rId10" xr:uid="{00000000-0004-0000-1300-000009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6"/>
  <sheetViews>
    <sheetView showGridLines="0" zoomScaleNormal="100" workbookViewId="0">
      <pane xSplit="2" ySplit="2" topLeftCell="C3" activePane="bottomRight" state="frozen"/>
      <selection pane="topRight" activeCell="D19" sqref="D19:D22"/>
      <selection pane="bottomLeft" activeCell="D19" sqref="D19:D22"/>
      <selection pane="bottomRight" activeCell="H3" sqref="H3"/>
    </sheetView>
  </sheetViews>
  <sheetFormatPr defaultColWidth="9" defaultRowHeight="15" x14ac:dyDescent="0.25"/>
  <cols>
    <col min="1" max="1" width="17.5703125" customWidth="1"/>
    <col min="2" max="2" width="26.7109375" bestFit="1" customWidth="1"/>
    <col min="3" max="3" width="18.42578125" bestFit="1" customWidth="1"/>
    <col min="4" max="4" width="23" customWidth="1"/>
    <col min="5" max="5" width="51.5703125" customWidth="1"/>
    <col min="6" max="6" width="15.7109375" customWidth="1"/>
    <col min="7" max="7" width="20.5703125" customWidth="1"/>
    <col min="8" max="8" width="15.7109375" customWidth="1"/>
    <col min="9" max="9" width="20.5703125" customWidth="1"/>
    <col min="10" max="10" width="15.7109375" customWidth="1"/>
    <col min="11" max="11" width="20.5703125" customWidth="1"/>
  </cols>
  <sheetData>
    <row r="1" spans="1:11" ht="50.1" customHeight="1" x14ac:dyDescent="0.25">
      <c r="A1" s="2" t="s">
        <v>92</v>
      </c>
      <c r="B1" s="2" t="s">
        <v>135</v>
      </c>
      <c r="C1" s="2" t="s">
        <v>344</v>
      </c>
      <c r="D1" s="2" t="s">
        <v>93</v>
      </c>
      <c r="E1" s="2" t="s">
        <v>345</v>
      </c>
      <c r="F1" s="2" t="str">
        <f>Scope!$B$4 &amp; " Response:"</f>
        <v>PeriCALM Tracings Fetal monitoring application Response:</v>
      </c>
      <c r="G1" s="2" t="str">
        <f>Scope!$B$4 &amp;" Comments:"</f>
        <v>PeriCALM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75" x14ac:dyDescent="0.25">
      <c r="A2" s="358" t="s">
        <v>741</v>
      </c>
      <c r="B2" s="358"/>
      <c r="C2" s="358"/>
      <c r="D2" s="358"/>
      <c r="E2" s="358"/>
      <c r="F2" s="358"/>
      <c r="G2" s="358"/>
      <c r="H2" s="358"/>
      <c r="I2" s="358"/>
      <c r="J2" s="358"/>
      <c r="K2" s="358"/>
    </row>
    <row r="3" spans="1:11" ht="36" x14ac:dyDescent="0.25">
      <c r="A3" s="148" t="s">
        <v>742</v>
      </c>
      <c r="B3" s="150" t="s">
        <v>743</v>
      </c>
      <c r="C3" s="151" t="s">
        <v>744</v>
      </c>
      <c r="D3" s="148" t="s">
        <v>745</v>
      </c>
      <c r="E3" s="151" t="s">
        <v>746</v>
      </c>
      <c r="F3" s="33" t="s">
        <v>30</v>
      </c>
      <c r="G3" s="180" t="s">
        <v>352</v>
      </c>
      <c r="H3" s="33"/>
      <c r="I3" s="180" t="s">
        <v>352</v>
      </c>
      <c r="J3" s="33"/>
      <c r="K3" s="180" t="s">
        <v>352</v>
      </c>
    </row>
    <row r="4" spans="1:11" ht="36" x14ac:dyDescent="0.25">
      <c r="A4" s="148" t="s">
        <v>747</v>
      </c>
      <c r="B4" s="280" t="s">
        <v>317</v>
      </c>
      <c r="C4" s="359"/>
      <c r="D4" s="360" t="s">
        <v>316</v>
      </c>
      <c r="E4" s="34" t="s">
        <v>748</v>
      </c>
      <c r="F4" s="33" t="s">
        <v>30</v>
      </c>
      <c r="G4" s="180" t="s">
        <v>1015</v>
      </c>
      <c r="H4" s="33"/>
      <c r="I4" s="180" t="s">
        <v>352</v>
      </c>
      <c r="J4" s="33"/>
      <c r="K4" s="180" t="s">
        <v>352</v>
      </c>
    </row>
    <row r="5" spans="1:11" ht="24" x14ac:dyDescent="0.25">
      <c r="A5" s="148" t="s">
        <v>749</v>
      </c>
      <c r="B5" s="280"/>
      <c r="C5" s="359"/>
      <c r="D5" s="360"/>
      <c r="E5" s="34" t="s">
        <v>750</v>
      </c>
      <c r="F5" s="33" t="s">
        <v>19</v>
      </c>
      <c r="G5" s="180" t="s">
        <v>352</v>
      </c>
      <c r="H5" s="33"/>
      <c r="I5" s="180" t="s">
        <v>352</v>
      </c>
      <c r="J5" s="33"/>
      <c r="K5" s="180" t="s">
        <v>352</v>
      </c>
    </row>
    <row r="6" spans="1:11" ht="96" x14ac:dyDescent="0.25">
      <c r="A6" s="148" t="s">
        <v>751</v>
      </c>
      <c r="B6" s="280"/>
      <c r="C6" s="359"/>
      <c r="D6" s="360"/>
      <c r="E6" s="34" t="s">
        <v>752</v>
      </c>
      <c r="F6" s="33" t="s">
        <v>19</v>
      </c>
      <c r="G6" s="180" t="s">
        <v>1016</v>
      </c>
      <c r="H6" s="33"/>
      <c r="I6" s="180" t="s">
        <v>352</v>
      </c>
      <c r="J6" s="33"/>
      <c r="K6" s="180" t="s">
        <v>352</v>
      </c>
    </row>
  </sheetData>
  <sheetProtection algorithmName="SHA-512" hashValue="DRYJNGG/wJB9qmo5j5fsn72oByoSq7VeyBq6gnIIogU4S0btrQ3bbwsBkOSxUDZ1NdXBl/aM6m2FWZQVbd1f+g==" saltValue="VGoj79ri4IRstTYVMghH8A==" spinCount="100000" sheet="1" selectLockedCells="1"/>
  <mergeCells count="4">
    <mergeCell ref="A2:K2"/>
    <mergeCell ref="B4:B6"/>
    <mergeCell ref="C4:C6"/>
    <mergeCell ref="D4:D6"/>
  </mergeCells>
  <conditionalFormatting sqref="G3:G6 I3:I6 K3:K6">
    <cfRule type="expression" dxfId="11" priority="1">
      <formula>NOT(G3="Comment is required")</formula>
    </cfRule>
    <cfRule type="expression" dxfId="10" priority="2">
      <formula>AND(OR(F3="N/A",F3="Partial"),G3="Comment is required")</formula>
    </cfRule>
  </conditionalFormatting>
  <dataValidations count="2">
    <dataValidation type="list" showInputMessage="1" showErrorMessage="1" sqref="H3:H6 F3:F6 J3:J6" xr:uid="{BBEB81C0-FB6C-48DA-96A4-BAC11ADFB8F6}">
      <formula1>"Yes, No, Partial, N/A"</formula1>
    </dataValidation>
    <dataValidation showInputMessage="1" showErrorMessage="1" sqref="I3:I6 G3:G6 K3:K6" xr:uid="{3E570BEE-5FA8-4D03-93CB-35E828F8E183}"/>
  </dataValidations>
  <hyperlinks>
    <hyperlink ref="B3" r:id="rId1" xr:uid="{00000000-0004-0000-1400-000000000000}"/>
    <hyperlink ref="B4:B6" r:id="rId2" display="SI-2" xr:uid="{00000000-0004-0000-14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128"/>
  <sheetViews>
    <sheetView topLeftCell="C1" zoomScaleNormal="100" workbookViewId="0">
      <pane ySplit="8" topLeftCell="A9" activePane="bottomLeft" state="frozen"/>
      <selection activeCell="H20" sqref="H20"/>
      <selection pane="bottomLeft" activeCell="M13" sqref="M13"/>
    </sheetView>
  </sheetViews>
  <sheetFormatPr defaultRowHeight="15" x14ac:dyDescent="0.25"/>
  <cols>
    <col min="1" max="1" width="4.42578125" bestFit="1" customWidth="1"/>
    <col min="2" max="2" width="8.85546875" bestFit="1" customWidth="1"/>
    <col min="3" max="3" width="7.42578125" bestFit="1" customWidth="1"/>
    <col min="4" max="4" width="18.140625" customWidth="1"/>
    <col min="5" max="5" width="12.5703125" customWidth="1"/>
    <col min="6" max="6" width="29.42578125" style="58" customWidth="1"/>
    <col min="7" max="7" width="86.5703125" style="136" customWidth="1"/>
    <col min="8" max="8" width="20.28515625" style="136" customWidth="1"/>
    <col min="9" max="9" width="9.5703125" bestFit="1" customWidth="1"/>
    <col min="10" max="10" width="13.7109375" bestFit="1"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ht="15.75" thickBot="1" x14ac:dyDescent="0.3">
      <c r="F1" s="370" t="s">
        <v>753</v>
      </c>
      <c r="G1" s="370"/>
      <c r="H1" s="370"/>
      <c r="I1" s="370"/>
      <c r="J1" s="370"/>
    </row>
    <row r="2" spans="1:20" ht="30" x14ac:dyDescent="0.25">
      <c r="F2" s="182" t="s">
        <v>754</v>
      </c>
      <c r="G2" s="183" t="s">
        <v>755</v>
      </c>
      <c r="H2" s="183" t="s">
        <v>756</v>
      </c>
      <c r="I2" s="182" t="s">
        <v>757</v>
      </c>
      <c r="J2" s="182" t="s">
        <v>758</v>
      </c>
    </row>
    <row r="3" spans="1:20" ht="180" x14ac:dyDescent="0.25">
      <c r="F3" s="184" t="str">
        <f>IF(Scope!B6="Yes",_xlfn.CONCAT("Service ")&amp;IF(Scope!B7="Yes",_xlfn.CONCAT("Product"),""),IF(Scope!B7="Yes",_xlfn.CONCAT("Product"),"Blank"))</f>
        <v>Product</v>
      </c>
      <c r="G3" s="185" t="e">
        <f>IF(Scope!#REF!="Yes","PHI","No PHI")</f>
        <v>#REF!</v>
      </c>
      <c r="H3" s="185" t="str">
        <f>IF(OR(Scope!B23="Yes",NOT(Scope!C23="")),"Workstation"&amp;_xlfn.CONCAT(" ,",Scope!C23),"")</f>
        <v>Workstation ,The PeriCALM application is installed on workstation at the bedside and nursing stations. Data is communicated between workstations and server. Not data is cached or saved on the workstation.</v>
      </c>
      <c r="I3" s="186" t="str">
        <f>IF(Scope!B40="Yes",_xlfn.CONCAT("SOC 1 Type 1 ")&amp;IF(Scope!B41="Yes",_xlfn.CONCAT("SOC 1 Type 2"),""),IF(Scope!B41="Yes",_xlfn.CONCAT("SOC 1 Type 2"),"No SOC 1"))</f>
        <v>No SOC 1</v>
      </c>
      <c r="J3" s="187" t="str">
        <f>IF(Scope!B10="Yes",_xlfn.CONCAT("Remote Access Client Network ")&amp;IF(Scope!B11="Yes",_xlfn.CONCAT("Onsite Network Access"),""),IF(Scope!B11="Yes",_xlfn.CONCAT("Onsite Network Access"),""))</f>
        <v>Remote Access Client Network Onsite Network Access</v>
      </c>
    </row>
    <row r="4" spans="1:20" ht="45" x14ac:dyDescent="0.25">
      <c r="F4" s="184" t="str">
        <f>IF(Scope!B6="Yes",Scope!C6,"")&amp; " "&amp;IF(Scope!B7="Yes",Scope!C7,"")</f>
        <v xml:space="preserve"> </v>
      </c>
      <c r="G4" s="185" t="str">
        <f>IF(Scope!B17="Yes","PII","No PII")</f>
        <v>PII</v>
      </c>
      <c r="H4" s="185" t="e">
        <f>IF(OR(Scope!B25="Yes",NOT(Scope!#REF!="")),"Mobile Device"&amp;_xlfn.CONCAT(" ,",Scope!#REF!),"")</f>
        <v>#REF!</v>
      </c>
      <c r="I4" s="186" t="str">
        <f>IF(Scope!B42="Yes",_xlfn.CONCAT("SOC 2 Type 1 ")&amp;IF(Scope!B43="Yes",_xlfn.CONCAT("SOC 2 Type 2"),""),IF(Scope!B43="Yes",_xlfn.CONCAT("SOC 2 Type 2"),"No SOC 2"))</f>
        <v>No SOC 2</v>
      </c>
      <c r="J4" s="187" t="str">
        <f>IF(Scope!B12="Yes",_xlfn.CONCAT("Access Client Infrastructure ")&amp;IF(Scope!B13="Yes",_xlfn.CONCAT("Access Application/Database"),""),IF(Scope!B13="Yes",_xlfn.CONCAT("Access Application/Database"),""))</f>
        <v>Access Application/Database</v>
      </c>
    </row>
    <row r="5" spans="1:20" ht="150" x14ac:dyDescent="0.25">
      <c r="F5" s="188"/>
      <c r="G5" s="185" t="str">
        <f>IF(Scope!B18="Yes","PCI","No PCI")</f>
        <v>No PCI</v>
      </c>
      <c r="H5" s="185" t="str">
        <f>IF(OR(Scope!B27="Yes",NOT(Scope!C27="")),"Medical Device"&amp;_xlfn.CONCAT(" ,",Scope!C27),"")</f>
        <v>Medical Device ,The system interfaces to fetal monitor to collect the fetal tracing, trasmit it to the main server which publishes it to all open client application instances on the network</v>
      </c>
      <c r="I5" s="188" t="str">
        <f>IF(Scope!B44="Yes",_xlfn.CONCAT("SOC 3 ")&amp;IF(Scope!B45="Yes",_xlfn.CONCAT("HITRUST"),""),IF(Scope!B45="Yes",_xlfn.CONCAT("HITRUST"),""))</f>
        <v/>
      </c>
      <c r="J5" s="187" t="str">
        <f>IF(Scope!B14="Yes",_xlfn.CONCAT("Receive Client Data ")&amp;IF(Scope!B15="Yes",_xlfn.CONCAT("No Access"),""),IF(Scope!B15="Yes",_xlfn.CONCAT("No Access"),""))</f>
        <v xml:space="preserve">Receive Client Data </v>
      </c>
    </row>
    <row r="6" spans="1:20" x14ac:dyDescent="0.25">
      <c r="F6" s="184"/>
      <c r="G6" s="185" t="str">
        <f>IF(Scope!B20="Yes",_xlfn.CONCAT("Employee Information ")&amp;IF(Scope!B21="Yes",_xlfn.CONCAT(" Proprietary Information")),IF(Scope!B21="Yes",_xlfn.CONCAT("Proprietary Information"),"No Employee or Proprietary Informaiton"))</f>
        <v>No Employee or Proprietary Informaiton</v>
      </c>
      <c r="H6" s="185" t="str">
        <f>IF(OR(Scope!B28="Yes",NOT(Scope!C28="")),"Other"&amp;_xlfn.CONCAT(" ,",Scope!C28),"")</f>
        <v/>
      </c>
      <c r="I6" s="188" t="str">
        <f>IF(Scope!B46="Yes",_xlfn.CONCAT("PCI DSS ")&amp;IF(Scope!B46="Yes",_xlfn.CONCAT("ISO 27001"),""),IF(Scope!B46="Yes",_xlfn.CONCAT("ISO 27001"),""))</f>
        <v/>
      </c>
      <c r="J6" s="188"/>
    </row>
    <row r="7" spans="1:20" x14ac:dyDescent="0.25">
      <c r="F7" s="184"/>
      <c r="G7" s="185"/>
      <c r="H7" s="185"/>
      <c r="I7" s="188" t="str">
        <f>IF(Scope!B48="Yes",_xlfn.CONCAT("FedRamp ")&amp;IF(Scope!B49="Yes",_xlfn.CONCAT("HIPAA"),""),IF(Scope!B47="Yes",_xlfn.CONCAT("HIPAA"),""))</f>
        <v/>
      </c>
      <c r="J7" s="188"/>
    </row>
    <row r="8" spans="1:20" x14ac:dyDescent="0.25">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25">
      <c r="A9" s="181">
        <v>3</v>
      </c>
      <c r="C9">
        <f>IF($B9="",$A9,$B9)</f>
        <v>3</v>
      </c>
      <c r="D9" t="s">
        <v>773</v>
      </c>
      <c r="E9" s="51" t="s">
        <v>347</v>
      </c>
      <c r="F9" s="57" t="s">
        <v>350</v>
      </c>
      <c r="G9" s="131" t="s">
        <v>351</v>
      </c>
      <c r="H9" s="131" t="str">
        <f>'1. Access Controls'!$G3</f>
        <v>Comment is required</v>
      </c>
      <c r="I9" t="str">
        <f>'1. Access Controls'!$F3</f>
        <v>Yes</v>
      </c>
      <c r="J9" t="str">
        <f t="shared" ref="J9:J12" si="0">IF($I9="Yes","Adequate",IF($I9="No","Inadequate",IF($I9="Partial","Inadequate",IF($I9="N/A","Inadequate",IF(OR($I9="",$I9=0),"Blank","Error")))))</f>
        <v>Adequate</v>
      </c>
      <c r="K9" s="123" t="s">
        <v>75</v>
      </c>
      <c r="L9" t="str">
        <f t="shared" ref="L9:L33" si="1">IF($K9="No Override",$J9,$K9)</f>
        <v>Adequate</v>
      </c>
      <c r="N9" t="str">
        <f>IF($J9=$L9,"","***")</f>
        <v/>
      </c>
      <c r="O9" t="str">
        <f>IF(OR($I9="",$I9=0),"",$I9)</f>
        <v>Yes</v>
      </c>
      <c r="P9" t="str">
        <f>IF(OR($H9="",$H9=0),"",$H9)</f>
        <v>Comment is required</v>
      </c>
      <c r="Q9" t="str">
        <f>$L9</f>
        <v>Adequate</v>
      </c>
      <c r="R9" t="str">
        <f>$K9</f>
        <v>No Override</v>
      </c>
      <c r="S9">
        <f>$C9</f>
        <v>3</v>
      </c>
      <c r="T9" t="str">
        <f>IF($L9=$Q9,"","***")</f>
        <v/>
      </c>
    </row>
    <row r="10" spans="1:20" ht="228" x14ac:dyDescent="0.25">
      <c r="A10" s="181">
        <v>1</v>
      </c>
      <c r="C10">
        <f>IF($B10="",$A10,$B10)</f>
        <v>1</v>
      </c>
      <c r="D10" t="s">
        <v>773</v>
      </c>
      <c r="E10" s="51" t="s">
        <v>353</v>
      </c>
      <c r="F10" s="57" t="s">
        <v>356</v>
      </c>
      <c r="G10" s="131" t="s">
        <v>357</v>
      </c>
      <c r="H10" s="131" t="str">
        <f>'1. Access Controls'!$G4</f>
        <v>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v>
      </c>
      <c r="I10" t="str">
        <f>'1. Access Controls'!$F4</f>
        <v>Yes</v>
      </c>
      <c r="J10" t="str">
        <f t="shared" si="0"/>
        <v>Adequate</v>
      </c>
      <c r="K10" s="123" t="s">
        <v>75</v>
      </c>
      <c r="L10" t="str">
        <f t="shared" si="1"/>
        <v>Adequate</v>
      </c>
      <c r="N10" t="str">
        <f t="shared" ref="N10:N33" si="2">IF($J10=$L10,"","***")</f>
        <v/>
      </c>
      <c r="O10" t="str">
        <f t="shared" ref="O10:O33" si="3">IF(OR($I10="",$I10=0),"",$I10)</f>
        <v>Yes</v>
      </c>
      <c r="P10" t="str">
        <f t="shared" ref="P10:P33" si="4">IF(OR($H10="",$H10=0),"",$H10)</f>
        <v>Access controlled is enforced by groups membership. An AD user must belong to an AD group that is identical by name to an internal PeriCALM group. An authenticated user that belong to such a group inherits its access rights. These rights are controlled by the customer application administrators where AD group membership is controlled by customer IT administrators.</v>
      </c>
      <c r="Q10" t="str">
        <f t="shared" ref="Q10:Q33" si="5">$L10</f>
        <v>Adequate</v>
      </c>
      <c r="R10" t="str">
        <f t="shared" ref="R10:R33" si="6">$K10</f>
        <v>No Override</v>
      </c>
      <c r="S10">
        <f t="shared" ref="S10:S33" si="7">$C10</f>
        <v>1</v>
      </c>
      <c r="T10" t="str">
        <f t="shared" ref="T10:T33" si="8">IF($L10=$Q10,"","***")</f>
        <v/>
      </c>
    </row>
    <row r="11" spans="1:20" x14ac:dyDescent="0.25">
      <c r="A11" s="181">
        <v>3</v>
      </c>
      <c r="C11">
        <f>IF($B11="",$A11,$B11)</f>
        <v>3</v>
      </c>
      <c r="D11" t="s">
        <v>773</v>
      </c>
      <c r="E11" s="51" t="s">
        <v>358</v>
      </c>
      <c r="F11" s="57" t="s">
        <v>356</v>
      </c>
      <c r="G11" s="131" t="s">
        <v>359</v>
      </c>
      <c r="H11" s="131" t="str">
        <f>'1. Access Controls'!$G5</f>
        <v>Comment is required</v>
      </c>
      <c r="I11" t="str">
        <f>'1. Access Controls'!$F5</f>
        <v>Yes</v>
      </c>
      <c r="J11" t="str">
        <f t="shared" si="0"/>
        <v>Adequate</v>
      </c>
      <c r="K11" s="123" t="s">
        <v>75</v>
      </c>
      <c r="L11" t="str">
        <f t="shared" si="1"/>
        <v>Adequate</v>
      </c>
      <c r="N11" t="str">
        <f t="shared" si="2"/>
        <v/>
      </c>
      <c r="O11" t="str">
        <f t="shared" si="3"/>
        <v>Yes</v>
      </c>
      <c r="P11" t="str">
        <f t="shared" si="4"/>
        <v>Comment is required</v>
      </c>
      <c r="Q11" t="str">
        <f t="shared" si="5"/>
        <v>Adequate</v>
      </c>
      <c r="R11" t="str">
        <f t="shared" si="6"/>
        <v>No Override</v>
      </c>
      <c r="S11">
        <f t="shared" si="7"/>
        <v>3</v>
      </c>
      <c r="T11" t="str">
        <f t="shared" si="8"/>
        <v/>
      </c>
    </row>
    <row r="12" spans="1:20" x14ac:dyDescent="0.25">
      <c r="A12" s="181">
        <v>4</v>
      </c>
      <c r="C12">
        <f>IF($B12="",$A12,$B12)</f>
        <v>4</v>
      </c>
      <c r="D12" t="s">
        <v>773</v>
      </c>
      <c r="E12" s="51" t="s">
        <v>360</v>
      </c>
      <c r="F12" s="57" t="s">
        <v>356</v>
      </c>
      <c r="G12" s="131" t="s">
        <v>361</v>
      </c>
      <c r="H12" s="131" t="str">
        <f>'1. Access Controls'!$G6</f>
        <v>Comment is required</v>
      </c>
      <c r="I12" t="str">
        <f>'1. Access Controls'!$F6</f>
        <v>Yes</v>
      </c>
      <c r="J12" t="str">
        <f t="shared" si="0"/>
        <v>Adequate</v>
      </c>
      <c r="K12" s="123" t="s">
        <v>75</v>
      </c>
      <c r="L12" t="str">
        <f t="shared" si="1"/>
        <v>Adequate</v>
      </c>
      <c r="N12" t="str">
        <f t="shared" si="2"/>
        <v/>
      </c>
      <c r="O12" t="str">
        <f t="shared" si="3"/>
        <v>Yes</v>
      </c>
      <c r="P12" t="str">
        <f t="shared" si="4"/>
        <v>Comment is required</v>
      </c>
      <c r="Q12" t="str">
        <f t="shared" si="5"/>
        <v>Adequate</v>
      </c>
      <c r="R12" t="str">
        <f t="shared" si="6"/>
        <v>No Override</v>
      </c>
      <c r="S12">
        <f t="shared" si="7"/>
        <v>4</v>
      </c>
      <c r="T12" t="str">
        <f t="shared" si="8"/>
        <v/>
      </c>
    </row>
    <row r="13" spans="1:20" ht="24" x14ac:dyDescent="0.25">
      <c r="A13" s="181">
        <v>2</v>
      </c>
      <c r="C13">
        <f t="shared" ref="C13:C33" si="9">IF($B13="",$A13,$B13)</f>
        <v>2</v>
      </c>
      <c r="D13" t="s">
        <v>773</v>
      </c>
      <c r="E13" s="51" t="s">
        <v>362</v>
      </c>
      <c r="F13" s="57" t="s">
        <v>364</v>
      </c>
      <c r="G13" s="131" t="s">
        <v>774</v>
      </c>
      <c r="H13" s="131" t="str">
        <f>'1. Access Controls'!$G7</f>
        <v>Via AD authentication controls.</v>
      </c>
      <c r="I13" t="str">
        <f>'1. Access Controls'!$F7</f>
        <v>Yes</v>
      </c>
      <c r="J13" t="str">
        <f t="shared" ref="J13:J19" si="10">IF($I13="Yes","Adequate",IF($I13="No","Inadequate",IF($I13="Partial","Inadequate",IF($I13="N/A","Inadequate",IF(OR($I13="",$I13=0),"Blank","Error")))))</f>
        <v>Adequate</v>
      </c>
      <c r="K13" s="123" t="s">
        <v>75</v>
      </c>
      <c r="L13" t="str">
        <f t="shared" si="1"/>
        <v>Adequate</v>
      </c>
      <c r="N13" t="str">
        <f t="shared" si="2"/>
        <v/>
      </c>
      <c r="O13" t="str">
        <f t="shared" si="3"/>
        <v>Yes</v>
      </c>
      <c r="P13" t="str">
        <f t="shared" si="4"/>
        <v>Via AD authentication controls.</v>
      </c>
      <c r="Q13" t="str">
        <f t="shared" si="5"/>
        <v>Adequate</v>
      </c>
      <c r="R13" t="str">
        <f t="shared" si="6"/>
        <v>No Override</v>
      </c>
      <c r="S13">
        <f t="shared" si="7"/>
        <v>2</v>
      </c>
      <c r="T13" t="str">
        <f t="shared" si="8"/>
        <v/>
      </c>
    </row>
    <row r="14" spans="1:20" ht="24" x14ac:dyDescent="0.25">
      <c r="A14" s="181">
        <v>4</v>
      </c>
      <c r="C14">
        <f t="shared" si="9"/>
        <v>4</v>
      </c>
      <c r="D14" t="s">
        <v>773</v>
      </c>
      <c r="E14" s="51" t="s">
        <v>366</v>
      </c>
      <c r="F14" s="57" t="s">
        <v>368</v>
      </c>
      <c r="G14" s="131" t="s">
        <v>369</v>
      </c>
      <c r="H14" s="131" t="str">
        <f>'1. Access Controls'!$G8</f>
        <v>Comment is required</v>
      </c>
      <c r="I14" t="str">
        <f>'1. Access Controls'!$F8</f>
        <v>No</v>
      </c>
      <c r="J14" t="str">
        <f t="shared" si="10"/>
        <v>Inadequate</v>
      </c>
      <c r="K14" s="123" t="s">
        <v>75</v>
      </c>
      <c r="L14" t="str">
        <f t="shared" si="1"/>
        <v>Inadequate</v>
      </c>
      <c r="N14" t="str">
        <f t="shared" si="2"/>
        <v/>
      </c>
      <c r="O14" t="str">
        <f t="shared" si="3"/>
        <v>No</v>
      </c>
      <c r="P14" t="str">
        <f t="shared" si="4"/>
        <v>Comment is required</v>
      </c>
      <c r="Q14" t="str">
        <f t="shared" si="5"/>
        <v>Inadequate</v>
      </c>
      <c r="R14" t="str">
        <f t="shared" si="6"/>
        <v>No Override</v>
      </c>
      <c r="S14">
        <f t="shared" si="7"/>
        <v>4</v>
      </c>
      <c r="T14" t="str">
        <f t="shared" si="8"/>
        <v/>
      </c>
    </row>
    <row r="15" spans="1:20" x14ac:dyDescent="0.25">
      <c r="A15" s="181">
        <v>4</v>
      </c>
      <c r="C15">
        <f t="shared" si="9"/>
        <v>4</v>
      </c>
      <c r="D15" t="s">
        <v>773</v>
      </c>
      <c r="E15" s="51" t="s">
        <v>370</v>
      </c>
      <c r="F15" s="57" t="s">
        <v>372</v>
      </c>
      <c r="G15" s="131" t="s">
        <v>373</v>
      </c>
      <c r="H15" s="131" t="str">
        <f>'1. Access Controls'!$G9</f>
        <v>Comment is required</v>
      </c>
      <c r="I15" t="str">
        <f>'1. Access Controls'!$F9</f>
        <v>No</v>
      </c>
      <c r="J15" t="str">
        <f t="shared" si="10"/>
        <v>Inadequate</v>
      </c>
      <c r="K15" s="123" t="s">
        <v>75</v>
      </c>
      <c r="L15" t="str">
        <f t="shared" si="1"/>
        <v>Inadequate</v>
      </c>
      <c r="N15" t="str">
        <f t="shared" si="2"/>
        <v/>
      </c>
      <c r="O15" t="str">
        <f t="shared" si="3"/>
        <v>No</v>
      </c>
      <c r="P15" t="str">
        <f t="shared" si="4"/>
        <v>Comment is required</v>
      </c>
      <c r="Q15" t="str">
        <f t="shared" si="5"/>
        <v>Inadequate</v>
      </c>
      <c r="R15" t="str">
        <f t="shared" si="6"/>
        <v>No Override</v>
      </c>
      <c r="S15">
        <f t="shared" si="7"/>
        <v>4</v>
      </c>
      <c r="T15" t="str">
        <f t="shared" si="8"/>
        <v/>
      </c>
    </row>
    <row r="16" spans="1:20" x14ac:dyDescent="0.25">
      <c r="A16" s="181">
        <v>4</v>
      </c>
      <c r="C16">
        <f t="shared" si="9"/>
        <v>4</v>
      </c>
      <c r="D16" t="s">
        <v>773</v>
      </c>
      <c r="E16" s="51" t="s">
        <v>374</v>
      </c>
      <c r="F16" s="57" t="s">
        <v>376</v>
      </c>
      <c r="G16" s="131" t="s">
        <v>377</v>
      </c>
      <c r="H16" s="131" t="str">
        <f>'1. Access Controls'!$G10</f>
        <v>Comment is required</v>
      </c>
      <c r="I16" t="str">
        <f>'1. Access Controls'!$F10</f>
        <v>No</v>
      </c>
      <c r="J16" t="str">
        <f t="shared" si="10"/>
        <v>Inadequate</v>
      </c>
      <c r="K16" s="123" t="s">
        <v>75</v>
      </c>
      <c r="L16" t="str">
        <f t="shared" si="1"/>
        <v>Inadequate</v>
      </c>
      <c r="N16" t="str">
        <f t="shared" si="2"/>
        <v/>
      </c>
      <c r="O16" t="str">
        <f t="shared" si="3"/>
        <v>No</v>
      </c>
      <c r="P16" t="str">
        <f t="shared" si="4"/>
        <v>Comment is required</v>
      </c>
      <c r="Q16" t="str">
        <f t="shared" si="5"/>
        <v>Inadequate</v>
      </c>
      <c r="R16" t="str">
        <f t="shared" si="6"/>
        <v>No Override</v>
      </c>
      <c r="S16">
        <f t="shared" si="7"/>
        <v>4</v>
      </c>
      <c r="T16" t="str">
        <f t="shared" si="8"/>
        <v/>
      </c>
    </row>
    <row r="17" spans="1:20" ht="24" x14ac:dyDescent="0.25">
      <c r="A17" s="181">
        <v>2</v>
      </c>
      <c r="C17">
        <f t="shared" si="9"/>
        <v>2</v>
      </c>
      <c r="D17" t="s">
        <v>773</v>
      </c>
      <c r="E17" s="51" t="s">
        <v>378</v>
      </c>
      <c r="F17" s="57" t="s">
        <v>381</v>
      </c>
      <c r="G17" s="131" t="s">
        <v>382</v>
      </c>
      <c r="H17" s="131" t="str">
        <f>'1. Access Controls'!$G11</f>
        <v>Comment is required</v>
      </c>
      <c r="I17" t="str">
        <f>'1. Access Controls'!$F11</f>
        <v>Yes</v>
      </c>
      <c r="J17" t="str">
        <f t="shared" si="10"/>
        <v>Adequate</v>
      </c>
      <c r="K17" s="123" t="s">
        <v>75</v>
      </c>
      <c r="L17" t="str">
        <f t="shared" si="1"/>
        <v>Adequate</v>
      </c>
      <c r="N17" t="str">
        <f t="shared" si="2"/>
        <v/>
      </c>
      <c r="O17" t="str">
        <f t="shared" si="3"/>
        <v>Yes</v>
      </c>
      <c r="P17" t="str">
        <f t="shared" si="4"/>
        <v>Comment is required</v>
      </c>
      <c r="Q17" t="str">
        <f t="shared" si="5"/>
        <v>Adequate</v>
      </c>
      <c r="R17" t="str">
        <f t="shared" si="6"/>
        <v>No Override</v>
      </c>
      <c r="S17">
        <f t="shared" si="7"/>
        <v>2</v>
      </c>
      <c r="T17" t="str">
        <f t="shared" si="8"/>
        <v/>
      </c>
    </row>
    <row r="18" spans="1:20" x14ac:dyDescent="0.25">
      <c r="A18" s="181">
        <v>2</v>
      </c>
      <c r="C18">
        <f t="shared" si="9"/>
        <v>2</v>
      </c>
      <c r="D18" t="s">
        <v>773</v>
      </c>
      <c r="E18" s="51" t="s">
        <v>383</v>
      </c>
      <c r="F18" s="57" t="s">
        <v>385</v>
      </c>
      <c r="G18" s="131" t="s">
        <v>386</v>
      </c>
      <c r="H18" s="131" t="str">
        <f>'1. Access Controls'!$G12</f>
        <v>Comment is required</v>
      </c>
      <c r="I18" t="str">
        <f>'1. Access Controls'!$F12</f>
        <v>No</v>
      </c>
      <c r="J18" t="str">
        <f t="shared" si="10"/>
        <v>Inadequate</v>
      </c>
      <c r="K18" s="123" t="s">
        <v>75</v>
      </c>
      <c r="L18" t="str">
        <f t="shared" si="1"/>
        <v>Inadequate</v>
      </c>
      <c r="N18" t="str">
        <f t="shared" si="2"/>
        <v/>
      </c>
      <c r="O18" t="str">
        <f t="shared" si="3"/>
        <v>No</v>
      </c>
      <c r="P18" t="str">
        <f t="shared" si="4"/>
        <v>Comment is required</v>
      </c>
      <c r="Q18" t="str">
        <f t="shared" si="5"/>
        <v>Inadequate</v>
      </c>
      <c r="R18" t="str">
        <f t="shared" si="6"/>
        <v>No Override</v>
      </c>
      <c r="S18">
        <f t="shared" si="7"/>
        <v>2</v>
      </c>
      <c r="T18" t="str">
        <f t="shared" si="8"/>
        <v/>
      </c>
    </row>
    <row r="19" spans="1:20" ht="24" x14ac:dyDescent="0.25">
      <c r="A19" s="181">
        <v>2</v>
      </c>
      <c r="C19">
        <f t="shared" si="9"/>
        <v>2</v>
      </c>
      <c r="D19" t="s">
        <v>773</v>
      </c>
      <c r="E19" s="51" t="s">
        <v>387</v>
      </c>
      <c r="F19" s="57" t="s">
        <v>389</v>
      </c>
      <c r="G19" s="131" t="s">
        <v>390</v>
      </c>
      <c r="H19" s="131" t="str">
        <f>'1. Access Controls'!$G13</f>
        <v>Comment is required</v>
      </c>
      <c r="I19" t="str">
        <f>'1. Access Controls'!$F13</f>
        <v>Yes</v>
      </c>
      <c r="J19" t="str">
        <f t="shared" si="10"/>
        <v>Adequate</v>
      </c>
      <c r="K19" s="123" t="s">
        <v>75</v>
      </c>
      <c r="L19" t="str">
        <f t="shared" si="1"/>
        <v>Adequate</v>
      </c>
      <c r="N19" t="str">
        <f t="shared" si="2"/>
        <v/>
      </c>
      <c r="O19" t="str">
        <f t="shared" si="3"/>
        <v>Yes</v>
      </c>
      <c r="P19" t="str">
        <f t="shared" si="4"/>
        <v>Comment is required</v>
      </c>
      <c r="Q19" t="str">
        <f t="shared" si="5"/>
        <v>Adequate</v>
      </c>
      <c r="R19" t="str">
        <f t="shared" si="6"/>
        <v>No Override</v>
      </c>
      <c r="S19">
        <f t="shared" si="7"/>
        <v>2</v>
      </c>
      <c r="T19" t="str">
        <f t="shared" si="8"/>
        <v/>
      </c>
    </row>
    <row r="20" spans="1:20" ht="24" x14ac:dyDescent="0.25">
      <c r="A20" s="181">
        <v>2</v>
      </c>
      <c r="C20">
        <f t="shared" si="9"/>
        <v>2</v>
      </c>
      <c r="D20" t="s">
        <v>391</v>
      </c>
      <c r="E20" s="51" t="s">
        <v>392</v>
      </c>
      <c r="F20" s="57" t="s">
        <v>395</v>
      </c>
      <c r="G20" s="131" t="s">
        <v>396</v>
      </c>
      <c r="H20" s="131" t="str">
        <f>'2. Awareness and Training'!$G3</f>
        <v>Comment is required</v>
      </c>
      <c r="I20" t="str">
        <f>'2. Awareness and Training'!$F3</f>
        <v>Yes</v>
      </c>
      <c r="J20" t="str">
        <f>IF($I20="Yes","Adequate",IF($I20="No","Inadequate",IF($I20="Partial","Inadequate",IF($I20="N/A","Inadequate",IF(OR($I20="",$I20=0),"Blank","Error")))))</f>
        <v>Adequate</v>
      </c>
      <c r="K20" s="123" t="s">
        <v>75</v>
      </c>
      <c r="L20" t="str">
        <f t="shared" si="1"/>
        <v>Adequate</v>
      </c>
      <c r="N20" t="str">
        <f t="shared" si="2"/>
        <v/>
      </c>
      <c r="O20" t="str">
        <f t="shared" si="3"/>
        <v>Yes</v>
      </c>
      <c r="P20" t="str">
        <f t="shared" si="4"/>
        <v>Comment is required</v>
      </c>
      <c r="Q20" t="str">
        <f t="shared" si="5"/>
        <v>Adequate</v>
      </c>
      <c r="R20" t="str">
        <f t="shared" si="6"/>
        <v>No Override</v>
      </c>
      <c r="S20">
        <f t="shared" si="7"/>
        <v>2</v>
      </c>
      <c r="T20" t="str">
        <f t="shared" si="8"/>
        <v/>
      </c>
    </row>
    <row r="21" spans="1:20" x14ac:dyDescent="0.25">
      <c r="A21" s="181">
        <v>2</v>
      </c>
      <c r="C21">
        <f t="shared" si="9"/>
        <v>2</v>
      </c>
      <c r="D21" t="s">
        <v>391</v>
      </c>
      <c r="E21" s="51" t="s">
        <v>397</v>
      </c>
      <c r="F21" s="59" t="s">
        <v>400</v>
      </c>
      <c r="G21" s="131" t="s">
        <v>401</v>
      </c>
      <c r="H21" s="131" t="str">
        <f>'2. Awareness and Training'!$G4</f>
        <v>Comment is required</v>
      </c>
      <c r="I21" t="str">
        <f>'2. Awareness and Training'!$F4</f>
        <v>Yes</v>
      </c>
      <c r="J21" t="str">
        <f>IF($I21="Yes","Adequate",IF($I21="No","Inadequate",IF($I21="Partial","Inadequate",IF($I21="N/A","Inadequate",IF(OR($I21="",$I21=0),"Blank","Error")))))</f>
        <v>Adequate</v>
      </c>
      <c r="K21" s="123" t="s">
        <v>75</v>
      </c>
      <c r="L21" t="str">
        <f t="shared" si="1"/>
        <v>Adequate</v>
      </c>
      <c r="N21" t="str">
        <f t="shared" si="2"/>
        <v/>
      </c>
      <c r="O21" t="str">
        <f t="shared" si="3"/>
        <v>Yes</v>
      </c>
      <c r="P21" t="str">
        <f t="shared" si="4"/>
        <v>Comment is required</v>
      </c>
      <c r="Q21" t="str">
        <f t="shared" si="5"/>
        <v>Adequate</v>
      </c>
      <c r="R21" t="str">
        <f t="shared" si="6"/>
        <v>No Override</v>
      </c>
      <c r="S21">
        <f t="shared" si="7"/>
        <v>2</v>
      </c>
      <c r="T21" t="str">
        <f t="shared" si="8"/>
        <v/>
      </c>
    </row>
    <row r="22" spans="1:20" ht="60" x14ac:dyDescent="0.25">
      <c r="A22" s="181">
        <v>2</v>
      </c>
      <c r="C22">
        <f t="shared" si="9"/>
        <v>2</v>
      </c>
      <c r="D22" t="s">
        <v>391</v>
      </c>
      <c r="E22" s="51" t="s">
        <v>402</v>
      </c>
      <c r="F22" s="59" t="s">
        <v>400</v>
      </c>
      <c r="G22" s="131" t="s">
        <v>403</v>
      </c>
      <c r="H22" s="131" t="str">
        <f>'2. Awareness and Training'!$G5</f>
        <v>Customer responsibility to train their internal administrators/super-users to periodically train end-users</v>
      </c>
      <c r="I22" t="str">
        <f>'2. Awareness and Training'!$F5</f>
        <v>Yes</v>
      </c>
      <c r="J22" t="str">
        <f>IF($I22="Yes","Adequate",IF($I22="No","Inadequate",IF($I22="Partial","Inadequate",IF($I22="N/A","Inadequate",IF(OR($I22="",$I22=0),"Blank","Error")))))</f>
        <v>Adequate</v>
      </c>
      <c r="K22" s="123" t="s">
        <v>75</v>
      </c>
      <c r="L22" t="str">
        <f t="shared" si="1"/>
        <v>Adequate</v>
      </c>
      <c r="N22" t="str">
        <f t="shared" si="2"/>
        <v/>
      </c>
      <c r="O22" t="str">
        <f t="shared" si="3"/>
        <v>Yes</v>
      </c>
      <c r="P22" t="str">
        <f t="shared" si="4"/>
        <v>Customer responsibility to train their internal administrators/super-users to periodically train end-users</v>
      </c>
      <c r="Q22" t="str">
        <f t="shared" si="5"/>
        <v>Adequate</v>
      </c>
      <c r="R22" t="str">
        <f t="shared" si="6"/>
        <v>No Override</v>
      </c>
      <c r="S22">
        <f t="shared" si="7"/>
        <v>2</v>
      </c>
      <c r="T22" t="str">
        <f t="shared" si="8"/>
        <v/>
      </c>
    </row>
    <row r="23" spans="1:20" ht="48" x14ac:dyDescent="0.25">
      <c r="A23" s="181">
        <v>2</v>
      </c>
      <c r="C23">
        <f t="shared" si="9"/>
        <v>2</v>
      </c>
      <c r="D23" t="s">
        <v>391</v>
      </c>
      <c r="E23" s="51" t="s">
        <v>404</v>
      </c>
      <c r="F23" s="59" t="s">
        <v>406</v>
      </c>
      <c r="G23" s="132" t="s">
        <v>407</v>
      </c>
      <c r="H23" s="131" t="str">
        <f>'2. Awareness and Training'!$G6</f>
        <v>All security related topics are cover during initial training and user guides</v>
      </c>
      <c r="I23" t="str">
        <f>'2. Awareness and Training'!$F6</f>
        <v>No</v>
      </c>
      <c r="J23" t="str">
        <f t="shared" ref="J23:J29" si="11">IF($I23="Yes","Adequate",IF($I23="No","Inadequate",IF($I23="Partial","Inadequate",IF($I23="N/A","Inadequate",IF(OR($I23="",$I23=0),"Blank","Error")))))</f>
        <v>Inadequate</v>
      </c>
      <c r="K23" s="123" t="s">
        <v>75</v>
      </c>
      <c r="L23" t="str">
        <f t="shared" si="1"/>
        <v>Inadequate</v>
      </c>
      <c r="N23" t="str">
        <f t="shared" si="2"/>
        <v/>
      </c>
      <c r="O23" t="str">
        <f t="shared" si="3"/>
        <v>No</v>
      </c>
      <c r="P23" t="str">
        <f t="shared" si="4"/>
        <v>All security related topics are cover during initial training and user guides</v>
      </c>
      <c r="Q23" t="str">
        <f t="shared" si="5"/>
        <v>Inadequate</v>
      </c>
      <c r="R23" t="str">
        <f t="shared" si="6"/>
        <v>No Override</v>
      </c>
      <c r="S23">
        <f t="shared" si="7"/>
        <v>2</v>
      </c>
      <c r="T23" t="str">
        <f t="shared" si="8"/>
        <v/>
      </c>
    </row>
    <row r="24" spans="1:20" x14ac:dyDescent="0.25">
      <c r="A24" s="181">
        <v>2</v>
      </c>
      <c r="C24">
        <f t="shared" si="9"/>
        <v>2</v>
      </c>
      <c r="D24" t="s">
        <v>391</v>
      </c>
      <c r="E24" s="51" t="s">
        <v>408</v>
      </c>
      <c r="F24" s="59" t="s">
        <v>410</v>
      </c>
      <c r="G24" s="132" t="s">
        <v>411</v>
      </c>
      <c r="H24" s="131" t="str">
        <f>'2. Awareness and Training'!$G7</f>
        <v>Comment is required</v>
      </c>
      <c r="I24" t="str">
        <f>'2. Awareness and Training'!$F7</f>
        <v>No</v>
      </c>
      <c r="J24" t="str">
        <f t="shared" si="11"/>
        <v>Inadequate</v>
      </c>
      <c r="K24" s="123" t="s">
        <v>75</v>
      </c>
      <c r="L24" t="str">
        <f t="shared" si="1"/>
        <v>Inadequate</v>
      </c>
      <c r="N24" t="str">
        <f t="shared" si="2"/>
        <v/>
      </c>
      <c r="O24" t="str">
        <f t="shared" si="3"/>
        <v>No</v>
      </c>
      <c r="P24" t="str">
        <f t="shared" si="4"/>
        <v>Comment is required</v>
      </c>
      <c r="Q24" t="str">
        <f t="shared" si="5"/>
        <v>Inadequate</v>
      </c>
      <c r="R24" t="str">
        <f t="shared" si="6"/>
        <v>No Override</v>
      </c>
      <c r="S24">
        <f t="shared" si="7"/>
        <v>2</v>
      </c>
      <c r="T24" t="str">
        <f t="shared" si="8"/>
        <v/>
      </c>
    </row>
    <row r="25" spans="1:20" ht="144" x14ac:dyDescent="0.25">
      <c r="A25" s="181">
        <v>2</v>
      </c>
      <c r="C25">
        <f t="shared" si="9"/>
        <v>2</v>
      </c>
      <c r="D25" t="s">
        <v>412</v>
      </c>
      <c r="E25" s="51" t="s">
        <v>413</v>
      </c>
      <c r="F25" s="59" t="s">
        <v>416</v>
      </c>
      <c r="G25" s="133" t="s">
        <v>417</v>
      </c>
      <c r="H25" s="131" t="str">
        <f>'3. Audit and Accountability'!$G3</f>
        <v>* logon/logoff
* Access from station (hostname)
* Screens access by user
* All data changes (old values, new values, user, dataTime)
All the above include username and dataTime</v>
      </c>
      <c r="I25" t="str">
        <f>'3. Audit and Accountability'!$F3</f>
        <v>Yes</v>
      </c>
      <c r="J25" t="str">
        <f t="shared" si="11"/>
        <v>Adequate</v>
      </c>
      <c r="K25" s="123" t="s">
        <v>75</v>
      </c>
      <c r="L25" t="str">
        <f t="shared" si="1"/>
        <v>Adequate</v>
      </c>
      <c r="N25" t="str">
        <f t="shared" si="2"/>
        <v/>
      </c>
      <c r="O25" t="str">
        <f t="shared" si="3"/>
        <v>Yes</v>
      </c>
      <c r="P25" t="str">
        <f t="shared" si="4"/>
        <v>* logon/logoff
* Access from station (hostname)
* Screens access by user
* All data changes (old values, new values, user, dataTime)
All the above include username and dataTime</v>
      </c>
      <c r="Q25" t="str">
        <f t="shared" si="5"/>
        <v>Adequate</v>
      </c>
      <c r="R25" t="str">
        <f t="shared" si="6"/>
        <v>No Override</v>
      </c>
      <c r="S25">
        <f t="shared" si="7"/>
        <v>2</v>
      </c>
      <c r="T25" t="str">
        <f t="shared" si="8"/>
        <v/>
      </c>
    </row>
    <row r="26" spans="1:20" ht="24" x14ac:dyDescent="0.25">
      <c r="A26" s="181">
        <v>2</v>
      </c>
      <c r="C26">
        <f t="shared" si="9"/>
        <v>2</v>
      </c>
      <c r="D26" t="s">
        <v>412</v>
      </c>
      <c r="E26" s="51" t="s">
        <v>418</v>
      </c>
      <c r="F26" s="59" t="s">
        <v>416</v>
      </c>
      <c r="G26" s="133" t="s">
        <v>419</v>
      </c>
      <c r="H26" s="131" t="str">
        <f>'3. Audit and Accountability'!$G4</f>
        <v>Comment is required</v>
      </c>
      <c r="I26" t="str">
        <f>'3. Audit and Accountability'!$F4</f>
        <v>Yes</v>
      </c>
      <c r="J26" t="str">
        <f t="shared" si="11"/>
        <v>Adequate</v>
      </c>
      <c r="K26" s="123" t="s">
        <v>75</v>
      </c>
      <c r="L26" t="str">
        <f t="shared" si="1"/>
        <v>Adequate</v>
      </c>
      <c r="N26" t="str">
        <f t="shared" si="2"/>
        <v/>
      </c>
      <c r="O26" t="str">
        <f t="shared" si="3"/>
        <v>Yes</v>
      </c>
      <c r="P26" t="str">
        <f t="shared" si="4"/>
        <v>Comment is required</v>
      </c>
      <c r="Q26" t="str">
        <f t="shared" si="5"/>
        <v>Adequate</v>
      </c>
      <c r="R26" t="str">
        <f t="shared" si="6"/>
        <v>No Override</v>
      </c>
      <c r="S26">
        <f t="shared" si="7"/>
        <v>2</v>
      </c>
      <c r="T26" t="str">
        <f t="shared" si="8"/>
        <v/>
      </c>
    </row>
    <row r="27" spans="1:20" ht="36" x14ac:dyDescent="0.25">
      <c r="A27" s="181">
        <v>2</v>
      </c>
      <c r="C27">
        <f t="shared" si="9"/>
        <v>2</v>
      </c>
      <c r="D27" t="s">
        <v>412</v>
      </c>
      <c r="E27" s="51" t="s">
        <v>420</v>
      </c>
      <c r="F27" s="59" t="s">
        <v>423</v>
      </c>
      <c r="G27" s="133" t="s">
        <v>424</v>
      </c>
      <c r="H27" s="131" t="str">
        <f>'3. Audit and Accountability'!$G5</f>
        <v>Comment is required</v>
      </c>
      <c r="I27" t="str">
        <f>'3. Audit and Accountability'!$F5</f>
        <v>Yes</v>
      </c>
      <c r="J27" t="str">
        <f t="shared" si="11"/>
        <v>Adequate</v>
      </c>
      <c r="K27" s="123" t="s">
        <v>75</v>
      </c>
      <c r="L27" t="str">
        <f t="shared" si="1"/>
        <v>Adequate</v>
      </c>
      <c r="N27" t="str">
        <f t="shared" si="2"/>
        <v/>
      </c>
      <c r="O27" t="str">
        <f t="shared" si="3"/>
        <v>Yes</v>
      </c>
      <c r="P27" t="str">
        <f t="shared" si="4"/>
        <v>Comment is required</v>
      </c>
      <c r="Q27" t="str">
        <f t="shared" si="5"/>
        <v>Adequate</v>
      </c>
      <c r="R27" t="str">
        <f t="shared" si="6"/>
        <v>No Override</v>
      </c>
      <c r="S27">
        <f t="shared" si="7"/>
        <v>2</v>
      </c>
      <c r="T27" t="str">
        <f t="shared" si="8"/>
        <v/>
      </c>
    </row>
    <row r="28" spans="1:20" ht="24" x14ac:dyDescent="0.25">
      <c r="A28" s="181">
        <v>3</v>
      </c>
      <c r="C28">
        <f t="shared" si="9"/>
        <v>3</v>
      </c>
      <c r="D28" t="s">
        <v>412</v>
      </c>
      <c r="E28" s="51" t="s">
        <v>425</v>
      </c>
      <c r="F28" s="59" t="s">
        <v>427</v>
      </c>
      <c r="G28" s="133" t="s">
        <v>428</v>
      </c>
      <c r="H28" s="131" t="str">
        <f>'3. Audit and Accountability'!$G6</f>
        <v>Comment is required</v>
      </c>
      <c r="I28" t="str">
        <f>'3. Audit and Accountability'!$F6</f>
        <v>No</v>
      </c>
      <c r="J28" t="str">
        <f t="shared" si="11"/>
        <v>Inadequate</v>
      </c>
      <c r="K28" s="123" t="s">
        <v>75</v>
      </c>
      <c r="L28" t="str">
        <f t="shared" si="1"/>
        <v>Inadequate</v>
      </c>
      <c r="N28" t="str">
        <f t="shared" si="2"/>
        <v/>
      </c>
      <c r="O28" t="str">
        <f t="shared" si="3"/>
        <v>No</v>
      </c>
      <c r="P28" t="str">
        <f t="shared" si="4"/>
        <v>Comment is required</v>
      </c>
      <c r="Q28" t="str">
        <f t="shared" si="5"/>
        <v>Inadequate</v>
      </c>
      <c r="R28" t="str">
        <f t="shared" si="6"/>
        <v>No Override</v>
      </c>
      <c r="S28">
        <f t="shared" si="7"/>
        <v>3</v>
      </c>
      <c r="T28" t="str">
        <f t="shared" si="8"/>
        <v/>
      </c>
    </row>
    <row r="29" spans="1:20" x14ac:dyDescent="0.25">
      <c r="A29" s="181">
        <v>3</v>
      </c>
      <c r="C29">
        <f t="shared" si="9"/>
        <v>3</v>
      </c>
      <c r="D29" t="s">
        <v>412</v>
      </c>
      <c r="E29" s="51" t="s">
        <v>429</v>
      </c>
      <c r="F29" s="59" t="s">
        <v>432</v>
      </c>
      <c r="G29" s="133" t="s">
        <v>433</v>
      </c>
      <c r="H29" s="131" t="str">
        <f>'3. Audit and Accountability'!$G7</f>
        <v>Comment is required</v>
      </c>
      <c r="I29" t="str">
        <f>'3. Audit and Accountability'!$F7</f>
        <v>No</v>
      </c>
      <c r="J29" t="str">
        <f t="shared" si="11"/>
        <v>Inadequate</v>
      </c>
      <c r="K29" s="123" t="s">
        <v>75</v>
      </c>
      <c r="L29" t="str">
        <f t="shared" si="1"/>
        <v>Inadequate</v>
      </c>
      <c r="N29" t="str">
        <f t="shared" si="2"/>
        <v/>
      </c>
      <c r="O29" t="str">
        <f t="shared" si="3"/>
        <v>No</v>
      </c>
      <c r="P29" t="str">
        <f t="shared" si="4"/>
        <v>Comment is required</v>
      </c>
      <c r="Q29" t="str">
        <f t="shared" si="5"/>
        <v>Inadequate</v>
      </c>
      <c r="R29" t="str">
        <f t="shared" si="6"/>
        <v>No Override</v>
      </c>
      <c r="S29">
        <f t="shared" si="7"/>
        <v>3</v>
      </c>
      <c r="T29" t="str">
        <f t="shared" si="8"/>
        <v/>
      </c>
    </row>
    <row r="30" spans="1:20" x14ac:dyDescent="0.25">
      <c r="A30" s="181">
        <v>4</v>
      </c>
      <c r="C30">
        <f t="shared" si="9"/>
        <v>4</v>
      </c>
      <c r="D30" t="s">
        <v>412</v>
      </c>
      <c r="E30" s="51" t="s">
        <v>434</v>
      </c>
      <c r="F30" s="59" t="s">
        <v>432</v>
      </c>
      <c r="G30" s="50" t="s">
        <v>435</v>
      </c>
      <c r="H30" s="131" t="str">
        <f>'3. Audit and Accountability'!$G8</f>
        <v>Comment is required</v>
      </c>
      <c r="I30" t="str">
        <f>'3. Audit and Accountability'!$F8</f>
        <v>No</v>
      </c>
      <c r="J30" t="str">
        <f>IF($I30="Yes","Inadequate",IF($I30="No","Adequate",IF($I30="Partial","Inadequate",IF($I30="N/A","Inadequate",IF(OR($I30="",$I30=0),"Blank","Error")))))</f>
        <v>Adequate</v>
      </c>
      <c r="K30" s="123" t="s">
        <v>75</v>
      </c>
      <c r="L30" t="str">
        <f t="shared" si="1"/>
        <v>Adequate</v>
      </c>
      <c r="N30" t="str">
        <f t="shared" si="2"/>
        <v/>
      </c>
      <c r="O30" t="str">
        <f t="shared" si="3"/>
        <v>No</v>
      </c>
      <c r="P30" t="str">
        <f t="shared" si="4"/>
        <v>Comment is required</v>
      </c>
      <c r="Q30" t="str">
        <f t="shared" si="5"/>
        <v>Adequate</v>
      </c>
      <c r="R30" t="str">
        <f t="shared" si="6"/>
        <v>No Override</v>
      </c>
      <c r="S30">
        <f t="shared" si="7"/>
        <v>4</v>
      </c>
      <c r="T30" t="str">
        <f t="shared" si="8"/>
        <v/>
      </c>
    </row>
    <row r="31" spans="1:20" x14ac:dyDescent="0.25">
      <c r="A31" s="181">
        <v>2</v>
      </c>
      <c r="C31">
        <f t="shared" si="9"/>
        <v>2</v>
      </c>
      <c r="D31" t="s">
        <v>412</v>
      </c>
      <c r="E31" s="51" t="s">
        <v>436</v>
      </c>
      <c r="F31" s="59" t="s">
        <v>438</v>
      </c>
      <c r="G31" s="133" t="s">
        <v>439</v>
      </c>
      <c r="H31" s="131" t="str">
        <f>'3. Audit and Accountability'!$G9</f>
        <v>Comment is required</v>
      </c>
      <c r="I31" t="str">
        <f>'3. Audit and Accountability'!$F9</f>
        <v>Yes</v>
      </c>
      <c r="J31" t="str">
        <f t="shared" ref="J31:J33" si="12">IF($I31="Yes","Adequate",IF($I31="No","Inadequate",IF($I31="Partial","Inadequate",IF($I31="N/A","Inadequate",IF(OR($I31="",$I31=0),"Blank","Error")))))</f>
        <v>Adequate</v>
      </c>
      <c r="K31" s="123" t="s">
        <v>75</v>
      </c>
      <c r="L31" t="str">
        <f t="shared" si="1"/>
        <v>Adequate</v>
      </c>
      <c r="N31" t="str">
        <f t="shared" si="2"/>
        <v/>
      </c>
      <c r="O31" t="str">
        <f t="shared" si="3"/>
        <v>Yes</v>
      </c>
      <c r="P31" t="str">
        <f t="shared" si="4"/>
        <v>Comment is required</v>
      </c>
      <c r="Q31" t="str">
        <f t="shared" si="5"/>
        <v>Adequate</v>
      </c>
      <c r="R31" t="str">
        <f t="shared" si="6"/>
        <v>No Override</v>
      </c>
      <c r="S31">
        <f t="shared" si="7"/>
        <v>2</v>
      </c>
      <c r="T31" t="str">
        <f t="shared" si="8"/>
        <v/>
      </c>
    </row>
    <row r="32" spans="1:20" ht="24" x14ac:dyDescent="0.25">
      <c r="A32" s="181">
        <v>2</v>
      </c>
      <c r="C32">
        <f t="shared" si="9"/>
        <v>2</v>
      </c>
      <c r="D32" t="s">
        <v>412</v>
      </c>
      <c r="E32" s="51" t="s">
        <v>440</v>
      </c>
      <c r="F32" s="59" t="s">
        <v>442</v>
      </c>
      <c r="G32" s="133" t="s">
        <v>443</v>
      </c>
      <c r="H32" s="131" t="str">
        <f>'3. Audit and Accountability'!$G10</f>
        <v>Comment is required</v>
      </c>
      <c r="I32" t="str">
        <f>'3. Audit and Accountability'!$F10</f>
        <v>Yes</v>
      </c>
      <c r="J32" t="str">
        <f t="shared" si="12"/>
        <v>Adequate</v>
      </c>
      <c r="K32" s="123" t="s">
        <v>75</v>
      </c>
      <c r="L32" t="str">
        <f t="shared" si="1"/>
        <v>Adequate</v>
      </c>
      <c r="N32" t="str">
        <f t="shared" si="2"/>
        <v/>
      </c>
      <c r="O32" t="str">
        <f t="shared" si="3"/>
        <v>Yes</v>
      </c>
      <c r="P32" t="str">
        <f t="shared" si="4"/>
        <v>Comment is required</v>
      </c>
      <c r="Q32" t="str">
        <f t="shared" si="5"/>
        <v>Adequate</v>
      </c>
      <c r="R32" t="str">
        <f t="shared" si="6"/>
        <v>No Override</v>
      </c>
      <c r="S32">
        <f t="shared" si="7"/>
        <v>2</v>
      </c>
      <c r="T32" t="str">
        <f t="shared" si="8"/>
        <v/>
      </c>
    </row>
    <row r="33" spans="1:20" x14ac:dyDescent="0.25">
      <c r="A33" s="181">
        <v>3</v>
      </c>
      <c r="C33">
        <f t="shared" si="9"/>
        <v>3</v>
      </c>
      <c r="D33" t="s">
        <v>412</v>
      </c>
      <c r="E33" s="51" t="s">
        <v>444</v>
      </c>
      <c r="F33" s="59" t="s">
        <v>446</v>
      </c>
      <c r="G33" s="133" t="s">
        <v>447</v>
      </c>
      <c r="H33" s="131" t="str">
        <f>'3. Audit and Accountability'!$G11</f>
        <v>Comment is required</v>
      </c>
      <c r="I33" t="str">
        <f>'3. Audit and Accountability'!$F11</f>
        <v>No</v>
      </c>
      <c r="J33" t="str">
        <f t="shared" si="12"/>
        <v>Inadequate</v>
      </c>
      <c r="K33" s="123" t="s">
        <v>75</v>
      </c>
      <c r="L33" t="str">
        <f t="shared" si="1"/>
        <v>Inadequate</v>
      </c>
      <c r="N33" t="str">
        <f t="shared" si="2"/>
        <v/>
      </c>
      <c r="O33" t="str">
        <f t="shared" si="3"/>
        <v>No</v>
      </c>
      <c r="P33" t="str">
        <f t="shared" si="4"/>
        <v>Comment is required</v>
      </c>
      <c r="Q33" t="str">
        <f t="shared" si="5"/>
        <v>Inadequate</v>
      </c>
      <c r="R33" t="str">
        <f t="shared" si="6"/>
        <v>No Override</v>
      </c>
      <c r="S33">
        <f t="shared" si="7"/>
        <v>3</v>
      </c>
      <c r="T33" t="str">
        <f t="shared" si="8"/>
        <v/>
      </c>
    </row>
    <row r="34" spans="1:20" ht="24" x14ac:dyDescent="0.25">
      <c r="A34" s="181">
        <v>4</v>
      </c>
      <c r="C34">
        <f t="shared" ref="C34:C79" si="13">IF($B34="",$A34,$B34)</f>
        <v>4</v>
      </c>
      <c r="D34" t="s">
        <v>448</v>
      </c>
      <c r="E34" s="51" t="s">
        <v>449</v>
      </c>
      <c r="F34" s="57" t="s">
        <v>451</v>
      </c>
      <c r="G34" s="131" t="s">
        <v>452</v>
      </c>
      <c r="H34" s="131" t="str">
        <f>'5. Configuration'!$G3</f>
        <v>Comment is required</v>
      </c>
      <c r="I34" t="str">
        <f>'5. Configuration'!$F3</f>
        <v>Yes</v>
      </c>
      <c r="J34" t="str">
        <f t="shared" ref="J34:J58" si="14">IF($I34="Yes","Adequate",IF($I34="No","Inadequate",IF($I34="Partial","Inadequate",IF($I34="N/A","Inadequate",IF(OR($I34="",$I34=0),"Blank","Error")))))</f>
        <v>Adequate</v>
      </c>
      <c r="K34" s="123" t="s">
        <v>75</v>
      </c>
      <c r="L34" t="str">
        <f t="shared" ref="L34:L78" si="15">IF($K34="No Override",$J34,$K34)</f>
        <v>Adequate</v>
      </c>
      <c r="N34" t="str">
        <f t="shared" ref="N34:N79" si="16">IF($J34=$L34,"","***")</f>
        <v/>
      </c>
      <c r="O34" t="str">
        <f t="shared" ref="O34:O79" si="17">IF(OR($I34="",$I34=0),"",$I34)</f>
        <v>Yes</v>
      </c>
      <c r="P34" t="str">
        <f t="shared" ref="P34:P79" si="18">IF(OR($H34="",$H34=0),"",$H34)</f>
        <v>Comment is required</v>
      </c>
      <c r="Q34" t="str">
        <f t="shared" ref="Q34:Q79" si="19">$L34</f>
        <v>Adequate</v>
      </c>
      <c r="R34" t="str">
        <f t="shared" ref="R34:R79" si="20">$K34</f>
        <v>No Override</v>
      </c>
      <c r="S34">
        <f t="shared" ref="S34:S79" si="21">$C34</f>
        <v>4</v>
      </c>
      <c r="T34" t="str">
        <f t="shared" ref="T34:T73" si="22">IF($L34=$Q34,"","***")</f>
        <v/>
      </c>
    </row>
    <row r="35" spans="1:20" ht="144" x14ac:dyDescent="0.25">
      <c r="A35" s="181">
        <v>1</v>
      </c>
      <c r="C35">
        <f t="shared" si="13"/>
        <v>1</v>
      </c>
      <c r="D35" t="s">
        <v>448</v>
      </c>
      <c r="E35" s="51" t="s">
        <v>256</v>
      </c>
      <c r="F35" s="57" t="s">
        <v>257</v>
      </c>
      <c r="G35" s="135" t="s">
        <v>453</v>
      </c>
      <c r="H35" s="131" t="str">
        <f>'5. Configuration'!$G4</f>
        <v>Configuration is a site/customer specific. The system comes with some defaults (ex: everything is logged) but other configurations like AD/LDAP servers for authentication, interfaces, bed-configurations are all done according to customer needs.</v>
      </c>
      <c r="I35" t="str">
        <f>'5. Configuration'!$F4</f>
        <v>No</v>
      </c>
      <c r="J35" t="str">
        <f t="shared" si="14"/>
        <v>Inadequate</v>
      </c>
      <c r="K35" s="123" t="s">
        <v>75</v>
      </c>
      <c r="L35" t="str">
        <f t="shared" si="15"/>
        <v>Inadequate</v>
      </c>
      <c r="N35" t="str">
        <f t="shared" si="16"/>
        <v/>
      </c>
      <c r="O35" t="str">
        <f t="shared" si="17"/>
        <v>No</v>
      </c>
      <c r="P35" t="str">
        <f t="shared" si="18"/>
        <v>Configuration is a site/customer specific. The system comes with some defaults (ex: everything is logged) but other configurations like AD/LDAP servers for authentication, interfaces, bed-configurations are all done according to customer needs.</v>
      </c>
      <c r="Q35" t="str">
        <f t="shared" si="19"/>
        <v>Inadequate</v>
      </c>
      <c r="R35" t="str">
        <f t="shared" si="20"/>
        <v>No Override</v>
      </c>
      <c r="S35">
        <f t="shared" si="21"/>
        <v>1</v>
      </c>
      <c r="T35" t="str">
        <f t="shared" si="22"/>
        <v/>
      </c>
    </row>
    <row r="36" spans="1:20" ht="60" x14ac:dyDescent="0.25">
      <c r="A36" s="181">
        <v>1</v>
      </c>
      <c r="C36">
        <f t="shared" si="13"/>
        <v>1</v>
      </c>
      <c r="D36" t="s">
        <v>448</v>
      </c>
      <c r="E36" s="51" t="s">
        <v>454</v>
      </c>
      <c r="F36" s="57" t="s">
        <v>261</v>
      </c>
      <c r="G36" s="135" t="s">
        <v>455</v>
      </c>
      <c r="H36" s="131" t="str">
        <f>'5. Configuration'!$G5</f>
        <v xml:space="preserve">All changes to the system are coordinated with the csustomer and require customer approval. </v>
      </c>
      <c r="I36" t="str">
        <f>'5. Configuration'!$F5</f>
        <v>No</v>
      </c>
      <c r="J36" t="str">
        <f t="shared" si="14"/>
        <v>Inadequate</v>
      </c>
      <c r="K36" s="123" t="s">
        <v>75</v>
      </c>
      <c r="L36" t="str">
        <f t="shared" si="15"/>
        <v>Inadequate</v>
      </c>
      <c r="N36" t="str">
        <f t="shared" si="16"/>
        <v/>
      </c>
      <c r="O36" t="str">
        <f t="shared" si="17"/>
        <v>No</v>
      </c>
      <c r="P36" t="str">
        <f t="shared" si="18"/>
        <v xml:space="preserve">All changes to the system are coordinated with the csustomer and require customer approval. </v>
      </c>
      <c r="Q36" t="str">
        <f t="shared" si="19"/>
        <v>Inadequate</v>
      </c>
      <c r="R36" t="str">
        <f t="shared" si="20"/>
        <v>No Override</v>
      </c>
      <c r="S36">
        <f t="shared" si="21"/>
        <v>1</v>
      </c>
      <c r="T36" t="str">
        <f t="shared" si="22"/>
        <v/>
      </c>
    </row>
    <row r="37" spans="1:20" ht="24" x14ac:dyDescent="0.25">
      <c r="A37" s="181">
        <v>1</v>
      </c>
      <c r="C37">
        <f t="shared" si="13"/>
        <v>1</v>
      </c>
      <c r="D37" t="s">
        <v>448</v>
      </c>
      <c r="E37" s="51" t="s">
        <v>456</v>
      </c>
      <c r="F37" s="57" t="s">
        <v>261</v>
      </c>
      <c r="G37" s="135" t="s">
        <v>457</v>
      </c>
      <c r="H37" s="131" t="str">
        <f>'5. Configuration'!$G6</f>
        <v>Comment is required</v>
      </c>
      <c r="I37" t="str">
        <f>'5. Configuration'!$F6</f>
        <v>Yes</v>
      </c>
      <c r="J37" t="str">
        <f t="shared" si="14"/>
        <v>Adequate</v>
      </c>
      <c r="K37" s="123" t="s">
        <v>75</v>
      </c>
      <c r="L37" t="str">
        <f t="shared" si="15"/>
        <v>Adequate</v>
      </c>
      <c r="N37" t="str">
        <f t="shared" si="16"/>
        <v/>
      </c>
      <c r="O37" t="str">
        <f t="shared" si="17"/>
        <v>Yes</v>
      </c>
      <c r="P37" t="str">
        <f t="shared" si="18"/>
        <v>Comment is required</v>
      </c>
      <c r="Q37" t="str">
        <f t="shared" si="19"/>
        <v>Adequate</v>
      </c>
      <c r="R37" t="str">
        <f t="shared" si="20"/>
        <v>No Override</v>
      </c>
      <c r="S37">
        <f t="shared" si="21"/>
        <v>1</v>
      </c>
      <c r="T37" t="str">
        <f t="shared" si="22"/>
        <v/>
      </c>
    </row>
    <row r="38" spans="1:20" ht="24" x14ac:dyDescent="0.25">
      <c r="A38" s="181">
        <v>1</v>
      </c>
      <c r="C38">
        <f t="shared" si="13"/>
        <v>1</v>
      </c>
      <c r="D38" t="s">
        <v>448</v>
      </c>
      <c r="E38" s="51" t="s">
        <v>458</v>
      </c>
      <c r="F38" s="57" t="s">
        <v>261</v>
      </c>
      <c r="G38" s="135" t="s">
        <v>459</v>
      </c>
      <c r="H38" s="131" t="str">
        <f>'5. Configuration'!$G7</f>
        <v>Always coordinated with the customer</v>
      </c>
      <c r="I38" t="str">
        <f>'5. Configuration'!$F7</f>
        <v>Yes</v>
      </c>
      <c r="J38" t="str">
        <f t="shared" si="14"/>
        <v>Adequate</v>
      </c>
      <c r="K38" s="123" t="s">
        <v>75</v>
      </c>
      <c r="L38" t="str">
        <f t="shared" si="15"/>
        <v>Adequate</v>
      </c>
      <c r="N38" t="str">
        <f t="shared" si="16"/>
        <v/>
      </c>
      <c r="O38" t="str">
        <f t="shared" si="17"/>
        <v>Yes</v>
      </c>
      <c r="P38" t="str">
        <f t="shared" si="18"/>
        <v>Always coordinated with the customer</v>
      </c>
      <c r="Q38" t="str">
        <f t="shared" si="19"/>
        <v>Adequate</v>
      </c>
      <c r="R38" t="str">
        <f t="shared" si="20"/>
        <v>No Override</v>
      </c>
      <c r="S38">
        <f t="shared" si="21"/>
        <v>1</v>
      </c>
      <c r="T38" t="str">
        <f t="shared" si="22"/>
        <v/>
      </c>
    </row>
    <row r="39" spans="1:20" ht="24" x14ac:dyDescent="0.25">
      <c r="A39" s="181">
        <v>1</v>
      </c>
      <c r="C39">
        <f t="shared" si="13"/>
        <v>1</v>
      </c>
      <c r="D39" t="s">
        <v>448</v>
      </c>
      <c r="E39" s="51" t="s">
        <v>460</v>
      </c>
      <c r="F39" s="57" t="s">
        <v>261</v>
      </c>
      <c r="G39" s="135" t="s">
        <v>461</v>
      </c>
      <c r="H39" s="131" t="str">
        <f>'5. Configuration'!$G8</f>
        <v>Always coordinated with the customer</v>
      </c>
      <c r="I39" t="str">
        <f>'5. Configuration'!$F8</f>
        <v>Yes</v>
      </c>
      <c r="J39" t="str">
        <f t="shared" si="14"/>
        <v>Adequate</v>
      </c>
      <c r="K39" s="123" t="s">
        <v>75</v>
      </c>
      <c r="L39" t="str">
        <f t="shared" si="15"/>
        <v>Adequate</v>
      </c>
      <c r="N39" t="str">
        <f t="shared" si="16"/>
        <v/>
      </c>
      <c r="O39" t="str">
        <f t="shared" si="17"/>
        <v>Yes</v>
      </c>
      <c r="P39" t="str">
        <f t="shared" si="18"/>
        <v>Always coordinated with the customer</v>
      </c>
      <c r="Q39" t="str">
        <f t="shared" si="19"/>
        <v>Adequate</v>
      </c>
      <c r="R39" t="str">
        <f t="shared" si="20"/>
        <v>No Override</v>
      </c>
      <c r="S39">
        <f t="shared" si="21"/>
        <v>1</v>
      </c>
      <c r="T39" t="str">
        <f t="shared" si="22"/>
        <v/>
      </c>
    </row>
    <row r="40" spans="1:20" ht="72" x14ac:dyDescent="0.25">
      <c r="A40" s="181">
        <v>1</v>
      </c>
      <c r="C40">
        <f t="shared" si="13"/>
        <v>1</v>
      </c>
      <c r="D40" t="s">
        <v>448</v>
      </c>
      <c r="E40" s="51" t="s">
        <v>462</v>
      </c>
      <c r="F40" s="57" t="s">
        <v>261</v>
      </c>
      <c r="G40" s="135" t="s">
        <v>463</v>
      </c>
      <c r="H40" s="131" t="str">
        <f>'5. Configuration'!$G9</f>
        <v>Records are maintained in our corporate ticketing system or as part of formal project(s) to add/change aspects of the system</v>
      </c>
      <c r="I40" t="str">
        <f>'5. Configuration'!$F9</f>
        <v>Yes</v>
      </c>
      <c r="J40" t="str">
        <f t="shared" si="14"/>
        <v>Adequate</v>
      </c>
      <c r="K40" s="123" t="s">
        <v>75</v>
      </c>
      <c r="L40" t="str">
        <f t="shared" si="15"/>
        <v>Adequate</v>
      </c>
      <c r="N40" t="str">
        <f t="shared" si="16"/>
        <v/>
      </c>
      <c r="O40" t="str">
        <f t="shared" si="17"/>
        <v>Yes</v>
      </c>
      <c r="P40" t="str">
        <f t="shared" si="18"/>
        <v>Records are maintained in our corporate ticketing system or as part of formal project(s) to add/change aspects of the system</v>
      </c>
      <c r="Q40" t="str">
        <f t="shared" si="19"/>
        <v>Adequate</v>
      </c>
      <c r="R40" t="str">
        <f t="shared" si="20"/>
        <v>No Override</v>
      </c>
      <c r="S40">
        <f t="shared" si="21"/>
        <v>1</v>
      </c>
      <c r="T40" t="str">
        <f t="shared" si="22"/>
        <v/>
      </c>
    </row>
    <row r="41" spans="1:20" ht="132" x14ac:dyDescent="0.25">
      <c r="A41" s="181">
        <v>1</v>
      </c>
      <c r="C41">
        <f t="shared" si="13"/>
        <v>1</v>
      </c>
      <c r="D41" t="s">
        <v>448</v>
      </c>
      <c r="E41" s="51" t="s">
        <v>464</v>
      </c>
      <c r="F41" s="57" t="s">
        <v>261</v>
      </c>
      <c r="G41" s="135" t="s">
        <v>465</v>
      </c>
      <c r="H41" s="131" t="str">
        <f>'5. Configuration'!$G10</f>
        <v>Some changes have auditable controls associated, others do not. For example, adding a mapped field from HL7. The new field will show in the audit trail but the action of adding the field in the mapping tables in the DB do not.</v>
      </c>
      <c r="I41" t="str">
        <f>'5. Configuration'!$F10</f>
        <v>Partial</v>
      </c>
      <c r="J41" t="str">
        <f t="shared" si="14"/>
        <v>Inadequate</v>
      </c>
      <c r="K41" s="123" t="s">
        <v>75</v>
      </c>
      <c r="L41" t="str">
        <f t="shared" si="15"/>
        <v>Inadequate</v>
      </c>
      <c r="N41" t="str">
        <f t="shared" si="16"/>
        <v/>
      </c>
      <c r="O41" t="str">
        <f t="shared" si="17"/>
        <v>Partial</v>
      </c>
      <c r="P41" t="str">
        <f t="shared" si="18"/>
        <v>Some changes have auditable controls associated, others do not. For example, adding a mapped field from HL7. The new field will show in the audit trail but the action of adding the field in the mapping tables in the DB do not.</v>
      </c>
      <c r="Q41" t="str">
        <f t="shared" si="19"/>
        <v>Inadequate</v>
      </c>
      <c r="R41" t="str">
        <f t="shared" si="20"/>
        <v>No Override</v>
      </c>
      <c r="S41">
        <f t="shared" si="21"/>
        <v>1</v>
      </c>
      <c r="T41" t="str">
        <f t="shared" si="22"/>
        <v/>
      </c>
    </row>
    <row r="42" spans="1:20" ht="24" x14ac:dyDescent="0.25">
      <c r="A42" s="181">
        <v>3</v>
      </c>
      <c r="C42">
        <f t="shared" si="13"/>
        <v>3</v>
      </c>
      <c r="D42" t="s">
        <v>448</v>
      </c>
      <c r="E42" s="51" t="s">
        <v>466</v>
      </c>
      <c r="F42" s="57" t="s">
        <v>468</v>
      </c>
      <c r="G42" s="135" t="s">
        <v>469</v>
      </c>
      <c r="H42" s="131">
        <f>'5. Configuration'!$G11</f>
        <v>0</v>
      </c>
      <c r="I42" t="str">
        <f>'5. Configuration'!$F11</f>
        <v>No</v>
      </c>
      <c r="J42" t="str">
        <f t="shared" si="14"/>
        <v>Inadequate</v>
      </c>
      <c r="K42" s="123" t="s">
        <v>75</v>
      </c>
      <c r="L42" t="str">
        <f t="shared" si="15"/>
        <v>Inadequate</v>
      </c>
      <c r="N42" t="str">
        <f t="shared" si="16"/>
        <v/>
      </c>
      <c r="O42" t="str">
        <f t="shared" si="17"/>
        <v>No</v>
      </c>
      <c r="P42" t="str">
        <f t="shared" si="18"/>
        <v/>
      </c>
      <c r="Q42" t="str">
        <f t="shared" si="19"/>
        <v>Inadequate</v>
      </c>
      <c r="R42" t="str">
        <f t="shared" si="20"/>
        <v>No Override</v>
      </c>
      <c r="S42">
        <f t="shared" si="21"/>
        <v>3</v>
      </c>
      <c r="T42" t="str">
        <f t="shared" si="22"/>
        <v/>
      </c>
    </row>
    <row r="43" spans="1:20" ht="48" x14ac:dyDescent="0.25">
      <c r="A43" s="181">
        <v>1</v>
      </c>
      <c r="C43">
        <f t="shared" si="13"/>
        <v>1</v>
      </c>
      <c r="D43" t="s">
        <v>448</v>
      </c>
      <c r="E43" s="51" t="s">
        <v>470</v>
      </c>
      <c r="F43" s="57" t="s">
        <v>471</v>
      </c>
      <c r="G43" s="135" t="s">
        <v>472</v>
      </c>
      <c r="H43" s="131" t="str">
        <f>'5. Configuration'!$G12</f>
        <v>common best practices are used with the limited controls offered by PeriCALM Tracings</v>
      </c>
      <c r="I43" t="str">
        <f>'5. Configuration'!$F12</f>
        <v>No</v>
      </c>
      <c r="J43" t="str">
        <f t="shared" si="14"/>
        <v>Inadequate</v>
      </c>
      <c r="K43" s="123" t="s">
        <v>75</v>
      </c>
      <c r="L43" t="str">
        <f t="shared" si="15"/>
        <v>Inadequate</v>
      </c>
      <c r="N43" t="str">
        <f t="shared" si="16"/>
        <v/>
      </c>
      <c r="O43" t="str">
        <f t="shared" si="17"/>
        <v>No</v>
      </c>
      <c r="P43" t="str">
        <f t="shared" si="18"/>
        <v>common best practices are used with the limited controls offered by PeriCALM Tracings</v>
      </c>
      <c r="Q43" t="str">
        <f t="shared" si="19"/>
        <v>Inadequate</v>
      </c>
      <c r="R43" t="str">
        <f t="shared" si="20"/>
        <v>No Override</v>
      </c>
      <c r="S43">
        <f t="shared" si="21"/>
        <v>1</v>
      </c>
      <c r="T43" t="str">
        <f t="shared" si="22"/>
        <v/>
      </c>
    </row>
    <row r="44" spans="1:20" x14ac:dyDescent="0.25">
      <c r="A44" s="181">
        <v>1</v>
      </c>
      <c r="C44">
        <f t="shared" si="13"/>
        <v>1</v>
      </c>
      <c r="D44" t="s">
        <v>448</v>
      </c>
      <c r="E44" s="51" t="s">
        <v>473</v>
      </c>
      <c r="F44" s="57" t="s">
        <v>471</v>
      </c>
      <c r="G44" s="135" t="s">
        <v>474</v>
      </c>
      <c r="H44" s="131" t="str">
        <f>'5. Configuration'!$G13</f>
        <v>Comment is required</v>
      </c>
      <c r="I44" t="str">
        <f>'5. Configuration'!$F13</f>
        <v>No</v>
      </c>
      <c r="J44" t="str">
        <f t="shared" si="14"/>
        <v>Inadequate</v>
      </c>
      <c r="K44" s="123" t="s">
        <v>75</v>
      </c>
      <c r="L44" t="str">
        <f t="shared" si="15"/>
        <v>Inadequate</v>
      </c>
      <c r="N44" t="str">
        <f t="shared" si="16"/>
        <v/>
      </c>
      <c r="O44" t="str">
        <f t="shared" si="17"/>
        <v>No</v>
      </c>
      <c r="P44" t="str">
        <f t="shared" si="18"/>
        <v>Comment is required</v>
      </c>
      <c r="Q44" t="str">
        <f t="shared" si="19"/>
        <v>Inadequate</v>
      </c>
      <c r="R44" t="str">
        <f t="shared" si="20"/>
        <v>No Override</v>
      </c>
      <c r="S44">
        <f t="shared" si="21"/>
        <v>1</v>
      </c>
      <c r="T44" t="str">
        <f t="shared" si="22"/>
        <v/>
      </c>
    </row>
    <row r="45" spans="1:20" x14ac:dyDescent="0.25">
      <c r="A45" s="181">
        <v>1</v>
      </c>
      <c r="C45">
        <f t="shared" si="13"/>
        <v>1</v>
      </c>
      <c r="D45" t="s">
        <v>448</v>
      </c>
      <c r="E45" s="51" t="s">
        <v>475</v>
      </c>
      <c r="F45" s="57" t="s">
        <v>471</v>
      </c>
      <c r="G45" s="135" t="s">
        <v>476</v>
      </c>
      <c r="H45" s="131" t="str">
        <f>'5. Configuration'!$G14</f>
        <v>Comment is required</v>
      </c>
      <c r="I45" t="str">
        <f>'5. Configuration'!$F14</f>
        <v>No</v>
      </c>
      <c r="J45" t="str">
        <f t="shared" si="14"/>
        <v>Inadequate</v>
      </c>
      <c r="K45" s="123" t="s">
        <v>75</v>
      </c>
      <c r="L45" t="str">
        <f t="shared" si="15"/>
        <v>Inadequate</v>
      </c>
      <c r="N45" t="str">
        <f t="shared" si="16"/>
        <v/>
      </c>
      <c r="O45" t="str">
        <f t="shared" si="17"/>
        <v>No</v>
      </c>
      <c r="P45" t="str">
        <f t="shared" si="18"/>
        <v>Comment is required</v>
      </c>
      <c r="Q45" t="str">
        <f t="shared" si="19"/>
        <v>Inadequate</v>
      </c>
      <c r="R45" t="str">
        <f t="shared" si="20"/>
        <v>No Override</v>
      </c>
      <c r="S45">
        <f t="shared" si="21"/>
        <v>1</v>
      </c>
      <c r="T45" t="str">
        <f t="shared" si="22"/>
        <v/>
      </c>
    </row>
    <row r="46" spans="1:20" ht="24" x14ac:dyDescent="0.25">
      <c r="A46" s="181">
        <v>1</v>
      </c>
      <c r="C46">
        <f t="shared" si="13"/>
        <v>1</v>
      </c>
      <c r="D46" t="s">
        <v>448</v>
      </c>
      <c r="E46" s="51" t="s">
        <v>271</v>
      </c>
      <c r="F46" s="57" t="s">
        <v>272</v>
      </c>
      <c r="G46" s="135" t="s">
        <v>477</v>
      </c>
      <c r="H46" s="131" t="str">
        <f>'5. Configuration'!$G15</f>
        <v>Comment is required</v>
      </c>
      <c r="I46" t="str">
        <f>'5. Configuration'!$F15</f>
        <v>Yes</v>
      </c>
      <c r="J46" t="str">
        <f t="shared" si="14"/>
        <v>Adequate</v>
      </c>
      <c r="K46" s="123" t="s">
        <v>75</v>
      </c>
      <c r="L46" t="str">
        <f t="shared" si="15"/>
        <v>Adequate</v>
      </c>
      <c r="N46" t="str">
        <f t="shared" si="16"/>
        <v/>
      </c>
      <c r="O46" t="str">
        <f t="shared" si="17"/>
        <v>Yes</v>
      </c>
      <c r="P46" t="str">
        <f t="shared" si="18"/>
        <v>Comment is required</v>
      </c>
      <c r="Q46" t="str">
        <f t="shared" si="19"/>
        <v>Adequate</v>
      </c>
      <c r="R46" t="str">
        <f t="shared" si="20"/>
        <v>No Override</v>
      </c>
      <c r="S46">
        <f t="shared" si="21"/>
        <v>1</v>
      </c>
      <c r="T46" t="str">
        <f t="shared" si="22"/>
        <v/>
      </c>
    </row>
    <row r="47" spans="1:20" ht="24" x14ac:dyDescent="0.25">
      <c r="A47" s="181">
        <v>1</v>
      </c>
      <c r="C47">
        <f t="shared" si="13"/>
        <v>1</v>
      </c>
      <c r="D47" t="s">
        <v>448</v>
      </c>
      <c r="E47" s="51" t="s">
        <v>478</v>
      </c>
      <c r="F47" s="57" t="s">
        <v>480</v>
      </c>
      <c r="G47" s="135" t="s">
        <v>481</v>
      </c>
      <c r="H47" s="131" t="str">
        <f>'5. Configuration'!$G16</f>
        <v>Comment is required</v>
      </c>
      <c r="I47" t="str">
        <f>'5. Configuration'!$F16</f>
        <v>Yes</v>
      </c>
      <c r="J47" t="str">
        <f t="shared" si="14"/>
        <v>Adequate</v>
      </c>
      <c r="K47" s="123" t="s">
        <v>75</v>
      </c>
      <c r="L47" t="str">
        <f t="shared" si="15"/>
        <v>Adequate</v>
      </c>
      <c r="N47" t="str">
        <f t="shared" si="16"/>
        <v/>
      </c>
      <c r="O47" t="str">
        <f t="shared" si="17"/>
        <v>Yes</v>
      </c>
      <c r="P47" t="str">
        <f t="shared" si="18"/>
        <v>Comment is required</v>
      </c>
      <c r="Q47" t="str">
        <f t="shared" si="19"/>
        <v>Adequate</v>
      </c>
      <c r="R47" t="str">
        <f t="shared" si="20"/>
        <v>No Override</v>
      </c>
      <c r="S47">
        <f t="shared" si="21"/>
        <v>1</v>
      </c>
      <c r="T47" t="str">
        <f t="shared" si="22"/>
        <v/>
      </c>
    </row>
    <row r="48" spans="1:20" ht="60" x14ac:dyDescent="0.25">
      <c r="A48" s="181">
        <v>1</v>
      </c>
      <c r="C48">
        <f t="shared" si="13"/>
        <v>1</v>
      </c>
      <c r="D48" t="s">
        <v>448</v>
      </c>
      <c r="E48" s="51" t="s">
        <v>482</v>
      </c>
      <c r="F48" s="57" t="s">
        <v>480</v>
      </c>
      <c r="G48" s="135" t="s">
        <v>483</v>
      </c>
      <c r="H48" s="131" t="str">
        <f>'5. Configuration'!$G17</f>
        <v>We review all components and 3rd party tools when planning major releases</v>
      </c>
      <c r="I48" t="str">
        <f>'5. Configuration'!$F17</f>
        <v>Yes</v>
      </c>
      <c r="J48" t="str">
        <f t="shared" si="14"/>
        <v>Adequate</v>
      </c>
      <c r="K48" s="123" t="s">
        <v>75</v>
      </c>
      <c r="L48" t="str">
        <f t="shared" si="15"/>
        <v>Adequate</v>
      </c>
      <c r="N48" t="str">
        <f t="shared" si="16"/>
        <v/>
      </c>
      <c r="O48" t="str">
        <f t="shared" si="17"/>
        <v>Yes</v>
      </c>
      <c r="P48" t="str">
        <f t="shared" si="18"/>
        <v>We review all components and 3rd party tools when planning major releases</v>
      </c>
      <c r="Q48" t="str">
        <f t="shared" si="19"/>
        <v>Adequate</v>
      </c>
      <c r="R48" t="str">
        <f t="shared" si="20"/>
        <v>No Override</v>
      </c>
      <c r="S48">
        <f t="shared" si="21"/>
        <v>1</v>
      </c>
      <c r="T48" t="str">
        <f t="shared" si="22"/>
        <v/>
      </c>
    </row>
    <row r="49" spans="1:20" ht="36" x14ac:dyDescent="0.25">
      <c r="A49" s="181">
        <v>1</v>
      </c>
      <c r="C49">
        <f t="shared" si="13"/>
        <v>1</v>
      </c>
      <c r="D49" t="s">
        <v>448</v>
      </c>
      <c r="E49" s="51" t="s">
        <v>484</v>
      </c>
      <c r="F49" s="57" t="s">
        <v>280</v>
      </c>
      <c r="G49" s="135" t="s">
        <v>485</v>
      </c>
      <c r="H49" s="131" t="str">
        <f>'5. Configuration'!$G18</f>
        <v>This is customer responsibility</v>
      </c>
      <c r="I49" t="str">
        <f>'5. Configuration'!$F18</f>
        <v>No</v>
      </c>
      <c r="J49" t="str">
        <f t="shared" si="14"/>
        <v>Inadequate</v>
      </c>
      <c r="K49" s="123" t="s">
        <v>75</v>
      </c>
      <c r="L49" t="str">
        <f t="shared" si="15"/>
        <v>Inadequate</v>
      </c>
      <c r="N49" t="str">
        <f t="shared" si="16"/>
        <v/>
      </c>
      <c r="O49" t="str">
        <f t="shared" si="17"/>
        <v>No</v>
      </c>
      <c r="P49" t="str">
        <f t="shared" si="18"/>
        <v>This is customer responsibility</v>
      </c>
      <c r="Q49" t="str">
        <f t="shared" si="19"/>
        <v>Inadequate</v>
      </c>
      <c r="R49" t="str">
        <f t="shared" si="20"/>
        <v>No Override</v>
      </c>
      <c r="S49">
        <f t="shared" si="21"/>
        <v>1</v>
      </c>
      <c r="T49" t="str">
        <f t="shared" si="22"/>
        <v/>
      </c>
    </row>
    <row r="50" spans="1:20" ht="60" x14ac:dyDescent="0.25">
      <c r="A50" s="181">
        <v>1</v>
      </c>
      <c r="C50">
        <f t="shared" si="13"/>
        <v>1</v>
      </c>
      <c r="D50" t="s">
        <v>448</v>
      </c>
      <c r="E50" s="51" t="s">
        <v>486</v>
      </c>
      <c r="F50" s="57" t="s">
        <v>280</v>
      </c>
      <c r="G50" s="135" t="s">
        <v>487</v>
      </c>
      <c r="H50" s="131" t="str">
        <f>'5. Configuration'!$G19</f>
        <v>All configuration and development items are tracked  as part of the product development process</v>
      </c>
      <c r="I50" t="str">
        <f>'5. Configuration'!$F19</f>
        <v>Yes</v>
      </c>
      <c r="J50" t="str">
        <f t="shared" si="14"/>
        <v>Adequate</v>
      </c>
      <c r="K50" s="123" t="s">
        <v>75</v>
      </c>
      <c r="L50" t="str">
        <f t="shared" si="15"/>
        <v>Adequate</v>
      </c>
      <c r="N50" t="str">
        <f t="shared" si="16"/>
        <v/>
      </c>
      <c r="O50" t="str">
        <f t="shared" si="17"/>
        <v>Yes</v>
      </c>
      <c r="P50" t="str">
        <f t="shared" si="18"/>
        <v>All configuration and development items are tracked  as part of the product development process</v>
      </c>
      <c r="Q50" t="str">
        <f t="shared" si="19"/>
        <v>Adequate</v>
      </c>
      <c r="R50" t="str">
        <f t="shared" si="20"/>
        <v>No Override</v>
      </c>
      <c r="S50">
        <f t="shared" si="21"/>
        <v>1</v>
      </c>
      <c r="T50" t="str">
        <f t="shared" si="22"/>
        <v/>
      </c>
    </row>
    <row r="51" spans="1:20" ht="96" x14ac:dyDescent="0.25">
      <c r="A51" s="181">
        <v>1</v>
      </c>
      <c r="C51">
        <f t="shared" si="13"/>
        <v>1</v>
      </c>
      <c r="D51" t="s">
        <v>448</v>
      </c>
      <c r="E51" s="51" t="s">
        <v>488</v>
      </c>
      <c r="F51" s="57" t="s">
        <v>280</v>
      </c>
      <c r="G51" s="135" t="s">
        <v>489</v>
      </c>
      <c r="H51" s="131" t="str">
        <f>'5. Configuration'!$G20</f>
        <v xml:space="preserve">Hardware specifications, data acquisition devices are documented per release and communicated to the customer when they change </v>
      </c>
      <c r="I51" t="str">
        <f>'5. Configuration'!$F20</f>
        <v>Yes</v>
      </c>
      <c r="J51" t="str">
        <f t="shared" si="14"/>
        <v>Adequate</v>
      </c>
      <c r="K51" s="123" t="s">
        <v>75</v>
      </c>
      <c r="L51" t="str">
        <f t="shared" si="15"/>
        <v>Adequate</v>
      </c>
      <c r="N51" t="str">
        <f t="shared" si="16"/>
        <v/>
      </c>
      <c r="O51" t="str">
        <f t="shared" si="17"/>
        <v>Yes</v>
      </c>
      <c r="P51" t="str">
        <f t="shared" si="18"/>
        <v xml:space="preserve">Hardware specifications, data acquisition devices are documented per release and communicated to the customer when they change </v>
      </c>
      <c r="Q51" t="str">
        <f t="shared" si="19"/>
        <v>Adequate</v>
      </c>
      <c r="R51" t="str">
        <f t="shared" si="20"/>
        <v>No Override</v>
      </c>
      <c r="S51">
        <f t="shared" si="21"/>
        <v>1</v>
      </c>
      <c r="T51" t="str">
        <f t="shared" si="22"/>
        <v/>
      </c>
    </row>
    <row r="52" spans="1:20" ht="24" x14ac:dyDescent="0.25">
      <c r="A52" s="181">
        <v>1</v>
      </c>
      <c r="C52">
        <f t="shared" si="13"/>
        <v>1</v>
      </c>
      <c r="D52" t="s">
        <v>448</v>
      </c>
      <c r="E52" s="51" t="s">
        <v>490</v>
      </c>
      <c r="F52" s="57" t="s">
        <v>280</v>
      </c>
      <c r="G52" s="135" t="s">
        <v>491</v>
      </c>
      <c r="H52" s="131" t="str">
        <f>'5. Configuration'!$G21</f>
        <v>Comment is required</v>
      </c>
      <c r="I52" t="str">
        <f>'5. Configuration'!$F21</f>
        <v>Yes</v>
      </c>
      <c r="J52" t="str">
        <f t="shared" si="14"/>
        <v>Adequate</v>
      </c>
      <c r="K52" s="123" t="s">
        <v>75</v>
      </c>
      <c r="L52" t="str">
        <f t="shared" si="15"/>
        <v>Adequate</v>
      </c>
      <c r="N52" t="str">
        <f t="shared" si="16"/>
        <v/>
      </c>
      <c r="O52" t="str">
        <f t="shared" si="17"/>
        <v>Yes</v>
      </c>
      <c r="P52" t="str">
        <f t="shared" si="18"/>
        <v>Comment is required</v>
      </c>
      <c r="Q52" t="str">
        <f t="shared" si="19"/>
        <v>Adequate</v>
      </c>
      <c r="R52" t="str">
        <f t="shared" si="20"/>
        <v>No Override</v>
      </c>
      <c r="S52">
        <f t="shared" si="21"/>
        <v>1</v>
      </c>
      <c r="T52" t="str">
        <f t="shared" si="22"/>
        <v/>
      </c>
    </row>
    <row r="53" spans="1:20" ht="60" x14ac:dyDescent="0.25">
      <c r="A53" s="181">
        <v>1</v>
      </c>
      <c r="C53">
        <f t="shared" si="13"/>
        <v>1</v>
      </c>
      <c r="D53" t="s">
        <v>448</v>
      </c>
      <c r="E53" s="51" t="s">
        <v>287</v>
      </c>
      <c r="F53" s="57" t="s">
        <v>288</v>
      </c>
      <c r="G53" s="131" t="s">
        <v>492</v>
      </c>
      <c r="H53" s="131" t="str">
        <f>'5. Configuration'!$G22</f>
        <v>Only designated PeriGen personnel or trained customer IT personnel can install elements of the system</v>
      </c>
      <c r="I53" t="str">
        <f>'5. Configuration'!$F22</f>
        <v>N/A</v>
      </c>
      <c r="J53" t="str">
        <f t="shared" si="14"/>
        <v>Inadequate</v>
      </c>
      <c r="K53" s="123" t="s">
        <v>75</v>
      </c>
      <c r="L53" t="str">
        <f t="shared" si="15"/>
        <v>Inadequate</v>
      </c>
      <c r="N53" t="str">
        <f t="shared" si="16"/>
        <v/>
      </c>
      <c r="O53" t="str">
        <f t="shared" si="17"/>
        <v>N/A</v>
      </c>
      <c r="P53" t="str">
        <f t="shared" si="18"/>
        <v>Only designated PeriGen personnel or trained customer IT personnel can install elements of the system</v>
      </c>
      <c r="Q53" t="str">
        <f t="shared" si="19"/>
        <v>Inadequate</v>
      </c>
      <c r="R53" t="str">
        <f t="shared" si="20"/>
        <v>No Override</v>
      </c>
      <c r="S53">
        <f t="shared" si="21"/>
        <v>1</v>
      </c>
      <c r="T53" t="str">
        <f t="shared" si="22"/>
        <v/>
      </c>
    </row>
    <row r="54" spans="1:20" x14ac:dyDescent="0.25">
      <c r="A54" s="181">
        <v>1</v>
      </c>
      <c r="C54">
        <f t="shared" si="13"/>
        <v>1</v>
      </c>
      <c r="D54" t="s">
        <v>448</v>
      </c>
      <c r="E54" s="51" t="s">
        <v>493</v>
      </c>
      <c r="F54" s="131" t="s">
        <v>494</v>
      </c>
      <c r="G54" s="135" t="s">
        <v>495</v>
      </c>
      <c r="H54" s="131" t="str">
        <f>'5. Configuration'!$G23</f>
        <v>Customer controlled</v>
      </c>
      <c r="I54" t="str">
        <f>'5. Configuration'!$F23</f>
        <v>Yes</v>
      </c>
      <c r="J54" t="str">
        <f t="shared" si="14"/>
        <v>Adequate</v>
      </c>
      <c r="K54" s="123" t="s">
        <v>75</v>
      </c>
      <c r="L54" t="str">
        <f t="shared" si="15"/>
        <v>Adequate</v>
      </c>
      <c r="N54" t="str">
        <f t="shared" si="16"/>
        <v/>
      </c>
      <c r="O54" t="str">
        <f t="shared" si="17"/>
        <v>Yes</v>
      </c>
      <c r="P54" t="str">
        <f t="shared" si="18"/>
        <v>Customer controlled</v>
      </c>
      <c r="Q54" t="str">
        <f t="shared" si="19"/>
        <v>Adequate</v>
      </c>
      <c r="R54" t="str">
        <f t="shared" si="20"/>
        <v>No Override</v>
      </c>
      <c r="S54">
        <f t="shared" si="21"/>
        <v>1</v>
      </c>
      <c r="T54" t="str">
        <f t="shared" si="22"/>
        <v/>
      </c>
    </row>
    <row r="55" spans="1:20" x14ac:dyDescent="0.25">
      <c r="A55" s="181">
        <v>3</v>
      </c>
      <c r="C55">
        <f t="shared" si="13"/>
        <v>3</v>
      </c>
      <c r="D55" t="s">
        <v>448</v>
      </c>
      <c r="E55" s="51" t="s">
        <v>496</v>
      </c>
      <c r="F55" s="131" t="s">
        <v>497</v>
      </c>
      <c r="G55" s="135" t="s">
        <v>498</v>
      </c>
      <c r="H55" s="131" t="str">
        <f>'5. Configuration'!$G24</f>
        <v>Customer controlled</v>
      </c>
      <c r="I55" t="str">
        <f>'5. Configuration'!$F24</f>
        <v>No</v>
      </c>
      <c r="J55" t="str">
        <f t="shared" si="14"/>
        <v>Inadequate</v>
      </c>
      <c r="K55" s="123" t="s">
        <v>75</v>
      </c>
      <c r="L55" t="str">
        <f t="shared" si="15"/>
        <v>Inadequate</v>
      </c>
      <c r="N55" t="str">
        <f t="shared" si="16"/>
        <v/>
      </c>
      <c r="O55" t="str">
        <f t="shared" si="17"/>
        <v>No</v>
      </c>
      <c r="P55" t="str">
        <f t="shared" si="18"/>
        <v>Customer controlled</v>
      </c>
      <c r="Q55" t="str">
        <f t="shared" si="19"/>
        <v>Inadequate</v>
      </c>
      <c r="R55" t="str">
        <f t="shared" si="20"/>
        <v>No Override</v>
      </c>
      <c r="S55">
        <f t="shared" si="21"/>
        <v>3</v>
      </c>
      <c r="T55" t="str">
        <f t="shared" si="22"/>
        <v/>
      </c>
    </row>
    <row r="56" spans="1:20" ht="108" x14ac:dyDescent="0.25">
      <c r="A56" s="181">
        <v>4</v>
      </c>
      <c r="C56">
        <f t="shared" si="13"/>
        <v>4</v>
      </c>
      <c r="D56" t="s">
        <v>448</v>
      </c>
      <c r="E56" s="51" t="s">
        <v>499</v>
      </c>
      <c r="F56" s="131" t="s">
        <v>500</v>
      </c>
      <c r="G56" s="135" t="s">
        <v>501</v>
      </c>
      <c r="H56" s="131" t="str">
        <f>'5. Configuration'!$G25</f>
        <v>Mostly, OS hot-fixes and patches are pushed directly to all environments. PeriGen software is always loaded on the TEST system and only pushed to PROD upon customer approval</v>
      </c>
      <c r="I56" t="str">
        <f>'5. Configuration'!$F25</f>
        <v>Yes</v>
      </c>
      <c r="J56" t="str">
        <f t="shared" si="14"/>
        <v>Adequate</v>
      </c>
      <c r="K56" s="123" t="s">
        <v>75</v>
      </c>
      <c r="L56" t="str">
        <f t="shared" si="15"/>
        <v>Adequate</v>
      </c>
      <c r="N56" t="str">
        <f t="shared" si="16"/>
        <v/>
      </c>
      <c r="O56" t="str">
        <f t="shared" si="17"/>
        <v>Yes</v>
      </c>
      <c r="P56" t="str">
        <f t="shared" si="18"/>
        <v>Mostly, OS hot-fixes and patches are pushed directly to all environments. PeriGen software is always loaded on the TEST system and only pushed to PROD upon customer approval</v>
      </c>
      <c r="Q56" t="str">
        <f t="shared" si="19"/>
        <v>Adequate</v>
      </c>
      <c r="R56" t="str">
        <f t="shared" si="20"/>
        <v>No Override</v>
      </c>
      <c r="S56">
        <f t="shared" si="21"/>
        <v>4</v>
      </c>
      <c r="T56" t="str">
        <f t="shared" si="22"/>
        <v/>
      </c>
    </row>
    <row r="57" spans="1:20" ht="24" x14ac:dyDescent="0.25">
      <c r="A57" s="181">
        <v>2</v>
      </c>
      <c r="C57">
        <f t="shared" si="13"/>
        <v>2</v>
      </c>
      <c r="D57" t="s">
        <v>448</v>
      </c>
      <c r="E57" s="51" t="s">
        <v>502</v>
      </c>
      <c r="F57" s="132" t="s">
        <v>503</v>
      </c>
      <c r="G57" s="135" t="s">
        <v>504</v>
      </c>
      <c r="H57" s="131" t="str">
        <f>'5. Configuration'!$G26</f>
        <v>Case by case basis</v>
      </c>
      <c r="I57" t="str">
        <f>'5. Configuration'!$F26</f>
        <v>No</v>
      </c>
      <c r="J57" t="str">
        <f t="shared" si="14"/>
        <v>Inadequate</v>
      </c>
      <c r="K57" s="123" t="s">
        <v>75</v>
      </c>
      <c r="L57" t="str">
        <f>IF($K57="No Override",$J57,$K57)</f>
        <v>Inadequate</v>
      </c>
      <c r="N57" t="str">
        <f t="shared" si="16"/>
        <v/>
      </c>
      <c r="O57" t="str">
        <f t="shared" si="17"/>
        <v>No</v>
      </c>
      <c r="P57" t="str">
        <f t="shared" si="18"/>
        <v>Case by case basis</v>
      </c>
      <c r="Q57" t="str">
        <f t="shared" si="19"/>
        <v>Inadequate</v>
      </c>
      <c r="R57" t="str">
        <f t="shared" si="20"/>
        <v>No Override</v>
      </c>
      <c r="S57">
        <f t="shared" si="21"/>
        <v>2</v>
      </c>
      <c r="T57" t="str">
        <f t="shared" si="22"/>
        <v/>
      </c>
    </row>
    <row r="58" spans="1:20" x14ac:dyDescent="0.25">
      <c r="A58" s="181">
        <v>2</v>
      </c>
      <c r="C58">
        <f t="shared" si="13"/>
        <v>2</v>
      </c>
      <c r="D58" t="s">
        <v>448</v>
      </c>
      <c r="E58" s="51" t="s">
        <v>505</v>
      </c>
      <c r="F58" s="132" t="s">
        <v>503</v>
      </c>
      <c r="G58" s="135" t="s">
        <v>506</v>
      </c>
      <c r="H58" s="131" t="str">
        <f>'5. Configuration'!$G27</f>
        <v>Case by case basis</v>
      </c>
      <c r="I58" t="str">
        <f>'5. Configuration'!$F27</f>
        <v>Partial</v>
      </c>
      <c r="J58" t="str">
        <f t="shared" si="14"/>
        <v>Inadequate</v>
      </c>
      <c r="K58" s="123" t="s">
        <v>75</v>
      </c>
      <c r="L58" t="str">
        <f t="shared" si="15"/>
        <v>Inadequate</v>
      </c>
      <c r="N58" t="str">
        <f t="shared" si="16"/>
        <v/>
      </c>
      <c r="O58" t="str">
        <f t="shared" si="17"/>
        <v>Partial</v>
      </c>
      <c r="P58" t="str">
        <f t="shared" si="18"/>
        <v>Case by case basis</v>
      </c>
      <c r="Q58" t="str">
        <f t="shared" si="19"/>
        <v>Inadequate</v>
      </c>
      <c r="R58" t="str">
        <f t="shared" si="20"/>
        <v>No Override</v>
      </c>
      <c r="S58">
        <f t="shared" si="21"/>
        <v>2</v>
      </c>
      <c r="T58" t="str">
        <f t="shared" si="22"/>
        <v/>
      </c>
    </row>
    <row r="59" spans="1:20" ht="48" x14ac:dyDescent="0.25">
      <c r="A59" s="181">
        <v>4</v>
      </c>
      <c r="C59">
        <f t="shared" si="13"/>
        <v>4</v>
      </c>
      <c r="D59" t="s">
        <v>775</v>
      </c>
      <c r="E59" s="51" t="s">
        <v>508</v>
      </c>
      <c r="F59" s="57" t="s">
        <v>510</v>
      </c>
      <c r="G59" s="135" t="s">
        <v>511</v>
      </c>
      <c r="H59" s="135" t="str">
        <f>'7. Authentication&amp;Authorization'!$G3</f>
        <v>Customer responsibility to provide. PeriCALM Tracings supports authentication via LDAP</v>
      </c>
      <c r="I59" t="str">
        <f>'7. Authentication&amp;Authorization'!$F3</f>
        <v>Yes</v>
      </c>
      <c r="J59" t="str">
        <f>IF($I59="Yes","Adequate",IF($I59="No","Adequate",IF($I59="Partial","Inadequate",IF($I59="N/A","Inadequate",IF(OR($I59="",$I59=0),"Blank","Error")))))</f>
        <v>Adequate</v>
      </c>
      <c r="K59" s="123" t="s">
        <v>75</v>
      </c>
      <c r="L59" t="str">
        <f t="shared" si="15"/>
        <v>Adequate</v>
      </c>
      <c r="N59" t="str">
        <f t="shared" si="16"/>
        <v/>
      </c>
      <c r="O59" t="str">
        <f t="shared" si="17"/>
        <v>Yes</v>
      </c>
      <c r="P59" t="str">
        <f t="shared" si="18"/>
        <v>Customer responsibility to provide. PeriCALM Tracings supports authentication via LDAP</v>
      </c>
      <c r="Q59" t="str">
        <f t="shared" si="19"/>
        <v>Adequate</v>
      </c>
      <c r="R59" t="str">
        <f t="shared" si="20"/>
        <v>No Override</v>
      </c>
      <c r="S59">
        <f t="shared" si="21"/>
        <v>4</v>
      </c>
      <c r="T59" t="str">
        <f t="shared" si="22"/>
        <v/>
      </c>
    </row>
    <row r="60" spans="1:20" ht="24" x14ac:dyDescent="0.25">
      <c r="A60" s="181">
        <v>4</v>
      </c>
      <c r="C60">
        <f t="shared" si="13"/>
        <v>4</v>
      </c>
      <c r="D60" t="s">
        <v>775</v>
      </c>
      <c r="E60" s="51" t="s">
        <v>512</v>
      </c>
      <c r="F60" s="57" t="s">
        <v>515</v>
      </c>
      <c r="G60" s="135" t="s">
        <v>516</v>
      </c>
      <c r="H60" s="135" t="str">
        <f>'7. Authentication&amp;Authorization'!$G4</f>
        <v>Comment is required</v>
      </c>
      <c r="I60" t="str">
        <f>'7. Authentication&amp;Authorization'!$F4</f>
        <v>No</v>
      </c>
      <c r="J60" t="str">
        <f t="shared" ref="J60:J78" si="23">IF($I60="Yes","Adequate",IF($I60="No","Inadequate",IF($I60="Partial","Inadequate",IF($I60="N/A","Inadequate",IF(OR($I60="",$I60=0),"Blank","Error")))))</f>
        <v>Inadequate</v>
      </c>
      <c r="K60" s="123" t="s">
        <v>75</v>
      </c>
      <c r="L60" t="str">
        <f t="shared" si="15"/>
        <v>Inadequate</v>
      </c>
      <c r="N60" t="str">
        <f t="shared" si="16"/>
        <v/>
      </c>
      <c r="O60" t="str">
        <f t="shared" si="17"/>
        <v>No</v>
      </c>
      <c r="P60" t="str">
        <f t="shared" si="18"/>
        <v>Comment is required</v>
      </c>
      <c r="Q60" t="str">
        <f t="shared" si="19"/>
        <v>Inadequate</v>
      </c>
      <c r="R60" t="str">
        <f t="shared" si="20"/>
        <v>No Override</v>
      </c>
      <c r="S60">
        <f t="shared" si="21"/>
        <v>4</v>
      </c>
      <c r="T60" t="str">
        <f t="shared" si="22"/>
        <v/>
      </c>
    </row>
    <row r="61" spans="1:20" ht="60" x14ac:dyDescent="0.25">
      <c r="A61" s="181">
        <v>2</v>
      </c>
      <c r="C61">
        <f t="shared" si="13"/>
        <v>2</v>
      </c>
      <c r="D61" t="s">
        <v>775</v>
      </c>
      <c r="E61" s="51" t="s">
        <v>517</v>
      </c>
      <c r="F61" s="57" t="s">
        <v>520</v>
      </c>
      <c r="G61" s="135" t="s">
        <v>521</v>
      </c>
      <c r="H61" s="135" t="str">
        <f>'7. Authentication&amp;Authorization'!$G5</f>
        <v>All stations must be configured for access on the server. Identification is done by hostname (DNS)</v>
      </c>
      <c r="I61" t="str">
        <f>'7. Authentication&amp;Authorization'!$F5</f>
        <v>Yes</v>
      </c>
      <c r="J61" t="str">
        <f t="shared" si="23"/>
        <v>Adequate</v>
      </c>
      <c r="K61" s="123" t="s">
        <v>75</v>
      </c>
      <c r="L61" t="str">
        <f t="shared" si="15"/>
        <v>Adequate</v>
      </c>
      <c r="N61" t="str">
        <f t="shared" si="16"/>
        <v/>
      </c>
      <c r="O61" t="str">
        <f t="shared" si="17"/>
        <v>Yes</v>
      </c>
      <c r="P61" t="str">
        <f t="shared" si="18"/>
        <v>All stations must be configured for access on the server. Identification is done by hostname (DNS)</v>
      </c>
      <c r="Q61" t="str">
        <f t="shared" si="19"/>
        <v>Adequate</v>
      </c>
      <c r="R61" t="str">
        <f t="shared" si="20"/>
        <v>No Override</v>
      </c>
      <c r="S61">
        <f t="shared" si="21"/>
        <v>2</v>
      </c>
      <c r="T61" t="str">
        <f t="shared" si="22"/>
        <v/>
      </c>
    </row>
    <row r="62" spans="1:20" x14ac:dyDescent="0.25">
      <c r="A62" s="181">
        <v>3</v>
      </c>
      <c r="C62">
        <f t="shared" si="13"/>
        <v>3</v>
      </c>
      <c r="D62" t="s">
        <v>775</v>
      </c>
      <c r="E62" s="51" t="s">
        <v>522</v>
      </c>
      <c r="F62" s="57" t="s">
        <v>523</v>
      </c>
      <c r="G62" s="135" t="s">
        <v>524</v>
      </c>
      <c r="H62" s="135" t="str">
        <f>'7. Authentication&amp;Authorization'!$G6</f>
        <v>Comment is required</v>
      </c>
      <c r="I62" t="str">
        <f>'7. Authentication&amp;Authorization'!$F6</f>
        <v>Yes</v>
      </c>
      <c r="J62" t="str">
        <f t="shared" si="23"/>
        <v>Adequate</v>
      </c>
      <c r="K62" s="123" t="s">
        <v>75</v>
      </c>
      <c r="L62" t="str">
        <f t="shared" si="15"/>
        <v>Adequate</v>
      </c>
      <c r="N62" t="str">
        <f t="shared" si="16"/>
        <v/>
      </c>
      <c r="O62" t="str">
        <f t="shared" si="17"/>
        <v>Yes</v>
      </c>
      <c r="P62" t="str">
        <f t="shared" si="18"/>
        <v>Comment is required</v>
      </c>
      <c r="Q62" t="str">
        <f t="shared" si="19"/>
        <v>Adequate</v>
      </c>
      <c r="R62" t="str">
        <f t="shared" si="20"/>
        <v>No Override</v>
      </c>
      <c r="S62">
        <f t="shared" si="21"/>
        <v>3</v>
      </c>
      <c r="T62" t="str">
        <f t="shared" si="22"/>
        <v/>
      </c>
    </row>
    <row r="63" spans="1:20" x14ac:dyDescent="0.25">
      <c r="A63" s="181">
        <v>2</v>
      </c>
      <c r="C63">
        <f t="shared" si="13"/>
        <v>2</v>
      </c>
      <c r="D63" t="s">
        <v>775</v>
      </c>
      <c r="E63" s="51" t="s">
        <v>525</v>
      </c>
      <c r="F63" s="57" t="s">
        <v>523</v>
      </c>
      <c r="G63" s="135" t="s">
        <v>526</v>
      </c>
      <c r="H63" s="135" t="str">
        <f>'7. Authentication&amp;Authorization'!$G7</f>
        <v>Comment is required</v>
      </c>
      <c r="I63" t="str">
        <f>'7. Authentication&amp;Authorization'!$F7</f>
        <v>Yes</v>
      </c>
      <c r="J63" t="str">
        <f t="shared" si="23"/>
        <v>Adequate</v>
      </c>
      <c r="K63" s="123" t="s">
        <v>75</v>
      </c>
      <c r="L63" t="str">
        <f t="shared" si="15"/>
        <v>Adequate</v>
      </c>
      <c r="N63" t="str">
        <f t="shared" si="16"/>
        <v/>
      </c>
      <c r="O63" t="str">
        <f t="shared" si="17"/>
        <v>Yes</v>
      </c>
      <c r="P63" t="str">
        <f t="shared" si="18"/>
        <v>Comment is required</v>
      </c>
      <c r="Q63" t="str">
        <f t="shared" si="19"/>
        <v>Adequate</v>
      </c>
      <c r="R63" t="str">
        <f t="shared" si="20"/>
        <v>No Override</v>
      </c>
      <c r="S63">
        <f t="shared" si="21"/>
        <v>2</v>
      </c>
      <c r="T63" t="str">
        <f t="shared" si="22"/>
        <v/>
      </c>
    </row>
    <row r="64" spans="1:20" x14ac:dyDescent="0.25">
      <c r="A64" s="181">
        <v>3</v>
      </c>
      <c r="C64">
        <f t="shared" si="13"/>
        <v>3</v>
      </c>
      <c r="D64" t="s">
        <v>775</v>
      </c>
      <c r="E64" s="51" t="s">
        <v>527</v>
      </c>
      <c r="F64" s="57" t="s">
        <v>292</v>
      </c>
      <c r="G64" s="135" t="s">
        <v>529</v>
      </c>
      <c r="H64" s="135" t="str">
        <f>'7. Authentication&amp;Authorization'!$G8</f>
        <v>AD controlled</v>
      </c>
      <c r="I64" t="str">
        <f>'7. Authentication&amp;Authorization'!$F8</f>
        <v>N/A</v>
      </c>
      <c r="J64" t="str">
        <f t="shared" si="23"/>
        <v>Inadequate</v>
      </c>
      <c r="K64" s="123" t="s">
        <v>75</v>
      </c>
      <c r="L64" t="str">
        <f t="shared" si="15"/>
        <v>Inadequate</v>
      </c>
      <c r="N64" t="str">
        <f t="shared" si="16"/>
        <v/>
      </c>
      <c r="O64" t="str">
        <f t="shared" si="17"/>
        <v>N/A</v>
      </c>
      <c r="P64" t="str">
        <f t="shared" si="18"/>
        <v>AD controlled</v>
      </c>
      <c r="Q64" t="str">
        <f t="shared" si="19"/>
        <v>Inadequate</v>
      </c>
      <c r="R64" t="str">
        <f t="shared" si="20"/>
        <v>No Override</v>
      </c>
      <c r="S64">
        <f t="shared" si="21"/>
        <v>3</v>
      </c>
      <c r="T64" t="str">
        <f t="shared" si="22"/>
        <v/>
      </c>
    </row>
    <row r="65" spans="1:20" ht="120" x14ac:dyDescent="0.25">
      <c r="A65" s="181">
        <v>1</v>
      </c>
      <c r="C65">
        <f t="shared" si="13"/>
        <v>1</v>
      </c>
      <c r="D65" t="s">
        <v>775</v>
      </c>
      <c r="E65" s="51" t="s">
        <v>530</v>
      </c>
      <c r="F65" s="57" t="s">
        <v>292</v>
      </c>
      <c r="G65" s="135" t="s">
        <v>531</v>
      </c>
      <c r="H65" s="135" t="str">
        <f>'7. Authentication&amp;Authorization'!$G9</f>
        <v>AD controlled</v>
      </c>
      <c r="I65" t="str">
        <f>'7. Authentication&amp;Authorization'!$F9</f>
        <v>N/A</v>
      </c>
      <c r="J65" t="str">
        <f t="shared" si="23"/>
        <v>Inadequate</v>
      </c>
      <c r="K65" s="123" t="s">
        <v>75</v>
      </c>
      <c r="L65" t="str">
        <f t="shared" si="15"/>
        <v>Inadequate</v>
      </c>
      <c r="N65" t="str">
        <f t="shared" si="16"/>
        <v/>
      </c>
      <c r="O65" t="str">
        <f t="shared" si="17"/>
        <v>N/A</v>
      </c>
      <c r="P65" t="str">
        <f t="shared" si="18"/>
        <v>AD controlled</v>
      </c>
      <c r="Q65" t="str">
        <f t="shared" si="19"/>
        <v>Inadequate</v>
      </c>
      <c r="R65" t="str">
        <f t="shared" si="20"/>
        <v>No Override</v>
      </c>
      <c r="S65">
        <f t="shared" si="21"/>
        <v>1</v>
      </c>
      <c r="T65" t="str">
        <f t="shared" si="22"/>
        <v/>
      </c>
    </row>
    <row r="66" spans="1:20" x14ac:dyDescent="0.25">
      <c r="A66" s="181">
        <v>1</v>
      </c>
      <c r="C66">
        <f t="shared" si="13"/>
        <v>1</v>
      </c>
      <c r="D66" t="s">
        <v>775</v>
      </c>
      <c r="E66" s="51" t="s">
        <v>532</v>
      </c>
      <c r="F66" s="57" t="s">
        <v>292</v>
      </c>
      <c r="G66" s="135" t="s">
        <v>533</v>
      </c>
      <c r="H66" s="135" t="str">
        <f>'7. Authentication&amp;Authorization'!$G10</f>
        <v>Comment is required</v>
      </c>
      <c r="I66" t="str">
        <f>'7. Authentication&amp;Authorization'!$F10</f>
        <v>Yes</v>
      </c>
      <c r="J66" t="str">
        <f t="shared" si="23"/>
        <v>Adequate</v>
      </c>
      <c r="K66" s="123" t="s">
        <v>75</v>
      </c>
      <c r="L66" t="str">
        <f t="shared" si="15"/>
        <v>Adequate</v>
      </c>
      <c r="N66" t="str">
        <f t="shared" si="16"/>
        <v/>
      </c>
      <c r="O66" t="str">
        <f t="shared" si="17"/>
        <v>Yes</v>
      </c>
      <c r="P66" t="str">
        <f t="shared" si="18"/>
        <v>Comment is required</v>
      </c>
      <c r="Q66" t="str">
        <f t="shared" si="19"/>
        <v>Adequate</v>
      </c>
      <c r="R66" t="str">
        <f t="shared" si="20"/>
        <v>No Override</v>
      </c>
      <c r="S66">
        <f t="shared" si="21"/>
        <v>1</v>
      </c>
      <c r="T66" t="str">
        <f t="shared" si="22"/>
        <v/>
      </c>
    </row>
    <row r="67" spans="1:20" x14ac:dyDescent="0.25">
      <c r="A67" s="181">
        <v>3</v>
      </c>
      <c r="C67">
        <f t="shared" si="13"/>
        <v>3</v>
      </c>
      <c r="D67" t="s">
        <v>775</v>
      </c>
      <c r="E67" s="51" t="s">
        <v>534</v>
      </c>
      <c r="F67" s="57" t="s">
        <v>292</v>
      </c>
      <c r="G67" s="135" t="s">
        <v>535</v>
      </c>
      <c r="H67" s="135" t="str">
        <f>'7. Authentication&amp;Authorization'!$G11</f>
        <v>Comment is required</v>
      </c>
      <c r="I67" t="str">
        <f>'7. Authentication&amp;Authorization'!$F11</f>
        <v>Yes</v>
      </c>
      <c r="J67" t="str">
        <f t="shared" si="23"/>
        <v>Adequate</v>
      </c>
      <c r="K67" s="123" t="s">
        <v>75</v>
      </c>
      <c r="L67" t="str">
        <f t="shared" si="15"/>
        <v>Adequate</v>
      </c>
      <c r="N67" t="str">
        <f t="shared" si="16"/>
        <v/>
      </c>
      <c r="O67" t="str">
        <f t="shared" si="17"/>
        <v>Yes</v>
      </c>
      <c r="P67" t="str">
        <f t="shared" si="18"/>
        <v>Comment is required</v>
      </c>
      <c r="Q67" t="str">
        <f t="shared" si="19"/>
        <v>Adequate</v>
      </c>
      <c r="R67" t="str">
        <f t="shared" si="20"/>
        <v>No Override</v>
      </c>
      <c r="S67">
        <f t="shared" si="21"/>
        <v>3</v>
      </c>
      <c r="T67" t="str">
        <f t="shared" si="22"/>
        <v/>
      </c>
    </row>
    <row r="68" spans="1:20" x14ac:dyDescent="0.25">
      <c r="A68" s="181">
        <v>3</v>
      </c>
      <c r="C68">
        <f t="shared" si="13"/>
        <v>3</v>
      </c>
      <c r="D68" t="s">
        <v>775</v>
      </c>
      <c r="E68" s="51" t="s">
        <v>536</v>
      </c>
      <c r="F68" s="57" t="s">
        <v>292</v>
      </c>
      <c r="G68" s="135" t="s">
        <v>776</v>
      </c>
      <c r="H68" s="135" t="str">
        <f>'7. Authentication&amp;Authorization'!$G12</f>
        <v>AD controlled</v>
      </c>
      <c r="I68" t="str">
        <f>'7. Authentication&amp;Authorization'!$F12</f>
        <v>Yes</v>
      </c>
      <c r="J68" t="str">
        <f t="shared" si="23"/>
        <v>Adequate</v>
      </c>
      <c r="K68" s="123" t="s">
        <v>75</v>
      </c>
      <c r="L68" t="str">
        <f t="shared" si="15"/>
        <v>Adequate</v>
      </c>
      <c r="N68" t="str">
        <f t="shared" si="16"/>
        <v/>
      </c>
      <c r="O68" t="str">
        <f t="shared" si="17"/>
        <v>Yes</v>
      </c>
      <c r="P68" t="str">
        <f t="shared" si="18"/>
        <v>AD controlled</v>
      </c>
      <c r="Q68" t="str">
        <f t="shared" si="19"/>
        <v>Adequate</v>
      </c>
      <c r="R68" t="str">
        <f t="shared" si="20"/>
        <v>No Override</v>
      </c>
      <c r="S68">
        <f t="shared" si="21"/>
        <v>3</v>
      </c>
      <c r="T68" t="str">
        <f t="shared" si="22"/>
        <v/>
      </c>
    </row>
    <row r="69" spans="1:20" x14ac:dyDescent="0.25">
      <c r="A69" s="181">
        <v>4</v>
      </c>
      <c r="C69">
        <f t="shared" si="13"/>
        <v>4</v>
      </c>
      <c r="D69" t="s">
        <v>775</v>
      </c>
      <c r="E69" s="51" t="s">
        <v>538</v>
      </c>
      <c r="F69" s="57" t="s">
        <v>540</v>
      </c>
      <c r="G69" s="135" t="s">
        <v>541</v>
      </c>
      <c r="H69" s="135" t="str">
        <f>'7. Authentication&amp;Authorization'!$G13</f>
        <v>Comment is required</v>
      </c>
      <c r="I69" t="str">
        <f>'7. Authentication&amp;Authorization'!$F13</f>
        <v>Yes</v>
      </c>
      <c r="J69" t="str">
        <f t="shared" si="23"/>
        <v>Adequate</v>
      </c>
      <c r="K69" s="123" t="s">
        <v>75</v>
      </c>
      <c r="L69" t="str">
        <f t="shared" si="15"/>
        <v>Adequate</v>
      </c>
      <c r="N69" t="str">
        <f t="shared" si="16"/>
        <v/>
      </c>
      <c r="O69" t="str">
        <f t="shared" si="17"/>
        <v>Yes</v>
      </c>
      <c r="P69" t="str">
        <f t="shared" si="18"/>
        <v>Comment is required</v>
      </c>
      <c r="Q69" t="str">
        <f t="shared" si="19"/>
        <v>Adequate</v>
      </c>
      <c r="R69" t="str">
        <f t="shared" si="20"/>
        <v>No Override</v>
      </c>
      <c r="S69">
        <f t="shared" si="21"/>
        <v>4</v>
      </c>
      <c r="T69" t="str">
        <f t="shared" si="22"/>
        <v/>
      </c>
    </row>
    <row r="70" spans="1:20" ht="24" x14ac:dyDescent="0.25">
      <c r="A70" s="181">
        <v>4</v>
      </c>
      <c r="C70">
        <f t="shared" si="13"/>
        <v>4</v>
      </c>
      <c r="D70" t="s">
        <v>775</v>
      </c>
      <c r="E70" s="51" t="s">
        <v>542</v>
      </c>
      <c r="F70" s="57" t="s">
        <v>544</v>
      </c>
      <c r="G70" s="135" t="s">
        <v>545</v>
      </c>
      <c r="H70" s="135" t="str">
        <f>'7. Authentication&amp;Authorization'!$G14</f>
        <v>Comment is required</v>
      </c>
      <c r="I70" t="str">
        <f>'7. Authentication&amp;Authorization'!$F14</f>
        <v>No</v>
      </c>
      <c r="J70" t="str">
        <f t="shared" si="23"/>
        <v>Inadequate</v>
      </c>
      <c r="K70" s="123" t="s">
        <v>75</v>
      </c>
      <c r="L70" t="str">
        <f t="shared" si="15"/>
        <v>Inadequate</v>
      </c>
      <c r="N70" t="str">
        <f t="shared" si="16"/>
        <v/>
      </c>
      <c r="O70" t="str">
        <f t="shared" si="17"/>
        <v>No</v>
      </c>
      <c r="P70" t="str">
        <f t="shared" si="18"/>
        <v>Comment is required</v>
      </c>
      <c r="Q70" t="str">
        <f t="shared" si="19"/>
        <v>Inadequate</v>
      </c>
      <c r="R70" t="str">
        <f t="shared" si="20"/>
        <v>No Override</v>
      </c>
      <c r="S70">
        <f t="shared" si="21"/>
        <v>4</v>
      </c>
      <c r="T70" t="str">
        <f t="shared" si="22"/>
        <v/>
      </c>
    </row>
    <row r="71" spans="1:20" x14ac:dyDescent="0.25">
      <c r="A71" s="181">
        <v>1</v>
      </c>
      <c r="C71">
        <f t="shared" si="13"/>
        <v>1</v>
      </c>
      <c r="D71" t="s">
        <v>777</v>
      </c>
      <c r="E71" s="51" t="s">
        <v>547</v>
      </c>
      <c r="F71" s="57" t="s">
        <v>550</v>
      </c>
      <c r="G71" s="50" t="s">
        <v>551</v>
      </c>
      <c r="H71" s="134" t="str">
        <f>'8. Incident Response'!$G3</f>
        <v>Comment is required</v>
      </c>
      <c r="I71" t="str">
        <f>'8. Incident Response'!$F3</f>
        <v>Yes</v>
      </c>
      <c r="J71" t="str">
        <f t="shared" si="23"/>
        <v>Adequate</v>
      </c>
      <c r="K71" s="123" t="s">
        <v>75</v>
      </c>
      <c r="L71" t="str">
        <f t="shared" si="15"/>
        <v>Adequate</v>
      </c>
      <c r="N71" t="str">
        <f t="shared" si="16"/>
        <v/>
      </c>
      <c r="O71" t="str">
        <f t="shared" si="17"/>
        <v>Yes</v>
      </c>
      <c r="P71" t="str">
        <f t="shared" si="18"/>
        <v>Comment is required</v>
      </c>
      <c r="Q71" t="str">
        <f t="shared" si="19"/>
        <v>Adequate</v>
      </c>
      <c r="R71" t="str">
        <f t="shared" si="20"/>
        <v>No Override</v>
      </c>
      <c r="S71">
        <f t="shared" si="21"/>
        <v>1</v>
      </c>
      <c r="T71" t="str">
        <f t="shared" si="22"/>
        <v/>
      </c>
    </row>
    <row r="72" spans="1:20" x14ac:dyDescent="0.25">
      <c r="A72" s="181">
        <v>2</v>
      </c>
      <c r="C72">
        <f t="shared" si="13"/>
        <v>2</v>
      </c>
      <c r="D72" t="s">
        <v>777</v>
      </c>
      <c r="E72" s="51" t="s">
        <v>552</v>
      </c>
      <c r="F72" s="57" t="s">
        <v>554</v>
      </c>
      <c r="G72" s="135" t="s">
        <v>555</v>
      </c>
      <c r="H72" s="134" t="str">
        <f>'8. Incident Response'!$G4</f>
        <v>Comment is required</v>
      </c>
      <c r="I72" t="str">
        <f>'8. Incident Response'!$F4</f>
        <v>Yes</v>
      </c>
      <c r="J72" t="str">
        <f t="shared" si="23"/>
        <v>Adequate</v>
      </c>
      <c r="K72" s="123" t="s">
        <v>75</v>
      </c>
      <c r="L72" t="str">
        <f t="shared" si="15"/>
        <v>Adequate</v>
      </c>
      <c r="N72" t="str">
        <f t="shared" si="16"/>
        <v/>
      </c>
      <c r="O72" t="str">
        <f t="shared" si="17"/>
        <v>Yes</v>
      </c>
      <c r="P72" t="str">
        <f t="shared" si="18"/>
        <v>Comment is required</v>
      </c>
      <c r="Q72" t="str">
        <f t="shared" si="19"/>
        <v>Adequate</v>
      </c>
      <c r="R72" t="str">
        <f t="shared" si="20"/>
        <v>No Override</v>
      </c>
      <c r="S72">
        <f t="shared" si="21"/>
        <v>2</v>
      </c>
      <c r="T72" t="str">
        <f t="shared" si="22"/>
        <v/>
      </c>
    </row>
    <row r="73" spans="1:20" x14ac:dyDescent="0.25">
      <c r="A73" s="181">
        <v>2</v>
      </c>
      <c r="C73">
        <f t="shared" si="13"/>
        <v>2</v>
      </c>
      <c r="D73" t="s">
        <v>777</v>
      </c>
      <c r="E73" s="51" t="s">
        <v>556</v>
      </c>
      <c r="F73" s="57" t="s">
        <v>554</v>
      </c>
      <c r="G73" s="135" t="s">
        <v>557</v>
      </c>
      <c r="H73" s="134" t="str">
        <f>'8. Incident Response'!$G5</f>
        <v>Comment is required</v>
      </c>
      <c r="I73" t="str">
        <f>'8. Incident Response'!$F5</f>
        <v>Yes</v>
      </c>
      <c r="J73" t="str">
        <f t="shared" si="23"/>
        <v>Adequate</v>
      </c>
      <c r="K73" s="123" t="s">
        <v>75</v>
      </c>
      <c r="L73" t="str">
        <f t="shared" si="15"/>
        <v>Adequate</v>
      </c>
      <c r="N73" t="str">
        <f t="shared" si="16"/>
        <v/>
      </c>
      <c r="O73" t="str">
        <f t="shared" si="17"/>
        <v>Yes</v>
      </c>
      <c r="P73" t="str">
        <f t="shared" si="18"/>
        <v>Comment is required</v>
      </c>
      <c r="Q73" t="str">
        <f t="shared" si="19"/>
        <v>Adequate</v>
      </c>
      <c r="R73" t="str">
        <f t="shared" si="20"/>
        <v>No Override</v>
      </c>
      <c r="S73">
        <f t="shared" si="21"/>
        <v>2</v>
      </c>
      <c r="T73" t="str">
        <f t="shared" si="22"/>
        <v/>
      </c>
    </row>
    <row r="74" spans="1:20" x14ac:dyDescent="0.25">
      <c r="A74" s="181">
        <v>2</v>
      </c>
      <c r="C74">
        <f t="shared" si="13"/>
        <v>2</v>
      </c>
      <c r="D74" t="s">
        <v>777</v>
      </c>
      <c r="E74" s="51" t="s">
        <v>558</v>
      </c>
      <c r="F74" s="57" t="s">
        <v>560</v>
      </c>
      <c r="G74" s="135" t="s">
        <v>561</v>
      </c>
      <c r="H74" s="134" t="str">
        <f>'8. Incident Response'!$G6</f>
        <v>Comment is required</v>
      </c>
      <c r="I74" t="str">
        <f>'8. Incident Response'!$F6</f>
        <v>No</v>
      </c>
      <c r="J74" t="str">
        <f t="shared" si="23"/>
        <v>Inadequate</v>
      </c>
      <c r="K74" s="123" t="s">
        <v>75</v>
      </c>
      <c r="L74" t="str">
        <f t="shared" si="15"/>
        <v>Inadequate</v>
      </c>
      <c r="N74" t="str">
        <f t="shared" si="16"/>
        <v/>
      </c>
      <c r="O74" t="str">
        <f t="shared" si="17"/>
        <v>No</v>
      </c>
      <c r="P74" t="str">
        <f t="shared" si="18"/>
        <v>Comment is required</v>
      </c>
      <c r="Q74" t="str">
        <f t="shared" si="19"/>
        <v>Inadequate</v>
      </c>
      <c r="R74" t="str">
        <f t="shared" si="20"/>
        <v>No Override</v>
      </c>
      <c r="S74">
        <f t="shared" si="21"/>
        <v>2</v>
      </c>
      <c r="T74" t="str">
        <f t="shared" ref="T74:T91" si="24">IF($L74=$Q74,"","***")</f>
        <v/>
      </c>
    </row>
    <row r="75" spans="1:20" x14ac:dyDescent="0.25">
      <c r="A75" s="181">
        <v>2</v>
      </c>
      <c r="C75">
        <f t="shared" si="13"/>
        <v>2</v>
      </c>
      <c r="D75" t="s">
        <v>777</v>
      </c>
      <c r="E75" s="51" t="s">
        <v>562</v>
      </c>
      <c r="F75" s="57" t="s">
        <v>560</v>
      </c>
      <c r="G75" s="135" t="s">
        <v>563</v>
      </c>
      <c r="H75" s="134" t="str">
        <f>'8. Incident Response'!$G7</f>
        <v>Comment is required</v>
      </c>
      <c r="I75" t="str">
        <f>'8. Incident Response'!$F7</f>
        <v>No</v>
      </c>
      <c r="J75" t="str">
        <f t="shared" si="23"/>
        <v>Inadequate</v>
      </c>
      <c r="K75" s="123" t="s">
        <v>75</v>
      </c>
      <c r="L75" t="str">
        <f t="shared" si="15"/>
        <v>Inadequate</v>
      </c>
      <c r="N75" t="str">
        <f t="shared" si="16"/>
        <v/>
      </c>
      <c r="O75" t="str">
        <f t="shared" si="17"/>
        <v>No</v>
      </c>
      <c r="P75" t="str">
        <f t="shared" si="18"/>
        <v>Comment is required</v>
      </c>
      <c r="Q75" t="str">
        <f t="shared" si="19"/>
        <v>Inadequate</v>
      </c>
      <c r="R75" t="str">
        <f t="shared" si="20"/>
        <v>No Override</v>
      </c>
      <c r="S75">
        <f t="shared" si="21"/>
        <v>2</v>
      </c>
      <c r="T75" t="str">
        <f t="shared" si="24"/>
        <v/>
      </c>
    </row>
    <row r="76" spans="1:20" x14ac:dyDescent="0.25">
      <c r="A76" s="181">
        <v>1</v>
      </c>
      <c r="C76">
        <f t="shared" si="13"/>
        <v>1</v>
      </c>
      <c r="D76" t="s">
        <v>777</v>
      </c>
      <c r="E76" s="51" t="s">
        <v>564</v>
      </c>
      <c r="F76" s="57" t="s">
        <v>567</v>
      </c>
      <c r="G76" s="135" t="s">
        <v>568</v>
      </c>
      <c r="H76" s="134" t="str">
        <f>'8. Incident Response'!$G8</f>
        <v>Comment is required</v>
      </c>
      <c r="I76" t="str">
        <f>'8. Incident Response'!$F8</f>
        <v>Yes</v>
      </c>
      <c r="J76" t="str">
        <f t="shared" si="23"/>
        <v>Adequate</v>
      </c>
      <c r="K76" s="123" t="s">
        <v>75</v>
      </c>
      <c r="L76" t="str">
        <f t="shared" si="15"/>
        <v>Adequate</v>
      </c>
      <c r="N76" t="str">
        <f t="shared" si="16"/>
        <v/>
      </c>
      <c r="O76" t="str">
        <f t="shared" si="17"/>
        <v>Yes</v>
      </c>
      <c r="P76" t="str">
        <f t="shared" si="18"/>
        <v>Comment is required</v>
      </c>
      <c r="Q76" t="str">
        <f t="shared" si="19"/>
        <v>Adequate</v>
      </c>
      <c r="R76" t="str">
        <f t="shared" si="20"/>
        <v>No Override</v>
      </c>
      <c r="S76">
        <f t="shared" si="21"/>
        <v>1</v>
      </c>
      <c r="T76" t="str">
        <f t="shared" si="24"/>
        <v/>
      </c>
    </row>
    <row r="77" spans="1:20" x14ac:dyDescent="0.25">
      <c r="A77" s="181">
        <v>1</v>
      </c>
      <c r="C77">
        <f t="shared" si="13"/>
        <v>1</v>
      </c>
      <c r="D77" t="s">
        <v>777</v>
      </c>
      <c r="E77" s="51" t="s">
        <v>569</v>
      </c>
      <c r="F77" s="57" t="s">
        <v>572</v>
      </c>
      <c r="G77" s="135" t="s">
        <v>573</v>
      </c>
      <c r="H77" s="134" t="str">
        <f>'8. Incident Response'!$G9</f>
        <v>Comment is required</v>
      </c>
      <c r="I77" t="str">
        <f>'8. Incident Response'!$F9</f>
        <v>Yes</v>
      </c>
      <c r="J77" t="str">
        <f t="shared" si="23"/>
        <v>Adequate</v>
      </c>
      <c r="K77" s="123" t="s">
        <v>75</v>
      </c>
      <c r="L77" t="str">
        <f t="shared" si="15"/>
        <v>Adequate</v>
      </c>
      <c r="N77" t="str">
        <f t="shared" si="16"/>
        <v/>
      </c>
      <c r="O77" t="str">
        <f t="shared" si="17"/>
        <v>Yes</v>
      </c>
      <c r="P77" t="str">
        <f t="shared" si="18"/>
        <v>Comment is required</v>
      </c>
      <c r="Q77" t="str">
        <f t="shared" si="19"/>
        <v>Adequate</v>
      </c>
      <c r="R77" t="str">
        <f t="shared" si="20"/>
        <v>No Override</v>
      </c>
      <c r="S77">
        <f t="shared" si="21"/>
        <v>1</v>
      </c>
      <c r="T77" t="str">
        <f t="shared" si="24"/>
        <v/>
      </c>
    </row>
    <row r="78" spans="1:20" x14ac:dyDescent="0.25">
      <c r="A78" s="181">
        <v>1</v>
      </c>
      <c r="C78">
        <f t="shared" si="13"/>
        <v>1</v>
      </c>
      <c r="D78" t="s">
        <v>777</v>
      </c>
      <c r="E78" s="51" t="s">
        <v>574</v>
      </c>
      <c r="F78" s="57" t="s">
        <v>577</v>
      </c>
      <c r="G78" s="135" t="s">
        <v>578</v>
      </c>
      <c r="H78" s="134" t="str">
        <f>'8. Incident Response'!$G10</f>
        <v>Comment is required</v>
      </c>
      <c r="I78" t="str">
        <f>'8. Incident Response'!$F10</f>
        <v>Yes</v>
      </c>
      <c r="J78" t="str">
        <f t="shared" si="23"/>
        <v>Adequate</v>
      </c>
      <c r="K78" s="123" t="s">
        <v>75</v>
      </c>
      <c r="L78" t="str">
        <f t="shared" si="15"/>
        <v>Adequate</v>
      </c>
      <c r="N78" t="str">
        <f t="shared" si="16"/>
        <v/>
      </c>
      <c r="O78" t="str">
        <f t="shared" si="17"/>
        <v>Yes</v>
      </c>
      <c r="P78" t="str">
        <f t="shared" si="18"/>
        <v>Comment is required</v>
      </c>
      <c r="Q78" t="str">
        <f t="shared" si="19"/>
        <v>Adequate</v>
      </c>
      <c r="R78" t="str">
        <f t="shared" si="20"/>
        <v>No Override</v>
      </c>
      <c r="S78">
        <f t="shared" si="21"/>
        <v>1</v>
      </c>
      <c r="T78" t="str">
        <f t="shared" si="24"/>
        <v/>
      </c>
    </row>
    <row r="79" spans="1:20" ht="24.75" x14ac:dyDescent="0.25">
      <c r="A79" s="181">
        <v>3</v>
      </c>
      <c r="C79">
        <f t="shared" si="13"/>
        <v>3</v>
      </c>
      <c r="D79" t="s">
        <v>777</v>
      </c>
      <c r="E79" s="51" t="s">
        <v>579</v>
      </c>
      <c r="F79" s="57" t="s">
        <v>582</v>
      </c>
      <c r="G79" s="135" t="s">
        <v>583</v>
      </c>
      <c r="H79" s="134" t="str">
        <f>'8. Incident Response'!$G11</f>
        <v>If required. Case by case basis.</v>
      </c>
      <c r="I79" t="str">
        <f>'8. Incident Response'!$F11</f>
        <v>Yes</v>
      </c>
      <c r="J79" t="str">
        <f>IF($I79="Yes","Adequate",IF($I79="No","Adequate",IF($I79="Partial","Inadequate",IF($I79="N/A","Inadequate",IF(OR($I79="",$I79=0),"Blank","Error")))))</f>
        <v>Adequate</v>
      </c>
      <c r="K79" s="123" t="s">
        <v>75</v>
      </c>
      <c r="L79" t="str">
        <f t="shared" ref="L79:L91" si="25">IF($K79="No Override",$J79,$K79)</f>
        <v>Adequate</v>
      </c>
      <c r="N79" t="str">
        <f t="shared" si="16"/>
        <v/>
      </c>
      <c r="O79" t="str">
        <f t="shared" si="17"/>
        <v>Yes</v>
      </c>
      <c r="P79" t="str">
        <f t="shared" si="18"/>
        <v>If required. Case by case basis.</v>
      </c>
      <c r="Q79" t="str">
        <f t="shared" si="19"/>
        <v>Adequate</v>
      </c>
      <c r="R79" t="str">
        <f t="shared" si="20"/>
        <v>No Override</v>
      </c>
      <c r="S79">
        <f t="shared" si="21"/>
        <v>3</v>
      </c>
      <c r="T79" t="str">
        <f t="shared" si="24"/>
        <v/>
      </c>
    </row>
    <row r="80" spans="1:20" x14ac:dyDescent="0.25">
      <c r="A80" s="181">
        <v>1</v>
      </c>
      <c r="C80">
        <f t="shared" ref="C80:C91" si="26">IF($B80="",$A80,$B80)</f>
        <v>1</v>
      </c>
      <c r="D80" t="s">
        <v>777</v>
      </c>
      <c r="E80" s="51" t="s">
        <v>584</v>
      </c>
      <c r="F80" s="57" t="s">
        <v>342</v>
      </c>
      <c r="G80" s="135" t="s">
        <v>585</v>
      </c>
      <c r="H80" s="134" t="str">
        <f>'8. Incident Response'!$G12</f>
        <v>see internal policy</v>
      </c>
      <c r="I80" t="str">
        <f>'8. Incident Response'!$F12</f>
        <v>Yes</v>
      </c>
      <c r="J80" t="str">
        <f>IF($I80="Yes","Adequate",IF($I80="No","Inadequate",IF($I80="Partial","Inadequate",IF($I80="N/A","Inadequate",IF(OR($I80="",$I80=0),"Blank","Error")))))</f>
        <v>Adequate</v>
      </c>
      <c r="K80" s="123" t="s">
        <v>75</v>
      </c>
      <c r="L80" t="str">
        <f t="shared" si="25"/>
        <v>Adequate</v>
      </c>
      <c r="N80" t="str">
        <f t="shared" ref="N80:N91" si="27">IF($J80=$L80,"","***")</f>
        <v/>
      </c>
      <c r="O80" t="str">
        <f t="shared" ref="O80:O91" si="28">IF(OR($I80="",$I80=0),"",$I80)</f>
        <v>Yes</v>
      </c>
      <c r="P80" t="str">
        <f t="shared" ref="P80:P91" si="29">IF(OR($H80="",$H80=0),"",$H80)</f>
        <v>see internal policy</v>
      </c>
      <c r="Q80" t="str">
        <f t="shared" ref="Q80:Q91" si="30">$L80</f>
        <v>Adequate</v>
      </c>
      <c r="R80" t="str">
        <f t="shared" ref="R80:R91" si="31">$K80</f>
        <v>No Override</v>
      </c>
      <c r="S80">
        <f t="shared" ref="S80:S91" si="32">$C80</f>
        <v>1</v>
      </c>
      <c r="T80" t="str">
        <f t="shared" si="24"/>
        <v/>
      </c>
    </row>
    <row r="81" spans="1:20" x14ac:dyDescent="0.25">
      <c r="A81" s="181">
        <v>3</v>
      </c>
      <c r="C81">
        <f t="shared" si="26"/>
        <v>3</v>
      </c>
      <c r="D81" t="s">
        <v>777</v>
      </c>
      <c r="E81" s="51" t="s">
        <v>586</v>
      </c>
      <c r="F81" s="57" t="s">
        <v>588</v>
      </c>
      <c r="G81" s="135" t="s">
        <v>589</v>
      </c>
      <c r="H81" s="134" t="str">
        <f>'8. Incident Response'!$G13</f>
        <v>Comment is required</v>
      </c>
      <c r="I81" t="str">
        <f>'8. Incident Response'!$F13</f>
        <v>Yes</v>
      </c>
      <c r="J81" t="str">
        <f t="shared" ref="J81:J91" si="33">IF($I81="Yes","Adequate",IF($I81="No","Inadequate",IF($I81="Partial","Inadequate",IF($I81="N/A","Inadequate",IF(OR($I81="",$I81=0),"Blank","Error")))))</f>
        <v>Adequate</v>
      </c>
      <c r="K81" s="123" t="s">
        <v>75</v>
      </c>
      <c r="L81" t="str">
        <f t="shared" si="25"/>
        <v>Adequate</v>
      </c>
      <c r="N81" t="str">
        <f t="shared" si="27"/>
        <v/>
      </c>
      <c r="O81" t="str">
        <f t="shared" si="28"/>
        <v>Yes</v>
      </c>
      <c r="P81" t="str">
        <f t="shared" si="29"/>
        <v>Comment is required</v>
      </c>
      <c r="Q81" t="str">
        <f t="shared" si="30"/>
        <v>Adequate</v>
      </c>
      <c r="R81" t="str">
        <f t="shared" si="31"/>
        <v>No Override</v>
      </c>
      <c r="S81">
        <f t="shared" si="32"/>
        <v>3</v>
      </c>
      <c r="T81" t="str">
        <f t="shared" si="24"/>
        <v/>
      </c>
    </row>
    <row r="82" spans="1:20" ht="48" x14ac:dyDescent="0.25">
      <c r="A82" s="181">
        <v>4</v>
      </c>
      <c r="C82">
        <f t="shared" si="26"/>
        <v>4</v>
      </c>
      <c r="D82" t="s">
        <v>590</v>
      </c>
      <c r="E82" s="51" t="s">
        <v>591</v>
      </c>
      <c r="F82" s="57" t="s">
        <v>594</v>
      </c>
      <c r="G82" s="131" t="s">
        <v>595</v>
      </c>
      <c r="H82" s="131" t="str">
        <f>'9. Maintenance'!$G3</f>
        <v>PeriGen does not provide propriatary internal QMS documents</v>
      </c>
      <c r="I82" t="str">
        <f>'9. Maintenance'!$F3</f>
        <v>Yes</v>
      </c>
      <c r="J82" t="str">
        <f t="shared" si="33"/>
        <v>Adequate</v>
      </c>
      <c r="K82" s="123" t="s">
        <v>75</v>
      </c>
      <c r="L82" t="str">
        <f t="shared" si="25"/>
        <v>Adequate</v>
      </c>
      <c r="N82" t="str">
        <f t="shared" si="27"/>
        <v/>
      </c>
      <c r="O82" t="str">
        <f t="shared" si="28"/>
        <v>Yes</v>
      </c>
      <c r="P82" t="str">
        <f t="shared" si="29"/>
        <v>PeriGen does not provide propriatary internal QMS documents</v>
      </c>
      <c r="Q82" t="str">
        <f t="shared" si="30"/>
        <v>Adequate</v>
      </c>
      <c r="R82" t="str">
        <f t="shared" si="31"/>
        <v>No Override</v>
      </c>
      <c r="S82">
        <f t="shared" si="32"/>
        <v>4</v>
      </c>
      <c r="T82" t="str">
        <f t="shared" si="24"/>
        <v/>
      </c>
    </row>
    <row r="83" spans="1:20" ht="84" x14ac:dyDescent="0.25">
      <c r="A83" s="181">
        <v>4</v>
      </c>
      <c r="C83">
        <f t="shared" si="26"/>
        <v>4</v>
      </c>
      <c r="D83" t="s">
        <v>590</v>
      </c>
      <c r="E83" s="54" t="s">
        <v>596</v>
      </c>
      <c r="F83" s="60" t="s">
        <v>597</v>
      </c>
      <c r="G83" s="135" t="s">
        <v>598</v>
      </c>
      <c r="H83" s="131" t="str">
        <f>'9. Maintenance'!$G4</f>
        <v>For internal access control to access customer sites - Yes. Regular checks of PeriCALM system is the responsibility of the customer.</v>
      </c>
      <c r="I83" t="str">
        <f>'9. Maintenance'!$F4</f>
        <v>Partial</v>
      </c>
      <c r="J83" t="str">
        <f t="shared" si="33"/>
        <v>Inadequate</v>
      </c>
      <c r="K83" s="123" t="s">
        <v>75</v>
      </c>
      <c r="L83" t="str">
        <f t="shared" si="25"/>
        <v>Inadequate</v>
      </c>
      <c r="N83" t="str">
        <f t="shared" si="27"/>
        <v/>
      </c>
      <c r="O83" t="str">
        <f t="shared" si="28"/>
        <v>Partial</v>
      </c>
      <c r="P83" t="str">
        <f t="shared" si="29"/>
        <v>For internal access control to access customer sites - Yes. Regular checks of PeriCALM system is the responsibility of the customer.</v>
      </c>
      <c r="Q83" t="str">
        <f t="shared" si="30"/>
        <v>Inadequate</v>
      </c>
      <c r="R83" t="str">
        <f t="shared" si="31"/>
        <v>No Override</v>
      </c>
      <c r="S83">
        <f t="shared" si="32"/>
        <v>4</v>
      </c>
      <c r="T83" t="str">
        <f t="shared" si="24"/>
        <v/>
      </c>
    </row>
    <row r="84" spans="1:20" ht="84" x14ac:dyDescent="0.25">
      <c r="A84" s="181">
        <v>4</v>
      </c>
      <c r="C84">
        <f t="shared" si="26"/>
        <v>4</v>
      </c>
      <c r="D84" t="s">
        <v>590</v>
      </c>
      <c r="E84" s="51" t="s">
        <v>599</v>
      </c>
      <c r="F84" s="57" t="s">
        <v>601</v>
      </c>
      <c r="G84" s="135" t="s">
        <v>602</v>
      </c>
      <c r="H84" s="131" t="str">
        <f>'9. Maintenance'!$G5</f>
        <v>Yes as part of QA/QC process of product releases. That said, controls on customer provided servers is the responsibility of the customer.</v>
      </c>
      <c r="I84" t="str">
        <f>'9. Maintenance'!$F5</f>
        <v>Yes</v>
      </c>
      <c r="J84" t="str">
        <f t="shared" si="33"/>
        <v>Adequate</v>
      </c>
      <c r="K84" s="123" t="s">
        <v>75</v>
      </c>
      <c r="L84" t="str">
        <f t="shared" si="25"/>
        <v>Adequate</v>
      </c>
      <c r="N84" t="str">
        <f t="shared" si="27"/>
        <v/>
      </c>
      <c r="O84" t="str">
        <f t="shared" si="28"/>
        <v>Yes</v>
      </c>
      <c r="P84" t="str">
        <f t="shared" si="29"/>
        <v>Yes as part of QA/QC process of product releases. That said, controls on customer provided servers is the responsibility of the customer.</v>
      </c>
      <c r="Q84" t="str">
        <f t="shared" si="30"/>
        <v>Adequate</v>
      </c>
      <c r="R84" t="str">
        <f t="shared" si="31"/>
        <v>No Override</v>
      </c>
      <c r="S84">
        <f t="shared" si="32"/>
        <v>4</v>
      </c>
      <c r="T84" t="str">
        <f t="shared" si="24"/>
        <v/>
      </c>
    </row>
    <row r="85" spans="1:20" ht="24" x14ac:dyDescent="0.25">
      <c r="A85" s="181">
        <v>4</v>
      </c>
      <c r="C85">
        <f t="shared" si="26"/>
        <v>4</v>
      </c>
      <c r="D85" t="s">
        <v>590</v>
      </c>
      <c r="E85" s="51" t="s">
        <v>603</v>
      </c>
      <c r="F85" s="57" t="s">
        <v>604</v>
      </c>
      <c r="G85" s="135" t="s">
        <v>605</v>
      </c>
      <c r="H85" s="131" t="str">
        <f>'9. Maintenance'!$G6</f>
        <v>Comment is required</v>
      </c>
      <c r="I85" t="str">
        <f>'9. Maintenance'!$F6</f>
        <v>Yes</v>
      </c>
      <c r="J85" s="45" t="str">
        <f>IF(AND($I85="Yes",$I86="Yes",$I87="Yes",$I88="Yes",$I89="Yes"),"Adequate",IF(AND($I85="Yes",OR(NOT($I86="Yes"),NOT($I87="Yes"),NOT($I88="Yes"),NOT($I89="Yes"))),"Inadequate",IF($I85="No","N/A",IF($I85="Partial","Inadequate",IF($I85="N/A","N/A",IF(OR($I85="",$I85=0),"Blank","Error"))))))</f>
        <v>Adequate</v>
      </c>
      <c r="K85" s="123" t="s">
        <v>75</v>
      </c>
      <c r="L85" t="str">
        <f t="shared" si="25"/>
        <v>Adequate</v>
      </c>
      <c r="N85" t="str">
        <f t="shared" si="27"/>
        <v/>
      </c>
      <c r="O85" t="str">
        <f t="shared" si="28"/>
        <v>Yes</v>
      </c>
      <c r="P85" t="str">
        <f t="shared" si="29"/>
        <v>Comment is required</v>
      </c>
      <c r="Q85" t="str">
        <f t="shared" si="30"/>
        <v>Adequate</v>
      </c>
      <c r="R85" t="str">
        <f t="shared" si="31"/>
        <v>No Override</v>
      </c>
      <c r="S85">
        <f t="shared" si="32"/>
        <v>4</v>
      </c>
      <c r="T85" t="str">
        <f t="shared" si="24"/>
        <v/>
      </c>
    </row>
    <row r="86" spans="1:20" ht="192" x14ac:dyDescent="0.25">
      <c r="A86" s="181">
        <v>1</v>
      </c>
      <c r="C86">
        <f t="shared" si="26"/>
        <v>1</v>
      </c>
      <c r="D86" t="s">
        <v>590</v>
      </c>
      <c r="E86" s="51" t="s">
        <v>606</v>
      </c>
      <c r="F86" s="57" t="s">
        <v>604</v>
      </c>
      <c r="G86" s="135" t="s">
        <v>607</v>
      </c>
      <c r="H86" s="131" t="str">
        <f>'9. Maintenance'!$G7</f>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I86" t="str">
        <f>'9. Maintenance'!$F7</f>
        <v>Yes</v>
      </c>
      <c r="J86" s="53" t="str">
        <f>IF(OR($I85="N/A",$I85="No"),"N/A",IF($I86="Yes","Adequate",IF($I86="No","Inadequate",IF($I86="Partial","Inadequate",IF(AND($I86="N/A",NOT($I85="No"),NOT($I85="N/A")),"Inadequate",IF(OR($I86="",$I86=0),"Blank","Error"))))))</f>
        <v>Adequate</v>
      </c>
      <c r="K86" s="123" t="s">
        <v>75</v>
      </c>
      <c r="L86" t="str">
        <f t="shared" si="25"/>
        <v>Adequate</v>
      </c>
      <c r="N86" t="str">
        <f t="shared" si="27"/>
        <v/>
      </c>
      <c r="O86" t="str">
        <f t="shared" si="28"/>
        <v>Yes</v>
      </c>
      <c r="P86" t="str">
        <f t="shared" si="29"/>
        <v>Since we provide 24/7/365 support, out help desk team along with more senior technical analysts have access to the site remotely to resolve/troubleshoot and system problem. No specific approval is needed other than the original authorization of approved resources to access remote customer sites via SecureLink.</v>
      </c>
      <c r="Q86" t="str">
        <f t="shared" si="30"/>
        <v>Adequate</v>
      </c>
      <c r="R86" t="str">
        <f t="shared" si="31"/>
        <v>No Override</v>
      </c>
      <c r="S86">
        <f t="shared" si="32"/>
        <v>1</v>
      </c>
      <c r="T86" t="str">
        <f t="shared" si="24"/>
        <v/>
      </c>
    </row>
    <row r="87" spans="1:20" ht="24" x14ac:dyDescent="0.25">
      <c r="A87" s="181">
        <v>1</v>
      </c>
      <c r="C87">
        <f t="shared" si="26"/>
        <v>1</v>
      </c>
      <c r="D87" t="s">
        <v>590</v>
      </c>
      <c r="E87" s="51" t="s">
        <v>608</v>
      </c>
      <c r="F87" s="57" t="s">
        <v>604</v>
      </c>
      <c r="G87" s="135" t="s">
        <v>609</v>
      </c>
      <c r="H87" s="131" t="str">
        <f>'9. Maintenance'!$G8</f>
        <v>Comment is required</v>
      </c>
      <c r="I87" t="str">
        <f>'9. Maintenance'!$F8</f>
        <v>Yes</v>
      </c>
      <c r="J87" s="53" t="str">
        <f>IF(OR($I85="N/A",$I85="No"),"N/A",IF($I87="Yes","Adequate",IF($I87="No","Inadequate",IF($I87="Partial","Inadequate",IF(AND($I87="N/A",NOT($I85="No"),NOT($I85="N/A")),"Inadequate",IF(OR($I87="",$I87=0),"Blank","Error"))))))</f>
        <v>Adequate</v>
      </c>
      <c r="K87" s="123" t="s">
        <v>75</v>
      </c>
      <c r="L87" t="str">
        <f t="shared" si="25"/>
        <v>Adequate</v>
      </c>
      <c r="N87" t="str">
        <f t="shared" si="27"/>
        <v/>
      </c>
      <c r="O87" t="str">
        <f t="shared" si="28"/>
        <v>Yes</v>
      </c>
      <c r="P87" t="str">
        <f t="shared" si="29"/>
        <v>Comment is required</v>
      </c>
      <c r="Q87" t="str">
        <f t="shared" si="30"/>
        <v>Adequate</v>
      </c>
      <c r="R87" t="str">
        <f t="shared" si="31"/>
        <v>No Override</v>
      </c>
      <c r="S87">
        <f t="shared" si="32"/>
        <v>1</v>
      </c>
      <c r="T87" t="str">
        <f t="shared" si="24"/>
        <v/>
      </c>
    </row>
    <row r="88" spans="1:20" ht="24" x14ac:dyDescent="0.25">
      <c r="A88" s="181">
        <v>1</v>
      </c>
      <c r="C88">
        <f t="shared" si="26"/>
        <v>1</v>
      </c>
      <c r="D88" t="s">
        <v>590</v>
      </c>
      <c r="E88" s="51" t="s">
        <v>610</v>
      </c>
      <c r="F88" s="57" t="s">
        <v>604</v>
      </c>
      <c r="G88" s="135" t="s">
        <v>611</v>
      </c>
      <c r="H88" s="131" t="str">
        <f>'9. Maintenance'!$G9</f>
        <v>Only Audit logs or access via SecureLink</v>
      </c>
      <c r="I88" t="str">
        <f>'9. Maintenance'!$F9</f>
        <v>Yes</v>
      </c>
      <c r="J88" s="53" t="str">
        <f>IF(OR($I85="N/A",$I85="No"),"N/A",IF($I88="Yes","Adequate",IF($I88="No","Inadequate",IF($I88="Partial","Inadequate",IF(AND($I88="N/A",NOT($I85="No"),NOT($I85="N/A")),"Inadequate",IF(OR($I88="",$I88=0),"Blank","Error"))))))</f>
        <v>Adequate</v>
      </c>
      <c r="K88" s="123" t="s">
        <v>75</v>
      </c>
      <c r="L88" t="str">
        <f t="shared" si="25"/>
        <v>Adequate</v>
      </c>
      <c r="N88" t="str">
        <f t="shared" si="27"/>
        <v/>
      </c>
      <c r="O88" t="str">
        <f t="shared" si="28"/>
        <v>Yes</v>
      </c>
      <c r="P88" t="str">
        <f t="shared" si="29"/>
        <v>Only Audit logs or access via SecureLink</v>
      </c>
      <c r="Q88" t="str">
        <f t="shared" si="30"/>
        <v>Adequate</v>
      </c>
      <c r="R88" t="str">
        <f t="shared" si="31"/>
        <v>No Override</v>
      </c>
      <c r="S88">
        <f t="shared" si="32"/>
        <v>1</v>
      </c>
      <c r="T88" t="str">
        <f t="shared" si="24"/>
        <v/>
      </c>
    </row>
    <row r="89" spans="1:20" ht="24" x14ac:dyDescent="0.25">
      <c r="A89" s="181">
        <v>1</v>
      </c>
      <c r="C89">
        <f t="shared" si="26"/>
        <v>1</v>
      </c>
      <c r="D89" t="s">
        <v>590</v>
      </c>
      <c r="E89" s="51" t="s">
        <v>612</v>
      </c>
      <c r="F89" s="57" t="s">
        <v>604</v>
      </c>
      <c r="G89" s="135" t="s">
        <v>613</v>
      </c>
      <c r="H89" s="131" t="str">
        <f>'9. Maintenance'!$G10</f>
        <v>Comment is required</v>
      </c>
      <c r="I89" t="str">
        <f>'9. Maintenance'!$F10</f>
        <v>Yes</v>
      </c>
      <c r="J89" s="53" t="str">
        <f>IF(OR($I85="N/A",$I85="No"),"N/A",IF($I89="Yes","Adequate",IF($I89="No","Inadequate",IF($I89="Partial","Inadequate",IF(AND($I89="N/A",NOT($I85="No"),NOT($I85="N/A")),"Inadequate",IF(OR($I89="",$I89=0),"Blank","Error"))))))</f>
        <v>Adequate</v>
      </c>
      <c r="K89" s="123" t="s">
        <v>75</v>
      </c>
      <c r="L89" t="str">
        <f t="shared" si="25"/>
        <v>Adequate</v>
      </c>
      <c r="N89" t="str">
        <f t="shared" si="27"/>
        <v/>
      </c>
      <c r="O89" t="str">
        <f t="shared" si="28"/>
        <v>Yes</v>
      </c>
      <c r="P89" t="str">
        <f t="shared" si="29"/>
        <v>Comment is required</v>
      </c>
      <c r="Q89" t="str">
        <f t="shared" si="30"/>
        <v>Adequate</v>
      </c>
      <c r="R89" t="str">
        <f t="shared" si="31"/>
        <v>No Override</v>
      </c>
      <c r="S89">
        <f t="shared" si="32"/>
        <v>1</v>
      </c>
      <c r="T89" t="str">
        <f t="shared" si="24"/>
        <v/>
      </c>
    </row>
    <row r="90" spans="1:20" ht="48" x14ac:dyDescent="0.25">
      <c r="A90" s="181">
        <v>4</v>
      </c>
      <c r="C90">
        <f t="shared" si="26"/>
        <v>4</v>
      </c>
      <c r="D90" t="s">
        <v>590</v>
      </c>
      <c r="E90" s="54" t="s">
        <v>614</v>
      </c>
      <c r="F90" s="60" t="s">
        <v>617</v>
      </c>
      <c r="G90" s="135" t="s">
        <v>618</v>
      </c>
      <c r="H90" s="131" t="str">
        <f>'9. Maintenance'!$G11</f>
        <v>Access to hospital is goverend by individual account / profile in SecureLink.</v>
      </c>
      <c r="I90" t="str">
        <f>'9. Maintenance'!$F11</f>
        <v>Yes</v>
      </c>
      <c r="J90" t="str">
        <f t="shared" si="33"/>
        <v>Adequate</v>
      </c>
      <c r="K90" s="123" t="s">
        <v>75</v>
      </c>
      <c r="L90" t="str">
        <f t="shared" si="25"/>
        <v>Adequate</v>
      </c>
      <c r="N90" t="str">
        <f t="shared" si="27"/>
        <v/>
      </c>
      <c r="O90" t="str">
        <f t="shared" si="28"/>
        <v>Yes</v>
      </c>
      <c r="P90" t="str">
        <f t="shared" si="29"/>
        <v>Access to hospital is goverend by individual account / profile in SecureLink.</v>
      </c>
      <c r="Q90" t="str">
        <f t="shared" si="30"/>
        <v>Adequate</v>
      </c>
      <c r="R90" t="str">
        <f t="shared" si="31"/>
        <v>No Override</v>
      </c>
      <c r="S90">
        <f t="shared" si="32"/>
        <v>4</v>
      </c>
      <c r="T90" t="str">
        <f t="shared" si="24"/>
        <v/>
      </c>
    </row>
    <row r="91" spans="1:20" ht="24" x14ac:dyDescent="0.25">
      <c r="A91" s="181">
        <v>4</v>
      </c>
      <c r="C91">
        <f t="shared" si="26"/>
        <v>4</v>
      </c>
      <c r="D91" t="s">
        <v>590</v>
      </c>
      <c r="E91" s="54" t="s">
        <v>619</v>
      </c>
      <c r="F91" s="60" t="s">
        <v>617</v>
      </c>
      <c r="G91" s="135" t="s">
        <v>620</v>
      </c>
      <c r="H91" s="131" t="str">
        <f>'9. Maintenance'!$G12</f>
        <v>Comment is required</v>
      </c>
      <c r="I91" t="str">
        <f>'9. Maintenance'!$F12</f>
        <v>Yes</v>
      </c>
      <c r="J91" t="str">
        <f t="shared" si="33"/>
        <v>Adequate</v>
      </c>
      <c r="K91" s="123" t="s">
        <v>75</v>
      </c>
      <c r="L91" t="str">
        <f t="shared" si="25"/>
        <v>Adequate</v>
      </c>
      <c r="N91" t="str">
        <f t="shared" si="27"/>
        <v/>
      </c>
      <c r="O91" t="str">
        <f t="shared" si="28"/>
        <v>Yes</v>
      </c>
      <c r="P91" t="str">
        <f t="shared" si="29"/>
        <v>Comment is required</v>
      </c>
      <c r="Q91" t="str">
        <f t="shared" si="30"/>
        <v>Adequate</v>
      </c>
      <c r="R91" t="str">
        <f t="shared" si="31"/>
        <v>No Override</v>
      </c>
      <c r="S91">
        <f t="shared" si="32"/>
        <v>4</v>
      </c>
      <c r="T91" t="str">
        <f t="shared" si="24"/>
        <v/>
      </c>
    </row>
    <row r="92" spans="1:20" x14ac:dyDescent="0.25">
      <c r="A92" s="181">
        <v>4</v>
      </c>
      <c r="C92">
        <f t="shared" ref="C92:C128" si="34">IF($B92="",$A92,$B92)</f>
        <v>4</v>
      </c>
      <c r="D92" t="s">
        <v>621</v>
      </c>
      <c r="E92" s="51" t="s">
        <v>622</v>
      </c>
      <c r="F92" s="57" t="s">
        <v>625</v>
      </c>
      <c r="G92" s="131" t="s">
        <v>626</v>
      </c>
      <c r="H92" s="131">
        <f>'13. Personnel Security'!$G3</f>
        <v>0</v>
      </c>
      <c r="I92" t="str">
        <f>'13. Personnel Security'!$F3</f>
        <v>Yes</v>
      </c>
      <c r="J92" t="str">
        <f t="shared" ref="J92:J128" si="35">IF($I92="Yes","Adequate",IF($I92="No","Inadequate",IF($I92="Partial","Inadequate",IF($I92="N/A","Inadequate",IF(OR($I92="",$I92=0),"Blank","Error")))))</f>
        <v>Adequate</v>
      </c>
      <c r="K92" s="123" t="s">
        <v>75</v>
      </c>
      <c r="L92" t="str">
        <f t="shared" ref="L92:L128" si="36">IF($K92="No Override",$J92,$K92)</f>
        <v>Adequate</v>
      </c>
      <c r="N92" t="str">
        <f t="shared" ref="N92:N128" si="37">IF($J92=$L92,"","***")</f>
        <v/>
      </c>
      <c r="O92" t="str">
        <f t="shared" ref="O92:O128" si="38">IF(OR($I92="",$I92=0),"",$I92)</f>
        <v>Yes</v>
      </c>
      <c r="P92" t="str">
        <f t="shared" ref="P92:P128" si="39">IF(OR($H92="",$H92=0),"",$H92)</f>
        <v/>
      </c>
      <c r="Q92" t="str">
        <f t="shared" ref="Q92:Q128" si="40">$L92</f>
        <v>Adequate</v>
      </c>
      <c r="R92" t="str">
        <f t="shared" ref="R92:R128" si="41">$K92</f>
        <v>No Override</v>
      </c>
      <c r="S92">
        <f t="shared" ref="S92:S128" si="42">$C92</f>
        <v>4</v>
      </c>
      <c r="T92" t="str">
        <f t="shared" ref="T92:T123" si="43">IF($L92=$Q92,"","***")</f>
        <v/>
      </c>
    </row>
    <row r="93" spans="1:20" x14ac:dyDescent="0.25">
      <c r="A93" s="181">
        <v>4</v>
      </c>
      <c r="C93">
        <f t="shared" si="34"/>
        <v>4</v>
      </c>
      <c r="D93" t="s">
        <v>621</v>
      </c>
      <c r="E93" s="51" t="s">
        <v>627</v>
      </c>
      <c r="F93" s="57" t="s">
        <v>629</v>
      </c>
      <c r="G93" s="135" t="s">
        <v>630</v>
      </c>
      <c r="H93" s="131">
        <f>'13. Personnel Security'!$G4</f>
        <v>0</v>
      </c>
      <c r="I93" t="str">
        <f>'13. Personnel Security'!$F4</f>
        <v>No</v>
      </c>
      <c r="J93" t="str">
        <f t="shared" si="35"/>
        <v>Inadequate</v>
      </c>
      <c r="K93" s="123" t="s">
        <v>75</v>
      </c>
      <c r="L93" t="str">
        <f t="shared" si="36"/>
        <v>Inadequate</v>
      </c>
      <c r="N93" t="str">
        <f t="shared" si="37"/>
        <v/>
      </c>
      <c r="O93" t="str">
        <f t="shared" si="38"/>
        <v>No</v>
      </c>
      <c r="P93" t="str">
        <f t="shared" si="39"/>
        <v/>
      </c>
      <c r="Q93" t="str">
        <f t="shared" si="40"/>
        <v>Inadequate</v>
      </c>
      <c r="R93" t="str">
        <f t="shared" si="41"/>
        <v>No Override</v>
      </c>
      <c r="S93">
        <f t="shared" si="42"/>
        <v>4</v>
      </c>
      <c r="T93" t="str">
        <f t="shared" si="43"/>
        <v/>
      </c>
    </row>
    <row r="94" spans="1:20" ht="36" x14ac:dyDescent="0.25">
      <c r="A94" s="181">
        <v>4</v>
      </c>
      <c r="C94">
        <f t="shared" si="34"/>
        <v>4</v>
      </c>
      <c r="D94" t="s">
        <v>621</v>
      </c>
      <c r="E94" s="51" t="s">
        <v>631</v>
      </c>
      <c r="F94" s="57" t="s">
        <v>629</v>
      </c>
      <c r="G94" s="135" t="s">
        <v>632</v>
      </c>
      <c r="H94" s="131" t="str">
        <f>'13. Personnel Security'!$G5</f>
        <v>All employees are screened during job interviews</v>
      </c>
      <c r="I94" t="str">
        <f>'13. Personnel Security'!$F5</f>
        <v>Yes</v>
      </c>
      <c r="J94" t="str">
        <f t="shared" si="35"/>
        <v>Adequate</v>
      </c>
      <c r="K94" s="123" t="s">
        <v>75</v>
      </c>
      <c r="L94" t="str">
        <f t="shared" si="36"/>
        <v>Adequate</v>
      </c>
      <c r="N94" t="str">
        <f t="shared" si="37"/>
        <v/>
      </c>
      <c r="O94" t="str">
        <f t="shared" si="38"/>
        <v>Yes</v>
      </c>
      <c r="P94" t="str">
        <f t="shared" si="39"/>
        <v>All employees are screened during job interviews</v>
      </c>
      <c r="Q94" t="str">
        <f t="shared" si="40"/>
        <v>Adequate</v>
      </c>
      <c r="R94" t="str">
        <f t="shared" si="41"/>
        <v>No Override</v>
      </c>
      <c r="S94">
        <f t="shared" si="42"/>
        <v>4</v>
      </c>
      <c r="T94" t="str">
        <f t="shared" si="43"/>
        <v/>
      </c>
    </row>
    <row r="95" spans="1:20" x14ac:dyDescent="0.25">
      <c r="A95" s="181">
        <v>4</v>
      </c>
      <c r="C95">
        <f t="shared" si="34"/>
        <v>4</v>
      </c>
      <c r="D95" t="s">
        <v>621</v>
      </c>
      <c r="E95" s="51" t="s">
        <v>633</v>
      </c>
      <c r="F95" s="57" t="s">
        <v>629</v>
      </c>
      <c r="G95" s="135" t="s">
        <v>634</v>
      </c>
      <c r="H95" s="131">
        <f>'13. Personnel Security'!$G6</f>
        <v>0</v>
      </c>
      <c r="I95" t="str">
        <f>'13. Personnel Security'!$F6</f>
        <v>No</v>
      </c>
      <c r="J95" t="str">
        <f t="shared" si="35"/>
        <v>Inadequate</v>
      </c>
      <c r="K95" s="123" t="s">
        <v>75</v>
      </c>
      <c r="L95" t="str">
        <f t="shared" si="36"/>
        <v>Inadequate</v>
      </c>
      <c r="N95" t="str">
        <f t="shared" si="37"/>
        <v/>
      </c>
      <c r="O95" t="str">
        <f t="shared" si="38"/>
        <v>No</v>
      </c>
      <c r="P95" t="str">
        <f t="shared" si="39"/>
        <v/>
      </c>
      <c r="Q95" t="str">
        <f t="shared" si="40"/>
        <v>Inadequate</v>
      </c>
      <c r="R95" t="str">
        <f t="shared" si="41"/>
        <v>No Override</v>
      </c>
      <c r="S95">
        <f t="shared" si="42"/>
        <v>4</v>
      </c>
      <c r="T95" t="str">
        <f t="shared" si="43"/>
        <v/>
      </c>
    </row>
    <row r="96" spans="1:20" ht="36" x14ac:dyDescent="0.25">
      <c r="A96" s="181">
        <v>4</v>
      </c>
      <c r="C96">
        <f t="shared" si="34"/>
        <v>4</v>
      </c>
      <c r="D96" t="s">
        <v>621</v>
      </c>
      <c r="E96" s="51" t="s">
        <v>635</v>
      </c>
      <c r="F96" s="57" t="s">
        <v>636</v>
      </c>
      <c r="G96" s="135" t="s">
        <v>637</v>
      </c>
      <c r="H96" s="131" t="str">
        <f>'13. Personnel Security'!$G7</f>
        <v>All employees are screened during job interviews</v>
      </c>
      <c r="I96" t="str">
        <f>'13. Personnel Security'!$F7</f>
        <v>Yes</v>
      </c>
      <c r="J96" t="str">
        <f t="shared" si="35"/>
        <v>Adequate</v>
      </c>
      <c r="K96" s="123" t="s">
        <v>75</v>
      </c>
      <c r="L96" t="str">
        <f t="shared" si="36"/>
        <v>Adequate</v>
      </c>
      <c r="N96" t="str">
        <f t="shared" si="37"/>
        <v/>
      </c>
      <c r="O96" t="str">
        <f t="shared" si="38"/>
        <v>Yes</v>
      </c>
      <c r="P96" t="str">
        <f t="shared" si="39"/>
        <v>All employees are screened during job interviews</v>
      </c>
      <c r="Q96" t="str">
        <f t="shared" si="40"/>
        <v>Adequate</v>
      </c>
      <c r="R96" t="str">
        <f t="shared" si="41"/>
        <v>No Override</v>
      </c>
      <c r="S96">
        <f t="shared" si="42"/>
        <v>4</v>
      </c>
      <c r="T96" t="str">
        <f t="shared" si="43"/>
        <v/>
      </c>
    </row>
    <row r="97" spans="1:20" x14ac:dyDescent="0.25">
      <c r="A97" s="181">
        <v>4</v>
      </c>
      <c r="C97">
        <f t="shared" si="34"/>
        <v>4</v>
      </c>
      <c r="D97" t="s">
        <v>621</v>
      </c>
      <c r="E97" s="51" t="s">
        <v>638</v>
      </c>
      <c r="F97" s="57" t="s">
        <v>636</v>
      </c>
      <c r="G97" s="135" t="s">
        <v>639</v>
      </c>
      <c r="H97" s="131">
        <f>'13. Personnel Security'!$G8</f>
        <v>0</v>
      </c>
      <c r="I97" t="str">
        <f>'13. Personnel Security'!$F8</f>
        <v>No</v>
      </c>
      <c r="J97" t="str">
        <f t="shared" si="35"/>
        <v>Inadequate</v>
      </c>
      <c r="K97" s="123" t="s">
        <v>75</v>
      </c>
      <c r="L97" t="str">
        <f t="shared" si="36"/>
        <v>Inadequate</v>
      </c>
      <c r="N97" t="str">
        <f t="shared" si="37"/>
        <v/>
      </c>
      <c r="O97" t="str">
        <f t="shared" si="38"/>
        <v>No</v>
      </c>
      <c r="P97" t="str">
        <f t="shared" si="39"/>
        <v/>
      </c>
      <c r="Q97" t="str">
        <f t="shared" si="40"/>
        <v>Inadequate</v>
      </c>
      <c r="R97" t="str">
        <f t="shared" si="41"/>
        <v>No Override</v>
      </c>
      <c r="S97">
        <f t="shared" si="42"/>
        <v>4</v>
      </c>
      <c r="T97" t="str">
        <f t="shared" si="43"/>
        <v/>
      </c>
    </row>
    <row r="98" spans="1:20" ht="24" x14ac:dyDescent="0.25">
      <c r="A98" s="181">
        <v>4</v>
      </c>
      <c r="C98">
        <f t="shared" si="34"/>
        <v>4</v>
      </c>
      <c r="D98" t="s">
        <v>621</v>
      </c>
      <c r="E98" s="51" t="s">
        <v>640</v>
      </c>
      <c r="F98" s="57" t="s">
        <v>643</v>
      </c>
      <c r="G98" s="135" t="s">
        <v>644</v>
      </c>
      <c r="H98" s="131">
        <f>'13. Personnel Security'!$G9</f>
        <v>0</v>
      </c>
      <c r="I98" t="str">
        <f>'13. Personnel Security'!$F9</f>
        <v>Yes</v>
      </c>
      <c r="J98" t="str">
        <f t="shared" si="35"/>
        <v>Adequate</v>
      </c>
      <c r="K98" s="123" t="s">
        <v>75</v>
      </c>
      <c r="L98" t="str">
        <f t="shared" si="36"/>
        <v>Adequate</v>
      </c>
      <c r="N98" t="str">
        <f t="shared" si="37"/>
        <v/>
      </c>
      <c r="O98" t="str">
        <f t="shared" si="38"/>
        <v>Yes</v>
      </c>
      <c r="P98" t="str">
        <f t="shared" si="39"/>
        <v/>
      </c>
      <c r="Q98" t="str">
        <f t="shared" si="40"/>
        <v>Adequate</v>
      </c>
      <c r="R98" t="str">
        <f t="shared" si="41"/>
        <v>No Override</v>
      </c>
      <c r="S98">
        <f t="shared" si="42"/>
        <v>4</v>
      </c>
      <c r="T98" t="str">
        <f t="shared" si="43"/>
        <v/>
      </c>
    </row>
    <row r="99" spans="1:20" ht="24" x14ac:dyDescent="0.25">
      <c r="A99" s="181">
        <v>4</v>
      </c>
      <c r="C99">
        <f t="shared" si="34"/>
        <v>4</v>
      </c>
      <c r="D99" t="s">
        <v>621</v>
      </c>
      <c r="E99" s="51" t="s">
        <v>645</v>
      </c>
      <c r="F99" s="57" t="s">
        <v>647</v>
      </c>
      <c r="G99" s="135" t="s">
        <v>648</v>
      </c>
      <c r="H99" s="131">
        <f>'13. Personnel Security'!$G10</f>
        <v>0</v>
      </c>
      <c r="I99" t="str">
        <f>'13. Personnel Security'!$F10</f>
        <v>No</v>
      </c>
      <c r="J99" t="str">
        <f t="shared" si="35"/>
        <v>Inadequate</v>
      </c>
      <c r="K99" s="123" t="s">
        <v>75</v>
      </c>
      <c r="L99" t="str">
        <f t="shared" si="36"/>
        <v>Inadequate</v>
      </c>
      <c r="N99" t="str">
        <f t="shared" si="37"/>
        <v/>
      </c>
      <c r="O99" t="str">
        <f t="shared" si="38"/>
        <v>No</v>
      </c>
      <c r="P99" t="str">
        <f t="shared" si="39"/>
        <v/>
      </c>
      <c r="Q99" t="str">
        <f t="shared" si="40"/>
        <v>Inadequate</v>
      </c>
      <c r="R99" t="str">
        <f t="shared" si="41"/>
        <v>No Override</v>
      </c>
      <c r="S99">
        <f t="shared" si="42"/>
        <v>4</v>
      </c>
      <c r="T99" t="str">
        <f t="shared" si="43"/>
        <v/>
      </c>
    </row>
    <row r="100" spans="1:20" ht="228" x14ac:dyDescent="0.25">
      <c r="A100" s="181">
        <v>4</v>
      </c>
      <c r="C100">
        <f t="shared" si="34"/>
        <v>4</v>
      </c>
      <c r="D100" t="s">
        <v>621</v>
      </c>
      <c r="E100" s="51" t="s">
        <v>649</v>
      </c>
      <c r="F100" s="57" t="s">
        <v>652</v>
      </c>
      <c r="G100" s="135" t="s">
        <v>653</v>
      </c>
      <c r="H100" s="131"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t="str">
        <f>'13. Personnel Security'!$F11</f>
        <v>Partial</v>
      </c>
      <c r="J100" t="str">
        <f t="shared" si="35"/>
        <v>Inadequate</v>
      </c>
      <c r="K100" s="123" t="s">
        <v>75</v>
      </c>
      <c r="L100" t="str">
        <f t="shared" si="36"/>
        <v>Inadequate</v>
      </c>
      <c r="N100" t="str">
        <f t="shared" si="37"/>
        <v/>
      </c>
      <c r="O100" t="str">
        <f t="shared" si="38"/>
        <v>Partial</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Inadequate</v>
      </c>
      <c r="R100" t="str">
        <f t="shared" si="41"/>
        <v>No Override</v>
      </c>
      <c r="S100">
        <f t="shared" si="42"/>
        <v>4</v>
      </c>
      <c r="T100" t="str">
        <f t="shared" si="43"/>
        <v/>
      </c>
    </row>
    <row r="101" spans="1:20" ht="24" x14ac:dyDescent="0.25">
      <c r="A101" s="181">
        <v>4</v>
      </c>
      <c r="C101">
        <f t="shared" si="34"/>
        <v>4</v>
      </c>
      <c r="D101" t="s">
        <v>621</v>
      </c>
      <c r="E101" s="51" t="s">
        <v>654</v>
      </c>
      <c r="F101" s="57" t="s">
        <v>657</v>
      </c>
      <c r="G101" s="135" t="s">
        <v>658</v>
      </c>
      <c r="H101" s="131">
        <f>'13. Personnel Security'!$G12</f>
        <v>0</v>
      </c>
      <c r="I101" t="str">
        <f>'13. Personnel Security'!$F12</f>
        <v>Yes</v>
      </c>
      <c r="J101" t="str">
        <f>IF($I101="Yes","Adequate",IF($I101="No","Inadequate",IF($I101="Partial","Inadequate",IF(AND($I101="N/A",'Vendor Profile Questionnaire'!$B$29="No"),"Adequate",IF(AND($I101="N/A",NOT('Vendor Profile Questionnaire'!$B$29="No")),"Inadequate",IF(OR($I101="",$I101=0),"Blank","Error"))))))</f>
        <v>Adequate</v>
      </c>
      <c r="K101" s="123" t="s">
        <v>75</v>
      </c>
      <c r="L101" t="str">
        <f t="shared" si="36"/>
        <v>Adequate</v>
      </c>
      <c r="N101" t="str">
        <f t="shared" si="37"/>
        <v/>
      </c>
      <c r="O101" t="str">
        <f t="shared" si="38"/>
        <v>Yes</v>
      </c>
      <c r="P101" t="str">
        <f t="shared" si="39"/>
        <v/>
      </c>
      <c r="Q101" t="str">
        <f t="shared" si="40"/>
        <v>Adequate</v>
      </c>
      <c r="R101" t="str">
        <f t="shared" si="41"/>
        <v>No Override</v>
      </c>
      <c r="S101">
        <f t="shared" si="42"/>
        <v>4</v>
      </c>
      <c r="T101" t="str">
        <f t="shared" si="43"/>
        <v/>
      </c>
    </row>
    <row r="102" spans="1:20" x14ac:dyDescent="0.25">
      <c r="A102" s="181">
        <v>4</v>
      </c>
      <c r="C102">
        <f t="shared" si="34"/>
        <v>4</v>
      </c>
      <c r="D102" t="s">
        <v>621</v>
      </c>
      <c r="E102" s="51" t="s">
        <v>659</v>
      </c>
      <c r="F102" s="57" t="s">
        <v>662</v>
      </c>
      <c r="G102" s="135" t="s">
        <v>663</v>
      </c>
      <c r="H102" s="131">
        <f>'13. Personnel Security'!$G13</f>
        <v>0</v>
      </c>
      <c r="I102" t="str">
        <f>'13. Personnel Security'!$F13</f>
        <v>Yes</v>
      </c>
      <c r="J102" t="str">
        <f t="shared" si="35"/>
        <v>Adequate</v>
      </c>
      <c r="K102" s="123" t="s">
        <v>75</v>
      </c>
      <c r="L102" t="str">
        <f t="shared" si="36"/>
        <v>Adequate</v>
      </c>
      <c r="N102" t="str">
        <f t="shared" si="37"/>
        <v/>
      </c>
      <c r="O102" t="str">
        <f t="shared" si="38"/>
        <v>Yes</v>
      </c>
      <c r="P102" t="str">
        <f t="shared" si="39"/>
        <v/>
      </c>
      <c r="Q102" t="str">
        <f t="shared" si="40"/>
        <v>Adequate</v>
      </c>
      <c r="R102" t="str">
        <f t="shared" si="41"/>
        <v>No Override</v>
      </c>
      <c r="S102">
        <f t="shared" si="42"/>
        <v>4</v>
      </c>
      <c r="T102" t="str">
        <f t="shared" si="43"/>
        <v/>
      </c>
    </row>
    <row r="103" spans="1:20" ht="24" x14ac:dyDescent="0.25">
      <c r="A103" s="181">
        <v>4</v>
      </c>
      <c r="C103">
        <f t="shared" si="34"/>
        <v>4</v>
      </c>
      <c r="D103" t="s">
        <v>778</v>
      </c>
      <c r="E103" s="51" t="s">
        <v>665</v>
      </c>
      <c r="F103" s="57" t="s">
        <v>667</v>
      </c>
      <c r="G103" s="131" t="s">
        <v>668</v>
      </c>
      <c r="H103" s="131" t="str">
        <f>'15. System Acquisition'!$G3</f>
        <v>Comment is required</v>
      </c>
      <c r="I103" t="str">
        <f>'15. System Acquisition'!$F3</f>
        <v>No</v>
      </c>
      <c r="J103" t="str">
        <f t="shared" si="35"/>
        <v>Inadequate</v>
      </c>
      <c r="K103" s="123" t="s">
        <v>75</v>
      </c>
      <c r="L103" t="str">
        <f t="shared" si="36"/>
        <v>Inadequate</v>
      </c>
      <c r="N103" t="str">
        <f t="shared" si="37"/>
        <v/>
      </c>
      <c r="O103" t="str">
        <f t="shared" si="38"/>
        <v>No</v>
      </c>
      <c r="P103" t="str">
        <f t="shared" si="39"/>
        <v>Comment is required</v>
      </c>
      <c r="Q103" t="str">
        <f t="shared" si="40"/>
        <v>Inadequate</v>
      </c>
      <c r="R103" t="str">
        <f t="shared" si="41"/>
        <v>No Override</v>
      </c>
      <c r="S103">
        <f t="shared" si="42"/>
        <v>4</v>
      </c>
      <c r="T103" t="str">
        <f t="shared" si="43"/>
        <v/>
      </c>
    </row>
    <row r="104" spans="1:20" x14ac:dyDescent="0.25">
      <c r="A104" s="181">
        <v>4</v>
      </c>
      <c r="C104">
        <f t="shared" si="34"/>
        <v>4</v>
      </c>
      <c r="D104" t="s">
        <v>778</v>
      </c>
      <c r="E104" s="51" t="s">
        <v>669</v>
      </c>
      <c r="F104" s="57" t="s">
        <v>671</v>
      </c>
      <c r="G104" s="135" t="s">
        <v>672</v>
      </c>
      <c r="H104" s="131" t="str">
        <f>'15. System Acquisition'!$G4</f>
        <v>Comment is required</v>
      </c>
      <c r="I104" t="str">
        <f>'15. System Acquisition'!$F4</f>
        <v>Yes</v>
      </c>
      <c r="J104" t="str">
        <f t="shared" si="35"/>
        <v>Adequate</v>
      </c>
      <c r="K104" s="123" t="s">
        <v>75</v>
      </c>
      <c r="L104" t="str">
        <f t="shared" si="36"/>
        <v>Adequate</v>
      </c>
      <c r="N104" t="str">
        <f t="shared" si="37"/>
        <v/>
      </c>
      <c r="O104" t="str">
        <f t="shared" si="38"/>
        <v>Yes</v>
      </c>
      <c r="P104" t="str">
        <f t="shared" si="39"/>
        <v>Comment is required</v>
      </c>
      <c r="Q104" t="str">
        <f t="shared" si="40"/>
        <v>Adequate</v>
      </c>
      <c r="R104" t="str">
        <f t="shared" si="41"/>
        <v>No Override</v>
      </c>
      <c r="S104">
        <f t="shared" si="42"/>
        <v>4</v>
      </c>
      <c r="T104" t="str">
        <f t="shared" si="43"/>
        <v/>
      </c>
    </row>
    <row r="105" spans="1:20" ht="60" x14ac:dyDescent="0.25">
      <c r="A105" s="181">
        <v>1</v>
      </c>
      <c r="C105">
        <f t="shared" si="34"/>
        <v>1</v>
      </c>
      <c r="D105" t="s">
        <v>778</v>
      </c>
      <c r="E105" s="51" t="s">
        <v>335</v>
      </c>
      <c r="F105" s="57" t="s">
        <v>336</v>
      </c>
      <c r="G105" s="135" t="s">
        <v>674</v>
      </c>
      <c r="H105" s="131" t="str">
        <f>'15. System Acquisition'!$G5</f>
        <v>yes as it applies to conracts for customers purchasing the PeriCALM software modules</v>
      </c>
      <c r="I105" t="str">
        <f>'15. System Acquisition'!$F5</f>
        <v>Yes</v>
      </c>
      <c r="J105" t="str">
        <f t="shared" si="35"/>
        <v>Adequate</v>
      </c>
      <c r="K105" s="123" t="s">
        <v>75</v>
      </c>
      <c r="L105" t="str">
        <f t="shared" si="36"/>
        <v>Adequate</v>
      </c>
      <c r="N105" t="str">
        <f t="shared" si="37"/>
        <v/>
      </c>
      <c r="O105" t="str">
        <f t="shared" si="38"/>
        <v>Yes</v>
      </c>
      <c r="P105" t="str">
        <f t="shared" si="39"/>
        <v>yes as it applies to conracts for customers purchasing the PeriCALM software modules</v>
      </c>
      <c r="Q105" t="str">
        <f t="shared" si="40"/>
        <v>Adequate</v>
      </c>
      <c r="R105" t="str">
        <f t="shared" si="41"/>
        <v>No Override</v>
      </c>
      <c r="S105">
        <f t="shared" si="42"/>
        <v>1</v>
      </c>
      <c r="T105" t="str">
        <f t="shared" si="43"/>
        <v/>
      </c>
    </row>
    <row r="106" spans="1:20" ht="60" x14ac:dyDescent="0.25">
      <c r="A106" s="181">
        <v>4</v>
      </c>
      <c r="C106">
        <f t="shared" si="34"/>
        <v>4</v>
      </c>
      <c r="D106" t="s">
        <v>778</v>
      </c>
      <c r="E106" s="51" t="s">
        <v>675</v>
      </c>
      <c r="F106" s="57" t="s">
        <v>677</v>
      </c>
      <c r="G106" s="131" t="s">
        <v>678</v>
      </c>
      <c r="H106" s="131" t="str">
        <f>'15. System Acquisition'!$G6</f>
        <v>Comment is required</v>
      </c>
      <c r="I106" t="str">
        <f>'15. System Acquisition'!$F6</f>
        <v>Yes</v>
      </c>
      <c r="J106" t="str">
        <f t="shared" si="35"/>
        <v>Adequate</v>
      </c>
      <c r="K106" s="123" t="s">
        <v>75</v>
      </c>
      <c r="L106" t="str">
        <f t="shared" si="36"/>
        <v>Adequate</v>
      </c>
      <c r="N106" t="str">
        <f t="shared" si="37"/>
        <v/>
      </c>
      <c r="O106" t="str">
        <f t="shared" si="38"/>
        <v>Yes</v>
      </c>
      <c r="P106" t="str">
        <f t="shared" si="39"/>
        <v>Comment is required</v>
      </c>
      <c r="Q106" t="str">
        <f t="shared" si="40"/>
        <v>Adequate</v>
      </c>
      <c r="R106" t="str">
        <f t="shared" si="41"/>
        <v>No Override</v>
      </c>
      <c r="S106">
        <f t="shared" si="42"/>
        <v>4</v>
      </c>
      <c r="T106" t="str">
        <f t="shared" si="43"/>
        <v/>
      </c>
    </row>
    <row r="107" spans="1:20" ht="144" x14ac:dyDescent="0.25">
      <c r="A107" s="181">
        <v>4</v>
      </c>
      <c r="C107">
        <f t="shared" si="34"/>
        <v>4</v>
      </c>
      <c r="D107" t="s">
        <v>778</v>
      </c>
      <c r="E107" s="51" t="s">
        <v>679</v>
      </c>
      <c r="F107" s="57" t="s">
        <v>677</v>
      </c>
      <c r="G107" s="131" t="s">
        <v>680</v>
      </c>
      <c r="H107" s="131" t="str">
        <f>'15. System Acquisition'!$G7</f>
        <v>PeriGen provide end-user and administrator  documentation that cover all aspects of the system include acces controls and configurations. PeriGen provide admin training to customer technical staff and ongoing management is customer responsibility</v>
      </c>
      <c r="I107" t="str">
        <f>'15. System Acquisition'!$F7</f>
        <v>Partial</v>
      </c>
      <c r="J107" t="str">
        <f t="shared" si="35"/>
        <v>Inadequate</v>
      </c>
      <c r="K107" s="123" t="s">
        <v>75</v>
      </c>
      <c r="L107" t="str">
        <f t="shared" si="36"/>
        <v>Inadequate</v>
      </c>
      <c r="N107" t="str">
        <f t="shared" si="37"/>
        <v/>
      </c>
      <c r="O107" t="str">
        <f t="shared" si="38"/>
        <v>Partial</v>
      </c>
      <c r="P107" t="str">
        <f t="shared" si="39"/>
        <v>PeriGen provide end-user and administrator  documentation that cover all aspects of the system include acces controls and configurations. PeriGen provide admin training to customer technical staff and ongoing management is customer responsibility</v>
      </c>
      <c r="Q107" t="str">
        <f t="shared" si="40"/>
        <v>Inadequate</v>
      </c>
      <c r="R107" t="str">
        <f t="shared" si="41"/>
        <v>No Override</v>
      </c>
      <c r="S107">
        <f t="shared" si="42"/>
        <v>4</v>
      </c>
      <c r="T107" t="str">
        <f t="shared" si="43"/>
        <v/>
      </c>
    </row>
    <row r="108" spans="1:20" ht="108" x14ac:dyDescent="0.25">
      <c r="A108" s="181">
        <v>4</v>
      </c>
      <c r="C108">
        <f t="shared" si="34"/>
        <v>4</v>
      </c>
      <c r="D108" t="s">
        <v>778</v>
      </c>
      <c r="E108" s="51" t="s">
        <v>681</v>
      </c>
      <c r="F108" s="57" t="s">
        <v>677</v>
      </c>
      <c r="G108" s="131" t="s">
        <v>682</v>
      </c>
      <c r="H108" s="131" t="str">
        <f>'15. System Acquisition'!$G8</f>
        <v>End-user and admin guides are provided/available to users accessing the system in a clinical setting. Other material is provided directly to staff during training sessions</v>
      </c>
      <c r="I108" t="str">
        <f>'15. System Acquisition'!$F8</f>
        <v>No</v>
      </c>
      <c r="J108" t="str">
        <f>IF($I108="Yes","Adequate",IF($I108="No","Inadequate",IF($I108="Partial","Inadequate",IF(AND($I108="N/A",$I107="No",$I106="No"),"Adequate",IF(AND($I108="N/A",OR(NOT($I107="No"),NOT($I106="No"))),"Inadequate",IF(OR($I108="",$I108=0),"Blank","Error"))))))</f>
        <v>Inadequate</v>
      </c>
      <c r="K108" s="123" t="s">
        <v>75</v>
      </c>
      <c r="L108" t="str">
        <f t="shared" si="36"/>
        <v>Inadequate</v>
      </c>
      <c r="N108" t="str">
        <f t="shared" si="37"/>
        <v/>
      </c>
      <c r="O108" t="str">
        <f t="shared" si="38"/>
        <v>No</v>
      </c>
      <c r="P108" t="str">
        <f t="shared" si="39"/>
        <v>End-user and admin guides are provided/available to users accessing the system in a clinical setting. Other material is provided directly to staff during training sessions</v>
      </c>
      <c r="Q108" t="str">
        <f t="shared" si="40"/>
        <v>Inadequate</v>
      </c>
      <c r="R108" t="str">
        <f t="shared" si="41"/>
        <v>No Override</v>
      </c>
      <c r="S108">
        <f t="shared" si="42"/>
        <v>4</v>
      </c>
      <c r="T108" t="str">
        <f t="shared" si="43"/>
        <v/>
      </c>
    </row>
    <row r="109" spans="1:20" ht="24" x14ac:dyDescent="0.25">
      <c r="A109" s="181">
        <v>4</v>
      </c>
      <c r="C109">
        <f t="shared" si="34"/>
        <v>4</v>
      </c>
      <c r="D109" t="s">
        <v>778</v>
      </c>
      <c r="E109" s="51" t="s">
        <v>683</v>
      </c>
      <c r="F109" s="57" t="s">
        <v>685</v>
      </c>
      <c r="G109" s="135" t="s">
        <v>686</v>
      </c>
      <c r="H109" s="131" t="str">
        <f>'15. System Acquisition'!$G9</f>
        <v>Comment is required</v>
      </c>
      <c r="I109" t="str">
        <f>'15. System Acquisition'!$F9</f>
        <v>Yes</v>
      </c>
      <c r="J109" t="str">
        <f t="shared" si="35"/>
        <v>Adequate</v>
      </c>
      <c r="K109" s="123" t="s">
        <v>75</v>
      </c>
      <c r="L109" t="str">
        <f t="shared" si="36"/>
        <v>Adequate</v>
      </c>
      <c r="N109" t="str">
        <f t="shared" si="37"/>
        <v/>
      </c>
      <c r="O109" t="str">
        <f t="shared" si="38"/>
        <v>Yes</v>
      </c>
      <c r="P109" t="str">
        <f t="shared" si="39"/>
        <v>Comment is required</v>
      </c>
      <c r="Q109" t="str">
        <f t="shared" si="40"/>
        <v>Adequate</v>
      </c>
      <c r="R109" t="str">
        <f t="shared" si="41"/>
        <v>No Override</v>
      </c>
      <c r="S109">
        <f t="shared" si="42"/>
        <v>4</v>
      </c>
      <c r="T109" t="str">
        <f t="shared" si="43"/>
        <v/>
      </c>
    </row>
    <row r="110" spans="1:20" ht="36" x14ac:dyDescent="0.25">
      <c r="A110" s="181">
        <v>4</v>
      </c>
      <c r="C110">
        <f t="shared" si="34"/>
        <v>4</v>
      </c>
      <c r="D110" t="s">
        <v>778</v>
      </c>
      <c r="E110" s="51" t="s">
        <v>687</v>
      </c>
      <c r="F110" s="57" t="s">
        <v>689</v>
      </c>
      <c r="G110" s="135" t="s">
        <v>690</v>
      </c>
      <c r="H110" s="131" t="str">
        <f>'15. System Acquisition'!$G10</f>
        <v>Comment is required</v>
      </c>
      <c r="I110" t="str">
        <f>'15. System Acquisition'!$F10</f>
        <v>Yes</v>
      </c>
      <c r="J110" t="str">
        <f t="shared" si="35"/>
        <v>Adequate</v>
      </c>
      <c r="K110" s="123" t="s">
        <v>75</v>
      </c>
      <c r="L110" t="str">
        <f t="shared" si="36"/>
        <v>Adequate</v>
      </c>
      <c r="N110" t="str">
        <f t="shared" si="37"/>
        <v/>
      </c>
      <c r="O110" t="str">
        <f t="shared" si="38"/>
        <v>Yes</v>
      </c>
      <c r="P110" t="str">
        <f t="shared" si="39"/>
        <v>Comment is required</v>
      </c>
      <c r="Q110" t="str">
        <f t="shared" si="40"/>
        <v>Adequate</v>
      </c>
      <c r="R110" t="str">
        <f t="shared" si="41"/>
        <v>No Override</v>
      </c>
      <c r="S110">
        <f t="shared" si="42"/>
        <v>4</v>
      </c>
      <c r="T110" t="str">
        <f t="shared" si="43"/>
        <v/>
      </c>
    </row>
    <row r="111" spans="1:20" ht="36" x14ac:dyDescent="0.25">
      <c r="A111" s="181">
        <v>2</v>
      </c>
      <c r="C111">
        <f t="shared" si="34"/>
        <v>2</v>
      </c>
      <c r="D111" t="s">
        <v>778</v>
      </c>
      <c r="E111" s="51" t="s">
        <v>691</v>
      </c>
      <c r="F111" s="57" t="s">
        <v>693</v>
      </c>
      <c r="G111" s="135" t="s">
        <v>694</v>
      </c>
      <c r="H111" s="131" t="str">
        <f>'15. System Acquisition'!$G11</f>
        <v>Comment is required</v>
      </c>
      <c r="I111" t="str">
        <f>'15. System Acquisition'!$F11</f>
        <v>Yes</v>
      </c>
      <c r="J111" t="str">
        <f t="shared" si="35"/>
        <v>Adequate</v>
      </c>
      <c r="K111" s="123" t="s">
        <v>75</v>
      </c>
      <c r="L111" t="str">
        <f t="shared" si="36"/>
        <v>Adequate</v>
      </c>
      <c r="N111" t="str">
        <f t="shared" si="37"/>
        <v/>
      </c>
      <c r="O111" t="str">
        <f t="shared" si="38"/>
        <v>Yes</v>
      </c>
      <c r="P111" t="str">
        <f t="shared" si="39"/>
        <v>Comment is required</v>
      </c>
      <c r="Q111" t="str">
        <f t="shared" si="40"/>
        <v>Adequate</v>
      </c>
      <c r="R111" t="str">
        <f t="shared" si="41"/>
        <v>No Override</v>
      </c>
      <c r="S111">
        <f t="shared" si="42"/>
        <v>2</v>
      </c>
      <c r="T111" t="str">
        <f t="shared" si="43"/>
        <v/>
      </c>
    </row>
    <row r="112" spans="1:20" ht="24" x14ac:dyDescent="0.25">
      <c r="A112" s="181">
        <v>4</v>
      </c>
      <c r="C112">
        <f t="shared" si="34"/>
        <v>4</v>
      </c>
      <c r="D112" t="s">
        <v>779</v>
      </c>
      <c r="E112" s="51" t="s">
        <v>696</v>
      </c>
      <c r="F112" s="57" t="s">
        <v>698</v>
      </c>
      <c r="G112" s="131" t="s">
        <v>699</v>
      </c>
      <c r="H112" s="131" t="str">
        <f>'16. System Data Protection'!$G3</f>
        <v>Comment is required</v>
      </c>
      <c r="I112" t="str">
        <f>'16. System Data Protection'!$F3</f>
        <v>No</v>
      </c>
      <c r="J112" t="str">
        <f t="shared" si="35"/>
        <v>Inadequate</v>
      </c>
      <c r="K112" s="123" t="s">
        <v>75</v>
      </c>
      <c r="L112" t="str">
        <f t="shared" si="36"/>
        <v>Inadequate</v>
      </c>
      <c r="N112" t="str">
        <f t="shared" si="37"/>
        <v/>
      </c>
      <c r="O112" t="str">
        <f t="shared" si="38"/>
        <v>No</v>
      </c>
      <c r="P112" t="str">
        <f t="shared" si="39"/>
        <v>Comment is required</v>
      </c>
      <c r="Q112" t="str">
        <f t="shared" si="40"/>
        <v>Inadequate</v>
      </c>
      <c r="R112" t="str">
        <f t="shared" si="41"/>
        <v>No Override</v>
      </c>
      <c r="S112">
        <f t="shared" si="42"/>
        <v>4</v>
      </c>
      <c r="T112" t="str">
        <f t="shared" si="43"/>
        <v/>
      </c>
    </row>
    <row r="113" spans="1:20" ht="24" x14ac:dyDescent="0.25">
      <c r="A113" s="181">
        <v>4</v>
      </c>
      <c r="C113">
        <f t="shared" si="34"/>
        <v>4</v>
      </c>
      <c r="D113" t="s">
        <v>779</v>
      </c>
      <c r="E113" s="51" t="s">
        <v>700</v>
      </c>
      <c r="F113" s="57" t="s">
        <v>702</v>
      </c>
      <c r="G113" s="131" t="s">
        <v>703</v>
      </c>
      <c r="H113" s="131" t="str">
        <f>'16. System Data Protection'!$G4</f>
        <v>Comment is required</v>
      </c>
      <c r="I113" t="str">
        <f>'16. System Data Protection'!$F4</f>
        <v>Yes</v>
      </c>
      <c r="J113" t="str">
        <f t="shared" si="35"/>
        <v>Adequate</v>
      </c>
      <c r="K113" s="123" t="s">
        <v>75</v>
      </c>
      <c r="L113" t="str">
        <f t="shared" si="36"/>
        <v>Adequate</v>
      </c>
      <c r="N113" t="str">
        <f t="shared" si="37"/>
        <v/>
      </c>
      <c r="O113" t="str">
        <f t="shared" si="38"/>
        <v>Yes</v>
      </c>
      <c r="P113" t="str">
        <f t="shared" si="39"/>
        <v>Comment is required</v>
      </c>
      <c r="Q113" t="str">
        <f t="shared" si="40"/>
        <v>Adequate</v>
      </c>
      <c r="R113" t="str">
        <f t="shared" si="41"/>
        <v>No Override</v>
      </c>
      <c r="S113">
        <f t="shared" si="42"/>
        <v>4</v>
      </c>
      <c r="T113" t="str">
        <f t="shared" si="43"/>
        <v/>
      </c>
    </row>
    <row r="114" spans="1:20" ht="24" x14ac:dyDescent="0.25">
      <c r="A114" s="181">
        <v>1</v>
      </c>
      <c r="C114">
        <f t="shared" si="34"/>
        <v>1</v>
      </c>
      <c r="D114" t="s">
        <v>779</v>
      </c>
      <c r="E114" s="54" t="s">
        <v>704</v>
      </c>
      <c r="F114" s="57" t="s">
        <v>707</v>
      </c>
      <c r="G114" s="135" t="s">
        <v>780</v>
      </c>
      <c r="H114" s="131" t="str">
        <f>'16. System Data Protection'!$G5</f>
        <v>Comment is required</v>
      </c>
      <c r="I114" t="str">
        <f>'16. System Data Protection'!$F5</f>
        <v>No</v>
      </c>
      <c r="J114" t="str">
        <f t="shared" si="35"/>
        <v>Inadequate</v>
      </c>
      <c r="K114" s="123" t="s">
        <v>75</v>
      </c>
      <c r="L114" t="str">
        <f t="shared" si="36"/>
        <v>Inadequate</v>
      </c>
      <c r="N114" t="str">
        <f t="shared" si="37"/>
        <v/>
      </c>
      <c r="O114" t="str">
        <f t="shared" si="38"/>
        <v>No</v>
      </c>
      <c r="P114" t="str">
        <f t="shared" si="39"/>
        <v>Comment is required</v>
      </c>
      <c r="Q114" t="str">
        <f t="shared" si="40"/>
        <v>Inadequate</v>
      </c>
      <c r="R114" t="str">
        <f t="shared" si="41"/>
        <v>No Override</v>
      </c>
      <c r="S114">
        <f t="shared" si="42"/>
        <v>1</v>
      </c>
      <c r="T114" t="str">
        <f t="shared" si="43"/>
        <v/>
      </c>
    </row>
    <row r="115" spans="1:20" ht="24" x14ac:dyDescent="0.25">
      <c r="A115" s="181">
        <v>1</v>
      </c>
      <c r="C115">
        <f t="shared" si="34"/>
        <v>1</v>
      </c>
      <c r="D115" t="s">
        <v>779</v>
      </c>
      <c r="E115" s="54" t="s">
        <v>709</v>
      </c>
      <c r="F115" s="57" t="s">
        <v>707</v>
      </c>
      <c r="G115" s="135" t="s">
        <v>710</v>
      </c>
      <c r="H115" s="131" t="str">
        <f>'16. System Data Protection'!$G6</f>
        <v>Comment is required</v>
      </c>
      <c r="I115" t="str">
        <f>'16. System Data Protection'!$F6</f>
        <v>No</v>
      </c>
      <c r="J115" t="str">
        <f t="shared" si="35"/>
        <v>Inadequate</v>
      </c>
      <c r="K115" s="123" t="s">
        <v>75</v>
      </c>
      <c r="L115" t="str">
        <f t="shared" si="36"/>
        <v>Inadequate</v>
      </c>
      <c r="N115" t="str">
        <f t="shared" si="37"/>
        <v/>
      </c>
      <c r="O115" t="str">
        <f t="shared" si="38"/>
        <v>No</v>
      </c>
      <c r="P115" t="str">
        <f t="shared" si="39"/>
        <v>Comment is required</v>
      </c>
      <c r="Q115" t="str">
        <f t="shared" si="40"/>
        <v>Inadequate</v>
      </c>
      <c r="R115" t="str">
        <f t="shared" si="41"/>
        <v>No Override</v>
      </c>
      <c r="S115">
        <f t="shared" si="42"/>
        <v>1</v>
      </c>
      <c r="T115" t="str">
        <f t="shared" si="43"/>
        <v/>
      </c>
    </row>
    <row r="116" spans="1:20" ht="24" x14ac:dyDescent="0.25">
      <c r="A116" s="181">
        <v>4</v>
      </c>
      <c r="C116">
        <f t="shared" si="34"/>
        <v>4</v>
      </c>
      <c r="D116" t="s">
        <v>779</v>
      </c>
      <c r="E116" s="51" t="s">
        <v>711</v>
      </c>
      <c r="F116" s="57" t="s">
        <v>713</v>
      </c>
      <c r="G116" s="135" t="s">
        <v>714</v>
      </c>
      <c r="H116" s="131" t="str">
        <f>'16. System Data Protection'!$G7</f>
        <v>Comment is required</v>
      </c>
      <c r="I116" t="str">
        <f>'16. System Data Protection'!$F7</f>
        <v>Yes</v>
      </c>
      <c r="J116" t="str">
        <f t="shared" si="35"/>
        <v>Adequate</v>
      </c>
      <c r="K116" s="123" t="s">
        <v>75</v>
      </c>
      <c r="L116" t="str">
        <f t="shared" si="36"/>
        <v>Adequate</v>
      </c>
      <c r="N116" t="str">
        <f t="shared" si="37"/>
        <v/>
      </c>
      <c r="O116" t="str">
        <f t="shared" si="38"/>
        <v>Yes</v>
      </c>
      <c r="P116" t="str">
        <f t="shared" si="39"/>
        <v>Comment is required</v>
      </c>
      <c r="Q116" t="str">
        <f t="shared" si="40"/>
        <v>Adequate</v>
      </c>
      <c r="R116" t="str">
        <f t="shared" si="41"/>
        <v>No Override</v>
      </c>
      <c r="S116">
        <f t="shared" si="42"/>
        <v>4</v>
      </c>
      <c r="T116" t="str">
        <f t="shared" si="43"/>
        <v/>
      </c>
    </row>
    <row r="117" spans="1:20" ht="48" x14ac:dyDescent="0.25">
      <c r="A117" s="181">
        <v>4</v>
      </c>
      <c r="C117">
        <f t="shared" si="34"/>
        <v>4</v>
      </c>
      <c r="D117" t="s">
        <v>779</v>
      </c>
      <c r="E117" s="51" t="s">
        <v>715</v>
      </c>
      <c r="F117" s="57" t="s">
        <v>717</v>
      </c>
      <c r="G117" s="135" t="s">
        <v>781</v>
      </c>
      <c r="H117" s="131" t="str">
        <f>'16. System Data Protection'!$G8</f>
        <v>Only for archive files (long term encrypted and compressed XML documents)</v>
      </c>
      <c r="I117" t="str">
        <f>'16. System Data Protection'!$F8</f>
        <v>Partial</v>
      </c>
      <c r="J117" t="str">
        <f t="shared" si="35"/>
        <v>Inadequate</v>
      </c>
      <c r="K117" s="123" t="s">
        <v>75</v>
      </c>
      <c r="L117" t="str">
        <f t="shared" si="36"/>
        <v>Inadequate</v>
      </c>
      <c r="N117" t="str">
        <f t="shared" si="37"/>
        <v/>
      </c>
      <c r="O117" t="str">
        <f t="shared" si="38"/>
        <v>Partial</v>
      </c>
      <c r="P117" t="str">
        <f t="shared" si="39"/>
        <v>Only for archive files (long term encrypted and compressed XML documents)</v>
      </c>
      <c r="Q117" t="str">
        <f t="shared" si="40"/>
        <v>Inadequate</v>
      </c>
      <c r="R117" t="str">
        <f t="shared" si="41"/>
        <v>No Override</v>
      </c>
      <c r="S117">
        <f t="shared" si="42"/>
        <v>4</v>
      </c>
      <c r="T117" t="str">
        <f t="shared" si="43"/>
        <v/>
      </c>
    </row>
    <row r="118" spans="1:20" ht="24" x14ac:dyDescent="0.25">
      <c r="A118" s="181">
        <v>4</v>
      </c>
      <c r="C118">
        <f t="shared" si="34"/>
        <v>4</v>
      </c>
      <c r="D118" t="s">
        <v>779</v>
      </c>
      <c r="E118" s="51" t="s">
        <v>719</v>
      </c>
      <c r="F118" s="57" t="s">
        <v>304</v>
      </c>
      <c r="G118" s="135" t="s">
        <v>720</v>
      </c>
      <c r="H118" s="131" t="str">
        <f>'16. System Data Protection'!$G9</f>
        <v>Comment is required</v>
      </c>
      <c r="I118" t="str">
        <f>'16. System Data Protection'!$F9</f>
        <v>No</v>
      </c>
      <c r="J118" s="45" t="str">
        <f>IF(AND($I118="Yes",$I119="Yes",$I120="Yes"),"Adequate",IF(AND($I118="Yes",OR(NOT($I119="Yes"),NOT($I120="Yes"))),"Inadequate",IF($I118="No","N/A",IF($I118="Partial","Inadequate",IF($I118="N/A","N/A",IF(OR($I118="",$I118=0),"Blank","Error"))))))</f>
        <v>N/A</v>
      </c>
      <c r="K118" s="123" t="s">
        <v>75</v>
      </c>
      <c r="L118" t="str">
        <f t="shared" si="36"/>
        <v>N/A</v>
      </c>
      <c r="N118" t="str">
        <f t="shared" si="37"/>
        <v/>
      </c>
      <c r="O118" t="str">
        <f t="shared" si="38"/>
        <v>No</v>
      </c>
      <c r="P118" t="str">
        <f t="shared" si="39"/>
        <v>Comment is required</v>
      </c>
      <c r="Q118" t="str">
        <f t="shared" si="40"/>
        <v>N/A</v>
      </c>
      <c r="R118" t="str">
        <f t="shared" si="41"/>
        <v>No Override</v>
      </c>
      <c r="S118">
        <f t="shared" si="42"/>
        <v>4</v>
      </c>
      <c r="T118" t="str">
        <f t="shared" si="43"/>
        <v/>
      </c>
    </row>
    <row r="119" spans="1:20" ht="24" x14ac:dyDescent="0.25">
      <c r="A119" s="181">
        <v>2</v>
      </c>
      <c r="C119">
        <f t="shared" si="34"/>
        <v>2</v>
      </c>
      <c r="D119" t="s">
        <v>779</v>
      </c>
      <c r="E119" s="51" t="s">
        <v>721</v>
      </c>
      <c r="F119" s="57" t="s">
        <v>304</v>
      </c>
      <c r="G119" s="135" t="s">
        <v>722</v>
      </c>
      <c r="H119" s="131" t="str">
        <f>'16. System Data Protection'!$G10</f>
        <v>No such function exist in PeriCALM</v>
      </c>
      <c r="I119" t="str">
        <f>'16. System Data Protection'!$F10</f>
        <v>N/A</v>
      </c>
      <c r="J119" s="53" t="str">
        <f>IF(OR($I118="N/A",$I118="No"),"N/A",IF($I119="Yes","Adequate",IF($I119="No","Inadequate",IF($I119="Partial","Inadequate",IF(AND($I119="N/A",NOT($I118="No"),NOT($I118="N/A")),"Inadequate",IF(OR($I119="",$I119=0),"Blank","Error"))))))</f>
        <v>N/A</v>
      </c>
      <c r="K119" s="123" t="s">
        <v>75</v>
      </c>
      <c r="L119" t="str">
        <f t="shared" si="36"/>
        <v>N/A</v>
      </c>
      <c r="N119" t="str">
        <f t="shared" si="37"/>
        <v/>
      </c>
      <c r="O119" t="str">
        <f t="shared" si="38"/>
        <v>N/A</v>
      </c>
      <c r="P119" t="str">
        <f t="shared" si="39"/>
        <v>No such function exist in PeriCALM</v>
      </c>
      <c r="Q119" t="str">
        <f t="shared" si="40"/>
        <v>N/A</v>
      </c>
      <c r="R119" t="str">
        <f t="shared" si="41"/>
        <v>No Override</v>
      </c>
      <c r="S119">
        <f t="shared" si="42"/>
        <v>2</v>
      </c>
      <c r="T119" t="str">
        <f t="shared" si="43"/>
        <v/>
      </c>
    </row>
    <row r="120" spans="1:20" ht="84" x14ac:dyDescent="0.25">
      <c r="A120" s="181">
        <v>2</v>
      </c>
      <c r="C120">
        <f t="shared" si="34"/>
        <v>2</v>
      </c>
      <c r="D120" t="s">
        <v>779</v>
      </c>
      <c r="E120" s="51" t="s">
        <v>723</v>
      </c>
      <c r="F120" s="57" t="s">
        <v>304</v>
      </c>
      <c r="G120" s="135" t="s">
        <v>724</v>
      </c>
      <c r="H120" s="131" t="str">
        <f>'16. System Data Protection'!$G11</f>
        <v>No such devioces supported. When the system is in use, the UI is showing and active data is being collected/traced on the screen</v>
      </c>
      <c r="I120" t="str">
        <f>'16. System Data Protection'!$F11</f>
        <v>N/A</v>
      </c>
      <c r="J120" s="53" t="str">
        <f>IF(OR($I118="N/A",$I118="No"),"N/A",IF($I120="Yes","Adequate",IF($I120="No","Inadequate",IF($I120="Partial","Inadequate",IF(AND($I120="N/A",NOT($I118="No"),NOT($I118="N/A")),"Inadequate",IF(OR($I120="",$I120=0),"Blank","Error"))))))</f>
        <v>N/A</v>
      </c>
      <c r="K120" s="123" t="s">
        <v>75</v>
      </c>
      <c r="L120" t="str">
        <f t="shared" si="36"/>
        <v>N/A</v>
      </c>
      <c r="N120" t="str">
        <f t="shared" si="37"/>
        <v/>
      </c>
      <c r="O120" t="str">
        <f t="shared" si="38"/>
        <v>N/A</v>
      </c>
      <c r="P120" t="str">
        <f t="shared" si="39"/>
        <v>No such devioces supported. When the system is in use, the UI is showing and active data is being collected/traced on the screen</v>
      </c>
      <c r="Q120" t="str">
        <f t="shared" si="40"/>
        <v>N/A</v>
      </c>
      <c r="R120" t="str">
        <f t="shared" si="41"/>
        <v>No Override</v>
      </c>
      <c r="S120">
        <f t="shared" si="42"/>
        <v>2</v>
      </c>
      <c r="T120" t="str">
        <f t="shared" si="43"/>
        <v/>
      </c>
    </row>
    <row r="121" spans="1:20" ht="120" x14ac:dyDescent="0.25">
      <c r="A121" s="181">
        <v>4</v>
      </c>
      <c r="C121">
        <f t="shared" si="34"/>
        <v>4</v>
      </c>
      <c r="D121" t="s">
        <v>779</v>
      </c>
      <c r="E121" s="51" t="s">
        <v>725</v>
      </c>
      <c r="F121" s="57" t="s">
        <v>727</v>
      </c>
      <c r="G121" s="135" t="s">
        <v>728</v>
      </c>
      <c r="H121" s="131" t="str">
        <f>'16. System Data Protection'!$G12</f>
        <v>Data is trasmitted from client to server over MSMQ messages which rely on DNS hostname validation/registration. Only configured station (by hostname) can open a session to the server and access data if authenticated.</v>
      </c>
      <c r="I121" t="str">
        <f>'16. System Data Protection'!$F12</f>
        <v>Yes</v>
      </c>
      <c r="J121" t="str">
        <f t="shared" si="35"/>
        <v>Adequate</v>
      </c>
      <c r="K121" s="123" t="s">
        <v>75</v>
      </c>
      <c r="L121" t="str">
        <f t="shared" si="36"/>
        <v>Adequate</v>
      </c>
      <c r="N121" t="str">
        <f t="shared" si="37"/>
        <v/>
      </c>
      <c r="O121" t="str">
        <f t="shared" si="38"/>
        <v>Yes</v>
      </c>
      <c r="P121" t="str">
        <f t="shared" si="39"/>
        <v>Data is trasmitted from client to server over MSMQ messages which rely on DNS hostname validation/registration. Only configured station (by hostname) can open a session to the server and access data if authenticated.</v>
      </c>
      <c r="Q121" t="str">
        <f t="shared" si="40"/>
        <v>Adequate</v>
      </c>
      <c r="R121" t="str">
        <f t="shared" si="41"/>
        <v>No Override</v>
      </c>
      <c r="S121">
        <f t="shared" si="42"/>
        <v>4</v>
      </c>
      <c r="T121" t="str">
        <f t="shared" si="43"/>
        <v/>
      </c>
    </row>
    <row r="122" spans="1:20" ht="24" x14ac:dyDescent="0.25">
      <c r="A122" s="181">
        <v>4</v>
      </c>
      <c r="C122">
        <f t="shared" si="34"/>
        <v>4</v>
      </c>
      <c r="D122" t="s">
        <v>779</v>
      </c>
      <c r="E122" s="51" t="s">
        <v>729</v>
      </c>
      <c r="F122" s="57" t="s">
        <v>731</v>
      </c>
      <c r="G122" s="135" t="s">
        <v>732</v>
      </c>
      <c r="H122" s="131" t="str">
        <f>'16. System Data Protection'!$G13</f>
        <v>as mentioned above</v>
      </c>
      <c r="I122" t="str">
        <f>'16. System Data Protection'!$F13</f>
        <v>Yes</v>
      </c>
      <c r="J122" t="str">
        <f t="shared" si="35"/>
        <v>Adequate</v>
      </c>
      <c r="K122" s="123" t="s">
        <v>75</v>
      </c>
      <c r="L122" t="str">
        <f t="shared" si="36"/>
        <v>Adequate</v>
      </c>
      <c r="N122" t="str">
        <f t="shared" si="37"/>
        <v/>
      </c>
      <c r="O122" t="str">
        <f t="shared" si="38"/>
        <v>Yes</v>
      </c>
      <c r="P122" t="str">
        <f t="shared" si="39"/>
        <v>as mentioned above</v>
      </c>
      <c r="Q122" t="str">
        <f t="shared" si="40"/>
        <v>Adequate</v>
      </c>
      <c r="R122" t="str">
        <f t="shared" si="41"/>
        <v>No Override</v>
      </c>
      <c r="S122">
        <f t="shared" si="42"/>
        <v>4</v>
      </c>
      <c r="T122" t="str">
        <f t="shared" si="43"/>
        <v/>
      </c>
    </row>
    <row r="123" spans="1:20" x14ac:dyDescent="0.25">
      <c r="A123" s="181">
        <v>3</v>
      </c>
      <c r="C123">
        <f t="shared" si="34"/>
        <v>3</v>
      </c>
      <c r="D123" t="s">
        <v>779</v>
      </c>
      <c r="E123" s="51" t="s">
        <v>733</v>
      </c>
      <c r="F123" s="57" t="s">
        <v>735</v>
      </c>
      <c r="G123" s="135" t="s">
        <v>736</v>
      </c>
      <c r="H123" s="131" t="str">
        <f>'16. System Data Protection'!$G14</f>
        <v>only by DNS resolution</v>
      </c>
      <c r="I123" t="str">
        <f>'16. System Data Protection'!$F14</f>
        <v>Yes</v>
      </c>
      <c r="J123" t="str">
        <f t="shared" si="35"/>
        <v>Adequate</v>
      </c>
      <c r="K123" s="123" t="s">
        <v>75</v>
      </c>
      <c r="L123" t="str">
        <f t="shared" si="36"/>
        <v>Adequate</v>
      </c>
      <c r="N123" t="str">
        <f t="shared" si="37"/>
        <v/>
      </c>
      <c r="O123" t="str">
        <f t="shared" si="38"/>
        <v>Yes</v>
      </c>
      <c r="P123" t="str">
        <f t="shared" si="39"/>
        <v>only by DNS resolution</v>
      </c>
      <c r="Q123" t="str">
        <f t="shared" si="40"/>
        <v>Adequate</v>
      </c>
      <c r="R123" t="str">
        <f t="shared" si="41"/>
        <v>No Override</v>
      </c>
      <c r="S123">
        <f t="shared" si="42"/>
        <v>3</v>
      </c>
      <c r="T123" t="str">
        <f t="shared" si="43"/>
        <v/>
      </c>
    </row>
    <row r="124" spans="1:20" ht="36" x14ac:dyDescent="0.25">
      <c r="A124" s="181">
        <v>1</v>
      </c>
      <c r="C124">
        <f t="shared" si="34"/>
        <v>1</v>
      </c>
      <c r="D124" t="s">
        <v>779</v>
      </c>
      <c r="E124" s="51" t="s">
        <v>737</v>
      </c>
      <c r="F124" s="57" t="s">
        <v>739</v>
      </c>
      <c r="G124" s="135" t="s">
        <v>782</v>
      </c>
      <c r="H124" s="131" t="str">
        <f>'16. System Data Protection'!$G15</f>
        <v>Not natively. That said, full server/disk  encryption is possible</v>
      </c>
      <c r="I124" t="str">
        <f>'16. System Data Protection'!$F15</f>
        <v>No</v>
      </c>
      <c r="J124" t="str">
        <f t="shared" si="35"/>
        <v>Inadequate</v>
      </c>
      <c r="K124" s="123" t="s">
        <v>75</v>
      </c>
      <c r="L124" t="str">
        <f t="shared" si="36"/>
        <v>Inadequate</v>
      </c>
      <c r="N124" t="str">
        <f t="shared" si="37"/>
        <v/>
      </c>
      <c r="O124" t="str">
        <f t="shared" si="38"/>
        <v>No</v>
      </c>
      <c r="P124" t="str">
        <f t="shared" si="39"/>
        <v>Not natively. That said, full server/disk  encryption is possible</v>
      </c>
      <c r="Q124" t="str">
        <f t="shared" si="40"/>
        <v>Inadequate</v>
      </c>
      <c r="R124" t="str">
        <f t="shared" si="41"/>
        <v>No Override</v>
      </c>
      <c r="S124">
        <f t="shared" si="42"/>
        <v>1</v>
      </c>
      <c r="T124" t="str">
        <f t="shared" ref="T124:T128" si="44">IF($L124=$Q124,"","***")</f>
        <v/>
      </c>
    </row>
    <row r="125" spans="1:20" ht="24" x14ac:dyDescent="0.25">
      <c r="A125" s="181">
        <v>4</v>
      </c>
      <c r="C125">
        <f t="shared" si="34"/>
        <v>4</v>
      </c>
      <c r="D125" t="s">
        <v>783</v>
      </c>
      <c r="E125" s="51" t="s">
        <v>742</v>
      </c>
      <c r="F125" s="57" t="s">
        <v>745</v>
      </c>
      <c r="G125" s="131" t="s">
        <v>746</v>
      </c>
      <c r="H125" s="135" t="str">
        <f>'17. System Data Integrity'!$G3</f>
        <v>Comment is required</v>
      </c>
      <c r="I125" t="str">
        <f>'17. System Data Integrity'!$F3</f>
        <v>No</v>
      </c>
      <c r="J125" t="str">
        <f t="shared" si="35"/>
        <v>Inadequate</v>
      </c>
      <c r="K125" s="123" t="s">
        <v>75</v>
      </c>
      <c r="L125" t="str">
        <f t="shared" si="36"/>
        <v>Inadequate</v>
      </c>
      <c r="N125" t="str">
        <f t="shared" si="37"/>
        <v/>
      </c>
      <c r="O125" t="str">
        <f t="shared" si="38"/>
        <v>No</v>
      </c>
      <c r="P125" t="str">
        <f t="shared" si="39"/>
        <v>Comment is required</v>
      </c>
      <c r="Q125" t="str">
        <f t="shared" si="40"/>
        <v>Inadequate</v>
      </c>
      <c r="R125" t="str">
        <f t="shared" si="41"/>
        <v>No Override</v>
      </c>
      <c r="S125">
        <f t="shared" si="42"/>
        <v>4</v>
      </c>
      <c r="T125" t="str">
        <f t="shared" si="44"/>
        <v/>
      </c>
    </row>
    <row r="126" spans="1:20" ht="36" x14ac:dyDescent="0.25">
      <c r="A126" s="181">
        <v>1</v>
      </c>
      <c r="C126">
        <f t="shared" si="34"/>
        <v>1</v>
      </c>
      <c r="D126" t="s">
        <v>783</v>
      </c>
      <c r="E126" s="51" t="s">
        <v>747</v>
      </c>
      <c r="F126" s="57" t="s">
        <v>316</v>
      </c>
      <c r="G126" s="135" t="s">
        <v>748</v>
      </c>
      <c r="H126" s="135" t="str">
        <f>'17. System Data Integrity'!$G4</f>
        <v>Customers regularly scan our application befor go-lives</v>
      </c>
      <c r="I126" t="str">
        <f>'17. System Data Integrity'!$F4</f>
        <v>No</v>
      </c>
      <c r="J126" t="str">
        <f t="shared" si="35"/>
        <v>Inadequate</v>
      </c>
      <c r="K126" s="123" t="s">
        <v>75</v>
      </c>
      <c r="L126" t="str">
        <f t="shared" si="36"/>
        <v>Inadequate</v>
      </c>
      <c r="N126" t="str">
        <f t="shared" si="37"/>
        <v/>
      </c>
      <c r="O126" t="str">
        <f t="shared" si="38"/>
        <v>No</v>
      </c>
      <c r="P126" t="str">
        <f t="shared" si="39"/>
        <v>Customers regularly scan our application befor go-lives</v>
      </c>
      <c r="Q126" t="str">
        <f t="shared" si="40"/>
        <v>Inadequate</v>
      </c>
      <c r="R126" t="str">
        <f t="shared" si="41"/>
        <v>No Override</v>
      </c>
      <c r="S126">
        <f t="shared" si="42"/>
        <v>1</v>
      </c>
      <c r="T126" t="str">
        <f t="shared" si="44"/>
        <v/>
      </c>
    </row>
    <row r="127" spans="1:20" x14ac:dyDescent="0.25">
      <c r="A127" s="181">
        <v>1</v>
      </c>
      <c r="C127">
        <f t="shared" si="34"/>
        <v>1</v>
      </c>
      <c r="D127" t="s">
        <v>783</v>
      </c>
      <c r="E127" s="51" t="s">
        <v>749</v>
      </c>
      <c r="F127" s="57" t="s">
        <v>316</v>
      </c>
      <c r="G127" s="135" t="s">
        <v>750</v>
      </c>
      <c r="H127" s="135" t="str">
        <f>'17. System Data Integrity'!$G5</f>
        <v>Comment is required</v>
      </c>
      <c r="I127" t="str">
        <f>'17. System Data Integrity'!$F5</f>
        <v>Yes</v>
      </c>
      <c r="J127" t="str">
        <f t="shared" si="35"/>
        <v>Adequate</v>
      </c>
      <c r="K127" s="123" t="s">
        <v>75</v>
      </c>
      <c r="L127" t="str">
        <f t="shared" si="36"/>
        <v>Adequate</v>
      </c>
      <c r="N127" t="str">
        <f t="shared" si="37"/>
        <v/>
      </c>
      <c r="O127" t="str">
        <f t="shared" si="38"/>
        <v>Yes</v>
      </c>
      <c r="P127" t="str">
        <f t="shared" si="39"/>
        <v>Comment is required</v>
      </c>
      <c r="Q127" t="str">
        <f t="shared" si="40"/>
        <v>Adequate</v>
      </c>
      <c r="R127" t="str">
        <f t="shared" si="41"/>
        <v>No Override</v>
      </c>
      <c r="S127">
        <f t="shared" si="42"/>
        <v>1</v>
      </c>
      <c r="T127" t="str">
        <f t="shared" si="44"/>
        <v/>
      </c>
    </row>
    <row r="128" spans="1:20" ht="96" x14ac:dyDescent="0.25">
      <c r="A128" s="181">
        <v>1</v>
      </c>
      <c r="C128">
        <f t="shared" si="34"/>
        <v>1</v>
      </c>
      <c r="D128" t="s">
        <v>783</v>
      </c>
      <c r="E128" s="51" t="s">
        <v>751</v>
      </c>
      <c r="F128" s="57" t="s">
        <v>316</v>
      </c>
      <c r="G128" s="135" t="s">
        <v>752</v>
      </c>
      <c r="H128" s="135" t="str">
        <f>'17. System Data Integrity'!$G6</f>
        <v>When/if discovered, they are funneled into the Change Control process and based on priority//severity, assigned to a maintenance release or hot-fix</v>
      </c>
      <c r="I128" t="str">
        <f>'17. System Data Integrity'!$F6</f>
        <v>Yes</v>
      </c>
      <c r="J128" t="str">
        <f t="shared" si="35"/>
        <v>Adequate</v>
      </c>
      <c r="K128" s="123" t="s">
        <v>75</v>
      </c>
      <c r="L128" t="str">
        <f t="shared" si="36"/>
        <v>Adequate</v>
      </c>
      <c r="N128" t="str">
        <f t="shared" si="37"/>
        <v/>
      </c>
      <c r="O128" t="str">
        <f t="shared" si="38"/>
        <v>Yes</v>
      </c>
      <c r="P128" t="str">
        <f t="shared" si="39"/>
        <v>When/if discovered, they are funneled into the Change Control process and based on priority//severity, assigned to a maintenance release or hot-fix</v>
      </c>
      <c r="Q128" t="str">
        <f t="shared" si="40"/>
        <v>Adequate</v>
      </c>
      <c r="R128" t="str">
        <f t="shared" si="41"/>
        <v>No Override</v>
      </c>
      <c r="S128">
        <f t="shared" si="42"/>
        <v>1</v>
      </c>
      <c r="T128" t="str">
        <f t="shared" si="44"/>
        <v/>
      </c>
    </row>
  </sheetData>
  <sheetProtection selectLockedCells="1"/>
  <mergeCells count="1">
    <mergeCell ref="F1:J1"/>
  </mergeCells>
  <conditionalFormatting sqref="L9:M128">
    <cfRule type="expression" dxfId="9" priority="1">
      <formula>AND($I9="N/A",$H9&lt;&gt;0)</formula>
    </cfRule>
    <cfRule type="expression" dxfId="8" priority="2">
      <formula>AND($I9="N/A",$H9=0)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 Validation Key'!$C$21:$C$24</xm:f>
          </x14:formula1>
          <xm:sqref>K9:K128</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128"/>
  <sheetViews>
    <sheetView zoomScaleNormal="100" workbookViewId="0">
      <pane ySplit="8" topLeftCell="A9" activePane="bottomLeft" state="frozen"/>
      <selection activeCell="H20" sqref="H20"/>
      <selection pane="bottomLeft" activeCell="M8" sqref="M8"/>
    </sheetView>
  </sheetViews>
  <sheetFormatPr defaultColWidth="9" defaultRowHeight="15" x14ac:dyDescent="0.25"/>
  <cols>
    <col min="1" max="1" width="4.42578125" bestFit="1" customWidth="1"/>
    <col min="2" max="2" width="8.85546875" bestFit="1" customWidth="1"/>
    <col min="3" max="3" width="7.42578125" bestFit="1" customWidth="1"/>
    <col min="4" max="4" width="18.140625" customWidth="1"/>
    <col min="5" max="5" width="12.5703125" customWidth="1"/>
    <col min="6" max="6" width="17.85546875" style="58" customWidth="1"/>
    <col min="7" max="7" width="86.5703125" style="136" customWidth="1"/>
    <col min="8" max="8" width="21.140625" style="136" customWidth="1"/>
    <col min="9" max="9" width="9.5703125" bestFit="1" customWidth="1"/>
    <col min="10" max="10" width="13.7109375" bestFit="1"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x14ac:dyDescent="0.25">
      <c r="F1" s="371" t="s">
        <v>753</v>
      </c>
      <c r="G1" s="371"/>
      <c r="H1" s="371"/>
      <c r="I1" s="371"/>
      <c r="J1" s="371"/>
    </row>
    <row r="2" spans="1:20" ht="30" x14ac:dyDescent="0.25">
      <c r="F2" s="182" t="s">
        <v>754</v>
      </c>
      <c r="G2" s="183" t="s">
        <v>755</v>
      </c>
      <c r="H2" s="183" t="s">
        <v>756</v>
      </c>
      <c r="I2" s="182" t="s">
        <v>757</v>
      </c>
      <c r="J2" s="182" t="s">
        <v>758</v>
      </c>
    </row>
    <row r="3" spans="1:20" x14ac:dyDescent="0.25">
      <c r="F3" s="184" t="str">
        <f>IF(Scope!D6="Yes",_xlfn.CONCAT("Service ")&amp;IF(Scope!D7="Yes",_xlfn.CONCAT("Product"),""),IF(Scope!D7="Yes",_xlfn.CONCAT("Product"),"Blank"))</f>
        <v>Blank</v>
      </c>
      <c r="G3" s="185" t="str">
        <f>IF(Scope!D17="Yes","PHI","No PHI")</f>
        <v>No PHI</v>
      </c>
      <c r="H3" s="185" t="str">
        <f>IF(OR(Scope!D23="Yes",NOT(Scope!E23="")),"Workstation"&amp;_xlfn.CONCAT(" ,",Scope!E23),"")</f>
        <v/>
      </c>
      <c r="I3" s="188" t="str">
        <f>IF(Scope!D40="Yes",_xlfn.CONCAT("SOC 1 Type 1 ")&amp;IF(Scope!D41="Yes",_xlfn.CONCAT("SOC 1 Type 2"),""),IF(Scope!D41="Yes",_xlfn.CONCAT("SOC 1 Type 2"),"No SOC 1"))</f>
        <v>No SOC 1</v>
      </c>
      <c r="J3" s="188" t="str">
        <f>IF(Scope!D10="Yes",_xlfn.CONCAT("Remote Access Client Network ")&amp;IF(Scope!D11="Yes",_xlfn.CONCAT("Onsite Network Access"),""),IF(Scope!D11="Yes",_xlfn.CONCAT("Onsite Network Access"),""))</f>
        <v/>
      </c>
    </row>
    <row r="4" spans="1:20" x14ac:dyDescent="0.25">
      <c r="F4" s="184" t="str">
        <f>IF(Scope!D6="Yes",Scope!E6,"")&amp; " "&amp;IF(Scope!D7="Yes",Scope!E7,"")</f>
        <v xml:space="preserve"> </v>
      </c>
      <c r="G4" s="185" t="str">
        <f>IF(Scope!D18="Yes","PII","No PII")</f>
        <v>No PII</v>
      </c>
      <c r="H4" s="185" t="str">
        <f>IF(OR(Scope!D25="Yes",NOT(Scope!E25="")),"Mobile Device"&amp;_xlfn.CONCAT(" ,",Scope!E25),"")</f>
        <v/>
      </c>
      <c r="I4" s="188" t="str">
        <f>IF(Scope!D42="Yes",_xlfn.CONCAT("SOC 2 Type 1 ")&amp;IF(Scope!D43="Yes",_xlfn.CONCAT("SOC 2 Type 2"),""),IF(Scope!D43="Yes",_xlfn.CONCAT("SOC 2 Type 2"),"No SOC 2"))</f>
        <v>No SOC 2</v>
      </c>
      <c r="J4" s="188" t="str">
        <f>IF(Scope!D12="Yes",_xlfn.CONCAT("Access Client Infrastructure ")&amp;IF(Scope!D13="Yes",_xlfn.CONCAT("Access Application/Database"),""),IF(Scope!D13="Yes",_xlfn.CONCAT("Access Application/Database"),""))</f>
        <v/>
      </c>
    </row>
    <row r="5" spans="1:20" x14ac:dyDescent="0.25">
      <c r="F5" s="184"/>
      <c r="G5" s="185" t="str">
        <f>IF(Scope!D19="Yes","PCI","No PCI")</f>
        <v>No PCI</v>
      </c>
      <c r="H5" s="185" t="str">
        <f>IF(OR(Scope!D27="Yes",NOT(Scope!E27="")),"Medical Device"&amp;_xlfn.CONCAT(" ,",Scope!E27),"")</f>
        <v/>
      </c>
      <c r="I5" s="188" t="str">
        <f>IF(Scope!D44="Yes",_xlfn.CONCAT("SOC 3 ")&amp;IF(Scope!D45="Yes",_xlfn.CONCAT("HITRUST"),""),IF(Scope!D45="Yes",_xlfn.CONCAT("HITRUST"),""))</f>
        <v/>
      </c>
      <c r="J5" s="188" t="str">
        <f>IF(Scope!D14="Yes",_xlfn.CONCAT("Receive Client Data ")&amp;IF(Scope!D15="Yes",_xlfn.CONCAT("No Access"),""),IF(Scope!D15="Yes",_xlfn.CONCAT("No Access"),""))</f>
        <v/>
      </c>
    </row>
    <row r="6" spans="1:20" x14ac:dyDescent="0.25">
      <c r="F6" s="184"/>
      <c r="G6" s="185" t="str">
        <f>IF(Scope!D20="Yes",_xlfn.CONCAT("Employee Information ")&amp;IF(Scope!D21="Yes",_xlfn.CONCAT(" Proprietary Information")),IF(Scope!D21="Yes",_xlfn.CONCAT("Proprietary Information"),"No Employee or Proprietary Informaiton"))</f>
        <v>No Employee or Proprietary Informaiton</v>
      </c>
      <c r="H6" s="185" t="str">
        <f>IF(OR(Scope!D28="Yes",NOT(Scope!E28="")),"Other"&amp;_xlfn.CONCAT(" ,",Scope!E28),"")</f>
        <v/>
      </c>
      <c r="I6" s="188" t="str">
        <f>IF(Scope!D46="Yes",_xlfn.CONCAT("PCI DSS ")&amp;IF(Scope!D46="Yes",_xlfn.CONCAT("ISO 27001"),""),IF(Scope!D46="Yes",_xlfn.CONCAT("ISO 27001"),""))</f>
        <v/>
      </c>
      <c r="J6" s="188"/>
    </row>
    <row r="7" spans="1:20" x14ac:dyDescent="0.25">
      <c r="F7" s="184"/>
      <c r="G7" s="185"/>
      <c r="H7" s="185"/>
      <c r="I7" s="188" t="str">
        <f>IF(Scope!D48="Yes",_xlfn.CONCAT("FedRamp ")&amp;IF(Scope!D49="Yes",_xlfn.CONCAT("HIPAA"),""),IF(Scope!D47="Yes",_xlfn.CONCAT("HIPAA"),""))</f>
        <v/>
      </c>
      <c r="J7" s="188"/>
    </row>
    <row r="8" spans="1:20" x14ac:dyDescent="0.25">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25">
      <c r="A9" s="181">
        <v>3</v>
      </c>
      <c r="C9">
        <f>IF($B9="",$A9,$B9)</f>
        <v>3</v>
      </c>
      <c r="D9" t="s">
        <v>773</v>
      </c>
      <c r="E9" s="51" t="s">
        <v>347</v>
      </c>
      <c r="F9" s="57" t="s">
        <v>350</v>
      </c>
      <c r="G9" s="131" t="s">
        <v>351</v>
      </c>
      <c r="H9" s="131" t="str">
        <f>'1. Access Controls'!$I3</f>
        <v>Comment is required</v>
      </c>
      <c r="I9">
        <f>'1. Access Controls'!$H3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4" x14ac:dyDescent="0.25">
      <c r="A10" s="181">
        <v>1</v>
      </c>
      <c r="C10">
        <f>IF($B10="",$A10,$B10)</f>
        <v>1</v>
      </c>
      <c r="D10" t="s">
        <v>773</v>
      </c>
      <c r="E10" s="51" t="s">
        <v>353</v>
      </c>
      <c r="F10" s="57" t="s">
        <v>356</v>
      </c>
      <c r="G10" s="131" t="s">
        <v>357</v>
      </c>
      <c r="H10" s="131" t="str">
        <f>'1. Access Controls'!$I4</f>
        <v>Comment is required</v>
      </c>
      <c r="I10">
        <f>'1. Access Controls'!$H4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25">
      <c r="A11" s="181">
        <v>3</v>
      </c>
      <c r="C11">
        <f>IF($B11="",$A11,$B11)</f>
        <v>3</v>
      </c>
      <c r="D11" t="s">
        <v>773</v>
      </c>
      <c r="E11" s="51" t="s">
        <v>358</v>
      </c>
      <c r="F11" s="57" t="s">
        <v>356</v>
      </c>
      <c r="G11" s="131" t="s">
        <v>359</v>
      </c>
      <c r="H11" s="131" t="str">
        <f>'1. Access Controls'!$I5</f>
        <v>Comment is required</v>
      </c>
      <c r="I11">
        <f>'1. Access Controls'!$H5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25">
      <c r="A12" s="181">
        <v>4</v>
      </c>
      <c r="C12">
        <f>IF($B12="",$A12,$B12)</f>
        <v>4</v>
      </c>
      <c r="D12" t="s">
        <v>773</v>
      </c>
      <c r="E12" s="51" t="s">
        <v>360</v>
      </c>
      <c r="F12" s="57" t="s">
        <v>356</v>
      </c>
      <c r="G12" s="131" t="s">
        <v>361</v>
      </c>
      <c r="H12" s="131" t="str">
        <f>'1. Access Controls'!$I6</f>
        <v>Comment is required</v>
      </c>
      <c r="I12">
        <f>'1. Access Controls'!$H6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4" x14ac:dyDescent="0.25">
      <c r="A13" s="181">
        <v>2</v>
      </c>
      <c r="C13">
        <f t="shared" ref="C13:C33" si="9">IF($B13="",$A13,$B13)</f>
        <v>2</v>
      </c>
      <c r="D13" t="s">
        <v>773</v>
      </c>
      <c r="E13" s="51" t="s">
        <v>362</v>
      </c>
      <c r="F13" s="57" t="s">
        <v>364</v>
      </c>
      <c r="G13" s="131" t="s">
        <v>774</v>
      </c>
      <c r="H13" s="131" t="str">
        <f>'1. Access Controls'!$I7</f>
        <v>Comment is required</v>
      </c>
      <c r="I13">
        <f>'1. Access Controls'!$H7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ht="24" x14ac:dyDescent="0.25">
      <c r="A14" s="181">
        <v>4</v>
      </c>
      <c r="C14">
        <f t="shared" si="9"/>
        <v>4</v>
      </c>
      <c r="D14" t="s">
        <v>773</v>
      </c>
      <c r="E14" s="51" t="s">
        <v>366</v>
      </c>
      <c r="F14" s="57" t="s">
        <v>368</v>
      </c>
      <c r="G14" s="131" t="s">
        <v>369</v>
      </c>
      <c r="H14" s="131" t="str">
        <f>'1. Access Controls'!$I8</f>
        <v>Comment is required</v>
      </c>
      <c r="I14">
        <f>'1. Access Controls'!$H8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25">
      <c r="A15" s="181">
        <v>4</v>
      </c>
      <c r="C15">
        <f t="shared" si="9"/>
        <v>4</v>
      </c>
      <c r="D15" t="s">
        <v>773</v>
      </c>
      <c r="E15" s="51" t="s">
        <v>370</v>
      </c>
      <c r="F15" s="57" t="s">
        <v>372</v>
      </c>
      <c r="G15" s="131" t="s">
        <v>373</v>
      </c>
      <c r="H15" s="131" t="str">
        <f>'1. Access Controls'!$I9</f>
        <v>Comment is required</v>
      </c>
      <c r="I15">
        <f>'1. Access Controls'!$H9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25">
      <c r="A16" s="181">
        <v>4</v>
      </c>
      <c r="C16">
        <f t="shared" si="9"/>
        <v>4</v>
      </c>
      <c r="D16" t="s">
        <v>773</v>
      </c>
      <c r="E16" s="51" t="s">
        <v>374</v>
      </c>
      <c r="F16" s="57" t="s">
        <v>376</v>
      </c>
      <c r="G16" s="131" t="s">
        <v>377</v>
      </c>
      <c r="H16" s="131" t="str">
        <f>'1. Access Controls'!$I10</f>
        <v>Comment is required</v>
      </c>
      <c r="I16">
        <f>'1. Access Controls'!$H10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ht="24" x14ac:dyDescent="0.25">
      <c r="A17" s="181">
        <v>2</v>
      </c>
      <c r="C17">
        <f t="shared" si="9"/>
        <v>2</v>
      </c>
      <c r="D17" t="s">
        <v>773</v>
      </c>
      <c r="E17" s="51" t="s">
        <v>378</v>
      </c>
      <c r="F17" s="57" t="s">
        <v>381</v>
      </c>
      <c r="G17" s="131" t="s">
        <v>382</v>
      </c>
      <c r="H17" s="131" t="str">
        <f>'1. Access Controls'!$I11</f>
        <v>Comment is required</v>
      </c>
      <c r="I17">
        <f>'1. Access Controls'!$H11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25">
      <c r="A18" s="181">
        <v>2</v>
      </c>
      <c r="C18">
        <f t="shared" si="9"/>
        <v>2</v>
      </c>
      <c r="D18" t="s">
        <v>773</v>
      </c>
      <c r="E18" s="51" t="s">
        <v>383</v>
      </c>
      <c r="F18" s="57" t="s">
        <v>385</v>
      </c>
      <c r="G18" s="131" t="s">
        <v>386</v>
      </c>
      <c r="H18" s="131" t="str">
        <f>'1. Access Controls'!$I12</f>
        <v>Comment is required</v>
      </c>
      <c r="I18">
        <f>'1. Access Controls'!$H12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ht="24" x14ac:dyDescent="0.25">
      <c r="A19" s="181">
        <v>2</v>
      </c>
      <c r="C19">
        <f t="shared" si="9"/>
        <v>2</v>
      </c>
      <c r="D19" t="s">
        <v>773</v>
      </c>
      <c r="E19" s="51" t="s">
        <v>387</v>
      </c>
      <c r="F19" s="57" t="s">
        <v>389</v>
      </c>
      <c r="G19" s="131" t="s">
        <v>390</v>
      </c>
      <c r="H19" s="131" t="str">
        <f>'1. Access Controls'!$I13</f>
        <v>Comment is required</v>
      </c>
      <c r="I19">
        <f>'1. Access Controls'!$H13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4" x14ac:dyDescent="0.25">
      <c r="A20" s="181">
        <v>2</v>
      </c>
      <c r="C20">
        <f t="shared" si="9"/>
        <v>2</v>
      </c>
      <c r="D20" t="s">
        <v>391</v>
      </c>
      <c r="E20" s="51" t="s">
        <v>392</v>
      </c>
      <c r="F20" s="57" t="s">
        <v>395</v>
      </c>
      <c r="G20" s="131" t="s">
        <v>396</v>
      </c>
      <c r="H20" s="131" t="str">
        <f>'2. Awareness and Training'!$I3</f>
        <v>Comment is required</v>
      </c>
      <c r="I20">
        <f>'2. Awareness and Training'!$H3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25">
      <c r="A21" s="181">
        <v>2</v>
      </c>
      <c r="C21">
        <f t="shared" si="9"/>
        <v>2</v>
      </c>
      <c r="D21" t="s">
        <v>391</v>
      </c>
      <c r="E21" s="51" t="s">
        <v>397</v>
      </c>
      <c r="F21" s="59" t="s">
        <v>400</v>
      </c>
      <c r="G21" s="131" t="s">
        <v>401</v>
      </c>
      <c r="H21" s="131" t="str">
        <f>'2. Awareness and Training'!$I4</f>
        <v>Comment is required</v>
      </c>
      <c r="I21">
        <f>'2. Awareness and Training'!$H4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25">
      <c r="A22" s="181">
        <v>2</v>
      </c>
      <c r="C22">
        <f t="shared" si="9"/>
        <v>2</v>
      </c>
      <c r="D22" t="s">
        <v>391</v>
      </c>
      <c r="E22" s="51" t="s">
        <v>402</v>
      </c>
      <c r="F22" s="59" t="s">
        <v>400</v>
      </c>
      <c r="G22" s="131" t="s">
        <v>403</v>
      </c>
      <c r="H22" s="131" t="str">
        <f>'2. Awareness and Training'!$I5</f>
        <v>Comment is required</v>
      </c>
      <c r="I22">
        <f>'2. Awareness and Training'!$H5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4" x14ac:dyDescent="0.25">
      <c r="A23" s="181">
        <v>2</v>
      </c>
      <c r="C23">
        <f t="shared" si="9"/>
        <v>2</v>
      </c>
      <c r="D23" t="s">
        <v>391</v>
      </c>
      <c r="E23" s="51" t="s">
        <v>404</v>
      </c>
      <c r="F23" s="59" t="s">
        <v>406</v>
      </c>
      <c r="G23" s="132" t="s">
        <v>407</v>
      </c>
      <c r="H23" s="131" t="str">
        <f>'2. Awareness and Training'!$I6</f>
        <v>Comment is required</v>
      </c>
      <c r="I23">
        <f>'2. Awareness and Training'!$H6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25">
      <c r="A24" s="181">
        <v>2</v>
      </c>
      <c r="C24">
        <f t="shared" si="9"/>
        <v>2</v>
      </c>
      <c r="D24" t="s">
        <v>391</v>
      </c>
      <c r="E24" s="51" t="s">
        <v>408</v>
      </c>
      <c r="F24" s="59" t="s">
        <v>410</v>
      </c>
      <c r="G24" s="132" t="s">
        <v>411</v>
      </c>
      <c r="H24" s="131" t="str">
        <f>'2. Awareness and Training'!$I7</f>
        <v>Comment is required</v>
      </c>
      <c r="I24">
        <f>'2. Awareness and Training'!$H7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4" x14ac:dyDescent="0.25">
      <c r="A25" s="181">
        <v>2</v>
      </c>
      <c r="C25">
        <f t="shared" si="9"/>
        <v>2</v>
      </c>
      <c r="D25" t="s">
        <v>412</v>
      </c>
      <c r="E25" s="51" t="s">
        <v>413</v>
      </c>
      <c r="F25" s="59" t="s">
        <v>416</v>
      </c>
      <c r="G25" s="133" t="s">
        <v>417</v>
      </c>
      <c r="H25" s="131" t="str">
        <f>'3. Audit and Accountability'!$I3</f>
        <v>Comment is required</v>
      </c>
      <c r="I25">
        <f>'3. Audit and Accountability'!$H3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ht="24" x14ac:dyDescent="0.25">
      <c r="A26" s="181">
        <v>2</v>
      </c>
      <c r="C26">
        <f t="shared" si="9"/>
        <v>2</v>
      </c>
      <c r="D26" t="s">
        <v>412</v>
      </c>
      <c r="E26" s="51" t="s">
        <v>418</v>
      </c>
      <c r="F26" s="59" t="s">
        <v>416</v>
      </c>
      <c r="G26" s="133" t="s">
        <v>419</v>
      </c>
      <c r="H26" s="131" t="str">
        <f>'3. Audit and Accountability'!$I4</f>
        <v>Comment is required</v>
      </c>
      <c r="I26">
        <f>'3. Audit and Accountability'!$H4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6" x14ac:dyDescent="0.25">
      <c r="A27" s="181">
        <v>2</v>
      </c>
      <c r="C27">
        <f t="shared" si="9"/>
        <v>2</v>
      </c>
      <c r="D27" t="s">
        <v>412</v>
      </c>
      <c r="E27" s="51" t="s">
        <v>420</v>
      </c>
      <c r="F27" s="59" t="s">
        <v>423</v>
      </c>
      <c r="G27" s="133" t="s">
        <v>424</v>
      </c>
      <c r="H27" s="131" t="str">
        <f>'3. Audit and Accountability'!$I5</f>
        <v>Comment is required</v>
      </c>
      <c r="I27">
        <f>'3. Audit and Accountability'!$H5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ht="24" x14ac:dyDescent="0.25">
      <c r="A28" s="181">
        <v>3</v>
      </c>
      <c r="C28">
        <f t="shared" si="9"/>
        <v>3</v>
      </c>
      <c r="D28" t="s">
        <v>412</v>
      </c>
      <c r="E28" s="51" t="s">
        <v>425</v>
      </c>
      <c r="F28" s="59" t="s">
        <v>427</v>
      </c>
      <c r="G28" s="133" t="s">
        <v>428</v>
      </c>
      <c r="H28" s="131" t="str">
        <f>'3. Audit and Accountability'!$I6</f>
        <v>Comment is required</v>
      </c>
      <c r="I28">
        <f>'3. Audit and Accountability'!$H6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25">
      <c r="A29" s="181">
        <v>3</v>
      </c>
      <c r="C29">
        <f t="shared" si="9"/>
        <v>3</v>
      </c>
      <c r="D29" t="s">
        <v>412</v>
      </c>
      <c r="E29" s="51" t="s">
        <v>429</v>
      </c>
      <c r="F29" s="59" t="s">
        <v>432</v>
      </c>
      <c r="G29" s="133" t="s">
        <v>433</v>
      </c>
      <c r="H29" s="131" t="str">
        <f>'3. Audit and Accountability'!$I7</f>
        <v>Comment is required</v>
      </c>
      <c r="I29">
        <f>'3. Audit and Accountability'!$H7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25">
      <c r="A30" s="181">
        <v>4</v>
      </c>
      <c r="C30">
        <f t="shared" si="9"/>
        <v>4</v>
      </c>
      <c r="D30" t="s">
        <v>412</v>
      </c>
      <c r="E30" s="51" t="s">
        <v>434</v>
      </c>
      <c r="F30" s="59" t="s">
        <v>432</v>
      </c>
      <c r="G30" s="50" t="s">
        <v>435</v>
      </c>
      <c r="H30" s="131" t="str">
        <f>'3. Audit and Accountability'!$I8</f>
        <v>Comment is required</v>
      </c>
      <c r="I30">
        <f>'3. Audit and Accountability'!$H8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25">
      <c r="A31" s="181">
        <v>2</v>
      </c>
      <c r="C31">
        <f t="shared" si="9"/>
        <v>2</v>
      </c>
      <c r="D31" t="s">
        <v>412</v>
      </c>
      <c r="E31" s="51" t="s">
        <v>436</v>
      </c>
      <c r="F31" s="59" t="s">
        <v>438</v>
      </c>
      <c r="G31" s="133" t="s">
        <v>439</v>
      </c>
      <c r="H31" s="131" t="str">
        <f>'3. Audit and Accountability'!$I9</f>
        <v>Comment is required</v>
      </c>
      <c r="I31">
        <f>'3. Audit and Accountability'!$H9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ht="24" x14ac:dyDescent="0.25">
      <c r="A32" s="181">
        <v>2</v>
      </c>
      <c r="C32">
        <f t="shared" si="9"/>
        <v>2</v>
      </c>
      <c r="D32" t="s">
        <v>412</v>
      </c>
      <c r="E32" s="51" t="s">
        <v>440</v>
      </c>
      <c r="F32" s="59" t="s">
        <v>442</v>
      </c>
      <c r="G32" s="133" t="s">
        <v>443</v>
      </c>
      <c r="H32" s="131" t="str">
        <f>'3. Audit and Accountability'!$I10</f>
        <v>Comment is required</v>
      </c>
      <c r="I32">
        <f>'3. Audit and Accountability'!$H10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25">
      <c r="A33" s="181">
        <v>3</v>
      </c>
      <c r="C33">
        <f t="shared" si="9"/>
        <v>3</v>
      </c>
      <c r="D33" t="s">
        <v>412</v>
      </c>
      <c r="E33" s="51" t="s">
        <v>444</v>
      </c>
      <c r="F33" s="59" t="s">
        <v>446</v>
      </c>
      <c r="G33" s="133" t="s">
        <v>447</v>
      </c>
      <c r="H33" s="131" t="str">
        <f>'3. Audit and Accountability'!$I11</f>
        <v>Comment is required</v>
      </c>
      <c r="I33">
        <f>'3. Audit and Accountability'!$H11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4" x14ac:dyDescent="0.25">
      <c r="A34" s="181">
        <v>4</v>
      </c>
      <c r="C34">
        <f t="shared" ref="C34:C79" si="13">IF($B34="",$A34,$B34)</f>
        <v>4</v>
      </c>
      <c r="D34" t="s">
        <v>448</v>
      </c>
      <c r="E34" s="51" t="s">
        <v>449</v>
      </c>
      <c r="F34" s="57" t="s">
        <v>451</v>
      </c>
      <c r="G34" s="131" t="s">
        <v>452</v>
      </c>
      <c r="H34" s="131" t="str">
        <f>'5. Configuration'!$I3</f>
        <v>Comment is required</v>
      </c>
      <c r="I34">
        <f>'5. Configuration'!$H3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4" x14ac:dyDescent="0.25">
      <c r="A35" s="181">
        <v>1</v>
      </c>
      <c r="C35">
        <f t="shared" si="13"/>
        <v>1</v>
      </c>
      <c r="D35" t="s">
        <v>448</v>
      </c>
      <c r="E35" s="51" t="s">
        <v>256</v>
      </c>
      <c r="F35" s="57" t="s">
        <v>257</v>
      </c>
      <c r="G35" s="135" t="s">
        <v>453</v>
      </c>
      <c r="H35" s="131" t="str">
        <f>'5. Configuration'!$I4</f>
        <v>Comment is required</v>
      </c>
      <c r="I35">
        <f>'5. Configuration'!$H4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25">
      <c r="A36" s="181">
        <v>1</v>
      </c>
      <c r="C36">
        <f t="shared" si="13"/>
        <v>1</v>
      </c>
      <c r="D36" t="s">
        <v>448</v>
      </c>
      <c r="E36" s="51" t="s">
        <v>454</v>
      </c>
      <c r="F36" s="57" t="s">
        <v>261</v>
      </c>
      <c r="G36" s="135" t="s">
        <v>455</v>
      </c>
      <c r="H36" s="131" t="str">
        <f>'5. Configuration'!$I5</f>
        <v>Comment is required</v>
      </c>
      <c r="I36">
        <f>'5. Configuration'!$H5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4" x14ac:dyDescent="0.25">
      <c r="A37" s="181">
        <v>1</v>
      </c>
      <c r="C37">
        <f t="shared" si="13"/>
        <v>1</v>
      </c>
      <c r="D37" t="s">
        <v>448</v>
      </c>
      <c r="E37" s="51" t="s">
        <v>456</v>
      </c>
      <c r="F37" s="57" t="s">
        <v>261</v>
      </c>
      <c r="G37" s="135" t="s">
        <v>457</v>
      </c>
      <c r="H37" s="131" t="str">
        <f>'5. Configuration'!$I6</f>
        <v>Comment is required</v>
      </c>
      <c r="I37">
        <f>'5. Configuration'!$H6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25">
      <c r="A38" s="181">
        <v>1</v>
      </c>
      <c r="C38">
        <f t="shared" si="13"/>
        <v>1</v>
      </c>
      <c r="D38" t="s">
        <v>448</v>
      </c>
      <c r="E38" s="51" t="s">
        <v>458</v>
      </c>
      <c r="F38" s="57" t="s">
        <v>261</v>
      </c>
      <c r="G38" s="135" t="s">
        <v>459</v>
      </c>
      <c r="H38" s="131" t="str">
        <f>'5. Configuration'!$I7</f>
        <v>Comment is required</v>
      </c>
      <c r="I38">
        <f>'5. Configuration'!$H7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25">
      <c r="A39" s="181">
        <v>1</v>
      </c>
      <c r="C39">
        <f t="shared" si="13"/>
        <v>1</v>
      </c>
      <c r="D39" t="s">
        <v>448</v>
      </c>
      <c r="E39" s="51" t="s">
        <v>460</v>
      </c>
      <c r="F39" s="57" t="s">
        <v>261</v>
      </c>
      <c r="G39" s="135" t="s">
        <v>461</v>
      </c>
      <c r="H39" s="131" t="str">
        <f>'5. Configuration'!$I8</f>
        <v>Comment is required</v>
      </c>
      <c r="I39">
        <f>'5. Configuration'!$H8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25">
      <c r="A40" s="181">
        <v>1</v>
      </c>
      <c r="C40">
        <f t="shared" si="13"/>
        <v>1</v>
      </c>
      <c r="D40" t="s">
        <v>448</v>
      </c>
      <c r="E40" s="51" t="s">
        <v>462</v>
      </c>
      <c r="F40" s="57" t="s">
        <v>261</v>
      </c>
      <c r="G40" s="135" t="s">
        <v>463</v>
      </c>
      <c r="H40" s="131" t="str">
        <f>'5. Configuration'!$I9</f>
        <v>Comment is required</v>
      </c>
      <c r="I40">
        <f>'5. Configuration'!$H9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25">
      <c r="A41" s="181">
        <v>1</v>
      </c>
      <c r="C41">
        <f t="shared" si="13"/>
        <v>1</v>
      </c>
      <c r="D41" t="s">
        <v>448</v>
      </c>
      <c r="E41" s="51" t="s">
        <v>464</v>
      </c>
      <c r="F41" s="57" t="s">
        <v>261</v>
      </c>
      <c r="G41" s="135" t="s">
        <v>465</v>
      </c>
      <c r="H41" s="131" t="str">
        <f>'5. Configuration'!$I10</f>
        <v>Comment is required</v>
      </c>
      <c r="I41">
        <f>'5. Configuration'!$H10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4" x14ac:dyDescent="0.25">
      <c r="A42" s="181">
        <v>3</v>
      </c>
      <c r="C42">
        <f t="shared" si="13"/>
        <v>3</v>
      </c>
      <c r="D42" t="s">
        <v>448</v>
      </c>
      <c r="E42" s="51" t="s">
        <v>466</v>
      </c>
      <c r="F42" s="57" t="s">
        <v>468</v>
      </c>
      <c r="G42" s="135" t="s">
        <v>469</v>
      </c>
      <c r="H42" s="131" t="str">
        <f>'5. Configuration'!$I11</f>
        <v>Comment is required</v>
      </c>
      <c r="I42">
        <f>'5. Configuration'!$H11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4" x14ac:dyDescent="0.25">
      <c r="A43" s="181">
        <v>1</v>
      </c>
      <c r="C43">
        <f t="shared" si="13"/>
        <v>1</v>
      </c>
      <c r="D43" t="s">
        <v>448</v>
      </c>
      <c r="E43" s="51" t="s">
        <v>470</v>
      </c>
      <c r="F43" s="57" t="s">
        <v>471</v>
      </c>
      <c r="G43" s="135" t="s">
        <v>472</v>
      </c>
      <c r="H43" s="131" t="str">
        <f>'5. Configuration'!$I12</f>
        <v>Comment is required</v>
      </c>
      <c r="I43">
        <f>'5. Configuration'!$H12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25">
      <c r="A44" s="181">
        <v>1</v>
      </c>
      <c r="C44">
        <f t="shared" si="13"/>
        <v>1</v>
      </c>
      <c r="D44" t="s">
        <v>448</v>
      </c>
      <c r="E44" s="51" t="s">
        <v>473</v>
      </c>
      <c r="F44" s="57" t="s">
        <v>471</v>
      </c>
      <c r="G44" s="135" t="s">
        <v>474</v>
      </c>
      <c r="H44" s="131" t="str">
        <f>'5. Configuration'!$I13</f>
        <v>Comment is required</v>
      </c>
      <c r="I44">
        <f>'5. Configuration'!$H13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25">
      <c r="A45" s="181">
        <v>1</v>
      </c>
      <c r="C45">
        <f t="shared" si="13"/>
        <v>1</v>
      </c>
      <c r="D45" t="s">
        <v>448</v>
      </c>
      <c r="E45" s="51" t="s">
        <v>475</v>
      </c>
      <c r="F45" s="57" t="s">
        <v>471</v>
      </c>
      <c r="G45" s="135" t="s">
        <v>476</v>
      </c>
      <c r="H45" s="131" t="str">
        <f>'5. Configuration'!$I14</f>
        <v>Comment is required</v>
      </c>
      <c r="I45">
        <f>'5. Configuration'!$H14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4" x14ac:dyDescent="0.25">
      <c r="A46" s="181">
        <v>1</v>
      </c>
      <c r="C46">
        <f t="shared" si="13"/>
        <v>1</v>
      </c>
      <c r="D46" t="s">
        <v>448</v>
      </c>
      <c r="E46" s="51" t="s">
        <v>271</v>
      </c>
      <c r="F46" s="57" t="s">
        <v>272</v>
      </c>
      <c r="G46" s="135" t="s">
        <v>477</v>
      </c>
      <c r="H46" s="131" t="str">
        <f>'5. Configuration'!$I15</f>
        <v>Comment is required</v>
      </c>
      <c r="I46">
        <f>'5. Configuration'!$H15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ht="24" x14ac:dyDescent="0.25">
      <c r="A47" s="181">
        <v>1</v>
      </c>
      <c r="C47">
        <f t="shared" si="13"/>
        <v>1</v>
      </c>
      <c r="D47" t="s">
        <v>448</v>
      </c>
      <c r="E47" s="51" t="s">
        <v>478</v>
      </c>
      <c r="F47" s="57" t="s">
        <v>480</v>
      </c>
      <c r="G47" s="135" t="s">
        <v>481</v>
      </c>
      <c r="H47" s="131" t="str">
        <f>'5. Configuration'!$I16</f>
        <v>Comment is required</v>
      </c>
      <c r="I47">
        <f>'5. Configuration'!$H16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25">
      <c r="A48" s="181">
        <v>1</v>
      </c>
      <c r="C48">
        <f t="shared" si="13"/>
        <v>1</v>
      </c>
      <c r="D48" t="s">
        <v>448</v>
      </c>
      <c r="E48" s="51" t="s">
        <v>482</v>
      </c>
      <c r="F48" s="57" t="s">
        <v>480</v>
      </c>
      <c r="G48" s="135" t="s">
        <v>483</v>
      </c>
      <c r="H48" s="131" t="str">
        <f>'5. Configuration'!$I17</f>
        <v>Comment is required</v>
      </c>
      <c r="I48">
        <f>'5. Configuration'!$H17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36" x14ac:dyDescent="0.25">
      <c r="A49" s="181">
        <v>1</v>
      </c>
      <c r="C49">
        <f t="shared" si="13"/>
        <v>1</v>
      </c>
      <c r="D49" t="s">
        <v>448</v>
      </c>
      <c r="E49" s="51" t="s">
        <v>484</v>
      </c>
      <c r="F49" s="57" t="s">
        <v>280</v>
      </c>
      <c r="G49" s="135" t="s">
        <v>485</v>
      </c>
      <c r="H49" s="131" t="str">
        <f>'5. Configuration'!$I18</f>
        <v>Comment is required</v>
      </c>
      <c r="I49">
        <f>'5. Configuration'!$H18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4" x14ac:dyDescent="0.25">
      <c r="A50" s="181">
        <v>1</v>
      </c>
      <c r="C50">
        <f t="shared" si="13"/>
        <v>1</v>
      </c>
      <c r="D50" t="s">
        <v>448</v>
      </c>
      <c r="E50" s="51" t="s">
        <v>486</v>
      </c>
      <c r="F50" s="57" t="s">
        <v>280</v>
      </c>
      <c r="G50" s="135" t="s">
        <v>487</v>
      </c>
      <c r="H50" s="131" t="str">
        <f>'5. Configuration'!$I19</f>
        <v>Comment is required</v>
      </c>
      <c r="I50">
        <f>'5. Configuration'!$H19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25">
      <c r="A51" s="181">
        <v>1</v>
      </c>
      <c r="C51">
        <f t="shared" si="13"/>
        <v>1</v>
      </c>
      <c r="D51" t="s">
        <v>448</v>
      </c>
      <c r="E51" s="51" t="s">
        <v>488</v>
      </c>
      <c r="F51" s="57" t="s">
        <v>280</v>
      </c>
      <c r="G51" s="135" t="s">
        <v>489</v>
      </c>
      <c r="H51" s="131" t="str">
        <f>'5. Configuration'!$I20</f>
        <v>Comment is required</v>
      </c>
      <c r="I51">
        <f>'5. Configuration'!$H20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ht="24" x14ac:dyDescent="0.25">
      <c r="A52" s="181">
        <v>1</v>
      </c>
      <c r="C52">
        <f t="shared" si="13"/>
        <v>1</v>
      </c>
      <c r="D52" t="s">
        <v>448</v>
      </c>
      <c r="E52" s="51" t="s">
        <v>490</v>
      </c>
      <c r="F52" s="57" t="s">
        <v>280</v>
      </c>
      <c r="G52" s="135" t="s">
        <v>491</v>
      </c>
      <c r="H52" s="131" t="str">
        <f>'5. Configuration'!$I21</f>
        <v>Comment is required</v>
      </c>
      <c r="I52">
        <f>'5. Configuration'!$H21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25">
      <c r="A53" s="181">
        <v>1</v>
      </c>
      <c r="C53">
        <f t="shared" si="13"/>
        <v>1</v>
      </c>
      <c r="D53" t="s">
        <v>448</v>
      </c>
      <c r="E53" s="51" t="s">
        <v>287</v>
      </c>
      <c r="F53" s="57" t="s">
        <v>288</v>
      </c>
      <c r="G53" s="131" t="s">
        <v>492</v>
      </c>
      <c r="H53" s="131" t="str">
        <f>'5. Configuration'!$I22</f>
        <v>Comment is required</v>
      </c>
      <c r="I53">
        <f>'5. Configuration'!$H22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25">
      <c r="A54" s="181">
        <v>1</v>
      </c>
      <c r="C54">
        <f t="shared" si="13"/>
        <v>1</v>
      </c>
      <c r="D54" t="s">
        <v>448</v>
      </c>
      <c r="E54" s="51" t="s">
        <v>493</v>
      </c>
      <c r="F54" s="131" t="s">
        <v>494</v>
      </c>
      <c r="G54" s="135" t="s">
        <v>495</v>
      </c>
      <c r="H54" s="131" t="str">
        <f>'5. Configuration'!$I23</f>
        <v>Comment is required</v>
      </c>
      <c r="I54">
        <f>'5. Configuration'!$H23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4" x14ac:dyDescent="0.25">
      <c r="A55" s="181">
        <v>3</v>
      </c>
      <c r="C55">
        <f t="shared" si="13"/>
        <v>3</v>
      </c>
      <c r="D55" t="s">
        <v>448</v>
      </c>
      <c r="E55" s="51" t="s">
        <v>496</v>
      </c>
      <c r="F55" s="131" t="s">
        <v>497</v>
      </c>
      <c r="G55" s="135" t="s">
        <v>498</v>
      </c>
      <c r="H55" s="131" t="str">
        <f>'5. Configuration'!$I24</f>
        <v>Comment is required</v>
      </c>
      <c r="I55">
        <f>'5. Configuration'!$H24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4" x14ac:dyDescent="0.25">
      <c r="A56" s="181">
        <v>4</v>
      </c>
      <c r="C56">
        <f t="shared" si="13"/>
        <v>4</v>
      </c>
      <c r="D56" t="s">
        <v>448</v>
      </c>
      <c r="E56" s="51" t="s">
        <v>499</v>
      </c>
      <c r="F56" s="131" t="s">
        <v>500</v>
      </c>
      <c r="G56" s="135" t="s">
        <v>501</v>
      </c>
      <c r="H56" s="131" t="str">
        <f>'5. Configuration'!$I25</f>
        <v>Comment is required</v>
      </c>
      <c r="I56">
        <f>'5. Configuration'!$H25</f>
        <v>0</v>
      </c>
      <c r="J56" t="str">
        <f t="shared" si="14"/>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4" x14ac:dyDescent="0.25">
      <c r="A57" s="181">
        <v>2</v>
      </c>
      <c r="C57">
        <f t="shared" si="13"/>
        <v>2</v>
      </c>
      <c r="D57" t="s">
        <v>448</v>
      </c>
      <c r="E57" s="51" t="s">
        <v>502</v>
      </c>
      <c r="F57" s="132" t="s">
        <v>503</v>
      </c>
      <c r="G57" s="135" t="s">
        <v>504</v>
      </c>
      <c r="H57" s="131" t="str">
        <f>'5. Configuration'!$I26</f>
        <v>Comment is required</v>
      </c>
      <c r="I57">
        <f>'5. Configuration'!$H26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25">
      <c r="A58" s="181">
        <v>2</v>
      </c>
      <c r="C58">
        <f t="shared" si="13"/>
        <v>2</v>
      </c>
      <c r="D58" t="s">
        <v>448</v>
      </c>
      <c r="E58" s="51" t="s">
        <v>505</v>
      </c>
      <c r="F58" s="132" t="s">
        <v>503</v>
      </c>
      <c r="G58" s="135" t="s">
        <v>506</v>
      </c>
      <c r="H58" s="131" t="str">
        <f>'5. Configuration'!$I27</f>
        <v>Comment is required</v>
      </c>
      <c r="I58">
        <f>'5. Configuration'!$H27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4" x14ac:dyDescent="0.25">
      <c r="A59" s="181">
        <v>4</v>
      </c>
      <c r="C59">
        <f t="shared" si="13"/>
        <v>4</v>
      </c>
      <c r="D59" t="s">
        <v>775</v>
      </c>
      <c r="E59" s="51" t="s">
        <v>508</v>
      </c>
      <c r="F59" s="57" t="s">
        <v>510</v>
      </c>
      <c r="G59" s="135" t="s">
        <v>511</v>
      </c>
      <c r="H59" s="135" t="str">
        <f>'7. Authentication&amp;Authorization'!$I3</f>
        <v>Comment is required</v>
      </c>
      <c r="I59">
        <f>'7. Authentication&amp;Authorization'!$H3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4" x14ac:dyDescent="0.25">
      <c r="A60" s="181">
        <v>4</v>
      </c>
      <c r="C60">
        <f t="shared" si="13"/>
        <v>4</v>
      </c>
      <c r="D60" t="s">
        <v>775</v>
      </c>
      <c r="E60" s="51" t="s">
        <v>512</v>
      </c>
      <c r="F60" s="57" t="s">
        <v>515</v>
      </c>
      <c r="G60" s="135" t="s">
        <v>516</v>
      </c>
      <c r="H60" s="135" t="str">
        <f>'7. Authentication&amp;Authorization'!$I4</f>
        <v>Comment is required</v>
      </c>
      <c r="I60">
        <f>'7. Authentication&amp;Authorization'!$H4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4" x14ac:dyDescent="0.25">
      <c r="A61" s="181">
        <v>2</v>
      </c>
      <c r="C61">
        <f t="shared" si="13"/>
        <v>2</v>
      </c>
      <c r="D61" t="s">
        <v>775</v>
      </c>
      <c r="E61" s="51" t="s">
        <v>517</v>
      </c>
      <c r="F61" s="57" t="s">
        <v>520</v>
      </c>
      <c r="G61" s="135" t="s">
        <v>521</v>
      </c>
      <c r="H61" s="135" t="str">
        <f>'7. Authentication&amp;Authorization'!$I5</f>
        <v>Comment is required</v>
      </c>
      <c r="I61">
        <f>'7. Authentication&amp;Authorization'!$H5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25">
      <c r="A62" s="181">
        <v>3</v>
      </c>
      <c r="C62">
        <f t="shared" si="13"/>
        <v>3</v>
      </c>
      <c r="D62" t="s">
        <v>775</v>
      </c>
      <c r="E62" s="51" t="s">
        <v>522</v>
      </c>
      <c r="F62" s="57" t="s">
        <v>523</v>
      </c>
      <c r="G62" s="135" t="s">
        <v>524</v>
      </c>
      <c r="H62" s="135" t="str">
        <f>'7. Authentication&amp;Authorization'!$I6</f>
        <v>Comment is required</v>
      </c>
      <c r="I62">
        <f>'7. Authentication&amp;Authorization'!$H6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25">
      <c r="A63" s="181">
        <v>2</v>
      </c>
      <c r="C63">
        <f t="shared" si="13"/>
        <v>2</v>
      </c>
      <c r="D63" t="s">
        <v>775</v>
      </c>
      <c r="E63" s="51" t="s">
        <v>525</v>
      </c>
      <c r="F63" s="57" t="s">
        <v>523</v>
      </c>
      <c r="G63" s="135" t="s">
        <v>526</v>
      </c>
      <c r="H63" s="135" t="str">
        <f>'7. Authentication&amp;Authorization'!$I7</f>
        <v>Comment is required</v>
      </c>
      <c r="I63">
        <f>'7. Authentication&amp;Authorization'!$H7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25">
      <c r="A64" s="181">
        <v>3</v>
      </c>
      <c r="C64">
        <f t="shared" si="13"/>
        <v>3</v>
      </c>
      <c r="D64" t="s">
        <v>775</v>
      </c>
      <c r="E64" s="51" t="s">
        <v>527</v>
      </c>
      <c r="F64" s="57" t="s">
        <v>292</v>
      </c>
      <c r="G64" s="135" t="s">
        <v>529</v>
      </c>
      <c r="H64" s="135" t="str">
        <f>'7. Authentication&amp;Authorization'!$I8</f>
        <v>Comment is required</v>
      </c>
      <c r="I64">
        <f>'7. Authentication&amp;Authorization'!$H8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20" x14ac:dyDescent="0.25">
      <c r="A65" s="181">
        <v>1</v>
      </c>
      <c r="C65">
        <f t="shared" si="13"/>
        <v>1</v>
      </c>
      <c r="D65" t="s">
        <v>775</v>
      </c>
      <c r="E65" s="51" t="s">
        <v>530</v>
      </c>
      <c r="F65" s="57" t="s">
        <v>292</v>
      </c>
      <c r="G65" s="135" t="s">
        <v>531</v>
      </c>
      <c r="H65" s="135" t="str">
        <f>'7. Authentication&amp;Authorization'!$I9</f>
        <v>Comment is required</v>
      </c>
      <c r="I65">
        <f>'7. Authentication&amp;Authorization'!$H9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25">
      <c r="A66" s="181">
        <v>1</v>
      </c>
      <c r="C66">
        <f t="shared" si="13"/>
        <v>1</v>
      </c>
      <c r="D66" t="s">
        <v>775</v>
      </c>
      <c r="E66" s="51" t="s">
        <v>532</v>
      </c>
      <c r="F66" s="57" t="s">
        <v>292</v>
      </c>
      <c r="G66" s="135" t="s">
        <v>533</v>
      </c>
      <c r="H66" s="135" t="str">
        <f>'7. Authentication&amp;Authorization'!$I10</f>
        <v>Comment is required</v>
      </c>
      <c r="I66">
        <f>'7. Authentication&amp;Authorization'!$H10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25">
      <c r="A67" s="181">
        <v>3</v>
      </c>
      <c r="C67">
        <f t="shared" si="13"/>
        <v>3</v>
      </c>
      <c r="D67" t="s">
        <v>775</v>
      </c>
      <c r="E67" s="51" t="s">
        <v>534</v>
      </c>
      <c r="F67" s="57" t="s">
        <v>292</v>
      </c>
      <c r="G67" s="135" t="s">
        <v>535</v>
      </c>
      <c r="H67" s="135" t="str">
        <f>'7. Authentication&amp;Authorization'!$I11</f>
        <v>Comment is required</v>
      </c>
      <c r="I67">
        <f>'7. Authentication&amp;Authorization'!$H11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25">
      <c r="A68" s="181">
        <v>3</v>
      </c>
      <c r="C68">
        <f t="shared" si="13"/>
        <v>3</v>
      </c>
      <c r="D68" t="s">
        <v>775</v>
      </c>
      <c r="E68" s="51" t="s">
        <v>536</v>
      </c>
      <c r="F68" s="57" t="s">
        <v>292</v>
      </c>
      <c r="G68" s="135" t="s">
        <v>776</v>
      </c>
      <c r="H68" s="135" t="str">
        <f>'7. Authentication&amp;Authorization'!$I12</f>
        <v>Comment is required</v>
      </c>
      <c r="I68">
        <f>'7. Authentication&amp;Authorization'!$H12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25">
      <c r="A69" s="181">
        <v>4</v>
      </c>
      <c r="C69">
        <f t="shared" si="13"/>
        <v>4</v>
      </c>
      <c r="D69" t="s">
        <v>775</v>
      </c>
      <c r="E69" s="51" t="s">
        <v>538</v>
      </c>
      <c r="F69" s="57" t="s">
        <v>540</v>
      </c>
      <c r="G69" s="135" t="s">
        <v>541</v>
      </c>
      <c r="H69" s="135" t="str">
        <f>'7. Authentication&amp;Authorization'!$I13</f>
        <v>Comment is required</v>
      </c>
      <c r="I69">
        <f>'7. Authentication&amp;Authorization'!$H13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4" x14ac:dyDescent="0.25">
      <c r="A70" s="181">
        <v>4</v>
      </c>
      <c r="C70">
        <f t="shared" si="13"/>
        <v>4</v>
      </c>
      <c r="D70" t="s">
        <v>775</v>
      </c>
      <c r="E70" s="51" t="s">
        <v>542</v>
      </c>
      <c r="F70" s="57" t="s">
        <v>544</v>
      </c>
      <c r="G70" s="135" t="s">
        <v>545</v>
      </c>
      <c r="H70" s="135" t="str">
        <f>'7. Authentication&amp;Authorization'!$I14</f>
        <v>Comment is required</v>
      </c>
      <c r="I70">
        <f>'7. Authentication&amp;Authorization'!$H14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25">
      <c r="A71" s="181">
        <v>1</v>
      </c>
      <c r="C71">
        <f t="shared" si="13"/>
        <v>1</v>
      </c>
      <c r="D71" t="s">
        <v>777</v>
      </c>
      <c r="E71" s="51" t="s">
        <v>547</v>
      </c>
      <c r="F71" s="57" t="s">
        <v>550</v>
      </c>
      <c r="G71" s="50" t="s">
        <v>551</v>
      </c>
      <c r="H71" s="134" t="str">
        <f>'8. Incident Response'!$I3</f>
        <v>Comment is required</v>
      </c>
      <c r="I71">
        <f>'8. Incident Response'!$H3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25">
      <c r="A72" s="181">
        <v>2</v>
      </c>
      <c r="C72">
        <f t="shared" si="13"/>
        <v>2</v>
      </c>
      <c r="D72" t="s">
        <v>777</v>
      </c>
      <c r="E72" s="51" t="s">
        <v>552</v>
      </c>
      <c r="F72" s="57" t="s">
        <v>554</v>
      </c>
      <c r="G72" s="135" t="s">
        <v>555</v>
      </c>
      <c r="H72" s="134" t="str">
        <f>'8. Incident Response'!$I4</f>
        <v>Comment is required</v>
      </c>
      <c r="I72">
        <f>'8. Incident Response'!$H4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25">
      <c r="A73" s="181">
        <v>2</v>
      </c>
      <c r="C73">
        <f t="shared" si="13"/>
        <v>2</v>
      </c>
      <c r="D73" t="s">
        <v>777</v>
      </c>
      <c r="E73" s="51" t="s">
        <v>556</v>
      </c>
      <c r="F73" s="57" t="s">
        <v>554</v>
      </c>
      <c r="G73" s="135" t="s">
        <v>557</v>
      </c>
      <c r="H73" s="134" t="str">
        <f>'8. Incident Response'!$I5</f>
        <v>Comment is required</v>
      </c>
      <c r="I73">
        <f>'8. Incident Response'!$H5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25">
      <c r="A74" s="181">
        <v>2</v>
      </c>
      <c r="C74">
        <f t="shared" si="13"/>
        <v>2</v>
      </c>
      <c r="D74" t="s">
        <v>777</v>
      </c>
      <c r="E74" s="51" t="s">
        <v>558</v>
      </c>
      <c r="F74" s="57" t="s">
        <v>560</v>
      </c>
      <c r="G74" s="135" t="s">
        <v>561</v>
      </c>
      <c r="H74" s="134" t="str">
        <f>'8. Incident Response'!$I6</f>
        <v>Comment is required</v>
      </c>
      <c r="I74">
        <f>'8. Incident Response'!$H6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25">
      <c r="A75" s="181">
        <v>2</v>
      </c>
      <c r="C75">
        <f t="shared" si="13"/>
        <v>2</v>
      </c>
      <c r="D75" t="s">
        <v>777</v>
      </c>
      <c r="E75" s="51" t="s">
        <v>562</v>
      </c>
      <c r="F75" s="57" t="s">
        <v>560</v>
      </c>
      <c r="G75" s="135" t="s">
        <v>563</v>
      </c>
      <c r="H75" s="134" t="str">
        <f>'8. Incident Response'!$I7</f>
        <v>Comment is required</v>
      </c>
      <c r="I75">
        <f>'8. Incident Response'!$H7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25">
      <c r="A76" s="181">
        <v>1</v>
      </c>
      <c r="C76">
        <f t="shared" si="13"/>
        <v>1</v>
      </c>
      <c r="D76" t="s">
        <v>777</v>
      </c>
      <c r="E76" s="51" t="s">
        <v>564</v>
      </c>
      <c r="F76" s="57" t="s">
        <v>567</v>
      </c>
      <c r="G76" s="135" t="s">
        <v>568</v>
      </c>
      <c r="H76" s="134" t="str">
        <f>'8. Incident Response'!$I8</f>
        <v>Comment is required</v>
      </c>
      <c r="I76">
        <f>'8. Incident Response'!$H8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25">
      <c r="A77" s="181">
        <v>1</v>
      </c>
      <c r="C77">
        <f t="shared" si="13"/>
        <v>1</v>
      </c>
      <c r="D77" t="s">
        <v>777</v>
      </c>
      <c r="E77" s="51" t="s">
        <v>569</v>
      </c>
      <c r="F77" s="57" t="s">
        <v>572</v>
      </c>
      <c r="G77" s="135" t="s">
        <v>573</v>
      </c>
      <c r="H77" s="134" t="str">
        <f>'8. Incident Response'!$I9</f>
        <v>Comment is required</v>
      </c>
      <c r="I77">
        <f>'8. Incident Response'!$H9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25">
      <c r="A78" s="181">
        <v>1</v>
      </c>
      <c r="C78">
        <f t="shared" si="13"/>
        <v>1</v>
      </c>
      <c r="D78" t="s">
        <v>777</v>
      </c>
      <c r="E78" s="51" t="s">
        <v>574</v>
      </c>
      <c r="F78" s="57" t="s">
        <v>577</v>
      </c>
      <c r="G78" s="135" t="s">
        <v>578</v>
      </c>
      <c r="H78" s="134" t="str">
        <f>'8. Incident Response'!$I10</f>
        <v>Comment is required</v>
      </c>
      <c r="I78">
        <f>'8. Incident Response'!$H10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25">
      <c r="A79" s="181">
        <v>3</v>
      </c>
      <c r="C79">
        <f t="shared" si="13"/>
        <v>3</v>
      </c>
      <c r="D79" t="s">
        <v>777</v>
      </c>
      <c r="E79" s="51" t="s">
        <v>579</v>
      </c>
      <c r="F79" s="57" t="s">
        <v>582</v>
      </c>
      <c r="G79" s="135" t="s">
        <v>583</v>
      </c>
      <c r="H79" s="134" t="str">
        <f>'8. Incident Response'!$I11</f>
        <v>Comment is required</v>
      </c>
      <c r="I79">
        <f>'8. Incident Response'!$H11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25">
      <c r="A80" s="181">
        <v>1</v>
      </c>
      <c r="C80">
        <f t="shared" ref="C80:C91" si="26">IF($B80="",$A80,$B80)</f>
        <v>1</v>
      </c>
      <c r="D80" t="s">
        <v>777</v>
      </c>
      <c r="E80" s="51" t="s">
        <v>584</v>
      </c>
      <c r="F80" s="57" t="s">
        <v>342</v>
      </c>
      <c r="G80" s="135" t="s">
        <v>585</v>
      </c>
      <c r="H80" s="134" t="str">
        <f>'8. Incident Response'!$I12</f>
        <v>Comment is required</v>
      </c>
      <c r="I80">
        <f>'8. Incident Response'!$H12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25">
      <c r="A81" s="181">
        <v>3</v>
      </c>
      <c r="C81">
        <f t="shared" si="26"/>
        <v>3</v>
      </c>
      <c r="D81" t="s">
        <v>777</v>
      </c>
      <c r="E81" s="51" t="s">
        <v>586</v>
      </c>
      <c r="F81" s="57" t="s">
        <v>588</v>
      </c>
      <c r="G81" s="135" t="s">
        <v>589</v>
      </c>
      <c r="H81" s="134" t="str">
        <f>'8. Incident Response'!$I13</f>
        <v>Comment is required</v>
      </c>
      <c r="I81">
        <f>'8. Incident Response'!$H13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25">
      <c r="A82" s="181">
        <v>4</v>
      </c>
      <c r="C82">
        <f t="shared" si="26"/>
        <v>4</v>
      </c>
      <c r="D82" t="s">
        <v>590</v>
      </c>
      <c r="E82" s="51" t="s">
        <v>591</v>
      </c>
      <c r="F82" s="57" t="s">
        <v>594</v>
      </c>
      <c r="G82" s="131" t="s">
        <v>595</v>
      </c>
      <c r="H82" s="131" t="str">
        <f>'9. Maintenance'!$I3</f>
        <v>Comment is required</v>
      </c>
      <c r="I82">
        <f>'9. Maintenance'!$H3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6" x14ac:dyDescent="0.25">
      <c r="A83" s="181">
        <v>4</v>
      </c>
      <c r="C83">
        <f t="shared" si="26"/>
        <v>4</v>
      </c>
      <c r="D83" t="s">
        <v>590</v>
      </c>
      <c r="E83" s="54" t="s">
        <v>596</v>
      </c>
      <c r="F83" s="60" t="s">
        <v>597</v>
      </c>
      <c r="G83" s="135" t="s">
        <v>598</v>
      </c>
      <c r="H83" s="131" t="str">
        <f>'9. Maintenance'!$I4</f>
        <v>Comment is required</v>
      </c>
      <c r="I83">
        <f>'9. Maintenance'!$H4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25">
      <c r="A84" s="181">
        <v>4</v>
      </c>
      <c r="C84">
        <f t="shared" si="26"/>
        <v>4</v>
      </c>
      <c r="D84" t="s">
        <v>590</v>
      </c>
      <c r="E84" s="51" t="s">
        <v>599</v>
      </c>
      <c r="F84" s="57" t="s">
        <v>601</v>
      </c>
      <c r="G84" s="135" t="s">
        <v>602</v>
      </c>
      <c r="H84" s="131" t="str">
        <f>'9. Maintenance'!$I5</f>
        <v>Comment is required</v>
      </c>
      <c r="I84">
        <f>'9. Maintenance'!$H5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4" x14ac:dyDescent="0.25">
      <c r="A85" s="181">
        <v>4</v>
      </c>
      <c r="C85">
        <f t="shared" si="26"/>
        <v>4</v>
      </c>
      <c r="D85" t="s">
        <v>590</v>
      </c>
      <c r="E85" s="51" t="s">
        <v>603</v>
      </c>
      <c r="F85" s="57" t="s">
        <v>604</v>
      </c>
      <c r="G85" s="135" t="s">
        <v>605</v>
      </c>
      <c r="H85" s="131" t="str">
        <f>'9. Maintenance'!$I6</f>
        <v>Comment is required</v>
      </c>
      <c r="I85">
        <f>'9. Maintenance'!$H6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25">
      <c r="A86" s="181">
        <v>1</v>
      </c>
      <c r="C86">
        <f t="shared" si="26"/>
        <v>1</v>
      </c>
      <c r="D86" t="s">
        <v>590</v>
      </c>
      <c r="E86" s="51" t="s">
        <v>606</v>
      </c>
      <c r="F86" s="57" t="s">
        <v>604</v>
      </c>
      <c r="G86" s="135" t="s">
        <v>607</v>
      </c>
      <c r="H86" s="131" t="str">
        <f>'9. Maintenance'!$I7</f>
        <v>Comment is required</v>
      </c>
      <c r="I86">
        <f>'9. Maintenance'!$H7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ht="24" x14ac:dyDescent="0.25">
      <c r="A87" s="181">
        <v>1</v>
      </c>
      <c r="C87">
        <f t="shared" si="26"/>
        <v>1</v>
      </c>
      <c r="D87" t="s">
        <v>590</v>
      </c>
      <c r="E87" s="51" t="s">
        <v>608</v>
      </c>
      <c r="F87" s="57" t="s">
        <v>604</v>
      </c>
      <c r="G87" s="135" t="s">
        <v>609</v>
      </c>
      <c r="H87" s="131" t="str">
        <f>'9. Maintenance'!$I8</f>
        <v>Comment is required</v>
      </c>
      <c r="I87">
        <f>'9. Maintenance'!$H8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25">
      <c r="A88" s="181">
        <v>1</v>
      </c>
      <c r="C88">
        <f t="shared" si="26"/>
        <v>1</v>
      </c>
      <c r="D88" t="s">
        <v>590</v>
      </c>
      <c r="E88" s="51" t="s">
        <v>610</v>
      </c>
      <c r="F88" s="57" t="s">
        <v>604</v>
      </c>
      <c r="G88" s="135" t="s">
        <v>611</v>
      </c>
      <c r="H88" s="131" t="str">
        <f>'9. Maintenance'!$I9</f>
        <v>Comment is required</v>
      </c>
      <c r="I88">
        <f>'9. Maintenance'!$H9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ht="24" x14ac:dyDescent="0.25">
      <c r="A89" s="181">
        <v>1</v>
      </c>
      <c r="C89">
        <f t="shared" si="26"/>
        <v>1</v>
      </c>
      <c r="D89" t="s">
        <v>590</v>
      </c>
      <c r="E89" s="51" t="s">
        <v>612</v>
      </c>
      <c r="F89" s="57" t="s">
        <v>604</v>
      </c>
      <c r="G89" s="135" t="s">
        <v>613</v>
      </c>
      <c r="H89" s="131" t="str">
        <f>'9. Maintenance'!$I10</f>
        <v>Comment is required</v>
      </c>
      <c r="I89">
        <f>'9. Maintenance'!$H10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25">
      <c r="A90" s="181">
        <v>4</v>
      </c>
      <c r="C90">
        <f t="shared" si="26"/>
        <v>4</v>
      </c>
      <c r="D90" t="s">
        <v>590</v>
      </c>
      <c r="E90" s="54" t="s">
        <v>614</v>
      </c>
      <c r="F90" s="60" t="s">
        <v>617</v>
      </c>
      <c r="G90" s="135" t="s">
        <v>618</v>
      </c>
      <c r="H90" s="131" t="str">
        <f>'9. Maintenance'!$I11</f>
        <v>Comment is required</v>
      </c>
      <c r="I90">
        <f>'9. Maintenance'!$H11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4" x14ac:dyDescent="0.25">
      <c r="A91" s="181">
        <v>4</v>
      </c>
      <c r="C91">
        <f t="shared" si="26"/>
        <v>4</v>
      </c>
      <c r="D91" t="s">
        <v>590</v>
      </c>
      <c r="E91" s="54" t="s">
        <v>619</v>
      </c>
      <c r="F91" s="60" t="s">
        <v>617</v>
      </c>
      <c r="G91" s="135" t="s">
        <v>620</v>
      </c>
      <c r="H91" s="131" t="str">
        <f>'9. Maintenance'!$I12</f>
        <v>Comment is required</v>
      </c>
      <c r="I91">
        <f>'9. Maintenance'!$H12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25">
      <c r="A92" s="181">
        <v>4</v>
      </c>
      <c r="C92">
        <f t="shared" ref="C92:C128" si="34">IF($B92="",$A92,$B92)</f>
        <v>4</v>
      </c>
      <c r="D92" t="s">
        <v>621</v>
      </c>
      <c r="E92" s="51" t="s">
        <v>622</v>
      </c>
      <c r="F92" s="57" t="s">
        <v>625</v>
      </c>
      <c r="G92" s="131" t="s">
        <v>626</v>
      </c>
      <c r="H92" s="131">
        <f>'13. Personnel Security'!$G3</f>
        <v>0</v>
      </c>
      <c r="I92">
        <f>'13. Personnel Security'!$H3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
      </c>
      <c r="Q92" t="str">
        <f t="shared" ref="Q92:Q128" si="40">$L92</f>
        <v>Blank</v>
      </c>
      <c r="R92" t="str">
        <f t="shared" ref="R92:R128" si="41">$K92</f>
        <v>No Override</v>
      </c>
      <c r="S92">
        <f t="shared" ref="S92:S128" si="42">$C92</f>
        <v>4</v>
      </c>
      <c r="T92" t="str">
        <f t="shared" ref="T92:T123" si="43">IF($L92=$Q92,"","***")</f>
        <v/>
      </c>
    </row>
    <row r="93" spans="1:20" x14ac:dyDescent="0.25">
      <c r="A93" s="181">
        <v>4</v>
      </c>
      <c r="C93">
        <f t="shared" si="34"/>
        <v>4</v>
      </c>
      <c r="D93" t="s">
        <v>621</v>
      </c>
      <c r="E93" s="51" t="s">
        <v>627</v>
      </c>
      <c r="F93" s="57" t="s">
        <v>629</v>
      </c>
      <c r="G93" s="135" t="s">
        <v>630</v>
      </c>
      <c r="H93" s="131">
        <f>'13. Personnel Security'!$G4</f>
        <v>0</v>
      </c>
      <c r="I93">
        <f>'13. Personnel Security'!$H4</f>
        <v>0</v>
      </c>
      <c r="J93" t="str">
        <f t="shared" si="35"/>
        <v>Blank</v>
      </c>
      <c r="K93" s="123" t="s">
        <v>75</v>
      </c>
      <c r="L93" t="str">
        <f t="shared" si="36"/>
        <v>Blank</v>
      </c>
      <c r="N93" t="str">
        <f t="shared" si="37"/>
        <v/>
      </c>
      <c r="O93" t="str">
        <f t="shared" si="38"/>
        <v/>
      </c>
      <c r="P93" t="str">
        <f t="shared" si="39"/>
        <v/>
      </c>
      <c r="Q93" t="str">
        <f t="shared" si="40"/>
        <v>Blank</v>
      </c>
      <c r="R93" t="str">
        <f t="shared" si="41"/>
        <v>No Override</v>
      </c>
      <c r="S93">
        <f t="shared" si="42"/>
        <v>4</v>
      </c>
      <c r="T93" t="str">
        <f t="shared" si="43"/>
        <v/>
      </c>
    </row>
    <row r="94" spans="1:20" ht="36" x14ac:dyDescent="0.25">
      <c r="A94" s="181">
        <v>4</v>
      </c>
      <c r="C94">
        <f t="shared" si="34"/>
        <v>4</v>
      </c>
      <c r="D94" t="s">
        <v>621</v>
      </c>
      <c r="E94" s="51" t="s">
        <v>631</v>
      </c>
      <c r="F94" s="57" t="s">
        <v>629</v>
      </c>
      <c r="G94" s="135" t="s">
        <v>632</v>
      </c>
      <c r="H94" s="131" t="str">
        <f>'13. Personnel Security'!$G5</f>
        <v>All employees are screened during job interviews</v>
      </c>
      <c r="I94">
        <f>'13. Personnel Security'!$H5</f>
        <v>0</v>
      </c>
      <c r="J94" t="str">
        <f t="shared" si="35"/>
        <v>Blank</v>
      </c>
      <c r="K94" s="123" t="s">
        <v>75</v>
      </c>
      <c r="L94" t="str">
        <f t="shared" si="36"/>
        <v>Blank</v>
      </c>
      <c r="N94" t="str">
        <f t="shared" si="37"/>
        <v/>
      </c>
      <c r="O94" t="str">
        <f t="shared" si="38"/>
        <v/>
      </c>
      <c r="P94" t="str">
        <f t="shared" si="39"/>
        <v>All employees are screened during job interviews</v>
      </c>
      <c r="Q94" t="str">
        <f t="shared" si="40"/>
        <v>Blank</v>
      </c>
      <c r="R94" t="str">
        <f t="shared" si="41"/>
        <v>No Override</v>
      </c>
      <c r="S94">
        <f t="shared" si="42"/>
        <v>4</v>
      </c>
      <c r="T94" t="str">
        <f t="shared" si="43"/>
        <v/>
      </c>
    </row>
    <row r="95" spans="1:20" x14ac:dyDescent="0.25">
      <c r="A95" s="181">
        <v>4</v>
      </c>
      <c r="C95">
        <f t="shared" si="34"/>
        <v>4</v>
      </c>
      <c r="D95" t="s">
        <v>621</v>
      </c>
      <c r="E95" s="51" t="s">
        <v>633</v>
      </c>
      <c r="F95" s="57" t="s">
        <v>629</v>
      </c>
      <c r="G95" s="135" t="s">
        <v>634</v>
      </c>
      <c r="H95" s="131">
        <f>'13. Personnel Security'!$G6</f>
        <v>0</v>
      </c>
      <c r="I95">
        <f>'13. Personnel Security'!$H6</f>
        <v>0</v>
      </c>
      <c r="J95" t="str">
        <f t="shared" si="35"/>
        <v>Blank</v>
      </c>
      <c r="K95" s="123" t="s">
        <v>75</v>
      </c>
      <c r="L95" t="str">
        <f t="shared" si="36"/>
        <v>Blank</v>
      </c>
      <c r="N95" t="str">
        <f t="shared" si="37"/>
        <v/>
      </c>
      <c r="O95" t="str">
        <f t="shared" si="38"/>
        <v/>
      </c>
      <c r="P95" t="str">
        <f t="shared" si="39"/>
        <v/>
      </c>
      <c r="Q95" t="str">
        <f t="shared" si="40"/>
        <v>Blank</v>
      </c>
      <c r="R95" t="str">
        <f t="shared" si="41"/>
        <v>No Override</v>
      </c>
      <c r="S95">
        <f t="shared" si="42"/>
        <v>4</v>
      </c>
      <c r="T95" t="str">
        <f t="shared" si="43"/>
        <v/>
      </c>
    </row>
    <row r="96" spans="1:20" ht="36" x14ac:dyDescent="0.25">
      <c r="A96" s="181">
        <v>4</v>
      </c>
      <c r="C96">
        <f t="shared" si="34"/>
        <v>4</v>
      </c>
      <c r="D96" t="s">
        <v>621</v>
      </c>
      <c r="E96" s="51" t="s">
        <v>635</v>
      </c>
      <c r="F96" s="57" t="s">
        <v>636</v>
      </c>
      <c r="G96" s="135" t="s">
        <v>637</v>
      </c>
      <c r="H96" s="131" t="str">
        <f>'13. Personnel Security'!$G7</f>
        <v>All employees are screened during job interviews</v>
      </c>
      <c r="I96">
        <f>'13. Personnel Security'!$H7</f>
        <v>0</v>
      </c>
      <c r="J96" t="str">
        <f t="shared" si="35"/>
        <v>Blank</v>
      </c>
      <c r="K96" s="123" t="s">
        <v>75</v>
      </c>
      <c r="L96" t="str">
        <f t="shared" si="36"/>
        <v>Blank</v>
      </c>
      <c r="N96" t="str">
        <f t="shared" si="37"/>
        <v/>
      </c>
      <c r="O96" t="str">
        <f t="shared" si="38"/>
        <v/>
      </c>
      <c r="P96" t="str">
        <f t="shared" si="39"/>
        <v>All employees are screened during job interviews</v>
      </c>
      <c r="Q96" t="str">
        <f t="shared" si="40"/>
        <v>Blank</v>
      </c>
      <c r="R96" t="str">
        <f t="shared" si="41"/>
        <v>No Override</v>
      </c>
      <c r="S96">
        <f t="shared" si="42"/>
        <v>4</v>
      </c>
      <c r="T96" t="str">
        <f t="shared" si="43"/>
        <v/>
      </c>
    </row>
    <row r="97" spans="1:20" x14ac:dyDescent="0.25">
      <c r="A97" s="181">
        <v>4</v>
      </c>
      <c r="C97">
        <f t="shared" si="34"/>
        <v>4</v>
      </c>
      <c r="D97" t="s">
        <v>621</v>
      </c>
      <c r="E97" s="51" t="s">
        <v>638</v>
      </c>
      <c r="F97" s="57" t="s">
        <v>636</v>
      </c>
      <c r="G97" s="135" t="s">
        <v>639</v>
      </c>
      <c r="H97" s="131">
        <f>'13. Personnel Security'!$G8</f>
        <v>0</v>
      </c>
      <c r="I97">
        <f>'13. Personnel Security'!$H8</f>
        <v>0</v>
      </c>
      <c r="J97" t="str">
        <f t="shared" si="35"/>
        <v>Blank</v>
      </c>
      <c r="K97" s="123" t="s">
        <v>75</v>
      </c>
      <c r="L97" t="str">
        <f t="shared" si="36"/>
        <v>Blank</v>
      </c>
      <c r="N97" t="str">
        <f t="shared" si="37"/>
        <v/>
      </c>
      <c r="O97" t="str">
        <f t="shared" si="38"/>
        <v/>
      </c>
      <c r="P97" t="str">
        <f t="shared" si="39"/>
        <v/>
      </c>
      <c r="Q97" t="str">
        <f t="shared" si="40"/>
        <v>Blank</v>
      </c>
      <c r="R97" t="str">
        <f t="shared" si="41"/>
        <v>No Override</v>
      </c>
      <c r="S97">
        <f t="shared" si="42"/>
        <v>4</v>
      </c>
      <c r="T97" t="str">
        <f t="shared" si="43"/>
        <v/>
      </c>
    </row>
    <row r="98" spans="1:20" ht="24" x14ac:dyDescent="0.25">
      <c r="A98" s="181">
        <v>4</v>
      </c>
      <c r="C98">
        <f t="shared" si="34"/>
        <v>4</v>
      </c>
      <c r="D98" t="s">
        <v>621</v>
      </c>
      <c r="E98" s="51" t="s">
        <v>640</v>
      </c>
      <c r="F98" s="57" t="s">
        <v>643</v>
      </c>
      <c r="G98" s="135" t="s">
        <v>644</v>
      </c>
      <c r="H98" s="131">
        <f>'13. Personnel Security'!$G9</f>
        <v>0</v>
      </c>
      <c r="I98">
        <f>'13. Personnel Security'!$H9</f>
        <v>0</v>
      </c>
      <c r="J98" t="str">
        <f t="shared" si="35"/>
        <v>Blank</v>
      </c>
      <c r="K98" s="123" t="s">
        <v>75</v>
      </c>
      <c r="L98" t="str">
        <f t="shared" si="36"/>
        <v>Blank</v>
      </c>
      <c r="N98" t="str">
        <f t="shared" si="37"/>
        <v/>
      </c>
      <c r="O98" t="str">
        <f t="shared" si="38"/>
        <v/>
      </c>
      <c r="P98" t="str">
        <f t="shared" si="39"/>
        <v/>
      </c>
      <c r="Q98" t="str">
        <f t="shared" si="40"/>
        <v>Blank</v>
      </c>
      <c r="R98" t="str">
        <f t="shared" si="41"/>
        <v>No Override</v>
      </c>
      <c r="S98">
        <f t="shared" si="42"/>
        <v>4</v>
      </c>
      <c r="T98" t="str">
        <f t="shared" si="43"/>
        <v/>
      </c>
    </row>
    <row r="99" spans="1:20" ht="24" x14ac:dyDescent="0.25">
      <c r="A99" s="181">
        <v>4</v>
      </c>
      <c r="C99">
        <f t="shared" si="34"/>
        <v>4</v>
      </c>
      <c r="D99" t="s">
        <v>621</v>
      </c>
      <c r="E99" s="51" t="s">
        <v>645</v>
      </c>
      <c r="F99" s="57" t="s">
        <v>647</v>
      </c>
      <c r="G99" s="135" t="s">
        <v>648</v>
      </c>
      <c r="H99" s="131">
        <f>'13. Personnel Security'!$G10</f>
        <v>0</v>
      </c>
      <c r="I99">
        <f>'13. Personnel Security'!$H10</f>
        <v>0</v>
      </c>
      <c r="J99" t="str">
        <f t="shared" si="35"/>
        <v>Blank</v>
      </c>
      <c r="K99" s="123" t="s">
        <v>75</v>
      </c>
      <c r="L99" t="str">
        <f t="shared" si="36"/>
        <v>Blank</v>
      </c>
      <c r="N99" t="str">
        <f t="shared" si="37"/>
        <v/>
      </c>
      <c r="O99" t="str">
        <f t="shared" si="38"/>
        <v/>
      </c>
      <c r="P99" t="str">
        <f t="shared" si="39"/>
        <v/>
      </c>
      <c r="Q99" t="str">
        <f t="shared" si="40"/>
        <v>Blank</v>
      </c>
      <c r="R99" t="str">
        <f t="shared" si="41"/>
        <v>No Override</v>
      </c>
      <c r="S99">
        <f t="shared" si="42"/>
        <v>4</v>
      </c>
      <c r="T99" t="str">
        <f t="shared" si="43"/>
        <v/>
      </c>
    </row>
    <row r="100" spans="1:20" ht="204" x14ac:dyDescent="0.25">
      <c r="A100" s="181">
        <v>4</v>
      </c>
      <c r="C100">
        <f t="shared" si="34"/>
        <v>4</v>
      </c>
      <c r="D100" t="s">
        <v>621</v>
      </c>
      <c r="E100" s="51" t="s">
        <v>649</v>
      </c>
      <c r="F100" s="57" t="s">
        <v>652</v>
      </c>
      <c r="G100" s="135" t="s">
        <v>653</v>
      </c>
      <c r="H100" s="131" t="str">
        <f>'13. Personnel Security'!$G11</f>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I100">
        <f>'13. Personnel Security'!$H11</f>
        <v>0</v>
      </c>
      <c r="J100" t="str">
        <f t="shared" si="35"/>
        <v>Blank</v>
      </c>
      <c r="K100" s="123" t="s">
        <v>75</v>
      </c>
      <c r="L100" t="str">
        <f t="shared" si="36"/>
        <v>Blank</v>
      </c>
      <c r="N100" t="str">
        <f t="shared" si="37"/>
        <v/>
      </c>
      <c r="O100" t="str">
        <f t="shared" si="38"/>
        <v/>
      </c>
      <c r="P100" t="str">
        <f t="shared" si="39"/>
        <v>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v>
      </c>
      <c r="Q100" t="str">
        <f t="shared" si="40"/>
        <v>Blank</v>
      </c>
      <c r="R100" t="str">
        <f t="shared" si="41"/>
        <v>No Override</v>
      </c>
      <c r="S100">
        <f t="shared" si="42"/>
        <v>4</v>
      </c>
      <c r="T100" t="str">
        <f t="shared" si="43"/>
        <v/>
      </c>
    </row>
    <row r="101" spans="1:20" ht="24" x14ac:dyDescent="0.25">
      <c r="A101" s="181">
        <v>4</v>
      </c>
      <c r="C101">
        <f t="shared" si="34"/>
        <v>4</v>
      </c>
      <c r="D101" t="s">
        <v>621</v>
      </c>
      <c r="E101" s="51" t="s">
        <v>654</v>
      </c>
      <c r="F101" s="57" t="s">
        <v>657</v>
      </c>
      <c r="G101" s="135" t="s">
        <v>658</v>
      </c>
      <c r="H101" s="131">
        <f>'13. Personnel Security'!$G12</f>
        <v>0</v>
      </c>
      <c r="I101">
        <f>'13. Personnel Security'!$H12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
      </c>
      <c r="Q101" t="str">
        <f t="shared" si="40"/>
        <v>Blank</v>
      </c>
      <c r="R101" t="str">
        <f t="shared" si="41"/>
        <v>No Override</v>
      </c>
      <c r="S101">
        <f t="shared" si="42"/>
        <v>4</v>
      </c>
      <c r="T101" t="str">
        <f t="shared" si="43"/>
        <v/>
      </c>
    </row>
    <row r="102" spans="1:20" x14ac:dyDescent="0.25">
      <c r="A102" s="181">
        <v>4</v>
      </c>
      <c r="C102">
        <f t="shared" si="34"/>
        <v>4</v>
      </c>
      <c r="D102" t="s">
        <v>621</v>
      </c>
      <c r="E102" s="51" t="s">
        <v>659</v>
      </c>
      <c r="F102" s="57" t="s">
        <v>662</v>
      </c>
      <c r="G102" s="135" t="s">
        <v>663</v>
      </c>
      <c r="H102" s="131">
        <f>'13. Personnel Security'!$G13</f>
        <v>0</v>
      </c>
      <c r="I102">
        <f>'13. Personnel Security'!$H13</f>
        <v>0</v>
      </c>
      <c r="J102" t="str">
        <f t="shared" si="35"/>
        <v>Blank</v>
      </c>
      <c r="K102" s="123" t="s">
        <v>75</v>
      </c>
      <c r="L102" t="str">
        <f t="shared" si="36"/>
        <v>Blank</v>
      </c>
      <c r="N102" t="str">
        <f t="shared" si="37"/>
        <v/>
      </c>
      <c r="O102" t="str">
        <f t="shared" si="38"/>
        <v/>
      </c>
      <c r="P102" t="str">
        <f t="shared" si="39"/>
        <v/>
      </c>
      <c r="Q102" t="str">
        <f t="shared" si="40"/>
        <v>Blank</v>
      </c>
      <c r="R102" t="str">
        <f t="shared" si="41"/>
        <v>No Override</v>
      </c>
      <c r="S102">
        <f t="shared" si="42"/>
        <v>4</v>
      </c>
      <c r="T102" t="str">
        <f t="shared" si="43"/>
        <v/>
      </c>
    </row>
    <row r="103" spans="1:20" ht="24" x14ac:dyDescent="0.25">
      <c r="A103" s="181">
        <v>4</v>
      </c>
      <c r="C103">
        <f t="shared" si="34"/>
        <v>4</v>
      </c>
      <c r="D103" t="s">
        <v>778</v>
      </c>
      <c r="E103" s="51" t="s">
        <v>665</v>
      </c>
      <c r="F103" s="57" t="s">
        <v>667</v>
      </c>
      <c r="G103" s="131" t="s">
        <v>668</v>
      </c>
      <c r="H103" s="131" t="str">
        <f>'15. System Acquisition'!$I3</f>
        <v>Comment is required</v>
      </c>
      <c r="I103">
        <f>'15. System Acquisition'!$H3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25">
      <c r="A104" s="181">
        <v>4</v>
      </c>
      <c r="C104">
        <f t="shared" si="34"/>
        <v>4</v>
      </c>
      <c r="D104" t="s">
        <v>778</v>
      </c>
      <c r="E104" s="51" t="s">
        <v>669</v>
      </c>
      <c r="F104" s="57" t="s">
        <v>671</v>
      </c>
      <c r="G104" s="135" t="s">
        <v>672</v>
      </c>
      <c r="H104" s="131" t="str">
        <f>'15. System Acquisition'!$I4</f>
        <v>Comment is required</v>
      </c>
      <c r="I104">
        <f>'15. System Acquisition'!$H4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8" x14ac:dyDescent="0.25">
      <c r="A105" s="181">
        <v>1</v>
      </c>
      <c r="C105">
        <f t="shared" si="34"/>
        <v>1</v>
      </c>
      <c r="D105" t="s">
        <v>778</v>
      </c>
      <c r="E105" s="51" t="s">
        <v>335</v>
      </c>
      <c r="F105" s="57" t="s">
        <v>336</v>
      </c>
      <c r="G105" s="135" t="s">
        <v>674</v>
      </c>
      <c r="H105" s="131" t="str">
        <f>'15. System Acquisition'!$I5</f>
        <v>Comment is required</v>
      </c>
      <c r="I105">
        <f>'15. System Acquisition'!$H5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60" x14ac:dyDescent="0.25">
      <c r="A106" s="181">
        <v>4</v>
      </c>
      <c r="C106">
        <f t="shared" si="34"/>
        <v>4</v>
      </c>
      <c r="D106" t="s">
        <v>778</v>
      </c>
      <c r="E106" s="51" t="s">
        <v>675</v>
      </c>
      <c r="F106" s="57" t="s">
        <v>677</v>
      </c>
      <c r="G106" s="131" t="s">
        <v>678</v>
      </c>
      <c r="H106" s="131" t="str">
        <f>'15. System Acquisition'!$I6</f>
        <v>Comment is required</v>
      </c>
      <c r="I106">
        <f>'15. System Acquisition'!$H6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84" x14ac:dyDescent="0.25">
      <c r="A107" s="181">
        <v>4</v>
      </c>
      <c r="C107">
        <f t="shared" si="34"/>
        <v>4</v>
      </c>
      <c r="D107" t="s">
        <v>778</v>
      </c>
      <c r="E107" s="51" t="s">
        <v>679</v>
      </c>
      <c r="F107" s="57" t="s">
        <v>677</v>
      </c>
      <c r="G107" s="131" t="s">
        <v>680</v>
      </c>
      <c r="H107" s="131" t="str">
        <f>'15. System Acquisition'!$I7</f>
        <v>Comment is required</v>
      </c>
      <c r="I107">
        <f>'15. System Acquisition'!$H7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25">
      <c r="A108" s="181">
        <v>4</v>
      </c>
      <c r="C108">
        <f t="shared" si="34"/>
        <v>4</v>
      </c>
      <c r="D108" t="s">
        <v>778</v>
      </c>
      <c r="E108" s="51" t="s">
        <v>681</v>
      </c>
      <c r="F108" s="57" t="s">
        <v>677</v>
      </c>
      <c r="G108" s="131" t="s">
        <v>682</v>
      </c>
      <c r="H108" s="131" t="str">
        <f>'15. System Acquisition'!$I8</f>
        <v>Comment is required</v>
      </c>
      <c r="I108">
        <f>'15. System Acquisition'!$H8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4" x14ac:dyDescent="0.25">
      <c r="A109" s="181">
        <v>4</v>
      </c>
      <c r="C109">
        <f t="shared" si="34"/>
        <v>4</v>
      </c>
      <c r="D109" t="s">
        <v>778</v>
      </c>
      <c r="E109" s="51" t="s">
        <v>683</v>
      </c>
      <c r="F109" s="57" t="s">
        <v>685</v>
      </c>
      <c r="G109" s="135" t="s">
        <v>686</v>
      </c>
      <c r="H109" s="131" t="str">
        <f>'15. System Acquisition'!$I9</f>
        <v>Comment is required</v>
      </c>
      <c r="I109">
        <f>'15. System Acquisition'!$H9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6" x14ac:dyDescent="0.25">
      <c r="A110" s="181">
        <v>4</v>
      </c>
      <c r="C110">
        <f t="shared" si="34"/>
        <v>4</v>
      </c>
      <c r="D110" t="s">
        <v>778</v>
      </c>
      <c r="E110" s="51" t="s">
        <v>687</v>
      </c>
      <c r="F110" s="57" t="s">
        <v>689</v>
      </c>
      <c r="G110" s="135" t="s">
        <v>690</v>
      </c>
      <c r="H110" s="131" t="str">
        <f>'15. System Acquisition'!$I10</f>
        <v>Comment is required</v>
      </c>
      <c r="I110">
        <f>'15. System Acquisition'!$H10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6" x14ac:dyDescent="0.25">
      <c r="A111" s="181">
        <v>2</v>
      </c>
      <c r="C111">
        <f t="shared" si="34"/>
        <v>2</v>
      </c>
      <c r="D111" t="s">
        <v>778</v>
      </c>
      <c r="E111" s="51" t="s">
        <v>691</v>
      </c>
      <c r="F111" s="57" t="s">
        <v>693</v>
      </c>
      <c r="G111" s="135" t="s">
        <v>694</v>
      </c>
      <c r="H111" s="131" t="str">
        <f>'15. System Acquisition'!$I11</f>
        <v>Comment is required</v>
      </c>
      <c r="I111">
        <f>'15. System Acquisition'!$H11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4" x14ac:dyDescent="0.25">
      <c r="A112" s="181">
        <v>4</v>
      </c>
      <c r="C112">
        <f t="shared" si="34"/>
        <v>4</v>
      </c>
      <c r="D112" t="s">
        <v>779</v>
      </c>
      <c r="E112" s="51" t="s">
        <v>696</v>
      </c>
      <c r="F112" s="57" t="s">
        <v>698</v>
      </c>
      <c r="G112" s="131" t="s">
        <v>699</v>
      </c>
      <c r="H112" s="131" t="str">
        <f>'16. System Data Protection'!$I3</f>
        <v>Comment is required</v>
      </c>
      <c r="I112">
        <f>'16. System Data Protection'!$H3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4" x14ac:dyDescent="0.25">
      <c r="A113" s="181">
        <v>4</v>
      </c>
      <c r="C113">
        <f t="shared" si="34"/>
        <v>4</v>
      </c>
      <c r="D113" t="s">
        <v>779</v>
      </c>
      <c r="E113" s="51" t="s">
        <v>700</v>
      </c>
      <c r="F113" s="57" t="s">
        <v>702</v>
      </c>
      <c r="G113" s="131" t="s">
        <v>703</v>
      </c>
      <c r="H113" s="131" t="str">
        <f>'16. System Data Protection'!$I4</f>
        <v>Comment is required</v>
      </c>
      <c r="I113">
        <f>'16. System Data Protection'!$H4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4" x14ac:dyDescent="0.25">
      <c r="A114" s="181">
        <v>1</v>
      </c>
      <c r="C114">
        <f t="shared" si="34"/>
        <v>1</v>
      </c>
      <c r="D114" t="s">
        <v>779</v>
      </c>
      <c r="E114" s="54" t="s">
        <v>704</v>
      </c>
      <c r="F114" s="57" t="s">
        <v>707</v>
      </c>
      <c r="G114" s="135" t="s">
        <v>780</v>
      </c>
      <c r="H114" s="131" t="str">
        <f>'16. System Data Protection'!$I5</f>
        <v>Comment is required</v>
      </c>
      <c r="I114">
        <f>'16. System Data Protection'!$H5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4" x14ac:dyDescent="0.25">
      <c r="A115" s="181">
        <v>1</v>
      </c>
      <c r="C115">
        <f t="shared" si="34"/>
        <v>1</v>
      </c>
      <c r="D115" t="s">
        <v>779</v>
      </c>
      <c r="E115" s="54" t="s">
        <v>709</v>
      </c>
      <c r="F115" s="57" t="s">
        <v>707</v>
      </c>
      <c r="G115" s="135" t="s">
        <v>710</v>
      </c>
      <c r="H115" s="131" t="str">
        <f>'16. System Data Protection'!$I6</f>
        <v>Comment is required</v>
      </c>
      <c r="I115">
        <f>'16. System Data Protection'!$H6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4" x14ac:dyDescent="0.25">
      <c r="A116" s="181">
        <v>4</v>
      </c>
      <c r="C116">
        <f t="shared" si="34"/>
        <v>4</v>
      </c>
      <c r="D116" t="s">
        <v>779</v>
      </c>
      <c r="E116" s="51" t="s">
        <v>711</v>
      </c>
      <c r="F116" s="57" t="s">
        <v>713</v>
      </c>
      <c r="G116" s="135" t="s">
        <v>714</v>
      </c>
      <c r="H116" s="131" t="str">
        <f>'16. System Data Protection'!$I7</f>
        <v>Comment is required</v>
      </c>
      <c r="I116">
        <f>'16. System Data Protection'!$H7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4" x14ac:dyDescent="0.25">
      <c r="A117" s="181">
        <v>4</v>
      </c>
      <c r="C117">
        <f t="shared" si="34"/>
        <v>4</v>
      </c>
      <c r="D117" t="s">
        <v>779</v>
      </c>
      <c r="E117" s="51" t="s">
        <v>715</v>
      </c>
      <c r="F117" s="57" t="s">
        <v>717</v>
      </c>
      <c r="G117" s="135" t="s">
        <v>781</v>
      </c>
      <c r="H117" s="131" t="str">
        <f>'16. System Data Protection'!$I8</f>
        <v>Comment is required</v>
      </c>
      <c r="I117">
        <f>'16. System Data Protection'!$H8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4" x14ac:dyDescent="0.25">
      <c r="A118" s="181">
        <v>4</v>
      </c>
      <c r="C118">
        <f t="shared" si="34"/>
        <v>4</v>
      </c>
      <c r="D118" t="s">
        <v>779</v>
      </c>
      <c r="E118" s="51" t="s">
        <v>719</v>
      </c>
      <c r="F118" s="57" t="s">
        <v>304</v>
      </c>
      <c r="G118" s="135" t="s">
        <v>720</v>
      </c>
      <c r="H118" s="131" t="str">
        <f>'16. System Data Protection'!$I9</f>
        <v>Comment is required</v>
      </c>
      <c r="I118">
        <f>'16. System Data Protection'!$H9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25">
      <c r="A119" s="181">
        <v>2</v>
      </c>
      <c r="C119">
        <f t="shared" si="34"/>
        <v>2</v>
      </c>
      <c r="D119" t="s">
        <v>779</v>
      </c>
      <c r="E119" s="51" t="s">
        <v>721</v>
      </c>
      <c r="F119" s="57" t="s">
        <v>304</v>
      </c>
      <c r="G119" s="135" t="s">
        <v>722</v>
      </c>
      <c r="H119" s="131" t="str">
        <f>'16. System Data Protection'!$I10</f>
        <v>Comment is required</v>
      </c>
      <c r="I119">
        <f>'16. System Data Protection'!$H10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4" x14ac:dyDescent="0.25">
      <c r="A120" s="181">
        <v>2</v>
      </c>
      <c r="C120">
        <f t="shared" si="34"/>
        <v>2</v>
      </c>
      <c r="D120" t="s">
        <v>779</v>
      </c>
      <c r="E120" s="51" t="s">
        <v>723</v>
      </c>
      <c r="F120" s="57" t="s">
        <v>304</v>
      </c>
      <c r="G120" s="135" t="s">
        <v>724</v>
      </c>
      <c r="H120" s="131" t="str">
        <f>'16. System Data Protection'!$I11</f>
        <v>Comment is required</v>
      </c>
      <c r="I120">
        <f>'16. System Data Protection'!$H11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36" x14ac:dyDescent="0.25">
      <c r="A121" s="181">
        <v>4</v>
      </c>
      <c r="C121">
        <f t="shared" si="34"/>
        <v>4</v>
      </c>
      <c r="D121" t="s">
        <v>779</v>
      </c>
      <c r="E121" s="51" t="s">
        <v>725</v>
      </c>
      <c r="F121" s="57" t="s">
        <v>727</v>
      </c>
      <c r="G121" s="135" t="s">
        <v>728</v>
      </c>
      <c r="H121" s="131" t="str">
        <f>'16. System Data Protection'!$I12</f>
        <v>Comment is required</v>
      </c>
      <c r="I121">
        <f>'16. System Data Protection'!$H12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4" x14ac:dyDescent="0.25">
      <c r="A122" s="181">
        <v>4</v>
      </c>
      <c r="C122">
        <f t="shared" si="34"/>
        <v>4</v>
      </c>
      <c r="D122" t="s">
        <v>779</v>
      </c>
      <c r="E122" s="51" t="s">
        <v>729</v>
      </c>
      <c r="F122" s="57" t="s">
        <v>731</v>
      </c>
      <c r="G122" s="135" t="s">
        <v>732</v>
      </c>
      <c r="H122" s="131" t="str">
        <f>'16. System Data Protection'!$I13</f>
        <v>Comment is required</v>
      </c>
      <c r="I122">
        <f>'16. System Data Protection'!$H13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25">
      <c r="A123" s="181">
        <v>3</v>
      </c>
      <c r="C123">
        <f t="shared" si="34"/>
        <v>3</v>
      </c>
      <c r="D123" t="s">
        <v>779</v>
      </c>
      <c r="E123" s="51" t="s">
        <v>733</v>
      </c>
      <c r="F123" s="57" t="s">
        <v>735</v>
      </c>
      <c r="G123" s="135" t="s">
        <v>736</v>
      </c>
      <c r="H123" s="131" t="str">
        <f>'16. System Data Protection'!$I14</f>
        <v>Comment is required</v>
      </c>
      <c r="I123">
        <f>'16. System Data Protection'!$H14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4" x14ac:dyDescent="0.25">
      <c r="A124" s="181">
        <v>1</v>
      </c>
      <c r="C124">
        <f t="shared" si="34"/>
        <v>1</v>
      </c>
      <c r="D124" t="s">
        <v>779</v>
      </c>
      <c r="E124" s="51" t="s">
        <v>737</v>
      </c>
      <c r="F124" s="57" t="s">
        <v>739</v>
      </c>
      <c r="G124" s="135" t="s">
        <v>782</v>
      </c>
      <c r="H124" s="131" t="str">
        <f>'16. System Data Protection'!$I15</f>
        <v>Comment is required</v>
      </c>
      <c r="I124">
        <f>'16. System Data Protection'!$H15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4" x14ac:dyDescent="0.25">
      <c r="A125" s="181">
        <v>4</v>
      </c>
      <c r="C125">
        <f t="shared" si="34"/>
        <v>4</v>
      </c>
      <c r="D125" t="s">
        <v>783</v>
      </c>
      <c r="E125" s="51" t="s">
        <v>742</v>
      </c>
      <c r="F125" s="57" t="s">
        <v>745</v>
      </c>
      <c r="G125" s="131" t="s">
        <v>746</v>
      </c>
      <c r="H125" s="135" t="str">
        <f>'17. System Data Integrity'!$I3</f>
        <v>Comment is required</v>
      </c>
      <c r="I125">
        <f>'17. System Data Integrity'!$H3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4" x14ac:dyDescent="0.25">
      <c r="A126" s="181">
        <v>1</v>
      </c>
      <c r="C126">
        <f t="shared" si="34"/>
        <v>1</v>
      </c>
      <c r="D126" t="s">
        <v>783</v>
      </c>
      <c r="E126" s="51" t="s">
        <v>747</v>
      </c>
      <c r="F126" s="57" t="s">
        <v>316</v>
      </c>
      <c r="G126" s="135" t="s">
        <v>748</v>
      </c>
      <c r="H126" s="135" t="str">
        <f>'17. System Data Integrity'!$I4</f>
        <v>Comment is required</v>
      </c>
      <c r="I126">
        <f>'17. System Data Integrity'!$H4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25">
      <c r="A127" s="181">
        <v>1</v>
      </c>
      <c r="C127">
        <f t="shared" si="34"/>
        <v>1</v>
      </c>
      <c r="D127" t="s">
        <v>783</v>
      </c>
      <c r="E127" s="51" t="s">
        <v>749</v>
      </c>
      <c r="F127" s="57" t="s">
        <v>316</v>
      </c>
      <c r="G127" s="135" t="s">
        <v>750</v>
      </c>
      <c r="H127" s="135" t="str">
        <f>'17. System Data Integrity'!$I5</f>
        <v>Comment is required</v>
      </c>
      <c r="I127">
        <f>'17. System Data Integrity'!$H5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25">
      <c r="A128" s="181">
        <v>1</v>
      </c>
      <c r="C128">
        <f t="shared" si="34"/>
        <v>1</v>
      </c>
      <c r="D128" t="s">
        <v>783</v>
      </c>
      <c r="E128" s="51" t="s">
        <v>751</v>
      </c>
      <c r="F128" s="57" t="s">
        <v>316</v>
      </c>
      <c r="G128" s="135" t="s">
        <v>752</v>
      </c>
      <c r="H128" s="135" t="str">
        <f>'17. System Data Integrity'!$I6</f>
        <v>Comment is required</v>
      </c>
      <c r="I128">
        <f>'17. System Data Integrity'!$H6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59:M128 L9:M56">
    <cfRule type="expression" dxfId="7" priority="3">
      <formula>AND($I9="N/A",$H9&lt;&gt;0)</formula>
    </cfRule>
    <cfRule type="expression" dxfId="6" priority="4">
      <formula>AND($I9="N/A",$H9=0)</formula>
    </cfRule>
  </conditionalFormatting>
  <conditionalFormatting sqref="L57:M58">
    <cfRule type="expression" dxfId="5" priority="1">
      <formula>AND($I57="N/A",$H57&lt;&gt;0)</formula>
    </cfRule>
    <cfRule type="expression" dxfId="4" priority="2">
      <formula>AND($I57="N/A",$H57=0)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 Validation Key'!$C$21:$C$24</xm:f>
          </x14:formula1>
          <xm:sqref>K9:K128</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28"/>
  <sheetViews>
    <sheetView topLeftCell="B1" zoomScaleNormal="100" workbookViewId="0">
      <pane ySplit="8" topLeftCell="A9" activePane="bottomLeft" state="frozen"/>
      <selection activeCell="H20" sqref="H20"/>
      <selection pane="bottomLeft" activeCell="N8" sqref="N8"/>
    </sheetView>
  </sheetViews>
  <sheetFormatPr defaultColWidth="9" defaultRowHeight="15" x14ac:dyDescent="0.25"/>
  <cols>
    <col min="1" max="1" width="4.42578125" bestFit="1" customWidth="1"/>
    <col min="2" max="2" width="8.85546875" bestFit="1" customWidth="1"/>
    <col min="3" max="3" width="7.42578125" bestFit="1" customWidth="1"/>
    <col min="4" max="4" width="18.140625" customWidth="1"/>
    <col min="5" max="5" width="12.5703125" customWidth="1"/>
    <col min="6" max="6" width="17.85546875" style="58" customWidth="1"/>
    <col min="7" max="7" width="86.5703125" style="136" customWidth="1"/>
    <col min="8" max="8" width="22" style="136" customWidth="1"/>
    <col min="9" max="9" width="9.5703125" bestFit="1" customWidth="1"/>
    <col min="10" max="10" width="21.5703125" customWidth="1"/>
    <col min="11" max="11" width="11.85546875" bestFit="1" customWidth="1"/>
    <col min="12" max="12" width="14.42578125" bestFit="1" customWidth="1"/>
    <col min="13" max="13" width="14.42578125" customWidth="1"/>
    <col min="14" max="14" width="20.42578125" customWidth="1"/>
    <col min="15" max="15" width="10.140625" customWidth="1"/>
    <col min="16" max="16" width="18" customWidth="1"/>
    <col min="17" max="17" width="14" customWidth="1"/>
    <col min="18" max="18" width="9.7109375" customWidth="1"/>
    <col min="19" max="19" width="12.28515625" customWidth="1"/>
    <col min="20" max="20" width="22" customWidth="1"/>
  </cols>
  <sheetData>
    <row r="1" spans="1:20" x14ac:dyDescent="0.25">
      <c r="F1" s="371" t="s">
        <v>753</v>
      </c>
      <c r="G1" s="371"/>
      <c r="H1" s="371"/>
      <c r="I1" s="371"/>
      <c r="J1" s="371"/>
    </row>
    <row r="2" spans="1:20" ht="30" x14ac:dyDescent="0.25">
      <c r="F2" s="189" t="s">
        <v>754</v>
      </c>
      <c r="G2" s="190" t="s">
        <v>755</v>
      </c>
      <c r="H2" s="190" t="s">
        <v>756</v>
      </c>
      <c r="I2" s="189" t="s">
        <v>757</v>
      </c>
      <c r="J2" s="189" t="s">
        <v>758</v>
      </c>
    </row>
    <row r="3" spans="1:20" x14ac:dyDescent="0.25">
      <c r="F3" s="184" t="str">
        <f>IF(Scope!F6="Yes",_xlfn.CONCAT("Service ")&amp;IF(Scope!F7="Yes",_xlfn.CONCAT("Product"),""),IF(Scope!F7="Yes",_xlfn.CONCAT("Product"),"Blank"))</f>
        <v>Blank</v>
      </c>
      <c r="G3" s="185" t="str">
        <f>IF(Scope!F17="Yes","PHI","No PHI")</f>
        <v>No PHI</v>
      </c>
      <c r="H3" s="185" t="str">
        <f>IF(OR(Scope!F23="Yes",NOT(Scope!G23="")),"Workstation"&amp;_xlfn.CONCAT(" ,",Scope!G23),"")</f>
        <v/>
      </c>
      <c r="I3" s="188" t="str">
        <f>IF(Scope!F40="Yes",_xlfn.CONCAT("SOC 1 Type 1 ")&amp;IF(Scope!F41="Yes",_xlfn.CONCAT("SOC 1 Type 2"),""),IF(Scope!F41="Yes",_xlfn.CONCAT("SOC 1 Type 2"),"No SOC 1"))</f>
        <v>No SOC 1</v>
      </c>
      <c r="J3" s="188" t="str">
        <f>IF(Scope!F10="Yes",_xlfn.CONCAT("Remote Access Client Network ")&amp;IF(Scope!F11="Yes",_xlfn.CONCAT("Onsite Network Access"),""),IF(Scope!F11="Yes",_xlfn.CONCAT("Onsite Network Access"),""))</f>
        <v/>
      </c>
    </row>
    <row r="4" spans="1:20" x14ac:dyDescent="0.25">
      <c r="F4" s="184" t="str">
        <f>IF(Scope!F6="Yes",Scope!G6,"")&amp; " "&amp;IF(Scope!F7="Yes",Scope!G7,"")</f>
        <v xml:space="preserve"> </v>
      </c>
      <c r="G4" s="185" t="str">
        <f>IF(Scope!F18="Yes","PII","No PII")</f>
        <v>No PII</v>
      </c>
      <c r="H4" s="185" t="str">
        <f>IF(OR(Scope!F25="Yes",NOT(Scope!G25="")),"Mobile Device"&amp;_xlfn.CONCAT(" ,",Scope!G25),"")</f>
        <v/>
      </c>
      <c r="I4" s="188" t="str">
        <f>IF(Scope!F42="Yes",_xlfn.CONCAT("SOC 2 Type 1 ")&amp;IF(Scope!F43="Yes",_xlfn.CONCAT("SOC 2 Type 2"),""),IF(Scope!F43="Yes",_xlfn.CONCAT("SOC 2 Type 2"),"No SOC 2"))</f>
        <v>No SOC 2</v>
      </c>
      <c r="J4" s="188" t="str">
        <f>IF(Scope!F12="Yes",_xlfn.CONCAT("Access Client Infrastructure ")&amp;IF(Scope!F13="Yes",_xlfn.CONCAT("Access Application/Database"),""),IF(Scope!F13="Yes",_xlfn.CONCAT("Access Application/Database"),""))</f>
        <v/>
      </c>
    </row>
    <row r="5" spans="1:20" x14ac:dyDescent="0.25">
      <c r="F5" s="184"/>
      <c r="G5" s="185" t="str">
        <f>IF(Scope!F19="Yes","PCI","No PCI")</f>
        <v>No PCI</v>
      </c>
      <c r="H5" s="185" t="str">
        <f>IF(OR(Scope!F27="Yes",NOT(Scope!G27="")),"Medical Device"&amp;_xlfn.CONCAT(" ,",Scope!G27),"")</f>
        <v/>
      </c>
      <c r="I5" s="188" t="str">
        <f>IF(Scope!F44="Yes",_xlfn.CONCAT("SOC 3 ")&amp;IF(Scope!F45="Yes",_xlfn.CONCAT("HITRUST"),""),IF(Scope!F45="Yes",_xlfn.CONCAT("HITRUST"),""))</f>
        <v/>
      </c>
      <c r="J5" s="188" t="str">
        <f>IF(Scope!F14="Yes",_xlfn.CONCAT("Receive Client Data ")&amp;IF(Scope!F15="Yes",_xlfn.CONCAT("No Access"),""),IF(Scope!F15="Yes",_xlfn.CONCAT("No Access"),""))</f>
        <v/>
      </c>
    </row>
    <row r="6" spans="1:20" x14ac:dyDescent="0.25">
      <c r="F6" s="184"/>
      <c r="G6" s="185" t="str">
        <f>IF(Scope!F20="Yes",_xlfn.CONCAT("Employee Information ")&amp;IF(Scope!F21="Yes",_xlfn.CONCAT(" Proprietary Information")),IF(Scope!F21="Yes",_xlfn.CONCAT("Proprietary Information"),"No Employee or Proprietary Informaiton"))</f>
        <v>No Employee or Proprietary Informaiton</v>
      </c>
      <c r="H6" s="185" t="str">
        <f>IF(OR(Scope!F28="Yes",NOT(Scope!G28="")),"Other"&amp;_xlfn.CONCAT(" ,",Scope!G28),"")</f>
        <v/>
      </c>
      <c r="I6" s="188" t="str">
        <f>IF(Scope!F46="Yes",_xlfn.CONCAT("PCI DSS ")&amp;IF(Scope!F46="Yes",_xlfn.CONCAT("ISO 27001"),""),IF(Scope!F46="Yes",_xlfn.CONCAT("ISO 27001"),""))</f>
        <v/>
      </c>
      <c r="J6" s="188"/>
    </row>
    <row r="7" spans="1:20" x14ac:dyDescent="0.25">
      <c r="F7" s="184"/>
      <c r="G7" s="185"/>
      <c r="H7" s="185"/>
      <c r="I7" s="188" t="str">
        <f>IF(Scope!F48="Yes",_xlfn.CONCAT("FedRamp ")&amp;IF(Scope!F49="Yes",_xlfn.CONCAT("HIPAA"),""),IF(Scope!F47="Yes",_xlfn.CONCAT("HIPAA"),""))</f>
        <v/>
      </c>
      <c r="J7" s="188"/>
    </row>
    <row r="8" spans="1:20" x14ac:dyDescent="0.25">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25">
      <c r="A9" s="181">
        <v>3</v>
      </c>
      <c r="C9">
        <f>IF($B9="",$A9,$B9)</f>
        <v>3</v>
      </c>
      <c r="D9" t="s">
        <v>773</v>
      </c>
      <c r="E9" s="51" t="s">
        <v>347</v>
      </c>
      <c r="F9" s="57" t="s">
        <v>350</v>
      </c>
      <c r="G9" s="131" t="s">
        <v>351</v>
      </c>
      <c r="H9" s="131" t="str">
        <f>'1. Access Controls'!$K3</f>
        <v>Comment is required</v>
      </c>
      <c r="I9">
        <f>'1. Access Controls'!$J3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4" x14ac:dyDescent="0.25">
      <c r="A10" s="181">
        <v>1</v>
      </c>
      <c r="C10">
        <f>IF($B10="",$A10,$B10)</f>
        <v>1</v>
      </c>
      <c r="D10" t="s">
        <v>773</v>
      </c>
      <c r="E10" s="51" t="s">
        <v>353</v>
      </c>
      <c r="F10" s="57" t="s">
        <v>356</v>
      </c>
      <c r="G10" s="131" t="s">
        <v>357</v>
      </c>
      <c r="H10" s="131" t="str">
        <f>'1. Access Controls'!$K4</f>
        <v>Comment is required</v>
      </c>
      <c r="I10">
        <f>'1. Access Controls'!$J4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25">
      <c r="A11" s="181">
        <v>3</v>
      </c>
      <c r="C11">
        <f>IF($B11="",$A11,$B11)</f>
        <v>3</v>
      </c>
      <c r="D11" t="s">
        <v>773</v>
      </c>
      <c r="E11" s="51" t="s">
        <v>358</v>
      </c>
      <c r="F11" s="57" t="s">
        <v>356</v>
      </c>
      <c r="G11" s="131" t="s">
        <v>359</v>
      </c>
      <c r="H11" s="131" t="str">
        <f>'1. Access Controls'!$K5</f>
        <v>Comment is required</v>
      </c>
      <c r="I11">
        <f>'1. Access Controls'!$J5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25">
      <c r="A12" s="181">
        <v>4</v>
      </c>
      <c r="C12">
        <f>IF($B12="",$A12,$B12)</f>
        <v>4</v>
      </c>
      <c r="D12" t="s">
        <v>773</v>
      </c>
      <c r="E12" s="51" t="s">
        <v>360</v>
      </c>
      <c r="F12" s="57" t="s">
        <v>356</v>
      </c>
      <c r="G12" s="131" t="s">
        <v>361</v>
      </c>
      <c r="H12" s="131" t="str">
        <f>'1. Access Controls'!$K6</f>
        <v>Comment is required</v>
      </c>
      <c r="I12">
        <f>'1. Access Controls'!$J6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4" x14ac:dyDescent="0.25">
      <c r="A13" s="181">
        <v>2</v>
      </c>
      <c r="C13">
        <f t="shared" ref="C13:C33" si="9">IF($B13="",$A13,$B13)</f>
        <v>2</v>
      </c>
      <c r="D13" t="s">
        <v>773</v>
      </c>
      <c r="E13" s="51" t="s">
        <v>362</v>
      </c>
      <c r="F13" s="57" t="s">
        <v>364</v>
      </c>
      <c r="G13" s="131" t="s">
        <v>774</v>
      </c>
      <c r="H13" s="131" t="str">
        <f>'1. Access Controls'!$K7</f>
        <v>Comment is required</v>
      </c>
      <c r="I13">
        <f>'1. Access Controls'!$J7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ht="24" x14ac:dyDescent="0.25">
      <c r="A14" s="181">
        <v>4</v>
      </c>
      <c r="C14">
        <f t="shared" si="9"/>
        <v>4</v>
      </c>
      <c r="D14" t="s">
        <v>773</v>
      </c>
      <c r="E14" s="51" t="s">
        <v>366</v>
      </c>
      <c r="F14" s="57" t="s">
        <v>368</v>
      </c>
      <c r="G14" s="131" t="s">
        <v>369</v>
      </c>
      <c r="H14" s="131" t="str">
        <f>'1. Access Controls'!$K8</f>
        <v>Comment is required</v>
      </c>
      <c r="I14">
        <f>'1. Access Controls'!$J8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25">
      <c r="A15" s="181">
        <v>4</v>
      </c>
      <c r="C15">
        <f t="shared" si="9"/>
        <v>4</v>
      </c>
      <c r="D15" t="s">
        <v>773</v>
      </c>
      <c r="E15" s="51" t="s">
        <v>370</v>
      </c>
      <c r="F15" s="57" t="s">
        <v>372</v>
      </c>
      <c r="G15" s="131" t="s">
        <v>373</v>
      </c>
      <c r="H15" s="131" t="str">
        <f>'1. Access Controls'!$K9</f>
        <v>Comment is required</v>
      </c>
      <c r="I15">
        <f>'1. Access Controls'!$J9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25">
      <c r="A16" s="181">
        <v>4</v>
      </c>
      <c r="C16">
        <f t="shared" si="9"/>
        <v>4</v>
      </c>
      <c r="D16" t="s">
        <v>773</v>
      </c>
      <c r="E16" s="51" t="s">
        <v>374</v>
      </c>
      <c r="F16" s="57" t="s">
        <v>376</v>
      </c>
      <c r="G16" s="131" t="s">
        <v>377</v>
      </c>
      <c r="H16" s="131" t="str">
        <f>'1. Access Controls'!$K10</f>
        <v>Comment is required</v>
      </c>
      <c r="I16">
        <f>'1. Access Controls'!$J10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ht="24" x14ac:dyDescent="0.25">
      <c r="A17" s="181">
        <v>2</v>
      </c>
      <c r="C17">
        <f t="shared" si="9"/>
        <v>2</v>
      </c>
      <c r="D17" t="s">
        <v>773</v>
      </c>
      <c r="E17" s="51" t="s">
        <v>378</v>
      </c>
      <c r="F17" s="57" t="s">
        <v>381</v>
      </c>
      <c r="G17" s="131" t="s">
        <v>382</v>
      </c>
      <c r="H17" s="131" t="str">
        <f>'1. Access Controls'!$K11</f>
        <v>Comment is required</v>
      </c>
      <c r="I17">
        <f>'1. Access Controls'!$J11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25">
      <c r="A18" s="181">
        <v>2</v>
      </c>
      <c r="C18">
        <f t="shared" si="9"/>
        <v>2</v>
      </c>
      <c r="D18" t="s">
        <v>773</v>
      </c>
      <c r="E18" s="51" t="s">
        <v>383</v>
      </c>
      <c r="F18" s="57" t="s">
        <v>385</v>
      </c>
      <c r="G18" s="131" t="s">
        <v>386</v>
      </c>
      <c r="H18" s="131" t="str">
        <f>'1. Access Controls'!$K12</f>
        <v>Comment is required</v>
      </c>
      <c r="I18">
        <f>'1. Access Controls'!$J12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ht="24" x14ac:dyDescent="0.25">
      <c r="A19" s="181">
        <v>2</v>
      </c>
      <c r="C19">
        <f t="shared" si="9"/>
        <v>2</v>
      </c>
      <c r="D19" t="s">
        <v>773</v>
      </c>
      <c r="E19" s="51" t="s">
        <v>387</v>
      </c>
      <c r="F19" s="57" t="s">
        <v>389</v>
      </c>
      <c r="G19" s="131" t="s">
        <v>390</v>
      </c>
      <c r="H19" s="131" t="str">
        <f>'1. Access Controls'!$K13</f>
        <v>Comment is required</v>
      </c>
      <c r="I19">
        <f>'1. Access Controls'!$J13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4" x14ac:dyDescent="0.25">
      <c r="A20" s="181">
        <v>2</v>
      </c>
      <c r="C20">
        <f t="shared" si="9"/>
        <v>2</v>
      </c>
      <c r="D20" t="s">
        <v>391</v>
      </c>
      <c r="E20" s="51" t="s">
        <v>392</v>
      </c>
      <c r="F20" s="57" t="s">
        <v>395</v>
      </c>
      <c r="G20" s="131" t="s">
        <v>396</v>
      </c>
      <c r="H20" s="131" t="str">
        <f>'2. Awareness and Training'!$K3</f>
        <v>Comment is required</v>
      </c>
      <c r="I20">
        <f>'2. Awareness and Training'!$J3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25">
      <c r="A21" s="181">
        <v>2</v>
      </c>
      <c r="C21">
        <f t="shared" si="9"/>
        <v>2</v>
      </c>
      <c r="D21" t="s">
        <v>391</v>
      </c>
      <c r="E21" s="51" t="s">
        <v>397</v>
      </c>
      <c r="F21" s="59" t="s">
        <v>400</v>
      </c>
      <c r="G21" s="131" t="s">
        <v>401</v>
      </c>
      <c r="H21" s="131" t="str">
        <f>'2. Awareness and Training'!$K4</f>
        <v>Comment is required</v>
      </c>
      <c r="I21">
        <f>'2. Awareness and Training'!$J4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25">
      <c r="A22" s="181">
        <v>2</v>
      </c>
      <c r="C22">
        <f t="shared" si="9"/>
        <v>2</v>
      </c>
      <c r="D22" t="s">
        <v>391</v>
      </c>
      <c r="E22" s="51" t="s">
        <v>402</v>
      </c>
      <c r="F22" s="59" t="s">
        <v>400</v>
      </c>
      <c r="G22" s="131" t="s">
        <v>403</v>
      </c>
      <c r="H22" s="131" t="str">
        <f>'2. Awareness and Training'!$K5</f>
        <v>Comment is required</v>
      </c>
      <c r="I22">
        <f>'2. Awareness and Training'!$J5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4" x14ac:dyDescent="0.25">
      <c r="A23" s="181">
        <v>2</v>
      </c>
      <c r="C23">
        <f t="shared" si="9"/>
        <v>2</v>
      </c>
      <c r="D23" t="s">
        <v>391</v>
      </c>
      <c r="E23" s="51" t="s">
        <v>404</v>
      </c>
      <c r="F23" s="59" t="s">
        <v>406</v>
      </c>
      <c r="G23" s="132" t="s">
        <v>407</v>
      </c>
      <c r="H23" s="131" t="str">
        <f>'2. Awareness and Training'!$K6</f>
        <v>Comment is required</v>
      </c>
      <c r="I23">
        <f>'2. Awareness and Training'!$J6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25">
      <c r="A24" s="181">
        <v>2</v>
      </c>
      <c r="C24">
        <f t="shared" si="9"/>
        <v>2</v>
      </c>
      <c r="D24" t="s">
        <v>391</v>
      </c>
      <c r="E24" s="51" t="s">
        <v>408</v>
      </c>
      <c r="F24" s="59" t="s">
        <v>410</v>
      </c>
      <c r="G24" s="132" t="s">
        <v>411</v>
      </c>
      <c r="H24" s="131" t="str">
        <f>'2. Awareness and Training'!$K7</f>
        <v>Comment is required</v>
      </c>
      <c r="I24">
        <f>'2. Awareness and Training'!$J7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4" x14ac:dyDescent="0.25">
      <c r="A25" s="181">
        <v>2</v>
      </c>
      <c r="C25">
        <f t="shared" si="9"/>
        <v>2</v>
      </c>
      <c r="D25" t="s">
        <v>412</v>
      </c>
      <c r="E25" s="51" t="s">
        <v>413</v>
      </c>
      <c r="F25" s="59" t="s">
        <v>416</v>
      </c>
      <c r="G25" s="133" t="s">
        <v>417</v>
      </c>
      <c r="H25" s="131" t="str">
        <f>'3. Audit and Accountability'!$K3</f>
        <v>Comment is required</v>
      </c>
      <c r="I25">
        <f>'3. Audit and Accountability'!$J3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ht="24" x14ac:dyDescent="0.25">
      <c r="A26" s="181">
        <v>2</v>
      </c>
      <c r="C26">
        <f t="shared" si="9"/>
        <v>2</v>
      </c>
      <c r="D26" t="s">
        <v>412</v>
      </c>
      <c r="E26" s="51" t="s">
        <v>418</v>
      </c>
      <c r="F26" s="59" t="s">
        <v>416</v>
      </c>
      <c r="G26" s="133" t="s">
        <v>419</v>
      </c>
      <c r="H26" s="131" t="str">
        <f>'3. Audit and Accountability'!$K4</f>
        <v>Comment is required</v>
      </c>
      <c r="I26">
        <f>'3. Audit and Accountability'!$J4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6" x14ac:dyDescent="0.25">
      <c r="A27" s="181">
        <v>2</v>
      </c>
      <c r="C27">
        <f t="shared" si="9"/>
        <v>2</v>
      </c>
      <c r="D27" t="s">
        <v>412</v>
      </c>
      <c r="E27" s="51" t="s">
        <v>420</v>
      </c>
      <c r="F27" s="59" t="s">
        <v>423</v>
      </c>
      <c r="G27" s="133" t="s">
        <v>424</v>
      </c>
      <c r="H27" s="131" t="str">
        <f>'3. Audit and Accountability'!$K5</f>
        <v>Comment is required</v>
      </c>
      <c r="I27">
        <f>'3. Audit and Accountability'!$J5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ht="24" x14ac:dyDescent="0.25">
      <c r="A28" s="181">
        <v>3</v>
      </c>
      <c r="C28">
        <f t="shared" si="9"/>
        <v>3</v>
      </c>
      <c r="D28" t="s">
        <v>412</v>
      </c>
      <c r="E28" s="51" t="s">
        <v>425</v>
      </c>
      <c r="F28" s="59" t="s">
        <v>427</v>
      </c>
      <c r="G28" s="133" t="s">
        <v>428</v>
      </c>
      <c r="H28" s="131" t="str">
        <f>'3. Audit and Accountability'!$K6</f>
        <v>Comment is required</v>
      </c>
      <c r="I28">
        <f>'3. Audit and Accountability'!$J6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25">
      <c r="A29" s="181">
        <v>3</v>
      </c>
      <c r="C29">
        <f t="shared" si="9"/>
        <v>3</v>
      </c>
      <c r="D29" t="s">
        <v>412</v>
      </c>
      <c r="E29" s="51" t="s">
        <v>429</v>
      </c>
      <c r="F29" s="59" t="s">
        <v>432</v>
      </c>
      <c r="G29" s="133" t="s">
        <v>433</v>
      </c>
      <c r="H29" s="131" t="str">
        <f>'3. Audit and Accountability'!$K7</f>
        <v>Comment is required</v>
      </c>
      <c r="I29">
        <f>'3. Audit and Accountability'!$J7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25">
      <c r="A30" s="181">
        <v>4</v>
      </c>
      <c r="C30">
        <f t="shared" si="9"/>
        <v>4</v>
      </c>
      <c r="D30" t="s">
        <v>412</v>
      </c>
      <c r="E30" s="51" t="s">
        <v>434</v>
      </c>
      <c r="F30" s="59" t="s">
        <v>432</v>
      </c>
      <c r="G30" s="50" t="s">
        <v>435</v>
      </c>
      <c r="H30" s="131" t="str">
        <f>'3. Audit and Accountability'!$K8</f>
        <v>Comment is required</v>
      </c>
      <c r="I30">
        <f>'3. Audit and Accountability'!$J8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25">
      <c r="A31" s="181">
        <v>2</v>
      </c>
      <c r="C31">
        <f t="shared" si="9"/>
        <v>2</v>
      </c>
      <c r="D31" t="s">
        <v>412</v>
      </c>
      <c r="E31" s="51" t="s">
        <v>436</v>
      </c>
      <c r="F31" s="59" t="s">
        <v>438</v>
      </c>
      <c r="G31" s="133" t="s">
        <v>439</v>
      </c>
      <c r="H31" s="131" t="str">
        <f>'3. Audit and Accountability'!$K9</f>
        <v>Comment is required</v>
      </c>
      <c r="I31">
        <f>'3. Audit and Accountability'!$J9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ht="24" x14ac:dyDescent="0.25">
      <c r="A32" s="181">
        <v>2</v>
      </c>
      <c r="C32">
        <f t="shared" si="9"/>
        <v>2</v>
      </c>
      <c r="D32" t="s">
        <v>412</v>
      </c>
      <c r="E32" s="51" t="s">
        <v>440</v>
      </c>
      <c r="F32" s="59" t="s">
        <v>442</v>
      </c>
      <c r="G32" s="133" t="s">
        <v>443</v>
      </c>
      <c r="H32" s="131" t="str">
        <f>'3. Audit and Accountability'!$K10</f>
        <v>Comment is required</v>
      </c>
      <c r="I32">
        <f>'3. Audit and Accountability'!$J10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25">
      <c r="A33" s="181">
        <v>3</v>
      </c>
      <c r="C33">
        <f t="shared" si="9"/>
        <v>3</v>
      </c>
      <c r="D33" t="s">
        <v>412</v>
      </c>
      <c r="E33" s="51" t="s">
        <v>444</v>
      </c>
      <c r="F33" s="59" t="s">
        <v>446</v>
      </c>
      <c r="G33" s="133" t="s">
        <v>447</v>
      </c>
      <c r="H33" s="131" t="str">
        <f>'3. Audit and Accountability'!$K11</f>
        <v>Comment is required</v>
      </c>
      <c r="I33">
        <f>'3. Audit and Accountability'!$J11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4" x14ac:dyDescent="0.25">
      <c r="A34" s="181">
        <v>4</v>
      </c>
      <c r="C34">
        <f t="shared" ref="C34:C79" si="13">IF($B34="",$A34,$B34)</f>
        <v>4</v>
      </c>
      <c r="D34" t="s">
        <v>448</v>
      </c>
      <c r="E34" s="51" t="s">
        <v>449</v>
      </c>
      <c r="F34" s="57" t="s">
        <v>451</v>
      </c>
      <c r="G34" s="131" t="s">
        <v>452</v>
      </c>
      <c r="H34" s="131" t="str">
        <f>'5. Configuration'!$K3</f>
        <v>Comment is required</v>
      </c>
      <c r="I34">
        <f>'5. Configuration'!$J3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4" x14ac:dyDescent="0.25">
      <c r="A35" s="181">
        <v>1</v>
      </c>
      <c r="C35">
        <f t="shared" si="13"/>
        <v>1</v>
      </c>
      <c r="D35" t="s">
        <v>448</v>
      </c>
      <c r="E35" s="51" t="s">
        <v>256</v>
      </c>
      <c r="F35" s="57" t="s">
        <v>257</v>
      </c>
      <c r="G35" s="135" t="s">
        <v>453</v>
      </c>
      <c r="H35" s="131" t="str">
        <f>'5. Configuration'!$K4</f>
        <v>Comment is required</v>
      </c>
      <c r="I35">
        <f>'5. Configuration'!$J4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25">
      <c r="A36" s="181">
        <v>1</v>
      </c>
      <c r="C36">
        <f t="shared" si="13"/>
        <v>1</v>
      </c>
      <c r="D36" t="s">
        <v>448</v>
      </c>
      <c r="E36" s="51" t="s">
        <v>454</v>
      </c>
      <c r="F36" s="57" t="s">
        <v>261</v>
      </c>
      <c r="G36" s="135" t="s">
        <v>455</v>
      </c>
      <c r="H36" s="131" t="str">
        <f>'5. Configuration'!$K5</f>
        <v>Comment is required</v>
      </c>
      <c r="I36">
        <f>'5. Configuration'!$J5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4" x14ac:dyDescent="0.25">
      <c r="A37" s="181">
        <v>1</v>
      </c>
      <c r="C37">
        <f t="shared" si="13"/>
        <v>1</v>
      </c>
      <c r="D37" t="s">
        <v>448</v>
      </c>
      <c r="E37" s="51" t="s">
        <v>456</v>
      </c>
      <c r="F37" s="57" t="s">
        <v>261</v>
      </c>
      <c r="G37" s="135" t="s">
        <v>457</v>
      </c>
      <c r="H37" s="131" t="str">
        <f>'5. Configuration'!$K6</f>
        <v>Comment is required</v>
      </c>
      <c r="I37">
        <f>'5. Configuration'!$J6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25">
      <c r="A38" s="181">
        <v>1</v>
      </c>
      <c r="C38">
        <f t="shared" si="13"/>
        <v>1</v>
      </c>
      <c r="D38" t="s">
        <v>448</v>
      </c>
      <c r="E38" s="51" t="s">
        <v>458</v>
      </c>
      <c r="F38" s="57" t="s">
        <v>261</v>
      </c>
      <c r="G38" s="135" t="s">
        <v>459</v>
      </c>
      <c r="H38" s="131" t="str">
        <f>'5. Configuration'!$K7</f>
        <v>Comment is required</v>
      </c>
      <c r="I38">
        <f>'5. Configuration'!$J7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25">
      <c r="A39" s="181">
        <v>1</v>
      </c>
      <c r="C39">
        <f t="shared" si="13"/>
        <v>1</v>
      </c>
      <c r="D39" t="s">
        <v>448</v>
      </c>
      <c r="E39" s="51" t="s">
        <v>460</v>
      </c>
      <c r="F39" s="57" t="s">
        <v>261</v>
      </c>
      <c r="G39" s="135" t="s">
        <v>461</v>
      </c>
      <c r="H39" s="131" t="str">
        <f>'5. Configuration'!$K8</f>
        <v>Comment is required</v>
      </c>
      <c r="I39">
        <f>'5. Configuration'!$J8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25">
      <c r="A40" s="181">
        <v>1</v>
      </c>
      <c r="C40">
        <f t="shared" si="13"/>
        <v>1</v>
      </c>
      <c r="D40" t="s">
        <v>448</v>
      </c>
      <c r="E40" s="51" t="s">
        <v>462</v>
      </c>
      <c r="F40" s="57" t="s">
        <v>261</v>
      </c>
      <c r="G40" s="135" t="s">
        <v>463</v>
      </c>
      <c r="H40" s="131" t="str">
        <f>'5. Configuration'!$K9</f>
        <v>Comment is required</v>
      </c>
      <c r="I40">
        <f>'5. Configuration'!$J9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25">
      <c r="A41" s="181">
        <v>1</v>
      </c>
      <c r="C41">
        <f t="shared" si="13"/>
        <v>1</v>
      </c>
      <c r="D41" t="s">
        <v>448</v>
      </c>
      <c r="E41" s="51" t="s">
        <v>464</v>
      </c>
      <c r="F41" s="57" t="s">
        <v>261</v>
      </c>
      <c r="G41" s="135" t="s">
        <v>465</v>
      </c>
      <c r="H41" s="131" t="str">
        <f>'5. Configuration'!$K10</f>
        <v>Comment is required</v>
      </c>
      <c r="I41">
        <f>'5. Configuration'!$J10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4" x14ac:dyDescent="0.25">
      <c r="A42" s="181">
        <v>3</v>
      </c>
      <c r="C42">
        <f t="shared" si="13"/>
        <v>3</v>
      </c>
      <c r="D42" t="s">
        <v>448</v>
      </c>
      <c r="E42" s="51" t="s">
        <v>466</v>
      </c>
      <c r="F42" s="57" t="s">
        <v>468</v>
      </c>
      <c r="G42" s="135" t="s">
        <v>469</v>
      </c>
      <c r="H42" s="131" t="str">
        <f>'5. Configuration'!$K11</f>
        <v>Comment is required</v>
      </c>
      <c r="I42">
        <f>'5. Configuration'!$J11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4" x14ac:dyDescent="0.25">
      <c r="A43" s="181">
        <v>1</v>
      </c>
      <c r="C43">
        <f t="shared" si="13"/>
        <v>1</v>
      </c>
      <c r="D43" t="s">
        <v>448</v>
      </c>
      <c r="E43" s="51" t="s">
        <v>470</v>
      </c>
      <c r="F43" s="57" t="s">
        <v>471</v>
      </c>
      <c r="G43" s="135" t="s">
        <v>472</v>
      </c>
      <c r="H43" s="131" t="str">
        <f>'5. Configuration'!$K12</f>
        <v>Comment is required</v>
      </c>
      <c r="I43">
        <f>'5. Configuration'!$J12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25">
      <c r="A44" s="181">
        <v>1</v>
      </c>
      <c r="C44">
        <f t="shared" si="13"/>
        <v>1</v>
      </c>
      <c r="D44" t="s">
        <v>448</v>
      </c>
      <c r="E44" s="51" t="s">
        <v>473</v>
      </c>
      <c r="F44" s="57" t="s">
        <v>471</v>
      </c>
      <c r="G44" s="135" t="s">
        <v>474</v>
      </c>
      <c r="H44" s="131" t="str">
        <f>'5. Configuration'!$K13</f>
        <v>Comment is required</v>
      </c>
      <c r="I44">
        <f>'5. Configuration'!$J13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25">
      <c r="A45" s="181">
        <v>1</v>
      </c>
      <c r="C45">
        <f t="shared" si="13"/>
        <v>1</v>
      </c>
      <c r="D45" t="s">
        <v>448</v>
      </c>
      <c r="E45" s="51" t="s">
        <v>475</v>
      </c>
      <c r="F45" s="57" t="s">
        <v>471</v>
      </c>
      <c r="G45" s="135" t="s">
        <v>476</v>
      </c>
      <c r="H45" s="131" t="str">
        <f>'5. Configuration'!$K14</f>
        <v>Comment is required</v>
      </c>
      <c r="I45">
        <f>'5. Configuration'!$J14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4" x14ac:dyDescent="0.25">
      <c r="A46" s="181">
        <v>1</v>
      </c>
      <c r="C46">
        <f t="shared" si="13"/>
        <v>1</v>
      </c>
      <c r="D46" t="s">
        <v>448</v>
      </c>
      <c r="E46" s="51" t="s">
        <v>271</v>
      </c>
      <c r="F46" s="57" t="s">
        <v>272</v>
      </c>
      <c r="G46" s="135" t="s">
        <v>477</v>
      </c>
      <c r="H46" s="131" t="str">
        <f>'5. Configuration'!$K15</f>
        <v>Comment is required</v>
      </c>
      <c r="I46">
        <f>'5. Configuration'!$J15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ht="24" x14ac:dyDescent="0.25">
      <c r="A47" s="181">
        <v>1</v>
      </c>
      <c r="C47">
        <f t="shared" si="13"/>
        <v>1</v>
      </c>
      <c r="D47" t="s">
        <v>448</v>
      </c>
      <c r="E47" s="51" t="s">
        <v>478</v>
      </c>
      <c r="F47" s="57" t="s">
        <v>480</v>
      </c>
      <c r="G47" s="135" t="s">
        <v>481</v>
      </c>
      <c r="H47" s="131" t="str">
        <f>'5. Configuration'!$K16</f>
        <v>Comment is required</v>
      </c>
      <c r="I47">
        <f>'5. Configuration'!$J16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25">
      <c r="A48" s="181">
        <v>1</v>
      </c>
      <c r="C48">
        <f t="shared" si="13"/>
        <v>1</v>
      </c>
      <c r="D48" t="s">
        <v>448</v>
      </c>
      <c r="E48" s="51" t="s">
        <v>482</v>
      </c>
      <c r="F48" s="57" t="s">
        <v>480</v>
      </c>
      <c r="G48" s="135" t="s">
        <v>483</v>
      </c>
      <c r="H48" s="131" t="str">
        <f>'5. Configuration'!$K17</f>
        <v>Comment is required</v>
      </c>
      <c r="I48">
        <f>'5. Configuration'!$J17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36" x14ac:dyDescent="0.25">
      <c r="A49" s="181">
        <v>1</v>
      </c>
      <c r="C49">
        <f t="shared" si="13"/>
        <v>1</v>
      </c>
      <c r="D49" t="s">
        <v>448</v>
      </c>
      <c r="E49" s="51" t="s">
        <v>484</v>
      </c>
      <c r="F49" s="57" t="s">
        <v>280</v>
      </c>
      <c r="G49" s="135" t="s">
        <v>485</v>
      </c>
      <c r="H49" s="131" t="str">
        <f>'5. Configuration'!$K18</f>
        <v>Comment is required</v>
      </c>
      <c r="I49">
        <f>'5. Configuration'!$J18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4" x14ac:dyDescent="0.25">
      <c r="A50" s="181">
        <v>1</v>
      </c>
      <c r="C50">
        <f t="shared" si="13"/>
        <v>1</v>
      </c>
      <c r="D50" t="s">
        <v>448</v>
      </c>
      <c r="E50" s="51" t="s">
        <v>486</v>
      </c>
      <c r="F50" s="57" t="s">
        <v>280</v>
      </c>
      <c r="G50" s="135" t="s">
        <v>487</v>
      </c>
      <c r="H50" s="131" t="str">
        <f>'5. Configuration'!$K19</f>
        <v>Comment is required</v>
      </c>
      <c r="I50">
        <f>'5. Configuration'!$J19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25">
      <c r="A51" s="181">
        <v>1</v>
      </c>
      <c r="C51">
        <f t="shared" si="13"/>
        <v>1</v>
      </c>
      <c r="D51" t="s">
        <v>448</v>
      </c>
      <c r="E51" s="51" t="s">
        <v>488</v>
      </c>
      <c r="F51" s="57" t="s">
        <v>280</v>
      </c>
      <c r="G51" s="135" t="s">
        <v>489</v>
      </c>
      <c r="H51" s="131" t="str">
        <f>'5. Configuration'!$K20</f>
        <v>Comment is required</v>
      </c>
      <c r="I51">
        <f>'5. Configuration'!$J20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ht="24" x14ac:dyDescent="0.25">
      <c r="A52" s="181">
        <v>1</v>
      </c>
      <c r="C52">
        <f t="shared" si="13"/>
        <v>1</v>
      </c>
      <c r="D52" t="s">
        <v>448</v>
      </c>
      <c r="E52" s="51" t="s">
        <v>490</v>
      </c>
      <c r="F52" s="57" t="s">
        <v>280</v>
      </c>
      <c r="G52" s="135" t="s">
        <v>491</v>
      </c>
      <c r="H52" s="131" t="str">
        <f>'5. Configuration'!$K21</f>
        <v>Comment is required</v>
      </c>
      <c r="I52">
        <f>'5. Configuration'!$J21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25">
      <c r="A53" s="181">
        <v>1</v>
      </c>
      <c r="C53">
        <f t="shared" si="13"/>
        <v>1</v>
      </c>
      <c r="D53" t="s">
        <v>448</v>
      </c>
      <c r="E53" s="51" t="s">
        <v>287</v>
      </c>
      <c r="F53" s="57" t="s">
        <v>288</v>
      </c>
      <c r="G53" s="131" t="s">
        <v>492</v>
      </c>
      <c r="H53" s="131" t="str">
        <f>'5. Configuration'!$K22</f>
        <v>Comment is required</v>
      </c>
      <c r="I53">
        <f>'5. Configuration'!$J22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25">
      <c r="A54" s="181">
        <v>1</v>
      </c>
      <c r="C54">
        <f t="shared" si="13"/>
        <v>1</v>
      </c>
      <c r="D54" t="s">
        <v>448</v>
      </c>
      <c r="E54" s="51" t="s">
        <v>493</v>
      </c>
      <c r="F54" s="51" t="s">
        <v>494</v>
      </c>
      <c r="G54" s="135" t="s">
        <v>495</v>
      </c>
      <c r="H54" s="131" t="str">
        <f>'5. Configuration'!$K23</f>
        <v>Comment is required</v>
      </c>
      <c r="I54">
        <f>'5. Configuration'!$J23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4" x14ac:dyDescent="0.25">
      <c r="A55" s="181">
        <v>3</v>
      </c>
      <c r="C55">
        <f t="shared" si="13"/>
        <v>3</v>
      </c>
      <c r="D55" t="s">
        <v>448</v>
      </c>
      <c r="E55" s="51" t="s">
        <v>496</v>
      </c>
      <c r="F55" s="51" t="s">
        <v>497</v>
      </c>
      <c r="G55" s="135" t="s">
        <v>498</v>
      </c>
      <c r="H55" s="131" t="str">
        <f>'5. Configuration'!$K24</f>
        <v>Comment is required</v>
      </c>
      <c r="I55">
        <f>'5. Configuration'!$J24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4" x14ac:dyDescent="0.25">
      <c r="A56" s="181">
        <v>4</v>
      </c>
      <c r="C56">
        <f t="shared" si="13"/>
        <v>4</v>
      </c>
      <c r="D56" t="s">
        <v>448</v>
      </c>
      <c r="E56" s="51" t="s">
        <v>499</v>
      </c>
      <c r="F56" s="51" t="s">
        <v>500</v>
      </c>
      <c r="G56" s="135" t="s">
        <v>501</v>
      </c>
      <c r="H56" s="131" t="str">
        <f>'5. Configuration'!$K25</f>
        <v>Comment is required</v>
      </c>
      <c r="I56">
        <f>'5. Configuration'!$J25</f>
        <v>0</v>
      </c>
      <c r="J56" t="str">
        <f>IF($I56="Yes","Adequate",IF($I56="No","Inadequate",IF($I56="Partial","Inadequate",IF($I56="N/A","Inadequate",IF(OR($I56="",$I56=0),"Blank","Error")))))</f>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4" x14ac:dyDescent="0.25">
      <c r="A57" s="181">
        <v>2</v>
      </c>
      <c r="C57">
        <f t="shared" si="13"/>
        <v>2</v>
      </c>
      <c r="D57" t="s">
        <v>448</v>
      </c>
      <c r="E57" s="51" t="s">
        <v>502</v>
      </c>
      <c r="F57" s="132" t="s">
        <v>503</v>
      </c>
      <c r="G57" s="135" t="s">
        <v>504</v>
      </c>
      <c r="H57" s="131" t="str">
        <f>'5. Configuration'!$K26</f>
        <v>Comment is required</v>
      </c>
      <c r="I57">
        <f>'5. Configuration'!$J26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25">
      <c r="A58" s="181">
        <v>2</v>
      </c>
      <c r="C58">
        <f t="shared" si="13"/>
        <v>2</v>
      </c>
      <c r="D58" t="s">
        <v>448</v>
      </c>
      <c r="E58" s="51" t="s">
        <v>505</v>
      </c>
      <c r="F58" s="132" t="s">
        <v>503</v>
      </c>
      <c r="G58" s="135" t="s">
        <v>506</v>
      </c>
      <c r="H58" s="131" t="str">
        <f>'5. Configuration'!$K27</f>
        <v>Comment is required</v>
      </c>
      <c r="I58">
        <f>'5. Configuration'!$J27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4" x14ac:dyDescent="0.25">
      <c r="A59" s="181">
        <v>4</v>
      </c>
      <c r="C59">
        <f t="shared" si="13"/>
        <v>4</v>
      </c>
      <c r="D59" t="s">
        <v>775</v>
      </c>
      <c r="E59" s="51" t="s">
        <v>508</v>
      </c>
      <c r="F59" s="57" t="s">
        <v>510</v>
      </c>
      <c r="G59" s="135" t="s">
        <v>511</v>
      </c>
      <c r="H59" s="135" t="str">
        <f>'7. Authentication&amp;Authorization'!$K3</f>
        <v>Comment is required</v>
      </c>
      <c r="I59">
        <f>'7. Authentication&amp;Authorization'!$J3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4" x14ac:dyDescent="0.25">
      <c r="A60" s="181">
        <v>4</v>
      </c>
      <c r="C60">
        <f t="shared" si="13"/>
        <v>4</v>
      </c>
      <c r="D60" t="s">
        <v>775</v>
      </c>
      <c r="E60" s="51" t="s">
        <v>512</v>
      </c>
      <c r="F60" s="57" t="s">
        <v>515</v>
      </c>
      <c r="G60" s="135" t="s">
        <v>516</v>
      </c>
      <c r="H60" s="135" t="str">
        <f>'7. Authentication&amp;Authorization'!$K4</f>
        <v>Comment is required</v>
      </c>
      <c r="I60">
        <f>'7. Authentication&amp;Authorization'!$J4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4" x14ac:dyDescent="0.25">
      <c r="A61" s="181">
        <v>2</v>
      </c>
      <c r="C61">
        <f t="shared" si="13"/>
        <v>2</v>
      </c>
      <c r="D61" t="s">
        <v>775</v>
      </c>
      <c r="E61" s="51" t="s">
        <v>517</v>
      </c>
      <c r="F61" s="57" t="s">
        <v>520</v>
      </c>
      <c r="G61" s="135" t="s">
        <v>521</v>
      </c>
      <c r="H61" s="135" t="str">
        <f>'7. Authentication&amp;Authorization'!$K5</f>
        <v>Comment is required</v>
      </c>
      <c r="I61">
        <f>'7. Authentication&amp;Authorization'!$J5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25">
      <c r="A62" s="181">
        <v>3</v>
      </c>
      <c r="C62">
        <f t="shared" si="13"/>
        <v>3</v>
      </c>
      <c r="D62" t="s">
        <v>775</v>
      </c>
      <c r="E62" s="51" t="s">
        <v>522</v>
      </c>
      <c r="F62" s="57" t="s">
        <v>523</v>
      </c>
      <c r="G62" s="135" t="s">
        <v>524</v>
      </c>
      <c r="H62" s="135" t="str">
        <f>'7. Authentication&amp;Authorization'!$K6</f>
        <v>Comment is required</v>
      </c>
      <c r="I62">
        <f>'7. Authentication&amp;Authorization'!$J6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25">
      <c r="A63" s="181">
        <v>2</v>
      </c>
      <c r="C63">
        <f t="shared" si="13"/>
        <v>2</v>
      </c>
      <c r="D63" t="s">
        <v>775</v>
      </c>
      <c r="E63" s="51" t="s">
        <v>525</v>
      </c>
      <c r="F63" s="57" t="s">
        <v>523</v>
      </c>
      <c r="G63" s="135" t="s">
        <v>526</v>
      </c>
      <c r="H63" s="135" t="str">
        <f>'7. Authentication&amp;Authorization'!$K7</f>
        <v>Comment is required</v>
      </c>
      <c r="I63">
        <f>'7. Authentication&amp;Authorization'!$J7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25">
      <c r="A64" s="181">
        <v>3</v>
      </c>
      <c r="C64">
        <f t="shared" si="13"/>
        <v>3</v>
      </c>
      <c r="D64" t="s">
        <v>775</v>
      </c>
      <c r="E64" s="51" t="s">
        <v>527</v>
      </c>
      <c r="F64" s="57" t="s">
        <v>292</v>
      </c>
      <c r="G64" s="135" t="s">
        <v>529</v>
      </c>
      <c r="H64" s="135" t="str">
        <f>'7. Authentication&amp;Authorization'!$K8</f>
        <v>Comment is required</v>
      </c>
      <c r="I64">
        <f>'7. Authentication&amp;Authorization'!$J8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20" x14ac:dyDescent="0.25">
      <c r="A65" s="181">
        <v>1</v>
      </c>
      <c r="C65">
        <f t="shared" si="13"/>
        <v>1</v>
      </c>
      <c r="D65" t="s">
        <v>775</v>
      </c>
      <c r="E65" s="51" t="s">
        <v>530</v>
      </c>
      <c r="F65" s="57" t="s">
        <v>292</v>
      </c>
      <c r="G65" s="135" t="s">
        <v>531</v>
      </c>
      <c r="H65" s="135" t="str">
        <f>'7. Authentication&amp;Authorization'!$K9</f>
        <v>Comment is required</v>
      </c>
      <c r="I65">
        <f>'7. Authentication&amp;Authorization'!$J9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25">
      <c r="A66" s="181">
        <v>1</v>
      </c>
      <c r="C66">
        <f t="shared" si="13"/>
        <v>1</v>
      </c>
      <c r="D66" t="s">
        <v>775</v>
      </c>
      <c r="E66" s="51" t="s">
        <v>532</v>
      </c>
      <c r="F66" s="57" t="s">
        <v>292</v>
      </c>
      <c r="G66" s="135" t="s">
        <v>533</v>
      </c>
      <c r="H66" s="135" t="str">
        <f>'7. Authentication&amp;Authorization'!$K10</f>
        <v>Comment is required</v>
      </c>
      <c r="I66">
        <f>'7. Authentication&amp;Authorization'!$J10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25">
      <c r="A67" s="181">
        <v>3</v>
      </c>
      <c r="C67">
        <f t="shared" si="13"/>
        <v>3</v>
      </c>
      <c r="D67" t="s">
        <v>775</v>
      </c>
      <c r="E67" s="51" t="s">
        <v>534</v>
      </c>
      <c r="F67" s="57" t="s">
        <v>292</v>
      </c>
      <c r="G67" s="135" t="s">
        <v>535</v>
      </c>
      <c r="H67" s="135" t="str">
        <f>'7. Authentication&amp;Authorization'!$K11</f>
        <v>Comment is required</v>
      </c>
      <c r="I67">
        <f>'7. Authentication&amp;Authorization'!$J11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25">
      <c r="A68" s="181">
        <v>3</v>
      </c>
      <c r="C68">
        <f t="shared" si="13"/>
        <v>3</v>
      </c>
      <c r="D68" t="s">
        <v>775</v>
      </c>
      <c r="E68" s="51" t="s">
        <v>536</v>
      </c>
      <c r="F68" s="57" t="s">
        <v>292</v>
      </c>
      <c r="G68" s="135" t="s">
        <v>776</v>
      </c>
      <c r="H68" s="135" t="str">
        <f>'7. Authentication&amp;Authorization'!$K12</f>
        <v>Comment is required</v>
      </c>
      <c r="I68">
        <f>'7. Authentication&amp;Authorization'!$J12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25">
      <c r="A69" s="181">
        <v>4</v>
      </c>
      <c r="C69">
        <f t="shared" si="13"/>
        <v>4</v>
      </c>
      <c r="D69" t="s">
        <v>775</v>
      </c>
      <c r="E69" s="51" t="s">
        <v>538</v>
      </c>
      <c r="F69" s="57" t="s">
        <v>540</v>
      </c>
      <c r="G69" s="135" t="s">
        <v>541</v>
      </c>
      <c r="H69" s="135" t="str">
        <f>'7. Authentication&amp;Authorization'!$K13</f>
        <v>Comment is required</v>
      </c>
      <c r="I69">
        <f>'7. Authentication&amp;Authorization'!$J13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4" x14ac:dyDescent="0.25">
      <c r="A70" s="181">
        <v>4</v>
      </c>
      <c r="C70">
        <f t="shared" si="13"/>
        <v>4</v>
      </c>
      <c r="D70" t="s">
        <v>775</v>
      </c>
      <c r="E70" s="51" t="s">
        <v>542</v>
      </c>
      <c r="F70" s="57" t="s">
        <v>544</v>
      </c>
      <c r="G70" s="135" t="s">
        <v>545</v>
      </c>
      <c r="H70" s="135" t="str">
        <f>'7. Authentication&amp;Authorization'!$K14</f>
        <v>Comment is required</v>
      </c>
      <c r="I70">
        <f>'7. Authentication&amp;Authorization'!$J14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25">
      <c r="A71" s="181">
        <v>1</v>
      </c>
      <c r="C71">
        <f t="shared" si="13"/>
        <v>1</v>
      </c>
      <c r="D71" t="s">
        <v>777</v>
      </c>
      <c r="E71" s="51" t="s">
        <v>547</v>
      </c>
      <c r="F71" s="57" t="s">
        <v>550</v>
      </c>
      <c r="G71" s="50" t="s">
        <v>551</v>
      </c>
      <c r="H71" s="134" t="str">
        <f>'8. Incident Response'!$K3</f>
        <v>Comment is required</v>
      </c>
      <c r="I71">
        <f>'8. Incident Response'!$J3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25">
      <c r="A72" s="181">
        <v>2</v>
      </c>
      <c r="C72">
        <f t="shared" si="13"/>
        <v>2</v>
      </c>
      <c r="D72" t="s">
        <v>777</v>
      </c>
      <c r="E72" s="51" t="s">
        <v>552</v>
      </c>
      <c r="F72" s="57" t="s">
        <v>554</v>
      </c>
      <c r="G72" s="135" t="s">
        <v>555</v>
      </c>
      <c r="H72" s="134" t="str">
        <f>'8. Incident Response'!$K4</f>
        <v>Comment is required</v>
      </c>
      <c r="I72">
        <f>'8. Incident Response'!$J4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25">
      <c r="A73" s="181">
        <v>2</v>
      </c>
      <c r="C73">
        <f t="shared" si="13"/>
        <v>2</v>
      </c>
      <c r="D73" t="s">
        <v>777</v>
      </c>
      <c r="E73" s="51" t="s">
        <v>556</v>
      </c>
      <c r="F73" s="57" t="s">
        <v>554</v>
      </c>
      <c r="G73" s="135" t="s">
        <v>557</v>
      </c>
      <c r="H73" s="134" t="str">
        <f>'8. Incident Response'!$K5</f>
        <v>Comment is required</v>
      </c>
      <c r="I73">
        <f>'8. Incident Response'!$J5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25">
      <c r="A74" s="181">
        <v>2</v>
      </c>
      <c r="C74">
        <f t="shared" si="13"/>
        <v>2</v>
      </c>
      <c r="D74" t="s">
        <v>777</v>
      </c>
      <c r="E74" s="51" t="s">
        <v>558</v>
      </c>
      <c r="F74" s="57" t="s">
        <v>560</v>
      </c>
      <c r="G74" s="135" t="s">
        <v>561</v>
      </c>
      <c r="H74" s="134" t="str">
        <f>'8. Incident Response'!$K6</f>
        <v>Comment is required</v>
      </c>
      <c r="I74">
        <f>'8. Incident Response'!$J6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25">
      <c r="A75" s="181">
        <v>2</v>
      </c>
      <c r="C75">
        <f t="shared" si="13"/>
        <v>2</v>
      </c>
      <c r="D75" t="s">
        <v>777</v>
      </c>
      <c r="E75" s="51" t="s">
        <v>562</v>
      </c>
      <c r="F75" s="57" t="s">
        <v>560</v>
      </c>
      <c r="G75" s="135" t="s">
        <v>563</v>
      </c>
      <c r="H75" s="134" t="str">
        <f>'8. Incident Response'!$K7</f>
        <v>Comment is required</v>
      </c>
      <c r="I75">
        <f>'8. Incident Response'!$J7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25">
      <c r="A76" s="181">
        <v>1</v>
      </c>
      <c r="C76">
        <f t="shared" si="13"/>
        <v>1</v>
      </c>
      <c r="D76" t="s">
        <v>777</v>
      </c>
      <c r="E76" s="51" t="s">
        <v>564</v>
      </c>
      <c r="F76" s="57" t="s">
        <v>567</v>
      </c>
      <c r="G76" s="135" t="s">
        <v>568</v>
      </c>
      <c r="H76" s="134" t="str">
        <f>'8. Incident Response'!$K8</f>
        <v>Comment is required</v>
      </c>
      <c r="I76">
        <f>'8. Incident Response'!$J8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25">
      <c r="A77" s="181">
        <v>1</v>
      </c>
      <c r="C77">
        <f t="shared" si="13"/>
        <v>1</v>
      </c>
      <c r="D77" t="s">
        <v>777</v>
      </c>
      <c r="E77" s="51" t="s">
        <v>569</v>
      </c>
      <c r="F77" s="57" t="s">
        <v>572</v>
      </c>
      <c r="G77" s="135" t="s">
        <v>573</v>
      </c>
      <c r="H77" s="134" t="str">
        <f>'8. Incident Response'!$K9</f>
        <v>Comment is required</v>
      </c>
      <c r="I77">
        <f>'8. Incident Response'!$J9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25">
      <c r="A78" s="181">
        <v>1</v>
      </c>
      <c r="C78">
        <f t="shared" si="13"/>
        <v>1</v>
      </c>
      <c r="D78" t="s">
        <v>777</v>
      </c>
      <c r="E78" s="51" t="s">
        <v>574</v>
      </c>
      <c r="F78" s="57" t="s">
        <v>577</v>
      </c>
      <c r="G78" s="135" t="s">
        <v>578</v>
      </c>
      <c r="H78" s="134" t="str">
        <f>'8. Incident Response'!$K10</f>
        <v>Comment is required</v>
      </c>
      <c r="I78">
        <f>'8. Incident Response'!$J10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25">
      <c r="A79" s="181">
        <v>3</v>
      </c>
      <c r="C79">
        <f t="shared" si="13"/>
        <v>3</v>
      </c>
      <c r="D79" t="s">
        <v>777</v>
      </c>
      <c r="E79" s="51" t="s">
        <v>579</v>
      </c>
      <c r="F79" s="57" t="s">
        <v>582</v>
      </c>
      <c r="G79" s="135" t="s">
        <v>583</v>
      </c>
      <c r="H79" s="134" t="str">
        <f>'8. Incident Response'!$K11</f>
        <v>Comment is required</v>
      </c>
      <c r="I79">
        <f>'8. Incident Response'!$J11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25">
      <c r="A80" s="181">
        <v>1</v>
      </c>
      <c r="C80">
        <f t="shared" ref="C80:C91" si="26">IF($B80="",$A80,$B80)</f>
        <v>1</v>
      </c>
      <c r="D80" t="s">
        <v>777</v>
      </c>
      <c r="E80" s="51" t="s">
        <v>584</v>
      </c>
      <c r="F80" s="57" t="s">
        <v>342</v>
      </c>
      <c r="G80" s="135" t="s">
        <v>585</v>
      </c>
      <c r="H80" s="134" t="str">
        <f>'8. Incident Response'!$K12</f>
        <v>Comment is required</v>
      </c>
      <c r="I80">
        <f>'8. Incident Response'!$J12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25">
      <c r="A81" s="181">
        <v>3</v>
      </c>
      <c r="C81">
        <f t="shared" si="26"/>
        <v>3</v>
      </c>
      <c r="D81" t="s">
        <v>777</v>
      </c>
      <c r="E81" s="51" t="s">
        <v>586</v>
      </c>
      <c r="F81" s="57" t="s">
        <v>588</v>
      </c>
      <c r="G81" s="135" t="s">
        <v>589</v>
      </c>
      <c r="H81" s="134" t="str">
        <f>'8. Incident Response'!$K13</f>
        <v>Comment is required</v>
      </c>
      <c r="I81">
        <f>'8. Incident Response'!$J13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25">
      <c r="A82" s="181">
        <v>4</v>
      </c>
      <c r="C82">
        <f t="shared" si="26"/>
        <v>4</v>
      </c>
      <c r="D82" t="s">
        <v>590</v>
      </c>
      <c r="E82" s="51" t="s">
        <v>591</v>
      </c>
      <c r="F82" s="57" t="s">
        <v>594</v>
      </c>
      <c r="G82" s="131" t="s">
        <v>595</v>
      </c>
      <c r="H82" s="131" t="str">
        <f>'9. Maintenance'!$K3</f>
        <v>Comment is required</v>
      </c>
      <c r="I82">
        <f>'9. Maintenance'!$J3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6" x14ac:dyDescent="0.25">
      <c r="A83" s="181">
        <v>4</v>
      </c>
      <c r="C83">
        <f t="shared" si="26"/>
        <v>4</v>
      </c>
      <c r="D83" t="s">
        <v>590</v>
      </c>
      <c r="E83" s="54" t="s">
        <v>596</v>
      </c>
      <c r="F83" s="60" t="s">
        <v>597</v>
      </c>
      <c r="G83" s="135" t="s">
        <v>598</v>
      </c>
      <c r="H83" s="131" t="str">
        <f>'9. Maintenance'!$K4</f>
        <v>Comment is required</v>
      </c>
      <c r="I83">
        <f>'9. Maintenance'!$J4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25">
      <c r="A84" s="181">
        <v>4</v>
      </c>
      <c r="C84">
        <f t="shared" si="26"/>
        <v>4</v>
      </c>
      <c r="D84" t="s">
        <v>590</v>
      </c>
      <c r="E84" s="51" t="s">
        <v>599</v>
      </c>
      <c r="F84" s="57" t="s">
        <v>601</v>
      </c>
      <c r="G84" s="135" t="s">
        <v>602</v>
      </c>
      <c r="H84" s="131" t="str">
        <f>'9. Maintenance'!$K5</f>
        <v>Comment is required</v>
      </c>
      <c r="I84">
        <f>'9. Maintenance'!$J5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4" x14ac:dyDescent="0.25">
      <c r="A85" s="181">
        <v>4</v>
      </c>
      <c r="C85">
        <f t="shared" si="26"/>
        <v>4</v>
      </c>
      <c r="D85" t="s">
        <v>590</v>
      </c>
      <c r="E85" s="51" t="s">
        <v>603</v>
      </c>
      <c r="F85" s="57" t="s">
        <v>604</v>
      </c>
      <c r="G85" s="135" t="s">
        <v>605</v>
      </c>
      <c r="H85" s="131" t="str">
        <f>'9. Maintenance'!$K6</f>
        <v>Comment is required</v>
      </c>
      <c r="I85">
        <f>'9. Maintenance'!$J6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25">
      <c r="A86" s="181">
        <v>1</v>
      </c>
      <c r="C86">
        <f t="shared" si="26"/>
        <v>1</v>
      </c>
      <c r="D86" t="s">
        <v>590</v>
      </c>
      <c r="E86" s="51" t="s">
        <v>606</v>
      </c>
      <c r="F86" s="57" t="s">
        <v>604</v>
      </c>
      <c r="G86" s="135" t="s">
        <v>607</v>
      </c>
      <c r="H86" s="131" t="str">
        <f>'9. Maintenance'!$K7</f>
        <v>Comment is required</v>
      </c>
      <c r="I86">
        <f>'9. Maintenance'!$J7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ht="24" x14ac:dyDescent="0.25">
      <c r="A87" s="181">
        <v>1</v>
      </c>
      <c r="C87">
        <f t="shared" si="26"/>
        <v>1</v>
      </c>
      <c r="D87" t="s">
        <v>590</v>
      </c>
      <c r="E87" s="51" t="s">
        <v>608</v>
      </c>
      <c r="F87" s="57" t="s">
        <v>604</v>
      </c>
      <c r="G87" s="135" t="s">
        <v>609</v>
      </c>
      <c r="H87" s="131" t="str">
        <f>'9. Maintenance'!$K8</f>
        <v>Comment is required</v>
      </c>
      <c r="I87">
        <f>'9. Maintenance'!$J8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25">
      <c r="A88" s="181">
        <v>1</v>
      </c>
      <c r="C88">
        <f t="shared" si="26"/>
        <v>1</v>
      </c>
      <c r="D88" t="s">
        <v>590</v>
      </c>
      <c r="E88" s="51" t="s">
        <v>610</v>
      </c>
      <c r="F88" s="57" t="s">
        <v>604</v>
      </c>
      <c r="G88" s="135" t="s">
        <v>611</v>
      </c>
      <c r="H88" s="131" t="str">
        <f>'9. Maintenance'!$K9</f>
        <v>Comment is required</v>
      </c>
      <c r="I88">
        <f>'9. Maintenance'!$J9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ht="24" x14ac:dyDescent="0.25">
      <c r="A89" s="181">
        <v>1</v>
      </c>
      <c r="C89">
        <f t="shared" si="26"/>
        <v>1</v>
      </c>
      <c r="D89" t="s">
        <v>590</v>
      </c>
      <c r="E89" s="51" t="s">
        <v>612</v>
      </c>
      <c r="F89" s="57" t="s">
        <v>604</v>
      </c>
      <c r="G89" s="135" t="s">
        <v>613</v>
      </c>
      <c r="H89" s="131" t="str">
        <f>'9. Maintenance'!$K10</f>
        <v>Comment is required</v>
      </c>
      <c r="I89">
        <f>'9. Maintenance'!$J10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25">
      <c r="A90" s="181">
        <v>4</v>
      </c>
      <c r="C90">
        <f t="shared" si="26"/>
        <v>4</v>
      </c>
      <c r="D90" t="s">
        <v>590</v>
      </c>
      <c r="E90" s="54" t="s">
        <v>614</v>
      </c>
      <c r="F90" s="60" t="s">
        <v>617</v>
      </c>
      <c r="G90" s="135" t="s">
        <v>618</v>
      </c>
      <c r="H90" s="131" t="str">
        <f>'9. Maintenance'!$K11</f>
        <v>Comment is required</v>
      </c>
      <c r="I90">
        <f>'9. Maintenance'!$J11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4" x14ac:dyDescent="0.25">
      <c r="A91" s="181">
        <v>4</v>
      </c>
      <c r="C91">
        <f t="shared" si="26"/>
        <v>4</v>
      </c>
      <c r="D91" t="s">
        <v>590</v>
      </c>
      <c r="E91" s="54" t="s">
        <v>619</v>
      </c>
      <c r="F91" s="60" t="s">
        <v>617</v>
      </c>
      <c r="G91" s="135" t="s">
        <v>620</v>
      </c>
      <c r="H91" s="131" t="str">
        <f>'9. Maintenance'!$K12</f>
        <v>Comment is required</v>
      </c>
      <c r="I91">
        <f>'9. Maintenance'!$J12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25">
      <c r="A92" s="181">
        <v>4</v>
      </c>
      <c r="C92">
        <f t="shared" ref="C92:C128" si="34">IF($B92="",$A92,$B92)</f>
        <v>4</v>
      </c>
      <c r="D92" t="s">
        <v>621</v>
      </c>
      <c r="E92" s="51" t="s">
        <v>622</v>
      </c>
      <c r="F92" s="57" t="s">
        <v>625</v>
      </c>
      <c r="G92" s="131" t="s">
        <v>626</v>
      </c>
      <c r="H92" s="131" t="str">
        <f>'13. Personnel Security'!$K3</f>
        <v>Comment is required</v>
      </c>
      <c r="I92">
        <f>'13. Personnel Security'!$J3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x14ac:dyDescent="0.25">
      <c r="A93" s="181">
        <v>4</v>
      </c>
      <c r="C93">
        <f t="shared" si="34"/>
        <v>4</v>
      </c>
      <c r="D93" t="s">
        <v>621</v>
      </c>
      <c r="E93" s="51" t="s">
        <v>627</v>
      </c>
      <c r="F93" s="57" t="s">
        <v>629</v>
      </c>
      <c r="G93" s="135" t="s">
        <v>630</v>
      </c>
      <c r="H93" s="131" t="str">
        <f>'13. Personnel Security'!$K4</f>
        <v>Comment is required</v>
      </c>
      <c r="I93">
        <f>'13. Personnel Security'!$J4</f>
        <v>0</v>
      </c>
      <c r="J93" t="str">
        <f t="shared" si="35"/>
        <v>Blank</v>
      </c>
      <c r="K93" s="123" t="s">
        <v>75</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x14ac:dyDescent="0.25">
      <c r="A94" s="181">
        <v>4</v>
      </c>
      <c r="C94">
        <f t="shared" si="34"/>
        <v>4</v>
      </c>
      <c r="D94" t="s">
        <v>621</v>
      </c>
      <c r="E94" s="51" t="s">
        <v>631</v>
      </c>
      <c r="F94" s="57" t="s">
        <v>629</v>
      </c>
      <c r="G94" s="135" t="s">
        <v>632</v>
      </c>
      <c r="H94" s="131" t="str">
        <f>'13. Personnel Security'!$K5</f>
        <v>Comment is required</v>
      </c>
      <c r="I94">
        <f>'13. Personnel Security'!$J5</f>
        <v>0</v>
      </c>
      <c r="J94" t="str">
        <f t="shared" si="35"/>
        <v>Blank</v>
      </c>
      <c r="K94" s="123" t="s">
        <v>75</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x14ac:dyDescent="0.25">
      <c r="A95" s="181">
        <v>4</v>
      </c>
      <c r="C95">
        <f t="shared" si="34"/>
        <v>4</v>
      </c>
      <c r="D95" t="s">
        <v>621</v>
      </c>
      <c r="E95" s="51" t="s">
        <v>633</v>
      </c>
      <c r="F95" s="57" t="s">
        <v>629</v>
      </c>
      <c r="G95" s="135" t="s">
        <v>634</v>
      </c>
      <c r="H95" s="131" t="str">
        <f>'13. Personnel Security'!$K6</f>
        <v>Comment is required</v>
      </c>
      <c r="I95">
        <f>'13. Personnel Security'!$J6</f>
        <v>0</v>
      </c>
      <c r="J95" t="str">
        <f t="shared" si="35"/>
        <v>Blank</v>
      </c>
      <c r="K95" s="123" t="s">
        <v>75</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x14ac:dyDescent="0.25">
      <c r="A96" s="181">
        <v>4</v>
      </c>
      <c r="C96">
        <f t="shared" si="34"/>
        <v>4</v>
      </c>
      <c r="D96" t="s">
        <v>621</v>
      </c>
      <c r="E96" s="51" t="s">
        <v>635</v>
      </c>
      <c r="F96" s="57" t="s">
        <v>636</v>
      </c>
      <c r="G96" s="135" t="s">
        <v>637</v>
      </c>
      <c r="H96" s="131" t="str">
        <f>'13. Personnel Security'!$K7</f>
        <v>Comment is required</v>
      </c>
      <c r="I96">
        <f>'13. Personnel Security'!$J7</f>
        <v>0</v>
      </c>
      <c r="J96" t="str">
        <f t="shared" si="35"/>
        <v>Blank</v>
      </c>
      <c r="K96" s="123" t="s">
        <v>75</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x14ac:dyDescent="0.25">
      <c r="A97" s="181">
        <v>4</v>
      </c>
      <c r="C97">
        <f t="shared" si="34"/>
        <v>4</v>
      </c>
      <c r="D97" t="s">
        <v>621</v>
      </c>
      <c r="E97" s="51" t="s">
        <v>638</v>
      </c>
      <c r="F97" s="57" t="s">
        <v>636</v>
      </c>
      <c r="G97" s="135" t="s">
        <v>639</v>
      </c>
      <c r="H97" s="131" t="str">
        <f>'13. Personnel Security'!$K8</f>
        <v>Comment is required</v>
      </c>
      <c r="I97">
        <f>'13. Personnel Security'!$J8</f>
        <v>0</v>
      </c>
      <c r="J97" t="str">
        <f t="shared" si="35"/>
        <v>Blank</v>
      </c>
      <c r="K97" s="123" t="s">
        <v>75</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4" x14ac:dyDescent="0.25">
      <c r="A98" s="181">
        <v>4</v>
      </c>
      <c r="C98">
        <f t="shared" si="34"/>
        <v>4</v>
      </c>
      <c r="D98" t="s">
        <v>621</v>
      </c>
      <c r="E98" s="51" t="s">
        <v>640</v>
      </c>
      <c r="F98" s="57" t="s">
        <v>643</v>
      </c>
      <c r="G98" s="135" t="s">
        <v>644</v>
      </c>
      <c r="H98" s="131" t="str">
        <f>'13. Personnel Security'!$K9</f>
        <v>Comment is required</v>
      </c>
      <c r="I98">
        <f>'13. Personnel Security'!$J9</f>
        <v>0</v>
      </c>
      <c r="J98" t="str">
        <f t="shared" si="35"/>
        <v>Blank</v>
      </c>
      <c r="K98" s="123" t="s">
        <v>75</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ht="24" x14ac:dyDescent="0.25">
      <c r="A99" s="181">
        <v>4</v>
      </c>
      <c r="C99">
        <f t="shared" si="34"/>
        <v>4</v>
      </c>
      <c r="D99" t="s">
        <v>621</v>
      </c>
      <c r="E99" s="51" t="s">
        <v>645</v>
      </c>
      <c r="F99" s="57" t="s">
        <v>647</v>
      </c>
      <c r="G99" s="135" t="s">
        <v>648</v>
      </c>
      <c r="H99" s="131" t="str">
        <f>'13. Personnel Security'!$K10</f>
        <v>Comment is required</v>
      </c>
      <c r="I99">
        <f>'13. Personnel Security'!$J10</f>
        <v>0</v>
      </c>
      <c r="J99" t="str">
        <f t="shared" si="35"/>
        <v>Blank</v>
      </c>
      <c r="K99" s="123" t="s">
        <v>75</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4" x14ac:dyDescent="0.25">
      <c r="A100" s="181">
        <v>4</v>
      </c>
      <c r="C100">
        <f t="shared" si="34"/>
        <v>4</v>
      </c>
      <c r="D100" t="s">
        <v>621</v>
      </c>
      <c r="E100" s="51" t="s">
        <v>649</v>
      </c>
      <c r="F100" s="57" t="s">
        <v>652</v>
      </c>
      <c r="G100" s="135" t="s">
        <v>653</v>
      </c>
      <c r="H100" s="131" t="str">
        <f>'13. Personnel Security'!$K11</f>
        <v>Comment is required</v>
      </c>
      <c r="I100">
        <f>'13. Personnel Security'!$J11</f>
        <v>0</v>
      </c>
      <c r="J100" t="str">
        <f t="shared" si="35"/>
        <v>Blank</v>
      </c>
      <c r="K100" s="123" t="s">
        <v>75</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4" x14ac:dyDescent="0.25">
      <c r="A101" s="181">
        <v>4</v>
      </c>
      <c r="C101">
        <f t="shared" si="34"/>
        <v>4</v>
      </c>
      <c r="D101" t="s">
        <v>621</v>
      </c>
      <c r="E101" s="51" t="s">
        <v>654</v>
      </c>
      <c r="F101" s="57" t="s">
        <v>657</v>
      </c>
      <c r="G101" s="135" t="s">
        <v>658</v>
      </c>
      <c r="H101" s="131" t="str">
        <f>'13. Personnel Security'!$K12</f>
        <v>Comment is required</v>
      </c>
      <c r="I101">
        <f>'13. Personnel Security'!$J12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Comment is required</v>
      </c>
      <c r="Q101" t="str">
        <f t="shared" si="40"/>
        <v>Blank</v>
      </c>
      <c r="R101" t="str">
        <f t="shared" si="41"/>
        <v>No Override</v>
      </c>
      <c r="S101">
        <f t="shared" si="42"/>
        <v>4</v>
      </c>
      <c r="T101" t="str">
        <f t="shared" si="43"/>
        <v/>
      </c>
    </row>
    <row r="102" spans="1:20" x14ac:dyDescent="0.25">
      <c r="A102" s="181">
        <v>4</v>
      </c>
      <c r="C102">
        <f t="shared" si="34"/>
        <v>4</v>
      </c>
      <c r="D102" t="s">
        <v>621</v>
      </c>
      <c r="E102" s="51" t="s">
        <v>659</v>
      </c>
      <c r="F102" s="57" t="s">
        <v>662</v>
      </c>
      <c r="G102" s="135" t="s">
        <v>663</v>
      </c>
      <c r="H102" s="131" t="str">
        <f>'13. Personnel Security'!$K13</f>
        <v>Comment is required</v>
      </c>
      <c r="I102">
        <f>'13. Personnel Security'!$J13</f>
        <v>0</v>
      </c>
      <c r="J102" t="str">
        <f t="shared" si="35"/>
        <v>Blank</v>
      </c>
      <c r="K102" s="123" t="s">
        <v>75</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ht="24" x14ac:dyDescent="0.25">
      <c r="A103" s="181">
        <v>4</v>
      </c>
      <c r="C103">
        <f t="shared" si="34"/>
        <v>4</v>
      </c>
      <c r="D103" t="s">
        <v>778</v>
      </c>
      <c r="E103" s="51" t="s">
        <v>665</v>
      </c>
      <c r="F103" s="57" t="s">
        <v>667</v>
      </c>
      <c r="G103" s="131" t="s">
        <v>668</v>
      </c>
      <c r="H103" s="131" t="str">
        <f>'15. System Acquisition'!$K3</f>
        <v>Comment is required</v>
      </c>
      <c r="I103">
        <f>'15. System Acquisition'!$J3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25">
      <c r="A104" s="181">
        <v>4</v>
      </c>
      <c r="C104">
        <f t="shared" si="34"/>
        <v>4</v>
      </c>
      <c r="D104" t="s">
        <v>778</v>
      </c>
      <c r="E104" s="51" t="s">
        <v>669</v>
      </c>
      <c r="F104" s="57" t="s">
        <v>671</v>
      </c>
      <c r="G104" s="135" t="s">
        <v>672</v>
      </c>
      <c r="H104" s="131" t="str">
        <f>'15. System Acquisition'!$K4</f>
        <v>Comment is required</v>
      </c>
      <c r="I104">
        <f>'15. System Acquisition'!$J4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8" x14ac:dyDescent="0.25">
      <c r="A105" s="181">
        <v>1</v>
      </c>
      <c r="C105">
        <f t="shared" si="34"/>
        <v>1</v>
      </c>
      <c r="D105" t="s">
        <v>778</v>
      </c>
      <c r="E105" s="51" t="s">
        <v>335</v>
      </c>
      <c r="F105" s="57" t="s">
        <v>336</v>
      </c>
      <c r="G105" s="135" t="s">
        <v>674</v>
      </c>
      <c r="H105" s="131" t="str">
        <f>'15. System Acquisition'!$K5</f>
        <v>Comment is required</v>
      </c>
      <c r="I105">
        <f>'15. System Acquisition'!$J5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60" x14ac:dyDescent="0.25">
      <c r="A106" s="181">
        <v>4</v>
      </c>
      <c r="C106">
        <f t="shared" si="34"/>
        <v>4</v>
      </c>
      <c r="D106" t="s">
        <v>778</v>
      </c>
      <c r="E106" s="51" t="s">
        <v>675</v>
      </c>
      <c r="F106" s="57" t="s">
        <v>677</v>
      </c>
      <c r="G106" s="131" t="s">
        <v>678</v>
      </c>
      <c r="H106" s="131" t="str">
        <f>'15. System Acquisition'!$K6</f>
        <v>Comment is required</v>
      </c>
      <c r="I106">
        <f>'15. System Acquisition'!$J6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84" x14ac:dyDescent="0.25">
      <c r="A107" s="181">
        <v>4</v>
      </c>
      <c r="C107">
        <f t="shared" si="34"/>
        <v>4</v>
      </c>
      <c r="D107" t="s">
        <v>778</v>
      </c>
      <c r="E107" s="51" t="s">
        <v>679</v>
      </c>
      <c r="F107" s="57" t="s">
        <v>677</v>
      </c>
      <c r="G107" s="131" t="s">
        <v>680</v>
      </c>
      <c r="H107" s="131" t="str">
        <f>'15. System Acquisition'!$K7</f>
        <v>Comment is required</v>
      </c>
      <c r="I107">
        <f>'15. System Acquisition'!$J7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25">
      <c r="A108" s="181">
        <v>4</v>
      </c>
      <c r="C108">
        <f t="shared" si="34"/>
        <v>4</v>
      </c>
      <c r="D108" t="s">
        <v>778</v>
      </c>
      <c r="E108" s="51" t="s">
        <v>681</v>
      </c>
      <c r="F108" s="57" t="s">
        <v>677</v>
      </c>
      <c r="G108" s="131" t="s">
        <v>682</v>
      </c>
      <c r="H108" s="131" t="str">
        <f>'15. System Acquisition'!$K8</f>
        <v>Comment is required</v>
      </c>
      <c r="I108">
        <f>'15. System Acquisition'!$J8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4" x14ac:dyDescent="0.25">
      <c r="A109" s="181">
        <v>4</v>
      </c>
      <c r="C109">
        <f t="shared" si="34"/>
        <v>4</v>
      </c>
      <c r="D109" t="s">
        <v>778</v>
      </c>
      <c r="E109" s="51" t="s">
        <v>683</v>
      </c>
      <c r="F109" s="57" t="s">
        <v>685</v>
      </c>
      <c r="G109" s="135" t="s">
        <v>686</v>
      </c>
      <c r="H109" s="131" t="str">
        <f>'15. System Acquisition'!$K9</f>
        <v>Comment is required</v>
      </c>
      <c r="I109">
        <f>'15. System Acquisition'!$J9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6" x14ac:dyDescent="0.25">
      <c r="A110" s="181">
        <v>4</v>
      </c>
      <c r="C110">
        <f t="shared" si="34"/>
        <v>4</v>
      </c>
      <c r="D110" t="s">
        <v>778</v>
      </c>
      <c r="E110" s="51" t="s">
        <v>687</v>
      </c>
      <c r="F110" s="57" t="s">
        <v>689</v>
      </c>
      <c r="G110" s="135" t="s">
        <v>690</v>
      </c>
      <c r="H110" s="131" t="str">
        <f>'15. System Acquisition'!$K10</f>
        <v>Comment is required</v>
      </c>
      <c r="I110">
        <f>'15. System Acquisition'!$J10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6" x14ac:dyDescent="0.25">
      <c r="A111" s="181">
        <v>2</v>
      </c>
      <c r="C111">
        <f t="shared" si="34"/>
        <v>2</v>
      </c>
      <c r="D111" t="s">
        <v>778</v>
      </c>
      <c r="E111" s="51" t="s">
        <v>691</v>
      </c>
      <c r="F111" s="57" t="s">
        <v>693</v>
      </c>
      <c r="G111" s="135" t="s">
        <v>694</v>
      </c>
      <c r="H111" s="131" t="str">
        <f>'15. System Acquisition'!$K11</f>
        <v>Comment is required</v>
      </c>
      <c r="I111">
        <f>'15. System Acquisition'!$J11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4" x14ac:dyDescent="0.25">
      <c r="A112" s="181">
        <v>4</v>
      </c>
      <c r="C112">
        <f t="shared" si="34"/>
        <v>4</v>
      </c>
      <c r="D112" t="s">
        <v>779</v>
      </c>
      <c r="E112" s="51" t="s">
        <v>696</v>
      </c>
      <c r="F112" s="57" t="s">
        <v>698</v>
      </c>
      <c r="G112" s="131" t="s">
        <v>699</v>
      </c>
      <c r="H112" s="131" t="str">
        <f>'16. System Data Protection'!$K3</f>
        <v>Comment is required</v>
      </c>
      <c r="I112">
        <f>'16. System Data Protection'!$J3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4" x14ac:dyDescent="0.25">
      <c r="A113" s="181">
        <v>4</v>
      </c>
      <c r="C113">
        <f t="shared" si="34"/>
        <v>4</v>
      </c>
      <c r="D113" t="s">
        <v>779</v>
      </c>
      <c r="E113" s="51" t="s">
        <v>700</v>
      </c>
      <c r="F113" s="57" t="s">
        <v>702</v>
      </c>
      <c r="G113" s="131" t="s">
        <v>703</v>
      </c>
      <c r="H113" s="131" t="str">
        <f>'16. System Data Protection'!$K4</f>
        <v>Comment is required</v>
      </c>
      <c r="I113">
        <f>'16. System Data Protection'!$J4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4" x14ac:dyDescent="0.25">
      <c r="A114" s="181">
        <v>1</v>
      </c>
      <c r="C114">
        <f t="shared" si="34"/>
        <v>1</v>
      </c>
      <c r="D114" t="s">
        <v>779</v>
      </c>
      <c r="E114" s="54" t="s">
        <v>704</v>
      </c>
      <c r="F114" s="57" t="s">
        <v>707</v>
      </c>
      <c r="G114" s="135" t="s">
        <v>780</v>
      </c>
      <c r="H114" s="131" t="str">
        <f>'16. System Data Protection'!$K5</f>
        <v>Comment is required</v>
      </c>
      <c r="I114">
        <f>'16. System Data Protection'!$J5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4" x14ac:dyDescent="0.25">
      <c r="A115" s="181">
        <v>1</v>
      </c>
      <c r="C115">
        <f t="shared" si="34"/>
        <v>1</v>
      </c>
      <c r="D115" t="s">
        <v>779</v>
      </c>
      <c r="E115" s="54" t="s">
        <v>709</v>
      </c>
      <c r="F115" s="57" t="s">
        <v>707</v>
      </c>
      <c r="G115" s="135" t="s">
        <v>710</v>
      </c>
      <c r="H115" s="131" t="str">
        <f>'16. System Data Protection'!$K6</f>
        <v>Comment is required</v>
      </c>
      <c r="I115">
        <f>'16. System Data Protection'!$J6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4" x14ac:dyDescent="0.25">
      <c r="A116" s="181">
        <v>4</v>
      </c>
      <c r="C116">
        <f t="shared" si="34"/>
        <v>4</v>
      </c>
      <c r="D116" t="s">
        <v>779</v>
      </c>
      <c r="E116" s="51" t="s">
        <v>711</v>
      </c>
      <c r="F116" s="57" t="s">
        <v>713</v>
      </c>
      <c r="G116" s="135" t="s">
        <v>714</v>
      </c>
      <c r="H116" s="131" t="str">
        <f>'16. System Data Protection'!$K7</f>
        <v>Comment is required</v>
      </c>
      <c r="I116">
        <f>'16. System Data Protection'!$J7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4" x14ac:dyDescent="0.25">
      <c r="A117" s="181">
        <v>4</v>
      </c>
      <c r="C117">
        <f t="shared" si="34"/>
        <v>4</v>
      </c>
      <c r="D117" t="s">
        <v>779</v>
      </c>
      <c r="E117" s="51" t="s">
        <v>715</v>
      </c>
      <c r="F117" s="57" t="s">
        <v>717</v>
      </c>
      <c r="G117" s="135" t="s">
        <v>781</v>
      </c>
      <c r="H117" s="131" t="str">
        <f>'16. System Data Protection'!$K8</f>
        <v>Comment is required</v>
      </c>
      <c r="I117">
        <f>'16. System Data Protection'!$J8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4" x14ac:dyDescent="0.25">
      <c r="A118" s="181">
        <v>4</v>
      </c>
      <c r="C118">
        <f t="shared" si="34"/>
        <v>4</v>
      </c>
      <c r="D118" t="s">
        <v>779</v>
      </c>
      <c r="E118" s="51" t="s">
        <v>719</v>
      </c>
      <c r="F118" s="57" t="s">
        <v>304</v>
      </c>
      <c r="G118" s="135" t="s">
        <v>720</v>
      </c>
      <c r="H118" s="131" t="str">
        <f>'16. System Data Protection'!$K9</f>
        <v>Comment is required</v>
      </c>
      <c r="I118">
        <f>'16. System Data Protection'!$J9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25">
      <c r="A119" s="181">
        <v>2</v>
      </c>
      <c r="C119">
        <f t="shared" si="34"/>
        <v>2</v>
      </c>
      <c r="D119" t="s">
        <v>779</v>
      </c>
      <c r="E119" s="51" t="s">
        <v>721</v>
      </c>
      <c r="F119" s="57" t="s">
        <v>304</v>
      </c>
      <c r="G119" s="135" t="s">
        <v>722</v>
      </c>
      <c r="H119" s="131" t="str">
        <f>'16. System Data Protection'!$K10</f>
        <v>Comment is required</v>
      </c>
      <c r="I119">
        <f>'16. System Data Protection'!$J10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4" x14ac:dyDescent="0.25">
      <c r="A120" s="181">
        <v>2</v>
      </c>
      <c r="C120">
        <f t="shared" si="34"/>
        <v>2</v>
      </c>
      <c r="D120" t="s">
        <v>779</v>
      </c>
      <c r="E120" s="51" t="s">
        <v>723</v>
      </c>
      <c r="F120" s="57" t="s">
        <v>304</v>
      </c>
      <c r="G120" s="135" t="s">
        <v>724</v>
      </c>
      <c r="H120" s="131" t="str">
        <f>'16. System Data Protection'!$K11</f>
        <v>Comment is required</v>
      </c>
      <c r="I120">
        <f>'16. System Data Protection'!$J11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36" x14ac:dyDescent="0.25">
      <c r="A121" s="181">
        <v>4</v>
      </c>
      <c r="C121">
        <f t="shared" si="34"/>
        <v>4</v>
      </c>
      <c r="D121" t="s">
        <v>779</v>
      </c>
      <c r="E121" s="51" t="s">
        <v>725</v>
      </c>
      <c r="F121" s="57" t="s">
        <v>727</v>
      </c>
      <c r="G121" s="135" t="s">
        <v>728</v>
      </c>
      <c r="H121" s="131" t="str">
        <f>'16. System Data Protection'!$K12</f>
        <v>Comment is required</v>
      </c>
      <c r="I121">
        <f>'16. System Data Protection'!$J12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4" x14ac:dyDescent="0.25">
      <c r="A122" s="181">
        <v>4</v>
      </c>
      <c r="C122">
        <f t="shared" si="34"/>
        <v>4</v>
      </c>
      <c r="D122" t="s">
        <v>779</v>
      </c>
      <c r="E122" s="51" t="s">
        <v>729</v>
      </c>
      <c r="F122" s="57" t="s">
        <v>731</v>
      </c>
      <c r="G122" s="135" t="s">
        <v>732</v>
      </c>
      <c r="H122" s="131" t="str">
        <f>'16. System Data Protection'!$K13</f>
        <v>Comment is required</v>
      </c>
      <c r="I122">
        <f>'16. System Data Protection'!$J13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25">
      <c r="A123" s="181">
        <v>3</v>
      </c>
      <c r="C123">
        <f t="shared" si="34"/>
        <v>3</v>
      </c>
      <c r="D123" t="s">
        <v>779</v>
      </c>
      <c r="E123" s="51" t="s">
        <v>733</v>
      </c>
      <c r="F123" s="57" t="s">
        <v>735</v>
      </c>
      <c r="G123" s="135" t="s">
        <v>736</v>
      </c>
      <c r="H123" s="131" t="str">
        <f>'16. System Data Protection'!$K14</f>
        <v>Comment is required</v>
      </c>
      <c r="I123">
        <f>'16. System Data Protection'!$J14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4" x14ac:dyDescent="0.25">
      <c r="A124" s="181">
        <v>1</v>
      </c>
      <c r="C124">
        <f t="shared" si="34"/>
        <v>1</v>
      </c>
      <c r="D124" t="s">
        <v>779</v>
      </c>
      <c r="E124" s="51" t="s">
        <v>737</v>
      </c>
      <c r="F124" s="57" t="s">
        <v>739</v>
      </c>
      <c r="G124" s="135" t="s">
        <v>782</v>
      </c>
      <c r="H124" s="131" t="str">
        <f>'16. System Data Protection'!$K15</f>
        <v>Comment is required</v>
      </c>
      <c r="I124">
        <f>'16. System Data Protection'!$J15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4" x14ac:dyDescent="0.25">
      <c r="A125" s="181">
        <v>4</v>
      </c>
      <c r="C125">
        <f t="shared" si="34"/>
        <v>4</v>
      </c>
      <c r="D125" t="s">
        <v>783</v>
      </c>
      <c r="E125" s="51" t="s">
        <v>742</v>
      </c>
      <c r="F125" s="57" t="s">
        <v>745</v>
      </c>
      <c r="G125" s="131" t="s">
        <v>746</v>
      </c>
      <c r="H125" s="135" t="str">
        <f>'17. System Data Integrity'!$K3</f>
        <v>Comment is required</v>
      </c>
      <c r="I125">
        <f>'17. System Data Integrity'!$J3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4" x14ac:dyDescent="0.25">
      <c r="A126" s="181">
        <v>1</v>
      </c>
      <c r="C126">
        <f t="shared" si="34"/>
        <v>1</v>
      </c>
      <c r="D126" t="s">
        <v>783</v>
      </c>
      <c r="E126" s="51" t="s">
        <v>747</v>
      </c>
      <c r="F126" s="57" t="s">
        <v>316</v>
      </c>
      <c r="G126" s="135" t="s">
        <v>748</v>
      </c>
      <c r="H126" s="135" t="str">
        <f>'17. System Data Integrity'!$K4</f>
        <v>Comment is required</v>
      </c>
      <c r="I126">
        <f>'17. System Data Integrity'!$J4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25">
      <c r="A127" s="181">
        <v>1</v>
      </c>
      <c r="C127">
        <f t="shared" si="34"/>
        <v>1</v>
      </c>
      <c r="D127" t="s">
        <v>783</v>
      </c>
      <c r="E127" s="51" t="s">
        <v>749</v>
      </c>
      <c r="F127" s="57" t="s">
        <v>316</v>
      </c>
      <c r="G127" s="135" t="s">
        <v>750</v>
      </c>
      <c r="H127" s="135" t="str">
        <f>'17. System Data Integrity'!$K5</f>
        <v>Comment is required</v>
      </c>
      <c r="I127">
        <f>'17. System Data Integrity'!$J5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25">
      <c r="A128" s="181">
        <v>1</v>
      </c>
      <c r="C128">
        <f t="shared" si="34"/>
        <v>1</v>
      </c>
      <c r="D128" t="s">
        <v>783</v>
      </c>
      <c r="E128" s="51" t="s">
        <v>751</v>
      </c>
      <c r="F128" s="57" t="s">
        <v>316</v>
      </c>
      <c r="G128" s="135" t="s">
        <v>752</v>
      </c>
      <c r="H128" s="135" t="str">
        <f>'17. System Data Integrity'!$K6</f>
        <v>Comment is required</v>
      </c>
      <c r="I128">
        <f>'17. System Data Integrity'!$J6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56 L59:M128">
    <cfRule type="expression" dxfId="3" priority="3">
      <formula>AND($I9="N/A",$H9&lt;&gt;0)</formula>
    </cfRule>
    <cfRule type="expression" dxfId="2" priority="4">
      <formula>AND($I9="N/A",$H9=0)</formula>
    </cfRule>
  </conditionalFormatting>
  <conditionalFormatting sqref="L57:M58">
    <cfRule type="expression" dxfId="1" priority="1">
      <formula>AND($I57="N/A",$H57&lt;&gt;0)</formula>
    </cfRule>
    <cfRule type="expression" dxfId="0" priority="2">
      <formula>AND($I57="N/A",$H57=0)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 Validation Key'!$C$21:$C$24</xm:f>
          </x14:formula1>
          <xm:sqref>K9:K128</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89"/>
  <sheetViews>
    <sheetView showGridLines="0" workbookViewId="0">
      <selection activeCell="K22" sqref="K22"/>
    </sheetView>
  </sheetViews>
  <sheetFormatPr defaultColWidth="9.140625" defaultRowHeight="15" x14ac:dyDescent="0.25"/>
  <cols>
    <col min="1" max="1" width="9.140625" style="162"/>
    <col min="2" max="2" width="11.140625" style="162" bestFit="1" customWidth="1"/>
    <col min="3" max="16384" width="9.140625" style="162"/>
  </cols>
  <sheetData>
    <row r="1" spans="1:7" ht="15.75" thickBot="1" x14ac:dyDescent="0.3">
      <c r="A1" s="161" t="str">
        <f>Scope!$B$4</f>
        <v>PeriCALM Tracings Fetal monitoring application</v>
      </c>
      <c r="B1" s="191" t="s">
        <v>95</v>
      </c>
      <c r="C1" s="191" t="s">
        <v>784</v>
      </c>
      <c r="D1" s="192" t="s">
        <v>785</v>
      </c>
      <c r="F1" s="377" t="s">
        <v>786</v>
      </c>
      <c r="G1" s="378"/>
    </row>
    <row r="2" spans="1:7" ht="15" customHeight="1" x14ac:dyDescent="0.25">
      <c r="A2" s="372" t="s">
        <v>74</v>
      </c>
      <c r="B2" s="163" t="s">
        <v>77</v>
      </c>
      <c r="C2" s="163">
        <f>COUNTIFS('Override Control Env1'!$C$9:$C$128,1,'Override Control Env1'!$L$9:$L$128,B2)</f>
        <v>25</v>
      </c>
      <c r="D2" s="164">
        <f>$C2/COUNTIF('Override Control Env1'!$C$9:$C$128,1)</f>
        <v>0.65789473684210531</v>
      </c>
      <c r="F2" s="165" t="s">
        <v>787</v>
      </c>
      <c r="G2" s="166" t="str">
        <f>IF(AND($C$3=0,$C$7=0,$C$11=0),"True",IF(AND($C$3=0,($C$7+$C$11)/(COUNTIF('Override Control Env1'!$C$9:$C$128,2)+COUNTIF('Override Control Env1'!$C$9:$C$128,3))&lt;=0.25),"True","False"))</f>
        <v>False</v>
      </c>
    </row>
    <row r="3" spans="1:7" x14ac:dyDescent="0.25">
      <c r="A3" s="373"/>
      <c r="B3" s="167" t="s">
        <v>79</v>
      </c>
      <c r="C3" s="167">
        <f>COUNTIFS('Override Control Env1'!$C$9:$C$128,1,'Override Control Env1'!$L$9:$L$128,B3)</f>
        <v>13</v>
      </c>
      <c r="D3" s="168">
        <f>$C3/COUNTIF('Override Control Env1'!$C$9:$C$128,1)</f>
        <v>0.34210526315789475</v>
      </c>
      <c r="F3" s="165" t="s">
        <v>788</v>
      </c>
      <c r="G3" s="166" t="str">
        <f>IF(AND($C$3=0,$G$2="False",($C$7+$C$11)/(COUNTIF('Override Control Env1'!$C$9:$C$128,2)+COUNTIF('Override Control Env1'!$C$9:$C$128,3))&lt;=0.5),"True","False")</f>
        <v>False</v>
      </c>
    </row>
    <row r="4" spans="1:7" x14ac:dyDescent="0.25">
      <c r="A4" s="373"/>
      <c r="B4" s="167" t="s">
        <v>52</v>
      </c>
      <c r="C4" s="167">
        <f>COUNTIFS('Override Control Env1'!$C$9:$C$128,1,'Override Control Env1'!$L$9:$L$128,B4)</f>
        <v>0</v>
      </c>
      <c r="D4" s="168">
        <f>$C4/COUNTIF('Override Control Env1'!$C$9:$C$128,1)</f>
        <v>0</v>
      </c>
      <c r="F4" s="165" t="s">
        <v>789</v>
      </c>
      <c r="G4" s="166" t="str">
        <f>IF(AND($C$3=0,$G$2="False",$G$3="False",($C$7+$C$11)/(COUNTIF('Override Control Env1'!$C$9:$C$128,2)+COUNTIF('Override Control Env1'!$C$9:$C$128,3))&gt;0.5),"True",IF(AND($C$3=1,$C$7=0,$C$11=0),"True","False"))</f>
        <v>False</v>
      </c>
    </row>
    <row r="5" spans="1:7" ht="15.75" thickBot="1" x14ac:dyDescent="0.3">
      <c r="A5" s="374"/>
      <c r="B5" s="169" t="s">
        <v>790</v>
      </c>
      <c r="C5" s="169">
        <f>COUNTIFS('Override Control Env1'!$C$9:$C$128,1,'Override Control Env1'!$L$9:$L$128,B5)</f>
        <v>0</v>
      </c>
      <c r="D5" s="170">
        <f>$C5/COUNTIF('Override Control Env1'!$C$9:$C$128,1)</f>
        <v>0</v>
      </c>
      <c r="F5" s="165" t="s">
        <v>791</v>
      </c>
      <c r="G5" s="166" t="str">
        <f>IF($C$3&gt;1,"True",IF(AND($C$3=1,$C$7+$C$11&gt;0),"True","False"))</f>
        <v>True</v>
      </c>
    </row>
    <row r="6" spans="1:7" ht="15.75" thickBot="1" x14ac:dyDescent="0.3">
      <c r="A6" s="375" t="s">
        <v>76</v>
      </c>
      <c r="B6" s="171" t="s">
        <v>77</v>
      </c>
      <c r="C6" s="171">
        <f>COUNTIFS('Override Control Env1'!$C$9:$C$128,2,'Override Control Env1'!$L$9:$L$128,B6)</f>
        <v>16</v>
      </c>
      <c r="D6" s="172">
        <f>$C6/COUNTIF('Override Control Env1'!$C$9:$C$128,2)</f>
        <v>0.64</v>
      </c>
      <c r="F6" s="173" t="s">
        <v>792</v>
      </c>
      <c r="G6" s="174"/>
    </row>
    <row r="7" spans="1:7" ht="15.75" thickBot="1" x14ac:dyDescent="0.3">
      <c r="A7" s="373"/>
      <c r="B7" s="167" t="s">
        <v>79</v>
      </c>
      <c r="C7" s="167">
        <f>COUNTIFS('Override Control Env1'!$C$9:$C$128,2,'Override Control Env1'!$L$9:$L$128,B7)</f>
        <v>7</v>
      </c>
      <c r="D7" s="168">
        <f>$C7/COUNTIF('Override Control Env1'!$C$9:$C$128,2)</f>
        <v>0.28000000000000003</v>
      </c>
    </row>
    <row r="8" spans="1:7" x14ac:dyDescent="0.25">
      <c r="A8" s="373"/>
      <c r="B8" s="167" t="s">
        <v>52</v>
      </c>
      <c r="C8" s="167">
        <f>COUNTIFS('Override Control Env1'!$C$9:$C$128,2,'Override Control Env1'!$L$9:$L$128,B8)</f>
        <v>2</v>
      </c>
      <c r="D8" s="168">
        <f>$C8/COUNTIF('Override Control Env1'!$C$9:$C$128,2)</f>
        <v>0.08</v>
      </c>
      <c r="F8" s="377" t="s">
        <v>793</v>
      </c>
      <c r="G8" s="378"/>
    </row>
    <row r="9" spans="1:7" ht="15.75" thickBot="1" x14ac:dyDescent="0.3">
      <c r="A9" s="376"/>
      <c r="B9" s="175" t="s">
        <v>790</v>
      </c>
      <c r="C9" s="175">
        <f>COUNTIFS('Override Control Env1'!$C$9:$C$128,2,'Override Control Env1'!$L$9:$L$128,B9)</f>
        <v>0</v>
      </c>
      <c r="D9" s="176">
        <f>$C9/COUNTIF('Override Control Env1'!$C$9:$C$128,2)</f>
        <v>0</v>
      </c>
      <c r="F9" s="379" t="str">
        <f>IF($G$2="True","A",IF($G$3="True","B",IF($G$4="True","C",IF($G$5="True","D","Error"))))</f>
        <v>D</v>
      </c>
      <c r="G9" s="380"/>
    </row>
    <row r="10" spans="1:7" x14ac:dyDescent="0.25">
      <c r="A10" s="372" t="s">
        <v>794</v>
      </c>
      <c r="B10" s="163" t="s">
        <v>77</v>
      </c>
      <c r="C10" s="163">
        <f>COUNTIFS('Override Control Env1'!$C$9:$C$128,3,'Override Control Env1'!$L$9:$L$128,B10)</f>
        <v>8</v>
      </c>
      <c r="D10" s="164">
        <f>$C10/COUNTIF('Override Control Env1'!$C$9:$C$128,3)</f>
        <v>0.5714285714285714</v>
      </c>
      <c r="F10" s="379"/>
      <c r="G10" s="380"/>
    </row>
    <row r="11" spans="1:7" x14ac:dyDescent="0.25">
      <c r="A11" s="373"/>
      <c r="B11" s="167" t="s">
        <v>79</v>
      </c>
      <c r="C11" s="167">
        <f>COUNTIFS('Override Control Env1'!$C$9:$C$128,3,'Override Control Env1'!$L$9:$L$128,B11)</f>
        <v>6</v>
      </c>
      <c r="D11" s="168">
        <f>$C11/COUNTIF('Override Control Env1'!$C$9:$C$128,3)</f>
        <v>0.42857142857142855</v>
      </c>
      <c r="F11" s="379"/>
      <c r="G11" s="380"/>
    </row>
    <row r="12" spans="1:7" x14ac:dyDescent="0.25">
      <c r="A12" s="373"/>
      <c r="B12" s="167" t="s">
        <v>52</v>
      </c>
      <c r="C12" s="167">
        <f>COUNTIFS('Override Control Env1'!$C$9:$C$128,3,'Override Control Env1'!$L$9:$L$128,B12)</f>
        <v>0</v>
      </c>
      <c r="D12" s="168">
        <f>$C12/COUNTIF('Override Control Env1'!$C$9:$C$128,3)</f>
        <v>0</v>
      </c>
      <c r="F12" s="379"/>
      <c r="G12" s="380"/>
    </row>
    <row r="13" spans="1:7" ht="15.75" thickBot="1" x14ac:dyDescent="0.3">
      <c r="A13" s="374"/>
      <c r="B13" s="169" t="s">
        <v>790</v>
      </c>
      <c r="C13" s="169">
        <f>COUNTIFS('Override Control Env1'!$C$9:$C$128,3,'Override Control Env1'!$L$9:$L$128,B13)</f>
        <v>0</v>
      </c>
      <c r="D13" s="170">
        <f>$C13/COUNTIF('Override Control Env1'!$C$9:$C$128,3)</f>
        <v>0</v>
      </c>
      <c r="F13" s="381"/>
      <c r="G13" s="382"/>
    </row>
    <row r="14" spans="1:7" x14ac:dyDescent="0.25">
      <c r="A14" s="375" t="s">
        <v>795</v>
      </c>
      <c r="B14" s="171" t="s">
        <v>77</v>
      </c>
      <c r="C14" s="171">
        <f>COUNTIFS('Override Control Env1'!$C$9:$C$128,4,'Override Control Env1'!$L$9:$L$128,B14)</f>
        <v>25</v>
      </c>
      <c r="D14" s="172">
        <f>$C14/COUNTIF('Override Control Env1'!$C$9:$C$128,4)</f>
        <v>0.58139534883720934</v>
      </c>
    </row>
    <row r="15" spans="1:7" x14ac:dyDescent="0.25">
      <c r="A15" s="373"/>
      <c r="B15" s="167" t="s">
        <v>79</v>
      </c>
      <c r="C15" s="167">
        <f>COUNTIFS('Override Control Env1'!$C$9:$C$128,4,'Override Control Env1'!$L$9:$L$128,B15)</f>
        <v>17</v>
      </c>
      <c r="D15" s="168">
        <f>$C15/COUNTIF('Override Control Env1'!$C$9:$C$128,4)</f>
        <v>0.39534883720930231</v>
      </c>
    </row>
    <row r="16" spans="1:7" x14ac:dyDescent="0.25">
      <c r="A16" s="373"/>
      <c r="B16" s="167" t="s">
        <v>52</v>
      </c>
      <c r="C16" s="167">
        <f>COUNTIFS('Override Control Env1'!$C$9:$C$128,4,'Override Control Env1'!$L$9:$L$128,B16)</f>
        <v>1</v>
      </c>
      <c r="D16" s="168">
        <f>$C16/COUNTIF('Override Control Env1'!$C$9:$C$128,4)</f>
        <v>2.3255813953488372E-2</v>
      </c>
    </row>
    <row r="17" spans="1:7" ht="15.75" thickBot="1" x14ac:dyDescent="0.3">
      <c r="A17" s="374"/>
      <c r="B17" s="169" t="s">
        <v>790</v>
      </c>
      <c r="C17" s="169">
        <f>COUNTIFS('Override Control Env1'!$C$9:$C$128,4,'Override Control Env1'!$L$9:$L$128,B17)</f>
        <v>0</v>
      </c>
      <c r="D17" s="170">
        <f>$C17/COUNTIF('Override Control Env1'!$C$9:$C$128,4)</f>
        <v>0</v>
      </c>
    </row>
    <row r="18" spans="1:7" ht="15.75" thickBot="1" x14ac:dyDescent="0.3"/>
    <row r="19" spans="1:7" ht="15.75" thickBot="1" x14ac:dyDescent="0.3">
      <c r="A19" s="161">
        <f>Scope!$D$4</f>
        <v>0</v>
      </c>
      <c r="B19" s="191" t="s">
        <v>95</v>
      </c>
      <c r="C19" s="191" t="s">
        <v>784</v>
      </c>
      <c r="D19" s="192" t="s">
        <v>785</v>
      </c>
      <c r="F19" s="377" t="s">
        <v>786</v>
      </c>
      <c r="G19" s="378"/>
    </row>
    <row r="20" spans="1:7" x14ac:dyDescent="0.25">
      <c r="A20" s="372" t="s">
        <v>74</v>
      </c>
      <c r="B20" s="163" t="s">
        <v>77</v>
      </c>
      <c r="C20" s="163">
        <f>COUNTIFS('Override Control Env2'!$C$9:$C$128,1,'Override Control Env2'!$L$9:$L$128,B20)</f>
        <v>0</v>
      </c>
      <c r="D20" s="164">
        <f>$C20/COUNTIF('Override Control Env2'!$C$9:$C$128,1)</f>
        <v>0</v>
      </c>
      <c r="F20" s="165" t="s">
        <v>787</v>
      </c>
      <c r="G20" s="166" t="str">
        <f>IF(AND($C$21=0,$C$25=0,$C$29=0),"True",IF(AND($C$21=0,($C$25+$C$29)/(COUNTIF('Override Control Env2'!$C$9:$C$128,2)+COUNTIF('Override Control Env2'!$C$9:$C$128,3))&lt;=0.25),"True","False"))</f>
        <v>True</v>
      </c>
    </row>
    <row r="21" spans="1:7" x14ac:dyDescent="0.25">
      <c r="A21" s="373"/>
      <c r="B21" s="167" t="s">
        <v>79</v>
      </c>
      <c r="C21" s="167">
        <f>COUNTIFS('Override Control Env2'!$C$9:$C$128,1,'Override Control Env2'!$L$9:$L$128,B21)</f>
        <v>0</v>
      </c>
      <c r="D21" s="168">
        <f>$C21/COUNTIF('Override Control Env2'!$C$9:$C$128,1)</f>
        <v>0</v>
      </c>
      <c r="F21" s="165" t="s">
        <v>788</v>
      </c>
      <c r="G21" s="166" t="str">
        <f>IF(AND($C$21=0,$G$20="False",($C$25+$C$29)/(COUNTIF('Override Control Env2'!$C$9:$C$128,2)+COUNTIF('Override Control Env2'!$C$9:$C$128,3))&lt;=0.5),"True","False")</f>
        <v>False</v>
      </c>
    </row>
    <row r="22" spans="1:7" x14ac:dyDescent="0.25">
      <c r="A22" s="373"/>
      <c r="B22" s="167" t="s">
        <v>52</v>
      </c>
      <c r="C22" s="167">
        <f>COUNTIFS('Override Control Env2'!$C$9:$C$128,1,'Override Control Env2'!$L$9:$L$128,B22)</f>
        <v>0</v>
      </c>
      <c r="D22" s="168">
        <f>$C22/COUNTIF('Override Control Env2'!$C$9:$C$128,1)</f>
        <v>0</v>
      </c>
      <c r="F22" s="165" t="s">
        <v>789</v>
      </c>
      <c r="G22" s="166" t="str">
        <f>IF(AND($C$21=0,$G$20="False",$G$21="False",($C$25+$C$29)/(COUNTIF('Override Control Env2'!$C$9:$C$128,2)+COUNTIF('Override Control Env2'!$C$9:$C$128,3))&gt;0.5),"True",IF(AND($C$21=1,$C$25=0,$C$29=0),"True","False"))</f>
        <v>False</v>
      </c>
    </row>
    <row r="23" spans="1:7" ht="15.75" thickBot="1" x14ac:dyDescent="0.3">
      <c r="A23" s="374"/>
      <c r="B23" s="169" t="s">
        <v>790</v>
      </c>
      <c r="C23" s="169">
        <f>COUNTIFS('Override Control Env2'!$C$9:$C$128,1,'Override Control Env2'!$L$9:$L$128,B23)</f>
        <v>38</v>
      </c>
      <c r="D23" s="170">
        <f>$C23/COUNTIF('Override Control Env2'!$C$9:$C$128,1)</f>
        <v>1</v>
      </c>
      <c r="F23" s="165" t="s">
        <v>791</v>
      </c>
      <c r="G23" s="166" t="str">
        <f>IF($C$21&gt;1,"True",IF(AND($C$21=1,$C$25+$C$29&gt;0),"True","False"))</f>
        <v>False</v>
      </c>
    </row>
    <row r="24" spans="1:7" ht="15.75" thickBot="1" x14ac:dyDescent="0.3">
      <c r="A24" s="375" t="s">
        <v>76</v>
      </c>
      <c r="B24" s="171" t="s">
        <v>77</v>
      </c>
      <c r="C24" s="171">
        <f>COUNTIFS('Override Control Env2'!$C$9:$C$128,2,'Override Control Env2'!$L$9:$L$128,B24)</f>
        <v>0</v>
      </c>
      <c r="D24" s="172">
        <f>$C24/COUNTIF('Override Control Env2'!$C$9:$C$128,2)</f>
        <v>0</v>
      </c>
      <c r="F24" s="173" t="s">
        <v>792</v>
      </c>
      <c r="G24" s="174"/>
    </row>
    <row r="25" spans="1:7" ht="15.75" thickBot="1" x14ac:dyDescent="0.3">
      <c r="A25" s="373"/>
      <c r="B25" s="167" t="s">
        <v>79</v>
      </c>
      <c r="C25" s="167">
        <f>COUNTIFS('Override Control Env2'!$C$9:$C$128,2,'Override Control Env2'!$L$9:$L$128,B25)</f>
        <v>0</v>
      </c>
      <c r="D25" s="168">
        <f>$C25/COUNTIF('Override Control Env2'!$C$9:$C$128,2)</f>
        <v>0</v>
      </c>
    </row>
    <row r="26" spans="1:7" x14ac:dyDescent="0.25">
      <c r="A26" s="373"/>
      <c r="B26" s="167" t="s">
        <v>52</v>
      </c>
      <c r="C26" s="167">
        <f>COUNTIFS('Override Control Env2'!$C$9:$C$128,2,'Override Control Env2'!$L$9:$L$128,B26)</f>
        <v>0</v>
      </c>
      <c r="D26" s="168">
        <f>$C26/COUNTIF('Override Control Env2'!$C$9:$C$128,2)</f>
        <v>0</v>
      </c>
      <c r="F26" s="377" t="s">
        <v>793</v>
      </c>
      <c r="G26" s="378"/>
    </row>
    <row r="27" spans="1:7" ht="15.75" thickBot="1" x14ac:dyDescent="0.3">
      <c r="A27" s="376"/>
      <c r="B27" s="175" t="s">
        <v>790</v>
      </c>
      <c r="C27" s="175">
        <f>COUNTIFS('Override Control Env2'!$C$9:$C$128,2,'Override Control Env2'!$L$9:$L$128,B27)</f>
        <v>25</v>
      </c>
      <c r="D27" s="176">
        <f>$C27/COUNTIF('Override Control Env2'!$C$9:$C$128,2)</f>
        <v>1</v>
      </c>
      <c r="F27" s="379" t="str">
        <f>IF($G$20="True","A",IF($G$21="True","B",IF($G$22="True","C",IF($G$23="True","D","Error"))))</f>
        <v>A</v>
      </c>
      <c r="G27" s="380"/>
    </row>
    <row r="28" spans="1:7" x14ac:dyDescent="0.25">
      <c r="A28" s="372" t="s">
        <v>794</v>
      </c>
      <c r="B28" s="163" t="s">
        <v>77</v>
      </c>
      <c r="C28" s="163">
        <f>COUNTIFS('Override Control Env2'!$C$9:$C$128,3,'Override Control Env2'!$L$9:$L$128,B28)</f>
        <v>0</v>
      </c>
      <c r="D28" s="164">
        <f>$C28/COUNTIF('Override Control Env2'!$C$9:$C$128,3)</f>
        <v>0</v>
      </c>
      <c r="F28" s="379"/>
      <c r="G28" s="380"/>
    </row>
    <row r="29" spans="1:7" x14ac:dyDescent="0.25">
      <c r="A29" s="373"/>
      <c r="B29" s="167" t="s">
        <v>79</v>
      </c>
      <c r="C29" s="167">
        <f>COUNTIFS('Override Control Env2'!$C$9:$C$128,3,'Override Control Env2'!$L$9:$L$128,B29)</f>
        <v>0</v>
      </c>
      <c r="D29" s="168">
        <f>$C29/COUNTIF('Override Control Env2'!$C$9:$C$128,3)</f>
        <v>0</v>
      </c>
      <c r="F29" s="379"/>
      <c r="G29" s="380"/>
    </row>
    <row r="30" spans="1:7" x14ac:dyDescent="0.25">
      <c r="A30" s="373"/>
      <c r="B30" s="167" t="s">
        <v>52</v>
      </c>
      <c r="C30" s="167">
        <f>COUNTIFS('Override Control Env2'!$C$9:$C$128,3,'Override Control Env2'!$L$9:$L$128,B30)</f>
        <v>0</v>
      </c>
      <c r="D30" s="168">
        <f>$C30/COUNTIF('Override Control Env2'!$C$9:$C$128,3)</f>
        <v>0</v>
      </c>
      <c r="F30" s="379"/>
      <c r="G30" s="380"/>
    </row>
    <row r="31" spans="1:7" ht="15.75" thickBot="1" x14ac:dyDescent="0.3">
      <c r="A31" s="374"/>
      <c r="B31" s="169" t="s">
        <v>790</v>
      </c>
      <c r="C31" s="169">
        <f>COUNTIFS('Override Control Env2'!$C$9:$C$128,3,'Override Control Env2'!$L$9:$L$128,B31)</f>
        <v>14</v>
      </c>
      <c r="D31" s="170">
        <f>$C31/COUNTIF('Override Control Env2'!$C$9:$C$128,3)</f>
        <v>1</v>
      </c>
      <c r="F31" s="381"/>
      <c r="G31" s="382"/>
    </row>
    <row r="32" spans="1:7" x14ac:dyDescent="0.25">
      <c r="A32" s="375" t="s">
        <v>795</v>
      </c>
      <c r="B32" s="171" t="s">
        <v>77</v>
      </c>
      <c r="C32" s="171">
        <f>COUNTIFS('Override Control Env2'!$C$9:$C$128,4,'Override Control Env2'!$L$9:$L$128,B32)</f>
        <v>0</v>
      </c>
      <c r="D32" s="172">
        <f>$C32/COUNTIF('Override Control Env2'!$C$9:$C$128,4)</f>
        <v>0</v>
      </c>
    </row>
    <row r="33" spans="1:7" x14ac:dyDescent="0.25">
      <c r="A33" s="373"/>
      <c r="B33" s="167" t="s">
        <v>79</v>
      </c>
      <c r="C33" s="167">
        <f>COUNTIFS('Override Control Env2'!$C$9:$C$128,4,'Override Control Env2'!$L$9:$L$128,B33)</f>
        <v>0</v>
      </c>
      <c r="D33" s="168">
        <f>$C33/COUNTIF('Override Control Env2'!$C$9:$C$128,4)</f>
        <v>0</v>
      </c>
    </row>
    <row r="34" spans="1:7" x14ac:dyDescent="0.25">
      <c r="A34" s="373"/>
      <c r="B34" s="167" t="s">
        <v>52</v>
      </c>
      <c r="C34" s="167">
        <f>COUNTIFS('Override Control Env2'!$C$9:$C$128,4,'Override Control Env2'!$L$9:$L$128,B34)</f>
        <v>0</v>
      </c>
      <c r="D34" s="168">
        <f>$C34/COUNTIF('Override Control Env2'!$C$9:$C$128,4)</f>
        <v>0</v>
      </c>
    </row>
    <row r="35" spans="1:7" ht="15.75" thickBot="1" x14ac:dyDescent="0.3">
      <c r="A35" s="374"/>
      <c r="B35" s="169" t="s">
        <v>790</v>
      </c>
      <c r="C35" s="169">
        <f>COUNTIFS('Override Control Env2'!$C$9:$C$128,4,'Override Control Env2'!$L$9:$L$128,B35)</f>
        <v>43</v>
      </c>
      <c r="D35" s="170">
        <f>$C35/COUNTIF('Override Control Env2'!$C$9:$C$128,4)</f>
        <v>1</v>
      </c>
    </row>
    <row r="36" spans="1:7" ht="15.75" thickBot="1" x14ac:dyDescent="0.3"/>
    <row r="37" spans="1:7" ht="15.75" thickBot="1" x14ac:dyDescent="0.3">
      <c r="A37" s="161">
        <f>Scope!$F$4</f>
        <v>0</v>
      </c>
      <c r="B37" s="191" t="s">
        <v>95</v>
      </c>
      <c r="C37" s="191" t="s">
        <v>784</v>
      </c>
      <c r="D37" s="192" t="s">
        <v>785</v>
      </c>
      <c r="F37" s="377" t="s">
        <v>786</v>
      </c>
      <c r="G37" s="378"/>
    </row>
    <row r="38" spans="1:7" x14ac:dyDescent="0.25">
      <c r="A38" s="372" t="s">
        <v>74</v>
      </c>
      <c r="B38" s="163" t="s">
        <v>77</v>
      </c>
      <c r="C38" s="163">
        <f>COUNTIFS('Override Control Env3'!$C$9:$C$128,1,'Override Control Env3'!$L$9:$L$128,B38)</f>
        <v>0</v>
      </c>
      <c r="D38" s="164">
        <f>$C38/COUNTIF('Override Control Env3'!$C$9:$C$128,1)</f>
        <v>0</v>
      </c>
      <c r="F38" s="165" t="s">
        <v>787</v>
      </c>
      <c r="G38" s="166" t="str">
        <f>IF(AND($C$39=0,$C$43=0,$C$47=0),"True",IF(AND($C$39=0,($C$43+$C$47)/(COUNTIF('Override Control Env3'!$C$9:$C$128,2)+COUNTIF('Override Control Env3'!$C$9:$C$128,3))&lt;=0.25),"True","False"))</f>
        <v>True</v>
      </c>
    </row>
    <row r="39" spans="1:7" x14ac:dyDescent="0.25">
      <c r="A39" s="373"/>
      <c r="B39" s="167" t="s">
        <v>79</v>
      </c>
      <c r="C39" s="167">
        <f>COUNTIFS('Override Control Env3'!$C$9:$C$128,1,'Override Control Env3'!$L$9:$L$128,B39)</f>
        <v>0</v>
      </c>
      <c r="D39" s="168">
        <f>$C39/COUNTIF('Override Control Env3'!$C$9:$C$128,1)</f>
        <v>0</v>
      </c>
      <c r="F39" s="165" t="s">
        <v>788</v>
      </c>
      <c r="G39" s="166" t="str">
        <f>IF(AND($C$39=0,$G$38="False",($C$43+$C$47)/(COUNTIF('Override Control Env3'!$C$9:$C$128,2)+COUNTIF('Override Control Env3'!$C$9:$C$128,3))&lt;=0.5),"True","False")</f>
        <v>False</v>
      </c>
    </row>
    <row r="40" spans="1:7" x14ac:dyDescent="0.25">
      <c r="A40" s="373"/>
      <c r="B40" s="167" t="s">
        <v>52</v>
      </c>
      <c r="C40" s="167">
        <f>COUNTIFS('Override Control Env3'!$C$9:$C$128,1,'Override Control Env3'!$L$9:$L$128,B40)</f>
        <v>0</v>
      </c>
      <c r="D40" s="168">
        <f>$C40/COUNTIF('Override Control Env3'!$C$9:$C$128,1)</f>
        <v>0</v>
      </c>
      <c r="F40" s="165" t="s">
        <v>789</v>
      </c>
      <c r="G40" s="166" t="str">
        <f>IF(AND($C$39=0,$G$38="False",$G$39="False",($C$43+$C$47)/(COUNTIF('Override Control Env3'!$C$9:$C$128,2)+COUNTIF('Override Control Env3'!$C$9:$C$128,3))&gt;0.5),"True",IF(AND($C$39=1,$C$43=0,$C$47=0),"True","False"))</f>
        <v>False</v>
      </c>
    </row>
    <row r="41" spans="1:7" ht="15.75" thickBot="1" x14ac:dyDescent="0.3">
      <c r="A41" s="374"/>
      <c r="B41" s="169" t="s">
        <v>790</v>
      </c>
      <c r="C41" s="169">
        <f>COUNTIFS('Override Control Env3'!$C$9:$C$128,1,'Override Control Env3'!$L$9:$L$128,B41)</f>
        <v>38</v>
      </c>
      <c r="D41" s="170">
        <f>$C41/COUNTIF('Override Control Env3'!$C$9:$C$128,1)</f>
        <v>1</v>
      </c>
      <c r="F41" s="165" t="s">
        <v>791</v>
      </c>
      <c r="G41" s="166" t="str">
        <f>IF($C$39&gt;1,"True",IF(AND($C$39=1,$C$43+$C$47&gt;0),"True","False"))</f>
        <v>False</v>
      </c>
    </row>
    <row r="42" spans="1:7" ht="15.75" thickBot="1" x14ac:dyDescent="0.3">
      <c r="A42" s="375" t="s">
        <v>76</v>
      </c>
      <c r="B42" s="171" t="s">
        <v>77</v>
      </c>
      <c r="C42" s="171">
        <f>COUNTIFS('Override Control Env3'!$C$9:$C$128,2,'Override Control Env3'!$L$9:$L$128,B42)</f>
        <v>0</v>
      </c>
      <c r="D42" s="172">
        <f>$C42/COUNTIF('Override Control Env3'!$C$9:$C$128,2)</f>
        <v>0</v>
      </c>
      <c r="F42" s="173" t="s">
        <v>792</v>
      </c>
      <c r="G42" s="174"/>
    </row>
    <row r="43" spans="1:7" ht="15.75" thickBot="1" x14ac:dyDescent="0.3">
      <c r="A43" s="373"/>
      <c r="B43" s="167" t="s">
        <v>79</v>
      </c>
      <c r="C43" s="167">
        <f>COUNTIFS('Override Control Env3'!$C$9:$C$128,2,'Override Control Env3'!$L$9:$L$128,B43)</f>
        <v>0</v>
      </c>
      <c r="D43" s="168">
        <f>$C43/COUNTIF('Override Control Env3'!$C$9:$C$128,2)</f>
        <v>0</v>
      </c>
    </row>
    <row r="44" spans="1:7" x14ac:dyDescent="0.25">
      <c r="A44" s="373"/>
      <c r="B44" s="167" t="s">
        <v>52</v>
      </c>
      <c r="C44" s="167">
        <f>COUNTIFS('Override Control Env3'!$C$9:$C$128,2,'Override Control Env3'!$L$9:$L$128,B44)</f>
        <v>0</v>
      </c>
      <c r="D44" s="168">
        <f>$C44/COUNTIF('Override Control Env3'!$C$9:$C$128,2)</f>
        <v>0</v>
      </c>
      <c r="F44" s="377" t="s">
        <v>793</v>
      </c>
      <c r="G44" s="378"/>
    </row>
    <row r="45" spans="1:7" ht="15.75" thickBot="1" x14ac:dyDescent="0.3">
      <c r="A45" s="376"/>
      <c r="B45" s="175" t="s">
        <v>790</v>
      </c>
      <c r="C45" s="175">
        <f>COUNTIFS('Override Control Env3'!$C$9:$C$128,2,'Override Control Env3'!$L$9:$L$128,B45)</f>
        <v>25</v>
      </c>
      <c r="D45" s="176">
        <f>$C45/COUNTIF('Override Control Env3'!$C$9:$C$128,2)</f>
        <v>1</v>
      </c>
      <c r="F45" s="379" t="str">
        <f>IF($G$38="True","A",IF($G$39="True","B",IF($G$40="True","C",IF($G$41="True","D","Error"))))</f>
        <v>A</v>
      </c>
      <c r="G45" s="380"/>
    </row>
    <row r="46" spans="1:7" x14ac:dyDescent="0.25">
      <c r="A46" s="372" t="s">
        <v>794</v>
      </c>
      <c r="B46" s="163" t="s">
        <v>77</v>
      </c>
      <c r="C46" s="163">
        <f>COUNTIFS('Override Control Env3'!$C$9:$C$128,3,'Override Control Env3'!$L$9:$L$128,B46)</f>
        <v>0</v>
      </c>
      <c r="D46" s="164">
        <f>$C46/COUNTIF('Override Control Env3'!$C$9:$C$128,3)</f>
        <v>0</v>
      </c>
      <c r="F46" s="379"/>
      <c r="G46" s="380"/>
    </row>
    <row r="47" spans="1:7" x14ac:dyDescent="0.25">
      <c r="A47" s="373"/>
      <c r="B47" s="167" t="s">
        <v>79</v>
      </c>
      <c r="C47" s="167">
        <f>COUNTIFS('Override Control Env3'!$C$9:$C$128,3,'Override Control Env3'!$L$9:$L$128,B47)</f>
        <v>0</v>
      </c>
      <c r="D47" s="168">
        <f>$C47/COUNTIF('Override Control Env3'!$C$9:$C$128,3)</f>
        <v>0</v>
      </c>
      <c r="F47" s="379"/>
      <c r="G47" s="380"/>
    </row>
    <row r="48" spans="1:7" x14ac:dyDescent="0.25">
      <c r="A48" s="373"/>
      <c r="B48" s="167" t="s">
        <v>52</v>
      </c>
      <c r="C48" s="167">
        <f>COUNTIFS('Override Control Env3'!$C$9:$C$128,3,'Override Control Env3'!$L$9:$L$128,B48)</f>
        <v>0</v>
      </c>
      <c r="D48" s="168">
        <f>$C48/COUNTIF('Override Control Env3'!$C$9:$C$128,3)</f>
        <v>0</v>
      </c>
      <c r="F48" s="379"/>
      <c r="G48" s="380"/>
    </row>
    <row r="49" spans="1:7" ht="15.75" thickBot="1" x14ac:dyDescent="0.3">
      <c r="A49" s="374"/>
      <c r="B49" s="169" t="s">
        <v>790</v>
      </c>
      <c r="C49" s="169">
        <f>COUNTIFS('Override Control Env3'!$C$9:$C$128,3,'Override Control Env3'!$L$9:$L$128,B49)</f>
        <v>14</v>
      </c>
      <c r="D49" s="170">
        <f>$C49/COUNTIF('Override Control Env3'!$C$9:$C$128,3)</f>
        <v>1</v>
      </c>
      <c r="F49" s="381"/>
      <c r="G49" s="382"/>
    </row>
    <row r="50" spans="1:7" x14ac:dyDescent="0.25">
      <c r="A50" s="375" t="s">
        <v>795</v>
      </c>
      <c r="B50" s="171" t="s">
        <v>77</v>
      </c>
      <c r="C50" s="171">
        <f>COUNTIFS('Override Control Env3'!$C$9:$C$128,4,'Override Control Env3'!$L$9:$L$128,B50)</f>
        <v>0</v>
      </c>
      <c r="D50" s="172">
        <f>$C50/COUNTIF('Override Control Env3'!$C$9:$C$128,4)</f>
        <v>0</v>
      </c>
    </row>
    <row r="51" spans="1:7" x14ac:dyDescent="0.25">
      <c r="A51" s="373"/>
      <c r="B51" s="167" t="s">
        <v>79</v>
      </c>
      <c r="C51" s="167">
        <f>COUNTIFS('Override Control Env3'!$C$9:$C$128,4,'Override Control Env3'!$L$9:$L$128,B51)</f>
        <v>0</v>
      </c>
      <c r="D51" s="168">
        <f>$C51/COUNTIF('Override Control Env3'!$C$9:$C$128,4)</f>
        <v>0</v>
      </c>
    </row>
    <row r="52" spans="1:7" x14ac:dyDescent="0.25">
      <c r="A52" s="373"/>
      <c r="B52" s="167" t="s">
        <v>52</v>
      </c>
      <c r="C52" s="167">
        <f>COUNTIFS('Override Control Env3'!$C$9:$C$128,4,'Override Control Env3'!$L$9:$L$128,B52)</f>
        <v>0</v>
      </c>
      <c r="D52" s="168">
        <f>$C52/COUNTIF('Override Control Env3'!$C$9:$C$128,4)</f>
        <v>0</v>
      </c>
    </row>
    <row r="53" spans="1:7" ht="15.75" thickBot="1" x14ac:dyDescent="0.3">
      <c r="A53" s="374"/>
      <c r="B53" s="169" t="s">
        <v>790</v>
      </c>
      <c r="C53" s="169">
        <f>COUNTIFS('Override Control Env3'!$C$9:$C$128,4,'Override Control Env3'!$L$9:$L$128,B53)</f>
        <v>43</v>
      </c>
      <c r="D53" s="170">
        <f>$C53/COUNTIF('Override Control Env3'!$C$9:$C$128,4)</f>
        <v>1</v>
      </c>
    </row>
    <row r="55" spans="1:7" x14ac:dyDescent="0.25">
      <c r="B55" s="193"/>
      <c r="C55" s="193"/>
      <c r="D55" s="193"/>
      <c r="F55" s="383"/>
      <c r="G55" s="383"/>
    </row>
    <row r="56" spans="1:7" x14ac:dyDescent="0.25">
      <c r="A56" s="384"/>
      <c r="D56" s="177"/>
    </row>
    <row r="57" spans="1:7" x14ac:dyDescent="0.25">
      <c r="A57" s="384"/>
      <c r="D57" s="177"/>
    </row>
    <row r="58" spans="1:7" x14ac:dyDescent="0.25">
      <c r="A58" s="384"/>
      <c r="D58" s="177"/>
    </row>
    <row r="59" spans="1:7" x14ac:dyDescent="0.25">
      <c r="A59" s="384"/>
      <c r="D59" s="177"/>
    </row>
    <row r="60" spans="1:7" x14ac:dyDescent="0.25">
      <c r="A60" s="384"/>
      <c r="D60" s="177"/>
    </row>
    <row r="61" spans="1:7" x14ac:dyDescent="0.25">
      <c r="A61" s="384"/>
      <c r="D61" s="177"/>
    </row>
    <row r="62" spans="1:7" x14ac:dyDescent="0.25">
      <c r="A62" s="384"/>
      <c r="D62" s="177"/>
      <c r="F62" s="383"/>
      <c r="G62" s="383"/>
    </row>
    <row r="63" spans="1:7" x14ac:dyDescent="0.25">
      <c r="A63" s="384"/>
      <c r="D63" s="177"/>
      <c r="F63" s="385"/>
      <c r="G63" s="385"/>
    </row>
    <row r="64" spans="1:7" x14ac:dyDescent="0.25">
      <c r="A64" s="384"/>
      <c r="D64" s="177"/>
      <c r="F64" s="385"/>
      <c r="G64" s="385"/>
    </row>
    <row r="65" spans="1:7" x14ac:dyDescent="0.25">
      <c r="A65" s="384"/>
      <c r="D65" s="177"/>
      <c r="F65" s="385"/>
      <c r="G65" s="385"/>
    </row>
    <row r="66" spans="1:7" x14ac:dyDescent="0.25">
      <c r="A66" s="384"/>
      <c r="D66" s="177"/>
      <c r="F66" s="385"/>
      <c r="G66" s="385"/>
    </row>
    <row r="67" spans="1:7" x14ac:dyDescent="0.25">
      <c r="A67" s="384"/>
      <c r="D67" s="177"/>
      <c r="F67" s="385"/>
      <c r="G67" s="385"/>
    </row>
    <row r="68" spans="1:7" x14ac:dyDescent="0.25">
      <c r="A68" s="384"/>
      <c r="D68" s="177"/>
    </row>
    <row r="69" spans="1:7" x14ac:dyDescent="0.25">
      <c r="A69" s="384"/>
      <c r="D69" s="177"/>
    </row>
    <row r="70" spans="1:7" x14ac:dyDescent="0.25">
      <c r="A70" s="384"/>
      <c r="D70" s="177"/>
    </row>
    <row r="71" spans="1:7" x14ac:dyDescent="0.25">
      <c r="A71" s="384"/>
      <c r="D71" s="177"/>
    </row>
    <row r="73" spans="1:7" x14ac:dyDescent="0.25">
      <c r="B73" s="193"/>
      <c r="C73" s="193"/>
      <c r="D73" s="193"/>
      <c r="F73" s="383"/>
      <c r="G73" s="383"/>
    </row>
    <row r="74" spans="1:7" x14ac:dyDescent="0.25">
      <c r="A74" s="384"/>
      <c r="D74" s="177"/>
    </row>
    <row r="75" spans="1:7" x14ac:dyDescent="0.25">
      <c r="A75" s="384"/>
      <c r="D75" s="177"/>
    </row>
    <row r="76" spans="1:7" x14ac:dyDescent="0.25">
      <c r="A76" s="384"/>
      <c r="D76" s="177"/>
    </row>
    <row r="77" spans="1:7" x14ac:dyDescent="0.25">
      <c r="A77" s="384"/>
      <c r="D77" s="177"/>
    </row>
    <row r="78" spans="1:7" x14ac:dyDescent="0.25">
      <c r="A78" s="384"/>
      <c r="D78" s="177"/>
    </row>
    <row r="79" spans="1:7" x14ac:dyDescent="0.25">
      <c r="A79" s="384"/>
      <c r="D79" s="177"/>
    </row>
    <row r="80" spans="1:7" x14ac:dyDescent="0.25">
      <c r="A80" s="384"/>
      <c r="D80" s="177"/>
      <c r="F80" s="383"/>
      <c r="G80" s="383"/>
    </row>
    <row r="81" spans="1:7" x14ac:dyDescent="0.25">
      <c r="A81" s="384"/>
      <c r="D81" s="177"/>
      <c r="F81" s="385"/>
      <c r="G81" s="385"/>
    </row>
    <row r="82" spans="1:7" x14ac:dyDescent="0.25">
      <c r="A82" s="384"/>
      <c r="D82" s="177"/>
      <c r="F82" s="385"/>
      <c r="G82" s="385"/>
    </row>
    <row r="83" spans="1:7" x14ac:dyDescent="0.25">
      <c r="A83" s="384"/>
      <c r="D83" s="177"/>
      <c r="F83" s="385"/>
      <c r="G83" s="385"/>
    </row>
    <row r="84" spans="1:7" x14ac:dyDescent="0.25">
      <c r="A84" s="384"/>
      <c r="D84" s="177"/>
      <c r="F84" s="385"/>
      <c r="G84" s="385"/>
    </row>
    <row r="85" spans="1:7" x14ac:dyDescent="0.25">
      <c r="A85" s="384"/>
      <c r="D85" s="177"/>
      <c r="F85" s="385"/>
      <c r="G85" s="385"/>
    </row>
    <row r="86" spans="1:7" x14ac:dyDescent="0.25">
      <c r="A86" s="384"/>
      <c r="D86" s="177"/>
    </row>
    <row r="87" spans="1:7" x14ac:dyDescent="0.25">
      <c r="A87" s="384"/>
      <c r="D87" s="177"/>
    </row>
    <row r="88" spans="1:7" x14ac:dyDescent="0.25">
      <c r="A88" s="384"/>
      <c r="D88" s="177"/>
    </row>
    <row r="89" spans="1:7" x14ac:dyDescent="0.25">
      <c r="A89" s="384"/>
      <c r="D89" s="177"/>
    </row>
  </sheetData>
  <sheetProtection selectLockedCells="1"/>
  <mergeCells count="35">
    <mergeCell ref="A86:A89"/>
    <mergeCell ref="A68:A71"/>
    <mergeCell ref="F73:G73"/>
    <mergeCell ref="A74:A77"/>
    <mergeCell ref="A78:A81"/>
    <mergeCell ref="F80:G80"/>
    <mergeCell ref="F81:G85"/>
    <mergeCell ref="A82:A85"/>
    <mergeCell ref="A50:A53"/>
    <mergeCell ref="F55:G55"/>
    <mergeCell ref="A56:A59"/>
    <mergeCell ref="A60:A63"/>
    <mergeCell ref="F62:G62"/>
    <mergeCell ref="F63:G67"/>
    <mergeCell ref="A64:A67"/>
    <mergeCell ref="A32:A35"/>
    <mergeCell ref="F37:G37"/>
    <mergeCell ref="A38:A41"/>
    <mergeCell ref="A42:A45"/>
    <mergeCell ref="F44:G44"/>
    <mergeCell ref="F45:G49"/>
    <mergeCell ref="A46:A49"/>
    <mergeCell ref="F19:G19"/>
    <mergeCell ref="A20:A23"/>
    <mergeCell ref="A24:A27"/>
    <mergeCell ref="F26:G26"/>
    <mergeCell ref="F27:G31"/>
    <mergeCell ref="A28:A31"/>
    <mergeCell ref="A2:A5"/>
    <mergeCell ref="A6:A9"/>
    <mergeCell ref="A10:A13"/>
    <mergeCell ref="A14:A17"/>
    <mergeCell ref="F1:G1"/>
    <mergeCell ref="F8:G8"/>
    <mergeCell ref="F9:G13"/>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5"/>
  <sheetViews>
    <sheetView showGridLines="0" topLeftCell="A64" workbookViewId="0">
      <selection activeCell="C81" sqref="C81"/>
    </sheetView>
  </sheetViews>
  <sheetFormatPr defaultRowHeight="15" x14ac:dyDescent="0.25"/>
  <cols>
    <col min="1" max="1" width="22.42578125" bestFit="1" customWidth="1"/>
  </cols>
  <sheetData>
    <row r="1" spans="1:3" x14ac:dyDescent="0.25">
      <c r="A1" s="386" t="s">
        <v>773</v>
      </c>
      <c r="B1" s="55" t="s">
        <v>19</v>
      </c>
      <c r="C1" s="55">
        <f>COUNTIF('Override Control Env1'!$I$9:$I$19,B1)</f>
        <v>7</v>
      </c>
    </row>
    <row r="2" spans="1:3" x14ac:dyDescent="0.25">
      <c r="A2" s="386"/>
      <c r="B2" s="55" t="s">
        <v>30</v>
      </c>
      <c r="C2" s="55">
        <f>COUNTIF('Override Control Env1'!$I$9:$I$19,B2)</f>
        <v>4</v>
      </c>
    </row>
    <row r="3" spans="1:3" x14ac:dyDescent="0.25">
      <c r="A3" s="386"/>
      <c r="B3" s="55" t="s">
        <v>41</v>
      </c>
      <c r="C3" s="55">
        <f>COUNTIF('Override Control Env1'!$I$9:$I$19,B3)</f>
        <v>0</v>
      </c>
    </row>
    <row r="4" spans="1:3" x14ac:dyDescent="0.25">
      <c r="A4" s="386"/>
      <c r="B4" s="55" t="s">
        <v>52</v>
      </c>
      <c r="C4" s="55">
        <f>COUNTIF('Override Control Env1'!$I$9:$I$19,B4)</f>
        <v>0</v>
      </c>
    </row>
    <row r="5" spans="1:3" x14ac:dyDescent="0.25">
      <c r="A5" s="386"/>
      <c r="B5" s="55" t="s">
        <v>790</v>
      </c>
      <c r="C5" s="55">
        <f>COUNTIF('Override Control Env1'!$I$9:$I$19,0)</f>
        <v>0</v>
      </c>
    </row>
    <row r="6" spans="1:3" x14ac:dyDescent="0.25">
      <c r="A6" s="386" t="s">
        <v>391</v>
      </c>
      <c r="B6" s="55" t="s">
        <v>19</v>
      </c>
      <c r="C6" s="55">
        <f>COUNTIF('Override Control Env1'!$I$20:$I$24,B6)</f>
        <v>3</v>
      </c>
    </row>
    <row r="7" spans="1:3" x14ac:dyDescent="0.25">
      <c r="A7" s="386"/>
      <c r="B7" s="55" t="s">
        <v>30</v>
      </c>
      <c r="C7" s="55">
        <f>COUNTIF('Override Control Env1'!$I$20:$I$24,B7)</f>
        <v>2</v>
      </c>
    </row>
    <row r="8" spans="1:3" x14ac:dyDescent="0.25">
      <c r="A8" s="386"/>
      <c r="B8" s="55" t="s">
        <v>41</v>
      </c>
      <c r="C8" s="55">
        <f>COUNTIF('Override Control Env1'!$I$20:$I$24,B8)</f>
        <v>0</v>
      </c>
    </row>
    <row r="9" spans="1:3" x14ac:dyDescent="0.25">
      <c r="A9" s="386"/>
      <c r="B9" s="55" t="s">
        <v>52</v>
      </c>
      <c r="C9" s="55">
        <f>COUNTIF('Override Control Env1'!$I$20:$I$24,B9)</f>
        <v>0</v>
      </c>
    </row>
    <row r="10" spans="1:3" x14ac:dyDescent="0.25">
      <c r="A10" s="386"/>
      <c r="B10" s="55" t="s">
        <v>790</v>
      </c>
      <c r="C10" s="55">
        <f>COUNTIF('Override Control Env1'!$I$20:$I$24,0)</f>
        <v>0</v>
      </c>
    </row>
    <row r="11" spans="1:3" x14ac:dyDescent="0.25">
      <c r="A11" s="386" t="s">
        <v>412</v>
      </c>
      <c r="B11" s="55" t="s">
        <v>19</v>
      </c>
      <c r="C11" s="55">
        <f>COUNTIF('Override Control Env1'!$I$25:$I$33,B11)</f>
        <v>5</v>
      </c>
    </row>
    <row r="12" spans="1:3" x14ac:dyDescent="0.25">
      <c r="A12" s="386"/>
      <c r="B12" s="55" t="s">
        <v>30</v>
      </c>
      <c r="C12" s="55">
        <f>COUNTIF('Override Control Env1'!$I$25:$I$33,B12)</f>
        <v>4</v>
      </c>
    </row>
    <row r="13" spans="1:3" x14ac:dyDescent="0.25">
      <c r="A13" s="386"/>
      <c r="B13" s="55" t="s">
        <v>41</v>
      </c>
      <c r="C13" s="55">
        <f>COUNTIF('Override Control Env1'!$I$25:$I$33,B13)</f>
        <v>0</v>
      </c>
    </row>
    <row r="14" spans="1:3" x14ac:dyDescent="0.25">
      <c r="A14" s="386"/>
      <c r="B14" s="55" t="s">
        <v>52</v>
      </c>
      <c r="C14" s="55">
        <f>COUNTIF('Override Control Env1'!$I$25:$I$33,B14)</f>
        <v>0</v>
      </c>
    </row>
    <row r="15" spans="1:3" x14ac:dyDescent="0.25">
      <c r="A15" s="386"/>
      <c r="B15" s="55" t="s">
        <v>790</v>
      </c>
      <c r="C15" s="55">
        <f>COUNTIF('Override Control Env1'!$I$25:$I$33,0)</f>
        <v>0</v>
      </c>
    </row>
    <row r="16" spans="1:3" x14ac:dyDescent="0.25">
      <c r="A16" s="386" t="s">
        <v>796</v>
      </c>
      <c r="B16" s="55" t="s">
        <v>19</v>
      </c>
      <c r="C16" s="55" t="e">
        <f>COUNTIF('Override Control Env1'!#REF!,B16)</f>
        <v>#REF!</v>
      </c>
    </row>
    <row r="17" spans="1:3" x14ac:dyDescent="0.25">
      <c r="A17" s="386"/>
      <c r="B17" s="55" t="s">
        <v>30</v>
      </c>
      <c r="C17" s="55" t="e">
        <f>COUNTIF('Override Control Env1'!#REF!,B17)</f>
        <v>#REF!</v>
      </c>
    </row>
    <row r="18" spans="1:3" x14ac:dyDescent="0.25">
      <c r="A18" s="386"/>
      <c r="B18" s="55" t="s">
        <v>41</v>
      </c>
      <c r="C18" s="55" t="e">
        <f>COUNTIF('Override Control Env1'!#REF!,B18)</f>
        <v>#REF!</v>
      </c>
    </row>
    <row r="19" spans="1:3" x14ac:dyDescent="0.25">
      <c r="A19" s="386"/>
      <c r="B19" s="55" t="s">
        <v>52</v>
      </c>
      <c r="C19" s="55" t="e">
        <f>COUNTIF('Override Control Env1'!#REF!,B19)</f>
        <v>#REF!</v>
      </c>
    </row>
    <row r="20" spans="1:3" x14ac:dyDescent="0.25">
      <c r="A20" s="386"/>
      <c r="B20" s="55" t="s">
        <v>790</v>
      </c>
      <c r="C20" s="55" t="e">
        <f>COUNTIF('Override Control Env1'!#REF!,0)</f>
        <v>#REF!</v>
      </c>
    </row>
    <row r="21" spans="1:3" x14ac:dyDescent="0.25">
      <c r="A21" s="386" t="s">
        <v>797</v>
      </c>
      <c r="B21" s="55" t="s">
        <v>19</v>
      </c>
      <c r="C21" s="55">
        <f>COUNTIF('Override Control Env1'!$I$34:$I$56,B21)</f>
        <v>13</v>
      </c>
    </row>
    <row r="22" spans="1:3" x14ac:dyDescent="0.25">
      <c r="A22" s="386"/>
      <c r="B22" s="55" t="s">
        <v>30</v>
      </c>
      <c r="C22" s="55">
        <f>COUNTIF('Override Control Env1'!$I$34:$I$56,B22)</f>
        <v>8</v>
      </c>
    </row>
    <row r="23" spans="1:3" x14ac:dyDescent="0.25">
      <c r="A23" s="386"/>
      <c r="B23" s="55" t="s">
        <v>41</v>
      </c>
      <c r="C23" s="55">
        <f>COUNTIF('Override Control Env1'!$I$34:$I$56,B23)</f>
        <v>1</v>
      </c>
    </row>
    <row r="24" spans="1:3" x14ac:dyDescent="0.25">
      <c r="A24" s="386"/>
      <c r="B24" s="55" t="s">
        <v>52</v>
      </c>
      <c r="C24" s="55">
        <f>COUNTIF('Override Control Env1'!$I$34:$I$56,B24)</f>
        <v>1</v>
      </c>
    </row>
    <row r="25" spans="1:3" x14ac:dyDescent="0.25">
      <c r="A25" s="386"/>
      <c r="B25" s="55" t="s">
        <v>790</v>
      </c>
      <c r="C25" s="55">
        <f>COUNTIF('Override Control Env1'!$I$34:$I$56,B25)</f>
        <v>0</v>
      </c>
    </row>
    <row r="26" spans="1:3" x14ac:dyDescent="0.25">
      <c r="A26" s="386" t="s">
        <v>798</v>
      </c>
      <c r="B26" s="55" t="s">
        <v>19</v>
      </c>
      <c r="C26" s="55" t="e">
        <f>COUNTIF('Override Control Env1'!#REF!,B26)</f>
        <v>#REF!</v>
      </c>
    </row>
    <row r="27" spans="1:3" x14ac:dyDescent="0.25">
      <c r="A27" s="386"/>
      <c r="B27" s="55" t="s">
        <v>30</v>
      </c>
      <c r="C27" s="55" t="e">
        <f>COUNTIF('Override Control Env1'!#REF!,B27)</f>
        <v>#REF!</v>
      </c>
    </row>
    <row r="28" spans="1:3" x14ac:dyDescent="0.25">
      <c r="A28" s="386"/>
      <c r="B28" s="55" t="s">
        <v>41</v>
      </c>
      <c r="C28" s="55" t="e">
        <f>COUNTIF('Override Control Env1'!#REF!,B28)</f>
        <v>#REF!</v>
      </c>
    </row>
    <row r="29" spans="1:3" x14ac:dyDescent="0.25">
      <c r="A29" s="386"/>
      <c r="B29" s="55" t="s">
        <v>52</v>
      </c>
      <c r="C29" s="55" t="e">
        <f>COUNTIF('Override Control Env1'!#REF!,B29)</f>
        <v>#REF!</v>
      </c>
    </row>
    <row r="30" spans="1:3" x14ac:dyDescent="0.25">
      <c r="A30" s="386"/>
      <c r="B30" s="55" t="s">
        <v>790</v>
      </c>
      <c r="C30" s="55" t="e">
        <f>COUNTIF('Override Control Env1'!#REF!,0)</f>
        <v>#REF!</v>
      </c>
    </row>
    <row r="31" spans="1:3" x14ac:dyDescent="0.25">
      <c r="A31" s="387" t="s">
        <v>775</v>
      </c>
      <c r="B31" s="55" t="s">
        <v>19</v>
      </c>
      <c r="C31" s="55">
        <f>COUNTIF('Override Control Env1'!$I$59:$I$70,B31)</f>
        <v>8</v>
      </c>
    </row>
    <row r="32" spans="1:3" x14ac:dyDescent="0.25">
      <c r="A32" s="387"/>
      <c r="B32" s="55" t="s">
        <v>30</v>
      </c>
      <c r="C32" s="55">
        <f>COUNTIF('Override Control Env1'!$I$59:$I$70,B32)</f>
        <v>2</v>
      </c>
    </row>
    <row r="33" spans="1:3" x14ac:dyDescent="0.25">
      <c r="A33" s="387"/>
      <c r="B33" s="55" t="s">
        <v>41</v>
      </c>
      <c r="C33" s="55">
        <f>COUNTIF('Override Control Env1'!$I$59:$I$70,B33)</f>
        <v>0</v>
      </c>
    </row>
    <row r="34" spans="1:3" x14ac:dyDescent="0.25">
      <c r="A34" s="387"/>
      <c r="B34" s="55" t="s">
        <v>52</v>
      </c>
      <c r="C34" s="55">
        <f>COUNTIF('Override Control Env1'!$I$59:$I$70,B34)</f>
        <v>2</v>
      </c>
    </row>
    <row r="35" spans="1:3" x14ac:dyDescent="0.25">
      <c r="A35" s="387"/>
      <c r="B35" s="55" t="s">
        <v>790</v>
      </c>
      <c r="C35" s="55">
        <f>COUNTIF('Override Control Env1'!$I$59:$I$70,0)</f>
        <v>0</v>
      </c>
    </row>
    <row r="36" spans="1:3" x14ac:dyDescent="0.25">
      <c r="A36" s="386" t="s">
        <v>777</v>
      </c>
      <c r="B36" s="55" t="s">
        <v>19</v>
      </c>
      <c r="C36" s="55">
        <f>COUNTIF('Override Control Env1'!$I$71:$I$81,B36)</f>
        <v>9</v>
      </c>
    </row>
    <row r="37" spans="1:3" x14ac:dyDescent="0.25">
      <c r="A37" s="386"/>
      <c r="B37" s="55" t="s">
        <v>30</v>
      </c>
      <c r="C37" s="55">
        <f>COUNTIF('Override Control Env1'!$I$71:$I$81,B37)</f>
        <v>2</v>
      </c>
    </row>
    <row r="38" spans="1:3" x14ac:dyDescent="0.25">
      <c r="A38" s="386"/>
      <c r="B38" s="55" t="s">
        <v>41</v>
      </c>
      <c r="C38" s="55">
        <f>COUNTIF('Override Control Env1'!$I$71:$I$81,B38)</f>
        <v>0</v>
      </c>
    </row>
    <row r="39" spans="1:3" x14ac:dyDescent="0.25">
      <c r="A39" s="386"/>
      <c r="B39" s="55" t="s">
        <v>52</v>
      </c>
      <c r="C39" s="55">
        <f>COUNTIF('Override Control Env1'!$I$71:$I$81,B39)</f>
        <v>0</v>
      </c>
    </row>
    <row r="40" spans="1:3" x14ac:dyDescent="0.25">
      <c r="A40" s="386"/>
      <c r="B40" s="55" t="s">
        <v>790</v>
      </c>
      <c r="C40" s="55">
        <f>COUNTIF('Override Control Env1'!$I$71:$I$81,0)</f>
        <v>0</v>
      </c>
    </row>
    <row r="41" spans="1:3" x14ac:dyDescent="0.25">
      <c r="A41" s="386" t="s">
        <v>590</v>
      </c>
      <c r="B41" s="55" t="s">
        <v>19</v>
      </c>
      <c r="C41" s="55">
        <f>COUNTIF('Override Control Env1'!$I$82:$I$91,B41)</f>
        <v>9</v>
      </c>
    </row>
    <row r="42" spans="1:3" x14ac:dyDescent="0.25">
      <c r="A42" s="386"/>
      <c r="B42" s="55" t="s">
        <v>30</v>
      </c>
      <c r="C42" s="55">
        <f>COUNTIF('Override Control Env1'!$I$82:$I$91,B42)</f>
        <v>0</v>
      </c>
    </row>
    <row r="43" spans="1:3" x14ac:dyDescent="0.25">
      <c r="A43" s="386"/>
      <c r="B43" s="55" t="s">
        <v>41</v>
      </c>
      <c r="C43" s="55">
        <f>COUNTIF('Override Control Env1'!$I$82:$I$91,B43)</f>
        <v>1</v>
      </c>
    </row>
    <row r="44" spans="1:3" x14ac:dyDescent="0.25">
      <c r="A44" s="386"/>
      <c r="B44" s="55" t="s">
        <v>52</v>
      </c>
      <c r="C44" s="55">
        <f>COUNTIF('Override Control Env1'!$I$82:$I$91,B44)</f>
        <v>0</v>
      </c>
    </row>
    <row r="45" spans="1:3" x14ac:dyDescent="0.25">
      <c r="A45" s="386"/>
      <c r="B45" s="55" t="s">
        <v>790</v>
      </c>
      <c r="C45" s="55">
        <f>COUNTIF('Override Control Env1'!$I$82:$I$91,0)</f>
        <v>0</v>
      </c>
    </row>
    <row r="46" spans="1:3" x14ac:dyDescent="0.25">
      <c r="A46" s="386" t="s">
        <v>799</v>
      </c>
      <c r="B46" s="55" t="s">
        <v>19</v>
      </c>
      <c r="C46" s="55" t="e">
        <f>COUNTIF('Override Control Env1'!#REF!,B46)</f>
        <v>#REF!</v>
      </c>
    </row>
    <row r="47" spans="1:3" x14ac:dyDescent="0.25">
      <c r="A47" s="386"/>
      <c r="B47" s="55" t="s">
        <v>30</v>
      </c>
      <c r="C47" s="55" t="e">
        <f>COUNTIF('Override Control Env1'!#REF!,B47)</f>
        <v>#REF!</v>
      </c>
    </row>
    <row r="48" spans="1:3" x14ac:dyDescent="0.25">
      <c r="A48" s="386"/>
      <c r="B48" s="55" t="s">
        <v>41</v>
      </c>
      <c r="C48" s="55" t="e">
        <f>COUNTIF('Override Control Env1'!#REF!,B48)</f>
        <v>#REF!</v>
      </c>
    </row>
    <row r="49" spans="1:3" x14ac:dyDescent="0.25">
      <c r="A49" s="386"/>
      <c r="B49" s="55" t="s">
        <v>52</v>
      </c>
      <c r="C49" s="55" t="e">
        <f>COUNTIF('Override Control Env1'!#REF!,B49)</f>
        <v>#REF!</v>
      </c>
    </row>
    <row r="50" spans="1:3" x14ac:dyDescent="0.25">
      <c r="A50" s="386"/>
      <c r="B50" s="55" t="s">
        <v>790</v>
      </c>
      <c r="C50" s="55" t="e">
        <f>COUNTIF('Override Control Env1'!#REF!,0)</f>
        <v>#REF!</v>
      </c>
    </row>
    <row r="51" spans="1:3" x14ac:dyDescent="0.25">
      <c r="A51" s="386" t="s">
        <v>800</v>
      </c>
      <c r="B51" s="55" t="s">
        <v>19</v>
      </c>
      <c r="C51" s="55" t="e">
        <f>COUNTIF('Override Control Env1'!#REF!,B51)</f>
        <v>#REF!</v>
      </c>
    </row>
    <row r="52" spans="1:3" x14ac:dyDescent="0.25">
      <c r="A52" s="386"/>
      <c r="B52" s="55" t="s">
        <v>30</v>
      </c>
      <c r="C52" s="55" t="e">
        <f>COUNTIF('Override Control Env1'!#REF!,B52)</f>
        <v>#REF!</v>
      </c>
    </row>
    <row r="53" spans="1:3" x14ac:dyDescent="0.25">
      <c r="A53" s="386"/>
      <c r="B53" s="55" t="s">
        <v>41</v>
      </c>
      <c r="C53" s="55" t="e">
        <f>COUNTIF('Override Control Env1'!#REF!,B53)</f>
        <v>#REF!</v>
      </c>
    </row>
    <row r="54" spans="1:3" x14ac:dyDescent="0.25">
      <c r="A54" s="386"/>
      <c r="B54" s="55" t="s">
        <v>52</v>
      </c>
      <c r="C54" s="55" t="e">
        <f>COUNTIF('Override Control Env1'!#REF!,B54)</f>
        <v>#REF!</v>
      </c>
    </row>
    <row r="55" spans="1:3" x14ac:dyDescent="0.25">
      <c r="A55" s="386"/>
      <c r="B55" s="55" t="s">
        <v>790</v>
      </c>
      <c r="C55" s="55" t="e">
        <f>COUNTIF('Override Control Env1'!#REF!,0)</f>
        <v>#REF!</v>
      </c>
    </row>
    <row r="56" spans="1:3" x14ac:dyDescent="0.25">
      <c r="A56" s="386" t="s">
        <v>801</v>
      </c>
      <c r="B56" s="55" t="s">
        <v>19</v>
      </c>
      <c r="C56" s="55" t="e">
        <f>COUNTIF('Override Control Env1'!#REF!,B56)</f>
        <v>#REF!</v>
      </c>
    </row>
    <row r="57" spans="1:3" x14ac:dyDescent="0.25">
      <c r="A57" s="386"/>
      <c r="B57" s="55" t="s">
        <v>30</v>
      </c>
      <c r="C57" s="55" t="e">
        <f>COUNTIF('Override Control Env1'!#REF!,B57)</f>
        <v>#REF!</v>
      </c>
    </row>
    <row r="58" spans="1:3" x14ac:dyDescent="0.25">
      <c r="A58" s="386"/>
      <c r="B58" s="55" t="s">
        <v>41</v>
      </c>
      <c r="C58" s="55" t="e">
        <f>COUNTIF('Override Control Env1'!#REF!,B58)</f>
        <v>#REF!</v>
      </c>
    </row>
    <row r="59" spans="1:3" x14ac:dyDescent="0.25">
      <c r="A59" s="386"/>
      <c r="B59" s="55" t="s">
        <v>52</v>
      </c>
      <c r="C59" s="55" t="e">
        <f>COUNTIF('Override Control Env1'!#REF!,B59)</f>
        <v>#REF!</v>
      </c>
    </row>
    <row r="60" spans="1:3" x14ac:dyDescent="0.25">
      <c r="A60" s="386"/>
      <c r="B60" s="55" t="s">
        <v>790</v>
      </c>
      <c r="C60" s="55" t="e">
        <f>COUNTIF('Override Control Env1'!#REF!,0)</f>
        <v>#REF!</v>
      </c>
    </row>
    <row r="61" spans="1:3" x14ac:dyDescent="0.25">
      <c r="A61" s="386" t="s">
        <v>621</v>
      </c>
      <c r="B61" s="55" t="s">
        <v>19</v>
      </c>
      <c r="C61" s="55">
        <f>COUNTIF('Override Control Env1'!$I$92:$I$102,B61)</f>
        <v>6</v>
      </c>
    </row>
    <row r="62" spans="1:3" x14ac:dyDescent="0.25">
      <c r="A62" s="386"/>
      <c r="B62" s="55" t="s">
        <v>30</v>
      </c>
      <c r="C62" s="55">
        <f>COUNTIF('Override Control Env1'!$I$92:$I$102,B62)</f>
        <v>4</v>
      </c>
    </row>
    <row r="63" spans="1:3" x14ac:dyDescent="0.25">
      <c r="A63" s="386"/>
      <c r="B63" s="55" t="s">
        <v>41</v>
      </c>
      <c r="C63" s="55">
        <f>COUNTIF('Override Control Env1'!$I$92:$I$102,B63)</f>
        <v>1</v>
      </c>
    </row>
    <row r="64" spans="1:3" x14ac:dyDescent="0.25">
      <c r="A64" s="386"/>
      <c r="B64" s="55" t="s">
        <v>52</v>
      </c>
      <c r="C64" s="55">
        <f>COUNTIF('Override Control Env1'!$I$92:$I$102,B64)</f>
        <v>0</v>
      </c>
    </row>
    <row r="65" spans="1:3" x14ac:dyDescent="0.25">
      <c r="A65" s="386"/>
      <c r="B65" s="55" t="s">
        <v>790</v>
      </c>
      <c r="C65" s="55">
        <f>COUNTIF('Override Control Env1'!$I$92:$I$102,0)</f>
        <v>0</v>
      </c>
    </row>
    <row r="66" spans="1:3" x14ac:dyDescent="0.25">
      <c r="A66" s="386" t="s">
        <v>802</v>
      </c>
      <c r="B66" s="55" t="s">
        <v>19</v>
      </c>
      <c r="C66" s="55" t="e">
        <f>COUNTIF('Override Control Env1'!#REF!,B66)</f>
        <v>#REF!</v>
      </c>
    </row>
    <row r="67" spans="1:3" x14ac:dyDescent="0.25">
      <c r="A67" s="386"/>
      <c r="B67" s="55" t="s">
        <v>30</v>
      </c>
      <c r="C67" s="55" t="e">
        <f>COUNTIF('Override Control Env1'!#REF!,B67)</f>
        <v>#REF!</v>
      </c>
    </row>
    <row r="68" spans="1:3" x14ac:dyDescent="0.25">
      <c r="A68" s="386"/>
      <c r="B68" s="55" t="s">
        <v>41</v>
      </c>
      <c r="C68" s="55" t="e">
        <f>COUNTIF('Override Control Env1'!#REF!,B68)</f>
        <v>#REF!</v>
      </c>
    </row>
    <row r="69" spans="1:3" x14ac:dyDescent="0.25">
      <c r="A69" s="386"/>
      <c r="B69" s="55" t="s">
        <v>52</v>
      </c>
      <c r="C69" s="55" t="e">
        <f>COUNTIF('Override Control Env1'!#REF!,B69)</f>
        <v>#REF!</v>
      </c>
    </row>
    <row r="70" spans="1:3" x14ac:dyDescent="0.25">
      <c r="A70" s="386"/>
      <c r="B70" s="55" t="s">
        <v>790</v>
      </c>
      <c r="C70" s="55" t="e">
        <f>COUNTIF('Override Control Env1'!#REF!,0)</f>
        <v>#REF!</v>
      </c>
    </row>
    <row r="71" spans="1:3" x14ac:dyDescent="0.25">
      <c r="A71" s="386" t="s">
        <v>778</v>
      </c>
      <c r="B71" s="55" t="s">
        <v>19</v>
      </c>
      <c r="C71" s="55">
        <f>COUNTIF('Override Control Env1'!$I$103:$I$111,B71)</f>
        <v>6</v>
      </c>
    </row>
    <row r="72" spans="1:3" x14ac:dyDescent="0.25">
      <c r="A72" s="386"/>
      <c r="B72" s="55" t="s">
        <v>30</v>
      </c>
      <c r="C72" s="55">
        <f>COUNTIF('Override Control Env1'!$I$103:$I$111,B72)</f>
        <v>2</v>
      </c>
    </row>
    <row r="73" spans="1:3" x14ac:dyDescent="0.25">
      <c r="A73" s="386"/>
      <c r="B73" s="55" t="s">
        <v>41</v>
      </c>
      <c r="C73" s="55">
        <f>COUNTIF('Override Control Env1'!$I$103:$I$111,B73)</f>
        <v>1</v>
      </c>
    </row>
    <row r="74" spans="1:3" x14ac:dyDescent="0.25">
      <c r="A74" s="386"/>
      <c r="B74" s="55" t="s">
        <v>52</v>
      </c>
      <c r="C74" s="55">
        <f>COUNTIF('Override Control Env1'!$I$103:$I$111,B74)</f>
        <v>0</v>
      </c>
    </row>
    <row r="75" spans="1:3" x14ac:dyDescent="0.25">
      <c r="A75" s="386"/>
      <c r="B75" s="55" t="s">
        <v>790</v>
      </c>
      <c r="C75" s="55">
        <f>COUNTIF('Override Control Env1'!$I$103:$I$111,B75)</f>
        <v>0</v>
      </c>
    </row>
    <row r="76" spans="1:3" x14ac:dyDescent="0.25">
      <c r="A76" s="386" t="s">
        <v>779</v>
      </c>
      <c r="B76" s="55" t="s">
        <v>19</v>
      </c>
      <c r="C76" s="55">
        <f>COUNTIF('Override Control Env1'!$I$112:$I$124,B76)</f>
        <v>5</v>
      </c>
    </row>
    <row r="77" spans="1:3" x14ac:dyDescent="0.25">
      <c r="A77" s="386"/>
      <c r="B77" s="55" t="s">
        <v>30</v>
      </c>
      <c r="C77" s="55">
        <f>COUNTIF('Override Control Env1'!$I$112:$I$124,B77)</f>
        <v>5</v>
      </c>
    </row>
    <row r="78" spans="1:3" x14ac:dyDescent="0.25">
      <c r="A78" s="386"/>
      <c r="B78" s="55" t="s">
        <v>41</v>
      </c>
      <c r="C78" s="55">
        <f>COUNTIF('Override Control Env1'!$I$112:$I$124,B78)</f>
        <v>1</v>
      </c>
    </row>
    <row r="79" spans="1:3" x14ac:dyDescent="0.25">
      <c r="A79" s="386"/>
      <c r="B79" s="55" t="s">
        <v>52</v>
      </c>
      <c r="C79" s="55">
        <f>COUNTIF('Override Control Env1'!$I$112:$I$124,B79)</f>
        <v>2</v>
      </c>
    </row>
    <row r="80" spans="1:3" x14ac:dyDescent="0.25">
      <c r="A80" s="386"/>
      <c r="B80" s="55" t="s">
        <v>790</v>
      </c>
      <c r="C80" s="55">
        <f>COUNTIF('Override Control Env1'!$I$112:$I$124,0)</f>
        <v>0</v>
      </c>
    </row>
    <row r="81" spans="1:3" x14ac:dyDescent="0.25">
      <c r="A81" s="386" t="s">
        <v>783</v>
      </c>
      <c r="B81" s="55" t="s">
        <v>19</v>
      </c>
      <c r="C81" s="55">
        <f>COUNTIF('Override Control Env1'!$I$125:$I$128,B81)</f>
        <v>2</v>
      </c>
    </row>
    <row r="82" spans="1:3" x14ac:dyDescent="0.25">
      <c r="A82" s="386"/>
      <c r="B82" s="55" t="s">
        <v>30</v>
      </c>
      <c r="C82" s="55">
        <f>COUNTIF('Override Control Env1'!$I$125:$I$128,B82)</f>
        <v>2</v>
      </c>
    </row>
    <row r="83" spans="1:3" x14ac:dyDescent="0.25">
      <c r="A83" s="386"/>
      <c r="B83" s="55" t="s">
        <v>41</v>
      </c>
      <c r="C83" s="55">
        <f>COUNTIF('Override Control Env1'!$I$125:$I$128,B83)</f>
        <v>0</v>
      </c>
    </row>
    <row r="84" spans="1:3" x14ac:dyDescent="0.25">
      <c r="A84" s="386"/>
      <c r="B84" s="55" t="s">
        <v>52</v>
      </c>
      <c r="C84" s="55">
        <f>COUNTIF('Override Control Env1'!$I$125:$I$128,B84)</f>
        <v>0</v>
      </c>
    </row>
    <row r="85" spans="1:3" x14ac:dyDescent="0.25">
      <c r="A85" s="386"/>
      <c r="B85" s="55" t="s">
        <v>790</v>
      </c>
      <c r="C85" s="55">
        <f>COUNTIF('Override Control Env1'!$I$125:$I$128,0)</f>
        <v>0</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5"/>
  <sheetViews>
    <sheetView showGridLines="0" topLeftCell="A61" workbookViewId="0">
      <selection activeCell="C84" sqref="C84"/>
    </sheetView>
  </sheetViews>
  <sheetFormatPr defaultColWidth="9" defaultRowHeight="15" x14ac:dyDescent="0.25"/>
  <cols>
    <col min="1" max="1" width="22.42578125" bestFit="1" customWidth="1"/>
  </cols>
  <sheetData>
    <row r="1" spans="1:3" x14ac:dyDescent="0.25">
      <c r="A1" s="386" t="s">
        <v>773</v>
      </c>
      <c r="B1" s="55" t="s">
        <v>19</v>
      </c>
      <c r="C1" s="55">
        <f>COUNTIF('Override Control Env2'!$I$9:$I$19,B1)</f>
        <v>0</v>
      </c>
    </row>
    <row r="2" spans="1:3" x14ac:dyDescent="0.25">
      <c r="A2" s="386"/>
      <c r="B2" s="55" t="s">
        <v>30</v>
      </c>
      <c r="C2" s="55">
        <f>COUNTIF('Override Control Env2'!$I$9:$I$19,B2)</f>
        <v>0</v>
      </c>
    </row>
    <row r="3" spans="1:3" x14ac:dyDescent="0.25">
      <c r="A3" s="386"/>
      <c r="B3" s="55" t="s">
        <v>41</v>
      </c>
      <c r="C3" s="55">
        <f>COUNTIF('Override Control Env2'!$I$9:$I$19,B3)</f>
        <v>0</v>
      </c>
    </row>
    <row r="4" spans="1:3" x14ac:dyDescent="0.25">
      <c r="A4" s="386"/>
      <c r="B4" s="55" t="s">
        <v>52</v>
      </c>
      <c r="C4" s="55">
        <f>COUNTIF('Override Control Env2'!$I$9:$I$19,B4)</f>
        <v>0</v>
      </c>
    </row>
    <row r="5" spans="1:3" x14ac:dyDescent="0.25">
      <c r="A5" s="386"/>
      <c r="B5" s="55" t="s">
        <v>790</v>
      </c>
      <c r="C5" s="55">
        <f>COUNTIF('Override Control Env2'!$I$9:$I$19,0)</f>
        <v>11</v>
      </c>
    </row>
    <row r="6" spans="1:3" x14ac:dyDescent="0.25">
      <c r="A6" s="386" t="s">
        <v>391</v>
      </c>
      <c r="B6" s="55" t="s">
        <v>19</v>
      </c>
      <c r="C6" s="55">
        <f>COUNTIF('Override Control Env2'!$I$20:$I$24,B6)</f>
        <v>0</v>
      </c>
    </row>
    <row r="7" spans="1:3" x14ac:dyDescent="0.25">
      <c r="A7" s="386"/>
      <c r="B7" s="55" t="s">
        <v>30</v>
      </c>
      <c r="C7" s="55">
        <f>COUNTIF('Override Control Env2'!$I$20:$I$24,B7)</f>
        <v>0</v>
      </c>
    </row>
    <row r="8" spans="1:3" x14ac:dyDescent="0.25">
      <c r="A8" s="386"/>
      <c r="B8" s="55" t="s">
        <v>41</v>
      </c>
      <c r="C8" s="55">
        <f>COUNTIF('Override Control Env2'!$I$20:$I$24,B8)</f>
        <v>0</v>
      </c>
    </row>
    <row r="9" spans="1:3" x14ac:dyDescent="0.25">
      <c r="A9" s="386"/>
      <c r="B9" s="55" t="s">
        <v>52</v>
      </c>
      <c r="C9" s="55">
        <f>COUNTIF('Override Control Env2'!$I$20:$I$24,B9)</f>
        <v>0</v>
      </c>
    </row>
    <row r="10" spans="1:3" x14ac:dyDescent="0.25">
      <c r="A10" s="386"/>
      <c r="B10" s="55" t="s">
        <v>790</v>
      </c>
      <c r="C10" s="55">
        <f>COUNTIF('Override Control Env2'!$I$20:$I$24,0)</f>
        <v>5</v>
      </c>
    </row>
    <row r="11" spans="1:3" x14ac:dyDescent="0.25">
      <c r="A11" s="386" t="s">
        <v>412</v>
      </c>
      <c r="B11" s="55" t="s">
        <v>19</v>
      </c>
      <c r="C11" s="55">
        <f>COUNTIF('Override Control Env2'!$I$25:$I$33,B11)</f>
        <v>0</v>
      </c>
    </row>
    <row r="12" spans="1:3" x14ac:dyDescent="0.25">
      <c r="A12" s="386"/>
      <c r="B12" s="55" t="s">
        <v>30</v>
      </c>
      <c r="C12" s="55">
        <f>COUNTIF('Override Control Env2'!$I$25:$I$33,B12)</f>
        <v>0</v>
      </c>
    </row>
    <row r="13" spans="1:3" x14ac:dyDescent="0.25">
      <c r="A13" s="386"/>
      <c r="B13" s="55" t="s">
        <v>41</v>
      </c>
      <c r="C13" s="55">
        <f>COUNTIF('Override Control Env2'!$I$25:$I$33,B13)</f>
        <v>0</v>
      </c>
    </row>
    <row r="14" spans="1:3" x14ac:dyDescent="0.25">
      <c r="A14" s="386"/>
      <c r="B14" s="55" t="s">
        <v>52</v>
      </c>
      <c r="C14" s="55">
        <f>COUNTIF('Override Control Env2'!$I$25:$I$33,B14)</f>
        <v>0</v>
      </c>
    </row>
    <row r="15" spans="1:3" x14ac:dyDescent="0.25">
      <c r="A15" s="386"/>
      <c r="B15" s="55" t="s">
        <v>790</v>
      </c>
      <c r="C15" s="55">
        <f>COUNTIF('Override Control Env2'!$I$25:$I$33,0)</f>
        <v>9</v>
      </c>
    </row>
    <row r="16" spans="1:3" x14ac:dyDescent="0.25">
      <c r="A16" s="386" t="s">
        <v>796</v>
      </c>
      <c r="B16" s="55" t="s">
        <v>19</v>
      </c>
      <c r="C16" s="55" t="e">
        <f>COUNTIF('Override Control Env2'!#REF!,B16)</f>
        <v>#REF!</v>
      </c>
    </row>
    <row r="17" spans="1:3" x14ac:dyDescent="0.25">
      <c r="A17" s="386"/>
      <c r="B17" s="55" t="s">
        <v>30</v>
      </c>
      <c r="C17" s="55" t="e">
        <f>COUNTIF('Override Control Env2'!#REF!,B17)</f>
        <v>#REF!</v>
      </c>
    </row>
    <row r="18" spans="1:3" x14ac:dyDescent="0.25">
      <c r="A18" s="386"/>
      <c r="B18" s="55" t="s">
        <v>41</v>
      </c>
      <c r="C18" s="55" t="e">
        <f>COUNTIF('Override Control Env2'!#REF!,B18)</f>
        <v>#REF!</v>
      </c>
    </row>
    <row r="19" spans="1:3" x14ac:dyDescent="0.25">
      <c r="A19" s="386"/>
      <c r="B19" s="55" t="s">
        <v>52</v>
      </c>
      <c r="C19" s="55" t="e">
        <f>COUNTIF('Override Control Env2'!#REF!,B19)</f>
        <v>#REF!</v>
      </c>
    </row>
    <row r="20" spans="1:3" x14ac:dyDescent="0.25">
      <c r="A20" s="386"/>
      <c r="B20" s="55" t="s">
        <v>790</v>
      </c>
      <c r="C20" s="55" t="e">
        <f>COUNTIF('Override Control Env2'!#REF!,0)</f>
        <v>#REF!</v>
      </c>
    </row>
    <row r="21" spans="1:3" x14ac:dyDescent="0.25">
      <c r="A21" s="386" t="s">
        <v>797</v>
      </c>
      <c r="B21" s="55" t="s">
        <v>19</v>
      </c>
      <c r="C21" s="55">
        <f>COUNTIF('Override Control Env2'!$I$34:$I$56,B21)</f>
        <v>0</v>
      </c>
    </row>
    <row r="22" spans="1:3" x14ac:dyDescent="0.25">
      <c r="A22" s="386"/>
      <c r="B22" s="55" t="s">
        <v>30</v>
      </c>
      <c r="C22" s="55">
        <f>COUNTIF('Override Control Env2'!$I$34:$I$56,B22)</f>
        <v>0</v>
      </c>
    </row>
    <row r="23" spans="1:3" x14ac:dyDescent="0.25">
      <c r="A23" s="386"/>
      <c r="B23" s="55" t="s">
        <v>41</v>
      </c>
      <c r="C23" s="55">
        <f>COUNTIF('Override Control Env2'!$I$34:$I$56,B23)</f>
        <v>0</v>
      </c>
    </row>
    <row r="24" spans="1:3" x14ac:dyDescent="0.25">
      <c r="A24" s="386"/>
      <c r="B24" s="55" t="s">
        <v>52</v>
      </c>
      <c r="C24" s="55">
        <f>COUNTIF('Override Control Env2'!$I$34:$I$56,B24)</f>
        <v>0</v>
      </c>
    </row>
    <row r="25" spans="1:3" x14ac:dyDescent="0.25">
      <c r="A25" s="386"/>
      <c r="B25" s="55" t="s">
        <v>790</v>
      </c>
      <c r="C25" s="55">
        <f>COUNTIF('Override Control Env2'!$I$34:$I$56,B25)</f>
        <v>0</v>
      </c>
    </row>
    <row r="26" spans="1:3" x14ac:dyDescent="0.25">
      <c r="A26" s="386" t="s">
        <v>798</v>
      </c>
      <c r="B26" s="55" t="s">
        <v>19</v>
      </c>
      <c r="C26" s="55" t="e">
        <f>COUNTIF('Override Control Env2'!#REF!,B26)</f>
        <v>#REF!</v>
      </c>
    </row>
    <row r="27" spans="1:3" x14ac:dyDescent="0.25">
      <c r="A27" s="386"/>
      <c r="B27" s="55" t="s">
        <v>30</v>
      </c>
      <c r="C27" s="55" t="e">
        <f>COUNTIF('Override Control Env2'!#REF!,B27)</f>
        <v>#REF!</v>
      </c>
    </row>
    <row r="28" spans="1:3" x14ac:dyDescent="0.25">
      <c r="A28" s="386"/>
      <c r="B28" s="55" t="s">
        <v>41</v>
      </c>
      <c r="C28" s="55" t="e">
        <f>COUNTIF('Override Control Env2'!#REF!,B28)</f>
        <v>#REF!</v>
      </c>
    </row>
    <row r="29" spans="1:3" x14ac:dyDescent="0.25">
      <c r="A29" s="386"/>
      <c r="B29" s="55" t="s">
        <v>52</v>
      </c>
      <c r="C29" s="55" t="e">
        <f>COUNTIF('Override Control Env2'!#REF!,B29)</f>
        <v>#REF!</v>
      </c>
    </row>
    <row r="30" spans="1:3" x14ac:dyDescent="0.25">
      <c r="A30" s="386"/>
      <c r="B30" s="55" t="s">
        <v>790</v>
      </c>
      <c r="C30" s="55" t="e">
        <f>COUNTIF('Override Control Env2'!#REF!,0)</f>
        <v>#REF!</v>
      </c>
    </row>
    <row r="31" spans="1:3" x14ac:dyDescent="0.25">
      <c r="A31" s="387" t="s">
        <v>775</v>
      </c>
      <c r="B31" s="55" t="s">
        <v>19</v>
      </c>
      <c r="C31" s="55">
        <f>COUNTIF('Override Control Env2'!$I$59:$I$70,B31)</f>
        <v>0</v>
      </c>
    </row>
    <row r="32" spans="1:3" x14ac:dyDescent="0.25">
      <c r="A32" s="387"/>
      <c r="B32" s="55" t="s">
        <v>30</v>
      </c>
      <c r="C32" s="55">
        <f>COUNTIF('Override Control Env2'!$I$59:$I$70,B32)</f>
        <v>0</v>
      </c>
    </row>
    <row r="33" spans="1:3" x14ac:dyDescent="0.25">
      <c r="A33" s="387"/>
      <c r="B33" s="55" t="s">
        <v>41</v>
      </c>
      <c r="C33" s="55">
        <f>COUNTIF('Override Control Env2'!$I$59:$I$70,B33)</f>
        <v>0</v>
      </c>
    </row>
    <row r="34" spans="1:3" x14ac:dyDescent="0.25">
      <c r="A34" s="387"/>
      <c r="B34" s="55" t="s">
        <v>52</v>
      </c>
      <c r="C34" s="55">
        <f>COUNTIF('Override Control Env2'!$I$59:$I$70,B34)</f>
        <v>0</v>
      </c>
    </row>
    <row r="35" spans="1:3" x14ac:dyDescent="0.25">
      <c r="A35" s="387"/>
      <c r="B35" s="55" t="s">
        <v>790</v>
      </c>
      <c r="C35" s="55">
        <f>COUNTIF('Override Control Env2'!$I$59:$I$70,0)</f>
        <v>12</v>
      </c>
    </row>
    <row r="36" spans="1:3" x14ac:dyDescent="0.25">
      <c r="A36" s="386" t="s">
        <v>777</v>
      </c>
      <c r="B36" s="55" t="s">
        <v>19</v>
      </c>
      <c r="C36" s="55">
        <f>COUNTIF('Override Control Env2'!$I$71:$I$81,B36)</f>
        <v>0</v>
      </c>
    </row>
    <row r="37" spans="1:3" x14ac:dyDescent="0.25">
      <c r="A37" s="386"/>
      <c r="B37" s="55" t="s">
        <v>30</v>
      </c>
      <c r="C37" s="55">
        <f>COUNTIF('Override Control Env2'!$I$71:$I$81,B37)</f>
        <v>0</v>
      </c>
    </row>
    <row r="38" spans="1:3" x14ac:dyDescent="0.25">
      <c r="A38" s="386"/>
      <c r="B38" s="55" t="s">
        <v>41</v>
      </c>
      <c r="C38" s="55">
        <f>COUNTIF('Override Control Env2'!$I$71:$I$81,B38)</f>
        <v>0</v>
      </c>
    </row>
    <row r="39" spans="1:3" x14ac:dyDescent="0.25">
      <c r="A39" s="386"/>
      <c r="B39" s="55" t="s">
        <v>52</v>
      </c>
      <c r="C39" s="55">
        <f>COUNTIF('Override Control Env2'!$I$71:$I$81,B39)</f>
        <v>0</v>
      </c>
    </row>
    <row r="40" spans="1:3" x14ac:dyDescent="0.25">
      <c r="A40" s="386"/>
      <c r="B40" s="55" t="s">
        <v>790</v>
      </c>
      <c r="C40" s="55">
        <f>COUNTIF('Override Control Env2'!$I$71:$I$81,0)</f>
        <v>11</v>
      </c>
    </row>
    <row r="41" spans="1:3" x14ac:dyDescent="0.25">
      <c r="A41" s="386" t="s">
        <v>590</v>
      </c>
      <c r="B41" s="55" t="s">
        <v>19</v>
      </c>
      <c r="C41" s="55">
        <f>COUNTIF('Override Control Env2'!$I$82:$I$91,B41)</f>
        <v>0</v>
      </c>
    </row>
    <row r="42" spans="1:3" x14ac:dyDescent="0.25">
      <c r="A42" s="386"/>
      <c r="B42" s="55" t="s">
        <v>30</v>
      </c>
      <c r="C42" s="55">
        <f>COUNTIF('Override Control Env2'!$I$82:$I$91,B42)</f>
        <v>0</v>
      </c>
    </row>
    <row r="43" spans="1:3" x14ac:dyDescent="0.25">
      <c r="A43" s="386"/>
      <c r="B43" s="55" t="s">
        <v>41</v>
      </c>
      <c r="C43" s="55">
        <f>COUNTIF('Override Control Env2'!$I$82:$I$91,B43)</f>
        <v>0</v>
      </c>
    </row>
    <row r="44" spans="1:3" x14ac:dyDescent="0.25">
      <c r="A44" s="386"/>
      <c r="B44" s="55" t="s">
        <v>52</v>
      </c>
      <c r="C44" s="55">
        <f>COUNTIF('Override Control Env2'!$I$82:$I$91,B44)</f>
        <v>0</v>
      </c>
    </row>
    <row r="45" spans="1:3" x14ac:dyDescent="0.25">
      <c r="A45" s="386"/>
      <c r="B45" s="55" t="s">
        <v>790</v>
      </c>
      <c r="C45" s="55">
        <f>COUNTIF('Override Control Env2'!$I$82:$I$91,0)</f>
        <v>10</v>
      </c>
    </row>
    <row r="46" spans="1:3" x14ac:dyDescent="0.25">
      <c r="A46" s="386" t="s">
        <v>799</v>
      </c>
      <c r="B46" s="55" t="s">
        <v>19</v>
      </c>
      <c r="C46" s="55" t="e">
        <f>COUNTIF('Override Control Env2'!#REF!,B46)</f>
        <v>#REF!</v>
      </c>
    </row>
    <row r="47" spans="1:3" x14ac:dyDescent="0.25">
      <c r="A47" s="386"/>
      <c r="B47" s="55" t="s">
        <v>30</v>
      </c>
      <c r="C47" s="55" t="e">
        <f>COUNTIF('Override Control Env2'!#REF!,B47)</f>
        <v>#REF!</v>
      </c>
    </row>
    <row r="48" spans="1:3" x14ac:dyDescent="0.25">
      <c r="A48" s="386"/>
      <c r="B48" s="55" t="s">
        <v>41</v>
      </c>
      <c r="C48" s="55" t="e">
        <f>COUNTIF('Override Control Env2'!#REF!,B48)</f>
        <v>#REF!</v>
      </c>
    </row>
    <row r="49" spans="1:3" x14ac:dyDescent="0.25">
      <c r="A49" s="386"/>
      <c r="B49" s="55" t="s">
        <v>52</v>
      </c>
      <c r="C49" s="55" t="e">
        <f>COUNTIF('Override Control Env2'!#REF!,B49)</f>
        <v>#REF!</v>
      </c>
    </row>
    <row r="50" spans="1:3" x14ac:dyDescent="0.25">
      <c r="A50" s="386"/>
      <c r="B50" s="55" t="s">
        <v>790</v>
      </c>
      <c r="C50" s="55" t="e">
        <f>COUNTIF('Override Control Env2'!#REF!,0)</f>
        <v>#REF!</v>
      </c>
    </row>
    <row r="51" spans="1:3" x14ac:dyDescent="0.25">
      <c r="A51" s="386" t="s">
        <v>800</v>
      </c>
      <c r="B51" s="55" t="s">
        <v>19</v>
      </c>
      <c r="C51" s="55" t="e">
        <f>COUNTIF('Override Control Env2'!#REF!,B51)</f>
        <v>#REF!</v>
      </c>
    </row>
    <row r="52" spans="1:3" x14ac:dyDescent="0.25">
      <c r="A52" s="386"/>
      <c r="B52" s="55" t="s">
        <v>30</v>
      </c>
      <c r="C52" s="55" t="e">
        <f>COUNTIF('Override Control Env2'!#REF!,B52)</f>
        <v>#REF!</v>
      </c>
    </row>
    <row r="53" spans="1:3" x14ac:dyDescent="0.25">
      <c r="A53" s="386"/>
      <c r="B53" s="55" t="s">
        <v>41</v>
      </c>
      <c r="C53" s="55" t="e">
        <f>COUNTIF('Override Control Env2'!#REF!,B53)</f>
        <v>#REF!</v>
      </c>
    </row>
    <row r="54" spans="1:3" x14ac:dyDescent="0.25">
      <c r="A54" s="386"/>
      <c r="B54" s="55" t="s">
        <v>52</v>
      </c>
      <c r="C54" s="55" t="e">
        <f>COUNTIF('Override Control Env2'!#REF!,B54)</f>
        <v>#REF!</v>
      </c>
    </row>
    <row r="55" spans="1:3" x14ac:dyDescent="0.25">
      <c r="A55" s="386"/>
      <c r="B55" s="55" t="s">
        <v>790</v>
      </c>
      <c r="C55" s="55" t="e">
        <f>COUNTIF('Override Control Env2'!#REF!,0)</f>
        <v>#REF!</v>
      </c>
    </row>
    <row r="56" spans="1:3" x14ac:dyDescent="0.25">
      <c r="A56" s="386" t="s">
        <v>801</v>
      </c>
      <c r="B56" s="55" t="s">
        <v>19</v>
      </c>
      <c r="C56" s="55" t="e">
        <f>COUNTIF('Override Control Env2'!#REF!,B56)</f>
        <v>#REF!</v>
      </c>
    </row>
    <row r="57" spans="1:3" x14ac:dyDescent="0.25">
      <c r="A57" s="386"/>
      <c r="B57" s="55" t="s">
        <v>30</v>
      </c>
      <c r="C57" s="55" t="e">
        <f>COUNTIF('Override Control Env2'!#REF!,B57)</f>
        <v>#REF!</v>
      </c>
    </row>
    <row r="58" spans="1:3" x14ac:dyDescent="0.25">
      <c r="A58" s="386"/>
      <c r="B58" s="55" t="s">
        <v>41</v>
      </c>
      <c r="C58" s="55" t="e">
        <f>COUNTIF('Override Control Env2'!#REF!,B58)</f>
        <v>#REF!</v>
      </c>
    </row>
    <row r="59" spans="1:3" x14ac:dyDescent="0.25">
      <c r="A59" s="386"/>
      <c r="B59" s="55" t="s">
        <v>52</v>
      </c>
      <c r="C59" s="55" t="e">
        <f>COUNTIF('Override Control Env2'!#REF!,B59)</f>
        <v>#REF!</v>
      </c>
    </row>
    <row r="60" spans="1:3" x14ac:dyDescent="0.25">
      <c r="A60" s="386"/>
      <c r="B60" s="55" t="s">
        <v>790</v>
      </c>
      <c r="C60" s="55" t="e">
        <f>COUNTIF('Override Control Env2'!#REF!,0)</f>
        <v>#REF!</v>
      </c>
    </row>
    <row r="61" spans="1:3" x14ac:dyDescent="0.25">
      <c r="A61" s="386" t="s">
        <v>621</v>
      </c>
      <c r="B61" s="55" t="s">
        <v>19</v>
      </c>
      <c r="C61" s="55">
        <f>COUNTIF('Override Control Env2'!$I$92:$I$102,B61)</f>
        <v>0</v>
      </c>
    </row>
    <row r="62" spans="1:3" x14ac:dyDescent="0.25">
      <c r="A62" s="386"/>
      <c r="B62" s="55" t="s">
        <v>30</v>
      </c>
      <c r="C62" s="55">
        <f>COUNTIF('Override Control Env2'!$I$92:$I$102,B62)</f>
        <v>0</v>
      </c>
    </row>
    <row r="63" spans="1:3" x14ac:dyDescent="0.25">
      <c r="A63" s="386"/>
      <c r="B63" s="55" t="s">
        <v>41</v>
      </c>
      <c r="C63" s="55">
        <f>COUNTIF('Override Control Env2'!$I$92:$I$102,B63)</f>
        <v>0</v>
      </c>
    </row>
    <row r="64" spans="1:3" x14ac:dyDescent="0.25">
      <c r="A64" s="386"/>
      <c r="B64" s="55" t="s">
        <v>52</v>
      </c>
      <c r="C64" s="55">
        <f>COUNTIF('Override Control Env2'!$I$92:$I$102,B64)</f>
        <v>0</v>
      </c>
    </row>
    <row r="65" spans="1:3" x14ac:dyDescent="0.25">
      <c r="A65" s="386"/>
      <c r="B65" s="55" t="s">
        <v>790</v>
      </c>
      <c r="C65" s="55">
        <f>COUNTIF('Override Control Env2'!$I$92:$I$102,0)</f>
        <v>11</v>
      </c>
    </row>
    <row r="66" spans="1:3" x14ac:dyDescent="0.25">
      <c r="A66" s="386" t="s">
        <v>802</v>
      </c>
      <c r="B66" s="55" t="s">
        <v>19</v>
      </c>
      <c r="C66" s="55" t="e">
        <f>COUNTIF('Override Control Env2'!#REF!,B66)</f>
        <v>#REF!</v>
      </c>
    </row>
    <row r="67" spans="1:3" x14ac:dyDescent="0.25">
      <c r="A67" s="386"/>
      <c r="B67" s="55" t="s">
        <v>30</v>
      </c>
      <c r="C67" s="55" t="e">
        <f>COUNTIF('Override Control Env2'!#REF!,B67)</f>
        <v>#REF!</v>
      </c>
    </row>
    <row r="68" spans="1:3" x14ac:dyDescent="0.25">
      <c r="A68" s="386"/>
      <c r="B68" s="55" t="s">
        <v>41</v>
      </c>
      <c r="C68" s="55" t="e">
        <f>COUNTIF('Override Control Env2'!#REF!,B68)</f>
        <v>#REF!</v>
      </c>
    </row>
    <row r="69" spans="1:3" x14ac:dyDescent="0.25">
      <c r="A69" s="386"/>
      <c r="B69" s="55" t="s">
        <v>52</v>
      </c>
      <c r="C69" s="55" t="e">
        <f>COUNTIF('Override Control Env2'!#REF!,B69)</f>
        <v>#REF!</v>
      </c>
    </row>
    <row r="70" spans="1:3" x14ac:dyDescent="0.25">
      <c r="A70" s="386"/>
      <c r="B70" s="55" t="s">
        <v>790</v>
      </c>
      <c r="C70" s="55" t="e">
        <f>COUNTIF('Override Control Env2'!#REF!,0)</f>
        <v>#REF!</v>
      </c>
    </row>
    <row r="71" spans="1:3" x14ac:dyDescent="0.25">
      <c r="A71" s="386" t="s">
        <v>778</v>
      </c>
      <c r="B71" s="55" t="s">
        <v>19</v>
      </c>
      <c r="C71" s="55">
        <f>COUNTIF('Override Control Env2'!$I$103:$I$111,B71)</f>
        <v>0</v>
      </c>
    </row>
    <row r="72" spans="1:3" x14ac:dyDescent="0.25">
      <c r="A72" s="386"/>
      <c r="B72" s="55" t="s">
        <v>30</v>
      </c>
      <c r="C72" s="55">
        <f>COUNTIF('Override Control Env2'!$I$103:$I$111,B72)</f>
        <v>0</v>
      </c>
    </row>
    <row r="73" spans="1:3" x14ac:dyDescent="0.25">
      <c r="A73" s="386"/>
      <c r="B73" s="55" t="s">
        <v>41</v>
      </c>
      <c r="C73" s="55">
        <f>COUNTIF('Override Control Env2'!$I$103:$I$111,B73)</f>
        <v>0</v>
      </c>
    </row>
    <row r="74" spans="1:3" x14ac:dyDescent="0.25">
      <c r="A74" s="386"/>
      <c r="B74" s="55" t="s">
        <v>52</v>
      </c>
      <c r="C74" s="55">
        <f>COUNTIF('Override Control Env2'!$I$103:$I$111,B74)</f>
        <v>0</v>
      </c>
    </row>
    <row r="75" spans="1:3" x14ac:dyDescent="0.25">
      <c r="A75" s="386"/>
      <c r="B75" s="55" t="s">
        <v>790</v>
      </c>
      <c r="C75" s="55">
        <f>COUNTIF('Override Control Env2'!$I$103:$I$111,B75)</f>
        <v>0</v>
      </c>
    </row>
    <row r="76" spans="1:3" x14ac:dyDescent="0.25">
      <c r="A76" s="386" t="s">
        <v>779</v>
      </c>
      <c r="B76" s="55" t="s">
        <v>19</v>
      </c>
      <c r="C76" s="55">
        <f>COUNTIF('Override Control Env2'!$I$112:$I$124,B76)</f>
        <v>0</v>
      </c>
    </row>
    <row r="77" spans="1:3" x14ac:dyDescent="0.25">
      <c r="A77" s="386"/>
      <c r="B77" s="55" t="s">
        <v>30</v>
      </c>
      <c r="C77" s="55">
        <f>COUNTIF('Override Control Env2'!$I$112:$I$124,B77)</f>
        <v>0</v>
      </c>
    </row>
    <row r="78" spans="1:3" x14ac:dyDescent="0.25">
      <c r="A78" s="386"/>
      <c r="B78" s="55" t="s">
        <v>41</v>
      </c>
      <c r="C78" s="55">
        <f>COUNTIF('Override Control Env2'!$I$112:$I$124,B78)</f>
        <v>0</v>
      </c>
    </row>
    <row r="79" spans="1:3" x14ac:dyDescent="0.25">
      <c r="A79" s="386"/>
      <c r="B79" s="55" t="s">
        <v>52</v>
      </c>
      <c r="C79" s="55">
        <f>COUNTIF('Override Control Env2'!$I$112:$I$124,B79)</f>
        <v>0</v>
      </c>
    </row>
    <row r="80" spans="1:3" x14ac:dyDescent="0.25">
      <c r="A80" s="386"/>
      <c r="B80" s="55" t="s">
        <v>790</v>
      </c>
      <c r="C80" s="55">
        <f>COUNTIF('Override Control Env2'!$I$112:$I$124,0)</f>
        <v>13</v>
      </c>
    </row>
    <row r="81" spans="1:3" x14ac:dyDescent="0.25">
      <c r="A81" s="386" t="s">
        <v>783</v>
      </c>
      <c r="B81" s="55" t="s">
        <v>19</v>
      </c>
      <c r="C81" s="55">
        <f>COUNTIF('Override Control Env2'!$I$125:$I$128,B81)</f>
        <v>0</v>
      </c>
    </row>
    <row r="82" spans="1:3" x14ac:dyDescent="0.25">
      <c r="A82" s="386"/>
      <c r="B82" s="55" t="s">
        <v>30</v>
      </c>
      <c r="C82" s="55">
        <f>COUNTIF('Override Control Env2'!$I$125:$I$128,B82)</f>
        <v>0</v>
      </c>
    </row>
    <row r="83" spans="1:3" x14ac:dyDescent="0.25">
      <c r="A83" s="386"/>
      <c r="B83" s="55" t="s">
        <v>41</v>
      </c>
      <c r="C83" s="55">
        <f>COUNTIF('Override Control Env2'!$I$125:$I$128,B83)</f>
        <v>0</v>
      </c>
    </row>
    <row r="84" spans="1:3" x14ac:dyDescent="0.25">
      <c r="A84" s="386"/>
      <c r="B84" s="55" t="s">
        <v>52</v>
      </c>
      <c r="C84" s="55">
        <f>COUNTIF('Override Control Env2'!$I$125:$I$128,B84)</f>
        <v>0</v>
      </c>
    </row>
    <row r="85" spans="1:3" x14ac:dyDescent="0.25">
      <c r="A85" s="386"/>
      <c r="B85" s="55" t="s">
        <v>790</v>
      </c>
      <c r="C85" s="55">
        <f>COUNTIF('Override Control Env2'!$I$125:$I$128,0)</f>
        <v>4</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5"/>
  <sheetViews>
    <sheetView showGridLines="0" topLeftCell="A61" workbookViewId="0">
      <selection activeCell="C84" sqref="C84"/>
    </sheetView>
  </sheetViews>
  <sheetFormatPr defaultColWidth="9" defaultRowHeight="15" x14ac:dyDescent="0.25"/>
  <cols>
    <col min="1" max="1" width="22.42578125" bestFit="1" customWidth="1"/>
  </cols>
  <sheetData>
    <row r="1" spans="1:3" x14ac:dyDescent="0.25">
      <c r="A1" s="386" t="s">
        <v>773</v>
      </c>
      <c r="B1" s="55" t="s">
        <v>19</v>
      </c>
      <c r="C1" s="55">
        <f>COUNTIF('Override Control Env3'!$I$9:$I$19,B1)</f>
        <v>0</v>
      </c>
    </row>
    <row r="2" spans="1:3" x14ac:dyDescent="0.25">
      <c r="A2" s="386"/>
      <c r="B2" s="55" t="s">
        <v>30</v>
      </c>
      <c r="C2" s="55">
        <f>COUNTIF('Override Control Env3'!$I$9:$I$19,B2)</f>
        <v>0</v>
      </c>
    </row>
    <row r="3" spans="1:3" x14ac:dyDescent="0.25">
      <c r="A3" s="386"/>
      <c r="B3" s="55" t="s">
        <v>41</v>
      </c>
      <c r="C3" s="55">
        <f>COUNTIF('Override Control Env3'!$I$9:$I$19,B3)</f>
        <v>0</v>
      </c>
    </row>
    <row r="4" spans="1:3" x14ac:dyDescent="0.25">
      <c r="A4" s="386"/>
      <c r="B4" s="55" t="s">
        <v>52</v>
      </c>
      <c r="C4" s="55">
        <f>COUNTIF('Override Control Env3'!$I$9:$I$19,B4)</f>
        <v>0</v>
      </c>
    </row>
    <row r="5" spans="1:3" x14ac:dyDescent="0.25">
      <c r="A5" s="386"/>
      <c r="B5" s="55" t="s">
        <v>790</v>
      </c>
      <c r="C5" s="55">
        <f>COUNTIF('Override Control Env3'!$I$9:$I$19,0)</f>
        <v>11</v>
      </c>
    </row>
    <row r="6" spans="1:3" x14ac:dyDescent="0.25">
      <c r="A6" s="386" t="s">
        <v>391</v>
      </c>
      <c r="B6" s="55" t="s">
        <v>19</v>
      </c>
      <c r="C6" s="55">
        <f>COUNTIF('Override Control Env3'!$I$20:$I$24,B6)</f>
        <v>0</v>
      </c>
    </row>
    <row r="7" spans="1:3" x14ac:dyDescent="0.25">
      <c r="A7" s="386"/>
      <c r="B7" s="55" t="s">
        <v>30</v>
      </c>
      <c r="C7" s="55">
        <f>COUNTIF('Override Control Env3'!$I$20:$I$24,B7)</f>
        <v>0</v>
      </c>
    </row>
    <row r="8" spans="1:3" x14ac:dyDescent="0.25">
      <c r="A8" s="386"/>
      <c r="B8" s="55" t="s">
        <v>41</v>
      </c>
      <c r="C8" s="55">
        <f>COUNTIF('Override Control Env3'!$I$20:$I$24,B8)</f>
        <v>0</v>
      </c>
    </row>
    <row r="9" spans="1:3" x14ac:dyDescent="0.25">
      <c r="A9" s="386"/>
      <c r="B9" s="55" t="s">
        <v>52</v>
      </c>
      <c r="C9" s="55">
        <f>COUNTIF('Override Control Env3'!$I$20:$I$24,B9)</f>
        <v>0</v>
      </c>
    </row>
    <row r="10" spans="1:3" x14ac:dyDescent="0.25">
      <c r="A10" s="386"/>
      <c r="B10" s="55" t="s">
        <v>790</v>
      </c>
      <c r="C10" s="55">
        <f>COUNTIF('Override Control Env3'!$I$20:$I$24,0)</f>
        <v>5</v>
      </c>
    </row>
    <row r="11" spans="1:3" x14ac:dyDescent="0.25">
      <c r="A11" s="386" t="s">
        <v>412</v>
      </c>
      <c r="B11" s="55" t="s">
        <v>19</v>
      </c>
      <c r="C11" s="55">
        <f>COUNTIF('Override Control Env3'!$I$25:$I$33,B11)</f>
        <v>0</v>
      </c>
    </row>
    <row r="12" spans="1:3" x14ac:dyDescent="0.25">
      <c r="A12" s="386"/>
      <c r="B12" s="55" t="s">
        <v>30</v>
      </c>
      <c r="C12" s="55">
        <f>COUNTIF('Override Control Env3'!$I$25:$I$33,B12)</f>
        <v>0</v>
      </c>
    </row>
    <row r="13" spans="1:3" x14ac:dyDescent="0.25">
      <c r="A13" s="386"/>
      <c r="B13" s="55" t="s">
        <v>41</v>
      </c>
      <c r="C13" s="55">
        <f>COUNTIF('Override Control Env3'!$I$25:$I$33,B13)</f>
        <v>0</v>
      </c>
    </row>
    <row r="14" spans="1:3" x14ac:dyDescent="0.25">
      <c r="A14" s="386"/>
      <c r="B14" s="55" t="s">
        <v>52</v>
      </c>
      <c r="C14" s="55">
        <f>COUNTIF('Override Control Env3'!$I$25:$I$33,B14)</f>
        <v>0</v>
      </c>
    </row>
    <row r="15" spans="1:3" x14ac:dyDescent="0.25">
      <c r="A15" s="386"/>
      <c r="B15" s="55" t="s">
        <v>790</v>
      </c>
      <c r="C15" s="55">
        <f>COUNTIF('Override Control Env3'!$I$25:$I$33,0)</f>
        <v>9</v>
      </c>
    </row>
    <row r="16" spans="1:3" x14ac:dyDescent="0.25">
      <c r="A16" s="386" t="s">
        <v>796</v>
      </c>
      <c r="B16" s="55" t="s">
        <v>19</v>
      </c>
      <c r="C16" s="55" t="e">
        <f>COUNTIF('Override Control Env3'!#REF!,B16)</f>
        <v>#REF!</v>
      </c>
    </row>
    <row r="17" spans="1:3" x14ac:dyDescent="0.25">
      <c r="A17" s="386"/>
      <c r="B17" s="55" t="s">
        <v>30</v>
      </c>
      <c r="C17" s="55" t="e">
        <f>COUNTIF('Override Control Env3'!#REF!,B17)</f>
        <v>#REF!</v>
      </c>
    </row>
    <row r="18" spans="1:3" x14ac:dyDescent="0.25">
      <c r="A18" s="386"/>
      <c r="B18" s="55" t="s">
        <v>41</v>
      </c>
      <c r="C18" s="55" t="e">
        <f>COUNTIF('Override Control Env3'!#REF!,B18)</f>
        <v>#REF!</v>
      </c>
    </row>
    <row r="19" spans="1:3" x14ac:dyDescent="0.25">
      <c r="A19" s="386"/>
      <c r="B19" s="55" t="s">
        <v>52</v>
      </c>
      <c r="C19" s="55" t="e">
        <f>COUNTIF('Override Control Env3'!#REF!,B19)</f>
        <v>#REF!</v>
      </c>
    </row>
    <row r="20" spans="1:3" x14ac:dyDescent="0.25">
      <c r="A20" s="386"/>
      <c r="B20" s="55" t="s">
        <v>790</v>
      </c>
      <c r="C20" s="55" t="e">
        <f>COUNTIF('Override Control Env3'!#REF!,0)</f>
        <v>#REF!</v>
      </c>
    </row>
    <row r="21" spans="1:3" x14ac:dyDescent="0.25">
      <c r="A21" s="386" t="s">
        <v>797</v>
      </c>
      <c r="B21" s="55" t="s">
        <v>19</v>
      </c>
      <c r="C21" s="55">
        <f>COUNTIF('Override Control Env3'!$I$34:$I$56,B21)</f>
        <v>0</v>
      </c>
    </row>
    <row r="22" spans="1:3" x14ac:dyDescent="0.25">
      <c r="A22" s="386"/>
      <c r="B22" s="55" t="s">
        <v>30</v>
      </c>
      <c r="C22" s="55">
        <f>COUNTIF('Override Control Env3'!$I$34:$I$56,B22)</f>
        <v>0</v>
      </c>
    </row>
    <row r="23" spans="1:3" x14ac:dyDescent="0.25">
      <c r="A23" s="386"/>
      <c r="B23" s="55" t="s">
        <v>41</v>
      </c>
      <c r="C23" s="55">
        <f>COUNTIF('Override Control Env3'!$I$34:$I$56,B23)</f>
        <v>0</v>
      </c>
    </row>
    <row r="24" spans="1:3" x14ac:dyDescent="0.25">
      <c r="A24" s="386"/>
      <c r="B24" s="55" t="s">
        <v>52</v>
      </c>
      <c r="C24" s="55">
        <f>COUNTIF('Override Control Env3'!$I$34:$I$56,B24)</f>
        <v>0</v>
      </c>
    </row>
    <row r="25" spans="1:3" x14ac:dyDescent="0.25">
      <c r="A25" s="386"/>
      <c r="B25" s="55" t="s">
        <v>790</v>
      </c>
      <c r="C25" s="55">
        <f>COUNTIF('Override Control Env3'!$I$34:$I$56,B25)</f>
        <v>0</v>
      </c>
    </row>
    <row r="26" spans="1:3" x14ac:dyDescent="0.25">
      <c r="A26" s="386" t="s">
        <v>798</v>
      </c>
      <c r="B26" s="55" t="s">
        <v>19</v>
      </c>
      <c r="C26" s="55" t="e">
        <f>COUNTIF('Override Control Env3'!#REF!,B26)</f>
        <v>#REF!</v>
      </c>
    </row>
    <row r="27" spans="1:3" x14ac:dyDescent="0.25">
      <c r="A27" s="386"/>
      <c r="B27" s="55" t="s">
        <v>30</v>
      </c>
      <c r="C27" s="55" t="e">
        <f>COUNTIF('Override Control Env3'!#REF!,B27)</f>
        <v>#REF!</v>
      </c>
    </row>
    <row r="28" spans="1:3" x14ac:dyDescent="0.25">
      <c r="A28" s="386"/>
      <c r="B28" s="55" t="s">
        <v>41</v>
      </c>
      <c r="C28" s="55" t="e">
        <f>COUNTIF('Override Control Env3'!#REF!,B28)</f>
        <v>#REF!</v>
      </c>
    </row>
    <row r="29" spans="1:3" x14ac:dyDescent="0.25">
      <c r="A29" s="386"/>
      <c r="B29" s="55" t="s">
        <v>52</v>
      </c>
      <c r="C29" s="55" t="e">
        <f>COUNTIF('Override Control Env3'!#REF!,B29)</f>
        <v>#REF!</v>
      </c>
    </row>
    <row r="30" spans="1:3" x14ac:dyDescent="0.25">
      <c r="A30" s="386"/>
      <c r="B30" s="55" t="s">
        <v>790</v>
      </c>
      <c r="C30" s="55" t="e">
        <f>COUNTIF('Override Control Env3'!#REF!,0)</f>
        <v>#REF!</v>
      </c>
    </row>
    <row r="31" spans="1:3" x14ac:dyDescent="0.25">
      <c r="A31" s="387" t="s">
        <v>775</v>
      </c>
      <c r="B31" s="55" t="s">
        <v>19</v>
      </c>
      <c r="C31" s="55">
        <f>COUNTIF('Override Control Env3'!$I$59:$I$70,B31)</f>
        <v>0</v>
      </c>
    </row>
    <row r="32" spans="1:3" x14ac:dyDescent="0.25">
      <c r="A32" s="387"/>
      <c r="B32" s="55" t="s">
        <v>30</v>
      </c>
      <c r="C32" s="55">
        <f>COUNTIF('Override Control Env3'!$I$59:$I$70,B32)</f>
        <v>0</v>
      </c>
    </row>
    <row r="33" spans="1:3" x14ac:dyDescent="0.25">
      <c r="A33" s="387"/>
      <c r="B33" s="55" t="s">
        <v>41</v>
      </c>
      <c r="C33" s="55">
        <f>COUNTIF('Override Control Env3'!$I$59:$I$70,B33)</f>
        <v>0</v>
      </c>
    </row>
    <row r="34" spans="1:3" x14ac:dyDescent="0.25">
      <c r="A34" s="387"/>
      <c r="B34" s="55" t="s">
        <v>52</v>
      </c>
      <c r="C34" s="55">
        <f>COUNTIF('Override Control Env3'!$I$59:$I$70,B34)</f>
        <v>0</v>
      </c>
    </row>
    <row r="35" spans="1:3" x14ac:dyDescent="0.25">
      <c r="A35" s="387"/>
      <c r="B35" s="55" t="s">
        <v>790</v>
      </c>
      <c r="C35" s="55">
        <f>COUNTIF('Override Control Env3'!$I$59:$I$70,0)</f>
        <v>12</v>
      </c>
    </row>
    <row r="36" spans="1:3" x14ac:dyDescent="0.25">
      <c r="A36" s="386" t="s">
        <v>777</v>
      </c>
      <c r="B36" s="55" t="s">
        <v>19</v>
      </c>
      <c r="C36" s="55">
        <f>COUNTIF('Override Control Env3'!$I$71:$I$81,B36)</f>
        <v>0</v>
      </c>
    </row>
    <row r="37" spans="1:3" x14ac:dyDescent="0.25">
      <c r="A37" s="386"/>
      <c r="B37" s="55" t="s">
        <v>30</v>
      </c>
      <c r="C37" s="55">
        <f>COUNTIF('Override Control Env3'!$I$71:$I$81,B37)</f>
        <v>0</v>
      </c>
    </row>
    <row r="38" spans="1:3" x14ac:dyDescent="0.25">
      <c r="A38" s="386"/>
      <c r="B38" s="55" t="s">
        <v>41</v>
      </c>
      <c r="C38" s="55">
        <f>COUNTIF('Override Control Env3'!$I$71:$I$81,B38)</f>
        <v>0</v>
      </c>
    </row>
    <row r="39" spans="1:3" x14ac:dyDescent="0.25">
      <c r="A39" s="386"/>
      <c r="B39" s="55" t="s">
        <v>52</v>
      </c>
      <c r="C39" s="55">
        <f>COUNTIF('Override Control Env3'!$I$71:$I$81,B39)</f>
        <v>0</v>
      </c>
    </row>
    <row r="40" spans="1:3" x14ac:dyDescent="0.25">
      <c r="A40" s="386"/>
      <c r="B40" s="55" t="s">
        <v>790</v>
      </c>
      <c r="C40" s="55">
        <f>COUNTIF('Override Control Env3'!$I$71:$I$81,0)</f>
        <v>11</v>
      </c>
    </row>
    <row r="41" spans="1:3" x14ac:dyDescent="0.25">
      <c r="A41" s="386" t="s">
        <v>590</v>
      </c>
      <c r="B41" s="55" t="s">
        <v>19</v>
      </c>
      <c r="C41" s="55">
        <f>COUNTIF('Override Control Env3'!$I$82:$I$91,B41)</f>
        <v>0</v>
      </c>
    </row>
    <row r="42" spans="1:3" x14ac:dyDescent="0.25">
      <c r="A42" s="386"/>
      <c r="B42" s="55" t="s">
        <v>30</v>
      </c>
      <c r="C42" s="55">
        <f>COUNTIF('Override Control Env3'!$I$82:$I$91,B42)</f>
        <v>0</v>
      </c>
    </row>
    <row r="43" spans="1:3" x14ac:dyDescent="0.25">
      <c r="A43" s="386"/>
      <c r="B43" s="55" t="s">
        <v>41</v>
      </c>
      <c r="C43" s="55">
        <f>COUNTIF('Override Control Env3'!$I$82:$I$91,B43)</f>
        <v>0</v>
      </c>
    </row>
    <row r="44" spans="1:3" x14ac:dyDescent="0.25">
      <c r="A44" s="386"/>
      <c r="B44" s="55" t="s">
        <v>52</v>
      </c>
      <c r="C44" s="55">
        <f>COUNTIF('Override Control Env3'!$I$82:$I$91,B44)</f>
        <v>0</v>
      </c>
    </row>
    <row r="45" spans="1:3" x14ac:dyDescent="0.25">
      <c r="A45" s="386"/>
      <c r="B45" s="55" t="s">
        <v>790</v>
      </c>
      <c r="C45" s="55">
        <f>COUNTIF('Override Control Env3'!$I$82:$I$91,0)</f>
        <v>10</v>
      </c>
    </row>
    <row r="46" spans="1:3" x14ac:dyDescent="0.25">
      <c r="A46" s="386" t="s">
        <v>799</v>
      </c>
      <c r="B46" s="55" t="s">
        <v>19</v>
      </c>
      <c r="C46" s="55" t="e">
        <f>COUNTIF('Override Control Env3'!#REF!,B46)</f>
        <v>#REF!</v>
      </c>
    </row>
    <row r="47" spans="1:3" x14ac:dyDescent="0.25">
      <c r="A47" s="386"/>
      <c r="B47" s="55" t="s">
        <v>30</v>
      </c>
      <c r="C47" s="55" t="e">
        <f>COUNTIF('Override Control Env3'!#REF!,B47)</f>
        <v>#REF!</v>
      </c>
    </row>
    <row r="48" spans="1:3" x14ac:dyDescent="0.25">
      <c r="A48" s="386"/>
      <c r="B48" s="55" t="s">
        <v>41</v>
      </c>
      <c r="C48" s="55" t="e">
        <f>COUNTIF('Override Control Env3'!#REF!,B48)</f>
        <v>#REF!</v>
      </c>
    </row>
    <row r="49" spans="1:3" x14ac:dyDescent="0.25">
      <c r="A49" s="386"/>
      <c r="B49" s="55" t="s">
        <v>52</v>
      </c>
      <c r="C49" s="55" t="e">
        <f>COUNTIF('Override Control Env3'!#REF!,B49)</f>
        <v>#REF!</v>
      </c>
    </row>
    <row r="50" spans="1:3" x14ac:dyDescent="0.25">
      <c r="A50" s="386"/>
      <c r="B50" s="55" t="s">
        <v>790</v>
      </c>
      <c r="C50" s="55" t="e">
        <f>COUNTIF('Override Control Env3'!#REF!,0)</f>
        <v>#REF!</v>
      </c>
    </row>
    <row r="51" spans="1:3" x14ac:dyDescent="0.25">
      <c r="A51" s="386" t="s">
        <v>800</v>
      </c>
      <c r="B51" s="55" t="s">
        <v>19</v>
      </c>
      <c r="C51" s="55" t="e">
        <f>COUNTIF('Override Control Env3'!#REF!,B51)</f>
        <v>#REF!</v>
      </c>
    </row>
    <row r="52" spans="1:3" x14ac:dyDescent="0.25">
      <c r="A52" s="386"/>
      <c r="B52" s="55" t="s">
        <v>30</v>
      </c>
      <c r="C52" s="55" t="e">
        <f>COUNTIF('Override Control Env3'!#REF!,B52)</f>
        <v>#REF!</v>
      </c>
    </row>
    <row r="53" spans="1:3" x14ac:dyDescent="0.25">
      <c r="A53" s="386"/>
      <c r="B53" s="55" t="s">
        <v>41</v>
      </c>
      <c r="C53" s="55" t="e">
        <f>COUNTIF('Override Control Env3'!#REF!,B53)</f>
        <v>#REF!</v>
      </c>
    </row>
    <row r="54" spans="1:3" x14ac:dyDescent="0.25">
      <c r="A54" s="386"/>
      <c r="B54" s="55" t="s">
        <v>52</v>
      </c>
      <c r="C54" s="55" t="e">
        <f>COUNTIF('Override Control Env3'!#REF!,B54)</f>
        <v>#REF!</v>
      </c>
    </row>
    <row r="55" spans="1:3" x14ac:dyDescent="0.25">
      <c r="A55" s="386"/>
      <c r="B55" s="55" t="s">
        <v>790</v>
      </c>
      <c r="C55" s="55" t="e">
        <f>COUNTIF('Override Control Env3'!#REF!,0)</f>
        <v>#REF!</v>
      </c>
    </row>
    <row r="56" spans="1:3" x14ac:dyDescent="0.25">
      <c r="A56" s="386" t="s">
        <v>801</v>
      </c>
      <c r="B56" s="55" t="s">
        <v>19</v>
      </c>
      <c r="C56" s="55" t="e">
        <f>COUNTIF('Override Control Env3'!#REF!,B56)</f>
        <v>#REF!</v>
      </c>
    </row>
    <row r="57" spans="1:3" x14ac:dyDescent="0.25">
      <c r="A57" s="386"/>
      <c r="B57" s="55" t="s">
        <v>30</v>
      </c>
      <c r="C57" s="55" t="e">
        <f>COUNTIF('Override Control Env3'!#REF!,B57)</f>
        <v>#REF!</v>
      </c>
    </row>
    <row r="58" spans="1:3" x14ac:dyDescent="0.25">
      <c r="A58" s="386"/>
      <c r="B58" s="55" t="s">
        <v>41</v>
      </c>
      <c r="C58" s="55" t="e">
        <f>COUNTIF('Override Control Env3'!#REF!,B58)</f>
        <v>#REF!</v>
      </c>
    </row>
    <row r="59" spans="1:3" x14ac:dyDescent="0.25">
      <c r="A59" s="386"/>
      <c r="B59" s="55" t="s">
        <v>52</v>
      </c>
      <c r="C59" s="55" t="e">
        <f>COUNTIF('Override Control Env3'!#REF!,B59)</f>
        <v>#REF!</v>
      </c>
    </row>
    <row r="60" spans="1:3" x14ac:dyDescent="0.25">
      <c r="A60" s="386"/>
      <c r="B60" s="55" t="s">
        <v>790</v>
      </c>
      <c r="C60" s="55" t="e">
        <f>COUNTIF('Override Control Env3'!#REF!,0)</f>
        <v>#REF!</v>
      </c>
    </row>
    <row r="61" spans="1:3" x14ac:dyDescent="0.25">
      <c r="A61" s="386" t="s">
        <v>621</v>
      </c>
      <c r="B61" s="55" t="s">
        <v>19</v>
      </c>
      <c r="C61" s="55">
        <f>COUNTIF('Override Control Env3'!$I$92:$I$102,B61)</f>
        <v>0</v>
      </c>
    </row>
    <row r="62" spans="1:3" x14ac:dyDescent="0.25">
      <c r="A62" s="386"/>
      <c r="B62" s="55" t="s">
        <v>30</v>
      </c>
      <c r="C62" s="55">
        <f>COUNTIF('Override Control Env3'!$I$92:$I$102,B62)</f>
        <v>0</v>
      </c>
    </row>
    <row r="63" spans="1:3" x14ac:dyDescent="0.25">
      <c r="A63" s="386"/>
      <c r="B63" s="55" t="s">
        <v>41</v>
      </c>
      <c r="C63" s="55">
        <f>COUNTIF('Override Control Env3'!$I$92:$I$102,B63)</f>
        <v>0</v>
      </c>
    </row>
    <row r="64" spans="1:3" x14ac:dyDescent="0.25">
      <c r="A64" s="386"/>
      <c r="B64" s="55" t="s">
        <v>52</v>
      </c>
      <c r="C64" s="55">
        <f>COUNTIF('Override Control Env3'!$I$92:$I$102,B64)</f>
        <v>0</v>
      </c>
    </row>
    <row r="65" spans="1:3" x14ac:dyDescent="0.25">
      <c r="A65" s="386"/>
      <c r="B65" s="55" t="s">
        <v>790</v>
      </c>
      <c r="C65" s="55">
        <f>COUNTIF('Override Control Env3'!$I$92:$I$102,0)</f>
        <v>11</v>
      </c>
    </row>
    <row r="66" spans="1:3" x14ac:dyDescent="0.25">
      <c r="A66" s="386" t="s">
        <v>802</v>
      </c>
      <c r="B66" s="55" t="s">
        <v>19</v>
      </c>
      <c r="C66" s="55" t="e">
        <f>COUNTIF('Override Control Env3'!#REF!,B66)</f>
        <v>#REF!</v>
      </c>
    </row>
    <row r="67" spans="1:3" x14ac:dyDescent="0.25">
      <c r="A67" s="386"/>
      <c r="B67" s="55" t="s">
        <v>30</v>
      </c>
      <c r="C67" s="55" t="e">
        <f>COUNTIF('Override Control Env3'!#REF!,B67)</f>
        <v>#REF!</v>
      </c>
    </row>
    <row r="68" spans="1:3" x14ac:dyDescent="0.25">
      <c r="A68" s="386"/>
      <c r="B68" s="55" t="s">
        <v>41</v>
      </c>
      <c r="C68" s="55" t="e">
        <f>COUNTIF('Override Control Env3'!#REF!,B68)</f>
        <v>#REF!</v>
      </c>
    </row>
    <row r="69" spans="1:3" x14ac:dyDescent="0.25">
      <c r="A69" s="386"/>
      <c r="B69" s="55" t="s">
        <v>52</v>
      </c>
      <c r="C69" s="55" t="e">
        <f>COUNTIF('Override Control Env3'!#REF!,B69)</f>
        <v>#REF!</v>
      </c>
    </row>
    <row r="70" spans="1:3" x14ac:dyDescent="0.25">
      <c r="A70" s="386"/>
      <c r="B70" s="55" t="s">
        <v>790</v>
      </c>
      <c r="C70" s="55" t="e">
        <f>COUNTIF('Override Control Env3'!#REF!,0)</f>
        <v>#REF!</v>
      </c>
    </row>
    <row r="71" spans="1:3" x14ac:dyDescent="0.25">
      <c r="A71" s="386" t="s">
        <v>778</v>
      </c>
      <c r="B71" s="55" t="s">
        <v>19</v>
      </c>
      <c r="C71" s="55">
        <f>COUNTIF('Override Control Env3'!$I$103:$I$111,B71)</f>
        <v>0</v>
      </c>
    </row>
    <row r="72" spans="1:3" x14ac:dyDescent="0.25">
      <c r="A72" s="386"/>
      <c r="B72" s="55" t="s">
        <v>30</v>
      </c>
      <c r="C72" s="55">
        <f>COUNTIF('Override Control Env3'!$I$103:$I$111,B72)</f>
        <v>0</v>
      </c>
    </row>
    <row r="73" spans="1:3" x14ac:dyDescent="0.25">
      <c r="A73" s="386"/>
      <c r="B73" s="55" t="s">
        <v>41</v>
      </c>
      <c r="C73" s="55">
        <f>COUNTIF('Override Control Env3'!$I$103:$I$111,B73)</f>
        <v>0</v>
      </c>
    </row>
    <row r="74" spans="1:3" x14ac:dyDescent="0.25">
      <c r="A74" s="386"/>
      <c r="B74" s="55" t="s">
        <v>52</v>
      </c>
      <c r="C74" s="55">
        <f>COUNTIF('Override Control Env3'!$I$103:$I$111,B74)</f>
        <v>0</v>
      </c>
    </row>
    <row r="75" spans="1:3" x14ac:dyDescent="0.25">
      <c r="A75" s="386"/>
      <c r="B75" s="55" t="s">
        <v>790</v>
      </c>
      <c r="C75" s="55">
        <f>COUNTIF('Override Control Env3'!$I$103:$I$111,B75)</f>
        <v>0</v>
      </c>
    </row>
    <row r="76" spans="1:3" x14ac:dyDescent="0.25">
      <c r="A76" s="386" t="s">
        <v>779</v>
      </c>
      <c r="B76" s="55" t="s">
        <v>19</v>
      </c>
      <c r="C76" s="55">
        <f>COUNTIF('Override Control Env3'!$I$112:$I$124,B76)</f>
        <v>0</v>
      </c>
    </row>
    <row r="77" spans="1:3" x14ac:dyDescent="0.25">
      <c r="A77" s="386"/>
      <c r="B77" s="55" t="s">
        <v>30</v>
      </c>
      <c r="C77" s="55">
        <f>COUNTIF('Override Control Env3'!$I$112:$I$124,B77)</f>
        <v>0</v>
      </c>
    </row>
    <row r="78" spans="1:3" x14ac:dyDescent="0.25">
      <c r="A78" s="386"/>
      <c r="B78" s="55" t="s">
        <v>41</v>
      </c>
      <c r="C78" s="55">
        <f>COUNTIF('Override Control Env3'!$I$112:$I$124,B78)</f>
        <v>0</v>
      </c>
    </row>
    <row r="79" spans="1:3" x14ac:dyDescent="0.25">
      <c r="A79" s="386"/>
      <c r="B79" s="55" t="s">
        <v>52</v>
      </c>
      <c r="C79" s="55">
        <f>COUNTIF('Override Control Env3'!$I$112:$I$124,B79)</f>
        <v>0</v>
      </c>
    </row>
    <row r="80" spans="1:3" x14ac:dyDescent="0.25">
      <c r="A80" s="386"/>
      <c r="B80" s="55" t="s">
        <v>790</v>
      </c>
      <c r="C80" s="55">
        <f>COUNTIF('Override Control Env3'!$I$112:$I$124,0)</f>
        <v>13</v>
      </c>
    </row>
    <row r="81" spans="1:3" x14ac:dyDescent="0.25">
      <c r="A81" s="386" t="s">
        <v>783</v>
      </c>
      <c r="B81" s="55" t="s">
        <v>19</v>
      </c>
      <c r="C81" s="55">
        <f>COUNTIF('Override Control Env3'!$I$125:$I$128,B81)</f>
        <v>0</v>
      </c>
    </row>
    <row r="82" spans="1:3" x14ac:dyDescent="0.25">
      <c r="A82" s="386"/>
      <c r="B82" s="55" t="s">
        <v>30</v>
      </c>
      <c r="C82" s="55">
        <f>COUNTIF('Override Control Env3'!$I$125:$I$128,B82)</f>
        <v>0</v>
      </c>
    </row>
    <row r="83" spans="1:3" x14ac:dyDescent="0.25">
      <c r="A83" s="386"/>
      <c r="B83" s="55" t="s">
        <v>41</v>
      </c>
      <c r="C83" s="55">
        <f>COUNTIF('Override Control Env3'!$I$125:$I$128,B83)</f>
        <v>0</v>
      </c>
    </row>
    <row r="84" spans="1:3" x14ac:dyDescent="0.25">
      <c r="A84" s="386"/>
      <c r="B84" s="55" t="s">
        <v>52</v>
      </c>
      <c r="C84" s="55">
        <f>COUNTIF('Override Control Env3'!$I$125:$I$128,B84)</f>
        <v>0</v>
      </c>
    </row>
    <row r="85" spans="1:3" x14ac:dyDescent="0.25">
      <c r="A85" s="386"/>
      <c r="B85" s="55" t="s">
        <v>790</v>
      </c>
      <c r="C85" s="55">
        <f>COUNTIF('Override Control Env3'!$I$125:$I$128,0)</f>
        <v>4</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9"/>
  <sheetViews>
    <sheetView showGridLines="0" workbookViewId="0">
      <selection activeCell="E1" sqref="E1:E1048576"/>
    </sheetView>
  </sheetViews>
  <sheetFormatPr defaultRowHeight="15" x14ac:dyDescent="0.25"/>
  <cols>
    <col min="1" max="1" width="29.28515625" bestFit="1" customWidth="1"/>
    <col min="3" max="3" width="0" hidden="1" customWidth="1"/>
    <col min="4" max="4" width="13.5703125" customWidth="1"/>
    <col min="5" max="5" width="0" hidden="1" customWidth="1"/>
  </cols>
  <sheetData>
    <row r="1" spans="1:5" ht="30" x14ac:dyDescent="0.25">
      <c r="A1" s="55" t="s">
        <v>762</v>
      </c>
      <c r="B1" s="55" t="s">
        <v>759</v>
      </c>
      <c r="C1" s="55" t="s">
        <v>759</v>
      </c>
      <c r="D1" s="113" t="s">
        <v>803</v>
      </c>
    </row>
    <row r="2" spans="1:5" x14ac:dyDescent="0.25">
      <c r="A2" s="386" t="s">
        <v>773</v>
      </c>
      <c r="B2" s="157" t="s">
        <v>804</v>
      </c>
      <c r="C2" s="55">
        <v>1</v>
      </c>
      <c r="D2" s="55">
        <f>COUNTIFS('Override Control Env1'!$C$9:$C$1006,C2,'Override Control Env1'!$L$9:$L$1006,"Inadequate",'Override Control Env1'!$D$9:$D$1006,E2)</f>
        <v>0</v>
      </c>
      <c r="E2" t="s">
        <v>773</v>
      </c>
    </row>
    <row r="3" spans="1:5" x14ac:dyDescent="0.25">
      <c r="A3" s="386"/>
      <c r="B3" s="157" t="s">
        <v>805</v>
      </c>
      <c r="C3" s="55">
        <v>2</v>
      </c>
      <c r="D3" s="55">
        <f>COUNTIFS('Override Control Env1'!$C$9:$C$1006,C3,'Override Control Env1'!$L$9:$L$1006,"Inadequate",'Override Control Env1'!$D$9:$D$1006,E3)</f>
        <v>1</v>
      </c>
      <c r="E3" t="s">
        <v>773</v>
      </c>
    </row>
    <row r="4" spans="1:5" x14ac:dyDescent="0.25">
      <c r="A4" s="386"/>
      <c r="B4" s="157" t="s">
        <v>806</v>
      </c>
      <c r="C4" s="55">
        <v>3</v>
      </c>
      <c r="D4" s="55">
        <f>COUNTIFS('Override Control Env1'!$C$9:$C$1006,C4,'Override Control Env1'!$L$9:$L$1006,"Inadequate",'Override Control Env1'!$D$9:$D$1006,E4)</f>
        <v>0</v>
      </c>
      <c r="E4" t="s">
        <v>773</v>
      </c>
    </row>
    <row r="5" spans="1:5" x14ac:dyDescent="0.25">
      <c r="A5" s="386"/>
      <c r="B5" s="157" t="s">
        <v>807</v>
      </c>
      <c r="C5" s="55">
        <v>4</v>
      </c>
      <c r="D5" s="55">
        <f>COUNTIFS('Override Control Env1'!$C$9:$C$1006,C5,'Override Control Env1'!$L$9:$L$1006,"Inadequate",'Override Control Env1'!$D$9:$D$1006,E5)</f>
        <v>3</v>
      </c>
      <c r="E5" t="s">
        <v>773</v>
      </c>
    </row>
    <row r="6" spans="1:5" x14ac:dyDescent="0.25">
      <c r="A6" s="386" t="s">
        <v>391</v>
      </c>
      <c r="B6" s="157" t="s">
        <v>804</v>
      </c>
      <c r="C6" s="55">
        <v>1</v>
      </c>
      <c r="D6" s="55">
        <f>COUNTIFS('Override Control Env1'!$C$9:$C$1006,C6,'Override Control Env1'!$L$9:$L$1006,"Inadequate",'Override Control Env1'!$D$9:$D$1006,E6)</f>
        <v>0</v>
      </c>
      <c r="E6" t="s">
        <v>391</v>
      </c>
    </row>
    <row r="7" spans="1:5" x14ac:dyDescent="0.25">
      <c r="A7" s="386"/>
      <c r="B7" s="157" t="s">
        <v>805</v>
      </c>
      <c r="C7" s="55">
        <v>2</v>
      </c>
      <c r="D7" s="55">
        <f>COUNTIFS('Override Control Env1'!$C$9:$C$1006,C7,'Override Control Env1'!$L$9:$L$1006,"Inadequate",'Override Control Env1'!$D$9:$D$1006,E7)</f>
        <v>2</v>
      </c>
      <c r="E7" t="s">
        <v>391</v>
      </c>
    </row>
    <row r="8" spans="1:5" x14ac:dyDescent="0.25">
      <c r="A8" s="386"/>
      <c r="B8" s="157" t="s">
        <v>806</v>
      </c>
      <c r="C8" s="55">
        <v>3</v>
      </c>
      <c r="D8" s="55">
        <f>COUNTIFS('Override Control Env1'!$C$9:$C$1006,C8,'Override Control Env1'!$L$9:$L$1006,"Inadequate",'Override Control Env1'!$D$9:$D$1006,E8)</f>
        <v>0</v>
      </c>
      <c r="E8" t="s">
        <v>391</v>
      </c>
    </row>
    <row r="9" spans="1:5" x14ac:dyDescent="0.25">
      <c r="A9" s="386"/>
      <c r="B9" s="157" t="s">
        <v>807</v>
      </c>
      <c r="C9" s="55">
        <v>4</v>
      </c>
      <c r="D9" s="55">
        <f>COUNTIFS('Override Control Env1'!$C$9:$C$1006,C9,'Override Control Env1'!$L$9:$L$1006,"Inadequate",'Override Control Env1'!$D$9:$D$1006,E9)</f>
        <v>0</v>
      </c>
      <c r="E9" t="s">
        <v>391</v>
      </c>
    </row>
    <row r="10" spans="1:5" x14ac:dyDescent="0.25">
      <c r="A10" s="386" t="s">
        <v>412</v>
      </c>
      <c r="B10" s="157" t="s">
        <v>804</v>
      </c>
      <c r="C10" s="55">
        <v>1</v>
      </c>
      <c r="D10" s="55">
        <f>COUNTIFS('Override Control Env1'!$C$9:$C$1006,C10,'Override Control Env1'!$L$9:$L$1006,"Inadequate",'Override Control Env1'!$D$9:$D$1006,E10)</f>
        <v>0</v>
      </c>
      <c r="E10" t="s">
        <v>412</v>
      </c>
    </row>
    <row r="11" spans="1:5" x14ac:dyDescent="0.25">
      <c r="A11" s="386"/>
      <c r="B11" s="157" t="s">
        <v>805</v>
      </c>
      <c r="C11" s="55">
        <v>2</v>
      </c>
      <c r="D11" s="55">
        <f>COUNTIFS('Override Control Env1'!$C$9:$C$1006,C11,'Override Control Env1'!$L$9:$L$1006,"Inadequate",'Override Control Env1'!$D$9:$D$1006,E11)</f>
        <v>0</v>
      </c>
      <c r="E11" t="s">
        <v>412</v>
      </c>
    </row>
    <row r="12" spans="1:5" x14ac:dyDescent="0.25">
      <c r="A12" s="386"/>
      <c r="B12" s="157" t="s">
        <v>806</v>
      </c>
      <c r="C12" s="55">
        <v>3</v>
      </c>
      <c r="D12" s="55">
        <f>COUNTIFS('Override Control Env1'!$C$9:$C$1006,C12,'Override Control Env1'!$L$9:$L$1006,"Inadequate",'Override Control Env1'!$D$9:$D$1006,E12)</f>
        <v>3</v>
      </c>
      <c r="E12" t="s">
        <v>412</v>
      </c>
    </row>
    <row r="13" spans="1:5" x14ac:dyDescent="0.25">
      <c r="A13" s="386"/>
      <c r="B13" s="157" t="s">
        <v>807</v>
      </c>
      <c r="C13" s="55">
        <v>4</v>
      </c>
      <c r="D13" s="55">
        <f>COUNTIFS('Override Control Env1'!$C$9:$C$1006,C13,'Override Control Env1'!$L$9:$L$1006,"Inadequate",'Override Control Env1'!$D$9:$D$1006,E13)</f>
        <v>0</v>
      </c>
      <c r="E13" t="s">
        <v>412</v>
      </c>
    </row>
    <row r="14" spans="1:5" x14ac:dyDescent="0.25">
      <c r="A14" s="386" t="s">
        <v>796</v>
      </c>
      <c r="B14" s="157" t="s">
        <v>804</v>
      </c>
      <c r="C14" s="55">
        <v>1</v>
      </c>
      <c r="D14" s="55">
        <f>COUNTIFS('Override Control Env1'!$C$9:$C$1006,C14,'Override Control Env1'!$L$9:$L$1006,"Inadequate",'Override Control Env1'!$D$9:$D$1006,E14)</f>
        <v>0</v>
      </c>
      <c r="E14" t="s">
        <v>796</v>
      </c>
    </row>
    <row r="15" spans="1:5" x14ac:dyDescent="0.25">
      <c r="A15" s="386"/>
      <c r="B15" s="157" t="s">
        <v>805</v>
      </c>
      <c r="C15" s="55">
        <v>2</v>
      </c>
      <c r="D15" s="55">
        <f>COUNTIFS('Override Control Env1'!$C$9:$C$1006,C15,'Override Control Env1'!$L$9:$L$1006,"Inadequate",'Override Control Env1'!$D$9:$D$1006,E15)</f>
        <v>0</v>
      </c>
      <c r="E15" t="s">
        <v>796</v>
      </c>
    </row>
    <row r="16" spans="1:5" x14ac:dyDescent="0.25">
      <c r="A16" s="386"/>
      <c r="B16" s="157" t="s">
        <v>806</v>
      </c>
      <c r="C16" s="55">
        <v>3</v>
      </c>
      <c r="D16" s="55">
        <f>COUNTIFS('Override Control Env1'!$C$9:$C$1006,C16,'Override Control Env1'!$L$9:$L$1006,"Inadequate",'Override Control Env1'!$D$9:$D$1006,E16)</f>
        <v>0</v>
      </c>
      <c r="E16" t="s">
        <v>796</v>
      </c>
    </row>
    <row r="17" spans="1:5" x14ac:dyDescent="0.25">
      <c r="A17" s="386"/>
      <c r="B17" s="157" t="s">
        <v>807</v>
      </c>
      <c r="C17" s="55">
        <v>4</v>
      </c>
      <c r="D17" s="55">
        <f>COUNTIFS('Override Control Env1'!$C$9:$C$1006,C17,'Override Control Env1'!$L$9:$L$1006,"Inadequate",'Override Control Env1'!$D$9:$D$1006,E17)</f>
        <v>0</v>
      </c>
      <c r="E17" t="s">
        <v>796</v>
      </c>
    </row>
    <row r="18" spans="1:5" x14ac:dyDescent="0.25">
      <c r="A18" s="386" t="s">
        <v>797</v>
      </c>
      <c r="B18" s="157" t="s">
        <v>804</v>
      </c>
      <c r="C18" s="55">
        <v>1</v>
      </c>
      <c r="D18" s="55">
        <f>COUNTIFS('Override Control Env1'!$C$9:$C$1006,C18,'Override Control Env1'!$L$9:$L$1006,"Inadequate",'Override Control Env1'!$D$9:$D$1006,E18)</f>
        <v>0</v>
      </c>
      <c r="E18" t="s">
        <v>797</v>
      </c>
    </row>
    <row r="19" spans="1:5" x14ac:dyDescent="0.25">
      <c r="A19" s="386"/>
      <c r="B19" s="157" t="s">
        <v>805</v>
      </c>
      <c r="C19" s="55">
        <v>2</v>
      </c>
      <c r="D19" s="55">
        <f>COUNTIFS('Override Control Env1'!$C$9:$C$1006,C19,'Override Control Env1'!$L$9:$L$1006,"Inadequate",'Override Control Env1'!$D$9:$D$1006,E19)</f>
        <v>0</v>
      </c>
      <c r="E19" t="s">
        <v>797</v>
      </c>
    </row>
    <row r="20" spans="1:5" x14ac:dyDescent="0.25">
      <c r="A20" s="386"/>
      <c r="B20" s="157" t="s">
        <v>806</v>
      </c>
      <c r="C20" s="55">
        <v>3</v>
      </c>
      <c r="D20" s="55">
        <f>COUNTIFS('Override Control Env1'!$C$9:$C$1006,C20,'Override Control Env1'!$L$9:$L$1006,"Inadequate",'Override Control Env1'!$D$9:$D$1006,E20)</f>
        <v>0</v>
      </c>
      <c r="E20" t="s">
        <v>797</v>
      </c>
    </row>
    <row r="21" spans="1:5" x14ac:dyDescent="0.25">
      <c r="A21" s="386"/>
      <c r="B21" s="157" t="s">
        <v>807</v>
      </c>
      <c r="C21" s="55">
        <v>4</v>
      </c>
      <c r="D21" s="55">
        <f>COUNTIFS('Override Control Env1'!$C$9:$C$1006,C21,'Override Control Env1'!$L$9:$L$1006,"Inadequate",'Override Control Env1'!$D$9:$D$1006,E21)</f>
        <v>0</v>
      </c>
      <c r="E21" t="s">
        <v>797</v>
      </c>
    </row>
    <row r="22" spans="1:5" x14ac:dyDescent="0.25">
      <c r="A22" s="387" t="s">
        <v>775</v>
      </c>
      <c r="B22" s="157" t="s">
        <v>804</v>
      </c>
      <c r="C22" s="55">
        <v>1</v>
      </c>
      <c r="D22" s="55">
        <f>COUNTIFS('Override Control Env1'!$C$9:$C$1006,C22,'Override Control Env1'!$L$9:$L$1006,"Inadequate",'Override Control Env1'!$D$9:$D$1006,E22)</f>
        <v>1</v>
      </c>
      <c r="E22" t="s">
        <v>775</v>
      </c>
    </row>
    <row r="23" spans="1:5" x14ac:dyDescent="0.25">
      <c r="A23" s="387"/>
      <c r="B23" s="157" t="s">
        <v>805</v>
      </c>
      <c r="C23" s="55">
        <v>2</v>
      </c>
      <c r="D23" s="55">
        <f>COUNTIFS('Override Control Env1'!$C$9:$C$1006,C23,'Override Control Env1'!$L$9:$L$1006,"Inadequate",'Override Control Env1'!$D$9:$D$1006,E23)</f>
        <v>0</v>
      </c>
      <c r="E23" t="s">
        <v>775</v>
      </c>
    </row>
    <row r="24" spans="1:5" x14ac:dyDescent="0.25">
      <c r="A24" s="387"/>
      <c r="B24" s="157" t="s">
        <v>806</v>
      </c>
      <c r="C24" s="55">
        <v>3</v>
      </c>
      <c r="D24" s="55">
        <f>COUNTIFS('Override Control Env1'!$C$9:$C$1006,C24,'Override Control Env1'!$L$9:$L$1006,"Inadequate",'Override Control Env1'!$D$9:$D$1006,E24)</f>
        <v>1</v>
      </c>
      <c r="E24" t="s">
        <v>775</v>
      </c>
    </row>
    <row r="25" spans="1:5" x14ac:dyDescent="0.25">
      <c r="A25" s="387"/>
      <c r="B25" s="157" t="s">
        <v>807</v>
      </c>
      <c r="C25" s="55">
        <v>4</v>
      </c>
      <c r="D25" s="55">
        <f>COUNTIFS('Override Control Env1'!$C$9:$C$1006,C25,'Override Control Env1'!$L$9:$L$1006,"Inadequate",'Override Control Env1'!$D$9:$D$1006,E25)</f>
        <v>2</v>
      </c>
      <c r="E25" t="s">
        <v>775</v>
      </c>
    </row>
    <row r="26" spans="1:5" x14ac:dyDescent="0.25">
      <c r="A26" s="386" t="s">
        <v>777</v>
      </c>
      <c r="B26" s="157" t="s">
        <v>804</v>
      </c>
      <c r="C26" s="55">
        <v>1</v>
      </c>
      <c r="D26" s="55">
        <f>COUNTIFS('Override Control Env1'!$C$9:$C$1006,C26,'Override Control Env1'!$L$9:$L$1006,"Inadequate",'Override Control Env1'!$D$9:$D$1006,E26)</f>
        <v>0</v>
      </c>
      <c r="E26" t="s">
        <v>777</v>
      </c>
    </row>
    <row r="27" spans="1:5" x14ac:dyDescent="0.25">
      <c r="A27" s="386"/>
      <c r="B27" s="157" t="s">
        <v>805</v>
      </c>
      <c r="C27" s="55">
        <v>2</v>
      </c>
      <c r="D27" s="55">
        <f>COUNTIFS('Override Control Env1'!$C$9:$C$1006,C27,'Override Control Env1'!$L$9:$L$1006,"Inadequate",'Override Control Env1'!$D$9:$D$1006,E27)</f>
        <v>2</v>
      </c>
      <c r="E27" t="s">
        <v>777</v>
      </c>
    </row>
    <row r="28" spans="1:5" x14ac:dyDescent="0.25">
      <c r="A28" s="386"/>
      <c r="B28" s="157" t="s">
        <v>806</v>
      </c>
      <c r="C28" s="55">
        <v>3</v>
      </c>
      <c r="D28" s="55">
        <f>COUNTIFS('Override Control Env1'!$C$9:$C$1006,C28,'Override Control Env1'!$L$9:$L$1006,"Inadequate",'Override Control Env1'!$D$9:$D$1006,E28)</f>
        <v>0</v>
      </c>
      <c r="E28" t="s">
        <v>777</v>
      </c>
    </row>
    <row r="29" spans="1:5" x14ac:dyDescent="0.25">
      <c r="A29" s="386"/>
      <c r="B29" s="157" t="s">
        <v>807</v>
      </c>
      <c r="C29" s="55">
        <v>4</v>
      </c>
      <c r="D29" s="55">
        <f>COUNTIFS('Override Control Env1'!$C$9:$C$1006,C29,'Override Control Env1'!$L$9:$L$1006,"Inadequate",'Override Control Env1'!$D$9:$D$1006,E29)</f>
        <v>0</v>
      </c>
      <c r="E29" t="s">
        <v>777</v>
      </c>
    </row>
    <row r="30" spans="1:5" x14ac:dyDescent="0.25">
      <c r="A30" s="386" t="s">
        <v>590</v>
      </c>
      <c r="B30" s="157" t="s">
        <v>804</v>
      </c>
      <c r="C30" s="55">
        <v>1</v>
      </c>
      <c r="D30" s="55">
        <f>COUNTIFS('Override Control Env1'!$C$9:$C$1006,C30,'Override Control Env1'!$L$9:$L$1006,"Inadequate",'Override Control Env1'!$D$9:$D$1006,E30)</f>
        <v>0</v>
      </c>
      <c r="E30" t="s">
        <v>590</v>
      </c>
    </row>
    <row r="31" spans="1:5" x14ac:dyDescent="0.25">
      <c r="A31" s="386"/>
      <c r="B31" s="157" t="s">
        <v>805</v>
      </c>
      <c r="C31" s="55">
        <v>2</v>
      </c>
      <c r="D31" s="55">
        <f>COUNTIFS('Override Control Env1'!$C$9:$C$1006,C31,'Override Control Env1'!$L$9:$L$1006,"Inadequate",'Override Control Env1'!$D$9:$D$1006,E31)</f>
        <v>0</v>
      </c>
      <c r="E31" t="s">
        <v>590</v>
      </c>
    </row>
    <row r="32" spans="1:5" x14ac:dyDescent="0.25">
      <c r="A32" s="386"/>
      <c r="B32" s="157" t="s">
        <v>806</v>
      </c>
      <c r="C32" s="55">
        <v>3</v>
      </c>
      <c r="D32" s="55">
        <f>COUNTIFS('Override Control Env1'!$C$9:$C$1006,C32,'Override Control Env1'!$L$9:$L$1006,"Inadequate",'Override Control Env1'!$D$9:$D$1006,E32)</f>
        <v>0</v>
      </c>
      <c r="E32" t="s">
        <v>590</v>
      </c>
    </row>
    <row r="33" spans="1:5" x14ac:dyDescent="0.25">
      <c r="A33" s="386"/>
      <c r="B33" s="157" t="s">
        <v>807</v>
      </c>
      <c r="C33" s="55">
        <v>4</v>
      </c>
      <c r="D33" s="55">
        <f>COUNTIFS('Override Control Env1'!$C$9:$C$1006,C33,'Override Control Env1'!$L$9:$L$1006,"Inadequate",'Override Control Env1'!$D$9:$D$1006,E33)</f>
        <v>1</v>
      </c>
      <c r="E33" t="s">
        <v>590</v>
      </c>
    </row>
    <row r="34" spans="1:5" x14ac:dyDescent="0.25">
      <c r="A34" s="386" t="s">
        <v>621</v>
      </c>
      <c r="B34" s="157" t="s">
        <v>804</v>
      </c>
      <c r="C34" s="55">
        <v>1</v>
      </c>
      <c r="D34" s="55">
        <f>COUNTIFS('Override Control Env1'!$C$9:$C$1006,C34,'Override Control Env1'!$L$9:$L$1006,"Inadequate",'Override Control Env1'!$D$9:$D$1006,E34)</f>
        <v>0</v>
      </c>
      <c r="E34" t="s">
        <v>621</v>
      </c>
    </row>
    <row r="35" spans="1:5" x14ac:dyDescent="0.25">
      <c r="A35" s="386"/>
      <c r="B35" s="157" t="s">
        <v>805</v>
      </c>
      <c r="C35" s="55">
        <v>2</v>
      </c>
      <c r="D35" s="55">
        <f>COUNTIFS('Override Control Env1'!$C$9:$C$1006,C35,'Override Control Env1'!$L$9:$L$1006,"Inadequate",'Override Control Env1'!$D$9:$D$1006,E35)</f>
        <v>0</v>
      </c>
      <c r="E35" t="s">
        <v>621</v>
      </c>
    </row>
    <row r="36" spans="1:5" x14ac:dyDescent="0.25">
      <c r="A36" s="386"/>
      <c r="B36" s="157" t="s">
        <v>806</v>
      </c>
      <c r="C36" s="55">
        <v>3</v>
      </c>
      <c r="D36" s="55">
        <f>COUNTIFS('Override Control Env1'!$C$9:$C$1006,C36,'Override Control Env1'!$L$9:$L$1006,"Inadequate",'Override Control Env1'!$D$9:$D$1006,E36)</f>
        <v>0</v>
      </c>
      <c r="E36" t="s">
        <v>621</v>
      </c>
    </row>
    <row r="37" spans="1:5" x14ac:dyDescent="0.25">
      <c r="A37" s="386"/>
      <c r="B37" s="157" t="s">
        <v>807</v>
      </c>
      <c r="C37" s="55">
        <v>4</v>
      </c>
      <c r="D37" s="55">
        <f>COUNTIFS('Override Control Env1'!$C$9:$C$1006,C37,'Override Control Env1'!$L$9:$L$1006,"Inadequate",'Override Control Env1'!$D$9:$D$1006,E37)</f>
        <v>5</v>
      </c>
      <c r="E37" t="s">
        <v>621</v>
      </c>
    </row>
    <row r="38" spans="1:5" x14ac:dyDescent="0.25">
      <c r="A38" s="386" t="s">
        <v>778</v>
      </c>
      <c r="B38" s="157" t="s">
        <v>804</v>
      </c>
      <c r="C38" s="55">
        <v>1</v>
      </c>
      <c r="D38" s="55">
        <f>COUNTIFS('Override Control Env1'!$C$9:$C$1006,C38,'Override Control Env1'!$L$9:$L$1006,"Inadequate",'Override Control Env1'!$D$9:$D$1006,E38)</f>
        <v>0</v>
      </c>
      <c r="E38" t="s">
        <v>778</v>
      </c>
    </row>
    <row r="39" spans="1:5" x14ac:dyDescent="0.25">
      <c r="A39" s="386"/>
      <c r="B39" s="157" t="s">
        <v>805</v>
      </c>
      <c r="C39" s="55">
        <v>2</v>
      </c>
      <c r="D39" s="55">
        <f>COUNTIFS('Override Control Env1'!$C$9:$C$1006,C39,'Override Control Env1'!$L$9:$L$1006,"Inadequate",'Override Control Env1'!$D$9:$D$1006,E39)</f>
        <v>0</v>
      </c>
      <c r="E39" t="s">
        <v>778</v>
      </c>
    </row>
    <row r="40" spans="1:5" x14ac:dyDescent="0.25">
      <c r="A40" s="386"/>
      <c r="B40" s="157" t="s">
        <v>806</v>
      </c>
      <c r="C40" s="55">
        <v>3</v>
      </c>
      <c r="D40" s="55">
        <f>COUNTIFS('Override Control Env1'!$C$9:$C$1006,C40,'Override Control Env1'!$L$9:$L$1006,"Inadequate",'Override Control Env1'!$D$9:$D$1006,E40)</f>
        <v>0</v>
      </c>
      <c r="E40" t="s">
        <v>778</v>
      </c>
    </row>
    <row r="41" spans="1:5" x14ac:dyDescent="0.25">
      <c r="A41" s="386"/>
      <c r="B41" s="157" t="s">
        <v>807</v>
      </c>
      <c r="C41" s="55">
        <v>4</v>
      </c>
      <c r="D41" s="55">
        <f>COUNTIFS('Override Control Env1'!$C$9:$C$1006,C41,'Override Control Env1'!$L$9:$L$1006,"Inadequate",'Override Control Env1'!$D$9:$D$1006,E41)</f>
        <v>3</v>
      </c>
      <c r="E41" t="s">
        <v>778</v>
      </c>
    </row>
    <row r="42" spans="1:5" x14ac:dyDescent="0.25">
      <c r="A42" s="386" t="s">
        <v>779</v>
      </c>
      <c r="B42" s="157" t="s">
        <v>804</v>
      </c>
      <c r="C42" s="55">
        <v>1</v>
      </c>
      <c r="D42" s="55">
        <f>COUNTIFS('Override Control Env1'!$C$9:$C$1006,C42,'Override Control Env1'!$L$9:$L$1006,"Inadequate",'Override Control Env1'!$D$9:$D$1006,E42)</f>
        <v>3</v>
      </c>
      <c r="E42" t="s">
        <v>779</v>
      </c>
    </row>
    <row r="43" spans="1:5" x14ac:dyDescent="0.25">
      <c r="A43" s="386"/>
      <c r="B43" s="157" t="s">
        <v>805</v>
      </c>
      <c r="C43" s="55">
        <v>2</v>
      </c>
      <c r="D43" s="55">
        <f>COUNTIFS('Override Control Env1'!$C$9:$C$1006,C43,'Override Control Env1'!$L$9:$L$1006,"Inadequate",'Override Control Env1'!$D$9:$D$1006,E43)</f>
        <v>0</v>
      </c>
      <c r="E43" t="s">
        <v>779</v>
      </c>
    </row>
    <row r="44" spans="1:5" x14ac:dyDescent="0.25">
      <c r="A44" s="386"/>
      <c r="B44" s="157" t="s">
        <v>806</v>
      </c>
      <c r="C44" s="55">
        <v>3</v>
      </c>
      <c r="D44" s="55">
        <f>COUNTIFS('Override Control Env1'!$C$9:$C$1006,C44,'Override Control Env1'!$L$9:$L$1006,"Inadequate",'Override Control Env1'!$D$9:$D$1006,E44)</f>
        <v>0</v>
      </c>
      <c r="E44" t="s">
        <v>779</v>
      </c>
    </row>
    <row r="45" spans="1:5" x14ac:dyDescent="0.25">
      <c r="A45" s="386"/>
      <c r="B45" s="157" t="s">
        <v>807</v>
      </c>
      <c r="C45" s="55">
        <v>4</v>
      </c>
      <c r="D45" s="55">
        <f>COUNTIFS('Override Control Env1'!$C$9:$C$1006,C45,'Override Control Env1'!$L$9:$L$1006,"Inadequate",'Override Control Env1'!$D$9:$D$1006,E45)</f>
        <v>2</v>
      </c>
      <c r="E45" t="s">
        <v>779</v>
      </c>
    </row>
    <row r="46" spans="1:5" x14ac:dyDescent="0.25">
      <c r="A46" s="386" t="s">
        <v>783</v>
      </c>
      <c r="B46" s="157" t="s">
        <v>804</v>
      </c>
      <c r="C46" s="55">
        <v>1</v>
      </c>
      <c r="D46" s="55">
        <f>COUNTIFS('Override Control Env1'!$C$9:$C$1006,C46,'Override Control Env1'!$L$9:$L$1006,"Inadequate",'Override Control Env1'!$D$9:$D$1006,E46)</f>
        <v>1</v>
      </c>
      <c r="E46" t="s">
        <v>783</v>
      </c>
    </row>
    <row r="47" spans="1:5" x14ac:dyDescent="0.25">
      <c r="A47" s="386"/>
      <c r="B47" s="157" t="s">
        <v>805</v>
      </c>
      <c r="C47" s="55">
        <v>2</v>
      </c>
      <c r="D47" s="55">
        <f>COUNTIFS('Override Control Env1'!$C$9:$C$1006,C47,'Override Control Env1'!$L$9:$L$1006,"Inadequate",'Override Control Env1'!$D$9:$D$1006,E47)</f>
        <v>0</v>
      </c>
      <c r="E47" t="s">
        <v>783</v>
      </c>
    </row>
    <row r="48" spans="1:5" x14ac:dyDescent="0.25">
      <c r="A48" s="386"/>
      <c r="B48" s="157" t="s">
        <v>806</v>
      </c>
      <c r="C48" s="55">
        <v>3</v>
      </c>
      <c r="D48" s="55">
        <f>COUNTIFS('Override Control Env1'!$C$9:$C$1006,C48,'Override Control Env1'!$L$9:$L$1006,"Inadequate",'Override Control Env1'!$D$9:$D$1006,E48)</f>
        <v>0</v>
      </c>
      <c r="E48" t="s">
        <v>783</v>
      </c>
    </row>
    <row r="49" spans="1:5" x14ac:dyDescent="0.25">
      <c r="A49" s="386"/>
      <c r="B49" s="157" t="s">
        <v>807</v>
      </c>
      <c r="C49" s="55">
        <v>4</v>
      </c>
      <c r="D49" s="55">
        <f>COUNTIFS('Override Control Env1'!$C$9:$C$1006,C49,'Override Control Env1'!$L$9:$L$1006,"Inadequate",'Override Control Env1'!$D$9:$D$1006,E49)</f>
        <v>1</v>
      </c>
      <c r="E49" t="s">
        <v>783</v>
      </c>
    </row>
  </sheetData>
  <mergeCells count="12">
    <mergeCell ref="A42:A45"/>
    <mergeCell ref="A46:A49"/>
    <mergeCell ref="A22:A25"/>
    <mergeCell ref="A26:A29"/>
    <mergeCell ref="A30:A33"/>
    <mergeCell ref="A34:A37"/>
    <mergeCell ref="A38:A41"/>
    <mergeCell ref="A2:A5"/>
    <mergeCell ref="A6:A9"/>
    <mergeCell ref="A10:A13"/>
    <mergeCell ref="A14:A17"/>
    <mergeCell ref="A18:A2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9"/>
  <sheetViews>
    <sheetView showGridLines="0" workbookViewId="0">
      <selection activeCell="E1" sqref="E1:E1048576"/>
    </sheetView>
  </sheetViews>
  <sheetFormatPr defaultColWidth="9" defaultRowHeight="15" x14ac:dyDescent="0.25"/>
  <cols>
    <col min="1" max="1" width="29.28515625" bestFit="1" customWidth="1"/>
    <col min="3" max="3" width="9" hidden="1" customWidth="1"/>
    <col min="4" max="4" width="11.85546875" customWidth="1"/>
    <col min="5" max="5" width="0" hidden="1" customWidth="1"/>
  </cols>
  <sheetData>
    <row r="1" spans="1:5" ht="45" x14ac:dyDescent="0.25">
      <c r="A1" s="55" t="s">
        <v>762</v>
      </c>
      <c r="B1" s="55" t="s">
        <v>759</v>
      </c>
      <c r="C1" s="55" t="s">
        <v>759</v>
      </c>
      <c r="D1" s="113" t="s">
        <v>803</v>
      </c>
    </row>
    <row r="2" spans="1:5" x14ac:dyDescent="0.25">
      <c r="A2" s="386" t="s">
        <v>773</v>
      </c>
      <c r="B2" s="157" t="s">
        <v>804</v>
      </c>
      <c r="C2" s="55">
        <v>1</v>
      </c>
      <c r="D2" s="55">
        <f>COUNTIFS('Override Control Env2'!$C$9:$C$1006,C2,'Override Control Env2'!$L$9:$L$1006,"Inadequate",'Override Control Env2'!$D$9:$D$1006,E2)</f>
        <v>0</v>
      </c>
      <c r="E2" t="s">
        <v>773</v>
      </c>
    </row>
    <row r="3" spans="1:5" x14ac:dyDescent="0.25">
      <c r="A3" s="386"/>
      <c r="B3" s="157" t="s">
        <v>805</v>
      </c>
      <c r="C3" s="55">
        <v>2</v>
      </c>
      <c r="D3" s="55">
        <f>COUNTIFS('Override Control Env2'!$C$9:$C$1006,C3,'Override Control Env2'!$L$9:$L$1006,"Inadequate",'Override Control Env2'!$D$9:$D$1006,E3)</f>
        <v>0</v>
      </c>
      <c r="E3" t="s">
        <v>773</v>
      </c>
    </row>
    <row r="4" spans="1:5" x14ac:dyDescent="0.25">
      <c r="A4" s="386"/>
      <c r="B4" s="157" t="s">
        <v>806</v>
      </c>
      <c r="C4" s="55">
        <v>3</v>
      </c>
      <c r="D4" s="55">
        <f>COUNTIFS('Override Control Env2'!$C$9:$C$1006,C4,'Override Control Env2'!$L$9:$L$1006,"Inadequate",'Override Control Env2'!$D$9:$D$1006,E4)</f>
        <v>0</v>
      </c>
      <c r="E4" t="s">
        <v>773</v>
      </c>
    </row>
    <row r="5" spans="1:5" x14ac:dyDescent="0.25">
      <c r="A5" s="386"/>
      <c r="B5" s="157" t="s">
        <v>807</v>
      </c>
      <c r="C5" s="55">
        <v>4</v>
      </c>
      <c r="D5" s="55">
        <f>COUNTIFS('Override Control Env2'!$C$9:$C$1006,C5,'Override Control Env2'!$L$9:$L$1006,"Inadequate",'Override Control Env2'!$D$9:$D$1006,E5)</f>
        <v>0</v>
      </c>
      <c r="E5" t="s">
        <v>773</v>
      </c>
    </row>
    <row r="6" spans="1:5" x14ac:dyDescent="0.25">
      <c r="A6" s="386" t="s">
        <v>391</v>
      </c>
      <c r="B6" s="157" t="s">
        <v>804</v>
      </c>
      <c r="C6" s="55">
        <v>1</v>
      </c>
      <c r="D6" s="55">
        <f>COUNTIFS('Override Control Env2'!$C$9:$C$1006,C6,'Override Control Env2'!$L$9:$L$1006,"Inadequate",'Override Control Env2'!$D$9:$D$1006,E6)</f>
        <v>0</v>
      </c>
      <c r="E6" t="s">
        <v>391</v>
      </c>
    </row>
    <row r="7" spans="1:5" x14ac:dyDescent="0.25">
      <c r="A7" s="386"/>
      <c r="B7" s="157" t="s">
        <v>805</v>
      </c>
      <c r="C7" s="55">
        <v>2</v>
      </c>
      <c r="D7" s="55">
        <f>COUNTIFS('Override Control Env2'!$C$9:$C$1006,C7,'Override Control Env2'!$L$9:$L$1006,"Inadequate",'Override Control Env2'!$D$9:$D$1006,E7)</f>
        <v>0</v>
      </c>
      <c r="E7" t="s">
        <v>391</v>
      </c>
    </row>
    <row r="8" spans="1:5" x14ac:dyDescent="0.25">
      <c r="A8" s="386"/>
      <c r="B8" s="157" t="s">
        <v>806</v>
      </c>
      <c r="C8" s="55">
        <v>3</v>
      </c>
      <c r="D8" s="55">
        <f>COUNTIFS('Override Control Env2'!$C$9:$C$1006,C8,'Override Control Env2'!$L$9:$L$1006,"Inadequate",'Override Control Env2'!$D$9:$D$1006,E8)</f>
        <v>0</v>
      </c>
      <c r="E8" t="s">
        <v>391</v>
      </c>
    </row>
    <row r="9" spans="1:5" x14ac:dyDescent="0.25">
      <c r="A9" s="386"/>
      <c r="B9" s="157" t="s">
        <v>807</v>
      </c>
      <c r="C9" s="55">
        <v>4</v>
      </c>
      <c r="D9" s="55">
        <f>COUNTIFS('Override Control Env2'!$C$9:$C$1006,C9,'Override Control Env2'!$L$9:$L$1006,"Inadequate",'Override Control Env2'!$D$9:$D$1006,E9)</f>
        <v>0</v>
      </c>
      <c r="E9" t="s">
        <v>391</v>
      </c>
    </row>
    <row r="10" spans="1:5" x14ac:dyDescent="0.25">
      <c r="A10" s="386" t="s">
        <v>412</v>
      </c>
      <c r="B10" s="157" t="s">
        <v>804</v>
      </c>
      <c r="C10" s="55">
        <v>1</v>
      </c>
      <c r="D10" s="55">
        <f>COUNTIFS('Override Control Env2'!$C$9:$C$1006,C10,'Override Control Env2'!$L$9:$L$1006,"Inadequate",'Override Control Env2'!$D$9:$D$1006,E10)</f>
        <v>0</v>
      </c>
      <c r="E10" t="s">
        <v>412</v>
      </c>
    </row>
    <row r="11" spans="1:5" x14ac:dyDescent="0.25">
      <c r="A11" s="386"/>
      <c r="B11" s="157" t="s">
        <v>805</v>
      </c>
      <c r="C11" s="55">
        <v>2</v>
      </c>
      <c r="D11" s="55">
        <f>COUNTIFS('Override Control Env2'!$C$9:$C$1006,C11,'Override Control Env2'!$L$9:$L$1006,"Inadequate",'Override Control Env2'!$D$9:$D$1006,E11)</f>
        <v>0</v>
      </c>
      <c r="E11" t="s">
        <v>412</v>
      </c>
    </row>
    <row r="12" spans="1:5" x14ac:dyDescent="0.25">
      <c r="A12" s="386"/>
      <c r="B12" s="157" t="s">
        <v>806</v>
      </c>
      <c r="C12" s="55">
        <v>3</v>
      </c>
      <c r="D12" s="55">
        <f>COUNTIFS('Override Control Env2'!$C$9:$C$1006,C12,'Override Control Env2'!$L$9:$L$1006,"Inadequate",'Override Control Env2'!$D$9:$D$1006,E12)</f>
        <v>0</v>
      </c>
      <c r="E12" t="s">
        <v>412</v>
      </c>
    </row>
    <row r="13" spans="1:5" x14ac:dyDescent="0.25">
      <c r="A13" s="386"/>
      <c r="B13" s="157" t="s">
        <v>807</v>
      </c>
      <c r="C13" s="55">
        <v>4</v>
      </c>
      <c r="D13" s="55">
        <f>COUNTIFS('Override Control Env2'!$C$9:$C$1006,C13,'Override Control Env2'!$L$9:$L$1006,"Inadequate",'Override Control Env2'!$D$9:$D$1006,E13)</f>
        <v>0</v>
      </c>
      <c r="E13" t="s">
        <v>412</v>
      </c>
    </row>
    <row r="14" spans="1:5" x14ac:dyDescent="0.25">
      <c r="A14" s="386" t="s">
        <v>796</v>
      </c>
      <c r="B14" s="157" t="s">
        <v>804</v>
      </c>
      <c r="C14" s="55">
        <v>1</v>
      </c>
      <c r="D14" s="55">
        <f>COUNTIFS('Override Control Env2'!$C$9:$C$1006,C14,'Override Control Env2'!$L$9:$L$1006,"Inadequate",'Override Control Env2'!$D$9:$D$1006,E14)</f>
        <v>0</v>
      </c>
      <c r="E14" t="s">
        <v>796</v>
      </c>
    </row>
    <row r="15" spans="1:5" x14ac:dyDescent="0.25">
      <c r="A15" s="386"/>
      <c r="B15" s="157" t="s">
        <v>805</v>
      </c>
      <c r="C15" s="55">
        <v>2</v>
      </c>
      <c r="D15" s="55">
        <f>COUNTIFS('Override Control Env2'!$C$9:$C$1006,C15,'Override Control Env2'!$L$9:$L$1006,"Inadequate",'Override Control Env2'!$D$9:$D$1006,E15)</f>
        <v>0</v>
      </c>
      <c r="E15" t="s">
        <v>796</v>
      </c>
    </row>
    <row r="16" spans="1:5" x14ac:dyDescent="0.25">
      <c r="A16" s="386"/>
      <c r="B16" s="157" t="s">
        <v>806</v>
      </c>
      <c r="C16" s="55">
        <v>3</v>
      </c>
      <c r="D16" s="55">
        <f>COUNTIFS('Override Control Env2'!$C$9:$C$1006,C16,'Override Control Env2'!$L$9:$L$1006,"Inadequate",'Override Control Env2'!$D$9:$D$1006,E16)</f>
        <v>0</v>
      </c>
      <c r="E16" t="s">
        <v>796</v>
      </c>
    </row>
    <row r="17" spans="1:5" x14ac:dyDescent="0.25">
      <c r="A17" s="386"/>
      <c r="B17" s="157" t="s">
        <v>807</v>
      </c>
      <c r="C17" s="55">
        <v>4</v>
      </c>
      <c r="D17" s="55">
        <f>COUNTIFS('Override Control Env2'!$C$9:$C$1006,C17,'Override Control Env2'!$L$9:$L$1006,"Inadequate",'Override Control Env2'!$D$9:$D$1006,E17)</f>
        <v>0</v>
      </c>
      <c r="E17" t="s">
        <v>796</v>
      </c>
    </row>
    <row r="18" spans="1:5" x14ac:dyDescent="0.25">
      <c r="A18" s="386" t="s">
        <v>797</v>
      </c>
      <c r="B18" s="157" t="s">
        <v>804</v>
      </c>
      <c r="C18" s="55">
        <v>1</v>
      </c>
      <c r="D18" s="55">
        <f>COUNTIFS('Override Control Env2'!$C$9:$C$1006,C18,'Override Control Env2'!$L$9:$L$1006,"Inadequate",'Override Control Env2'!$D$9:$D$1006,E18)</f>
        <v>0</v>
      </c>
      <c r="E18" t="s">
        <v>797</v>
      </c>
    </row>
    <row r="19" spans="1:5" x14ac:dyDescent="0.25">
      <c r="A19" s="386"/>
      <c r="B19" s="157" t="s">
        <v>805</v>
      </c>
      <c r="C19" s="55">
        <v>2</v>
      </c>
      <c r="D19" s="55">
        <f>COUNTIFS('Override Control Env2'!$C$9:$C$1006,C19,'Override Control Env2'!$L$9:$L$1006,"Inadequate",'Override Control Env2'!$D$9:$D$1006,E19)</f>
        <v>0</v>
      </c>
      <c r="E19" t="s">
        <v>797</v>
      </c>
    </row>
    <row r="20" spans="1:5" x14ac:dyDescent="0.25">
      <c r="A20" s="386"/>
      <c r="B20" s="157" t="s">
        <v>806</v>
      </c>
      <c r="C20" s="55">
        <v>3</v>
      </c>
      <c r="D20" s="55">
        <f>COUNTIFS('Override Control Env2'!$C$9:$C$1006,C20,'Override Control Env2'!$L$9:$L$1006,"Inadequate",'Override Control Env2'!$D$9:$D$1006,E20)</f>
        <v>0</v>
      </c>
      <c r="E20" t="s">
        <v>797</v>
      </c>
    </row>
    <row r="21" spans="1:5" x14ac:dyDescent="0.25">
      <c r="A21" s="386"/>
      <c r="B21" s="157" t="s">
        <v>807</v>
      </c>
      <c r="C21" s="55">
        <v>4</v>
      </c>
      <c r="D21" s="55">
        <f>COUNTIFS('Override Control Env2'!$C$9:$C$1006,C21,'Override Control Env2'!$L$9:$L$1006,"Inadequate",'Override Control Env2'!$D$9:$D$1006,E21)</f>
        <v>0</v>
      </c>
      <c r="E21" t="s">
        <v>797</v>
      </c>
    </row>
    <row r="22" spans="1:5" x14ac:dyDescent="0.25">
      <c r="A22" s="387" t="s">
        <v>775</v>
      </c>
      <c r="B22" s="157" t="s">
        <v>804</v>
      </c>
      <c r="C22" s="55">
        <v>1</v>
      </c>
      <c r="D22" s="55">
        <f>COUNTIFS('Override Control Env2'!$C$9:$C$1006,C22,'Override Control Env2'!$L$9:$L$1006,"Inadequate",'Override Control Env2'!$D$9:$D$1006,E22)</f>
        <v>0</v>
      </c>
      <c r="E22" t="s">
        <v>775</v>
      </c>
    </row>
    <row r="23" spans="1:5" x14ac:dyDescent="0.25">
      <c r="A23" s="387"/>
      <c r="B23" s="157" t="s">
        <v>805</v>
      </c>
      <c r="C23" s="55">
        <v>2</v>
      </c>
      <c r="D23" s="55">
        <f>COUNTIFS('Override Control Env2'!$C$9:$C$1006,C23,'Override Control Env2'!$L$9:$L$1006,"Inadequate",'Override Control Env2'!$D$9:$D$1006,E23)</f>
        <v>0</v>
      </c>
      <c r="E23" t="s">
        <v>775</v>
      </c>
    </row>
    <row r="24" spans="1:5" x14ac:dyDescent="0.25">
      <c r="A24" s="387"/>
      <c r="B24" s="157" t="s">
        <v>806</v>
      </c>
      <c r="C24" s="55">
        <v>3</v>
      </c>
      <c r="D24" s="55">
        <f>COUNTIFS('Override Control Env2'!$C$9:$C$1006,C24,'Override Control Env2'!$L$9:$L$1006,"Inadequate",'Override Control Env2'!$D$9:$D$1006,E24)</f>
        <v>0</v>
      </c>
      <c r="E24" t="s">
        <v>775</v>
      </c>
    </row>
    <row r="25" spans="1:5" x14ac:dyDescent="0.25">
      <c r="A25" s="387"/>
      <c r="B25" s="157" t="s">
        <v>807</v>
      </c>
      <c r="C25" s="55">
        <v>4</v>
      </c>
      <c r="D25" s="55">
        <f>COUNTIFS('Override Control Env2'!$C$9:$C$1006,C25,'Override Control Env2'!$L$9:$L$1006,"Inadequate",'Override Control Env2'!$D$9:$D$1006,E25)</f>
        <v>0</v>
      </c>
      <c r="E25" t="s">
        <v>775</v>
      </c>
    </row>
    <row r="26" spans="1:5" x14ac:dyDescent="0.25">
      <c r="A26" s="386" t="s">
        <v>777</v>
      </c>
      <c r="B26" s="157" t="s">
        <v>804</v>
      </c>
      <c r="C26" s="55">
        <v>1</v>
      </c>
      <c r="D26" s="55">
        <f>COUNTIFS('Override Control Env2'!$C$9:$C$1006,C26,'Override Control Env2'!$L$9:$L$1006,"Inadequate",'Override Control Env2'!$D$9:$D$1006,E26)</f>
        <v>0</v>
      </c>
      <c r="E26" t="s">
        <v>777</v>
      </c>
    </row>
    <row r="27" spans="1:5" x14ac:dyDescent="0.25">
      <c r="A27" s="386"/>
      <c r="B27" s="157" t="s">
        <v>805</v>
      </c>
      <c r="C27" s="55">
        <v>2</v>
      </c>
      <c r="D27" s="55">
        <f>COUNTIFS('Override Control Env2'!$C$9:$C$1006,C27,'Override Control Env2'!$L$9:$L$1006,"Inadequate",'Override Control Env2'!$D$9:$D$1006,E27)</f>
        <v>0</v>
      </c>
      <c r="E27" t="s">
        <v>777</v>
      </c>
    </row>
    <row r="28" spans="1:5" x14ac:dyDescent="0.25">
      <c r="A28" s="386"/>
      <c r="B28" s="157" t="s">
        <v>806</v>
      </c>
      <c r="C28" s="55">
        <v>3</v>
      </c>
      <c r="D28" s="55">
        <f>COUNTIFS('Override Control Env2'!$C$9:$C$1006,C28,'Override Control Env2'!$L$9:$L$1006,"Inadequate",'Override Control Env2'!$D$9:$D$1006,E28)</f>
        <v>0</v>
      </c>
      <c r="E28" t="s">
        <v>777</v>
      </c>
    </row>
    <row r="29" spans="1:5" x14ac:dyDescent="0.25">
      <c r="A29" s="386"/>
      <c r="B29" s="157" t="s">
        <v>807</v>
      </c>
      <c r="C29" s="55">
        <v>4</v>
      </c>
      <c r="D29" s="55">
        <f>COUNTIFS('Override Control Env2'!$C$9:$C$1006,C29,'Override Control Env2'!$L$9:$L$1006,"Inadequate",'Override Control Env2'!$D$9:$D$1006,E29)</f>
        <v>0</v>
      </c>
      <c r="E29" t="s">
        <v>777</v>
      </c>
    </row>
    <row r="30" spans="1:5" x14ac:dyDescent="0.25">
      <c r="A30" s="386" t="s">
        <v>590</v>
      </c>
      <c r="B30" s="157" t="s">
        <v>804</v>
      </c>
      <c r="C30" s="55">
        <v>1</v>
      </c>
      <c r="D30" s="55">
        <f>COUNTIFS('Override Control Env2'!$C$9:$C$1006,C30,'Override Control Env2'!$L$9:$L$1006,"Inadequate",'Override Control Env2'!$D$9:$D$1006,E30)</f>
        <v>0</v>
      </c>
      <c r="E30" t="s">
        <v>590</v>
      </c>
    </row>
    <row r="31" spans="1:5" x14ac:dyDescent="0.25">
      <c r="A31" s="386"/>
      <c r="B31" s="157" t="s">
        <v>805</v>
      </c>
      <c r="C31" s="55">
        <v>2</v>
      </c>
      <c r="D31" s="55">
        <f>COUNTIFS('Override Control Env2'!$C$9:$C$1006,C31,'Override Control Env2'!$L$9:$L$1006,"Inadequate",'Override Control Env2'!$D$9:$D$1006,E31)</f>
        <v>0</v>
      </c>
      <c r="E31" t="s">
        <v>590</v>
      </c>
    </row>
    <row r="32" spans="1:5" x14ac:dyDescent="0.25">
      <c r="A32" s="386"/>
      <c r="B32" s="157" t="s">
        <v>806</v>
      </c>
      <c r="C32" s="55">
        <v>3</v>
      </c>
      <c r="D32" s="55">
        <f>COUNTIFS('Override Control Env2'!$C$9:$C$1006,C32,'Override Control Env2'!$L$9:$L$1006,"Inadequate",'Override Control Env2'!$D$9:$D$1006,E32)</f>
        <v>0</v>
      </c>
      <c r="E32" t="s">
        <v>590</v>
      </c>
    </row>
    <row r="33" spans="1:5" x14ac:dyDescent="0.25">
      <c r="A33" s="386"/>
      <c r="B33" s="157" t="s">
        <v>807</v>
      </c>
      <c r="C33" s="55">
        <v>4</v>
      </c>
      <c r="D33" s="55">
        <f>COUNTIFS('Override Control Env2'!$C$9:$C$1006,C33,'Override Control Env2'!$L$9:$L$1006,"Inadequate",'Override Control Env2'!$D$9:$D$1006,E33)</f>
        <v>0</v>
      </c>
      <c r="E33" t="s">
        <v>590</v>
      </c>
    </row>
    <row r="34" spans="1:5" x14ac:dyDescent="0.25">
      <c r="A34" s="386" t="s">
        <v>621</v>
      </c>
      <c r="B34" s="157" t="s">
        <v>804</v>
      </c>
      <c r="C34" s="55">
        <v>1</v>
      </c>
      <c r="D34" s="55">
        <f>COUNTIFS('Override Control Env2'!$C$9:$C$1006,C34,'Override Control Env2'!$L$9:$L$1006,"Inadequate",'Override Control Env2'!$D$9:$D$1006,E34)</f>
        <v>0</v>
      </c>
      <c r="E34" t="s">
        <v>621</v>
      </c>
    </row>
    <row r="35" spans="1:5" x14ac:dyDescent="0.25">
      <c r="A35" s="386"/>
      <c r="B35" s="157" t="s">
        <v>805</v>
      </c>
      <c r="C35" s="55">
        <v>2</v>
      </c>
      <c r="D35" s="55">
        <f>COUNTIFS('Override Control Env2'!$C$9:$C$1006,C35,'Override Control Env2'!$L$9:$L$1006,"Inadequate",'Override Control Env2'!$D$9:$D$1006,E35)</f>
        <v>0</v>
      </c>
      <c r="E35" t="s">
        <v>621</v>
      </c>
    </row>
    <row r="36" spans="1:5" x14ac:dyDescent="0.25">
      <c r="A36" s="386"/>
      <c r="B36" s="157" t="s">
        <v>806</v>
      </c>
      <c r="C36" s="55">
        <v>3</v>
      </c>
      <c r="D36" s="55">
        <f>COUNTIFS('Override Control Env2'!$C$9:$C$1006,C36,'Override Control Env2'!$L$9:$L$1006,"Inadequate",'Override Control Env2'!$D$9:$D$1006,E36)</f>
        <v>0</v>
      </c>
      <c r="E36" t="s">
        <v>621</v>
      </c>
    </row>
    <row r="37" spans="1:5" x14ac:dyDescent="0.25">
      <c r="A37" s="386"/>
      <c r="B37" s="157" t="s">
        <v>807</v>
      </c>
      <c r="C37" s="55">
        <v>4</v>
      </c>
      <c r="D37" s="55">
        <f>COUNTIFS('Override Control Env2'!$C$9:$C$1006,C37,'Override Control Env2'!$L$9:$L$1006,"Inadequate",'Override Control Env2'!$D$9:$D$1006,E37)</f>
        <v>0</v>
      </c>
      <c r="E37" t="s">
        <v>621</v>
      </c>
    </row>
    <row r="38" spans="1:5" x14ac:dyDescent="0.25">
      <c r="A38" s="386" t="s">
        <v>778</v>
      </c>
      <c r="B38" s="157" t="s">
        <v>804</v>
      </c>
      <c r="C38" s="55">
        <v>1</v>
      </c>
      <c r="D38" s="55">
        <f>COUNTIFS('Override Control Env2'!$C$9:$C$1006,C38,'Override Control Env2'!$L$9:$L$1006,"Inadequate",'Override Control Env2'!$D$9:$D$1006,E38)</f>
        <v>0</v>
      </c>
      <c r="E38" t="s">
        <v>778</v>
      </c>
    </row>
    <row r="39" spans="1:5" x14ac:dyDescent="0.25">
      <c r="A39" s="386"/>
      <c r="B39" s="157" t="s">
        <v>805</v>
      </c>
      <c r="C39" s="55">
        <v>2</v>
      </c>
      <c r="D39" s="55">
        <f>COUNTIFS('Override Control Env2'!$C$9:$C$1006,C39,'Override Control Env2'!$L$9:$L$1006,"Inadequate",'Override Control Env2'!$D$9:$D$1006,E39)</f>
        <v>0</v>
      </c>
      <c r="E39" t="s">
        <v>778</v>
      </c>
    </row>
    <row r="40" spans="1:5" x14ac:dyDescent="0.25">
      <c r="A40" s="386"/>
      <c r="B40" s="157" t="s">
        <v>806</v>
      </c>
      <c r="C40" s="55">
        <v>3</v>
      </c>
      <c r="D40" s="55">
        <f>COUNTIFS('Override Control Env2'!$C$9:$C$1006,C40,'Override Control Env2'!$L$9:$L$1006,"Inadequate",'Override Control Env2'!$D$9:$D$1006,E40)</f>
        <v>0</v>
      </c>
      <c r="E40" t="s">
        <v>778</v>
      </c>
    </row>
    <row r="41" spans="1:5" x14ac:dyDescent="0.25">
      <c r="A41" s="386"/>
      <c r="B41" s="157" t="s">
        <v>807</v>
      </c>
      <c r="C41" s="55">
        <v>4</v>
      </c>
      <c r="D41" s="55">
        <f>COUNTIFS('Override Control Env2'!$C$9:$C$1006,C41,'Override Control Env2'!$L$9:$L$1006,"Inadequate",'Override Control Env2'!$D$9:$D$1006,E41)</f>
        <v>0</v>
      </c>
      <c r="E41" t="s">
        <v>778</v>
      </c>
    </row>
    <row r="42" spans="1:5" x14ac:dyDescent="0.25">
      <c r="A42" s="386" t="s">
        <v>779</v>
      </c>
      <c r="B42" s="157" t="s">
        <v>804</v>
      </c>
      <c r="C42" s="55">
        <v>1</v>
      </c>
      <c r="D42" s="55">
        <f>COUNTIFS('Override Control Env2'!$C$9:$C$1006,C42,'Override Control Env2'!$L$9:$L$1006,"Inadequate",'Override Control Env2'!$D$9:$D$1006,E42)</f>
        <v>0</v>
      </c>
      <c r="E42" t="s">
        <v>779</v>
      </c>
    </row>
    <row r="43" spans="1:5" x14ac:dyDescent="0.25">
      <c r="A43" s="386"/>
      <c r="B43" s="157" t="s">
        <v>805</v>
      </c>
      <c r="C43" s="55">
        <v>2</v>
      </c>
      <c r="D43" s="55">
        <f>COUNTIFS('Override Control Env2'!$C$9:$C$1006,C43,'Override Control Env2'!$L$9:$L$1006,"Inadequate",'Override Control Env2'!$D$9:$D$1006,E43)</f>
        <v>0</v>
      </c>
      <c r="E43" t="s">
        <v>779</v>
      </c>
    </row>
    <row r="44" spans="1:5" x14ac:dyDescent="0.25">
      <c r="A44" s="386"/>
      <c r="B44" s="157" t="s">
        <v>806</v>
      </c>
      <c r="C44" s="55">
        <v>3</v>
      </c>
      <c r="D44" s="55">
        <f>COUNTIFS('Override Control Env2'!$C$9:$C$1006,C44,'Override Control Env2'!$L$9:$L$1006,"Inadequate",'Override Control Env2'!$D$9:$D$1006,E44)</f>
        <v>0</v>
      </c>
      <c r="E44" t="s">
        <v>779</v>
      </c>
    </row>
    <row r="45" spans="1:5" x14ac:dyDescent="0.25">
      <c r="A45" s="386"/>
      <c r="B45" s="157" t="s">
        <v>807</v>
      </c>
      <c r="C45" s="55">
        <v>4</v>
      </c>
      <c r="D45" s="55">
        <f>COUNTIFS('Override Control Env2'!$C$9:$C$1006,C45,'Override Control Env2'!$L$9:$L$1006,"Inadequate",'Override Control Env2'!$D$9:$D$1006,E45)</f>
        <v>0</v>
      </c>
      <c r="E45" t="s">
        <v>779</v>
      </c>
    </row>
    <row r="46" spans="1:5" x14ac:dyDescent="0.25">
      <c r="A46" s="386" t="s">
        <v>783</v>
      </c>
      <c r="B46" s="157" t="s">
        <v>804</v>
      </c>
      <c r="C46" s="55">
        <v>1</v>
      </c>
      <c r="D46" s="55">
        <f>COUNTIFS('Override Control Env2'!$C$9:$C$1006,C46,'Override Control Env2'!$L$9:$L$1006,"Inadequate",'Override Control Env2'!$D$9:$D$1006,E46)</f>
        <v>0</v>
      </c>
      <c r="E46" t="s">
        <v>783</v>
      </c>
    </row>
    <row r="47" spans="1:5" x14ac:dyDescent="0.25">
      <c r="A47" s="386"/>
      <c r="B47" s="157" t="s">
        <v>805</v>
      </c>
      <c r="C47" s="55">
        <v>2</v>
      </c>
      <c r="D47" s="55">
        <f>COUNTIFS('Override Control Env2'!$C$9:$C$1006,C47,'Override Control Env2'!$L$9:$L$1006,"Inadequate",'Override Control Env2'!$D$9:$D$1006,E47)</f>
        <v>0</v>
      </c>
      <c r="E47" t="s">
        <v>783</v>
      </c>
    </row>
    <row r="48" spans="1:5" x14ac:dyDescent="0.25">
      <c r="A48" s="386"/>
      <c r="B48" s="157" t="s">
        <v>806</v>
      </c>
      <c r="C48" s="55">
        <v>3</v>
      </c>
      <c r="D48" s="55">
        <f>COUNTIFS('Override Control Env2'!$C$9:$C$1006,C48,'Override Control Env2'!$L$9:$L$1006,"Inadequate",'Override Control Env2'!$D$9:$D$1006,E48)</f>
        <v>0</v>
      </c>
      <c r="E48" t="s">
        <v>783</v>
      </c>
    </row>
    <row r="49" spans="1:5" x14ac:dyDescent="0.25">
      <c r="A49" s="386"/>
      <c r="B49" s="157" t="s">
        <v>807</v>
      </c>
      <c r="C49" s="55">
        <v>4</v>
      </c>
      <c r="D49" s="55">
        <f>COUNTIFS('Override Control Env2'!$C$9:$C$1006,C49,'Override Control Env2'!$L$9:$L$1006,"Inadequate",'Override Control Env2'!$D$9:$D$1006,E49)</f>
        <v>0</v>
      </c>
      <c r="E49" t="s">
        <v>783</v>
      </c>
    </row>
  </sheetData>
  <mergeCells count="12">
    <mergeCell ref="A42:A45"/>
    <mergeCell ref="A46:A49"/>
    <mergeCell ref="A22:A25"/>
    <mergeCell ref="A26:A29"/>
    <mergeCell ref="A30:A33"/>
    <mergeCell ref="A34:A37"/>
    <mergeCell ref="A38:A41"/>
    <mergeCell ref="A2:A5"/>
    <mergeCell ref="A6:A9"/>
    <mergeCell ref="A10:A13"/>
    <mergeCell ref="A14:A17"/>
    <mergeCell ref="A18:A2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9"/>
  <sheetViews>
    <sheetView showGridLines="0" workbookViewId="0">
      <selection activeCell="F2" sqref="F2"/>
    </sheetView>
  </sheetViews>
  <sheetFormatPr defaultColWidth="9" defaultRowHeight="15" x14ac:dyDescent="0.25"/>
  <cols>
    <col min="1" max="1" width="29.28515625" bestFit="1" customWidth="1"/>
    <col min="3" max="3" width="0" hidden="1" customWidth="1"/>
    <col min="4" max="4" width="14" customWidth="1"/>
    <col min="5" max="5" width="0" hidden="1" customWidth="1"/>
  </cols>
  <sheetData>
    <row r="1" spans="1:5" ht="30" x14ac:dyDescent="0.25">
      <c r="A1" s="55" t="s">
        <v>762</v>
      </c>
      <c r="B1" s="55" t="s">
        <v>759</v>
      </c>
      <c r="C1" s="55" t="s">
        <v>759</v>
      </c>
      <c r="D1" s="113" t="s">
        <v>803</v>
      </c>
    </row>
    <row r="2" spans="1:5" x14ac:dyDescent="0.25">
      <c r="A2" s="386" t="s">
        <v>773</v>
      </c>
      <c r="B2" s="157" t="s">
        <v>804</v>
      </c>
      <c r="C2" s="55">
        <v>1</v>
      </c>
      <c r="D2" s="55">
        <f>COUNTIFS('Override Control Env3'!$C$9:$C$1006,C2,'Override Control Env3'!$L$9:$L$1006,"Inadequate",'Override Control Env3'!$D$9:$D$1006,E2)</f>
        <v>0</v>
      </c>
      <c r="E2" t="s">
        <v>773</v>
      </c>
    </row>
    <row r="3" spans="1:5" x14ac:dyDescent="0.25">
      <c r="A3" s="386"/>
      <c r="B3" s="157" t="s">
        <v>805</v>
      </c>
      <c r="C3" s="55">
        <v>2</v>
      </c>
      <c r="D3" s="55">
        <f>COUNTIFS('Override Control Env3'!$C$9:$C$1006,C3,'Override Control Env3'!$L$9:$L$1006,"Inadequate",'Override Control Env3'!$D$9:$D$1006,E3)</f>
        <v>0</v>
      </c>
      <c r="E3" t="s">
        <v>773</v>
      </c>
    </row>
    <row r="4" spans="1:5" x14ac:dyDescent="0.25">
      <c r="A4" s="386"/>
      <c r="B4" s="157" t="s">
        <v>806</v>
      </c>
      <c r="C4" s="55">
        <v>3</v>
      </c>
      <c r="D4" s="55">
        <f>COUNTIFS('Override Control Env3'!$C$9:$C$1006,C4,'Override Control Env3'!$L$9:$L$1006,"Inadequate",'Override Control Env3'!$D$9:$D$1006,E4)</f>
        <v>0</v>
      </c>
      <c r="E4" t="s">
        <v>773</v>
      </c>
    </row>
    <row r="5" spans="1:5" x14ac:dyDescent="0.25">
      <c r="A5" s="386"/>
      <c r="B5" s="157" t="s">
        <v>807</v>
      </c>
      <c r="C5" s="55">
        <v>4</v>
      </c>
      <c r="D5" s="55">
        <f>COUNTIFS('Override Control Env3'!$C$9:$C$1006,C5,'Override Control Env3'!$L$9:$L$1006,"Inadequate",'Override Control Env3'!$D$9:$D$1006,E5)</f>
        <v>0</v>
      </c>
      <c r="E5" t="s">
        <v>773</v>
      </c>
    </row>
    <row r="6" spans="1:5" x14ac:dyDescent="0.25">
      <c r="A6" s="386" t="s">
        <v>391</v>
      </c>
      <c r="B6" s="157" t="s">
        <v>804</v>
      </c>
      <c r="C6" s="55">
        <v>1</v>
      </c>
      <c r="D6" s="55">
        <f>COUNTIFS('Override Control Env3'!$C$9:$C$1006,C6,'Override Control Env3'!$L$9:$L$1006,"Inadequate",'Override Control Env3'!$D$9:$D$1006,E6)</f>
        <v>0</v>
      </c>
      <c r="E6" t="s">
        <v>391</v>
      </c>
    </row>
    <row r="7" spans="1:5" x14ac:dyDescent="0.25">
      <c r="A7" s="386"/>
      <c r="B7" s="157" t="s">
        <v>805</v>
      </c>
      <c r="C7" s="55">
        <v>2</v>
      </c>
      <c r="D7" s="55">
        <f>COUNTIFS('Override Control Env3'!$C$9:$C$1006,C7,'Override Control Env3'!$L$9:$L$1006,"Inadequate",'Override Control Env3'!$D$9:$D$1006,E7)</f>
        <v>0</v>
      </c>
      <c r="E7" t="s">
        <v>391</v>
      </c>
    </row>
    <row r="8" spans="1:5" x14ac:dyDescent="0.25">
      <c r="A8" s="386"/>
      <c r="B8" s="157" t="s">
        <v>806</v>
      </c>
      <c r="C8" s="55">
        <v>3</v>
      </c>
      <c r="D8" s="55">
        <f>COUNTIFS('Override Control Env3'!$C$9:$C$1006,C8,'Override Control Env3'!$L$9:$L$1006,"Inadequate",'Override Control Env3'!$D$9:$D$1006,E8)</f>
        <v>0</v>
      </c>
      <c r="E8" t="s">
        <v>391</v>
      </c>
    </row>
    <row r="9" spans="1:5" x14ac:dyDescent="0.25">
      <c r="A9" s="386"/>
      <c r="B9" s="157" t="s">
        <v>807</v>
      </c>
      <c r="C9" s="55">
        <v>4</v>
      </c>
      <c r="D9" s="55">
        <f>COUNTIFS('Override Control Env3'!$C$9:$C$1006,C9,'Override Control Env3'!$L$9:$L$1006,"Inadequate",'Override Control Env3'!$D$9:$D$1006,E9)</f>
        <v>0</v>
      </c>
      <c r="E9" t="s">
        <v>391</v>
      </c>
    </row>
    <row r="10" spans="1:5" x14ac:dyDescent="0.25">
      <c r="A10" s="386" t="s">
        <v>412</v>
      </c>
      <c r="B10" s="157" t="s">
        <v>804</v>
      </c>
      <c r="C10" s="55">
        <v>1</v>
      </c>
      <c r="D10" s="55">
        <f>COUNTIFS('Override Control Env3'!$C$9:$C$1006,C10,'Override Control Env3'!$L$9:$L$1006,"Inadequate",'Override Control Env3'!$D$9:$D$1006,E10)</f>
        <v>0</v>
      </c>
      <c r="E10" t="s">
        <v>412</v>
      </c>
    </row>
    <row r="11" spans="1:5" x14ac:dyDescent="0.25">
      <c r="A11" s="386"/>
      <c r="B11" s="157" t="s">
        <v>805</v>
      </c>
      <c r="C11" s="55">
        <v>2</v>
      </c>
      <c r="D11" s="55">
        <f>COUNTIFS('Override Control Env3'!$C$9:$C$1006,C11,'Override Control Env3'!$L$9:$L$1006,"Inadequate",'Override Control Env3'!$D$9:$D$1006,E11)</f>
        <v>0</v>
      </c>
      <c r="E11" t="s">
        <v>412</v>
      </c>
    </row>
    <row r="12" spans="1:5" x14ac:dyDescent="0.25">
      <c r="A12" s="386"/>
      <c r="B12" s="157" t="s">
        <v>806</v>
      </c>
      <c r="C12" s="55">
        <v>3</v>
      </c>
      <c r="D12" s="55">
        <f>COUNTIFS('Override Control Env3'!$C$9:$C$1006,C12,'Override Control Env3'!$L$9:$L$1006,"Inadequate",'Override Control Env3'!$D$9:$D$1006,E12)</f>
        <v>0</v>
      </c>
      <c r="E12" t="s">
        <v>412</v>
      </c>
    </row>
    <row r="13" spans="1:5" x14ac:dyDescent="0.25">
      <c r="A13" s="386"/>
      <c r="B13" s="157" t="s">
        <v>807</v>
      </c>
      <c r="C13" s="55">
        <v>4</v>
      </c>
      <c r="D13" s="55">
        <f>COUNTIFS('Override Control Env3'!$C$9:$C$1006,C13,'Override Control Env3'!$L$9:$L$1006,"Inadequate",'Override Control Env3'!$D$9:$D$1006,E13)</f>
        <v>0</v>
      </c>
      <c r="E13" t="s">
        <v>412</v>
      </c>
    </row>
    <row r="14" spans="1:5" x14ac:dyDescent="0.25">
      <c r="A14" s="386" t="s">
        <v>796</v>
      </c>
      <c r="B14" s="157" t="s">
        <v>804</v>
      </c>
      <c r="C14" s="55">
        <v>1</v>
      </c>
      <c r="D14" s="55">
        <f>COUNTIFS('Override Control Env3'!$C$9:$C$1006,C14,'Override Control Env3'!$L$9:$L$1006,"Inadequate",'Override Control Env3'!$D$9:$D$1006,E14)</f>
        <v>0</v>
      </c>
      <c r="E14" t="s">
        <v>796</v>
      </c>
    </row>
    <row r="15" spans="1:5" x14ac:dyDescent="0.25">
      <c r="A15" s="386"/>
      <c r="B15" s="157" t="s">
        <v>805</v>
      </c>
      <c r="C15" s="55">
        <v>2</v>
      </c>
      <c r="D15" s="55">
        <f>COUNTIFS('Override Control Env3'!$C$9:$C$1006,C15,'Override Control Env3'!$L$9:$L$1006,"Inadequate",'Override Control Env3'!$D$9:$D$1006,E15)</f>
        <v>0</v>
      </c>
      <c r="E15" t="s">
        <v>796</v>
      </c>
    </row>
    <row r="16" spans="1:5" x14ac:dyDescent="0.25">
      <c r="A16" s="386"/>
      <c r="B16" s="157" t="s">
        <v>806</v>
      </c>
      <c r="C16" s="55">
        <v>3</v>
      </c>
      <c r="D16" s="55">
        <f>COUNTIFS('Override Control Env3'!$C$9:$C$1006,C16,'Override Control Env3'!$L$9:$L$1006,"Inadequate",'Override Control Env3'!$D$9:$D$1006,E16)</f>
        <v>0</v>
      </c>
      <c r="E16" t="s">
        <v>796</v>
      </c>
    </row>
    <row r="17" spans="1:5" x14ac:dyDescent="0.25">
      <c r="A17" s="386"/>
      <c r="B17" s="157" t="s">
        <v>807</v>
      </c>
      <c r="C17" s="55">
        <v>4</v>
      </c>
      <c r="D17" s="55">
        <f>COUNTIFS('Override Control Env3'!$C$9:$C$1006,C17,'Override Control Env3'!$L$9:$L$1006,"Inadequate",'Override Control Env3'!$D$9:$D$1006,E17)</f>
        <v>0</v>
      </c>
      <c r="E17" t="s">
        <v>796</v>
      </c>
    </row>
    <row r="18" spans="1:5" x14ac:dyDescent="0.25">
      <c r="A18" s="386" t="s">
        <v>797</v>
      </c>
      <c r="B18" s="157" t="s">
        <v>804</v>
      </c>
      <c r="C18" s="55">
        <v>1</v>
      </c>
      <c r="D18" s="55">
        <f>COUNTIFS('Override Control Env3'!$C$9:$C$1006,C18,'Override Control Env3'!$L$9:$L$1006,"Inadequate",'Override Control Env3'!$D$9:$D$1006,E18)</f>
        <v>0</v>
      </c>
      <c r="E18" t="s">
        <v>797</v>
      </c>
    </row>
    <row r="19" spans="1:5" x14ac:dyDescent="0.25">
      <c r="A19" s="386"/>
      <c r="B19" s="157" t="s">
        <v>805</v>
      </c>
      <c r="C19" s="55">
        <v>2</v>
      </c>
      <c r="D19" s="55">
        <f>COUNTIFS('Override Control Env3'!$C$9:$C$1006,C19,'Override Control Env3'!$L$9:$L$1006,"Inadequate",'Override Control Env3'!$D$9:$D$1006,E19)</f>
        <v>0</v>
      </c>
      <c r="E19" t="s">
        <v>797</v>
      </c>
    </row>
    <row r="20" spans="1:5" x14ac:dyDescent="0.25">
      <c r="A20" s="386"/>
      <c r="B20" s="157" t="s">
        <v>806</v>
      </c>
      <c r="C20" s="55">
        <v>3</v>
      </c>
      <c r="D20" s="55">
        <f>COUNTIFS('Override Control Env3'!$C$9:$C$1006,C20,'Override Control Env3'!$L$9:$L$1006,"Inadequate",'Override Control Env3'!$D$9:$D$1006,E20)</f>
        <v>0</v>
      </c>
      <c r="E20" t="s">
        <v>797</v>
      </c>
    </row>
    <row r="21" spans="1:5" x14ac:dyDescent="0.25">
      <c r="A21" s="386"/>
      <c r="B21" s="157" t="s">
        <v>807</v>
      </c>
      <c r="C21" s="55">
        <v>4</v>
      </c>
      <c r="D21" s="55">
        <f>COUNTIFS('Override Control Env3'!$C$9:$C$1006,C21,'Override Control Env3'!$L$9:$L$1006,"Inadequate",'Override Control Env3'!$D$9:$D$1006,E21)</f>
        <v>0</v>
      </c>
      <c r="E21" t="s">
        <v>797</v>
      </c>
    </row>
    <row r="22" spans="1:5" x14ac:dyDescent="0.25">
      <c r="A22" s="387" t="s">
        <v>775</v>
      </c>
      <c r="B22" s="157" t="s">
        <v>804</v>
      </c>
      <c r="C22" s="55">
        <v>1</v>
      </c>
      <c r="D22" s="55">
        <f>COUNTIFS('Override Control Env3'!$C$9:$C$1006,C22,'Override Control Env3'!$L$9:$L$1006,"Inadequate",'Override Control Env3'!$D$9:$D$1006,E22)</f>
        <v>0</v>
      </c>
      <c r="E22" t="s">
        <v>775</v>
      </c>
    </row>
    <row r="23" spans="1:5" x14ac:dyDescent="0.25">
      <c r="A23" s="387"/>
      <c r="B23" s="157" t="s">
        <v>805</v>
      </c>
      <c r="C23" s="55">
        <v>2</v>
      </c>
      <c r="D23" s="55">
        <f>COUNTIFS('Override Control Env3'!$C$9:$C$1006,C23,'Override Control Env3'!$L$9:$L$1006,"Inadequate",'Override Control Env3'!$D$9:$D$1006,E23)</f>
        <v>0</v>
      </c>
      <c r="E23" t="s">
        <v>775</v>
      </c>
    </row>
    <row r="24" spans="1:5" x14ac:dyDescent="0.25">
      <c r="A24" s="387"/>
      <c r="B24" s="157" t="s">
        <v>806</v>
      </c>
      <c r="C24" s="55">
        <v>3</v>
      </c>
      <c r="D24" s="55">
        <f>COUNTIFS('Override Control Env3'!$C$9:$C$1006,C24,'Override Control Env3'!$L$9:$L$1006,"Inadequate",'Override Control Env3'!$D$9:$D$1006,E24)</f>
        <v>0</v>
      </c>
      <c r="E24" t="s">
        <v>775</v>
      </c>
    </row>
    <row r="25" spans="1:5" x14ac:dyDescent="0.25">
      <c r="A25" s="387"/>
      <c r="B25" s="157" t="s">
        <v>807</v>
      </c>
      <c r="C25" s="55">
        <v>4</v>
      </c>
      <c r="D25" s="55">
        <f>COUNTIFS('Override Control Env3'!$C$9:$C$1006,C25,'Override Control Env3'!$L$9:$L$1006,"Inadequate",'Override Control Env3'!$D$9:$D$1006,E25)</f>
        <v>0</v>
      </c>
      <c r="E25" t="s">
        <v>775</v>
      </c>
    </row>
    <row r="26" spans="1:5" x14ac:dyDescent="0.25">
      <c r="A26" s="386" t="s">
        <v>777</v>
      </c>
      <c r="B26" s="157" t="s">
        <v>804</v>
      </c>
      <c r="C26" s="55">
        <v>1</v>
      </c>
      <c r="D26" s="55">
        <f>COUNTIFS('Override Control Env3'!$C$9:$C$1006,C26,'Override Control Env3'!$L$9:$L$1006,"Inadequate",'Override Control Env3'!$D$9:$D$1006,E26)</f>
        <v>0</v>
      </c>
      <c r="E26" t="s">
        <v>777</v>
      </c>
    </row>
    <row r="27" spans="1:5" x14ac:dyDescent="0.25">
      <c r="A27" s="386"/>
      <c r="B27" s="157" t="s">
        <v>805</v>
      </c>
      <c r="C27" s="55">
        <v>2</v>
      </c>
      <c r="D27" s="55">
        <f>COUNTIFS('Override Control Env3'!$C$9:$C$1006,C27,'Override Control Env3'!$L$9:$L$1006,"Inadequate",'Override Control Env3'!$D$9:$D$1006,E27)</f>
        <v>0</v>
      </c>
      <c r="E27" t="s">
        <v>777</v>
      </c>
    </row>
    <row r="28" spans="1:5" x14ac:dyDescent="0.25">
      <c r="A28" s="386"/>
      <c r="B28" s="157" t="s">
        <v>806</v>
      </c>
      <c r="C28" s="55">
        <v>3</v>
      </c>
      <c r="D28" s="55">
        <f>COUNTIFS('Override Control Env3'!$C$9:$C$1006,C28,'Override Control Env3'!$L$9:$L$1006,"Inadequate",'Override Control Env3'!$D$9:$D$1006,E28)</f>
        <v>0</v>
      </c>
      <c r="E28" t="s">
        <v>777</v>
      </c>
    </row>
    <row r="29" spans="1:5" x14ac:dyDescent="0.25">
      <c r="A29" s="386"/>
      <c r="B29" s="157" t="s">
        <v>807</v>
      </c>
      <c r="C29" s="55">
        <v>4</v>
      </c>
      <c r="D29" s="55">
        <f>COUNTIFS('Override Control Env3'!$C$9:$C$1006,C29,'Override Control Env3'!$L$9:$L$1006,"Inadequate",'Override Control Env3'!$D$9:$D$1006,E29)</f>
        <v>0</v>
      </c>
      <c r="E29" t="s">
        <v>777</v>
      </c>
    </row>
    <row r="30" spans="1:5" x14ac:dyDescent="0.25">
      <c r="A30" s="386" t="s">
        <v>590</v>
      </c>
      <c r="B30" s="157" t="s">
        <v>804</v>
      </c>
      <c r="C30" s="55">
        <v>1</v>
      </c>
      <c r="D30" s="55">
        <f>COUNTIFS('Override Control Env3'!$C$9:$C$1006,C30,'Override Control Env3'!$L$9:$L$1006,"Inadequate",'Override Control Env3'!$D$9:$D$1006,E30)</f>
        <v>0</v>
      </c>
      <c r="E30" t="s">
        <v>590</v>
      </c>
    </row>
    <row r="31" spans="1:5" x14ac:dyDescent="0.25">
      <c r="A31" s="386"/>
      <c r="B31" s="157" t="s">
        <v>805</v>
      </c>
      <c r="C31" s="55">
        <v>2</v>
      </c>
      <c r="D31" s="55">
        <f>COUNTIFS('Override Control Env3'!$C$9:$C$1006,C31,'Override Control Env3'!$L$9:$L$1006,"Inadequate",'Override Control Env3'!$D$9:$D$1006,E31)</f>
        <v>0</v>
      </c>
      <c r="E31" t="s">
        <v>590</v>
      </c>
    </row>
    <row r="32" spans="1:5" x14ac:dyDescent="0.25">
      <c r="A32" s="386"/>
      <c r="B32" s="157" t="s">
        <v>806</v>
      </c>
      <c r="C32" s="55">
        <v>3</v>
      </c>
      <c r="D32" s="55">
        <f>COUNTIFS('Override Control Env3'!$C$9:$C$1006,C32,'Override Control Env3'!$L$9:$L$1006,"Inadequate",'Override Control Env3'!$D$9:$D$1006,E32)</f>
        <v>0</v>
      </c>
      <c r="E32" t="s">
        <v>590</v>
      </c>
    </row>
    <row r="33" spans="1:5" x14ac:dyDescent="0.25">
      <c r="A33" s="386"/>
      <c r="B33" s="157" t="s">
        <v>807</v>
      </c>
      <c r="C33" s="55">
        <v>4</v>
      </c>
      <c r="D33" s="55">
        <f>COUNTIFS('Override Control Env3'!$C$9:$C$1006,C33,'Override Control Env3'!$L$9:$L$1006,"Inadequate",'Override Control Env3'!$D$9:$D$1006,E33)</f>
        <v>0</v>
      </c>
      <c r="E33" t="s">
        <v>590</v>
      </c>
    </row>
    <row r="34" spans="1:5" x14ac:dyDescent="0.25">
      <c r="A34" s="386" t="s">
        <v>621</v>
      </c>
      <c r="B34" s="157" t="s">
        <v>804</v>
      </c>
      <c r="C34" s="55">
        <v>1</v>
      </c>
      <c r="D34" s="55">
        <f>COUNTIFS('Override Control Env3'!$C$9:$C$1006,C34,'Override Control Env3'!$L$9:$L$1006,"Inadequate",'Override Control Env3'!$D$9:$D$1006,E34)</f>
        <v>0</v>
      </c>
      <c r="E34" t="s">
        <v>621</v>
      </c>
    </row>
    <row r="35" spans="1:5" x14ac:dyDescent="0.25">
      <c r="A35" s="386"/>
      <c r="B35" s="157" t="s">
        <v>805</v>
      </c>
      <c r="C35" s="55">
        <v>2</v>
      </c>
      <c r="D35" s="55">
        <f>COUNTIFS('Override Control Env3'!$C$9:$C$1006,C35,'Override Control Env3'!$L$9:$L$1006,"Inadequate",'Override Control Env3'!$D$9:$D$1006,E35)</f>
        <v>0</v>
      </c>
      <c r="E35" t="s">
        <v>621</v>
      </c>
    </row>
    <row r="36" spans="1:5" x14ac:dyDescent="0.25">
      <c r="A36" s="386"/>
      <c r="B36" s="157" t="s">
        <v>806</v>
      </c>
      <c r="C36" s="55">
        <v>3</v>
      </c>
      <c r="D36" s="55">
        <f>COUNTIFS('Override Control Env3'!$C$9:$C$1006,C36,'Override Control Env3'!$L$9:$L$1006,"Inadequate",'Override Control Env3'!$D$9:$D$1006,E36)</f>
        <v>0</v>
      </c>
      <c r="E36" t="s">
        <v>621</v>
      </c>
    </row>
    <row r="37" spans="1:5" x14ac:dyDescent="0.25">
      <c r="A37" s="386"/>
      <c r="B37" s="157" t="s">
        <v>807</v>
      </c>
      <c r="C37" s="55">
        <v>4</v>
      </c>
      <c r="D37" s="55">
        <f>COUNTIFS('Override Control Env3'!$C$9:$C$1006,C37,'Override Control Env3'!$L$9:$L$1006,"Inadequate",'Override Control Env3'!$D$9:$D$1006,E37)</f>
        <v>0</v>
      </c>
      <c r="E37" t="s">
        <v>621</v>
      </c>
    </row>
    <row r="38" spans="1:5" x14ac:dyDescent="0.25">
      <c r="A38" s="386" t="s">
        <v>778</v>
      </c>
      <c r="B38" s="157" t="s">
        <v>804</v>
      </c>
      <c r="C38" s="55">
        <v>1</v>
      </c>
      <c r="D38" s="55">
        <f>COUNTIFS('Override Control Env3'!$C$9:$C$1006,C38,'Override Control Env3'!$L$9:$L$1006,"Inadequate",'Override Control Env3'!$D$9:$D$1006,E38)</f>
        <v>0</v>
      </c>
      <c r="E38" t="s">
        <v>778</v>
      </c>
    </row>
    <row r="39" spans="1:5" x14ac:dyDescent="0.25">
      <c r="A39" s="386"/>
      <c r="B39" s="157" t="s">
        <v>805</v>
      </c>
      <c r="C39" s="55">
        <v>2</v>
      </c>
      <c r="D39" s="55">
        <f>COUNTIFS('Override Control Env3'!$C$9:$C$1006,C39,'Override Control Env3'!$L$9:$L$1006,"Inadequate",'Override Control Env3'!$D$9:$D$1006,E39)</f>
        <v>0</v>
      </c>
      <c r="E39" t="s">
        <v>778</v>
      </c>
    </row>
    <row r="40" spans="1:5" x14ac:dyDescent="0.25">
      <c r="A40" s="386"/>
      <c r="B40" s="157" t="s">
        <v>806</v>
      </c>
      <c r="C40" s="55">
        <v>3</v>
      </c>
      <c r="D40" s="55">
        <f>COUNTIFS('Override Control Env3'!$C$9:$C$1006,C40,'Override Control Env3'!$L$9:$L$1006,"Inadequate",'Override Control Env3'!$D$9:$D$1006,E40)</f>
        <v>0</v>
      </c>
      <c r="E40" t="s">
        <v>778</v>
      </c>
    </row>
    <row r="41" spans="1:5" x14ac:dyDescent="0.25">
      <c r="A41" s="386"/>
      <c r="B41" s="157" t="s">
        <v>807</v>
      </c>
      <c r="C41" s="55">
        <v>4</v>
      </c>
      <c r="D41" s="55">
        <f>COUNTIFS('Override Control Env3'!$C$9:$C$1006,C41,'Override Control Env3'!$L$9:$L$1006,"Inadequate",'Override Control Env3'!$D$9:$D$1006,E41)</f>
        <v>0</v>
      </c>
      <c r="E41" t="s">
        <v>778</v>
      </c>
    </row>
    <row r="42" spans="1:5" x14ac:dyDescent="0.25">
      <c r="A42" s="386" t="s">
        <v>779</v>
      </c>
      <c r="B42" s="157" t="s">
        <v>804</v>
      </c>
      <c r="C42" s="55">
        <v>1</v>
      </c>
      <c r="D42" s="55">
        <f>COUNTIFS('Override Control Env3'!$C$9:$C$1006,C42,'Override Control Env3'!$L$9:$L$1006,"Inadequate",'Override Control Env3'!$D$9:$D$1006,E42)</f>
        <v>0</v>
      </c>
      <c r="E42" t="s">
        <v>779</v>
      </c>
    </row>
    <row r="43" spans="1:5" x14ac:dyDescent="0.25">
      <c r="A43" s="386"/>
      <c r="B43" s="157" t="s">
        <v>805</v>
      </c>
      <c r="C43" s="55">
        <v>2</v>
      </c>
      <c r="D43" s="55">
        <f>COUNTIFS('Override Control Env3'!$C$9:$C$1006,C43,'Override Control Env3'!$L$9:$L$1006,"Inadequate",'Override Control Env3'!$D$9:$D$1006,E43)</f>
        <v>0</v>
      </c>
      <c r="E43" t="s">
        <v>779</v>
      </c>
    </row>
    <row r="44" spans="1:5" x14ac:dyDescent="0.25">
      <c r="A44" s="386"/>
      <c r="B44" s="157" t="s">
        <v>806</v>
      </c>
      <c r="C44" s="55">
        <v>3</v>
      </c>
      <c r="D44" s="55">
        <f>COUNTIFS('Override Control Env3'!$C$9:$C$1006,C44,'Override Control Env3'!$L$9:$L$1006,"Inadequate",'Override Control Env3'!$D$9:$D$1006,E44)</f>
        <v>0</v>
      </c>
      <c r="E44" t="s">
        <v>779</v>
      </c>
    </row>
    <row r="45" spans="1:5" x14ac:dyDescent="0.25">
      <c r="A45" s="386"/>
      <c r="B45" s="157" t="s">
        <v>807</v>
      </c>
      <c r="C45" s="55">
        <v>4</v>
      </c>
      <c r="D45" s="55">
        <f>COUNTIFS('Override Control Env3'!$C$9:$C$1006,C45,'Override Control Env3'!$L$9:$L$1006,"Inadequate",'Override Control Env3'!$D$9:$D$1006,E45)</f>
        <v>0</v>
      </c>
      <c r="E45" t="s">
        <v>779</v>
      </c>
    </row>
    <row r="46" spans="1:5" x14ac:dyDescent="0.25">
      <c r="A46" s="386" t="s">
        <v>783</v>
      </c>
      <c r="B46" s="157" t="s">
        <v>804</v>
      </c>
      <c r="C46" s="55">
        <v>1</v>
      </c>
      <c r="D46" s="55">
        <f>COUNTIFS('Override Control Env3'!$C$9:$C$1006,C46,'Override Control Env3'!$L$9:$L$1006,"Inadequate",'Override Control Env3'!$D$9:$D$1006,E46)</f>
        <v>0</v>
      </c>
      <c r="E46" t="s">
        <v>783</v>
      </c>
    </row>
    <row r="47" spans="1:5" x14ac:dyDescent="0.25">
      <c r="A47" s="386"/>
      <c r="B47" s="157" t="s">
        <v>805</v>
      </c>
      <c r="C47" s="55">
        <v>2</v>
      </c>
      <c r="D47" s="55">
        <f>COUNTIFS('Override Control Env3'!$C$9:$C$1006,C47,'Override Control Env3'!$L$9:$L$1006,"Inadequate",'Override Control Env3'!$D$9:$D$1006,E47)</f>
        <v>0</v>
      </c>
      <c r="E47" t="s">
        <v>783</v>
      </c>
    </row>
    <row r="48" spans="1:5" x14ac:dyDescent="0.25">
      <c r="A48" s="386"/>
      <c r="B48" s="157" t="s">
        <v>806</v>
      </c>
      <c r="C48" s="55">
        <v>3</v>
      </c>
      <c r="D48" s="55">
        <f>COUNTIFS('Override Control Env3'!$C$9:$C$1006,C48,'Override Control Env3'!$L$9:$L$1006,"Inadequate",'Override Control Env3'!$D$9:$D$1006,E48)</f>
        <v>0</v>
      </c>
      <c r="E48" t="s">
        <v>783</v>
      </c>
    </row>
    <row r="49" spans="1:5" x14ac:dyDescent="0.25">
      <c r="A49" s="386"/>
      <c r="B49" s="157" t="s">
        <v>807</v>
      </c>
      <c r="C49" s="55">
        <v>4</v>
      </c>
      <c r="D49" s="55">
        <f>COUNTIFS('Override Control Env3'!$C$9:$C$1006,C49,'Override Control Env3'!$L$9:$L$1006,"Inadequate",'Override Control Env3'!$D$9:$D$1006,E49)</f>
        <v>0</v>
      </c>
      <c r="E49" t="s">
        <v>783</v>
      </c>
    </row>
  </sheetData>
  <mergeCells count="12">
    <mergeCell ref="A42:A45"/>
    <mergeCell ref="A46:A49"/>
    <mergeCell ref="A22:A25"/>
    <mergeCell ref="A26:A29"/>
    <mergeCell ref="A30:A33"/>
    <mergeCell ref="A34:A37"/>
    <mergeCell ref="A38:A41"/>
    <mergeCell ref="A2:A5"/>
    <mergeCell ref="A6:A9"/>
    <mergeCell ref="A10:A13"/>
    <mergeCell ref="A14:A17"/>
    <mergeCell ref="A18:A2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8"/>
  <sheetViews>
    <sheetView showGridLines="0" workbookViewId="0">
      <selection activeCell="C68" sqref="C68"/>
    </sheetView>
  </sheetViews>
  <sheetFormatPr defaultRowHeight="15" x14ac:dyDescent="0.25"/>
  <cols>
    <col min="1" max="1" width="29.28515625" bestFit="1" customWidth="1"/>
    <col min="2" max="2" width="11.140625" bestFit="1" customWidth="1"/>
  </cols>
  <sheetData>
    <row r="1" spans="1:3" x14ac:dyDescent="0.25">
      <c r="A1" s="386" t="s">
        <v>773</v>
      </c>
      <c r="B1" s="55" t="s">
        <v>77</v>
      </c>
      <c r="C1" s="55">
        <f>COUNTIF('Override Control Env1'!$L$9:$L$19,B1)</f>
        <v>7</v>
      </c>
    </row>
    <row r="2" spans="1:3" x14ac:dyDescent="0.25">
      <c r="A2" s="386"/>
      <c r="B2" s="55" t="s">
        <v>79</v>
      </c>
      <c r="C2" s="55">
        <f>COUNTIF('Override Control Env1'!$L$9:$L$19,B2)</f>
        <v>4</v>
      </c>
    </row>
    <row r="3" spans="1:3" x14ac:dyDescent="0.25">
      <c r="A3" s="386"/>
      <c r="B3" s="55" t="s">
        <v>52</v>
      </c>
      <c r="C3" s="55">
        <f>COUNTIF('Override Control Env1'!$L$9:$L$19,B3)</f>
        <v>0</v>
      </c>
    </row>
    <row r="4" spans="1:3" x14ac:dyDescent="0.25">
      <c r="A4" s="386"/>
      <c r="B4" s="55" t="s">
        <v>790</v>
      </c>
      <c r="C4" s="55">
        <f>COUNTIF('Override Control Env1'!$L$9:$L$19,B4)</f>
        <v>0</v>
      </c>
    </row>
    <row r="5" spans="1:3" x14ac:dyDescent="0.25">
      <c r="A5" s="386" t="s">
        <v>391</v>
      </c>
      <c r="B5" s="55" t="s">
        <v>77</v>
      </c>
      <c r="C5" s="55">
        <f>COUNTIF('Override Control Env1'!$L$20:$L$24,B5)</f>
        <v>3</v>
      </c>
    </row>
    <row r="6" spans="1:3" x14ac:dyDescent="0.25">
      <c r="A6" s="386"/>
      <c r="B6" s="55" t="s">
        <v>79</v>
      </c>
      <c r="C6" s="55">
        <f>COUNTIF('Override Control Env1'!$L$20:$L$24,B6)</f>
        <v>2</v>
      </c>
    </row>
    <row r="7" spans="1:3" x14ac:dyDescent="0.25">
      <c r="A7" s="386"/>
      <c r="B7" s="55" t="s">
        <v>52</v>
      </c>
      <c r="C7" s="55">
        <f>COUNTIF('Override Control Env1'!$L$20:$L$24,B7)</f>
        <v>0</v>
      </c>
    </row>
    <row r="8" spans="1:3" x14ac:dyDescent="0.25">
      <c r="A8" s="386"/>
      <c r="B8" s="55" t="s">
        <v>790</v>
      </c>
      <c r="C8" s="55">
        <f>COUNTIF('Override Control Env1'!$L$20:$L$24,B8)</f>
        <v>0</v>
      </c>
    </row>
    <row r="9" spans="1:3" x14ac:dyDescent="0.25">
      <c r="A9" s="386" t="s">
        <v>412</v>
      </c>
      <c r="B9" s="55" t="s">
        <v>77</v>
      </c>
      <c r="C9" s="55">
        <f>COUNTIF('Override Control Env1'!$L$25:$L$33,B9)</f>
        <v>6</v>
      </c>
    </row>
    <row r="10" spans="1:3" x14ac:dyDescent="0.25">
      <c r="A10" s="386"/>
      <c r="B10" s="55" t="s">
        <v>79</v>
      </c>
      <c r="C10" s="55">
        <f>COUNTIF('Override Control Env1'!$L$25:$L$33,B10)</f>
        <v>3</v>
      </c>
    </row>
    <row r="11" spans="1:3" x14ac:dyDescent="0.25">
      <c r="A11" s="386"/>
      <c r="B11" s="55" t="s">
        <v>52</v>
      </c>
      <c r="C11" s="55">
        <f>COUNTIF('Override Control Env1'!$L$25:$L$33,B11)</f>
        <v>0</v>
      </c>
    </row>
    <row r="12" spans="1:3" x14ac:dyDescent="0.25">
      <c r="A12" s="386"/>
      <c r="B12" s="55" t="s">
        <v>790</v>
      </c>
      <c r="C12" s="55">
        <f>COUNTIF('Override Control Env1'!$L$25:$L$33,B12)</f>
        <v>0</v>
      </c>
    </row>
    <row r="13" spans="1:3" x14ac:dyDescent="0.25">
      <c r="A13" s="386" t="s">
        <v>796</v>
      </c>
      <c r="B13" s="55" t="s">
        <v>77</v>
      </c>
      <c r="C13" s="55" t="e">
        <f>COUNTIF('Override Control Env1'!#REF!,B13)</f>
        <v>#REF!</v>
      </c>
    </row>
    <row r="14" spans="1:3" x14ac:dyDescent="0.25">
      <c r="A14" s="386"/>
      <c r="B14" s="55" t="s">
        <v>79</v>
      </c>
      <c r="C14" s="55" t="e">
        <f>COUNTIF('Override Control Env1'!#REF!,B14)</f>
        <v>#REF!</v>
      </c>
    </row>
    <row r="15" spans="1:3" x14ac:dyDescent="0.25">
      <c r="A15" s="386"/>
      <c r="B15" s="55" t="s">
        <v>52</v>
      </c>
      <c r="C15" s="55" t="e">
        <f>COUNTIF('Override Control Env1'!#REF!,B15)</f>
        <v>#REF!</v>
      </c>
    </row>
    <row r="16" spans="1:3" x14ac:dyDescent="0.25">
      <c r="A16" s="386"/>
      <c r="B16" s="55" t="s">
        <v>790</v>
      </c>
      <c r="C16" s="55" t="e">
        <f>COUNTIF('Override Control Env1'!#REF!,B16)</f>
        <v>#REF!</v>
      </c>
    </row>
    <row r="17" spans="1:3" x14ac:dyDescent="0.25">
      <c r="A17" s="386" t="s">
        <v>797</v>
      </c>
      <c r="B17" s="55" t="s">
        <v>77</v>
      </c>
      <c r="C17" s="55">
        <f>COUNTIF('Override Control Env1'!$L$34:$L$56,B17)</f>
        <v>13</v>
      </c>
    </row>
    <row r="18" spans="1:3" x14ac:dyDescent="0.25">
      <c r="A18" s="386"/>
      <c r="B18" s="55" t="s">
        <v>79</v>
      </c>
      <c r="C18" s="55">
        <f>COUNTIF('Override Control Env1'!$L$34:$L$56,B18)</f>
        <v>10</v>
      </c>
    </row>
    <row r="19" spans="1:3" x14ac:dyDescent="0.25">
      <c r="A19" s="386"/>
      <c r="B19" s="55" t="s">
        <v>52</v>
      </c>
      <c r="C19" s="55">
        <f>COUNTIF('Override Control Env1'!$L$34:$L$56,B19)</f>
        <v>0</v>
      </c>
    </row>
    <row r="20" spans="1:3" x14ac:dyDescent="0.25">
      <c r="A20" s="386"/>
      <c r="B20" s="55" t="s">
        <v>790</v>
      </c>
      <c r="C20" s="55">
        <f>COUNTIF('Override Control Env1'!$L$34:$L$56,B20)</f>
        <v>0</v>
      </c>
    </row>
    <row r="21" spans="1:3" x14ac:dyDescent="0.25">
      <c r="A21" s="386" t="s">
        <v>798</v>
      </c>
      <c r="B21" s="55" t="s">
        <v>77</v>
      </c>
      <c r="C21" s="55" t="e">
        <f>COUNTIF('Override Control Env1'!#REF!,B21)</f>
        <v>#REF!</v>
      </c>
    </row>
    <row r="22" spans="1:3" x14ac:dyDescent="0.25">
      <c r="A22" s="386"/>
      <c r="B22" s="55" t="s">
        <v>79</v>
      </c>
      <c r="C22" s="55" t="e">
        <f>COUNTIF('Override Control Env1'!#REF!,B22)</f>
        <v>#REF!</v>
      </c>
    </row>
    <row r="23" spans="1:3" x14ac:dyDescent="0.25">
      <c r="A23" s="386"/>
      <c r="B23" s="55" t="s">
        <v>52</v>
      </c>
      <c r="C23" s="55" t="e">
        <f>COUNTIF('Override Control Env1'!#REF!,B23)</f>
        <v>#REF!</v>
      </c>
    </row>
    <row r="24" spans="1:3" x14ac:dyDescent="0.25">
      <c r="A24" s="386"/>
      <c r="B24" s="55" t="s">
        <v>790</v>
      </c>
      <c r="C24" s="55" t="e">
        <f>COUNTIF('Override Control Env1'!#REF!,B24)</f>
        <v>#REF!</v>
      </c>
    </row>
    <row r="25" spans="1:3" ht="15" customHeight="1" x14ac:dyDescent="0.25">
      <c r="A25" s="387" t="s">
        <v>775</v>
      </c>
      <c r="B25" s="55" t="s">
        <v>77</v>
      </c>
      <c r="C25" s="55">
        <f>COUNTIF('Override Control Env1'!$L$59:$L$70,B25)</f>
        <v>8</v>
      </c>
    </row>
    <row r="26" spans="1:3" x14ac:dyDescent="0.25">
      <c r="A26" s="387"/>
      <c r="B26" s="55" t="s">
        <v>79</v>
      </c>
      <c r="C26" s="55">
        <f>COUNTIF('Override Control Env1'!$L$59:$L$70,B26)</f>
        <v>4</v>
      </c>
    </row>
    <row r="27" spans="1:3" x14ac:dyDescent="0.25">
      <c r="A27" s="387"/>
      <c r="B27" s="55" t="s">
        <v>52</v>
      </c>
      <c r="C27" s="55">
        <f>COUNTIF('Override Control Env1'!$L$59:$L$70,B27)</f>
        <v>0</v>
      </c>
    </row>
    <row r="28" spans="1:3" x14ac:dyDescent="0.25">
      <c r="A28" s="387"/>
      <c r="B28" s="55" t="s">
        <v>790</v>
      </c>
      <c r="C28" s="55">
        <f>COUNTIF('Override Control Env1'!$L$59:$L$70,B28)</f>
        <v>0</v>
      </c>
    </row>
    <row r="29" spans="1:3" x14ac:dyDescent="0.25">
      <c r="A29" s="386" t="s">
        <v>777</v>
      </c>
      <c r="B29" s="55" t="s">
        <v>77</v>
      </c>
      <c r="C29" s="55">
        <f>COUNTIF('Override Control Env1'!$L$71:$L$81,B29)</f>
        <v>9</v>
      </c>
    </row>
    <row r="30" spans="1:3" x14ac:dyDescent="0.25">
      <c r="A30" s="386"/>
      <c r="B30" s="55" t="s">
        <v>79</v>
      </c>
      <c r="C30" s="55">
        <f>COUNTIF('Override Control Env1'!$L$71:$L$81,B30)</f>
        <v>2</v>
      </c>
    </row>
    <row r="31" spans="1:3" x14ac:dyDescent="0.25">
      <c r="A31" s="386"/>
      <c r="B31" s="55" t="s">
        <v>52</v>
      </c>
      <c r="C31" s="55">
        <f>COUNTIF('Override Control Env1'!$L$71:$L$81,B31)</f>
        <v>0</v>
      </c>
    </row>
    <row r="32" spans="1:3" x14ac:dyDescent="0.25">
      <c r="A32" s="386"/>
      <c r="B32" s="55" t="s">
        <v>790</v>
      </c>
      <c r="C32" s="55">
        <f>COUNTIF('Override Control Env1'!$L$71:$L$81,B32)</f>
        <v>0</v>
      </c>
    </row>
    <row r="33" spans="1:3" x14ac:dyDescent="0.25">
      <c r="A33" s="386" t="s">
        <v>590</v>
      </c>
      <c r="B33" s="55" t="s">
        <v>77</v>
      </c>
      <c r="C33" s="55">
        <f>COUNTIF('Override Control Env1'!$L$82:$L$91,B33)</f>
        <v>9</v>
      </c>
    </row>
    <row r="34" spans="1:3" x14ac:dyDescent="0.25">
      <c r="A34" s="386"/>
      <c r="B34" s="55" t="s">
        <v>79</v>
      </c>
      <c r="C34" s="55">
        <f>COUNTIF('Override Control Env1'!$L$82:$L$91,B34)</f>
        <v>1</v>
      </c>
    </row>
    <row r="35" spans="1:3" x14ac:dyDescent="0.25">
      <c r="A35" s="386"/>
      <c r="B35" s="55" t="s">
        <v>52</v>
      </c>
      <c r="C35" s="55">
        <f>COUNTIF('Override Control Env1'!$L$82:$L$91,B35)</f>
        <v>0</v>
      </c>
    </row>
    <row r="36" spans="1:3" x14ac:dyDescent="0.25">
      <c r="A36" s="386"/>
      <c r="B36" s="55" t="s">
        <v>790</v>
      </c>
      <c r="C36" s="55">
        <f>COUNTIF('Override Control Env1'!$L$82:$L$91,B36)</f>
        <v>0</v>
      </c>
    </row>
    <row r="37" spans="1:3" x14ac:dyDescent="0.25">
      <c r="A37" s="386" t="s">
        <v>799</v>
      </c>
      <c r="B37" s="55" t="s">
        <v>77</v>
      </c>
      <c r="C37" s="55" t="e">
        <f>COUNTIF('Override Control Env1'!#REF!,B37)</f>
        <v>#REF!</v>
      </c>
    </row>
    <row r="38" spans="1:3" x14ac:dyDescent="0.25">
      <c r="A38" s="386"/>
      <c r="B38" s="55" t="s">
        <v>79</v>
      </c>
      <c r="C38" s="55" t="e">
        <f>COUNTIF('Override Control Env1'!#REF!,B38)</f>
        <v>#REF!</v>
      </c>
    </row>
    <row r="39" spans="1:3" x14ac:dyDescent="0.25">
      <c r="A39" s="386"/>
      <c r="B39" s="55" t="s">
        <v>52</v>
      </c>
      <c r="C39" s="55" t="e">
        <f>COUNTIF('Override Control Env1'!#REF!,B39)</f>
        <v>#REF!</v>
      </c>
    </row>
    <row r="40" spans="1:3" x14ac:dyDescent="0.25">
      <c r="A40" s="386"/>
      <c r="B40" s="55" t="s">
        <v>790</v>
      </c>
      <c r="C40" s="55" t="e">
        <f>COUNTIF('Override Control Env1'!#REF!,B40)</f>
        <v>#REF!</v>
      </c>
    </row>
    <row r="41" spans="1:3" x14ac:dyDescent="0.25">
      <c r="A41" s="386" t="s">
        <v>800</v>
      </c>
      <c r="B41" s="55" t="s">
        <v>77</v>
      </c>
      <c r="C41" s="55" t="e">
        <f>COUNTIF('Override Control Env1'!#REF!,B41)</f>
        <v>#REF!</v>
      </c>
    </row>
    <row r="42" spans="1:3" x14ac:dyDescent="0.25">
      <c r="A42" s="386"/>
      <c r="B42" s="55" t="s">
        <v>79</v>
      </c>
      <c r="C42" s="55" t="e">
        <f>COUNTIF('Override Control Env1'!#REF!,B42)</f>
        <v>#REF!</v>
      </c>
    </row>
    <row r="43" spans="1:3" x14ac:dyDescent="0.25">
      <c r="A43" s="386"/>
      <c r="B43" s="55" t="s">
        <v>52</v>
      </c>
      <c r="C43" s="55" t="e">
        <f>COUNTIF('Override Control Env1'!#REF!,B43)</f>
        <v>#REF!</v>
      </c>
    </row>
    <row r="44" spans="1:3" x14ac:dyDescent="0.25">
      <c r="A44" s="386"/>
      <c r="B44" s="55" t="s">
        <v>790</v>
      </c>
      <c r="C44" s="55" t="e">
        <f>COUNTIF('Override Control Env1'!#REF!,B44)</f>
        <v>#REF!</v>
      </c>
    </row>
    <row r="45" spans="1:3" x14ac:dyDescent="0.25">
      <c r="A45" s="386" t="s">
        <v>801</v>
      </c>
      <c r="B45" s="55" t="s">
        <v>77</v>
      </c>
      <c r="C45" s="55" t="e">
        <f>COUNTIF('Override Control Env1'!#REF!,B45)</f>
        <v>#REF!</v>
      </c>
    </row>
    <row r="46" spans="1:3" x14ac:dyDescent="0.25">
      <c r="A46" s="386"/>
      <c r="B46" s="55" t="s">
        <v>79</v>
      </c>
      <c r="C46" s="55" t="e">
        <f>COUNTIF('Override Control Env1'!#REF!,B46)</f>
        <v>#REF!</v>
      </c>
    </row>
    <row r="47" spans="1:3" x14ac:dyDescent="0.25">
      <c r="A47" s="386"/>
      <c r="B47" s="55" t="s">
        <v>52</v>
      </c>
      <c r="C47" s="55" t="e">
        <f>COUNTIF('Override Control Env1'!#REF!,B47)</f>
        <v>#REF!</v>
      </c>
    </row>
    <row r="48" spans="1:3" x14ac:dyDescent="0.25">
      <c r="A48" s="386"/>
      <c r="B48" s="55" t="s">
        <v>790</v>
      </c>
      <c r="C48" s="55" t="e">
        <f>COUNTIF('Override Control Env1'!#REF!,B48)</f>
        <v>#REF!</v>
      </c>
    </row>
    <row r="49" spans="1:3" x14ac:dyDescent="0.25">
      <c r="A49" s="386" t="s">
        <v>621</v>
      </c>
      <c r="B49" s="55" t="s">
        <v>77</v>
      </c>
      <c r="C49" s="55">
        <f>COUNTIF('Override Control Env1'!$L$92:$L$102,B49)</f>
        <v>6</v>
      </c>
    </row>
    <row r="50" spans="1:3" x14ac:dyDescent="0.25">
      <c r="A50" s="386"/>
      <c r="B50" s="55" t="s">
        <v>79</v>
      </c>
      <c r="C50" s="55">
        <f>COUNTIF('Override Control Env1'!$L$92:$L$102,B50)</f>
        <v>5</v>
      </c>
    </row>
    <row r="51" spans="1:3" x14ac:dyDescent="0.25">
      <c r="A51" s="386"/>
      <c r="B51" s="55" t="s">
        <v>52</v>
      </c>
      <c r="C51" s="55">
        <f>COUNTIF('Override Control Env1'!$L$92:$L$102,B51)</f>
        <v>0</v>
      </c>
    </row>
    <row r="52" spans="1:3" x14ac:dyDescent="0.25">
      <c r="A52" s="386"/>
      <c r="B52" s="55" t="s">
        <v>790</v>
      </c>
      <c r="C52" s="55">
        <f>COUNTIF('Override Control Env1'!$L$92:$L$102,B52)</f>
        <v>0</v>
      </c>
    </row>
    <row r="53" spans="1:3" x14ac:dyDescent="0.25">
      <c r="A53" s="386" t="s">
        <v>802</v>
      </c>
      <c r="B53" s="55" t="s">
        <v>77</v>
      </c>
      <c r="C53" s="55" t="e">
        <f>COUNTIF('Override Control Env1'!#REF!,B53)</f>
        <v>#REF!</v>
      </c>
    </row>
    <row r="54" spans="1:3" x14ac:dyDescent="0.25">
      <c r="A54" s="386"/>
      <c r="B54" s="55" t="s">
        <v>79</v>
      </c>
      <c r="C54" s="55" t="e">
        <f>COUNTIF('Override Control Env1'!#REF!,B54)</f>
        <v>#REF!</v>
      </c>
    </row>
    <row r="55" spans="1:3" x14ac:dyDescent="0.25">
      <c r="A55" s="386"/>
      <c r="B55" s="55" t="s">
        <v>52</v>
      </c>
      <c r="C55" s="55" t="e">
        <f>COUNTIF('Override Control Env1'!#REF!,B55)</f>
        <v>#REF!</v>
      </c>
    </row>
    <row r="56" spans="1:3" x14ac:dyDescent="0.25">
      <c r="A56" s="386"/>
      <c r="B56" s="55" t="s">
        <v>790</v>
      </c>
      <c r="C56" s="55" t="e">
        <f>COUNTIF('Override Control Env1'!#REF!,B56)</f>
        <v>#REF!</v>
      </c>
    </row>
    <row r="57" spans="1:3" x14ac:dyDescent="0.25">
      <c r="A57" s="386" t="s">
        <v>778</v>
      </c>
      <c r="B57" s="55" t="s">
        <v>77</v>
      </c>
      <c r="C57" s="55">
        <f>COUNTIF('Override Control Env1'!$L$103:$L$111,B57)</f>
        <v>6</v>
      </c>
    </row>
    <row r="58" spans="1:3" x14ac:dyDescent="0.25">
      <c r="A58" s="386"/>
      <c r="B58" s="55" t="s">
        <v>79</v>
      </c>
      <c r="C58" s="55">
        <f>COUNTIF('Override Control Env1'!$L$103:$L$111,B58)</f>
        <v>3</v>
      </c>
    </row>
    <row r="59" spans="1:3" x14ac:dyDescent="0.25">
      <c r="A59" s="386"/>
      <c r="B59" s="55" t="s">
        <v>52</v>
      </c>
      <c r="C59" s="55">
        <f>COUNTIF('Override Control Env1'!$L$103:$L$111,B59)</f>
        <v>0</v>
      </c>
    </row>
    <row r="60" spans="1:3" x14ac:dyDescent="0.25">
      <c r="A60" s="386"/>
      <c r="B60" s="55" t="s">
        <v>790</v>
      </c>
      <c r="C60" s="55">
        <f>COUNTIF('Override Control Env1'!$L$103:$L$111,B60)</f>
        <v>0</v>
      </c>
    </row>
    <row r="61" spans="1:3" x14ac:dyDescent="0.25">
      <c r="A61" s="386" t="s">
        <v>779</v>
      </c>
      <c r="B61" s="55" t="s">
        <v>77</v>
      </c>
      <c r="C61" s="55">
        <f>COUNTIF('Override Control Env1'!$L$112:$L$124,B61)</f>
        <v>5</v>
      </c>
    </row>
    <row r="62" spans="1:3" x14ac:dyDescent="0.25">
      <c r="A62" s="386"/>
      <c r="B62" s="55" t="s">
        <v>79</v>
      </c>
      <c r="C62" s="55">
        <f>COUNTIF('Override Control Env1'!$L$112:$L$124,B62)</f>
        <v>5</v>
      </c>
    </row>
    <row r="63" spans="1:3" x14ac:dyDescent="0.25">
      <c r="A63" s="386"/>
      <c r="B63" s="55" t="s">
        <v>52</v>
      </c>
      <c r="C63" s="55">
        <f>COUNTIF('Override Control Env1'!$L$112:$L$124,B63)</f>
        <v>3</v>
      </c>
    </row>
    <row r="64" spans="1:3" x14ac:dyDescent="0.25">
      <c r="A64" s="386"/>
      <c r="B64" s="55" t="s">
        <v>790</v>
      </c>
      <c r="C64" s="55">
        <f>COUNTIF('Override Control Env1'!$L$112:$L$124,B64)</f>
        <v>0</v>
      </c>
    </row>
    <row r="65" spans="1:3" x14ac:dyDescent="0.25">
      <c r="A65" s="386" t="s">
        <v>783</v>
      </c>
      <c r="B65" s="55" t="s">
        <v>77</v>
      </c>
      <c r="C65" s="55">
        <f>COUNTIF('Override Control Env1'!$L$125:$L$128,B65)</f>
        <v>2</v>
      </c>
    </row>
    <row r="66" spans="1:3" x14ac:dyDescent="0.25">
      <c r="A66" s="386"/>
      <c r="B66" s="55" t="s">
        <v>79</v>
      </c>
      <c r="C66" s="55">
        <f>COUNTIF('Override Control Env1'!$L$125:$L$128,B66)</f>
        <v>2</v>
      </c>
    </row>
    <row r="67" spans="1:3" x14ac:dyDescent="0.25">
      <c r="A67" s="386"/>
      <c r="B67" s="55" t="s">
        <v>52</v>
      </c>
      <c r="C67" s="55">
        <f>COUNTIF('Override Control Env1'!$L$125:$L$128,B67)</f>
        <v>0</v>
      </c>
    </row>
    <row r="68" spans="1:3" x14ac:dyDescent="0.25">
      <c r="A68" s="386"/>
      <c r="B68" s="55" t="s">
        <v>790</v>
      </c>
      <c r="C68" s="55">
        <f>COUNTIF('Override Control Env1'!$L$125:$L$128,B68)</f>
        <v>0</v>
      </c>
    </row>
  </sheetData>
  <mergeCells count="17">
    <mergeCell ref="A49:A52"/>
    <mergeCell ref="A53:A56"/>
    <mergeCell ref="A57:A60"/>
    <mergeCell ref="A61:A64"/>
    <mergeCell ref="A65:A68"/>
    <mergeCell ref="A21:A24"/>
    <mergeCell ref="A25:A28"/>
    <mergeCell ref="A1:A4"/>
    <mergeCell ref="A5:A8"/>
    <mergeCell ref="A9:A12"/>
    <mergeCell ref="A13:A16"/>
    <mergeCell ref="A17:A20"/>
    <mergeCell ref="A45:A48"/>
    <mergeCell ref="A29:A32"/>
    <mergeCell ref="A33:A36"/>
    <mergeCell ref="A37:A40"/>
    <mergeCell ref="A41:A4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68"/>
  <sheetViews>
    <sheetView showGridLines="0" topLeftCell="A40" workbookViewId="0">
      <selection activeCell="C68" sqref="C68"/>
    </sheetView>
  </sheetViews>
  <sheetFormatPr defaultColWidth="9" defaultRowHeight="15" x14ac:dyDescent="0.25"/>
  <cols>
    <col min="1" max="1" width="29.28515625" bestFit="1" customWidth="1"/>
    <col min="2" max="2" width="11.140625" bestFit="1" customWidth="1"/>
  </cols>
  <sheetData>
    <row r="1" spans="1:3" x14ac:dyDescent="0.25">
      <c r="A1" s="386" t="s">
        <v>773</v>
      </c>
      <c r="B1" s="55" t="s">
        <v>77</v>
      </c>
      <c r="C1" s="55">
        <f>COUNTIF('Override Control Env2'!$L$9:$L$19,B1)</f>
        <v>0</v>
      </c>
    </row>
    <row r="2" spans="1:3" x14ac:dyDescent="0.25">
      <c r="A2" s="386"/>
      <c r="B2" s="55" t="s">
        <v>79</v>
      </c>
      <c r="C2" s="55">
        <f>COUNTIF('Override Control Env2'!$L$9:$L$19,B2)</f>
        <v>0</v>
      </c>
    </row>
    <row r="3" spans="1:3" x14ac:dyDescent="0.25">
      <c r="A3" s="386"/>
      <c r="B3" s="55" t="s">
        <v>52</v>
      </c>
      <c r="C3" s="55">
        <f>COUNTIF('Override Control Env2'!$L$9:$L$19,B3)</f>
        <v>0</v>
      </c>
    </row>
    <row r="4" spans="1:3" x14ac:dyDescent="0.25">
      <c r="A4" s="386"/>
      <c r="B4" s="55" t="s">
        <v>790</v>
      </c>
      <c r="C4" s="55">
        <f>COUNTIF('Override Control Env2'!$L$9:$L$19,B4)</f>
        <v>11</v>
      </c>
    </row>
    <row r="5" spans="1:3" x14ac:dyDescent="0.25">
      <c r="A5" s="386" t="s">
        <v>391</v>
      </c>
      <c r="B5" s="55" t="s">
        <v>77</v>
      </c>
      <c r="C5" s="55">
        <f>COUNTIF('Override Control Env2'!$L$20:$L$24,B5)</f>
        <v>0</v>
      </c>
    </row>
    <row r="6" spans="1:3" x14ac:dyDescent="0.25">
      <c r="A6" s="386"/>
      <c r="B6" s="55" t="s">
        <v>79</v>
      </c>
      <c r="C6" s="55">
        <f>COUNTIF('Override Control Env2'!$L$20:$L$24,B6)</f>
        <v>0</v>
      </c>
    </row>
    <row r="7" spans="1:3" x14ac:dyDescent="0.25">
      <c r="A7" s="386"/>
      <c r="B7" s="55" t="s">
        <v>52</v>
      </c>
      <c r="C7" s="55">
        <f>COUNTIF('Override Control Env2'!$L$20:$L$24,B7)</f>
        <v>0</v>
      </c>
    </row>
    <row r="8" spans="1:3" x14ac:dyDescent="0.25">
      <c r="A8" s="386"/>
      <c r="B8" s="55" t="s">
        <v>790</v>
      </c>
      <c r="C8" s="55">
        <f>COUNTIF('Override Control Env2'!$L$20:$L$24,B8)</f>
        <v>5</v>
      </c>
    </row>
    <row r="9" spans="1:3" x14ac:dyDescent="0.25">
      <c r="A9" s="386" t="s">
        <v>412</v>
      </c>
      <c r="B9" s="55" t="s">
        <v>77</v>
      </c>
      <c r="C9" s="55">
        <f>COUNTIF('Override Control Env2'!$L$25:$L$33,B9)</f>
        <v>0</v>
      </c>
    </row>
    <row r="10" spans="1:3" x14ac:dyDescent="0.25">
      <c r="A10" s="386"/>
      <c r="B10" s="55" t="s">
        <v>79</v>
      </c>
      <c r="C10" s="55">
        <f>COUNTIF('Override Control Env2'!$L$25:$L$33,B10)</f>
        <v>0</v>
      </c>
    </row>
    <row r="11" spans="1:3" x14ac:dyDescent="0.25">
      <c r="A11" s="386"/>
      <c r="B11" s="55" t="s">
        <v>52</v>
      </c>
      <c r="C11" s="55">
        <f>COUNTIF('Override Control Env2'!$L$25:$L$33,B11)</f>
        <v>0</v>
      </c>
    </row>
    <row r="12" spans="1:3" x14ac:dyDescent="0.25">
      <c r="A12" s="386"/>
      <c r="B12" s="55" t="s">
        <v>790</v>
      </c>
      <c r="C12" s="55">
        <f>COUNTIF('Override Control Env2'!$L$25:$L$33,B12)</f>
        <v>9</v>
      </c>
    </row>
    <row r="13" spans="1:3" x14ac:dyDescent="0.25">
      <c r="A13" s="386" t="s">
        <v>796</v>
      </c>
      <c r="B13" s="55" t="s">
        <v>77</v>
      </c>
      <c r="C13" s="55" t="e">
        <f>COUNTIF('Override Control Env2'!#REF!,B13)</f>
        <v>#REF!</v>
      </c>
    </row>
    <row r="14" spans="1:3" x14ac:dyDescent="0.25">
      <c r="A14" s="386"/>
      <c r="B14" s="55" t="s">
        <v>79</v>
      </c>
      <c r="C14" s="55" t="e">
        <f>COUNTIF('Override Control Env2'!#REF!,B14)</f>
        <v>#REF!</v>
      </c>
    </row>
    <row r="15" spans="1:3" x14ac:dyDescent="0.25">
      <c r="A15" s="386"/>
      <c r="B15" s="55" t="s">
        <v>52</v>
      </c>
      <c r="C15" s="55" t="e">
        <f>COUNTIF('Override Control Env2'!#REF!,B15)</f>
        <v>#REF!</v>
      </c>
    </row>
    <row r="16" spans="1:3" x14ac:dyDescent="0.25">
      <c r="A16" s="386"/>
      <c r="B16" s="55" t="s">
        <v>790</v>
      </c>
      <c r="C16" s="55" t="e">
        <f>COUNTIF('Override Control Env2'!#REF!,B16)</f>
        <v>#REF!</v>
      </c>
    </row>
    <row r="17" spans="1:3" x14ac:dyDescent="0.25">
      <c r="A17" s="386" t="s">
        <v>797</v>
      </c>
      <c r="B17" s="55" t="s">
        <v>77</v>
      </c>
      <c r="C17" s="55">
        <f>COUNTIF('Override Control Env2'!$L$34:$L$56,B17)</f>
        <v>0</v>
      </c>
    </row>
    <row r="18" spans="1:3" x14ac:dyDescent="0.25">
      <c r="A18" s="386"/>
      <c r="B18" s="55" t="s">
        <v>79</v>
      </c>
      <c r="C18" s="55">
        <f>COUNTIF('Override Control Env2'!$L$34:$L$56,B18)</f>
        <v>0</v>
      </c>
    </row>
    <row r="19" spans="1:3" x14ac:dyDescent="0.25">
      <c r="A19" s="386"/>
      <c r="B19" s="55" t="s">
        <v>52</v>
      </c>
      <c r="C19" s="55">
        <f>COUNTIF('Override Control Env2'!$L$34:$L$56,B19)</f>
        <v>0</v>
      </c>
    </row>
    <row r="20" spans="1:3" x14ac:dyDescent="0.25">
      <c r="A20" s="386"/>
      <c r="B20" s="55" t="s">
        <v>790</v>
      </c>
      <c r="C20" s="55">
        <f>COUNTIF('Override Control Env2'!$L$34:$L$56,B20)</f>
        <v>23</v>
      </c>
    </row>
    <row r="21" spans="1:3" x14ac:dyDescent="0.25">
      <c r="A21" s="386" t="s">
        <v>798</v>
      </c>
      <c r="B21" s="55" t="s">
        <v>77</v>
      </c>
      <c r="C21" s="55" t="e">
        <f>COUNTIF('Override Control Env2'!#REF!,B21)</f>
        <v>#REF!</v>
      </c>
    </row>
    <row r="22" spans="1:3" x14ac:dyDescent="0.25">
      <c r="A22" s="386"/>
      <c r="B22" s="55" t="s">
        <v>79</v>
      </c>
      <c r="C22" s="55" t="e">
        <f>COUNTIF('Override Control Env2'!#REF!,B22)</f>
        <v>#REF!</v>
      </c>
    </row>
    <row r="23" spans="1:3" x14ac:dyDescent="0.25">
      <c r="A23" s="386"/>
      <c r="B23" s="55" t="s">
        <v>52</v>
      </c>
      <c r="C23" s="55" t="e">
        <f>COUNTIF('Override Control Env2'!#REF!,B23)</f>
        <v>#REF!</v>
      </c>
    </row>
    <row r="24" spans="1:3" x14ac:dyDescent="0.25">
      <c r="A24" s="386"/>
      <c r="B24" s="55" t="s">
        <v>790</v>
      </c>
      <c r="C24" s="55" t="e">
        <f>COUNTIF('Override Control Env2'!#REF!,B24)</f>
        <v>#REF!</v>
      </c>
    </row>
    <row r="25" spans="1:3" ht="15" customHeight="1" x14ac:dyDescent="0.25">
      <c r="A25" s="387" t="s">
        <v>775</v>
      </c>
      <c r="B25" s="55" t="s">
        <v>77</v>
      </c>
      <c r="C25" s="55">
        <f>COUNTIF('Override Control Env2'!$L$59:$L$70,B25)</f>
        <v>0</v>
      </c>
    </row>
    <row r="26" spans="1:3" x14ac:dyDescent="0.25">
      <c r="A26" s="387"/>
      <c r="B26" s="55" t="s">
        <v>79</v>
      </c>
      <c r="C26" s="55">
        <f>COUNTIF('Override Control Env2'!$L$59:$L$70,B26)</f>
        <v>0</v>
      </c>
    </row>
    <row r="27" spans="1:3" x14ac:dyDescent="0.25">
      <c r="A27" s="387"/>
      <c r="B27" s="55" t="s">
        <v>52</v>
      </c>
      <c r="C27" s="55">
        <f>COUNTIF('Override Control Env2'!$L$59:$L$70,B27)</f>
        <v>0</v>
      </c>
    </row>
    <row r="28" spans="1:3" x14ac:dyDescent="0.25">
      <c r="A28" s="387"/>
      <c r="B28" s="55" t="s">
        <v>790</v>
      </c>
      <c r="C28" s="55">
        <f>COUNTIF('Override Control Env2'!$L$59:$L$70,B28)</f>
        <v>12</v>
      </c>
    </row>
    <row r="29" spans="1:3" x14ac:dyDescent="0.25">
      <c r="A29" s="386" t="s">
        <v>777</v>
      </c>
      <c r="B29" s="55" t="s">
        <v>77</v>
      </c>
      <c r="C29" s="55">
        <f>COUNTIF('Override Control Env2'!$L$71:$L$81,B29)</f>
        <v>0</v>
      </c>
    </row>
    <row r="30" spans="1:3" x14ac:dyDescent="0.25">
      <c r="A30" s="386"/>
      <c r="B30" s="55" t="s">
        <v>79</v>
      </c>
      <c r="C30" s="55">
        <f>COUNTIF('Override Control Env2'!$L$71:$L$81,B30)</f>
        <v>0</v>
      </c>
    </row>
    <row r="31" spans="1:3" x14ac:dyDescent="0.25">
      <c r="A31" s="386"/>
      <c r="B31" s="55" t="s">
        <v>52</v>
      </c>
      <c r="C31" s="55">
        <f>COUNTIF('Override Control Env2'!$L$71:$L$81,B31)</f>
        <v>0</v>
      </c>
    </row>
    <row r="32" spans="1:3" x14ac:dyDescent="0.25">
      <c r="A32" s="386"/>
      <c r="B32" s="55" t="s">
        <v>790</v>
      </c>
      <c r="C32" s="55">
        <f>COUNTIF('Override Control Env2'!$L$71:$L$81,B32)</f>
        <v>11</v>
      </c>
    </row>
    <row r="33" spans="1:3" x14ac:dyDescent="0.25">
      <c r="A33" s="386" t="s">
        <v>590</v>
      </c>
      <c r="B33" s="55" t="s">
        <v>77</v>
      </c>
      <c r="C33" s="55">
        <f>COUNTIF('Override Control Env2'!$L$82:$L$91,B33)</f>
        <v>0</v>
      </c>
    </row>
    <row r="34" spans="1:3" x14ac:dyDescent="0.25">
      <c r="A34" s="386"/>
      <c r="B34" s="55" t="s">
        <v>79</v>
      </c>
      <c r="C34" s="55">
        <f>COUNTIF('Override Control Env2'!$L$82:$L$91,B34)</f>
        <v>0</v>
      </c>
    </row>
    <row r="35" spans="1:3" x14ac:dyDescent="0.25">
      <c r="A35" s="386"/>
      <c r="B35" s="55" t="s">
        <v>52</v>
      </c>
      <c r="C35" s="55">
        <f>COUNTIF('Override Control Env2'!$L$82:$L$91,B35)</f>
        <v>0</v>
      </c>
    </row>
    <row r="36" spans="1:3" x14ac:dyDescent="0.25">
      <c r="A36" s="386"/>
      <c r="B36" s="55" t="s">
        <v>790</v>
      </c>
      <c r="C36" s="55">
        <f>COUNTIF('Override Control Env2'!$L$82:$L$91,B36)</f>
        <v>10</v>
      </c>
    </row>
    <row r="37" spans="1:3" x14ac:dyDescent="0.25">
      <c r="A37" s="386" t="s">
        <v>799</v>
      </c>
      <c r="B37" s="55" t="s">
        <v>77</v>
      </c>
      <c r="C37" s="55" t="e">
        <f>COUNTIF('Override Control Env2'!#REF!,B37)</f>
        <v>#REF!</v>
      </c>
    </row>
    <row r="38" spans="1:3" x14ac:dyDescent="0.25">
      <c r="A38" s="386"/>
      <c r="B38" s="55" t="s">
        <v>79</v>
      </c>
      <c r="C38" s="55" t="e">
        <f>COUNTIF('Override Control Env2'!#REF!,B38)</f>
        <v>#REF!</v>
      </c>
    </row>
    <row r="39" spans="1:3" x14ac:dyDescent="0.25">
      <c r="A39" s="386"/>
      <c r="B39" s="55" t="s">
        <v>52</v>
      </c>
      <c r="C39" s="55" t="e">
        <f>COUNTIF('Override Control Env2'!#REF!,B39)</f>
        <v>#REF!</v>
      </c>
    </row>
    <row r="40" spans="1:3" x14ac:dyDescent="0.25">
      <c r="A40" s="386"/>
      <c r="B40" s="55" t="s">
        <v>790</v>
      </c>
      <c r="C40" s="55" t="e">
        <f>COUNTIF('Override Control Env2'!#REF!,B40)</f>
        <v>#REF!</v>
      </c>
    </row>
    <row r="41" spans="1:3" x14ac:dyDescent="0.25">
      <c r="A41" s="386" t="s">
        <v>800</v>
      </c>
      <c r="B41" s="55" t="s">
        <v>77</v>
      </c>
      <c r="C41" s="55" t="e">
        <f>COUNTIF('Override Control Env2'!#REF!,B41)</f>
        <v>#REF!</v>
      </c>
    </row>
    <row r="42" spans="1:3" x14ac:dyDescent="0.25">
      <c r="A42" s="386"/>
      <c r="B42" s="55" t="s">
        <v>79</v>
      </c>
      <c r="C42" s="55" t="e">
        <f>COUNTIF('Override Control Env2'!#REF!,B42)</f>
        <v>#REF!</v>
      </c>
    </row>
    <row r="43" spans="1:3" x14ac:dyDescent="0.25">
      <c r="A43" s="386"/>
      <c r="B43" s="55" t="s">
        <v>52</v>
      </c>
      <c r="C43" s="55" t="e">
        <f>COUNTIF('Override Control Env2'!#REF!,B43)</f>
        <v>#REF!</v>
      </c>
    </row>
    <row r="44" spans="1:3" x14ac:dyDescent="0.25">
      <c r="A44" s="386"/>
      <c r="B44" s="55" t="s">
        <v>790</v>
      </c>
      <c r="C44" s="55" t="e">
        <f>COUNTIF('Override Control Env2'!#REF!,B44)</f>
        <v>#REF!</v>
      </c>
    </row>
    <row r="45" spans="1:3" x14ac:dyDescent="0.25">
      <c r="A45" s="386" t="s">
        <v>801</v>
      </c>
      <c r="B45" s="55" t="s">
        <v>77</v>
      </c>
      <c r="C45" s="55" t="e">
        <f>COUNTIF('Override Control Env2'!#REF!,B45)</f>
        <v>#REF!</v>
      </c>
    </row>
    <row r="46" spans="1:3" x14ac:dyDescent="0.25">
      <c r="A46" s="386"/>
      <c r="B46" s="55" t="s">
        <v>79</v>
      </c>
      <c r="C46" s="55" t="e">
        <f>COUNTIF('Override Control Env2'!#REF!,B46)</f>
        <v>#REF!</v>
      </c>
    </row>
    <row r="47" spans="1:3" x14ac:dyDescent="0.25">
      <c r="A47" s="386"/>
      <c r="B47" s="55" t="s">
        <v>52</v>
      </c>
      <c r="C47" s="55" t="e">
        <f>COUNTIF('Override Control Env2'!#REF!,B47)</f>
        <v>#REF!</v>
      </c>
    </row>
    <row r="48" spans="1:3" x14ac:dyDescent="0.25">
      <c r="A48" s="386"/>
      <c r="B48" s="55" t="s">
        <v>790</v>
      </c>
      <c r="C48" s="55" t="e">
        <f>COUNTIF('Override Control Env2'!#REF!,B48)</f>
        <v>#REF!</v>
      </c>
    </row>
    <row r="49" spans="1:3" x14ac:dyDescent="0.25">
      <c r="A49" s="386" t="s">
        <v>621</v>
      </c>
      <c r="B49" s="55" t="s">
        <v>77</v>
      </c>
      <c r="C49" s="55">
        <f>COUNTIF('Override Control Env2'!$L$92:$L$102,B49)</f>
        <v>0</v>
      </c>
    </row>
    <row r="50" spans="1:3" x14ac:dyDescent="0.25">
      <c r="A50" s="386"/>
      <c r="B50" s="55" t="s">
        <v>79</v>
      </c>
      <c r="C50" s="55">
        <f>COUNTIF('Override Control Env2'!$L$92:$L$102,B50)</f>
        <v>0</v>
      </c>
    </row>
    <row r="51" spans="1:3" x14ac:dyDescent="0.25">
      <c r="A51" s="386"/>
      <c r="B51" s="55" t="s">
        <v>52</v>
      </c>
      <c r="C51" s="55">
        <f>COUNTIF('Override Control Env2'!$L$92:$L$102,B51)</f>
        <v>0</v>
      </c>
    </row>
    <row r="52" spans="1:3" x14ac:dyDescent="0.25">
      <c r="A52" s="386"/>
      <c r="B52" s="55" t="s">
        <v>790</v>
      </c>
      <c r="C52" s="55">
        <f>COUNTIF('Override Control Env2'!$L$92:$L$102,B52)</f>
        <v>11</v>
      </c>
    </row>
    <row r="53" spans="1:3" x14ac:dyDescent="0.25">
      <c r="A53" s="386" t="s">
        <v>802</v>
      </c>
      <c r="B53" s="55" t="s">
        <v>77</v>
      </c>
      <c r="C53" s="55" t="e">
        <f>COUNTIF('Override Control Env2'!#REF!,B53)</f>
        <v>#REF!</v>
      </c>
    </row>
    <row r="54" spans="1:3" x14ac:dyDescent="0.25">
      <c r="A54" s="386"/>
      <c r="B54" s="55" t="s">
        <v>79</v>
      </c>
      <c r="C54" s="55" t="e">
        <f>COUNTIF('Override Control Env2'!#REF!,B54)</f>
        <v>#REF!</v>
      </c>
    </row>
    <row r="55" spans="1:3" x14ac:dyDescent="0.25">
      <c r="A55" s="386"/>
      <c r="B55" s="55" t="s">
        <v>52</v>
      </c>
      <c r="C55" s="55" t="e">
        <f>COUNTIF('Override Control Env2'!#REF!,B55)</f>
        <v>#REF!</v>
      </c>
    </row>
    <row r="56" spans="1:3" x14ac:dyDescent="0.25">
      <c r="A56" s="386"/>
      <c r="B56" s="55" t="s">
        <v>790</v>
      </c>
      <c r="C56" s="55" t="e">
        <f>COUNTIF('Override Control Env2'!#REF!,B56)</f>
        <v>#REF!</v>
      </c>
    </row>
    <row r="57" spans="1:3" x14ac:dyDescent="0.25">
      <c r="A57" s="386" t="s">
        <v>778</v>
      </c>
      <c r="B57" s="55" t="s">
        <v>77</v>
      </c>
      <c r="C57" s="55">
        <f>COUNTIF('Override Control Env2'!$L$103:$L$111,B57)</f>
        <v>0</v>
      </c>
    </row>
    <row r="58" spans="1:3" x14ac:dyDescent="0.25">
      <c r="A58" s="386"/>
      <c r="B58" s="55" t="s">
        <v>79</v>
      </c>
      <c r="C58" s="55">
        <f>COUNTIF('Override Control Env2'!$L$103:$L$111,B58)</f>
        <v>0</v>
      </c>
    </row>
    <row r="59" spans="1:3" x14ac:dyDescent="0.25">
      <c r="A59" s="386"/>
      <c r="B59" s="55" t="s">
        <v>52</v>
      </c>
      <c r="C59" s="55">
        <f>COUNTIF('Override Control Env2'!$L$103:$L$111,B59)</f>
        <v>0</v>
      </c>
    </row>
    <row r="60" spans="1:3" x14ac:dyDescent="0.25">
      <c r="A60" s="386"/>
      <c r="B60" s="55" t="s">
        <v>790</v>
      </c>
      <c r="C60" s="55">
        <f>COUNTIF('Override Control Env2'!$L$103:$L$111,B60)</f>
        <v>9</v>
      </c>
    </row>
    <row r="61" spans="1:3" x14ac:dyDescent="0.25">
      <c r="A61" s="386" t="s">
        <v>779</v>
      </c>
      <c r="B61" s="55" t="s">
        <v>77</v>
      </c>
      <c r="C61" s="55">
        <f>COUNTIF('Override Control Env2'!$L$112:$L$124,B61)</f>
        <v>0</v>
      </c>
    </row>
    <row r="62" spans="1:3" x14ac:dyDescent="0.25">
      <c r="A62" s="386"/>
      <c r="B62" s="55" t="s">
        <v>79</v>
      </c>
      <c r="C62" s="55">
        <f>COUNTIF('Override Control Env2'!$L$112:$L$124,B62)</f>
        <v>0</v>
      </c>
    </row>
    <row r="63" spans="1:3" x14ac:dyDescent="0.25">
      <c r="A63" s="386"/>
      <c r="B63" s="55" t="s">
        <v>52</v>
      </c>
      <c r="C63" s="55">
        <f>COUNTIF('Override Control Env2'!$L$112:$L$124,B63)</f>
        <v>0</v>
      </c>
    </row>
    <row r="64" spans="1:3" x14ac:dyDescent="0.25">
      <c r="A64" s="386"/>
      <c r="B64" s="55" t="s">
        <v>790</v>
      </c>
      <c r="C64" s="55">
        <f>COUNTIF('Override Control Env2'!$L$112:$L$124,B64)</f>
        <v>13</v>
      </c>
    </row>
    <row r="65" spans="1:3" x14ac:dyDescent="0.25">
      <c r="A65" s="386" t="s">
        <v>783</v>
      </c>
      <c r="B65" s="55" t="s">
        <v>77</v>
      </c>
      <c r="C65" s="55">
        <f>COUNTIF('Override Control Env2'!$L$125:$L$128,B65)</f>
        <v>0</v>
      </c>
    </row>
    <row r="66" spans="1:3" x14ac:dyDescent="0.25">
      <c r="A66" s="386"/>
      <c r="B66" s="55" t="s">
        <v>79</v>
      </c>
      <c r="C66" s="55">
        <f>COUNTIF('Override Control Env2'!$L$125:$L$128,B66)</f>
        <v>0</v>
      </c>
    </row>
    <row r="67" spans="1:3" x14ac:dyDescent="0.25">
      <c r="A67" s="386"/>
      <c r="B67" s="55" t="s">
        <v>52</v>
      </c>
      <c r="C67" s="55">
        <f>COUNTIF('Override Control Env2'!$L$125:$L$128,B67)</f>
        <v>0</v>
      </c>
    </row>
    <row r="68" spans="1:3" x14ac:dyDescent="0.25">
      <c r="A68" s="386"/>
      <c r="B68" s="55" t="s">
        <v>790</v>
      </c>
      <c r="C68" s="55">
        <f>COUNTIF('Override Control Env2'!$L$125:$L$128,B68)</f>
        <v>4</v>
      </c>
    </row>
  </sheetData>
  <mergeCells count="17">
    <mergeCell ref="A49:A52"/>
    <mergeCell ref="A53:A56"/>
    <mergeCell ref="A57:A60"/>
    <mergeCell ref="A61:A64"/>
    <mergeCell ref="A65:A68"/>
    <mergeCell ref="A45:A48"/>
    <mergeCell ref="A1:A4"/>
    <mergeCell ref="A5:A8"/>
    <mergeCell ref="A9:A12"/>
    <mergeCell ref="A13:A16"/>
    <mergeCell ref="A17:A20"/>
    <mergeCell ref="A21:A24"/>
    <mergeCell ref="A25:A28"/>
    <mergeCell ref="A29:A32"/>
    <mergeCell ref="A33:A36"/>
    <mergeCell ref="A37:A40"/>
    <mergeCell ref="A41:A44"/>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8"/>
  <sheetViews>
    <sheetView showGridLines="0" topLeftCell="A34" workbookViewId="0">
      <selection activeCell="C68" sqref="C68"/>
    </sheetView>
  </sheetViews>
  <sheetFormatPr defaultColWidth="9" defaultRowHeight="15" x14ac:dyDescent="0.25"/>
  <cols>
    <col min="1" max="1" width="29.28515625" bestFit="1" customWidth="1"/>
    <col min="2" max="2" width="11.140625" bestFit="1" customWidth="1"/>
  </cols>
  <sheetData>
    <row r="1" spans="1:3" x14ac:dyDescent="0.25">
      <c r="A1" s="386" t="s">
        <v>773</v>
      </c>
      <c r="B1" s="55" t="s">
        <v>77</v>
      </c>
      <c r="C1" s="55">
        <f>COUNTIF('Override Control Env3'!$L$9:$L$19,B1)</f>
        <v>0</v>
      </c>
    </row>
    <row r="2" spans="1:3" x14ac:dyDescent="0.25">
      <c r="A2" s="386"/>
      <c r="B2" s="55" t="s">
        <v>79</v>
      </c>
      <c r="C2" s="55">
        <f>COUNTIF('Override Control Env3'!$L$9:$L$19,B2)</f>
        <v>0</v>
      </c>
    </row>
    <row r="3" spans="1:3" x14ac:dyDescent="0.25">
      <c r="A3" s="386"/>
      <c r="B3" s="55" t="s">
        <v>52</v>
      </c>
      <c r="C3" s="55">
        <f>COUNTIF('Override Control Env3'!$L$9:$L$19,B3)</f>
        <v>0</v>
      </c>
    </row>
    <row r="4" spans="1:3" x14ac:dyDescent="0.25">
      <c r="A4" s="386"/>
      <c r="B4" s="55" t="s">
        <v>790</v>
      </c>
      <c r="C4" s="55">
        <f>COUNTIF('Override Control Env3'!$L$9:$L$19,B4)</f>
        <v>11</v>
      </c>
    </row>
    <row r="5" spans="1:3" x14ac:dyDescent="0.25">
      <c r="A5" s="386" t="s">
        <v>391</v>
      </c>
      <c r="B5" s="55" t="s">
        <v>77</v>
      </c>
      <c r="C5" s="55">
        <f>COUNTIF('Override Control Env3'!$L$20:$L$24,B5)</f>
        <v>0</v>
      </c>
    </row>
    <row r="6" spans="1:3" x14ac:dyDescent="0.25">
      <c r="A6" s="386"/>
      <c r="B6" s="55" t="s">
        <v>79</v>
      </c>
      <c r="C6" s="55">
        <f>COUNTIF('Override Control Env3'!$L$20:$L$24,B6)</f>
        <v>0</v>
      </c>
    </row>
    <row r="7" spans="1:3" x14ac:dyDescent="0.25">
      <c r="A7" s="386"/>
      <c r="B7" s="55" t="s">
        <v>52</v>
      </c>
      <c r="C7" s="55">
        <f>COUNTIF('Override Control Env3'!$L$20:$L$24,B7)</f>
        <v>0</v>
      </c>
    </row>
    <row r="8" spans="1:3" x14ac:dyDescent="0.25">
      <c r="A8" s="386"/>
      <c r="B8" s="55" t="s">
        <v>790</v>
      </c>
      <c r="C8" s="55">
        <f>COUNTIF('Override Control Env3'!$L$20:$L$24,B8)</f>
        <v>5</v>
      </c>
    </row>
    <row r="9" spans="1:3" x14ac:dyDescent="0.25">
      <c r="A9" s="386" t="s">
        <v>412</v>
      </c>
      <c r="B9" s="55" t="s">
        <v>77</v>
      </c>
      <c r="C9" s="55">
        <f>COUNTIF('Override Control Env3'!$L$25:$L$33,B9)</f>
        <v>0</v>
      </c>
    </row>
    <row r="10" spans="1:3" x14ac:dyDescent="0.25">
      <c r="A10" s="386"/>
      <c r="B10" s="55" t="s">
        <v>79</v>
      </c>
      <c r="C10" s="55">
        <f>COUNTIF('Override Control Env3'!$L$25:$L$33,B10)</f>
        <v>0</v>
      </c>
    </row>
    <row r="11" spans="1:3" x14ac:dyDescent="0.25">
      <c r="A11" s="386"/>
      <c r="B11" s="55" t="s">
        <v>52</v>
      </c>
      <c r="C11" s="55">
        <f>COUNTIF('Override Control Env3'!$L$25:$L$33,B11)</f>
        <v>0</v>
      </c>
    </row>
    <row r="12" spans="1:3" x14ac:dyDescent="0.25">
      <c r="A12" s="386"/>
      <c r="B12" s="55" t="s">
        <v>790</v>
      </c>
      <c r="C12" s="55">
        <f>COUNTIF('Override Control Env3'!$L$25:$L$33,B12)</f>
        <v>9</v>
      </c>
    </row>
    <row r="13" spans="1:3" x14ac:dyDescent="0.25">
      <c r="A13" s="386" t="s">
        <v>796</v>
      </c>
      <c r="B13" s="55" t="s">
        <v>77</v>
      </c>
      <c r="C13" s="55" t="e">
        <f>COUNTIF('Override Control Env3'!#REF!,B13)</f>
        <v>#REF!</v>
      </c>
    </row>
    <row r="14" spans="1:3" x14ac:dyDescent="0.25">
      <c r="A14" s="386"/>
      <c r="B14" s="55" t="s">
        <v>79</v>
      </c>
      <c r="C14" s="55" t="e">
        <f>COUNTIF('Override Control Env3'!#REF!,B14)</f>
        <v>#REF!</v>
      </c>
    </row>
    <row r="15" spans="1:3" x14ac:dyDescent="0.25">
      <c r="A15" s="386"/>
      <c r="B15" s="55" t="s">
        <v>52</v>
      </c>
      <c r="C15" s="55" t="e">
        <f>COUNTIF('Override Control Env3'!#REF!,B15)</f>
        <v>#REF!</v>
      </c>
    </row>
    <row r="16" spans="1:3" x14ac:dyDescent="0.25">
      <c r="A16" s="386"/>
      <c r="B16" s="55" t="s">
        <v>790</v>
      </c>
      <c r="C16" s="55" t="e">
        <f>COUNTIF('Override Control Env3'!#REF!,B16)</f>
        <v>#REF!</v>
      </c>
    </row>
    <row r="17" spans="1:3" x14ac:dyDescent="0.25">
      <c r="A17" s="386" t="s">
        <v>797</v>
      </c>
      <c r="B17" s="55" t="s">
        <v>77</v>
      </c>
      <c r="C17" s="55">
        <f>COUNTIF('Override Control Env3'!$L$34:$L$56,B17)</f>
        <v>0</v>
      </c>
    </row>
    <row r="18" spans="1:3" x14ac:dyDescent="0.25">
      <c r="A18" s="386"/>
      <c r="B18" s="55" t="s">
        <v>79</v>
      </c>
      <c r="C18" s="55">
        <f>COUNTIF('Override Control Env3'!$L$34:$L$56,B18)</f>
        <v>0</v>
      </c>
    </row>
    <row r="19" spans="1:3" x14ac:dyDescent="0.25">
      <c r="A19" s="386"/>
      <c r="B19" s="55" t="s">
        <v>52</v>
      </c>
      <c r="C19" s="55">
        <f>COUNTIF('Override Control Env3'!$L$34:$L$56,B19)</f>
        <v>0</v>
      </c>
    </row>
    <row r="20" spans="1:3" x14ac:dyDescent="0.25">
      <c r="A20" s="386"/>
      <c r="B20" s="55" t="s">
        <v>790</v>
      </c>
      <c r="C20" s="55">
        <f>COUNTIF('Override Control Env3'!$L$34:$L$56,B20)</f>
        <v>23</v>
      </c>
    </row>
    <row r="21" spans="1:3" x14ac:dyDescent="0.25">
      <c r="A21" s="386" t="s">
        <v>798</v>
      </c>
      <c r="B21" s="55" t="s">
        <v>77</v>
      </c>
      <c r="C21" s="55" t="e">
        <f>COUNTIF('Override Control Env3'!#REF!,B21)</f>
        <v>#REF!</v>
      </c>
    </row>
    <row r="22" spans="1:3" x14ac:dyDescent="0.25">
      <c r="A22" s="386"/>
      <c r="B22" s="55" t="s">
        <v>79</v>
      </c>
      <c r="C22" s="55" t="e">
        <f>COUNTIF('Override Control Env3'!#REF!,B22)</f>
        <v>#REF!</v>
      </c>
    </row>
    <row r="23" spans="1:3" x14ac:dyDescent="0.25">
      <c r="A23" s="386"/>
      <c r="B23" s="55" t="s">
        <v>52</v>
      </c>
      <c r="C23" s="55" t="e">
        <f>COUNTIF('Override Control Env3'!#REF!,B23)</f>
        <v>#REF!</v>
      </c>
    </row>
    <row r="24" spans="1:3" x14ac:dyDescent="0.25">
      <c r="A24" s="386"/>
      <c r="B24" s="55" t="s">
        <v>790</v>
      </c>
      <c r="C24" s="55" t="e">
        <f>COUNTIF('Override Control Env3'!#REF!,B24)</f>
        <v>#REF!</v>
      </c>
    </row>
    <row r="25" spans="1:3" ht="15" customHeight="1" x14ac:dyDescent="0.25">
      <c r="A25" s="387" t="s">
        <v>775</v>
      </c>
      <c r="B25" s="55" t="s">
        <v>77</v>
      </c>
      <c r="C25" s="55">
        <f>COUNTIF('Override Control Env3'!$L$59:$L$70,B25)</f>
        <v>0</v>
      </c>
    </row>
    <row r="26" spans="1:3" x14ac:dyDescent="0.25">
      <c r="A26" s="387"/>
      <c r="B26" s="55" t="s">
        <v>79</v>
      </c>
      <c r="C26" s="55">
        <f>COUNTIF('Override Control Env3'!$L$59:$L$70,B26)</f>
        <v>0</v>
      </c>
    </row>
    <row r="27" spans="1:3" x14ac:dyDescent="0.25">
      <c r="A27" s="387"/>
      <c r="B27" s="55" t="s">
        <v>52</v>
      </c>
      <c r="C27" s="55">
        <f>COUNTIF('Override Control Env3'!$L$59:$L$70,B27)</f>
        <v>0</v>
      </c>
    </row>
    <row r="28" spans="1:3" x14ac:dyDescent="0.25">
      <c r="A28" s="387"/>
      <c r="B28" s="55" t="s">
        <v>790</v>
      </c>
      <c r="C28" s="55">
        <f>COUNTIF('Override Control Env3'!$L$59:$L$70,B28)</f>
        <v>12</v>
      </c>
    </row>
    <row r="29" spans="1:3" x14ac:dyDescent="0.25">
      <c r="A29" s="386" t="s">
        <v>777</v>
      </c>
      <c r="B29" s="55" t="s">
        <v>77</v>
      </c>
      <c r="C29" s="55">
        <f>COUNTIF('Override Control Env3'!$L$71:$L$81,B29)</f>
        <v>0</v>
      </c>
    </row>
    <row r="30" spans="1:3" x14ac:dyDescent="0.25">
      <c r="A30" s="386"/>
      <c r="B30" s="55" t="s">
        <v>79</v>
      </c>
      <c r="C30" s="55">
        <f>COUNTIF('Override Control Env3'!$L$71:$L$81,B30)</f>
        <v>0</v>
      </c>
    </row>
    <row r="31" spans="1:3" x14ac:dyDescent="0.25">
      <c r="A31" s="386"/>
      <c r="B31" s="55" t="s">
        <v>52</v>
      </c>
      <c r="C31" s="55">
        <f>COUNTIF('Override Control Env3'!$L$71:$L$81,B31)</f>
        <v>0</v>
      </c>
    </row>
    <row r="32" spans="1:3" x14ac:dyDescent="0.25">
      <c r="A32" s="386"/>
      <c r="B32" s="55" t="s">
        <v>790</v>
      </c>
      <c r="C32" s="55">
        <f>COUNTIF('Override Control Env3'!$L$71:$L$81,B32)</f>
        <v>11</v>
      </c>
    </row>
    <row r="33" spans="1:3" x14ac:dyDescent="0.25">
      <c r="A33" s="386" t="s">
        <v>590</v>
      </c>
      <c r="B33" s="55" t="s">
        <v>77</v>
      </c>
      <c r="C33" s="55">
        <f>COUNTIF('Override Control Env3'!$L$82:$L$91,B33)</f>
        <v>0</v>
      </c>
    </row>
    <row r="34" spans="1:3" x14ac:dyDescent="0.25">
      <c r="A34" s="386"/>
      <c r="B34" s="55" t="s">
        <v>79</v>
      </c>
      <c r="C34" s="55">
        <f>COUNTIF('Override Control Env3'!$L$82:$L$91,B34)</f>
        <v>0</v>
      </c>
    </row>
    <row r="35" spans="1:3" x14ac:dyDescent="0.25">
      <c r="A35" s="386"/>
      <c r="B35" s="55" t="s">
        <v>52</v>
      </c>
      <c r="C35" s="55">
        <f>COUNTIF('Override Control Env3'!$L$82:$L$91,B35)</f>
        <v>0</v>
      </c>
    </row>
    <row r="36" spans="1:3" x14ac:dyDescent="0.25">
      <c r="A36" s="386"/>
      <c r="B36" s="55" t="s">
        <v>790</v>
      </c>
      <c r="C36" s="55">
        <f>COUNTIF('Override Control Env3'!$L$82:$L$91,B36)</f>
        <v>10</v>
      </c>
    </row>
    <row r="37" spans="1:3" x14ac:dyDescent="0.25">
      <c r="A37" s="386" t="s">
        <v>799</v>
      </c>
      <c r="B37" s="55" t="s">
        <v>77</v>
      </c>
      <c r="C37" s="55" t="e">
        <f>COUNTIF('Override Control Env3'!#REF!,B37)</f>
        <v>#REF!</v>
      </c>
    </row>
    <row r="38" spans="1:3" x14ac:dyDescent="0.25">
      <c r="A38" s="386"/>
      <c r="B38" s="55" t="s">
        <v>79</v>
      </c>
      <c r="C38" s="55" t="e">
        <f>COUNTIF('Override Control Env3'!#REF!,B38)</f>
        <v>#REF!</v>
      </c>
    </row>
    <row r="39" spans="1:3" x14ac:dyDescent="0.25">
      <c r="A39" s="386"/>
      <c r="B39" s="55" t="s">
        <v>52</v>
      </c>
      <c r="C39" s="55" t="e">
        <f>COUNTIF('Override Control Env3'!#REF!,B39)</f>
        <v>#REF!</v>
      </c>
    </row>
    <row r="40" spans="1:3" x14ac:dyDescent="0.25">
      <c r="A40" s="386"/>
      <c r="B40" s="55" t="s">
        <v>790</v>
      </c>
      <c r="C40" s="55" t="e">
        <f>COUNTIF('Override Control Env3'!#REF!,B40)</f>
        <v>#REF!</v>
      </c>
    </row>
    <row r="41" spans="1:3" x14ac:dyDescent="0.25">
      <c r="A41" s="386" t="s">
        <v>800</v>
      </c>
      <c r="B41" s="55" t="s">
        <v>77</v>
      </c>
      <c r="C41" s="55" t="e">
        <f>COUNTIF('Override Control Env3'!#REF!,B41)</f>
        <v>#REF!</v>
      </c>
    </row>
    <row r="42" spans="1:3" x14ac:dyDescent="0.25">
      <c r="A42" s="386"/>
      <c r="B42" s="55" t="s">
        <v>79</v>
      </c>
      <c r="C42" s="55" t="e">
        <f>COUNTIF('Override Control Env3'!#REF!,B42)</f>
        <v>#REF!</v>
      </c>
    </row>
    <row r="43" spans="1:3" x14ac:dyDescent="0.25">
      <c r="A43" s="386"/>
      <c r="B43" s="55" t="s">
        <v>52</v>
      </c>
      <c r="C43" s="55" t="e">
        <f>COUNTIF('Override Control Env3'!#REF!,B43)</f>
        <v>#REF!</v>
      </c>
    </row>
    <row r="44" spans="1:3" x14ac:dyDescent="0.25">
      <c r="A44" s="386"/>
      <c r="B44" s="55" t="s">
        <v>790</v>
      </c>
      <c r="C44" s="55" t="e">
        <f>COUNTIF('Override Control Env3'!#REF!,B44)</f>
        <v>#REF!</v>
      </c>
    </row>
    <row r="45" spans="1:3" x14ac:dyDescent="0.25">
      <c r="A45" s="386" t="s">
        <v>801</v>
      </c>
      <c r="B45" s="55" t="s">
        <v>77</v>
      </c>
      <c r="C45" s="55" t="e">
        <f>COUNTIF('Override Control Env3'!#REF!,B45)</f>
        <v>#REF!</v>
      </c>
    </row>
    <row r="46" spans="1:3" x14ac:dyDescent="0.25">
      <c r="A46" s="386"/>
      <c r="B46" s="55" t="s">
        <v>79</v>
      </c>
      <c r="C46" s="55" t="e">
        <f>COUNTIF('Override Control Env3'!#REF!,B46)</f>
        <v>#REF!</v>
      </c>
    </row>
    <row r="47" spans="1:3" x14ac:dyDescent="0.25">
      <c r="A47" s="386"/>
      <c r="B47" s="55" t="s">
        <v>52</v>
      </c>
      <c r="C47" s="55" t="e">
        <f>COUNTIF('Override Control Env3'!#REF!,B47)</f>
        <v>#REF!</v>
      </c>
    </row>
    <row r="48" spans="1:3" x14ac:dyDescent="0.25">
      <c r="A48" s="386"/>
      <c r="B48" s="55" t="s">
        <v>790</v>
      </c>
      <c r="C48" s="55" t="e">
        <f>COUNTIF('Override Control Env3'!#REF!,B48)</f>
        <v>#REF!</v>
      </c>
    </row>
    <row r="49" spans="1:3" x14ac:dyDescent="0.25">
      <c r="A49" s="386" t="s">
        <v>621</v>
      </c>
      <c r="B49" s="55" t="s">
        <v>77</v>
      </c>
      <c r="C49" s="55">
        <f>COUNTIF('Override Control Env3'!$L$92:$L$102,B49)</f>
        <v>0</v>
      </c>
    </row>
    <row r="50" spans="1:3" x14ac:dyDescent="0.25">
      <c r="A50" s="386"/>
      <c r="B50" s="55" t="s">
        <v>79</v>
      </c>
      <c r="C50" s="55">
        <f>COUNTIF('Override Control Env3'!$L$92:$L$102,B50)</f>
        <v>0</v>
      </c>
    </row>
    <row r="51" spans="1:3" x14ac:dyDescent="0.25">
      <c r="A51" s="386"/>
      <c r="B51" s="55" t="s">
        <v>52</v>
      </c>
      <c r="C51" s="55">
        <f>COUNTIF('Override Control Env3'!$L$92:$L$102,B51)</f>
        <v>0</v>
      </c>
    </row>
    <row r="52" spans="1:3" x14ac:dyDescent="0.25">
      <c r="A52" s="386"/>
      <c r="B52" s="55" t="s">
        <v>790</v>
      </c>
      <c r="C52" s="55">
        <f>COUNTIF('Override Control Env3'!$L$92:$L$102,B52)</f>
        <v>11</v>
      </c>
    </row>
    <row r="53" spans="1:3" x14ac:dyDescent="0.25">
      <c r="A53" s="386" t="s">
        <v>802</v>
      </c>
      <c r="B53" s="55" t="s">
        <v>77</v>
      </c>
      <c r="C53" s="55" t="e">
        <f>COUNTIF('Override Control Env3'!#REF!,B53)</f>
        <v>#REF!</v>
      </c>
    </row>
    <row r="54" spans="1:3" x14ac:dyDescent="0.25">
      <c r="A54" s="386"/>
      <c r="B54" s="55" t="s">
        <v>79</v>
      </c>
      <c r="C54" s="55" t="e">
        <f>COUNTIF('Override Control Env3'!#REF!,B54)</f>
        <v>#REF!</v>
      </c>
    </row>
    <row r="55" spans="1:3" x14ac:dyDescent="0.25">
      <c r="A55" s="386"/>
      <c r="B55" s="55" t="s">
        <v>52</v>
      </c>
      <c r="C55" s="55" t="e">
        <f>COUNTIF('Override Control Env3'!#REF!,B55)</f>
        <v>#REF!</v>
      </c>
    </row>
    <row r="56" spans="1:3" x14ac:dyDescent="0.25">
      <c r="A56" s="386"/>
      <c r="B56" s="55" t="s">
        <v>790</v>
      </c>
      <c r="C56" s="55" t="e">
        <f>COUNTIF('Override Control Env3'!#REF!,B56)</f>
        <v>#REF!</v>
      </c>
    </row>
    <row r="57" spans="1:3" x14ac:dyDescent="0.25">
      <c r="A57" s="386" t="s">
        <v>778</v>
      </c>
      <c r="B57" s="55" t="s">
        <v>77</v>
      </c>
      <c r="C57" s="55">
        <f>COUNTIF('Override Control Env3'!$L$103:$L$111,B57)</f>
        <v>0</v>
      </c>
    </row>
    <row r="58" spans="1:3" x14ac:dyDescent="0.25">
      <c r="A58" s="386"/>
      <c r="B58" s="55" t="s">
        <v>79</v>
      </c>
      <c r="C58" s="55">
        <f>COUNTIF('Override Control Env3'!$L$103:$L$111,B58)</f>
        <v>0</v>
      </c>
    </row>
    <row r="59" spans="1:3" x14ac:dyDescent="0.25">
      <c r="A59" s="386"/>
      <c r="B59" s="55" t="s">
        <v>52</v>
      </c>
      <c r="C59" s="55">
        <f>COUNTIF('Override Control Env3'!$L$103:$L$111,B59)</f>
        <v>0</v>
      </c>
    </row>
    <row r="60" spans="1:3" x14ac:dyDescent="0.25">
      <c r="A60" s="386"/>
      <c r="B60" s="55" t="s">
        <v>790</v>
      </c>
      <c r="C60" s="55">
        <f>COUNTIF('Override Control Env3'!$L$103:$L$111,B60)</f>
        <v>9</v>
      </c>
    </row>
    <row r="61" spans="1:3" x14ac:dyDescent="0.25">
      <c r="A61" s="386" t="s">
        <v>779</v>
      </c>
      <c r="B61" s="55" t="s">
        <v>77</v>
      </c>
      <c r="C61" s="55">
        <f>COUNTIF('Override Control Env3'!$L$112:$L$124,B61)</f>
        <v>0</v>
      </c>
    </row>
    <row r="62" spans="1:3" x14ac:dyDescent="0.25">
      <c r="A62" s="386"/>
      <c r="B62" s="55" t="s">
        <v>79</v>
      </c>
      <c r="C62" s="55">
        <f>COUNTIF('Override Control Env3'!$L$112:$L$124,B62)</f>
        <v>0</v>
      </c>
    </row>
    <row r="63" spans="1:3" x14ac:dyDescent="0.25">
      <c r="A63" s="386"/>
      <c r="B63" s="55" t="s">
        <v>52</v>
      </c>
      <c r="C63" s="55">
        <f>COUNTIF('Override Control Env3'!$L$112:$L$124,B63)</f>
        <v>0</v>
      </c>
    </row>
    <row r="64" spans="1:3" x14ac:dyDescent="0.25">
      <c r="A64" s="386"/>
      <c r="B64" s="55" t="s">
        <v>790</v>
      </c>
      <c r="C64" s="55">
        <f>COUNTIF('Override Control Env3'!$L$112:$L$124,B64)</f>
        <v>13</v>
      </c>
    </row>
    <row r="65" spans="1:3" x14ac:dyDescent="0.25">
      <c r="A65" s="386" t="s">
        <v>783</v>
      </c>
      <c r="B65" s="55" t="s">
        <v>77</v>
      </c>
      <c r="C65" s="55">
        <f>COUNTIF('Override Control Env3'!$L$125:$L$128,B65)</f>
        <v>0</v>
      </c>
    </row>
    <row r="66" spans="1:3" x14ac:dyDescent="0.25">
      <c r="A66" s="386"/>
      <c r="B66" s="55" t="s">
        <v>79</v>
      </c>
      <c r="C66" s="55">
        <f>COUNTIF('Override Control Env3'!$L$125:$L$128,B66)</f>
        <v>0</v>
      </c>
    </row>
    <row r="67" spans="1:3" x14ac:dyDescent="0.25">
      <c r="A67" s="386"/>
      <c r="B67" s="55" t="s">
        <v>52</v>
      </c>
      <c r="C67" s="55">
        <f>COUNTIF('Override Control Env3'!$L$125:$L$128,B67)</f>
        <v>0</v>
      </c>
    </row>
    <row r="68" spans="1:3" x14ac:dyDescent="0.25">
      <c r="A68" s="386"/>
      <c r="B68" s="55" t="s">
        <v>790</v>
      </c>
      <c r="C68" s="55">
        <f>COUNTIF('Override Control Env3'!$L$125:$L$128,B68)</f>
        <v>4</v>
      </c>
    </row>
  </sheetData>
  <mergeCells count="17">
    <mergeCell ref="A49:A52"/>
    <mergeCell ref="A53:A56"/>
    <mergeCell ref="A57:A60"/>
    <mergeCell ref="A61:A64"/>
    <mergeCell ref="A65:A68"/>
    <mergeCell ref="A45:A48"/>
    <mergeCell ref="A1:A4"/>
    <mergeCell ref="A5:A8"/>
    <mergeCell ref="A9:A12"/>
    <mergeCell ref="A13:A16"/>
    <mergeCell ref="A17:A20"/>
    <mergeCell ref="A21:A24"/>
    <mergeCell ref="A25:A28"/>
    <mergeCell ref="A29:A32"/>
    <mergeCell ref="A33:A36"/>
    <mergeCell ref="A37:A40"/>
    <mergeCell ref="A41:A4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2.xml><?xml version="1.0" encoding="utf-8"?>
<ds:datastoreItem xmlns:ds="http://schemas.openxmlformats.org/officeDocument/2006/customXml" ds:itemID="{B5CDEF46-D9A3-4264-9F86-272184E0FC88}"/>
</file>

<file path=customXml/itemProps3.xml><?xml version="1.0" encoding="utf-8"?>
<ds:datastoreItem xmlns:ds="http://schemas.openxmlformats.org/officeDocument/2006/customXml" ds:itemID="{4E5E0526-B32C-402F-8FC5-B8007E55E7AE}">
  <ds:schemaRefs>
    <ds:schemaRef ds:uri="14c339db-4fcb-4cbd-8633-1201a6f0e19b"/>
    <ds:schemaRef ds:uri="http://purl.org/dc/terms/"/>
    <ds:schemaRef ds:uri="63a6c59b-4122-478b-aef6-4fc0178e5f33"/>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sharepoint/v3/fields"/>
    <ds:schemaRef ds:uri="http://www.w3.org/XML/1998/namespace"/>
  </ds:schemaRefs>
</ds:datastoreItem>
</file>

<file path=customXml/itemProps4.xml><?xml version="1.0" encoding="utf-8"?>
<ds:datastoreItem xmlns:ds="http://schemas.openxmlformats.org/officeDocument/2006/customXml" ds:itemID="{6042968A-9246-46CD-8240-2954F27C5C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 Page</vt:lpstr>
      <vt:lpstr>Instructions</vt:lpstr>
      <vt:lpstr>Data Validation Key</vt:lpstr>
      <vt:lpstr>IRQ</vt:lpstr>
      <vt:lpstr>IVPQ</vt:lpstr>
      <vt:lpstr>Vendor Profile Questionnaire</vt:lpstr>
      <vt:lpstr>Scope</vt:lpstr>
      <vt:lpstr>Network_Architecture_Diagrams</vt:lpstr>
      <vt:lpstr>Connectivity Mapping</vt:lpstr>
      <vt:lpstr>Required Evidence</vt:lpstr>
      <vt:lpstr>Product Security Questionnaire</vt:lpstr>
      <vt:lpstr>1. Access Controls</vt:lpstr>
      <vt:lpstr>2. Awareness and Training</vt:lpstr>
      <vt:lpstr>3. Audit and Accountability</vt:lpstr>
      <vt:lpstr>5. Configuration</vt:lpstr>
      <vt:lpstr>7. Authentication&amp;Authorization</vt:lpstr>
      <vt:lpstr>8. Incident Response</vt:lpstr>
      <vt:lpstr>9. Maintenance</vt:lpstr>
      <vt:lpstr>13. Personnel Security</vt:lpstr>
      <vt:lpstr>15. System Acquisition</vt:lpstr>
      <vt:lpstr>16. System Data Protection</vt:lpstr>
      <vt:lpstr>17. System Data Integrity</vt:lpstr>
      <vt:lpstr>Override Control Env1</vt:lpstr>
      <vt:lpstr>Override Control Env2</vt:lpstr>
      <vt:lpstr>Override Control Env3</vt:lpstr>
      <vt:lpstr>Grading</vt:lpstr>
      <vt:lpstr>Distribution Env1</vt:lpstr>
      <vt:lpstr>Distribution Env2</vt:lpstr>
      <vt:lpstr>Distribution Env3</vt:lpstr>
      <vt:lpstr>Inadequacy Distribution Env1</vt:lpstr>
      <vt:lpstr>Inadequacy Distribution Env2</vt:lpstr>
      <vt:lpstr>Inadequacy Distribution Env3</vt:lpstr>
      <vt:lpstr>Adequacy Distribution Env1</vt:lpstr>
      <vt:lpstr>Adequacy Distribution Env2</vt:lpstr>
      <vt:lpstr>Adequacy Distribution Env3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Masten</dc:creator>
  <cp:keywords/>
  <dc:description/>
  <cp:lastModifiedBy>Bruno Bendavid</cp:lastModifiedBy>
  <cp:revision/>
  <dcterms:created xsi:type="dcterms:W3CDTF">2015-10-31T15:56:41Z</dcterms:created>
  <dcterms:modified xsi:type="dcterms:W3CDTF">2021-07-20T13:31:58Z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ContentType">
    <vt:lpwstr>Document</vt:lpwstr>
  </property>
  <property fmtid="{D5CDD505-2E9C-101B-9397-08002B2CF9AE}" pid="4" name="_DCDateModified">
    <vt:lpwstr/>
  </property>
  <property fmtid="{D5CDD505-2E9C-101B-9397-08002B2CF9AE}" pid="5" name="_Revision">
    <vt:lpwstr/>
  </property>
  <property fmtid="{D5CDD505-2E9C-101B-9397-08002B2CF9AE}" pid="6" name="_Status">
    <vt:lpwstr>Not Started</vt:lpwstr>
  </property>
  <property fmtid="{D5CDD505-2E9C-101B-9397-08002B2CF9AE}" pid="7" name="_dlc_DocIdItemGuid">
    <vt:lpwstr>ddd9af83-9ad5-4dae-a3d3-7050754dbf65</vt:lpwstr>
  </property>
  <property fmtid="{D5CDD505-2E9C-101B-9397-08002B2CF9AE}" pid="8" name="Order">
    <vt:r8>56500</vt:r8>
  </property>
  <property fmtid="{D5CDD505-2E9C-101B-9397-08002B2CF9AE}" pid="9" name="_ExtendedDescription">
    <vt:lpwstr/>
  </property>
</Properties>
</file>