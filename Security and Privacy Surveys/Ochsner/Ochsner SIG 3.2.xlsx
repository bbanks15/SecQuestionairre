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66925"/>
  <mc:AlternateContent xmlns:mc="http://schemas.openxmlformats.org/markup-compatibility/2006">
    <mc:Choice Requires="x15">
      <x15ac:absPath xmlns:x15ac="http://schemas.microsoft.com/office/spreadsheetml/2010/11/ac" url="https://halmaholdingsinc.sharepoint.com/sites/PRG-PeriGenCorporatePortal/RFPs/Security and Privacy Surveys/Ochsner/"/>
    </mc:Choice>
  </mc:AlternateContent>
  <xr:revisionPtr revIDLastSave="264" documentId="8_{5CAED8AA-AFE7-404D-B03B-F42228A2A432}" xr6:coauthVersionLast="47" xr6:coauthVersionMax="47" xr10:uidLastSave="{D57C5153-0BD0-4F58-A9BC-F2DA241E35E6}"/>
  <bookViews>
    <workbookView xWindow="-108" yWindow="-108" windowWidth="30936" windowHeight="16776" firstSheet="1" activeTab="1" xr2:uid="{F0306B62-5B9A-456D-B3E2-58C5D5232D05}"/>
  </bookViews>
  <sheets>
    <sheet name="INSTRUCTIONS" sheetId="3" r:id="rId1"/>
    <sheet name=" OHS SIG DRAFT"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3" i="1" l="1"/>
  <c r="B502" i="1"/>
  <c r="B501" i="1"/>
  <c r="B500" i="1"/>
  <c r="B214" i="1"/>
  <c r="B504" i="1" l="1"/>
  <c r="C500" i="1" l="1"/>
  <c r="C502" i="1"/>
  <c r="C501" i="1"/>
  <c r="C503" i="1"/>
</calcChain>
</file>

<file path=xl/sharedStrings.xml><?xml version="1.0" encoding="utf-8"?>
<sst xmlns="http://schemas.openxmlformats.org/spreadsheetml/2006/main" count="608" uniqueCount="428">
  <si>
    <t>Assessee Instructions</t>
  </si>
  <si>
    <t xml:space="preserve">SIG </t>
  </si>
  <si>
    <t>Questions should be answered based on your environent's processes, policies and structure.</t>
  </si>
  <si>
    <t>1) Complete the "Business Information".</t>
  </si>
  <si>
    <t>2) Answer all of the questions under "Response" by selecting Yes, No or N/A</t>
  </si>
  <si>
    <t>from the drop-down menu.</t>
  </si>
  <si>
    <t>3) Use the "Additional Information" field to provide any pertinent information.</t>
  </si>
  <si>
    <t xml:space="preserve"> (An explanation is required for N/A responses.)</t>
  </si>
  <si>
    <t>4) If unsure how to answer question leave "Response" blank</t>
  </si>
  <si>
    <t>INFORMATION SECURITY
 THIRD-PARTY ASSESSMENT QUESTIONNAIRE v.3.2</t>
  </si>
  <si>
    <t xml:space="preserve">                                                   Date:</t>
  </si>
  <si>
    <t>Third-Party Provider\Vendor Name:</t>
  </si>
  <si>
    <t>PeriGen Inc.</t>
  </si>
  <si>
    <t>Address:</t>
  </si>
  <si>
    <t>100 Regency Forest Dr #200, Cary, NC 27518</t>
  </si>
  <si>
    <t xml:space="preserve">                                                Website:</t>
  </si>
  <si>
    <t>www.perigen.com</t>
  </si>
  <si>
    <t>Responders Name:</t>
  </si>
  <si>
    <t>Bruno Bendavid</t>
  </si>
  <si>
    <t>Phone:</t>
  </si>
  <si>
    <t>984-208-4250</t>
  </si>
  <si>
    <t xml:space="preserve">                                           Email:</t>
  </si>
  <si>
    <t>bruno.bendavid@perigen.com</t>
  </si>
  <si>
    <t>Location of Data Center(s):</t>
  </si>
  <si>
    <t>QUESS NUM</t>
  </si>
  <si>
    <t>QUESTION/REQUEST</t>
  </si>
  <si>
    <t>RESPONSE</t>
  </si>
  <si>
    <t>ADDITIONAL INFORMATION</t>
  </si>
  <si>
    <t>OCHSNER RESPONSE TO ANSWERS</t>
  </si>
  <si>
    <t>RA</t>
  </si>
  <si>
    <t>Your Organization's Risk Assessment and Treatment</t>
  </si>
  <si>
    <t>RA.1</t>
  </si>
  <si>
    <t>Do you have a member of your organization with dedicated information security duties?</t>
  </si>
  <si>
    <t>NO</t>
  </si>
  <si>
    <t>Share task between IT and Product Management</t>
  </si>
  <si>
    <t>RA.2</t>
  </si>
  <si>
    <t>Is a background check required for all employees accessing and handling  data?</t>
  </si>
  <si>
    <t>YES</t>
  </si>
  <si>
    <t>RA.3</t>
  </si>
  <si>
    <t>Does your organization have written information security policies?</t>
  </si>
  <si>
    <t>RA.4</t>
  </si>
  <si>
    <t xml:space="preserve">Does your organization have a formal change control process for IT changes? </t>
  </si>
  <si>
    <t>RA.5</t>
  </si>
  <si>
    <t>Has your organization implemented an IT Governance framework such as ITIL or ISO 27001?</t>
  </si>
  <si>
    <t>RA.6</t>
  </si>
  <si>
    <t>Is there a risk assessment program that has been approved by management, communicated to constituents and an owner to maintain and review the program? if yes, does it include:</t>
  </si>
  <si>
    <t>A formal process for assigning appropriate management ownership for each risk?</t>
  </si>
  <si>
    <t>RA.6.1</t>
  </si>
  <si>
    <t>A formal process for appropriate management knowingly and objectively accepting risks and approving action plans?</t>
  </si>
  <si>
    <t>RA.6.2</t>
  </si>
  <si>
    <t>A formal process for tracking the status of action plans and reporting them to management?</t>
  </si>
  <si>
    <t>RA.6.3</t>
  </si>
  <si>
    <t>Controls identified for each material risk?</t>
  </si>
  <si>
    <t>RA.6.4</t>
  </si>
  <si>
    <t>Measures for defining, monitoring, and reporting risk metrics?</t>
  </si>
  <si>
    <t>Risk Score</t>
  </si>
  <si>
    <t>RA.6.5</t>
  </si>
  <si>
    <r>
      <t xml:space="preserve">Do Subcontractors have access to </t>
    </r>
    <r>
      <rPr>
        <b/>
        <sz val="11"/>
        <color theme="1"/>
        <rFont val="Calibri"/>
        <family val="2"/>
        <scheme val="minor"/>
      </rPr>
      <t>our</t>
    </r>
    <r>
      <rPr>
        <sz val="11"/>
        <color theme="1"/>
        <rFont val="Calibri"/>
        <family val="2"/>
        <scheme val="minor"/>
      </rPr>
      <t xml:space="preserve">  Scoped Systems and Data? (backup vendors, service providers, equipment support maintenance, software maintenance vendors, data recovery vendors, etc.)? If</t>
    </r>
    <r>
      <rPr>
        <b/>
        <sz val="11"/>
        <color theme="1"/>
        <rFont val="Calibri"/>
        <family val="2"/>
        <scheme val="minor"/>
      </rPr>
      <t xml:space="preserve"> yes,</t>
    </r>
    <r>
      <rPr>
        <sz val="11"/>
        <color theme="1"/>
        <rFont val="Calibri"/>
        <family val="2"/>
        <scheme val="minor"/>
      </rPr>
      <t xml:space="preserve"> is there:</t>
    </r>
  </si>
  <si>
    <t>Ochsner Cyber Risk Response</t>
  </si>
  <si>
    <t>RA.7</t>
  </si>
  <si>
    <t>A documented vendor management process in place for the selection, oversight and risk assessment of third party vendors? If yes, does it include:</t>
  </si>
  <si>
    <t>RA.7.1</t>
  </si>
  <si>
    <t>Approval by management?</t>
  </si>
  <si>
    <t>RA.7.2</t>
  </si>
  <si>
    <t>Annual review?</t>
  </si>
  <si>
    <t>RA.7.3</t>
  </si>
  <si>
    <t>Required reassessment when service delivery or contract changes?</t>
  </si>
  <si>
    <t>RA.7.4</t>
  </si>
  <si>
    <t>Review of the subcontractor's vendor management policy and procedures?</t>
  </si>
  <si>
    <t>RA.7.5</t>
  </si>
  <si>
    <t>Is there a process to identify and log subcontractor information security, privacy and/or data breach issues?</t>
  </si>
  <si>
    <t>RA.8</t>
  </si>
  <si>
    <t>Do external parties have access to Scoped Systems and Data or processing facilities?</t>
  </si>
  <si>
    <t>SP</t>
  </si>
  <si>
    <t>Your Organization's Security Policies</t>
  </si>
  <si>
    <t>SP.1</t>
  </si>
  <si>
    <t>Does your organization have an Information Security Policy that has been approved by management, communicated to appropriate constituents and an owner to maintain and review the policy?</t>
  </si>
  <si>
    <t>SP.2</t>
  </si>
  <si>
    <t>Have your organizational security policies been reviewed in the last 12 months?</t>
  </si>
  <si>
    <t>OS</t>
  </si>
  <si>
    <t>Organizational Security</t>
  </si>
  <si>
    <t>OS.1</t>
  </si>
  <si>
    <t>Is there a respondent information security function responsible for security initiatives?</t>
  </si>
  <si>
    <t>AI</t>
  </si>
  <si>
    <t>Your Organization's Asset and Information Management</t>
  </si>
  <si>
    <t>AI.1</t>
  </si>
  <si>
    <t>Is there an asset management policy approved by management, communicated to constituents and an owner to maintain and review?</t>
  </si>
  <si>
    <t>AI.2</t>
  </si>
  <si>
    <t>Is information classified?</t>
  </si>
  <si>
    <t>AI.3</t>
  </si>
  <si>
    <t>Is there a removable media policy or program (CDs, DVDs, tapes, disk drives) that has been approved by management, communicated to appropriate constituents, and an owner to maintain and review the policy?</t>
  </si>
  <si>
    <t>AI.4</t>
  </si>
  <si>
    <t>Is Scoped Data sent or received via physical media?</t>
  </si>
  <si>
    <t>AI.5</t>
  </si>
  <si>
    <t>Are encryption tools managed and maintained for Scoped Data? If yes:</t>
  </si>
  <si>
    <t>AI.5.1</t>
  </si>
  <si>
    <t>Are clients provided with the ability to generate a unique encryption key?</t>
  </si>
  <si>
    <t>AI.5.2</t>
  </si>
  <si>
    <t>Are clients provided with the ability to rotate their encryption key on a scheduled basis?</t>
  </si>
  <si>
    <t>AI5.3</t>
  </si>
  <si>
    <t>Are staff able to access client Scoped Data in an unencrypted state?</t>
  </si>
  <si>
    <t>AI.5.4</t>
  </si>
  <si>
    <t>Are staff able to access client's encryption keys?</t>
  </si>
  <si>
    <t>AI.6</t>
  </si>
  <si>
    <t>Is data segmentation and separation capability between clients provided?</t>
  </si>
  <si>
    <t>AI.7</t>
  </si>
  <si>
    <t>Does the ability exist to legally demonstrate sufficient data segmentation, in the event of a client subpoena or a forensics incident, so as not to impact other clients data if using resource pooling?</t>
  </si>
  <si>
    <t>AI.8</t>
  </si>
  <si>
    <t>Is there a data classification retention program that identifies the data types that require additional management and governance?</t>
  </si>
  <si>
    <t>AI.9</t>
  </si>
  <si>
    <t>Is there a self-service portal or API call available to clients which provides the ability to place a "Legal hold" on client data which may be subject to a legal action, without impacting other clients data retention or destruction schedules?</t>
  </si>
  <si>
    <t>AI.10</t>
  </si>
  <si>
    <t xml:space="preserve">Is data at rest encrypted? Or Can it be used on a system utilizing Data at rest encryption?  </t>
  </si>
  <si>
    <t>AI.11</t>
  </si>
  <si>
    <t>Is data transmission pertaining to this solution encrypted?</t>
  </si>
  <si>
    <t>HR</t>
  </si>
  <si>
    <t>Your Organization's Human Resource Security</t>
  </si>
  <si>
    <t>HR.1</t>
  </si>
  <si>
    <t>At your organization, is there a Human Resource policy approved by management, communicated to constituents and an owner to maintain and review? If yes, does it include:</t>
  </si>
  <si>
    <t>HR.1.1</t>
  </si>
  <si>
    <t>Security roles and responsibilities?</t>
  </si>
  <si>
    <t>HR.1.2</t>
  </si>
  <si>
    <t>Background screening?</t>
  </si>
  <si>
    <t>HR.1.3</t>
  </si>
  <si>
    <t>Employment agreements?</t>
  </si>
  <si>
    <t>HR.1.4</t>
  </si>
  <si>
    <t>Employee security awareness training?</t>
  </si>
  <si>
    <t>HR.1.5</t>
  </si>
  <si>
    <t>Employee disciplinary process for non-compliance?</t>
  </si>
  <si>
    <t>HR.1.6</t>
  </si>
  <si>
    <t>Employee termination or change of status process?</t>
  </si>
  <si>
    <t>HR.2</t>
  </si>
  <si>
    <t>Are background checks performed for Service Provider Contractors and Subcontractors?</t>
  </si>
  <si>
    <t>HR.3</t>
  </si>
  <si>
    <t>Do information security personnel have professional security certifications?</t>
  </si>
  <si>
    <t>PS</t>
  </si>
  <si>
    <t>Your Organization's Physical and Environmental Security</t>
  </si>
  <si>
    <t>PS.1</t>
  </si>
  <si>
    <t>Is there a physical security program?</t>
  </si>
  <si>
    <t>PS.2</t>
  </si>
  <si>
    <t>Are physical security and environmental controls in the data center and office buildings?</t>
  </si>
  <si>
    <t>PS.3</t>
  </si>
  <si>
    <t>Are visitors permitted in the facility?</t>
  </si>
  <si>
    <t>OM</t>
  </si>
  <si>
    <t>Your Organization's Operations Management</t>
  </si>
  <si>
    <t>OM.1</t>
  </si>
  <si>
    <t>Are management approved operating procedures utilized?</t>
  </si>
  <si>
    <t>OM.2</t>
  </si>
  <si>
    <t>Is there an operational change management/change control policy or program that has been approved by management, communicated to appropriate constituents and an owner to maintain and review the policy?</t>
  </si>
  <si>
    <t>OM.3</t>
  </si>
  <si>
    <t>Are backups of Scoped Systems and Data performed?</t>
  </si>
  <si>
    <t>OM.4</t>
  </si>
  <si>
    <t>Are Cloud Services provided? If yes, what service model is provided (select all that apply):</t>
  </si>
  <si>
    <t>OM.4.1</t>
  </si>
  <si>
    <t>Software as a Service (SaaS)?</t>
  </si>
  <si>
    <t>OM.4.2</t>
  </si>
  <si>
    <t>Infrastructure as a Service (IaaS)?</t>
  </si>
  <si>
    <t>OM.4.3</t>
  </si>
  <si>
    <t>Platform as a Service (PaaS)</t>
  </si>
  <si>
    <t>OM.4.4</t>
  </si>
  <si>
    <t>Private cloud?</t>
  </si>
  <si>
    <t>OM.4.5</t>
  </si>
  <si>
    <t>Public cloud?</t>
  </si>
  <si>
    <t>OM.4.6</t>
  </si>
  <si>
    <t>Community cloud?</t>
  </si>
  <si>
    <t>OM.4.7</t>
  </si>
  <si>
    <t>Hybrid cloud?</t>
  </si>
  <si>
    <t>OM.5</t>
  </si>
  <si>
    <t>Are application self service features or an Internet accessible self-service portal available to clients?</t>
  </si>
  <si>
    <t>OM.6</t>
  </si>
  <si>
    <t>Can clients run their own security services within their own cloud environment?</t>
  </si>
  <si>
    <t>OM.7</t>
  </si>
  <si>
    <t>Is there a management approved process to ensure that image snapshots containing Scoped Data are authorized prior to being snapped?</t>
  </si>
  <si>
    <t>OM.8</t>
  </si>
  <si>
    <t>Is there a formal process to ensure clients are notified prior to changes being made which may impact their service? If yes, what is the communication method:</t>
  </si>
  <si>
    <t>OM.9</t>
  </si>
  <si>
    <t>Is there a scheduled maintenance window which results in client downtime? If yes, what is the downtime:</t>
  </si>
  <si>
    <t>AC</t>
  </si>
  <si>
    <t>Your Organization's Access Controls</t>
  </si>
  <si>
    <t>AC.1</t>
  </si>
  <si>
    <t>Are electronic systems used to transmit, process or store Scoped Systems and Data?</t>
  </si>
  <si>
    <t>AC.2</t>
  </si>
  <si>
    <t>Are individual IDs required for user authentication to applications, operating systems, databases and network devices?</t>
  </si>
  <si>
    <t>AC.3</t>
  </si>
  <si>
    <t>Are passwords used?</t>
  </si>
  <si>
    <t>AC.4</t>
  </si>
  <si>
    <t>Is there a password policy for systems that transmit, process or store Scoped Systems and Data that has been approved by management, communicated to constituents, and enforced on all platforms?</t>
  </si>
  <si>
    <t>AC.5</t>
  </si>
  <si>
    <t>Is remote access permitted to your organization?</t>
  </si>
  <si>
    <t>AC.6</t>
  </si>
  <si>
    <t>Is it standards-based federated ID capability available to clients (e.g., SAML, OpenID)?</t>
  </si>
  <si>
    <t>AC.7</t>
  </si>
  <si>
    <t>Is two factor authentication required to access your production environment containing Scoped Data?</t>
  </si>
  <si>
    <t>AC.8</t>
  </si>
  <si>
    <t>Are yourstaff able to access client Scoped Data? If not, please identify the controls used to prevent this.</t>
  </si>
  <si>
    <t>AC.9</t>
  </si>
  <si>
    <t>Is there a process which allows the client to specifically list who from the provider will have access to their Scoped Systems and Data?</t>
  </si>
  <si>
    <t>AC.10</t>
  </si>
  <si>
    <t>Are all credentials including service accounts encrypted within the solution?R</t>
  </si>
  <si>
    <t>AC.11</t>
  </si>
  <si>
    <t xml:space="preserve">Does the solution utilize RBAC (Role Based Access controls)? </t>
  </si>
  <si>
    <t>AC.12</t>
  </si>
  <si>
    <t>Do Administrative / privileged account passwords meet current cybersecurity password complexity requirements?</t>
  </si>
  <si>
    <t>AC.13</t>
  </si>
  <si>
    <t>Can the solution run with non administrative user permissions on an endpoint?</t>
  </si>
  <si>
    <t>AS</t>
  </si>
  <si>
    <t>Your Organization's Application Security</t>
  </si>
  <si>
    <t>AS.1</t>
  </si>
  <si>
    <t>Are applications used to transmit, process or store Scoped Data?</t>
  </si>
  <si>
    <t>AS.2</t>
  </si>
  <si>
    <t>Is a web site supported, hosted or maintained that has access to Scoped Systems and Data?</t>
  </si>
  <si>
    <t>AS.3</t>
  </si>
  <si>
    <t>Is application development performed?</t>
  </si>
  <si>
    <t>AS.4</t>
  </si>
  <si>
    <t>Are applications analyzed on a regular basis to determine their vulnerability against recent attacks?</t>
  </si>
  <si>
    <t>AS.5</t>
  </si>
  <si>
    <t>Is there a formal development methodology in operation? If yes, which groups does it include?:</t>
  </si>
  <si>
    <t>AS.6</t>
  </si>
  <si>
    <t>Are mobile applications that access Scoped Systems and Data developed?</t>
  </si>
  <si>
    <t>AS.7</t>
  </si>
  <si>
    <t>Are Web Servers used for transmitting, processing or storing Scoped Data? If yes, for all server platforms is/are:</t>
  </si>
  <si>
    <t>AS.8</t>
  </si>
  <si>
    <t>Is HTTPS enabled for all web pages used as part of the scoped service?</t>
  </si>
  <si>
    <t>AS.9</t>
  </si>
  <si>
    <t>All available high-risk security patches applied and verified at least monthly?</t>
  </si>
  <si>
    <t>AS.10</t>
  </si>
  <si>
    <t>Are third party alert services used to keep up to date with the latest vulnerabilities?</t>
  </si>
  <si>
    <t>AS.11</t>
  </si>
  <si>
    <t>Events relevant to supporting incident investigation regularly reviewed using a specific methodology to uncover potential incidents?</t>
  </si>
  <si>
    <t>AS.12</t>
  </si>
  <si>
    <t>Operating system and application logs relevant to supporting incident investigation protected against modification, deletion, and/or inappropriate access?</t>
  </si>
  <si>
    <t>AS.13</t>
  </si>
  <si>
    <t>Is development, test, and staging environment separate from the production environment? If so, how are they segmented:</t>
  </si>
  <si>
    <t>AS.14</t>
  </si>
  <si>
    <t>Are change control procedures required for all changes to the production environment?</t>
  </si>
  <si>
    <t>AS.15</t>
  </si>
  <si>
    <t xml:space="preserve">Is Scoped Systems and Data ever used in the test, development, or QA environments? </t>
  </si>
  <si>
    <t>IM</t>
  </si>
  <si>
    <t>Your Organization's Incident Event and Communications Management</t>
  </si>
  <si>
    <t>IM.1</t>
  </si>
  <si>
    <t>Is there an Incident Management Program that has been approved by management, communicated to constituents and an owner to maintain and review the program? If yes, does the program include:</t>
  </si>
  <si>
    <t>IM.1.1</t>
  </si>
  <si>
    <t>Privacy Incidents?</t>
  </si>
  <si>
    <t>IM.2</t>
  </si>
  <si>
    <t>Is there a formal Incident Response Plan?</t>
  </si>
  <si>
    <t>IM.3</t>
  </si>
  <si>
    <t>Is there a 24x7x365 staffed phone number available to clients to report security incidents?</t>
  </si>
  <si>
    <t>BR</t>
  </si>
  <si>
    <t>Your Organization's Business Resiliency</t>
  </si>
  <si>
    <t>BR.1</t>
  </si>
  <si>
    <t>Are specific response and recovery strategies defined for the prioritized activities?</t>
  </si>
  <si>
    <t>BR.2</t>
  </si>
  <si>
    <t>Are formal business continuity procedures developed and documented?</t>
  </si>
  <si>
    <t>BR.3</t>
  </si>
  <si>
    <t>Has senior management assigned the responsibility for the overall management of the response and recovery efforts?</t>
  </si>
  <si>
    <t>BR.4</t>
  </si>
  <si>
    <t>Is there a periodic (at least annual) review of your Business Resiliency Program?</t>
  </si>
  <si>
    <t>BR.5</t>
  </si>
  <si>
    <t>Are there any dependencies on critical third party service providers?</t>
  </si>
  <si>
    <t>BR.6</t>
  </si>
  <si>
    <t>Is there a formal, documented exercise and testing program in place?</t>
  </si>
  <si>
    <t>BR.7</t>
  </si>
  <si>
    <t>Is there an Influenza Pandemic / Infectious Disease Outbreak Plan?</t>
  </si>
  <si>
    <t>BR.8</t>
  </si>
  <si>
    <t>Is there a specific Recovery Time Objective (RTO)? If yes, what is it?</t>
  </si>
  <si>
    <t>BR.9</t>
  </si>
  <si>
    <t>Are all suppliers of critical hardware, network services and facility services involved in annual continuity and recovery tests?</t>
  </si>
  <si>
    <t>BR.10</t>
  </si>
  <si>
    <t>Are site failover tests performed at least annually?</t>
  </si>
  <si>
    <t>BR.11</t>
  </si>
  <si>
    <t>Do contracts with Critical Service Providers include a penalty or remediation clause for breach of availability and continuity SLAs?</t>
  </si>
  <si>
    <t>BR.12</t>
  </si>
  <si>
    <t>Is there sufficient redundancy capacity to ensure services are not impacted in multi-tenancy environments during peak usage and above?</t>
  </si>
  <si>
    <t>C</t>
  </si>
  <si>
    <t>Compliance within Your Organization</t>
  </si>
  <si>
    <t>C.1</t>
  </si>
  <si>
    <t>Is there an internal audit, risk management, or compliance department, or similar management oversight unit with responsibility for assessing, identifying and tracking resolution of outstanding regulatory issues?</t>
  </si>
  <si>
    <t>C.2</t>
  </si>
  <si>
    <t>Are there policies and procedures to ensure compliance with applicable legislative, regulatory and contractual requirements including intellectual property rights on business processes or information technology software products?</t>
  </si>
  <si>
    <t>C.3</t>
  </si>
  <si>
    <t>Is there a records retention policy covering paper and electronic records, including email in support of applicable regulations, standards and contractual requirements?</t>
  </si>
  <si>
    <t>C.4</t>
  </si>
  <si>
    <t>Is licensing maintained in all jurisdictions where required?</t>
  </si>
  <si>
    <t>C.5</t>
  </si>
  <si>
    <t>Is there an documented internal compliance and ethics program to ensure professional ethics and business practices are implemented and maintained?</t>
  </si>
  <si>
    <t>C.6</t>
  </si>
  <si>
    <t>Are marketing or selling activities conducted directly to Client's customers?</t>
  </si>
  <si>
    <t>C.7</t>
  </si>
  <si>
    <t>Are there direct interactions with your client's customers?</t>
  </si>
  <si>
    <t>C.8</t>
  </si>
  <si>
    <t>Are documented policies and procedures maintained for enabling compliance with applicable legal, regulatory, or contractual obligations related to information security requirements?</t>
  </si>
  <si>
    <t>C.9</t>
  </si>
  <si>
    <t>Is there a documented governance process to identify and assess changes that could significantly affect the system of internal controls for security, confidentiality and availability?</t>
  </si>
  <si>
    <t>C.10</t>
  </si>
  <si>
    <t>Are accounts opened, transactions initiated or other account initiation activity applying payments, taking payments, transferring funds, etc. through either electronic, telephonic, written or in-person requests made on behalf of your client's?</t>
  </si>
  <si>
    <t>C.11</t>
  </si>
  <si>
    <t>Are these sites, applications and systems used to also transmit, process or store non-scoped data?</t>
  </si>
  <si>
    <t>ED</t>
  </si>
  <si>
    <t>Your Organization's End User Device Security</t>
  </si>
  <si>
    <t>ED.1</t>
  </si>
  <si>
    <t>Are End User Devices (Desktops, Laptops, Tablets, Smartphones) used for transmitting, processing or storing Scoped Data? If yes, for all platforms, are:</t>
  </si>
  <si>
    <t>ED.1.1</t>
  </si>
  <si>
    <t>Security configuration standards documented? If yes, are:</t>
  </si>
  <si>
    <t>ED.1.1.1</t>
  </si>
  <si>
    <t>All available high-risk security patches applied and verified at least monthly on all server platforms?</t>
  </si>
  <si>
    <t>ED.2</t>
  </si>
  <si>
    <t>Sufficient detail contained in Operating System and application logs to support incident investigation, including successful and failed login attempts and changes to sensitive configuration settings and files?</t>
  </si>
  <si>
    <t>ED.3</t>
  </si>
  <si>
    <t>ED.4</t>
  </si>
  <si>
    <t>Are constituents allowed to utilize mobile devices within your environment? If yes, which of the following functions are allowed:</t>
  </si>
  <si>
    <t>ED.4.1</t>
  </si>
  <si>
    <t>Is there a mobile device management program in place that has been approved by management and communicated to appropriate constituents?</t>
  </si>
  <si>
    <t>ED.4.2</t>
  </si>
  <si>
    <t>Are staff technically prevented from accessing the administrative environment via non-managed private devices?</t>
  </si>
  <si>
    <t>NS</t>
  </si>
  <si>
    <t>Your Organization's Network Security</t>
  </si>
  <si>
    <t>NS.1</t>
  </si>
  <si>
    <t>Are there external network connections (Internet, extranet, etc.)?</t>
  </si>
  <si>
    <t>NS.2</t>
  </si>
  <si>
    <t>Security and hardening standards for network devices, including Firewalls, Switches, Routers and Wireless Access Points (baseline configuration, patching, passwords, access control)?</t>
  </si>
  <si>
    <t>NS.3</t>
  </si>
  <si>
    <t>Are firewalls used to isolate critical and sensitive systems into network segments separate from network segments with less sensitive systems?</t>
  </si>
  <si>
    <t>NS.4</t>
  </si>
  <si>
    <t>Is there a process that requires security approval to allow external networks to connect to the company network, and enforces the least privilege necessary?</t>
  </si>
  <si>
    <t>NS.5</t>
  </si>
  <si>
    <t>Are all available high-risk security patches applied and verified at least monthly?</t>
  </si>
  <si>
    <t>NS.6</t>
  </si>
  <si>
    <t>Are Intrusion Detection/Prevention Systems employed in all sensitive network zones and wherever firewalls are enabled?</t>
  </si>
  <si>
    <t>NS.7</t>
  </si>
  <si>
    <t>Are wireless networking devices connected to networks containing scoped systems and data?</t>
  </si>
  <si>
    <t>NS.8</t>
  </si>
  <si>
    <t>Are there controls to prevent one client attempting to compromise another client in a resource pooled environment?</t>
  </si>
  <si>
    <t>NS.9</t>
  </si>
  <si>
    <t>Does the solution require a VPN tunnel?</t>
  </si>
  <si>
    <t>P</t>
  </si>
  <si>
    <t>Your Organization's Privacy</t>
  </si>
  <si>
    <t>P.1</t>
  </si>
  <si>
    <t>Is Scoped Data transmitted, processed, or stored that can be classified as non-public information (NPI), personally identifiable information (PII), or sensitive customer financial information? If yes, describe and list types of data.</t>
  </si>
  <si>
    <t>P.2</t>
  </si>
  <si>
    <t>Do agreements with third parties who have access or potential access to Scoped Data, address confidentiality, audit, security, and privacy, including but not limited to incident response, ongoing monitoring, data sharing and secure disposal of Scoped Data?</t>
  </si>
  <si>
    <t>P.3</t>
  </si>
  <si>
    <t>Is a business associate contract in place to address obligations for the privacy and security requirements for the services provided?</t>
  </si>
  <si>
    <t>P.4</t>
  </si>
  <si>
    <t>For Scoped Data, is personal information about individuals transmitted to or received from countries outside the United States? If yes, list the countries.</t>
  </si>
  <si>
    <t>P.5</t>
  </si>
  <si>
    <t>Is personal information transmitted, processed, stored, or disclosed to or retained by third parties? If yes, describe.</t>
  </si>
  <si>
    <t>P.6</t>
  </si>
  <si>
    <t>Are transactions for covered accounts accessed, modified, or processed, including address changes and discrepancies? If yes, describe.</t>
  </si>
  <si>
    <t>P.7</t>
  </si>
  <si>
    <t>Is there a documented privacy policy or procedures for the protection of information transmitted, processed, or maintained on behalf of the client?</t>
  </si>
  <si>
    <t>P.8</t>
  </si>
  <si>
    <t>Are there contractual controls to ensure that personal information transmitted, processed, stored or disclosed to or retained by third parties is limited to defined parameters for access, use and disclosure? If yes, describe. If no, explain reason.</t>
  </si>
  <si>
    <t>TM</t>
  </si>
  <si>
    <t>Your Organization's Threat Management</t>
  </si>
  <si>
    <t>TM.1</t>
  </si>
  <si>
    <t>Is there an anti-malware policy or program that has been approved by management, communicated to appropriate constituents and an owner to maintain and review the policy?</t>
  </si>
  <si>
    <t>TM.2</t>
  </si>
  <si>
    <t>Is there a vulnerability management policy or program that has been approved by management, communicated to appropriate constituents and an owner assigned to maintain and review the policy?</t>
  </si>
  <si>
    <t>TM.3</t>
  </si>
  <si>
    <t>Are vulnerability scans performed on all internet-facing applications at least monthly and after significant changes?</t>
  </si>
  <si>
    <t>TM.4</t>
  </si>
  <si>
    <t>Are vulnerability scans performed against internal networks and systems?</t>
  </si>
  <si>
    <t>TM.5</t>
  </si>
  <si>
    <t>Are penetration tests performed?</t>
  </si>
  <si>
    <t>TM.6</t>
  </si>
  <si>
    <t>Are there processes to manage threat and vulnerability assessment tools and the data they collect?</t>
  </si>
  <si>
    <t>TM.7</t>
  </si>
  <si>
    <t>Can the solution run on devices with Trend Micro Antivirus and  Palo Alto Cortex Endpoint Detection and Response software?</t>
  </si>
  <si>
    <t>TM.8</t>
  </si>
  <si>
    <t>Does the solution require a vendor supplied AV?  If yes, can we configure for logging or alerts?</t>
  </si>
  <si>
    <t>SS</t>
  </si>
  <si>
    <t>Your Organization's Server Security</t>
  </si>
  <si>
    <t>SS.1</t>
  </si>
  <si>
    <t>Are Servers used for transmitting, processing or storing Scoped Data?</t>
  </si>
  <si>
    <t>SS.2</t>
  </si>
  <si>
    <t>Are systems and applications patched?</t>
  </si>
  <si>
    <t>SS.3</t>
  </si>
  <si>
    <t>Are default hardened base virtual images applied to virtualized operating systems?</t>
  </si>
  <si>
    <t>SS.4</t>
  </si>
  <si>
    <t>Are Hypervisors used to manage systems used to transmit, process or store Scoped Data?</t>
  </si>
  <si>
    <t>BA</t>
  </si>
  <si>
    <t>Your Organization's Vendor's Business Associates</t>
  </si>
  <si>
    <t>BA.1</t>
  </si>
  <si>
    <t>Confidentiality agreements have been signed before proprietary and/or confidential information is disclosed to the vendor's business associates.</t>
  </si>
  <si>
    <t>BA.2</t>
  </si>
  <si>
    <t>Vendor's business associate contracts, or agreements, are in place and contain appropriate risk coverage for customer requirements.</t>
  </si>
  <si>
    <t>BA.3</t>
  </si>
  <si>
    <t>Vendor's business associates are aware of customer security policies and what is required of them.</t>
  </si>
  <si>
    <t>BA.4</t>
  </si>
  <si>
    <t>Vendor's business associate agreements document the agreed transfer of customer's data when the relationship terminates.</t>
  </si>
  <si>
    <t>TOTAL Questions</t>
  </si>
  <si>
    <t>Choose</t>
  </si>
  <si>
    <t>Yes</t>
  </si>
  <si>
    <t>No</t>
  </si>
  <si>
    <t>N/A</t>
  </si>
  <si>
    <t>Policy applies to all</t>
  </si>
  <si>
    <t>No scoped data is trasferred from on-prem systems managed by Ochsner to PeriGen.</t>
  </si>
  <si>
    <t>Yes but all on-prem using certificates provided and managed by Ochsner.</t>
  </si>
  <si>
    <t>Only via the PeriGen client application or SQL server access, both following successful authentication managed by Ochsner. The latter is resticted to support personnel only.</t>
  </si>
  <si>
    <t>At the application level, data access is restricted/segregated by group membership</t>
  </si>
  <si>
    <t>On-prem system hosted by Ochsner. No scoped data is trasferred outside of Ochsner.</t>
  </si>
  <si>
    <t>Everything is saved on your on-prem servers for the duration of the system lifetime.</t>
  </si>
  <si>
    <t>Not by default. Scoped data is stored on Ochsner SQL servers which could be encrypted using SQL TDE. Customer choice.</t>
  </si>
  <si>
    <t>All data between clients and server(s) are encrypted with SSL certificated over TLS 1.2. The only exception are HL7 interfaces to/from Ochsner ADT / Results systems. PeriGen uses an instance of Rhapsody that supports interface channel encryption.</t>
  </si>
  <si>
    <t>PeriGen Development Team</t>
  </si>
  <si>
    <t>Separate servers are created for Test and Prod.</t>
  </si>
  <si>
    <t>All PeriWatch servers are on-premise and would not be multi-tenant.</t>
  </si>
  <si>
    <t>Our product supports virtual environments</t>
  </si>
  <si>
    <t>MS Office 365, MS Dynamics 365, MS DevOps</t>
  </si>
  <si>
    <t>PeriGen has a relatively small footprint. All major systems are cloud based (MS Office 365) with a large portion of the workforce working remotely. The extent of business resiliency testing is testing offiline backup restoration (Azure)</t>
  </si>
  <si>
    <t>Our backups cover: Daily, Weekly, Monthly + 1 Annual. RTO is max. 1 day.</t>
  </si>
  <si>
    <t>There are no critical suppliers of hardware or network services. Internet connection is redundant and critical cloud systems are accessible from anywhere. Domain controller(s) are also accessible via Azure.</t>
  </si>
  <si>
    <t>Part of the standard business continuity plan</t>
  </si>
  <si>
    <t>Domain controller / Main file server recovery test is perfromed annually, however, full site failover mainly relies on cloud based system access from outside the office if need be.</t>
  </si>
  <si>
    <t>PeriGen does not directly handles, modifies, process scoped data on behalf of the customer.</t>
  </si>
  <si>
    <r>
      <t xml:space="preserve">NPI and PII is stored to the on-prem database managed by the customer. </t>
    </r>
    <r>
      <rPr>
        <u/>
        <sz val="11"/>
        <color theme="1"/>
        <rFont val="Calibri"/>
        <family val="2"/>
        <scheme val="minor"/>
      </rPr>
      <t>No scoped data is ever transferred or copied to the PeriGen corporate or cloud servers.</t>
    </r>
  </si>
  <si>
    <t>There are no internet facing applications at PeriGen.</t>
  </si>
  <si>
    <t>Global MS Defender + vulnerability scanning of the PeriGen application using the Veracode platform.</t>
  </si>
  <si>
    <t>Only employees. Planned visitors are allowed with escort. Server rooms are isolated with access control to IT manager only.</t>
  </si>
  <si>
    <t>Scoped data is only stored on customer controlled SQL server which are backed-up by the customer.</t>
  </si>
  <si>
    <t>Customer managed all aspects of security on their on-prem network. No cloud component.</t>
  </si>
  <si>
    <t>Customer controlled</t>
  </si>
  <si>
    <t>Any changes, updates, upgrades must be coordinated with the customer. Changes are first done in the TEST environment and have to be approved by the customer prior to scheduling the deployment into PROD.</t>
  </si>
  <si>
    <t>Customer controlled for Windows patches</t>
  </si>
  <si>
    <t>All scoped data is on-prem</t>
  </si>
  <si>
    <t>All active directory based provided, managed, controlled by the customer</t>
  </si>
  <si>
    <t>All access control is via Azure AD + MFA corporate wide</t>
  </si>
  <si>
    <t>Only approved support staff can access customer systems via SecureLink which is approved by the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</si>
</sst>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6" x14ac:knownFonts="1">
    <font>
      <sz val="11"/>
      <color theme="1"/>
      <name val="Calibri"/>
      <family val="2"/>
      <scheme val="minor"/>
    </font>
    <font>
      <b/>
      <i/>
      <sz val="11"/>
      <color theme="1"/>
      <name val="Calibri"/>
      <family val="2"/>
      <scheme val="minor"/>
    </font>
    <font>
      <i/>
      <sz val="10"/>
      <name val="Calibri"/>
      <family val="2"/>
      <scheme val="minor"/>
    </font>
    <font>
      <sz val="11"/>
      <name val="Calibri"/>
      <family val="2"/>
      <scheme val="minor"/>
    </font>
    <font>
      <sz val="10"/>
      <name val="Calibri"/>
      <family val="2"/>
      <scheme val="minor"/>
    </font>
    <font>
      <b/>
      <sz val="10"/>
      <name val="Calibri"/>
      <family val="2"/>
      <scheme val="minor"/>
    </font>
    <font>
      <sz val="10"/>
      <name val="Arial"/>
      <family val="2"/>
    </font>
    <font>
      <b/>
      <sz val="11"/>
      <color theme="1"/>
      <name val="Calibri"/>
      <family val="2"/>
      <scheme val="minor"/>
    </font>
    <font>
      <b/>
      <sz val="14"/>
      <name val="Calibri"/>
      <family val="2"/>
      <scheme val="minor"/>
    </font>
    <font>
      <b/>
      <sz val="11"/>
      <name val="Calibri"/>
      <family val="2"/>
      <scheme val="minor"/>
    </font>
    <font>
      <sz val="24"/>
      <color theme="0"/>
      <name val="Calibri"/>
      <family val="2"/>
      <scheme val="minor"/>
    </font>
    <font>
      <b/>
      <sz val="11"/>
      <name val="Arial"/>
      <family val="2"/>
    </font>
    <font>
      <sz val="11"/>
      <name val="Arial"/>
      <family val="2"/>
    </font>
    <font>
      <sz val="11"/>
      <color rgb="FF000000"/>
      <name val="Georgia"/>
      <family val="1"/>
    </font>
    <font>
      <u/>
      <sz val="11"/>
      <color theme="10"/>
      <name val="Calibri"/>
      <family val="2"/>
      <scheme val="minor"/>
    </font>
    <font>
      <u/>
      <sz val="11"/>
      <color theme="1"/>
      <name val="Calibri"/>
      <family val="2"/>
      <scheme val="minor"/>
    </font>
  </fonts>
  <fills count="1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0"/>
        <bgColor indexed="64"/>
      </patternFill>
    </fill>
    <fill>
      <patternFill patternType="mediumGray">
        <fgColor indexed="22"/>
      </patternFill>
    </fill>
    <fill>
      <patternFill patternType="solid">
        <fgColor indexed="27"/>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18">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3">
    <xf numFmtId="0" fontId="0" fillId="0" borderId="0"/>
    <xf numFmtId="0" fontId="6" fillId="0" borderId="0"/>
    <xf numFmtId="0" fontId="14" fillId="0" borderId="0" applyNumberFormat="0" applyFill="0" applyBorder="0" applyAlignment="0" applyProtection="0"/>
  </cellStyleXfs>
  <cellXfs count="62">
    <xf numFmtId="0" fontId="0" fillId="0" borderId="0" xfId="0"/>
    <xf numFmtId="0" fontId="0" fillId="2" borderId="3" xfId="0" applyFill="1" applyBorder="1"/>
    <xf numFmtId="0" fontId="0" fillId="0" borderId="3" xfId="0" applyBorder="1"/>
    <xf numFmtId="0" fontId="0" fillId="0" borderId="3" xfId="0" applyBorder="1" applyAlignment="1">
      <alignment horizontal="left" vertical="top" wrapText="1"/>
    </xf>
    <xf numFmtId="0" fontId="0" fillId="0" borderId="3" xfId="0" applyBorder="1" applyAlignment="1">
      <alignment horizontal="left" vertical="top" wrapText="1" indent="1"/>
    </xf>
    <xf numFmtId="0" fontId="1" fillId="2" borderId="3" xfId="0" applyFont="1" applyFill="1" applyBorder="1" applyAlignment="1">
      <alignment horizontal="left" vertical="top"/>
    </xf>
    <xf numFmtId="0" fontId="0" fillId="0" borderId="3" xfId="0" applyBorder="1" applyAlignment="1">
      <alignment horizontal="left" vertical="top"/>
    </xf>
    <xf numFmtId="0" fontId="1" fillId="2" borderId="3" xfId="0" applyFont="1" applyFill="1" applyBorder="1" applyAlignment="1">
      <alignment horizontal="left" vertical="top" wrapText="1"/>
    </xf>
    <xf numFmtId="0" fontId="0" fillId="0" borderId="3" xfId="0" applyBorder="1" applyAlignment="1">
      <alignment horizontal="left" vertical="top" wrapText="1" indent="2"/>
    </xf>
    <xf numFmtId="0" fontId="4" fillId="0" borderId="3" xfId="1" applyFont="1" applyBorder="1"/>
    <xf numFmtId="0" fontId="4" fillId="2" borderId="3" xfId="1" applyFont="1" applyFill="1" applyBorder="1"/>
    <xf numFmtId="0" fontId="1" fillId="2" borderId="3" xfId="0" applyFont="1" applyFill="1" applyBorder="1"/>
    <xf numFmtId="0" fontId="0" fillId="0" borderId="0" xfId="0" applyAlignment="1">
      <alignment horizontal="left" vertical="top" wrapText="1"/>
    </xf>
    <xf numFmtId="0" fontId="4" fillId="0" borderId="0" xfId="1" applyFont="1"/>
    <xf numFmtId="1" fontId="0" fillId="0" borderId="0" xfId="0" applyNumberFormat="1"/>
    <xf numFmtId="0" fontId="0" fillId="5" borderId="0" xfId="0" applyFill="1" applyAlignment="1">
      <alignment horizontal="left"/>
    </xf>
    <xf numFmtId="0" fontId="7" fillId="2" borderId="3" xfId="0" applyFont="1" applyFill="1" applyBorder="1" applyAlignment="1">
      <alignment horizontal="center"/>
    </xf>
    <xf numFmtId="1" fontId="5" fillId="4" borderId="6" xfId="0" applyNumberFormat="1" applyFont="1" applyFill="1" applyBorder="1" applyAlignment="1">
      <alignment horizontal="center" vertical="center" wrapText="1"/>
    </xf>
    <xf numFmtId="1" fontId="5" fillId="4" borderId="7" xfId="0" applyNumberFormat="1" applyFont="1" applyFill="1" applyBorder="1" applyAlignment="1">
      <alignment horizontal="center" vertical="center" wrapText="1"/>
    </xf>
    <xf numFmtId="0" fontId="1" fillId="2" borderId="3" xfId="0" applyFont="1" applyFill="1" applyBorder="1" applyAlignment="1">
      <alignment horizontal="center"/>
    </xf>
    <xf numFmtId="0" fontId="1" fillId="2" borderId="3" xfId="0" applyFont="1" applyFill="1" applyBorder="1" applyAlignment="1">
      <alignment horizontal="left"/>
    </xf>
    <xf numFmtId="0" fontId="0" fillId="0" borderId="3" xfId="0" applyBorder="1" applyAlignment="1">
      <alignment horizontal="left"/>
    </xf>
    <xf numFmtId="0" fontId="0" fillId="0" borderId="0" xfId="0" applyAlignment="1">
      <alignment horizontal="left"/>
    </xf>
    <xf numFmtId="0" fontId="0" fillId="0" borderId="3" xfId="0" applyBorder="1" applyAlignment="1">
      <alignment wrapText="1"/>
    </xf>
    <xf numFmtId="0" fontId="0" fillId="8" borderId="3" xfId="0" applyFill="1" applyBorder="1" applyAlignment="1">
      <alignment horizontal="left" vertical="top" wrapText="1"/>
    </xf>
    <xf numFmtId="0" fontId="3" fillId="3" borderId="2" xfId="0" applyFont="1" applyFill="1" applyBorder="1" applyAlignment="1">
      <alignment horizontal="left" vertical="center"/>
    </xf>
    <xf numFmtId="0" fontId="11" fillId="9" borderId="3" xfId="0" applyFont="1" applyFill="1" applyBorder="1" applyAlignment="1">
      <alignment vertical="top"/>
    </xf>
    <xf numFmtId="0" fontId="12" fillId="10" borderId="8" xfId="0" applyFont="1" applyFill="1" applyBorder="1" applyAlignment="1" applyProtection="1">
      <alignment horizontal="left" vertical="top"/>
      <protection locked="0"/>
    </xf>
    <xf numFmtId="0" fontId="11" fillId="10" borderId="8" xfId="0" applyFont="1" applyFill="1" applyBorder="1" applyAlignment="1" applyProtection="1">
      <alignment horizontal="left" vertical="top"/>
      <protection locked="0"/>
    </xf>
    <xf numFmtId="0" fontId="12" fillId="10" borderId="9" xfId="0" applyFont="1" applyFill="1" applyBorder="1" applyAlignment="1" applyProtection="1">
      <alignment horizontal="left" vertical="top"/>
      <protection locked="0"/>
    </xf>
    <xf numFmtId="0" fontId="13" fillId="0" borderId="0" xfId="0" applyFont="1" applyAlignment="1">
      <alignment vertical="center"/>
    </xf>
    <xf numFmtId="0" fontId="3" fillId="3" borderId="12" xfId="0" applyFont="1" applyFill="1" applyBorder="1" applyAlignment="1">
      <alignment horizontal="left" vertical="center"/>
    </xf>
    <xf numFmtId="0" fontId="3" fillId="3" borderId="13" xfId="0" applyFont="1" applyFill="1" applyBorder="1" applyAlignment="1">
      <alignment horizontal="left" vertical="center"/>
    </xf>
    <xf numFmtId="0" fontId="3" fillId="3" borderId="10" xfId="0" applyFont="1" applyFill="1" applyBorder="1" applyAlignment="1">
      <alignment horizontal="left" vertical="center"/>
    </xf>
    <xf numFmtId="0" fontId="3" fillId="3" borderId="0" xfId="0" applyFont="1" applyFill="1" applyAlignment="1">
      <alignment horizontal="left" vertical="center"/>
    </xf>
    <xf numFmtId="0" fontId="3" fillId="3" borderId="4" xfId="0" applyFont="1" applyFill="1" applyBorder="1" applyAlignment="1">
      <alignment horizontal="left" vertical="center"/>
    </xf>
    <xf numFmtId="0" fontId="3" fillId="3" borderId="5" xfId="0" applyFont="1" applyFill="1" applyBorder="1" applyAlignment="1">
      <alignment horizontal="left" vertical="center"/>
    </xf>
    <xf numFmtId="0" fontId="3" fillId="3" borderId="14" xfId="0" applyFont="1" applyFill="1" applyBorder="1" applyAlignment="1">
      <alignment horizontal="right" vertical="center"/>
    </xf>
    <xf numFmtId="0" fontId="3" fillId="3" borderId="17" xfId="0" applyFont="1" applyFill="1" applyBorder="1" applyAlignment="1">
      <alignment horizontal="right" vertical="center"/>
    </xf>
    <xf numFmtId="0" fontId="9" fillId="3" borderId="15" xfId="0" applyFont="1" applyFill="1" applyBorder="1" applyAlignment="1">
      <alignment horizontal="right" vertical="center"/>
    </xf>
    <xf numFmtId="0" fontId="9" fillId="3" borderId="16" xfId="0" applyFont="1" applyFill="1" applyBorder="1" applyAlignment="1">
      <alignment horizontal="right" vertical="center"/>
    </xf>
    <xf numFmtId="0" fontId="8" fillId="6" borderId="3" xfId="0" applyFont="1" applyFill="1" applyBorder="1" applyAlignment="1">
      <alignment horizontal="center"/>
    </xf>
    <xf numFmtId="0" fontId="3" fillId="3" borderId="0" xfId="0" applyFont="1" applyFill="1" applyAlignment="1">
      <alignment horizontal="center" vertical="center"/>
    </xf>
    <xf numFmtId="0" fontId="3" fillId="3" borderId="4" xfId="0" applyFont="1" applyFill="1" applyBorder="1" applyAlignment="1">
      <alignment horizontal="center" vertical="center"/>
    </xf>
    <xf numFmtId="0" fontId="0" fillId="0" borderId="3" xfId="0" applyBorder="1" applyAlignment="1">
      <alignment horizontal="center"/>
    </xf>
    <xf numFmtId="0" fontId="1" fillId="2" borderId="3" xfId="0" applyFont="1" applyFill="1" applyBorder="1" applyAlignment="1">
      <alignment horizontal="center" vertical="top"/>
    </xf>
    <xf numFmtId="0" fontId="0" fillId="0" borderId="0" xfId="0" applyAlignment="1">
      <alignment horizontal="center"/>
    </xf>
    <xf numFmtId="0" fontId="0" fillId="0" borderId="0" xfId="0" applyAlignment="1">
      <alignment horizontal="center" vertical="center"/>
    </xf>
    <xf numFmtId="10" fontId="0" fillId="0" borderId="0" xfId="0" applyNumberFormat="1"/>
    <xf numFmtId="0" fontId="0" fillId="11" borderId="0" xfId="0" applyFill="1"/>
    <xf numFmtId="0" fontId="0" fillId="12" borderId="0" xfId="0" applyFill="1"/>
    <xf numFmtId="0" fontId="0" fillId="13" borderId="0" xfId="0" applyFill="1"/>
    <xf numFmtId="0" fontId="0" fillId="11" borderId="0" xfId="0" applyFill="1" applyAlignment="1">
      <alignment horizontal="center" vertical="center"/>
    </xf>
    <xf numFmtId="0" fontId="0" fillId="13" borderId="0" xfId="0" applyFill="1" applyAlignment="1">
      <alignment horizontal="center" vertical="center"/>
    </xf>
    <xf numFmtId="0" fontId="0" fillId="12" borderId="0" xfId="0" applyFill="1" applyAlignment="1">
      <alignment horizontal="center" vertical="center"/>
    </xf>
    <xf numFmtId="10" fontId="0" fillId="13" borderId="0" xfId="0" applyNumberFormat="1" applyFill="1"/>
    <xf numFmtId="10" fontId="0" fillId="12" borderId="0" xfId="0" applyNumberFormat="1" applyFill="1"/>
    <xf numFmtId="0" fontId="14" fillId="3" borderId="12" xfId="2" applyFill="1" applyBorder="1" applyAlignment="1">
      <alignment horizontal="left" vertical="center"/>
    </xf>
    <xf numFmtId="164" fontId="3" fillId="3" borderId="11" xfId="0" applyNumberFormat="1" applyFont="1" applyFill="1" applyBorder="1" applyAlignment="1">
      <alignment horizontal="left" vertical="center"/>
    </xf>
    <xf numFmtId="0" fontId="10" fillId="7" borderId="1" xfId="0" applyFont="1" applyFill="1" applyBorder="1" applyAlignment="1">
      <alignment horizontal="center" vertical="center" wrapText="1"/>
    </xf>
    <xf numFmtId="0" fontId="2" fillId="7" borderId="0" xfId="0" applyFont="1" applyFill="1" applyAlignment="1">
      <alignment horizontal="center" vertical="center"/>
    </xf>
    <xf numFmtId="0" fontId="2" fillId="7" borderId="2" xfId="0" applyFont="1" applyFill="1" applyBorder="1" applyAlignment="1">
      <alignment horizontal="center" vertical="center"/>
    </xf>
  </cellXfs>
  <cellStyles count="3">
    <cellStyle name="Hyperlink" xfId="2" builtinId="8"/>
    <cellStyle name="Normal" xfId="0" builtinId="0"/>
    <cellStyle name="Normal 2" xfId="1" xr:uid="{4E9F8C13-FDA4-4537-8F29-C33A1A65F6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0</xdr:row>
      <xdr:rowOff>85725</xdr:rowOff>
    </xdr:from>
    <xdr:to>
      <xdr:col>1</xdr:col>
      <xdr:colOff>2279734</xdr:colOff>
      <xdr:row>0</xdr:row>
      <xdr:rowOff>1028700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85725"/>
          <a:ext cx="2194009" cy="942975"/>
        </a:xfrm>
        <a:prstGeom prst="rect">
          <a:avLst/>
        </a:prstGeom>
      </xdr:spPr>
    </xdr:pic>
    <xdr:clientData/>
  </xdr:twoCellAnchor>
  <xdr:twoCellAnchor>
    <xdr:from>
      <xdr:col>1</xdr:col>
      <xdr:colOff>47625</xdr:colOff>
      <xdr:row>0</xdr:row>
      <xdr:rowOff>323850</xdr:rowOff>
    </xdr:from>
    <xdr:to>
      <xdr:col>1</xdr:col>
      <xdr:colOff>111125</xdr:colOff>
      <xdr:row>2</xdr:row>
      <xdr:rowOff>54967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57225" y="17240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1495425</xdr:colOff>
      <xdr:row>3</xdr:row>
      <xdr:rowOff>295275</xdr:rowOff>
    </xdr:from>
    <xdr:to>
      <xdr:col>1</xdr:col>
      <xdr:colOff>1558925</xdr:colOff>
      <xdr:row>4</xdr:row>
      <xdr:rowOff>26392</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552950" y="16954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38100</xdr:colOff>
      <xdr:row>4</xdr:row>
      <xdr:rowOff>257175</xdr:rowOff>
    </xdr:from>
    <xdr:to>
      <xdr:col>1</xdr:col>
      <xdr:colOff>101600</xdr:colOff>
      <xdr:row>5</xdr:row>
      <xdr:rowOff>64492</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47700" y="23241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1409700</xdr:colOff>
      <xdr:row>5</xdr:row>
      <xdr:rowOff>257175</xdr:rowOff>
    </xdr:from>
    <xdr:to>
      <xdr:col>1</xdr:col>
      <xdr:colOff>1473200</xdr:colOff>
      <xdr:row>6</xdr:row>
      <xdr:rowOff>64492</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467225" y="23241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28575</xdr:colOff>
      <xdr:row>6</xdr:row>
      <xdr:rowOff>266700</xdr:rowOff>
    </xdr:from>
    <xdr:to>
      <xdr:col>1</xdr:col>
      <xdr:colOff>92075</xdr:colOff>
      <xdr:row>7</xdr:row>
      <xdr:rowOff>74017</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638175" y="2924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1257300</xdr:colOff>
      <xdr:row>8</xdr:row>
      <xdr:rowOff>247650</xdr:rowOff>
    </xdr:from>
    <xdr:to>
      <xdr:col>1</xdr:col>
      <xdr:colOff>1320800</xdr:colOff>
      <xdr:row>9</xdr:row>
      <xdr:rowOff>54967</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4314825" y="29051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28575</xdr:colOff>
      <xdr:row>7</xdr:row>
      <xdr:rowOff>238125</xdr:rowOff>
    </xdr:from>
    <xdr:to>
      <xdr:col>1</xdr:col>
      <xdr:colOff>92075</xdr:colOff>
      <xdr:row>8</xdr:row>
      <xdr:rowOff>45442</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8429625" y="28956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38100</xdr:colOff>
      <xdr:row>9</xdr:row>
      <xdr:rowOff>266700</xdr:rowOff>
    </xdr:from>
    <xdr:to>
      <xdr:col>1</xdr:col>
      <xdr:colOff>101600</xdr:colOff>
      <xdr:row>10</xdr:row>
      <xdr:rowOff>0</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647700" y="35147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47625</xdr:colOff>
      <xdr:row>0</xdr:row>
      <xdr:rowOff>323850</xdr:rowOff>
    </xdr:from>
    <xdr:to>
      <xdr:col>1</xdr:col>
      <xdr:colOff>111125</xdr:colOff>
      <xdr:row>2</xdr:row>
      <xdr:rowOff>54967</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657225" y="17240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1495425</xdr:colOff>
      <xdr:row>3</xdr:row>
      <xdr:rowOff>295275</xdr:rowOff>
    </xdr:from>
    <xdr:to>
      <xdr:col>1</xdr:col>
      <xdr:colOff>1558925</xdr:colOff>
      <xdr:row>4</xdr:row>
      <xdr:rowOff>26392</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4552950" y="16954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38100</xdr:colOff>
      <xdr:row>4</xdr:row>
      <xdr:rowOff>257175</xdr:rowOff>
    </xdr:from>
    <xdr:to>
      <xdr:col>1</xdr:col>
      <xdr:colOff>101600</xdr:colOff>
      <xdr:row>5</xdr:row>
      <xdr:rowOff>64492</xdr:rowOff>
    </xdr:to>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647700" y="23241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1409700</xdr:colOff>
      <xdr:row>5</xdr:row>
      <xdr:rowOff>257175</xdr:rowOff>
    </xdr:from>
    <xdr:to>
      <xdr:col>1</xdr:col>
      <xdr:colOff>1473200</xdr:colOff>
      <xdr:row>6</xdr:row>
      <xdr:rowOff>64492</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4467225" y="23241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28575</xdr:colOff>
      <xdr:row>6</xdr:row>
      <xdr:rowOff>266700</xdr:rowOff>
    </xdr:from>
    <xdr:to>
      <xdr:col>1</xdr:col>
      <xdr:colOff>92075</xdr:colOff>
      <xdr:row>7</xdr:row>
      <xdr:rowOff>74017</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638175" y="2924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1257300</xdr:colOff>
      <xdr:row>8</xdr:row>
      <xdr:rowOff>247650</xdr:rowOff>
    </xdr:from>
    <xdr:to>
      <xdr:col>1</xdr:col>
      <xdr:colOff>1320800</xdr:colOff>
      <xdr:row>9</xdr:row>
      <xdr:rowOff>54967</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4314825" y="29051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28575</xdr:colOff>
      <xdr:row>7</xdr:row>
      <xdr:rowOff>238125</xdr:rowOff>
    </xdr:from>
    <xdr:to>
      <xdr:col>1</xdr:col>
      <xdr:colOff>92075</xdr:colOff>
      <xdr:row>8</xdr:row>
      <xdr:rowOff>45442</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8429625" y="289560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twoCellAnchor>
    <xdr:from>
      <xdr:col>1</xdr:col>
      <xdr:colOff>38100</xdr:colOff>
      <xdr:row>9</xdr:row>
      <xdr:rowOff>266700</xdr:rowOff>
    </xdr:from>
    <xdr:to>
      <xdr:col>1</xdr:col>
      <xdr:colOff>101600</xdr:colOff>
      <xdr:row>10</xdr:row>
      <xdr:rowOff>0</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647700" y="35147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bruno.bendavid@perigen.com" TargetMode="External"/><Relationship Id="rId1" Type="http://schemas.openxmlformats.org/officeDocument/2006/relationships/hyperlink" Target="http://www.perigen.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3309-A148-44DB-9306-86065B0A592B}">
  <sheetPr codeName="Sheet1">
    <pageSetUpPr fitToPage="1"/>
  </sheetPr>
  <dimension ref="B3:H13"/>
  <sheetViews>
    <sheetView showGridLines="0" showRowColHeaders="0" zoomScaleNormal="100" workbookViewId="0">
      <selection activeCell="B3" sqref="B3"/>
    </sheetView>
  </sheetViews>
  <sheetFormatPr defaultColWidth="8.6640625" defaultRowHeight="14.4" x14ac:dyDescent="0.3"/>
  <cols>
    <col min="2" max="2" width="111.6640625" bestFit="1" customWidth="1"/>
    <col min="8" max="8" width="80.44140625" customWidth="1"/>
  </cols>
  <sheetData>
    <row r="3" spans="2:8" x14ac:dyDescent="0.3">
      <c r="B3" s="26" t="s">
        <v>0</v>
      </c>
    </row>
    <row r="4" spans="2:8" x14ac:dyDescent="0.3">
      <c r="B4" s="28" t="s">
        <v>1</v>
      </c>
    </row>
    <row r="5" spans="2:8" x14ac:dyDescent="0.3">
      <c r="B5" s="28" t="s">
        <v>2</v>
      </c>
    </row>
    <row r="6" spans="2:8" x14ac:dyDescent="0.3">
      <c r="B6" s="28"/>
    </row>
    <row r="7" spans="2:8" x14ac:dyDescent="0.3">
      <c r="B7" s="27" t="s">
        <v>3</v>
      </c>
    </row>
    <row r="8" spans="2:8" x14ac:dyDescent="0.3">
      <c r="B8" s="27" t="s">
        <v>4</v>
      </c>
    </row>
    <row r="9" spans="2:8" x14ac:dyDescent="0.3">
      <c r="B9" s="27" t="s">
        <v>5</v>
      </c>
    </row>
    <row r="10" spans="2:8" x14ac:dyDescent="0.3">
      <c r="B10" s="27" t="s">
        <v>6</v>
      </c>
    </row>
    <row r="11" spans="2:8" x14ac:dyDescent="0.3">
      <c r="B11" s="27" t="s">
        <v>7</v>
      </c>
    </row>
    <row r="12" spans="2:8" x14ac:dyDescent="0.3">
      <c r="B12" s="29" t="s">
        <v>8</v>
      </c>
      <c r="H12" s="30"/>
    </row>
    <row r="13" spans="2:8" x14ac:dyDescent="0.3">
      <c r="H13" s="30"/>
    </row>
  </sheetData>
  <pageMargins left="0.7" right="0.7" top="0.75" bottom="0.75" header="0.3" footer="0.3"/>
  <pageSetup scale="8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CF428-CA0E-465F-8CCD-DEDC6E33AD6B}">
  <sheetPr codeName="Sheet11">
    <pageSetUpPr fitToPage="1"/>
  </sheetPr>
  <dimension ref="A1:Z504"/>
  <sheetViews>
    <sheetView showGridLines="0" showRowColHeaders="0" tabSelected="1" topLeftCell="A204" zoomScale="130" zoomScaleNormal="130" workbookViewId="0">
      <selection activeCell="C104" sqref="C104"/>
    </sheetView>
  </sheetViews>
  <sheetFormatPr defaultColWidth="8.6640625" defaultRowHeight="14.4" x14ac:dyDescent="0.3"/>
  <cols>
    <col min="2" max="2" width="36.6640625" style="22" customWidth="1"/>
    <col min="3" max="3" width="80.109375" bestFit="1" customWidth="1"/>
    <col min="4" max="4" width="18.44140625" style="46" customWidth="1"/>
    <col min="5" max="5" width="39.44140625" customWidth="1"/>
    <col min="6" max="6" width="38.109375" customWidth="1"/>
    <col min="7" max="7" width="11.6640625" hidden="1" customWidth="1"/>
    <col min="8" max="8" width="12.44140625" hidden="1" customWidth="1"/>
    <col min="9" max="9" width="9.109375" hidden="1" customWidth="1"/>
    <col min="10" max="10" width="12.6640625" hidden="1" customWidth="1"/>
    <col min="11" max="26" width="0" hidden="1" customWidth="1"/>
  </cols>
  <sheetData>
    <row r="1" spans="2:6" ht="110.25" customHeight="1" x14ac:dyDescent="0.3">
      <c r="B1" s="59" t="s">
        <v>9</v>
      </c>
      <c r="C1" s="60"/>
      <c r="D1" s="60"/>
      <c r="E1" s="60"/>
      <c r="F1" s="61"/>
    </row>
    <row r="2" spans="2:6" x14ac:dyDescent="0.3">
      <c r="B2" s="37"/>
      <c r="C2" s="33"/>
      <c r="D2" s="42"/>
      <c r="E2" s="34"/>
      <c r="F2" s="25"/>
    </row>
    <row r="3" spans="2:6" x14ac:dyDescent="0.3">
      <c r="B3" s="39" t="s">
        <v>10</v>
      </c>
      <c r="C3" s="58">
        <v>45271</v>
      </c>
      <c r="D3" s="42"/>
      <c r="E3" s="34"/>
      <c r="F3" s="25"/>
    </row>
    <row r="4" spans="2:6" x14ac:dyDescent="0.3">
      <c r="B4" s="40" t="s">
        <v>11</v>
      </c>
      <c r="C4" s="31" t="s">
        <v>12</v>
      </c>
      <c r="D4" s="42"/>
      <c r="E4" s="34"/>
      <c r="F4" s="25"/>
    </row>
    <row r="5" spans="2:6" x14ac:dyDescent="0.3">
      <c r="B5" s="40" t="s">
        <v>13</v>
      </c>
      <c r="C5" s="31" t="s">
        <v>14</v>
      </c>
      <c r="D5" s="42"/>
      <c r="E5" s="34"/>
      <c r="F5" s="25"/>
    </row>
    <row r="6" spans="2:6" x14ac:dyDescent="0.3">
      <c r="B6" s="40" t="s">
        <v>15</v>
      </c>
      <c r="C6" s="57" t="s">
        <v>16</v>
      </c>
      <c r="D6" s="42"/>
      <c r="E6" s="34"/>
      <c r="F6" s="25"/>
    </row>
    <row r="7" spans="2:6" x14ac:dyDescent="0.3">
      <c r="B7" s="40" t="s">
        <v>17</v>
      </c>
      <c r="C7" s="31" t="s">
        <v>18</v>
      </c>
      <c r="D7" s="42"/>
      <c r="E7" s="34"/>
      <c r="F7" s="25"/>
    </row>
    <row r="8" spans="2:6" x14ac:dyDescent="0.3">
      <c r="B8" s="40" t="s">
        <v>19</v>
      </c>
      <c r="C8" s="31" t="s">
        <v>20</v>
      </c>
      <c r="D8" s="42"/>
      <c r="E8" s="34"/>
      <c r="F8" s="25"/>
    </row>
    <row r="9" spans="2:6" x14ac:dyDescent="0.3">
      <c r="B9" s="40" t="s">
        <v>21</v>
      </c>
      <c r="C9" s="57" t="s">
        <v>22</v>
      </c>
      <c r="D9" s="42"/>
      <c r="E9" s="34"/>
      <c r="F9" s="25"/>
    </row>
    <row r="10" spans="2:6" x14ac:dyDescent="0.3">
      <c r="B10" s="40" t="s">
        <v>23</v>
      </c>
      <c r="C10" s="31" t="s">
        <v>400</v>
      </c>
      <c r="D10" s="42"/>
      <c r="E10" s="34"/>
      <c r="F10" s="25"/>
    </row>
    <row r="11" spans="2:6" ht="15" thickBot="1" x14ac:dyDescent="0.35">
      <c r="B11" s="38"/>
      <c r="C11" s="32"/>
      <c r="D11" s="43"/>
      <c r="E11" s="35"/>
      <c r="F11" s="36"/>
    </row>
    <row r="12" spans="2:6" x14ac:dyDescent="0.3">
      <c r="B12" s="17" t="s">
        <v>24</v>
      </c>
      <c r="C12" s="17" t="s">
        <v>25</v>
      </c>
      <c r="D12" s="17" t="s">
        <v>26</v>
      </c>
      <c r="E12" s="18" t="s">
        <v>27</v>
      </c>
      <c r="F12" s="18" t="s">
        <v>28</v>
      </c>
    </row>
    <row r="13" spans="2:6" x14ac:dyDescent="0.3">
      <c r="B13" s="20" t="s">
        <v>29</v>
      </c>
      <c r="C13" s="20" t="s">
        <v>30</v>
      </c>
      <c r="D13" s="16"/>
      <c r="E13" s="16"/>
      <c r="F13" s="16"/>
    </row>
    <row r="14" spans="2:6" ht="28.8" x14ac:dyDescent="0.3">
      <c r="B14" s="21" t="s">
        <v>31</v>
      </c>
      <c r="C14" s="3" t="s">
        <v>32</v>
      </c>
      <c r="D14" s="44" t="s">
        <v>33</v>
      </c>
      <c r="E14" s="23" t="s">
        <v>34</v>
      </c>
      <c r="F14" s="9"/>
    </row>
    <row r="15" spans="2:6" x14ac:dyDescent="0.3">
      <c r="B15" s="21" t="s">
        <v>35</v>
      </c>
      <c r="C15" s="3" t="s">
        <v>36</v>
      </c>
      <c r="D15" s="44" t="s">
        <v>37</v>
      </c>
      <c r="E15" s="23"/>
      <c r="F15" s="9"/>
    </row>
    <row r="16" spans="2:6" x14ac:dyDescent="0.3">
      <c r="B16" s="21" t="s">
        <v>38</v>
      </c>
      <c r="C16" s="3" t="s">
        <v>39</v>
      </c>
      <c r="D16" s="44" t="s">
        <v>37</v>
      </c>
      <c r="E16" s="23"/>
      <c r="F16" s="9"/>
    </row>
    <row r="17" spans="2:26" x14ac:dyDescent="0.3">
      <c r="B17" s="21" t="s">
        <v>40</v>
      </c>
      <c r="C17" s="3" t="s">
        <v>41</v>
      </c>
      <c r="D17" s="44" t="s">
        <v>37</v>
      </c>
      <c r="E17" s="23"/>
      <c r="F17" s="9"/>
    </row>
    <row r="18" spans="2:26" x14ac:dyDescent="0.3">
      <c r="B18" s="21" t="s">
        <v>42</v>
      </c>
      <c r="C18" s="3" t="s">
        <v>43</v>
      </c>
      <c r="D18" s="44" t="s">
        <v>33</v>
      </c>
      <c r="E18" s="23"/>
      <c r="F18" s="9"/>
    </row>
    <row r="19" spans="2:26" ht="28.8" x14ac:dyDescent="0.3">
      <c r="B19" s="21" t="s">
        <v>44</v>
      </c>
      <c r="C19" s="3" t="s">
        <v>45</v>
      </c>
      <c r="D19" s="44" t="s">
        <v>37</v>
      </c>
      <c r="E19" s="23"/>
      <c r="F19" s="9"/>
    </row>
    <row r="20" spans="2:26" x14ac:dyDescent="0.3">
      <c r="B20" s="21" t="s">
        <v>44</v>
      </c>
      <c r="C20" s="4" t="s">
        <v>46</v>
      </c>
      <c r="D20" s="44" t="s">
        <v>37</v>
      </c>
      <c r="E20" s="23"/>
      <c r="F20" s="9"/>
    </row>
    <row r="21" spans="2:26" ht="28.8" x14ac:dyDescent="0.3">
      <c r="B21" s="21" t="s">
        <v>47</v>
      </c>
      <c r="C21" s="4" t="s">
        <v>48</v>
      </c>
      <c r="D21" s="44" t="s">
        <v>37</v>
      </c>
      <c r="E21" s="23"/>
      <c r="F21" s="9"/>
    </row>
    <row r="22" spans="2:26" x14ac:dyDescent="0.3">
      <c r="B22" s="21" t="s">
        <v>49</v>
      </c>
      <c r="C22" s="4" t="s">
        <v>50</v>
      </c>
      <c r="D22" s="44" t="s">
        <v>37</v>
      </c>
      <c r="E22" s="23"/>
      <c r="F22" s="9"/>
    </row>
    <row r="23" spans="2:26" x14ac:dyDescent="0.3">
      <c r="B23" s="21" t="s">
        <v>51</v>
      </c>
      <c r="C23" s="4" t="s">
        <v>52</v>
      </c>
      <c r="D23" s="44" t="s">
        <v>37</v>
      </c>
      <c r="E23" s="23"/>
      <c r="F23" s="9"/>
    </row>
    <row r="24" spans="2:26" ht="18.600000000000001" thickBot="1" x14ac:dyDescent="0.4">
      <c r="B24" s="21" t="s">
        <v>53</v>
      </c>
      <c r="C24" s="4" t="s">
        <v>54</v>
      </c>
      <c r="D24" s="44" t="s">
        <v>37</v>
      </c>
      <c r="E24" s="23"/>
      <c r="F24" s="9"/>
      <c r="G24" s="41" t="s">
        <v>55</v>
      </c>
    </row>
    <row r="25" spans="2:26" ht="40.5" customHeight="1" x14ac:dyDescent="0.3">
      <c r="B25" s="21" t="s">
        <v>56</v>
      </c>
      <c r="C25" s="3" t="s">
        <v>57</v>
      </c>
      <c r="D25" s="44" t="s">
        <v>33</v>
      </c>
      <c r="E25" s="23"/>
      <c r="F25" s="9"/>
      <c r="G25" s="18" t="s">
        <v>58</v>
      </c>
      <c r="H25" s="18" t="s">
        <v>58</v>
      </c>
      <c r="I25" s="18" t="s">
        <v>58</v>
      </c>
      <c r="J25" s="18" t="s">
        <v>58</v>
      </c>
      <c r="K25" s="18" t="s">
        <v>58</v>
      </c>
      <c r="L25" s="18" t="s">
        <v>58</v>
      </c>
      <c r="M25" s="18" t="s">
        <v>58</v>
      </c>
      <c r="N25" s="18" t="s">
        <v>58</v>
      </c>
      <c r="O25" s="18" t="s">
        <v>58</v>
      </c>
      <c r="P25" s="18" t="s">
        <v>58</v>
      </c>
      <c r="Q25" s="18" t="s">
        <v>58</v>
      </c>
      <c r="R25" s="18" t="s">
        <v>58</v>
      </c>
      <c r="S25" s="18" t="s">
        <v>58</v>
      </c>
      <c r="T25" s="18" t="s">
        <v>58</v>
      </c>
      <c r="U25" s="18" t="s">
        <v>58</v>
      </c>
      <c r="V25" s="18" t="s">
        <v>58</v>
      </c>
      <c r="W25" s="18" t="s">
        <v>58</v>
      </c>
      <c r="X25" s="18" t="s">
        <v>58</v>
      </c>
      <c r="Y25" s="18" t="s">
        <v>58</v>
      </c>
      <c r="Z25" s="18" t="s">
        <v>58</v>
      </c>
    </row>
    <row r="26" spans="2:26" ht="28.8" x14ac:dyDescent="0.3">
      <c r="B26" s="21" t="s">
        <v>59</v>
      </c>
      <c r="C26" s="4" t="s">
        <v>60</v>
      </c>
      <c r="D26" s="44" t="s">
        <v>37</v>
      </c>
      <c r="E26" s="23"/>
      <c r="F26" s="9"/>
    </row>
    <row r="27" spans="2:26" x14ac:dyDescent="0.3">
      <c r="B27" s="21" t="s">
        <v>61</v>
      </c>
      <c r="C27" s="4" t="s">
        <v>62</v>
      </c>
      <c r="D27" s="44" t="s">
        <v>37</v>
      </c>
      <c r="E27" s="23"/>
      <c r="F27" s="9"/>
    </row>
    <row r="28" spans="2:26" x14ac:dyDescent="0.3">
      <c r="B28" s="21" t="s">
        <v>63</v>
      </c>
      <c r="C28" s="4" t="s">
        <v>64</v>
      </c>
      <c r="D28" s="44" t="s">
        <v>37</v>
      </c>
      <c r="E28" s="23"/>
      <c r="F28" s="9"/>
    </row>
    <row r="29" spans="2:26" x14ac:dyDescent="0.3">
      <c r="B29" s="21" t="s">
        <v>65</v>
      </c>
      <c r="C29" s="4" t="s">
        <v>66</v>
      </c>
      <c r="D29" s="44" t="s">
        <v>33</v>
      </c>
      <c r="E29" s="23"/>
      <c r="F29" s="9"/>
    </row>
    <row r="30" spans="2:26" x14ac:dyDescent="0.3">
      <c r="B30" s="21" t="s">
        <v>67</v>
      </c>
      <c r="C30" s="4" t="s">
        <v>68</v>
      </c>
      <c r="D30" s="44" t="s">
        <v>37</v>
      </c>
      <c r="E30" s="23"/>
      <c r="F30" s="9"/>
    </row>
    <row r="31" spans="2:26" ht="28.8" x14ac:dyDescent="0.3">
      <c r="B31" s="21" t="s">
        <v>69</v>
      </c>
      <c r="C31" s="3" t="s">
        <v>70</v>
      </c>
      <c r="D31" s="44" t="s">
        <v>33</v>
      </c>
      <c r="E31" s="23" t="s">
        <v>395</v>
      </c>
      <c r="F31" s="9"/>
    </row>
    <row r="32" spans="2:26" x14ac:dyDescent="0.3">
      <c r="B32" s="21" t="s">
        <v>71</v>
      </c>
      <c r="C32" s="3" t="s">
        <v>72</v>
      </c>
      <c r="D32" s="44" t="s">
        <v>33</v>
      </c>
      <c r="E32" s="23"/>
      <c r="F32" s="9"/>
    </row>
    <row r="33" spans="2:6" x14ac:dyDescent="0.3">
      <c r="B33" s="21">
        <v>19</v>
      </c>
      <c r="C33" s="3"/>
      <c r="D33" s="44"/>
      <c r="E33" s="23"/>
      <c r="F33" s="2"/>
    </row>
    <row r="34" spans="2:6" x14ac:dyDescent="0.3">
      <c r="B34" s="20" t="s">
        <v>73</v>
      </c>
      <c r="C34" s="5" t="s">
        <v>74</v>
      </c>
      <c r="D34" s="45"/>
      <c r="E34" s="5"/>
      <c r="F34" s="1"/>
    </row>
    <row r="35" spans="2:6" ht="43.2" x14ac:dyDescent="0.3">
      <c r="B35" s="21" t="s">
        <v>75</v>
      </c>
      <c r="C35" s="24" t="s">
        <v>76</v>
      </c>
      <c r="D35" s="44" t="s">
        <v>37</v>
      </c>
      <c r="E35" s="23"/>
      <c r="F35" s="9"/>
    </row>
    <row r="36" spans="2:6" x14ac:dyDescent="0.3">
      <c r="B36" s="21" t="s">
        <v>77</v>
      </c>
      <c r="C36" s="3" t="s">
        <v>78</v>
      </c>
      <c r="D36" s="44" t="s">
        <v>37</v>
      </c>
      <c r="E36" s="23"/>
      <c r="F36" s="9"/>
    </row>
    <row r="37" spans="2:6" x14ac:dyDescent="0.3">
      <c r="B37" s="21">
        <v>2</v>
      </c>
      <c r="C37" s="3"/>
      <c r="D37" s="44"/>
      <c r="E37" s="23"/>
      <c r="F37" s="2"/>
    </row>
    <row r="38" spans="2:6" x14ac:dyDescent="0.3">
      <c r="B38" s="20" t="s">
        <v>79</v>
      </c>
      <c r="C38" s="5" t="s">
        <v>80</v>
      </c>
      <c r="D38" s="19"/>
      <c r="E38" s="11"/>
      <c r="F38" s="1"/>
    </row>
    <row r="39" spans="2:6" x14ac:dyDescent="0.3">
      <c r="B39" s="21" t="s">
        <v>81</v>
      </c>
      <c r="C39" s="6" t="s">
        <v>82</v>
      </c>
      <c r="D39" s="44" t="s">
        <v>37</v>
      </c>
      <c r="E39" s="23"/>
      <c r="F39" s="9"/>
    </row>
    <row r="40" spans="2:6" x14ac:dyDescent="0.3">
      <c r="B40" s="21">
        <v>1</v>
      </c>
      <c r="C40" s="6"/>
      <c r="D40" s="44"/>
      <c r="E40" s="23"/>
      <c r="F40" s="2"/>
    </row>
    <row r="41" spans="2:6" x14ac:dyDescent="0.3">
      <c r="B41" s="20" t="s">
        <v>83</v>
      </c>
      <c r="C41" s="5" t="s">
        <v>84</v>
      </c>
      <c r="D41" s="19"/>
      <c r="E41" s="11"/>
      <c r="F41" s="1"/>
    </row>
    <row r="42" spans="2:6" ht="28.8" x14ac:dyDescent="0.3">
      <c r="B42" s="21" t="s">
        <v>85</v>
      </c>
      <c r="C42" s="3" t="s">
        <v>86</v>
      </c>
      <c r="D42" s="44" t="s">
        <v>37</v>
      </c>
      <c r="E42" s="23"/>
      <c r="F42" s="9"/>
    </row>
    <row r="43" spans="2:6" x14ac:dyDescent="0.3">
      <c r="B43" s="21" t="s">
        <v>87</v>
      </c>
      <c r="C43" s="3" t="s">
        <v>88</v>
      </c>
      <c r="D43" s="44" t="s">
        <v>37</v>
      </c>
      <c r="E43" s="23"/>
      <c r="F43" s="9"/>
    </row>
    <row r="44" spans="2:6" ht="43.2" x14ac:dyDescent="0.3">
      <c r="B44" s="21" t="s">
        <v>89</v>
      </c>
      <c r="C44" s="3" t="s">
        <v>90</v>
      </c>
      <c r="D44" s="44" t="s">
        <v>37</v>
      </c>
      <c r="E44" s="23"/>
      <c r="F44" s="9"/>
    </row>
    <row r="45" spans="2:6" ht="28.8" x14ac:dyDescent="0.3">
      <c r="B45" s="21" t="s">
        <v>91</v>
      </c>
      <c r="C45" s="3" t="s">
        <v>92</v>
      </c>
      <c r="D45" s="44" t="s">
        <v>394</v>
      </c>
      <c r="E45" s="23" t="s">
        <v>396</v>
      </c>
      <c r="F45" s="9"/>
    </row>
    <row r="46" spans="2:6" ht="28.8" x14ac:dyDescent="0.3">
      <c r="B46" s="21" t="s">
        <v>93</v>
      </c>
      <c r="C46" s="3" t="s">
        <v>94</v>
      </c>
      <c r="D46" s="44" t="s">
        <v>37</v>
      </c>
      <c r="E46" s="23" t="s">
        <v>397</v>
      </c>
      <c r="F46" s="9"/>
    </row>
    <row r="47" spans="2:6" x14ac:dyDescent="0.3">
      <c r="B47" s="21" t="s">
        <v>95</v>
      </c>
      <c r="C47" s="3" t="s">
        <v>96</v>
      </c>
      <c r="D47" s="44" t="s">
        <v>33</v>
      </c>
      <c r="E47" s="23"/>
      <c r="F47" s="9"/>
    </row>
    <row r="48" spans="2:6" x14ac:dyDescent="0.3">
      <c r="B48" s="21" t="s">
        <v>97</v>
      </c>
      <c r="C48" s="3" t="s">
        <v>98</v>
      </c>
      <c r="D48" s="44" t="s">
        <v>33</v>
      </c>
      <c r="E48" s="23"/>
      <c r="F48" s="9"/>
    </row>
    <row r="49" spans="2:6" ht="57.6" x14ac:dyDescent="0.3">
      <c r="B49" s="21" t="s">
        <v>99</v>
      </c>
      <c r="C49" s="3" t="s">
        <v>100</v>
      </c>
      <c r="D49" s="44" t="s">
        <v>37</v>
      </c>
      <c r="E49" s="23" t="s">
        <v>398</v>
      </c>
      <c r="F49" s="9"/>
    </row>
    <row r="50" spans="2:6" x14ac:dyDescent="0.3">
      <c r="B50" s="21" t="s">
        <v>101</v>
      </c>
      <c r="C50" s="3" t="s">
        <v>102</v>
      </c>
      <c r="D50" s="44" t="s">
        <v>33</v>
      </c>
      <c r="E50" s="23"/>
      <c r="F50" s="9"/>
    </row>
    <row r="51" spans="2:6" ht="28.8" x14ac:dyDescent="0.3">
      <c r="B51" s="21" t="s">
        <v>103</v>
      </c>
      <c r="C51" s="3" t="s">
        <v>104</v>
      </c>
      <c r="D51" s="44" t="s">
        <v>37</v>
      </c>
      <c r="E51" s="23" t="s">
        <v>399</v>
      </c>
      <c r="F51" s="9"/>
    </row>
    <row r="52" spans="2:6" ht="43.2" x14ac:dyDescent="0.3">
      <c r="B52" s="21" t="s">
        <v>105</v>
      </c>
      <c r="C52" s="3" t="s">
        <v>106</v>
      </c>
      <c r="D52" s="44" t="s">
        <v>37</v>
      </c>
      <c r="E52" s="23"/>
      <c r="F52" s="9"/>
    </row>
    <row r="53" spans="2:6" ht="28.8" x14ac:dyDescent="0.3">
      <c r="B53" s="21" t="s">
        <v>107</v>
      </c>
      <c r="C53" s="3" t="s">
        <v>108</v>
      </c>
      <c r="D53" s="44" t="s">
        <v>33</v>
      </c>
      <c r="E53" s="23" t="s">
        <v>401</v>
      </c>
      <c r="F53" s="9"/>
    </row>
    <row r="54" spans="2:6" ht="43.2" x14ac:dyDescent="0.3">
      <c r="B54" s="21" t="s">
        <v>109</v>
      </c>
      <c r="C54" s="3" t="s">
        <v>110</v>
      </c>
      <c r="D54" s="44" t="s">
        <v>33</v>
      </c>
      <c r="E54" s="23"/>
      <c r="F54" s="9"/>
    </row>
    <row r="55" spans="2:6" ht="43.2" x14ac:dyDescent="0.3">
      <c r="B55" s="21" t="s">
        <v>111</v>
      </c>
      <c r="C55" s="3" t="s">
        <v>112</v>
      </c>
      <c r="D55" s="44" t="s">
        <v>33</v>
      </c>
      <c r="E55" s="23" t="s">
        <v>402</v>
      </c>
      <c r="F55" s="9"/>
    </row>
    <row r="56" spans="2:6" ht="86.4" x14ac:dyDescent="0.3">
      <c r="B56" s="21" t="s">
        <v>113</v>
      </c>
      <c r="C56" s="3" t="s">
        <v>114</v>
      </c>
      <c r="D56" s="44" t="s">
        <v>37</v>
      </c>
      <c r="E56" s="23" t="s">
        <v>403</v>
      </c>
      <c r="F56" s="9"/>
    </row>
    <row r="57" spans="2:6" x14ac:dyDescent="0.3">
      <c r="B57" s="21">
        <v>15</v>
      </c>
      <c r="C57" s="3"/>
      <c r="D57" s="44"/>
      <c r="E57" s="23"/>
      <c r="F57" s="9"/>
    </row>
    <row r="58" spans="2:6" x14ac:dyDescent="0.3">
      <c r="B58" s="20" t="s">
        <v>115</v>
      </c>
      <c r="C58" s="5" t="s">
        <v>116</v>
      </c>
      <c r="D58" s="19"/>
      <c r="E58" s="11"/>
      <c r="F58" s="10"/>
    </row>
    <row r="59" spans="2:6" ht="28.8" x14ac:dyDescent="0.3">
      <c r="B59" s="21" t="s">
        <v>117</v>
      </c>
      <c r="C59" s="3" t="s">
        <v>118</v>
      </c>
      <c r="D59" s="44" t="s">
        <v>37</v>
      </c>
      <c r="E59" s="23"/>
      <c r="F59" s="9"/>
    </row>
    <row r="60" spans="2:6" x14ac:dyDescent="0.3">
      <c r="B60" s="21" t="s">
        <v>119</v>
      </c>
      <c r="C60" s="4" t="s">
        <v>120</v>
      </c>
      <c r="D60" s="44" t="s">
        <v>37</v>
      </c>
      <c r="E60" s="23"/>
      <c r="F60" s="9"/>
    </row>
    <row r="61" spans="2:6" x14ac:dyDescent="0.3">
      <c r="B61" s="21" t="s">
        <v>121</v>
      </c>
      <c r="C61" s="4" t="s">
        <v>122</v>
      </c>
      <c r="D61" s="44" t="s">
        <v>37</v>
      </c>
      <c r="E61" s="23"/>
      <c r="F61" s="9"/>
    </row>
    <row r="62" spans="2:6" x14ac:dyDescent="0.3">
      <c r="B62" s="21" t="s">
        <v>123</v>
      </c>
      <c r="C62" s="4" t="s">
        <v>124</v>
      </c>
      <c r="D62" s="44" t="s">
        <v>37</v>
      </c>
      <c r="E62" s="23"/>
      <c r="F62" s="9"/>
    </row>
    <row r="63" spans="2:6" x14ac:dyDescent="0.3">
      <c r="B63" s="21" t="s">
        <v>125</v>
      </c>
      <c r="C63" s="4" t="s">
        <v>126</v>
      </c>
      <c r="D63" s="44" t="s">
        <v>37</v>
      </c>
      <c r="E63" s="23"/>
      <c r="F63" s="9"/>
    </row>
    <row r="64" spans="2:6" x14ac:dyDescent="0.3">
      <c r="B64" s="21" t="s">
        <v>127</v>
      </c>
      <c r="C64" s="4" t="s">
        <v>128</v>
      </c>
      <c r="D64" s="44" t="s">
        <v>37</v>
      </c>
      <c r="E64" s="23"/>
      <c r="F64" s="9"/>
    </row>
    <row r="65" spans="2:6" x14ac:dyDescent="0.3">
      <c r="B65" s="21" t="s">
        <v>129</v>
      </c>
      <c r="C65" s="4" t="s">
        <v>130</v>
      </c>
      <c r="D65" s="44" t="s">
        <v>37</v>
      </c>
      <c r="E65" s="23"/>
      <c r="F65" s="9"/>
    </row>
    <row r="66" spans="2:6" x14ac:dyDescent="0.3">
      <c r="B66" s="21" t="s">
        <v>131</v>
      </c>
      <c r="C66" s="3" t="s">
        <v>132</v>
      </c>
      <c r="D66" s="44" t="s">
        <v>37</v>
      </c>
      <c r="E66" s="23"/>
      <c r="F66" s="9"/>
    </row>
    <row r="67" spans="2:6" x14ac:dyDescent="0.3">
      <c r="B67" s="21" t="s">
        <v>133</v>
      </c>
      <c r="C67" s="3" t="s">
        <v>134</v>
      </c>
      <c r="D67" s="44" t="s">
        <v>37</v>
      </c>
      <c r="E67" s="23"/>
      <c r="F67" s="9"/>
    </row>
    <row r="68" spans="2:6" x14ac:dyDescent="0.3">
      <c r="B68" s="21">
        <v>9</v>
      </c>
      <c r="C68" s="3"/>
      <c r="D68" s="44"/>
      <c r="E68" s="23"/>
      <c r="F68" s="2"/>
    </row>
    <row r="69" spans="2:6" x14ac:dyDescent="0.3">
      <c r="B69" s="20" t="s">
        <v>135</v>
      </c>
      <c r="C69" s="5" t="s">
        <v>136</v>
      </c>
      <c r="D69" s="19"/>
      <c r="E69" s="11"/>
      <c r="F69" s="1"/>
    </row>
    <row r="70" spans="2:6" x14ac:dyDescent="0.3">
      <c r="B70" s="21" t="s">
        <v>137</v>
      </c>
      <c r="C70" s="3" t="s">
        <v>138</v>
      </c>
      <c r="D70" s="44" t="s">
        <v>37</v>
      </c>
      <c r="E70" s="23"/>
      <c r="F70" s="9"/>
    </row>
    <row r="71" spans="2:6" x14ac:dyDescent="0.3">
      <c r="B71" s="21" t="s">
        <v>139</v>
      </c>
      <c r="C71" s="3" t="s">
        <v>140</v>
      </c>
      <c r="D71" s="44" t="s">
        <v>37</v>
      </c>
      <c r="E71" s="23"/>
      <c r="F71" s="9"/>
    </row>
    <row r="72" spans="2:6" ht="43.2" x14ac:dyDescent="0.3">
      <c r="B72" s="21" t="s">
        <v>141</v>
      </c>
      <c r="C72" s="3" t="s">
        <v>142</v>
      </c>
      <c r="D72" s="44" t="s">
        <v>33</v>
      </c>
      <c r="E72" s="23" t="s">
        <v>418</v>
      </c>
      <c r="F72" s="9"/>
    </row>
    <row r="73" spans="2:6" x14ac:dyDescent="0.3">
      <c r="B73" s="21">
        <v>3</v>
      </c>
      <c r="C73" s="3"/>
      <c r="D73" s="44"/>
      <c r="E73" s="23"/>
      <c r="F73" s="2"/>
    </row>
    <row r="74" spans="2:6" x14ac:dyDescent="0.3">
      <c r="B74" s="20" t="s">
        <v>143</v>
      </c>
      <c r="C74" s="5" t="s">
        <v>144</v>
      </c>
      <c r="D74" s="19"/>
      <c r="E74" s="11"/>
      <c r="F74" s="1"/>
    </row>
    <row r="75" spans="2:6" x14ac:dyDescent="0.3">
      <c r="B75" s="21" t="s">
        <v>145</v>
      </c>
      <c r="C75" s="3" t="s">
        <v>146</v>
      </c>
      <c r="D75" s="44" t="s">
        <v>37</v>
      </c>
      <c r="E75" s="23"/>
      <c r="F75" s="9"/>
    </row>
    <row r="76" spans="2:6" ht="43.2" x14ac:dyDescent="0.3">
      <c r="B76" s="21" t="s">
        <v>147</v>
      </c>
      <c r="C76" s="3" t="s">
        <v>148</v>
      </c>
      <c r="D76" s="44" t="s">
        <v>37</v>
      </c>
      <c r="E76" s="23"/>
      <c r="F76" s="9"/>
    </row>
    <row r="77" spans="2:6" ht="43.2" x14ac:dyDescent="0.3">
      <c r="B77" s="21" t="s">
        <v>149</v>
      </c>
      <c r="C77" s="3" t="s">
        <v>150</v>
      </c>
      <c r="D77" s="44" t="s">
        <v>394</v>
      </c>
      <c r="E77" s="23" t="s">
        <v>419</v>
      </c>
      <c r="F77" s="9"/>
    </row>
    <row r="78" spans="2:6" x14ac:dyDescent="0.3">
      <c r="B78" s="21" t="s">
        <v>151</v>
      </c>
      <c r="C78" s="3" t="s">
        <v>152</v>
      </c>
      <c r="D78" s="44" t="s">
        <v>394</v>
      </c>
      <c r="E78" s="23"/>
      <c r="F78" s="9"/>
    </row>
    <row r="79" spans="2:6" ht="16.5" customHeight="1" x14ac:dyDescent="0.3">
      <c r="B79" s="21" t="s">
        <v>153</v>
      </c>
      <c r="C79" s="4" t="s">
        <v>154</v>
      </c>
      <c r="D79" s="44" t="s">
        <v>33</v>
      </c>
      <c r="E79" s="23"/>
      <c r="F79" s="9"/>
    </row>
    <row r="80" spans="2:6" x14ac:dyDescent="0.3">
      <c r="B80" s="21" t="s">
        <v>155</v>
      </c>
      <c r="C80" s="4" t="s">
        <v>156</v>
      </c>
      <c r="D80" s="44" t="s">
        <v>33</v>
      </c>
      <c r="E80" s="23"/>
      <c r="F80" s="9"/>
    </row>
    <row r="81" spans="2:6" x14ac:dyDescent="0.3">
      <c r="B81" s="21" t="s">
        <v>157</v>
      </c>
      <c r="C81" s="4" t="s">
        <v>158</v>
      </c>
      <c r="D81" s="44" t="s">
        <v>33</v>
      </c>
      <c r="E81" s="23"/>
      <c r="F81" s="9"/>
    </row>
    <row r="82" spans="2:6" x14ac:dyDescent="0.3">
      <c r="B82" s="21" t="s">
        <v>159</v>
      </c>
      <c r="C82" s="4" t="s">
        <v>160</v>
      </c>
      <c r="D82" s="44" t="s">
        <v>33</v>
      </c>
      <c r="E82" s="23"/>
      <c r="F82" s="9"/>
    </row>
    <row r="83" spans="2:6" x14ac:dyDescent="0.3">
      <c r="B83" s="21" t="s">
        <v>161</v>
      </c>
      <c r="C83" s="4" t="s">
        <v>162</v>
      </c>
      <c r="D83" s="44" t="s">
        <v>33</v>
      </c>
      <c r="E83" s="23"/>
      <c r="F83" s="9"/>
    </row>
    <row r="84" spans="2:6" x14ac:dyDescent="0.3">
      <c r="B84" s="21" t="s">
        <v>163</v>
      </c>
      <c r="C84" s="4" t="s">
        <v>164</v>
      </c>
      <c r="D84" s="44" t="s">
        <v>33</v>
      </c>
      <c r="E84" s="23"/>
      <c r="F84" s="9"/>
    </row>
    <row r="85" spans="2:6" x14ac:dyDescent="0.3">
      <c r="B85" s="21" t="s">
        <v>165</v>
      </c>
      <c r="C85" s="4" t="s">
        <v>166</v>
      </c>
      <c r="D85" s="44" t="s">
        <v>33</v>
      </c>
      <c r="E85" s="23"/>
      <c r="F85" s="9"/>
    </row>
    <row r="86" spans="2:6" ht="28.8" x14ac:dyDescent="0.3">
      <c r="B86" s="21" t="s">
        <v>167</v>
      </c>
      <c r="C86" s="3" t="s">
        <v>168</v>
      </c>
      <c r="D86" s="44" t="s">
        <v>33</v>
      </c>
      <c r="E86" s="23"/>
      <c r="F86" s="9"/>
    </row>
    <row r="87" spans="2:6" ht="28.8" x14ac:dyDescent="0.3">
      <c r="B87" s="21" t="s">
        <v>169</v>
      </c>
      <c r="C87" s="3" t="s">
        <v>170</v>
      </c>
      <c r="D87" s="44" t="s">
        <v>37</v>
      </c>
      <c r="E87" s="23" t="s">
        <v>420</v>
      </c>
      <c r="F87" s="9"/>
    </row>
    <row r="88" spans="2:6" ht="28.8" x14ac:dyDescent="0.3">
      <c r="B88" s="21" t="s">
        <v>171</v>
      </c>
      <c r="C88" s="3" t="s">
        <v>172</v>
      </c>
      <c r="D88" s="44" t="s">
        <v>394</v>
      </c>
      <c r="E88" s="23" t="s">
        <v>421</v>
      </c>
      <c r="F88" s="9"/>
    </row>
    <row r="89" spans="2:6" ht="72" x14ac:dyDescent="0.3">
      <c r="B89" s="21" t="s">
        <v>173</v>
      </c>
      <c r="C89" s="3" t="s">
        <v>174</v>
      </c>
      <c r="D89" s="44" t="s">
        <v>37</v>
      </c>
      <c r="E89" s="23" t="s">
        <v>422</v>
      </c>
      <c r="F89" s="9"/>
    </row>
    <row r="90" spans="2:6" ht="28.8" x14ac:dyDescent="0.3">
      <c r="B90" s="21" t="s">
        <v>175</v>
      </c>
      <c r="C90" s="3" t="s">
        <v>176</v>
      </c>
      <c r="D90" s="44" t="s">
        <v>33</v>
      </c>
      <c r="E90" s="23" t="s">
        <v>423</v>
      </c>
      <c r="F90" s="9"/>
    </row>
    <row r="91" spans="2:6" x14ac:dyDescent="0.3">
      <c r="B91" s="21">
        <v>16</v>
      </c>
      <c r="C91" s="3"/>
      <c r="D91" s="44"/>
      <c r="E91" s="23"/>
      <c r="F91" s="2"/>
    </row>
    <row r="92" spans="2:6" x14ac:dyDescent="0.3">
      <c r="B92" s="20" t="s">
        <v>177</v>
      </c>
      <c r="C92" s="7" t="s">
        <v>178</v>
      </c>
      <c r="D92" s="19"/>
      <c r="E92" s="11"/>
      <c r="F92" s="1"/>
    </row>
    <row r="93" spans="2:6" x14ac:dyDescent="0.3">
      <c r="B93" s="21" t="s">
        <v>179</v>
      </c>
      <c r="C93" s="3" t="s">
        <v>180</v>
      </c>
      <c r="D93" s="44" t="s">
        <v>33</v>
      </c>
      <c r="E93" s="23" t="s">
        <v>424</v>
      </c>
      <c r="F93" s="9"/>
    </row>
    <row r="94" spans="2:6" ht="28.8" x14ac:dyDescent="0.3">
      <c r="B94" s="21" t="s">
        <v>181</v>
      </c>
      <c r="C94" s="3" t="s">
        <v>182</v>
      </c>
      <c r="D94" s="44" t="s">
        <v>37</v>
      </c>
      <c r="E94" s="23"/>
      <c r="F94" s="9"/>
    </row>
    <row r="95" spans="2:6" x14ac:dyDescent="0.3">
      <c r="B95" s="21" t="s">
        <v>183</v>
      </c>
      <c r="C95" s="3" t="s">
        <v>184</v>
      </c>
      <c r="D95" s="44" t="s">
        <v>37</v>
      </c>
      <c r="E95" s="23"/>
      <c r="F95" s="9"/>
    </row>
    <row r="96" spans="2:6" ht="43.2" x14ac:dyDescent="0.3">
      <c r="B96" s="21" t="s">
        <v>185</v>
      </c>
      <c r="C96" s="3" t="s">
        <v>186</v>
      </c>
      <c r="D96" s="44" t="s">
        <v>37</v>
      </c>
      <c r="E96" s="23" t="s">
        <v>425</v>
      </c>
      <c r="F96" s="9"/>
    </row>
    <row r="97" spans="2:6" x14ac:dyDescent="0.3">
      <c r="B97" s="21" t="s">
        <v>187</v>
      </c>
      <c r="C97" s="3" t="s">
        <v>188</v>
      </c>
      <c r="D97" s="44" t="s">
        <v>37</v>
      </c>
      <c r="E97" s="23"/>
      <c r="F97" s="9"/>
    </row>
    <row r="98" spans="2:6" ht="28.8" x14ac:dyDescent="0.3">
      <c r="B98" s="21" t="s">
        <v>189</v>
      </c>
      <c r="C98" s="3" t="s">
        <v>190</v>
      </c>
      <c r="D98" s="44" t="s">
        <v>37</v>
      </c>
      <c r="E98" s="23" t="s">
        <v>426</v>
      </c>
      <c r="F98" s="9"/>
    </row>
    <row r="99" spans="2:6" ht="28.8" x14ac:dyDescent="0.3">
      <c r="B99" s="21" t="s">
        <v>191</v>
      </c>
      <c r="C99" s="3" t="s">
        <v>192</v>
      </c>
      <c r="D99" s="44" t="s">
        <v>37</v>
      </c>
      <c r="E99" s="23"/>
      <c r="F99" s="9"/>
    </row>
    <row r="100" spans="2:6" ht="43.2" x14ac:dyDescent="0.3">
      <c r="B100" s="21" t="s">
        <v>193</v>
      </c>
      <c r="C100" s="3" t="s">
        <v>194</v>
      </c>
      <c r="D100" s="44" t="s">
        <v>37</v>
      </c>
      <c r="E100" s="23" t="s">
        <v>427</v>
      </c>
      <c r="F100" s="9"/>
    </row>
    <row r="101" spans="2:6" ht="28.8" x14ac:dyDescent="0.3">
      <c r="B101" s="21" t="s">
        <v>195</v>
      </c>
      <c r="C101" s="3" t="s">
        <v>196</v>
      </c>
      <c r="D101" s="44" t="s">
        <v>37</v>
      </c>
      <c r="E101" s="23"/>
      <c r="F101" s="9"/>
    </row>
    <row r="102" spans="2:6" x14ac:dyDescent="0.3">
      <c r="B102" s="21" t="s">
        <v>197</v>
      </c>
      <c r="C102" s="3" t="s">
        <v>198</v>
      </c>
      <c r="D102" s="44" t="s">
        <v>37</v>
      </c>
      <c r="E102" s="23"/>
      <c r="F102" s="9"/>
    </row>
    <row r="103" spans="2:6" x14ac:dyDescent="0.3">
      <c r="B103" s="21" t="s">
        <v>199</v>
      </c>
      <c r="C103" s="3" t="s">
        <v>200</v>
      </c>
      <c r="D103" s="44" t="s">
        <v>37</v>
      </c>
      <c r="E103" s="23"/>
      <c r="F103" s="9"/>
    </row>
    <row r="104" spans="2:6" ht="28.8" x14ac:dyDescent="0.3">
      <c r="B104" s="21" t="s">
        <v>201</v>
      </c>
      <c r="C104" s="3" t="s">
        <v>202</v>
      </c>
      <c r="D104" s="44" t="s">
        <v>37</v>
      </c>
      <c r="E104" s="23"/>
      <c r="F104" s="9"/>
    </row>
    <row r="105" spans="2:6" x14ac:dyDescent="0.3">
      <c r="B105" s="21" t="s">
        <v>203</v>
      </c>
      <c r="C105" s="3" t="s">
        <v>204</v>
      </c>
      <c r="D105" s="44" t="s">
        <v>37</v>
      </c>
      <c r="E105" s="23"/>
      <c r="F105" s="9"/>
    </row>
    <row r="106" spans="2:6" x14ac:dyDescent="0.3">
      <c r="B106" s="21">
        <v>13</v>
      </c>
      <c r="C106" s="3"/>
      <c r="D106" s="44"/>
      <c r="E106" s="23"/>
      <c r="F106" s="2"/>
    </row>
    <row r="107" spans="2:6" x14ac:dyDescent="0.3">
      <c r="B107" s="20" t="s">
        <v>205</v>
      </c>
      <c r="C107" s="7" t="s">
        <v>206</v>
      </c>
      <c r="D107" s="19"/>
      <c r="E107" s="11"/>
      <c r="F107" s="1"/>
    </row>
    <row r="108" spans="2:6" x14ac:dyDescent="0.3">
      <c r="B108" s="21" t="s">
        <v>207</v>
      </c>
      <c r="C108" s="3" t="s">
        <v>208</v>
      </c>
      <c r="D108" s="44" t="s">
        <v>37</v>
      </c>
      <c r="E108" s="23"/>
      <c r="F108" s="9"/>
    </row>
    <row r="109" spans="2:6" x14ac:dyDescent="0.3">
      <c r="B109" s="21" t="s">
        <v>209</v>
      </c>
      <c r="C109" s="3" t="s">
        <v>210</v>
      </c>
      <c r="D109" s="44" t="s">
        <v>37</v>
      </c>
      <c r="E109" s="23"/>
      <c r="F109" s="9"/>
    </row>
    <row r="110" spans="2:6" x14ac:dyDescent="0.3">
      <c r="B110" s="21" t="s">
        <v>211</v>
      </c>
      <c r="C110" s="3" t="s">
        <v>212</v>
      </c>
      <c r="D110" s="44" t="s">
        <v>37</v>
      </c>
      <c r="E110" s="23"/>
      <c r="F110" s="9"/>
    </row>
    <row r="111" spans="2:6" ht="28.8" x14ac:dyDescent="0.3">
      <c r="B111" s="21" t="s">
        <v>213</v>
      </c>
      <c r="C111" s="3" t="s">
        <v>214</v>
      </c>
      <c r="D111" s="44" t="s">
        <v>37</v>
      </c>
      <c r="E111" s="23"/>
      <c r="F111" s="9"/>
    </row>
    <row r="112" spans="2:6" x14ac:dyDescent="0.3">
      <c r="B112" s="21" t="s">
        <v>215</v>
      </c>
      <c r="C112" s="3" t="s">
        <v>216</v>
      </c>
      <c r="D112" s="44" t="s">
        <v>37</v>
      </c>
      <c r="E112" s="23" t="s">
        <v>404</v>
      </c>
      <c r="F112" s="9"/>
    </row>
    <row r="113" spans="2:6" x14ac:dyDescent="0.3">
      <c r="B113" s="21" t="s">
        <v>217</v>
      </c>
      <c r="C113" s="3" t="s">
        <v>218</v>
      </c>
      <c r="D113" s="44" t="s">
        <v>33</v>
      </c>
      <c r="E113" s="23"/>
      <c r="F113" s="9"/>
    </row>
    <row r="114" spans="2:6" ht="28.8" x14ac:dyDescent="0.3">
      <c r="B114" s="21" t="s">
        <v>219</v>
      </c>
      <c r="C114" s="3" t="s">
        <v>220</v>
      </c>
      <c r="D114" s="44" t="s">
        <v>37</v>
      </c>
      <c r="E114" s="23"/>
      <c r="F114" s="9"/>
    </row>
    <row r="115" spans="2:6" x14ac:dyDescent="0.3">
      <c r="B115" s="21" t="s">
        <v>221</v>
      </c>
      <c r="C115" s="4" t="s">
        <v>222</v>
      </c>
      <c r="D115" s="44" t="s">
        <v>37</v>
      </c>
      <c r="E115" s="23"/>
      <c r="F115" s="9"/>
    </row>
    <row r="116" spans="2:6" x14ac:dyDescent="0.3">
      <c r="B116" s="21" t="s">
        <v>223</v>
      </c>
      <c r="C116" s="4" t="s">
        <v>224</v>
      </c>
      <c r="D116" s="44" t="s">
        <v>37</v>
      </c>
      <c r="E116" s="23"/>
      <c r="F116" s="9"/>
    </row>
    <row r="117" spans="2:6" x14ac:dyDescent="0.3">
      <c r="B117" s="21" t="s">
        <v>225</v>
      </c>
      <c r="C117" s="4" t="s">
        <v>226</v>
      </c>
      <c r="D117" s="44" t="s">
        <v>37</v>
      </c>
      <c r="E117" s="23"/>
      <c r="F117" s="9"/>
    </row>
    <row r="118" spans="2:6" ht="28.8" x14ac:dyDescent="0.3">
      <c r="B118" s="21" t="s">
        <v>227</v>
      </c>
      <c r="C118" s="4" t="s">
        <v>228</v>
      </c>
      <c r="D118" s="44" t="s">
        <v>37</v>
      </c>
      <c r="E118" s="23"/>
      <c r="F118" s="9"/>
    </row>
    <row r="119" spans="2:6" ht="28.8" x14ac:dyDescent="0.3">
      <c r="B119" s="21" t="s">
        <v>229</v>
      </c>
      <c r="C119" s="4" t="s">
        <v>230</v>
      </c>
      <c r="D119" s="44" t="s">
        <v>37</v>
      </c>
      <c r="E119" s="23"/>
      <c r="F119" s="9"/>
    </row>
    <row r="120" spans="2:6" ht="28.8" x14ac:dyDescent="0.3">
      <c r="B120" s="21" t="s">
        <v>231</v>
      </c>
      <c r="C120" s="3" t="s">
        <v>232</v>
      </c>
      <c r="D120" s="44" t="s">
        <v>37</v>
      </c>
      <c r="E120" s="23" t="s">
        <v>405</v>
      </c>
      <c r="F120" s="9"/>
    </row>
    <row r="121" spans="2:6" x14ac:dyDescent="0.3">
      <c r="B121" s="21" t="s">
        <v>233</v>
      </c>
      <c r="C121" s="3" t="s">
        <v>234</v>
      </c>
      <c r="D121" s="44" t="s">
        <v>37</v>
      </c>
      <c r="E121" s="23"/>
      <c r="F121" s="9"/>
    </row>
    <row r="122" spans="2:6" x14ac:dyDescent="0.3">
      <c r="B122" s="21" t="s">
        <v>235</v>
      </c>
      <c r="C122" s="3" t="s">
        <v>236</v>
      </c>
      <c r="D122" s="44" t="s">
        <v>33</v>
      </c>
      <c r="E122" s="23"/>
      <c r="F122" s="9"/>
    </row>
    <row r="123" spans="2:6" x14ac:dyDescent="0.3">
      <c r="B123" s="21">
        <v>15</v>
      </c>
      <c r="C123" s="3"/>
      <c r="D123" s="44"/>
      <c r="E123" s="23"/>
      <c r="F123" s="2"/>
    </row>
    <row r="124" spans="2:6" x14ac:dyDescent="0.3">
      <c r="B124" s="20" t="s">
        <v>237</v>
      </c>
      <c r="C124" s="7" t="s">
        <v>238</v>
      </c>
      <c r="D124" s="19"/>
      <c r="E124" s="11"/>
      <c r="F124" s="1"/>
    </row>
    <row r="125" spans="2:6" ht="43.2" x14ac:dyDescent="0.3">
      <c r="B125" s="21" t="s">
        <v>239</v>
      </c>
      <c r="C125" s="3" t="s">
        <v>240</v>
      </c>
      <c r="D125" s="44" t="s">
        <v>37</v>
      </c>
      <c r="E125" s="23"/>
      <c r="F125" s="9"/>
    </row>
    <row r="126" spans="2:6" x14ac:dyDescent="0.3">
      <c r="B126" s="21" t="s">
        <v>241</v>
      </c>
      <c r="C126" s="4" t="s">
        <v>242</v>
      </c>
      <c r="D126" s="44" t="s">
        <v>37</v>
      </c>
      <c r="E126" s="23"/>
      <c r="F126" s="9"/>
    </row>
    <row r="127" spans="2:6" x14ac:dyDescent="0.3">
      <c r="B127" s="21" t="s">
        <v>243</v>
      </c>
      <c r="C127" s="4" t="s">
        <v>244</v>
      </c>
      <c r="D127" s="44" t="s">
        <v>37</v>
      </c>
      <c r="E127" s="23"/>
      <c r="F127" s="9"/>
    </row>
    <row r="128" spans="2:6" x14ac:dyDescent="0.3">
      <c r="B128" s="21" t="s">
        <v>245</v>
      </c>
      <c r="C128" s="4" t="s">
        <v>246</v>
      </c>
      <c r="D128" s="44" t="s">
        <v>37</v>
      </c>
      <c r="E128" s="23"/>
      <c r="F128" s="9"/>
    </row>
    <row r="129" spans="2:6" x14ac:dyDescent="0.3">
      <c r="B129" s="21">
        <v>4</v>
      </c>
      <c r="C129" s="3"/>
      <c r="D129" s="44"/>
      <c r="E129" s="23"/>
      <c r="F129" s="2"/>
    </row>
    <row r="130" spans="2:6" x14ac:dyDescent="0.3">
      <c r="B130" s="20" t="s">
        <v>247</v>
      </c>
      <c r="C130" s="7" t="s">
        <v>248</v>
      </c>
      <c r="D130" s="19"/>
      <c r="E130" s="11"/>
      <c r="F130" s="1"/>
    </row>
    <row r="131" spans="2:6" x14ac:dyDescent="0.3">
      <c r="B131" s="21" t="s">
        <v>249</v>
      </c>
      <c r="C131" s="3" t="s">
        <v>250</v>
      </c>
      <c r="D131" s="44" t="s">
        <v>37</v>
      </c>
      <c r="E131" s="23"/>
      <c r="F131" s="9"/>
    </row>
    <row r="132" spans="2:6" x14ac:dyDescent="0.3">
      <c r="B132" s="21" t="s">
        <v>251</v>
      </c>
      <c r="C132" s="3" t="s">
        <v>252</v>
      </c>
      <c r="D132" s="44" t="s">
        <v>37</v>
      </c>
      <c r="E132" s="23"/>
      <c r="F132" s="9"/>
    </row>
    <row r="133" spans="2:6" ht="28.8" x14ac:dyDescent="0.3">
      <c r="B133" s="21" t="s">
        <v>253</v>
      </c>
      <c r="C133" s="3" t="s">
        <v>254</v>
      </c>
      <c r="D133" s="44" t="s">
        <v>37</v>
      </c>
      <c r="E133" s="23"/>
      <c r="F133" s="9"/>
    </row>
    <row r="134" spans="2:6" x14ac:dyDescent="0.3">
      <c r="B134" s="21" t="s">
        <v>255</v>
      </c>
      <c r="C134" s="3" t="s">
        <v>256</v>
      </c>
      <c r="D134" s="44" t="s">
        <v>37</v>
      </c>
      <c r="E134" s="23"/>
      <c r="F134" s="9"/>
    </row>
    <row r="135" spans="2:6" x14ac:dyDescent="0.3">
      <c r="B135" s="21" t="s">
        <v>257</v>
      </c>
      <c r="C135" s="3" t="s">
        <v>258</v>
      </c>
      <c r="D135" s="44" t="s">
        <v>37</v>
      </c>
      <c r="E135" s="23" t="s">
        <v>408</v>
      </c>
      <c r="F135" s="9"/>
    </row>
    <row r="136" spans="2:6" ht="86.4" x14ac:dyDescent="0.3">
      <c r="B136" s="21" t="s">
        <v>259</v>
      </c>
      <c r="C136" s="3" t="s">
        <v>260</v>
      </c>
      <c r="D136" s="44" t="s">
        <v>33</v>
      </c>
      <c r="E136" s="23" t="s">
        <v>409</v>
      </c>
      <c r="F136" s="9"/>
    </row>
    <row r="137" spans="2:6" x14ac:dyDescent="0.3">
      <c r="B137" s="21" t="s">
        <v>261</v>
      </c>
      <c r="C137" s="3" t="s">
        <v>262</v>
      </c>
      <c r="D137" s="44" t="s">
        <v>33</v>
      </c>
      <c r="E137" s="23" t="s">
        <v>412</v>
      </c>
      <c r="F137" s="9"/>
    </row>
    <row r="138" spans="2:6" ht="28.8" x14ac:dyDescent="0.3">
      <c r="B138" s="21" t="s">
        <v>263</v>
      </c>
      <c r="C138" s="3" t="s">
        <v>264</v>
      </c>
      <c r="D138" s="44" t="s">
        <v>37</v>
      </c>
      <c r="E138" s="23" t="s">
        <v>410</v>
      </c>
      <c r="F138" s="9"/>
    </row>
    <row r="139" spans="2:6" ht="72" x14ac:dyDescent="0.3">
      <c r="B139" s="21" t="s">
        <v>265</v>
      </c>
      <c r="C139" s="3" t="s">
        <v>266</v>
      </c>
      <c r="D139" s="44" t="s">
        <v>33</v>
      </c>
      <c r="E139" s="23" t="s">
        <v>411</v>
      </c>
      <c r="F139" s="9"/>
    </row>
    <row r="140" spans="2:6" ht="57.6" x14ac:dyDescent="0.3">
      <c r="B140" s="21" t="s">
        <v>267</v>
      </c>
      <c r="C140" s="3" t="s">
        <v>268</v>
      </c>
      <c r="D140" s="44" t="s">
        <v>33</v>
      </c>
      <c r="E140" s="23" t="s">
        <v>413</v>
      </c>
      <c r="F140" s="9"/>
    </row>
    <row r="141" spans="2:6" ht="28.8" x14ac:dyDescent="0.3">
      <c r="B141" s="21" t="s">
        <v>269</v>
      </c>
      <c r="C141" s="3" t="s">
        <v>270</v>
      </c>
      <c r="D141" s="44" t="s">
        <v>37</v>
      </c>
      <c r="E141" s="23"/>
      <c r="F141" s="9"/>
    </row>
    <row r="142" spans="2:6" ht="28.8" x14ac:dyDescent="0.3">
      <c r="B142" s="21" t="s">
        <v>271</v>
      </c>
      <c r="C142" s="3" t="s">
        <v>272</v>
      </c>
      <c r="D142" s="44" t="s">
        <v>394</v>
      </c>
      <c r="E142" s="23" t="s">
        <v>406</v>
      </c>
      <c r="F142" s="9"/>
    </row>
    <row r="143" spans="2:6" x14ac:dyDescent="0.3">
      <c r="B143" s="21">
        <v>12</v>
      </c>
      <c r="C143" s="3"/>
      <c r="D143" s="44"/>
      <c r="E143" s="23"/>
      <c r="F143" s="2"/>
    </row>
    <row r="144" spans="2:6" x14ac:dyDescent="0.3">
      <c r="B144" s="20" t="s">
        <v>273</v>
      </c>
      <c r="C144" s="7" t="s">
        <v>274</v>
      </c>
      <c r="D144" s="19"/>
      <c r="E144" s="11"/>
      <c r="F144" s="1"/>
    </row>
    <row r="145" spans="2:6" ht="43.2" x14ac:dyDescent="0.3">
      <c r="B145" s="21" t="s">
        <v>275</v>
      </c>
      <c r="C145" s="3" t="s">
        <v>276</v>
      </c>
      <c r="D145" s="44" t="s">
        <v>37</v>
      </c>
      <c r="E145" s="23"/>
      <c r="F145" s="9"/>
    </row>
    <row r="146" spans="2:6" ht="43.2" x14ac:dyDescent="0.3">
      <c r="B146" s="21" t="s">
        <v>277</v>
      </c>
      <c r="C146" s="3" t="s">
        <v>278</v>
      </c>
      <c r="D146" s="44" t="s">
        <v>37</v>
      </c>
      <c r="E146" s="23"/>
      <c r="F146" s="9"/>
    </row>
    <row r="147" spans="2:6" ht="28.8" x14ac:dyDescent="0.3">
      <c r="B147" s="21" t="s">
        <v>279</v>
      </c>
      <c r="C147" s="3" t="s">
        <v>280</v>
      </c>
      <c r="D147" s="44" t="s">
        <v>37</v>
      </c>
      <c r="E147" s="23"/>
      <c r="F147" s="9"/>
    </row>
    <row r="148" spans="2:6" x14ac:dyDescent="0.3">
      <c r="B148" s="21" t="s">
        <v>281</v>
      </c>
      <c r="C148" s="3" t="s">
        <v>282</v>
      </c>
      <c r="D148" s="44" t="s">
        <v>37</v>
      </c>
      <c r="E148" s="23"/>
      <c r="F148" s="9"/>
    </row>
    <row r="149" spans="2:6" ht="28.8" x14ac:dyDescent="0.3">
      <c r="B149" s="21" t="s">
        <v>283</v>
      </c>
      <c r="C149" s="3" t="s">
        <v>284</v>
      </c>
      <c r="D149" s="44" t="s">
        <v>37</v>
      </c>
      <c r="E149" s="23"/>
      <c r="F149" s="9"/>
    </row>
    <row r="150" spans="2:6" x14ac:dyDescent="0.3">
      <c r="B150" s="21" t="s">
        <v>285</v>
      </c>
      <c r="C150" s="3" t="s">
        <v>286</v>
      </c>
      <c r="D150" s="44" t="s">
        <v>33</v>
      </c>
      <c r="E150" s="23"/>
      <c r="F150" s="9"/>
    </row>
    <row r="151" spans="2:6" x14ac:dyDescent="0.3">
      <c r="B151" s="21" t="s">
        <v>287</v>
      </c>
      <c r="C151" s="3" t="s">
        <v>288</v>
      </c>
      <c r="D151" s="44" t="s">
        <v>33</v>
      </c>
      <c r="E151" s="23"/>
      <c r="F151" s="9"/>
    </row>
    <row r="152" spans="2:6" ht="28.8" x14ac:dyDescent="0.3">
      <c r="B152" s="21" t="s">
        <v>289</v>
      </c>
      <c r="C152" s="3" t="s">
        <v>290</v>
      </c>
      <c r="D152" s="44" t="s">
        <v>37</v>
      </c>
      <c r="E152" s="23"/>
      <c r="F152" s="9"/>
    </row>
    <row r="153" spans="2:6" ht="28.8" x14ac:dyDescent="0.3">
      <c r="B153" s="21" t="s">
        <v>291</v>
      </c>
      <c r="C153" s="3" t="s">
        <v>292</v>
      </c>
      <c r="D153" s="44" t="s">
        <v>37</v>
      </c>
      <c r="E153" s="23"/>
      <c r="F153" s="9"/>
    </row>
    <row r="154" spans="2:6" ht="43.2" x14ac:dyDescent="0.3">
      <c r="B154" s="21" t="s">
        <v>293</v>
      </c>
      <c r="C154" s="3" t="s">
        <v>294</v>
      </c>
      <c r="D154" s="44" t="s">
        <v>33</v>
      </c>
      <c r="E154" s="23"/>
      <c r="F154" s="9"/>
    </row>
    <row r="155" spans="2:6" ht="28.8" x14ac:dyDescent="0.3">
      <c r="B155" s="21" t="s">
        <v>295</v>
      </c>
      <c r="C155" s="3" t="s">
        <v>296</v>
      </c>
      <c r="D155" s="44" t="s">
        <v>33</v>
      </c>
      <c r="E155" s="23"/>
      <c r="F155" s="9"/>
    </row>
    <row r="156" spans="2:6" x14ac:dyDescent="0.3">
      <c r="B156" s="21">
        <v>11</v>
      </c>
      <c r="C156" s="3"/>
      <c r="D156" s="44"/>
      <c r="E156" s="23"/>
      <c r="F156" s="2"/>
    </row>
    <row r="157" spans="2:6" x14ac:dyDescent="0.3">
      <c r="B157" s="20" t="s">
        <v>297</v>
      </c>
      <c r="C157" s="7" t="s">
        <v>298</v>
      </c>
      <c r="D157" s="19"/>
      <c r="E157" s="11"/>
      <c r="F157" s="1"/>
    </row>
    <row r="158" spans="2:6" ht="28.8" x14ac:dyDescent="0.3">
      <c r="B158" s="21" t="s">
        <v>299</v>
      </c>
      <c r="C158" s="3" t="s">
        <v>300</v>
      </c>
      <c r="D158" s="44" t="s">
        <v>33</v>
      </c>
      <c r="E158" s="23"/>
      <c r="F158" s="9"/>
    </row>
    <row r="159" spans="2:6" x14ac:dyDescent="0.3">
      <c r="B159" s="21" t="s">
        <v>301</v>
      </c>
      <c r="C159" s="4" t="s">
        <v>302</v>
      </c>
      <c r="D159" s="44" t="s">
        <v>394</v>
      </c>
      <c r="E159" s="23"/>
      <c r="F159" s="9"/>
    </row>
    <row r="160" spans="2:6" ht="28.8" x14ac:dyDescent="0.3">
      <c r="B160" s="21" t="s">
        <v>303</v>
      </c>
      <c r="C160" s="8" t="s">
        <v>304</v>
      </c>
      <c r="D160" s="44" t="s">
        <v>394</v>
      </c>
      <c r="E160" s="23"/>
      <c r="F160" s="9"/>
    </row>
    <row r="161" spans="2:6" ht="43.2" x14ac:dyDescent="0.3">
      <c r="B161" s="21" t="s">
        <v>305</v>
      </c>
      <c r="C161" s="8" t="s">
        <v>306</v>
      </c>
      <c r="D161" s="44" t="s">
        <v>37</v>
      </c>
      <c r="E161" s="23"/>
      <c r="F161" s="9"/>
    </row>
    <row r="162" spans="2:6" ht="28.8" x14ac:dyDescent="0.3">
      <c r="B162" s="21" t="s">
        <v>307</v>
      </c>
      <c r="C162" s="8" t="s">
        <v>230</v>
      </c>
      <c r="D162" s="44" t="s">
        <v>37</v>
      </c>
      <c r="E162" s="23"/>
      <c r="F162" s="9"/>
    </row>
    <row r="163" spans="2:6" ht="28.8" x14ac:dyDescent="0.3">
      <c r="B163" s="21" t="s">
        <v>308</v>
      </c>
      <c r="C163" s="3" t="s">
        <v>309</v>
      </c>
      <c r="D163" s="44" t="s">
        <v>37</v>
      </c>
      <c r="E163" s="23"/>
      <c r="F163" s="9"/>
    </row>
    <row r="164" spans="2:6" ht="28.8" x14ac:dyDescent="0.3">
      <c r="B164" s="21" t="s">
        <v>310</v>
      </c>
      <c r="C164" s="3" t="s">
        <v>311</v>
      </c>
      <c r="D164" s="44" t="s">
        <v>37</v>
      </c>
      <c r="E164" s="23"/>
      <c r="F164" s="9"/>
    </row>
    <row r="165" spans="2:6" ht="28.8" x14ac:dyDescent="0.3">
      <c r="B165" s="21" t="s">
        <v>312</v>
      </c>
      <c r="C165" s="3" t="s">
        <v>313</v>
      </c>
      <c r="D165" s="44" t="s">
        <v>37</v>
      </c>
      <c r="E165" s="23"/>
      <c r="F165" s="9"/>
    </row>
    <row r="166" spans="2:6" x14ac:dyDescent="0.3">
      <c r="B166" s="21">
        <v>8</v>
      </c>
      <c r="C166" s="3"/>
      <c r="D166" s="44"/>
      <c r="E166" s="23"/>
      <c r="F166" s="2"/>
    </row>
    <row r="167" spans="2:6" x14ac:dyDescent="0.3">
      <c r="B167" s="20" t="s">
        <v>314</v>
      </c>
      <c r="C167" s="7" t="s">
        <v>315</v>
      </c>
      <c r="D167" s="19"/>
      <c r="E167" s="11"/>
      <c r="F167" s="1"/>
    </row>
    <row r="168" spans="2:6" x14ac:dyDescent="0.3">
      <c r="B168" s="21" t="s">
        <v>316</v>
      </c>
      <c r="C168" s="3" t="s">
        <v>317</v>
      </c>
      <c r="D168" s="44" t="s">
        <v>37</v>
      </c>
      <c r="E168" s="23"/>
      <c r="F168" s="9"/>
    </row>
    <row r="169" spans="2:6" ht="28.8" x14ac:dyDescent="0.3">
      <c r="B169" s="21" t="s">
        <v>318</v>
      </c>
      <c r="C169" s="3" t="s">
        <v>319</v>
      </c>
      <c r="D169" s="44" t="s">
        <v>37</v>
      </c>
      <c r="E169" s="23"/>
      <c r="F169" s="9"/>
    </row>
    <row r="170" spans="2:6" ht="28.8" x14ac:dyDescent="0.3">
      <c r="B170" s="21" t="s">
        <v>320</v>
      </c>
      <c r="C170" s="3" t="s">
        <v>321</v>
      </c>
      <c r="D170" s="44" t="s">
        <v>37</v>
      </c>
      <c r="E170" s="23"/>
      <c r="F170" s="9"/>
    </row>
    <row r="171" spans="2:6" ht="28.8" x14ac:dyDescent="0.3">
      <c r="B171" s="21" t="s">
        <v>322</v>
      </c>
      <c r="C171" s="3" t="s">
        <v>323</v>
      </c>
      <c r="D171" s="44" t="s">
        <v>37</v>
      </c>
      <c r="E171" s="23"/>
      <c r="F171" s="9"/>
    </row>
    <row r="172" spans="2:6" x14ac:dyDescent="0.3">
      <c r="B172" s="21" t="s">
        <v>324</v>
      </c>
      <c r="C172" s="3" t="s">
        <v>325</v>
      </c>
      <c r="D172" s="44" t="s">
        <v>37</v>
      </c>
      <c r="E172" s="23"/>
      <c r="F172" s="9"/>
    </row>
    <row r="173" spans="2:6" ht="28.8" x14ac:dyDescent="0.3">
      <c r="B173" s="21" t="s">
        <v>326</v>
      </c>
      <c r="C173" s="3" t="s">
        <v>327</v>
      </c>
      <c r="D173" s="44" t="s">
        <v>37</v>
      </c>
      <c r="E173" s="23"/>
      <c r="F173" s="9"/>
    </row>
    <row r="174" spans="2:6" x14ac:dyDescent="0.3">
      <c r="B174" s="21" t="s">
        <v>328</v>
      </c>
      <c r="C174" s="3" t="s">
        <v>329</v>
      </c>
      <c r="D174" s="44" t="s">
        <v>33</v>
      </c>
      <c r="E174" s="23"/>
      <c r="F174" s="9"/>
    </row>
    <row r="175" spans="2:6" ht="28.8" x14ac:dyDescent="0.3">
      <c r="B175" s="21" t="s">
        <v>330</v>
      </c>
      <c r="C175" s="3" t="s">
        <v>331</v>
      </c>
      <c r="D175" s="44" t="s">
        <v>37</v>
      </c>
      <c r="E175" s="23"/>
      <c r="F175" s="9"/>
    </row>
    <row r="176" spans="2:6" x14ac:dyDescent="0.3">
      <c r="B176" s="21" t="s">
        <v>332</v>
      </c>
      <c r="C176" s="3" t="s">
        <v>333</v>
      </c>
      <c r="D176" s="44" t="s">
        <v>33</v>
      </c>
      <c r="E176" s="23"/>
      <c r="F176" s="9"/>
    </row>
    <row r="177" spans="2:6" x14ac:dyDescent="0.3">
      <c r="B177" s="21">
        <v>8</v>
      </c>
      <c r="C177" s="3"/>
      <c r="D177" s="44"/>
      <c r="E177" s="23"/>
      <c r="F177" s="2"/>
    </row>
    <row r="178" spans="2:6" x14ac:dyDescent="0.3">
      <c r="B178" s="20" t="s">
        <v>334</v>
      </c>
      <c r="C178" s="7" t="s">
        <v>335</v>
      </c>
      <c r="D178" s="19"/>
      <c r="E178" s="11"/>
      <c r="F178" s="1"/>
    </row>
    <row r="179" spans="2:6" ht="57.6" x14ac:dyDescent="0.3">
      <c r="B179" s="21" t="s">
        <v>336</v>
      </c>
      <c r="C179" s="24" t="s">
        <v>337</v>
      </c>
      <c r="D179" s="44" t="s">
        <v>33</v>
      </c>
      <c r="E179" s="23" t="s">
        <v>415</v>
      </c>
      <c r="F179" s="9"/>
    </row>
    <row r="180" spans="2:6" ht="43.2" x14ac:dyDescent="0.3">
      <c r="B180" s="21" t="s">
        <v>338</v>
      </c>
      <c r="C180" s="3" t="s">
        <v>339</v>
      </c>
      <c r="D180" s="44" t="s">
        <v>394</v>
      </c>
      <c r="E180" s="23"/>
      <c r="F180" s="9"/>
    </row>
    <row r="181" spans="2:6" ht="28.8" x14ac:dyDescent="0.3">
      <c r="B181" s="21" t="s">
        <v>340</v>
      </c>
      <c r="C181" s="3" t="s">
        <v>341</v>
      </c>
      <c r="D181" s="44" t="s">
        <v>37</v>
      </c>
      <c r="E181" s="23"/>
      <c r="F181" s="9"/>
    </row>
    <row r="182" spans="2:6" ht="28.8" x14ac:dyDescent="0.3">
      <c r="B182" s="21" t="s">
        <v>342</v>
      </c>
      <c r="C182" s="3" t="s">
        <v>343</v>
      </c>
      <c r="D182" s="44" t="s">
        <v>33</v>
      </c>
      <c r="E182" s="23"/>
      <c r="F182" s="9"/>
    </row>
    <row r="183" spans="2:6" ht="28.8" x14ac:dyDescent="0.3">
      <c r="B183" s="21" t="s">
        <v>344</v>
      </c>
      <c r="C183" s="3" t="s">
        <v>345</v>
      </c>
      <c r="D183" s="44" t="s">
        <v>33</v>
      </c>
      <c r="E183" s="23"/>
      <c r="F183" s="9"/>
    </row>
    <row r="184" spans="2:6" ht="43.2" x14ac:dyDescent="0.3">
      <c r="B184" s="21" t="s">
        <v>346</v>
      </c>
      <c r="C184" s="3" t="s">
        <v>347</v>
      </c>
      <c r="D184" s="44" t="s">
        <v>394</v>
      </c>
      <c r="E184" s="23" t="s">
        <v>414</v>
      </c>
      <c r="F184" s="9"/>
    </row>
    <row r="185" spans="2:6" ht="28.8" x14ac:dyDescent="0.3">
      <c r="B185" s="21" t="s">
        <v>348</v>
      </c>
      <c r="C185" s="3" t="s">
        <v>349</v>
      </c>
      <c r="D185" s="44" t="s">
        <v>37</v>
      </c>
      <c r="E185" s="23"/>
      <c r="F185" s="9"/>
    </row>
    <row r="186" spans="2:6" ht="43.2" x14ac:dyDescent="0.3">
      <c r="B186" s="21" t="s">
        <v>350</v>
      </c>
      <c r="C186" s="3" t="s">
        <v>351</v>
      </c>
      <c r="D186" s="44" t="s">
        <v>394</v>
      </c>
      <c r="E186" s="23"/>
      <c r="F186" s="9"/>
    </row>
    <row r="187" spans="2:6" x14ac:dyDescent="0.3">
      <c r="B187" s="21">
        <v>8</v>
      </c>
      <c r="C187" s="3"/>
      <c r="D187" s="44"/>
      <c r="E187" s="23"/>
      <c r="F187" s="2"/>
    </row>
    <row r="188" spans="2:6" x14ac:dyDescent="0.3">
      <c r="B188" s="20" t="s">
        <v>352</v>
      </c>
      <c r="C188" s="7" t="s">
        <v>353</v>
      </c>
      <c r="D188" s="19"/>
      <c r="E188" s="11"/>
      <c r="F188" s="1"/>
    </row>
    <row r="189" spans="2:6" ht="28.8" x14ac:dyDescent="0.3">
      <c r="B189" s="21" t="s">
        <v>354</v>
      </c>
      <c r="C189" s="3" t="s">
        <v>355</v>
      </c>
      <c r="D189" s="44" t="s">
        <v>37</v>
      </c>
      <c r="E189" s="23"/>
      <c r="F189" s="9"/>
    </row>
    <row r="190" spans="2:6" ht="43.2" x14ac:dyDescent="0.3">
      <c r="B190" s="21" t="s">
        <v>356</v>
      </c>
      <c r="C190" s="3" t="s">
        <v>357</v>
      </c>
      <c r="D190" s="44" t="s">
        <v>37</v>
      </c>
      <c r="E190" s="23"/>
      <c r="F190" s="9"/>
    </row>
    <row r="191" spans="2:6" ht="28.8" x14ac:dyDescent="0.3">
      <c r="B191" s="21" t="s">
        <v>358</v>
      </c>
      <c r="C191" s="3" t="s">
        <v>359</v>
      </c>
      <c r="D191" s="44" t="s">
        <v>394</v>
      </c>
      <c r="E191" s="23" t="s">
        <v>416</v>
      </c>
      <c r="F191" s="9"/>
    </row>
    <row r="192" spans="2:6" ht="43.2" x14ac:dyDescent="0.3">
      <c r="B192" s="21" t="s">
        <v>360</v>
      </c>
      <c r="C192" s="3" t="s">
        <v>361</v>
      </c>
      <c r="D192" s="44" t="s">
        <v>37</v>
      </c>
      <c r="E192" s="23" t="s">
        <v>417</v>
      </c>
      <c r="F192" s="9"/>
    </row>
    <row r="193" spans="2:6" x14ac:dyDescent="0.3">
      <c r="B193" s="21" t="s">
        <v>362</v>
      </c>
      <c r="C193" s="3" t="s">
        <v>363</v>
      </c>
      <c r="D193" s="44" t="s">
        <v>37</v>
      </c>
      <c r="E193" s="23"/>
      <c r="F193" s="9"/>
    </row>
    <row r="194" spans="2:6" ht="28.8" x14ac:dyDescent="0.3">
      <c r="B194" s="21" t="s">
        <v>364</v>
      </c>
      <c r="C194" s="3" t="s">
        <v>365</v>
      </c>
      <c r="D194" s="44" t="s">
        <v>37</v>
      </c>
      <c r="E194" s="23"/>
      <c r="F194" s="9"/>
    </row>
    <row r="195" spans="2:6" ht="28.8" x14ac:dyDescent="0.3">
      <c r="B195" s="21" t="s">
        <v>366</v>
      </c>
      <c r="C195" s="3" t="s">
        <v>367</v>
      </c>
      <c r="D195" s="44" t="s">
        <v>37</v>
      </c>
      <c r="E195" s="23"/>
      <c r="F195" s="9"/>
    </row>
    <row r="196" spans="2:6" x14ac:dyDescent="0.3">
      <c r="B196" s="21" t="s">
        <v>368</v>
      </c>
      <c r="C196" s="3" t="s">
        <v>369</v>
      </c>
      <c r="D196" s="44" t="s">
        <v>33</v>
      </c>
      <c r="E196" s="23"/>
      <c r="F196" s="9"/>
    </row>
    <row r="197" spans="2:6" x14ac:dyDescent="0.3">
      <c r="B197" s="21">
        <v>8</v>
      </c>
      <c r="C197" s="3"/>
      <c r="D197" s="44"/>
      <c r="E197" s="23"/>
      <c r="F197" s="2"/>
    </row>
    <row r="198" spans="2:6" x14ac:dyDescent="0.3">
      <c r="B198" s="20" t="s">
        <v>370</v>
      </c>
      <c r="C198" s="7" t="s">
        <v>371</v>
      </c>
      <c r="D198" s="19"/>
      <c r="E198" s="11"/>
      <c r="F198" s="1"/>
    </row>
    <row r="199" spans="2:6" x14ac:dyDescent="0.3">
      <c r="B199" s="21" t="s">
        <v>372</v>
      </c>
      <c r="C199" s="3" t="s">
        <v>373</v>
      </c>
      <c r="D199" s="44" t="s">
        <v>37</v>
      </c>
      <c r="E199" s="23"/>
      <c r="F199" s="9"/>
    </row>
    <row r="200" spans="2:6" x14ac:dyDescent="0.3">
      <c r="B200" s="21" t="s">
        <v>374</v>
      </c>
      <c r="C200" s="3" t="s">
        <v>375</v>
      </c>
      <c r="D200" s="44" t="s">
        <v>37</v>
      </c>
      <c r="E200" s="23"/>
      <c r="F200" s="9"/>
    </row>
    <row r="201" spans="2:6" x14ac:dyDescent="0.3">
      <c r="B201" s="21" t="s">
        <v>376</v>
      </c>
      <c r="C201" s="3" t="s">
        <v>377</v>
      </c>
      <c r="D201" s="44" t="s">
        <v>394</v>
      </c>
      <c r="E201" s="23"/>
      <c r="F201" s="9"/>
    </row>
    <row r="202" spans="2:6" x14ac:dyDescent="0.3">
      <c r="B202" s="21" t="s">
        <v>378</v>
      </c>
      <c r="C202" s="3" t="s">
        <v>379</v>
      </c>
      <c r="D202" s="44" t="s">
        <v>37</v>
      </c>
      <c r="E202" s="23" t="s">
        <v>407</v>
      </c>
      <c r="F202" s="9"/>
    </row>
    <row r="203" spans="2:6" x14ac:dyDescent="0.3">
      <c r="B203" s="21">
        <v>4</v>
      </c>
      <c r="C203" s="3"/>
      <c r="D203" s="44"/>
      <c r="E203" s="23"/>
      <c r="F203" s="2"/>
    </row>
    <row r="204" spans="2:6" x14ac:dyDescent="0.3">
      <c r="B204" s="20" t="s">
        <v>380</v>
      </c>
      <c r="C204" s="7" t="s">
        <v>381</v>
      </c>
      <c r="D204" s="19"/>
      <c r="E204" s="11"/>
      <c r="F204" s="1"/>
    </row>
    <row r="205" spans="2:6" ht="28.8" x14ac:dyDescent="0.3">
      <c r="B205" s="21" t="s">
        <v>382</v>
      </c>
      <c r="C205" s="3" t="s">
        <v>383</v>
      </c>
      <c r="D205" s="44" t="s">
        <v>37</v>
      </c>
      <c r="E205" s="23"/>
      <c r="F205" s="9"/>
    </row>
    <row r="206" spans="2:6" ht="28.8" x14ac:dyDescent="0.3">
      <c r="B206" s="21" t="s">
        <v>384</v>
      </c>
      <c r="C206" s="3" t="s">
        <v>385</v>
      </c>
      <c r="D206" s="44" t="s">
        <v>37</v>
      </c>
      <c r="E206" s="23"/>
      <c r="F206" s="9"/>
    </row>
    <row r="207" spans="2:6" ht="28.8" x14ac:dyDescent="0.3">
      <c r="B207" s="21" t="s">
        <v>386</v>
      </c>
      <c r="C207" s="3" t="s">
        <v>387</v>
      </c>
      <c r="D207" s="44" t="s">
        <v>37</v>
      </c>
      <c r="E207" s="23"/>
      <c r="F207" s="9"/>
    </row>
    <row r="208" spans="2:6" ht="28.8" x14ac:dyDescent="0.3">
      <c r="B208" s="21" t="s">
        <v>388</v>
      </c>
      <c r="C208" s="3" t="s">
        <v>389</v>
      </c>
      <c r="D208" s="44" t="s">
        <v>37</v>
      </c>
      <c r="E208" s="23"/>
      <c r="F208" s="9"/>
    </row>
    <row r="209" spans="2:6" x14ac:dyDescent="0.3">
      <c r="B209" s="21">
        <v>4</v>
      </c>
      <c r="C209" s="2"/>
      <c r="D209" s="44"/>
      <c r="E209" s="2"/>
      <c r="F209" s="2"/>
    </row>
    <row r="210" spans="2:6" x14ac:dyDescent="0.3">
      <c r="C210" s="12"/>
    </row>
    <row r="211" spans="2:6" x14ac:dyDescent="0.3">
      <c r="C211" s="12"/>
    </row>
    <row r="212" spans="2:6" x14ac:dyDescent="0.3">
      <c r="C212" s="12"/>
    </row>
    <row r="213" spans="2:6" x14ac:dyDescent="0.3">
      <c r="B213" s="15" t="s">
        <v>390</v>
      </c>
    </row>
    <row r="214" spans="2:6" x14ac:dyDescent="0.3">
      <c r="B214" s="15">
        <f>SUM(B33,B37,B40,B57,B68,B73,B91,B106,B123,B129,B143,B156,B166,B177,B187,B197,B203,B209)</f>
        <v>160</v>
      </c>
    </row>
    <row r="227" spans="7:9" x14ac:dyDescent="0.3">
      <c r="G227" s="13"/>
      <c r="H227" s="13"/>
      <c r="I227" s="14"/>
    </row>
    <row r="228" spans="7:9" x14ac:dyDescent="0.3">
      <c r="G228" s="13"/>
      <c r="H228" s="13"/>
      <c r="I228" s="14"/>
    </row>
    <row r="499" spans="1:3" hidden="1" x14ac:dyDescent="0.3"/>
    <row r="500" spans="1:3" hidden="1" x14ac:dyDescent="0.3">
      <c r="A500" t="s">
        <v>391</v>
      </c>
      <c r="B500" s="47">
        <f>COUNTIF(D14:D208, "choose")</f>
        <v>0</v>
      </c>
      <c r="C500" s="48">
        <f>B500/B504</f>
        <v>0</v>
      </c>
    </row>
    <row r="501" spans="1:3" hidden="1" x14ac:dyDescent="0.3">
      <c r="A501" s="49" t="s">
        <v>392</v>
      </c>
      <c r="B501" s="52">
        <f>COUNTIF(D14:D208, "Yes")</f>
        <v>109</v>
      </c>
      <c r="C501" s="48">
        <f>B501/B504</f>
        <v>0.67701863354037262</v>
      </c>
    </row>
    <row r="502" spans="1:3" hidden="1" x14ac:dyDescent="0.3">
      <c r="A502" s="51" t="s">
        <v>393</v>
      </c>
      <c r="B502" s="53">
        <f>COUNTIF(D14:D208, "No")</f>
        <v>40</v>
      </c>
      <c r="C502" s="55">
        <f>B502/B504</f>
        <v>0.2484472049689441</v>
      </c>
    </row>
    <row r="503" spans="1:3" hidden="1" x14ac:dyDescent="0.3">
      <c r="A503" s="50" t="s">
        <v>394</v>
      </c>
      <c r="B503" s="54">
        <f>COUNTIF(D14:D208, "n/a")</f>
        <v>12</v>
      </c>
      <c r="C503" s="56">
        <f>B503/B504</f>
        <v>7.4534161490683232E-2</v>
      </c>
    </row>
    <row r="504" spans="1:3" hidden="1" x14ac:dyDescent="0.3">
      <c r="B504" s="47">
        <f>SUM(B500:B503)</f>
        <v>161</v>
      </c>
      <c r="C504" s="48"/>
    </row>
  </sheetData>
  <mergeCells count="1">
    <mergeCell ref="B1:F1"/>
  </mergeCells>
  <dataValidations xWindow="972" yWindow="473" count="2">
    <dataValidation type="list" allowBlank="1" showInputMessage="1" showErrorMessage="1" promptTitle="Response" prompt="Answer Yes, No, N/A:_x000a_If N/A please explain N/A in Additional Information column." sqref="D209:D212 D37:D38 D40:D41 D57:D58 D68:D69 D73:D74 D91:D92 D106:D107 D123:D124 D129:D130 D143:D144 D156:D157 D166:D167 D177:D178 D187:D188 D197:D198 D203:D204 D33:D34" xr:uid="{B9902CD4-C047-4EBD-A033-B88BC2BD2016}">
      <formula1>"YES, NO, N/A"</formula1>
    </dataValidation>
    <dataValidation type="list" allowBlank="1" showInputMessage="1" showErrorMessage="1" promptTitle="Response" prompt="Answer Yes, No, N/A:_x000a_If N/A please explain N/A in Additional Information column." sqref="D39 D35:D36 D14:D32 D59:D67 D42:D56 D70:D72 D75:D90 D108:D122 D131:D142 D125:D128 D199:D202 D145:D155 D189:D196 D168:D176 D158:D165 D205:D208 D179:D186 D93:D105" xr:uid="{5DD5C68A-4588-7646-86B0-7BE98258E082}">
      <formula1>"CHOOSE, YES, NO, N/A"</formula1>
    </dataValidation>
  </dataValidations>
  <hyperlinks>
    <hyperlink ref="C6" r:id="rId1" xr:uid="{9D191B22-D630-4D80-B7CD-1FE73DEF8FBD}"/>
    <hyperlink ref="C9" r:id="rId2" xr:uid="{2A689BA0-4FB4-432D-82C4-5DE70E400E22}"/>
  </hyperlinks>
  <pageMargins left="0.7" right="0.7" top="0.75" bottom="0.75" header="0.3" footer="0.3"/>
  <pageSetup scale="33" fitToHeight="8"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AD0C3B-4FA5-4722-A1E3-8029262C513D}">
  <ds:schemaRefs>
    <ds:schemaRef ds:uri="http://schemas.microsoft.com/office/2006/metadata/properties"/>
    <ds:schemaRef ds:uri="http://schemas.microsoft.com/office/infopath/2007/PartnerControls"/>
    <ds:schemaRef ds:uri="http://schemas.microsoft.com/sharepoint/v3/fields"/>
  </ds:schemaRefs>
</ds:datastoreItem>
</file>

<file path=customXml/itemProps2.xml><?xml version="1.0" encoding="utf-8"?>
<ds:datastoreItem xmlns:ds="http://schemas.openxmlformats.org/officeDocument/2006/customXml" ds:itemID="{8FCF0BD0-4232-4C4C-A3FA-AD6ECB01B72F}"/>
</file>

<file path=customXml/itemProps3.xml><?xml version="1.0" encoding="utf-8"?>
<ds:datastoreItem xmlns:ds="http://schemas.openxmlformats.org/officeDocument/2006/customXml" ds:itemID="{3548F39D-BEC9-4661-AC39-AA056642A3A3}">
  <ds:schemaRefs>
    <ds:schemaRef ds:uri="http://schemas.microsoft.com/sharepoint/v3/contenttype/forms"/>
  </ds:schemaRefs>
</ds:datastoreItem>
</file>

<file path=docMetadata/LabelInfo.xml><?xml version="1.0" encoding="utf-8"?>
<clbl:labelList xmlns:clbl="http://schemas.microsoft.com/office/2020/mipLabelMetadata">
  <clbl:label id="{13eb46aa-9408-4702-8526-35b1cdabf6c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 OHS SIG DRAFT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Nuccio</dc:creator>
  <cp:keywords/>
  <dc:description/>
  <cp:lastModifiedBy>Bruno Bendavid</cp:lastModifiedBy>
  <cp:revision/>
  <dcterms:created xsi:type="dcterms:W3CDTF">2022-03-03T13:47:27Z</dcterms:created>
  <dcterms:modified xsi:type="dcterms:W3CDTF">2023-12-13T16:34:57Z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