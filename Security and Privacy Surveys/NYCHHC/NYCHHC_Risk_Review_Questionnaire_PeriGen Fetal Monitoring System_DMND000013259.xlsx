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19"/>
  <workbookPr updateLinks="always"/>
  <mc:AlternateContent xmlns:mc="http://schemas.openxmlformats.org/markup-compatibility/2006">
    <mc:Choice Requires="x15">
      <x15ac:absPath xmlns:x15ac="http://schemas.microsoft.com/office/spreadsheetml/2010/11/ac" url="https://halmaholdingsinc.sharepoint.com/sites/PRG-PeriGenCorporatePortal/RFPs/Security and Privacy Surveys/NYCHHC/"/>
    </mc:Choice>
  </mc:AlternateContent>
  <xr:revisionPtr revIDLastSave="253" documentId="8_{4030A448-1A11-4A56-A7B6-0494BEC9CD81}" xr6:coauthVersionLast="47" xr6:coauthVersionMax="47" xr10:uidLastSave="{23D76F42-FB58-472C-A983-E7BD9D24525C}"/>
  <workbookProtection workbookAlgorithmName="SHA-512" workbookHashValue="zbMcgDNfVjortL9WRtsYzv3Kz6LD21p/dN9bUXuNHGvrXSPT2nTEGgejq/Jk187WdNU4BrISt2K2+FIuKaJxKg==" workbookSaltValue="ch66Y2wCVz3ZEHZ7ggNTEA==" workbookSpinCount="100000" lockStructure="1"/>
  <bookViews>
    <workbookView xWindow="-108" yWindow="-108" windowWidth="30936" windowHeight="16776" firstSheet="1" activeTab="1" xr2:uid="{00000000-000D-0000-FFFF-FFFF00000000}"/>
  </bookViews>
  <sheets>
    <sheet name="Instructions" sheetId="13" r:id="rId1"/>
    <sheet name="ApplicationQuestionnaire" sheetId="1" r:id="rId2"/>
    <sheet name="Risk Matrix" sheetId="16" r:id="rId3"/>
    <sheet name="ApprovalRequirements" sheetId="15" r:id="rId4"/>
    <sheet name="Labels" sheetId="14" state="hidden" r:id="rId5"/>
  </sheets>
  <definedNames>
    <definedName name="RequestedBy">Labels!$A$8:$A$9</definedName>
    <definedName name="ReviewType">Labels!$A$1:$A$3</definedName>
    <definedName name="Risk">Labels!$A$11:$A$14</definedName>
    <definedName name="YesNo">Labels!$A$5:$A$6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5" l="1"/>
  <c r="G6" i="15"/>
  <c r="G4" i="15"/>
  <c r="G8" i="15"/>
  <c r="G7" i="15"/>
  <c r="E8" i="15"/>
  <c r="E7" i="15"/>
  <c r="E6" i="15"/>
  <c r="E4" i="15"/>
  <c r="E5" i="15"/>
  <c r="E3" i="15"/>
  <c r="C6" i="15"/>
  <c r="C3" i="15"/>
  <c r="D13" i="16" l="1"/>
  <c r="C13" i="16"/>
  <c r="D4" i="16"/>
  <c r="C4" i="16"/>
  <c r="N213" i="1"/>
  <c r="O213" i="1"/>
  <c r="N206" i="1"/>
  <c r="O206" i="1"/>
  <c r="N207" i="1"/>
  <c r="O207" i="1"/>
  <c r="N208" i="1"/>
  <c r="O208" i="1"/>
  <c r="N209" i="1"/>
  <c r="O209" i="1"/>
  <c r="N210" i="1"/>
  <c r="O210" i="1"/>
  <c r="N211" i="1"/>
  <c r="O211" i="1"/>
  <c r="N212" i="1"/>
  <c r="O212" i="1"/>
  <c r="O205" i="1"/>
  <c r="N205" i="1"/>
  <c r="O202" i="1"/>
  <c r="N202" i="1"/>
  <c r="O199" i="1"/>
  <c r="N199" i="1"/>
  <c r="N195" i="1"/>
  <c r="O195" i="1"/>
  <c r="N196" i="1"/>
  <c r="O196" i="1"/>
  <c r="O194" i="1"/>
  <c r="N194" i="1"/>
  <c r="N183" i="1"/>
  <c r="O183" i="1"/>
  <c r="N184" i="1"/>
  <c r="O184" i="1"/>
  <c r="N185" i="1"/>
  <c r="O185" i="1"/>
  <c r="N186" i="1"/>
  <c r="O186" i="1"/>
  <c r="N187" i="1"/>
  <c r="O187" i="1"/>
  <c r="N188" i="1"/>
  <c r="O188" i="1"/>
  <c r="N189" i="1"/>
  <c r="O189" i="1"/>
  <c r="N190" i="1"/>
  <c r="O190" i="1"/>
  <c r="N191" i="1"/>
  <c r="O191" i="1"/>
  <c r="O182" i="1"/>
  <c r="N182" i="1"/>
  <c r="M182" i="1" s="1"/>
  <c r="L182" i="1" s="1"/>
  <c r="N174" i="1"/>
  <c r="O174" i="1"/>
  <c r="N175" i="1"/>
  <c r="O175" i="1"/>
  <c r="N176" i="1"/>
  <c r="O176" i="1"/>
  <c r="N177" i="1"/>
  <c r="O177" i="1"/>
  <c r="N178" i="1"/>
  <c r="O178" i="1"/>
  <c r="N179" i="1"/>
  <c r="O179" i="1"/>
  <c r="O173" i="1"/>
  <c r="N173" i="1"/>
  <c r="N166" i="1"/>
  <c r="O166" i="1"/>
  <c r="M166" i="1" s="1"/>
  <c r="L166" i="1" s="1"/>
  <c r="N167" i="1"/>
  <c r="O167" i="1"/>
  <c r="N168" i="1"/>
  <c r="O168" i="1"/>
  <c r="N169" i="1"/>
  <c r="O169" i="1"/>
  <c r="O165" i="1"/>
  <c r="N165" i="1"/>
  <c r="N153" i="1"/>
  <c r="O153" i="1"/>
  <c r="N154" i="1"/>
  <c r="O154" i="1"/>
  <c r="N155" i="1"/>
  <c r="O155" i="1"/>
  <c r="N156" i="1"/>
  <c r="O156" i="1"/>
  <c r="N157" i="1"/>
  <c r="O157" i="1"/>
  <c r="N158" i="1"/>
  <c r="O158" i="1"/>
  <c r="N159" i="1"/>
  <c r="O159" i="1"/>
  <c r="N160" i="1"/>
  <c r="O160" i="1"/>
  <c r="N161" i="1"/>
  <c r="O161" i="1"/>
  <c r="N162" i="1"/>
  <c r="O162" i="1"/>
  <c r="O152" i="1"/>
  <c r="N152" i="1"/>
  <c r="N133" i="1"/>
  <c r="O133" i="1"/>
  <c r="N134" i="1"/>
  <c r="O134" i="1"/>
  <c r="N135" i="1"/>
  <c r="O135" i="1"/>
  <c r="N136" i="1"/>
  <c r="O136" i="1"/>
  <c r="N137" i="1"/>
  <c r="O137" i="1"/>
  <c r="N138" i="1"/>
  <c r="O138" i="1"/>
  <c r="N139" i="1"/>
  <c r="O139" i="1"/>
  <c r="N140" i="1"/>
  <c r="O140" i="1"/>
  <c r="N141" i="1"/>
  <c r="O141" i="1"/>
  <c r="N142" i="1"/>
  <c r="O142" i="1"/>
  <c r="N143" i="1"/>
  <c r="O143" i="1"/>
  <c r="N144" i="1"/>
  <c r="O144" i="1"/>
  <c r="N145" i="1"/>
  <c r="O145" i="1"/>
  <c r="N146" i="1"/>
  <c r="O146" i="1"/>
  <c r="N147" i="1"/>
  <c r="O147" i="1"/>
  <c r="N148" i="1"/>
  <c r="O148" i="1"/>
  <c r="N149" i="1"/>
  <c r="O149" i="1"/>
  <c r="O132" i="1"/>
  <c r="N132" i="1"/>
  <c r="N109" i="1"/>
  <c r="O109" i="1"/>
  <c r="N110" i="1"/>
  <c r="O110" i="1"/>
  <c r="N111" i="1"/>
  <c r="O111" i="1"/>
  <c r="N112" i="1"/>
  <c r="O112" i="1"/>
  <c r="N113" i="1"/>
  <c r="O113" i="1"/>
  <c r="N114" i="1"/>
  <c r="O114" i="1"/>
  <c r="N115" i="1"/>
  <c r="O115" i="1"/>
  <c r="N116" i="1"/>
  <c r="O116" i="1"/>
  <c r="N117" i="1"/>
  <c r="O117" i="1"/>
  <c r="N118" i="1"/>
  <c r="O118" i="1"/>
  <c r="N119" i="1"/>
  <c r="O119" i="1"/>
  <c r="N120" i="1"/>
  <c r="O120" i="1"/>
  <c r="N121" i="1"/>
  <c r="O121" i="1"/>
  <c r="N122" i="1"/>
  <c r="O122" i="1"/>
  <c r="N123" i="1"/>
  <c r="O123" i="1"/>
  <c r="O108" i="1"/>
  <c r="N108" i="1"/>
  <c r="N102" i="1"/>
  <c r="O102" i="1"/>
  <c r="N103" i="1"/>
  <c r="O103" i="1"/>
  <c r="N104" i="1"/>
  <c r="O104" i="1"/>
  <c r="N105" i="1"/>
  <c r="O105" i="1"/>
  <c r="O101" i="1"/>
  <c r="N101" i="1"/>
  <c r="N97" i="1"/>
  <c r="O97" i="1"/>
  <c r="N98" i="1"/>
  <c r="O98" i="1"/>
  <c r="O96" i="1"/>
  <c r="N96" i="1"/>
  <c r="N91" i="1"/>
  <c r="O91" i="1"/>
  <c r="N92" i="1"/>
  <c r="O92" i="1"/>
  <c r="O90" i="1"/>
  <c r="N90" i="1"/>
  <c r="N73" i="1"/>
  <c r="O73" i="1"/>
  <c r="N74" i="1"/>
  <c r="O74" i="1"/>
  <c r="N75" i="1"/>
  <c r="O75" i="1"/>
  <c r="N76" i="1"/>
  <c r="O76" i="1"/>
  <c r="N77" i="1"/>
  <c r="O77" i="1"/>
  <c r="N78" i="1"/>
  <c r="O78" i="1"/>
  <c r="N79" i="1"/>
  <c r="O79" i="1"/>
  <c r="N80" i="1"/>
  <c r="O80" i="1"/>
  <c r="N81" i="1"/>
  <c r="O81" i="1"/>
  <c r="N82" i="1"/>
  <c r="O82" i="1"/>
  <c r="N83" i="1"/>
  <c r="O83" i="1"/>
  <c r="N84" i="1"/>
  <c r="O84" i="1"/>
  <c r="N85" i="1"/>
  <c r="O85" i="1"/>
  <c r="N86" i="1"/>
  <c r="O86" i="1"/>
  <c r="N87" i="1"/>
  <c r="O87" i="1"/>
  <c r="O72" i="1"/>
  <c r="N72" i="1"/>
  <c r="N68" i="1"/>
  <c r="O68" i="1"/>
  <c r="N69" i="1"/>
  <c r="O69" i="1"/>
  <c r="O67" i="1"/>
  <c r="N67" i="1"/>
  <c r="N64" i="1"/>
  <c r="O64" i="1"/>
  <c r="N58" i="1"/>
  <c r="O58" i="1"/>
  <c r="N59" i="1"/>
  <c r="O59" i="1"/>
  <c r="N60" i="1"/>
  <c r="O60" i="1"/>
  <c r="N61" i="1"/>
  <c r="O61" i="1"/>
  <c r="N62" i="1"/>
  <c r="O62" i="1"/>
  <c r="N63" i="1"/>
  <c r="O63" i="1"/>
  <c r="O57" i="1"/>
  <c r="N57" i="1"/>
  <c r="N53" i="1"/>
  <c r="O53" i="1"/>
  <c r="N54" i="1"/>
  <c r="O54" i="1"/>
  <c r="O42" i="1"/>
  <c r="N42" i="1"/>
  <c r="O43" i="1"/>
  <c r="O52" i="1"/>
  <c r="N52" i="1"/>
  <c r="N44" i="1"/>
  <c r="O44" i="1"/>
  <c r="N45" i="1"/>
  <c r="O45" i="1"/>
  <c r="N46" i="1"/>
  <c r="O46" i="1"/>
  <c r="N47" i="1"/>
  <c r="O47" i="1"/>
  <c r="N48" i="1"/>
  <c r="O48" i="1"/>
  <c r="N49" i="1"/>
  <c r="O49" i="1"/>
  <c r="N43" i="1"/>
  <c r="C16" i="16"/>
  <c r="D16" i="16"/>
  <c r="C15" i="16"/>
  <c r="D15" i="16"/>
  <c r="C14" i="16"/>
  <c r="D14" i="16"/>
  <c r="C12" i="16"/>
  <c r="D12" i="16"/>
  <c r="C11" i="16"/>
  <c r="D11" i="16"/>
  <c r="C10" i="16"/>
  <c r="D10" i="16"/>
  <c r="C9" i="16"/>
  <c r="D9" i="16"/>
  <c r="C8" i="16"/>
  <c r="D8" i="16"/>
  <c r="C7" i="16"/>
  <c r="D7" i="16"/>
  <c r="C6" i="16"/>
  <c r="D6" i="16"/>
  <c r="C5" i="16"/>
  <c r="D5" i="16"/>
  <c r="C3" i="16"/>
  <c r="D3" i="16"/>
  <c r="B2" i="16"/>
  <c r="C2" i="16"/>
  <c r="D2" i="16"/>
  <c r="B6" i="16"/>
  <c r="B16" i="16"/>
  <c r="B15" i="16"/>
  <c r="B14" i="16"/>
  <c r="B13" i="16"/>
  <c r="B12" i="16"/>
  <c r="B11" i="16"/>
  <c r="B10" i="16"/>
  <c r="B9" i="16"/>
  <c r="B8" i="16"/>
  <c r="B7" i="16"/>
  <c r="B5" i="16"/>
  <c r="B4" i="16"/>
  <c r="B3" i="16"/>
  <c r="M179" i="1" l="1"/>
  <c r="L179" i="1" s="1"/>
  <c r="M205" i="1"/>
  <c r="L205" i="1" s="1"/>
  <c r="M199" i="1"/>
  <c r="M175" i="1"/>
  <c r="L175" i="1" s="1"/>
  <c r="M167" i="1"/>
  <c r="L167" i="1" s="1"/>
  <c r="M186" i="1"/>
  <c r="L186" i="1" s="1"/>
  <c r="M190" i="1"/>
  <c r="L190" i="1" s="1"/>
  <c r="M57" i="1"/>
  <c r="L57" i="1" s="1"/>
  <c r="M169" i="1"/>
  <c r="L169" i="1" s="1"/>
  <c r="M165" i="1"/>
  <c r="L165" i="1" s="1"/>
  <c r="M210" i="1"/>
  <c r="L210" i="1" s="1"/>
  <c r="M44" i="1"/>
  <c r="L44" i="1" s="1"/>
  <c r="M48" i="1"/>
  <c r="L48" i="1" s="1"/>
  <c r="M206" i="1"/>
  <c r="L206" i="1" s="1"/>
  <c r="M108" i="1"/>
  <c r="L108" i="1" s="1"/>
  <c r="M147" i="1"/>
  <c r="L147" i="1" s="1"/>
  <c r="M143" i="1"/>
  <c r="L143" i="1" s="1"/>
  <c r="M139" i="1"/>
  <c r="L139" i="1" s="1"/>
  <c r="M135" i="1"/>
  <c r="L135" i="1" s="1"/>
  <c r="M162" i="1"/>
  <c r="L162" i="1" s="1"/>
  <c r="M158" i="1"/>
  <c r="L158" i="1" s="1"/>
  <c r="M132" i="1"/>
  <c r="L132" i="1" s="1"/>
  <c r="M43" i="1"/>
  <c r="L43" i="1" s="1"/>
  <c r="M63" i="1"/>
  <c r="L63" i="1" s="1"/>
  <c r="M59" i="1"/>
  <c r="L59" i="1" s="1"/>
  <c r="M102" i="1"/>
  <c r="L102" i="1" s="1"/>
  <c r="M168" i="1"/>
  <c r="L168" i="1" s="1"/>
  <c r="M90" i="1"/>
  <c r="L90" i="1" s="1"/>
  <c r="M52" i="1"/>
  <c r="L52" i="1" s="1"/>
  <c r="M72" i="1"/>
  <c r="L72" i="1" s="1"/>
  <c r="M96" i="1"/>
  <c r="L96" i="1" s="1"/>
  <c r="M121" i="1"/>
  <c r="L121" i="1" s="1"/>
  <c r="M117" i="1"/>
  <c r="L117" i="1" s="1"/>
  <c r="M113" i="1"/>
  <c r="L113" i="1" s="1"/>
  <c r="M109" i="1"/>
  <c r="L109" i="1" s="1"/>
  <c r="M154" i="1"/>
  <c r="L154" i="1" s="1"/>
  <c r="M46" i="1"/>
  <c r="L46" i="1" s="1"/>
  <c r="M173" i="1"/>
  <c r="L173" i="1" s="1"/>
  <c r="M86" i="1"/>
  <c r="L86" i="1" s="1"/>
  <c r="M82" i="1"/>
  <c r="L82" i="1" s="1"/>
  <c r="M78" i="1"/>
  <c r="L78" i="1" s="1"/>
  <c r="M74" i="1"/>
  <c r="L74" i="1" s="1"/>
  <c r="M91" i="1"/>
  <c r="L91" i="1" s="1"/>
  <c r="M152" i="1"/>
  <c r="L152" i="1" s="1"/>
  <c r="M60" i="1"/>
  <c r="L60" i="1" s="1"/>
  <c r="M87" i="1"/>
  <c r="L87" i="1" s="1"/>
  <c r="M79" i="1"/>
  <c r="L79" i="1" s="1"/>
  <c r="M75" i="1"/>
  <c r="L75" i="1" s="1"/>
  <c r="M92" i="1"/>
  <c r="L92" i="1" s="1"/>
  <c r="M97" i="1"/>
  <c r="M114" i="1"/>
  <c r="L114" i="1" s="1"/>
  <c r="M110" i="1"/>
  <c r="L110" i="1" s="1"/>
  <c r="M148" i="1"/>
  <c r="L148" i="1" s="1"/>
  <c r="M140" i="1"/>
  <c r="L140" i="1" s="1"/>
  <c r="M159" i="1"/>
  <c r="L159" i="1" s="1"/>
  <c r="M155" i="1"/>
  <c r="L155" i="1" s="1"/>
  <c r="M176" i="1"/>
  <c r="L176" i="1" s="1"/>
  <c r="M187" i="1"/>
  <c r="L187" i="1" s="1"/>
  <c r="M183" i="1"/>
  <c r="M211" i="1"/>
  <c r="L211" i="1" s="1"/>
  <c r="M207" i="1"/>
  <c r="L207" i="1" s="1"/>
  <c r="M42" i="1"/>
  <c r="L42" i="1" s="1"/>
  <c r="M61" i="1"/>
  <c r="L61" i="1" s="1"/>
  <c r="M68" i="1"/>
  <c r="L68" i="1" s="1"/>
  <c r="M84" i="1"/>
  <c r="L84" i="1" s="1"/>
  <c r="M80" i="1"/>
  <c r="L80" i="1" s="1"/>
  <c r="M76" i="1"/>
  <c r="L76" i="1" s="1"/>
  <c r="M98" i="1"/>
  <c r="L98" i="1" s="1"/>
  <c r="M104" i="1"/>
  <c r="L104" i="1" s="1"/>
  <c r="M123" i="1"/>
  <c r="L123" i="1" s="1"/>
  <c r="M119" i="1"/>
  <c r="L119" i="1" s="1"/>
  <c r="M115" i="1"/>
  <c r="L115" i="1" s="1"/>
  <c r="M111" i="1"/>
  <c r="L111" i="1" s="1"/>
  <c r="M149" i="1"/>
  <c r="L149" i="1" s="1"/>
  <c r="M145" i="1"/>
  <c r="L145" i="1" s="1"/>
  <c r="M141" i="1"/>
  <c r="L141" i="1" s="1"/>
  <c r="M137" i="1"/>
  <c r="L137" i="1" s="1"/>
  <c r="M133" i="1"/>
  <c r="M160" i="1"/>
  <c r="L160" i="1" s="1"/>
  <c r="M156" i="1"/>
  <c r="L156" i="1" s="1"/>
  <c r="M177" i="1"/>
  <c r="L177" i="1" s="1"/>
  <c r="M188" i="1"/>
  <c r="L188" i="1" s="1"/>
  <c r="M184" i="1"/>
  <c r="L184" i="1" s="1"/>
  <c r="M195" i="1"/>
  <c r="L195" i="1" s="1"/>
  <c r="M212" i="1"/>
  <c r="L212" i="1" s="1"/>
  <c r="M208" i="1"/>
  <c r="L208" i="1" s="1"/>
  <c r="M83" i="1"/>
  <c r="L83" i="1" s="1"/>
  <c r="M103" i="1"/>
  <c r="L103" i="1" s="1"/>
  <c r="M122" i="1"/>
  <c r="L122" i="1" s="1"/>
  <c r="M118" i="1"/>
  <c r="L118" i="1" s="1"/>
  <c r="M144" i="1"/>
  <c r="L144" i="1" s="1"/>
  <c r="M136" i="1"/>
  <c r="L136" i="1" s="1"/>
  <c r="M191" i="1"/>
  <c r="L191" i="1" s="1"/>
  <c r="M49" i="1"/>
  <c r="L49" i="1" s="1"/>
  <c r="M47" i="1"/>
  <c r="L47" i="1" s="1"/>
  <c r="M62" i="1"/>
  <c r="L62" i="1" s="1"/>
  <c r="M58" i="1"/>
  <c r="L58" i="1" s="1"/>
  <c r="M67" i="1"/>
  <c r="M69" i="1"/>
  <c r="L69" i="1" s="1"/>
  <c r="M85" i="1"/>
  <c r="L85" i="1" s="1"/>
  <c r="M81" i="1"/>
  <c r="L81" i="1" s="1"/>
  <c r="M77" i="1"/>
  <c r="L77" i="1" s="1"/>
  <c r="M73" i="1"/>
  <c r="M101" i="1"/>
  <c r="M105" i="1"/>
  <c r="L105" i="1" s="1"/>
  <c r="M120" i="1"/>
  <c r="L120" i="1" s="1"/>
  <c r="M116" i="1"/>
  <c r="L116" i="1" s="1"/>
  <c r="M112" i="1"/>
  <c r="L112" i="1" s="1"/>
  <c r="M146" i="1"/>
  <c r="L146" i="1" s="1"/>
  <c r="M142" i="1"/>
  <c r="L142" i="1" s="1"/>
  <c r="M138" i="1"/>
  <c r="L138" i="1" s="1"/>
  <c r="M134" i="1"/>
  <c r="L134" i="1" s="1"/>
  <c r="M161" i="1"/>
  <c r="L161" i="1" s="1"/>
  <c r="M157" i="1"/>
  <c r="L157" i="1" s="1"/>
  <c r="M153" i="1"/>
  <c r="L153" i="1" s="1"/>
  <c r="M178" i="1"/>
  <c r="L178" i="1" s="1"/>
  <c r="M174" i="1"/>
  <c r="M189" i="1"/>
  <c r="L189" i="1" s="1"/>
  <c r="M185" i="1"/>
  <c r="L185" i="1" s="1"/>
  <c r="M194" i="1"/>
  <c r="M196" i="1"/>
  <c r="L196" i="1" s="1"/>
  <c r="M202" i="1"/>
  <c r="M209" i="1"/>
  <c r="L209" i="1" s="1"/>
  <c r="M64" i="1"/>
  <c r="L64" i="1" s="1"/>
  <c r="M45" i="1"/>
  <c r="M53" i="1"/>
  <c r="L53" i="1" s="1"/>
  <c r="M54" i="1"/>
  <c r="M170" i="1" l="1"/>
  <c r="F11" i="16" s="1"/>
  <c r="L199" i="1"/>
  <c r="M200" i="1"/>
  <c r="M93" i="1"/>
  <c r="L170" i="1"/>
  <c r="E11" i="16" s="1"/>
  <c r="M70" i="1"/>
  <c r="L70" i="1" s="1"/>
  <c r="L67" i="1"/>
  <c r="L183" i="1"/>
  <c r="M192" i="1"/>
  <c r="M50" i="1"/>
  <c r="L174" i="1"/>
  <c r="M180" i="1"/>
  <c r="M150" i="1"/>
  <c r="L133" i="1"/>
  <c r="L97" i="1"/>
  <c r="M99" i="1"/>
  <c r="L99" i="1" s="1"/>
  <c r="M163" i="1"/>
  <c r="L45" i="1"/>
  <c r="L194" i="1"/>
  <c r="M197" i="1"/>
  <c r="L197" i="1" s="1"/>
  <c r="M106" i="1"/>
  <c r="L101" i="1"/>
  <c r="M213" i="1"/>
  <c r="M130" i="1"/>
  <c r="M203" i="1"/>
  <c r="L202" i="1"/>
  <c r="M55" i="1"/>
  <c r="L55" i="1" s="1"/>
  <c r="E3" i="16" s="1"/>
  <c r="L73" i="1"/>
  <c r="M88" i="1"/>
  <c r="M65" i="1"/>
  <c r="F4" i="16" s="1"/>
  <c r="L54" i="1"/>
  <c r="L200" i="1" l="1"/>
  <c r="E14" i="16" s="1"/>
  <c r="F14" i="16"/>
  <c r="F3" i="16"/>
  <c r="L93" i="1"/>
  <c r="E6" i="16" s="1"/>
  <c r="F6" i="16"/>
  <c r="L203" i="1"/>
  <c r="E15" i="16" s="1"/>
  <c r="F15" i="16"/>
  <c r="F7" i="16"/>
  <c r="L106" i="1"/>
  <c r="E7" i="16" s="1"/>
  <c r="L150" i="1"/>
  <c r="E9" i="16" s="1"/>
  <c r="F9" i="16"/>
  <c r="L192" i="1"/>
  <c r="E13" i="16" s="1"/>
  <c r="F13" i="16"/>
  <c r="L130" i="1"/>
  <c r="E8" i="16" s="1"/>
  <c r="F8" i="16"/>
  <c r="L213" i="1"/>
  <c r="E16" i="16" s="1"/>
  <c r="F16" i="16"/>
  <c r="L88" i="1"/>
  <c r="E5" i="16" s="1"/>
  <c r="F5" i="16"/>
  <c r="L163" i="1"/>
  <c r="E10" i="16" s="1"/>
  <c r="F10" i="16"/>
  <c r="M214" i="1"/>
  <c r="M216" i="1" s="1"/>
  <c r="F12" i="16"/>
  <c r="L180" i="1"/>
  <c r="E12" i="16" s="1"/>
  <c r="L65" i="1"/>
  <c r="E4" i="16" s="1"/>
  <c r="F2" i="16"/>
  <c r="E2" i="16"/>
  <c r="F17" i="16" l="1"/>
  <c r="F19" i="16" s="1"/>
</calcChain>
</file>

<file path=xl/sharedStrings.xml><?xml version="1.0" encoding="utf-8"?>
<sst xmlns="http://schemas.openxmlformats.org/spreadsheetml/2006/main" count="936" uniqueCount="606">
  <si>
    <t>NYC Health + Hospitals (the System) Risk Assessment Questionnaire Ver. 3.0e</t>
  </si>
  <si>
    <t xml:space="preserve">As part of NYC Health + Hospitals (the System) RFP / Business Request process, the System reviews security and compliance controls for all applications and solutions. </t>
  </si>
  <si>
    <t>Application Risk Review Questionnaire</t>
  </si>
  <si>
    <t>PM fills out header metadata</t>
  </si>
  <si>
    <t>Business Unit Owners should fill out Section 1 of the Application Questionnaire in the column provided.</t>
  </si>
  <si>
    <t xml:space="preserve">Third party Vendors should fill out all relevant section of the Application Questionnaire in the column provided. </t>
  </si>
  <si>
    <r>
      <rPr>
        <b/>
        <sz val="18"/>
        <color theme="1"/>
        <rFont val="Calibri"/>
        <family val="2"/>
        <scheme val="minor"/>
      </rPr>
      <t>NYC Health + Hospitals (the System) Application Review / Risk Assessment Questionnaire Ver. 3.0f</t>
    </r>
    <r>
      <rPr>
        <b/>
        <sz val="12"/>
        <color theme="1"/>
        <rFont val="Calibri"/>
        <family val="2"/>
        <scheme val="minor"/>
      </rPr>
      <t xml:space="preserve">
The System's Business Owner should answer Section 1, and Vendor should answer the remaining sections
Please answer all questions completely, in the appropriate cell.
Where appropriate, please attach suppporting documentation.
</t>
    </r>
    <r>
      <rPr>
        <b/>
        <sz val="20"/>
        <color rgb="FFFF0000"/>
        <rFont val="Calibri"/>
        <family val="2"/>
        <scheme val="minor"/>
      </rPr>
      <t>PLEASE NOTE: The name "the System" refers to NYC Health + Hospitals</t>
    </r>
  </si>
  <si>
    <t>Application / System Name</t>
  </si>
  <si>
    <t>PeriGen Fetal Monitoring System</t>
  </si>
  <si>
    <t xml:space="preserve"> Business Owner</t>
  </si>
  <si>
    <t>Wendy Wilcox</t>
  </si>
  <si>
    <t>Demand Number</t>
  </si>
  <si>
    <t>DMND000013259</t>
  </si>
  <si>
    <t>Description</t>
  </si>
  <si>
    <t>Software for fetal monitoring system with decision support</t>
  </si>
  <si>
    <t>Project Manager:</t>
  </si>
  <si>
    <t>Shamise Quinn</t>
  </si>
  <si>
    <t>ePHI Storage</t>
  </si>
  <si>
    <t>EITS Owner:</t>
  </si>
  <si>
    <t>Julio  Santos</t>
  </si>
  <si>
    <t>ePHI Transfer</t>
  </si>
  <si>
    <t>Architectural Diagram Included</t>
  </si>
  <si>
    <t>Yes</t>
  </si>
  <si>
    <t>Vendor Contact:</t>
  </si>
  <si>
    <t xml:space="preserve">Externally Hosted </t>
  </si>
  <si>
    <t>Data Flow Diagram Included</t>
  </si>
  <si>
    <t>Date Review Questionnaire Sent to Vendor:</t>
  </si>
  <si>
    <t>Risk Reviewer:</t>
  </si>
  <si>
    <t>ISRM Approval</t>
  </si>
  <si>
    <t>Date Review Questionnaire Received From Vendor:</t>
  </si>
  <si>
    <t>Feb 23 2024</t>
  </si>
  <si>
    <t>Compliance Reviewer:</t>
  </si>
  <si>
    <t>OCC Approval</t>
  </si>
  <si>
    <t>Control ID</t>
  </si>
  <si>
    <t>Section</t>
  </si>
  <si>
    <t>Vendor Response</t>
  </si>
  <si>
    <t>Business Response</t>
  </si>
  <si>
    <t>Risk Assessor Notes</t>
  </si>
  <si>
    <t>OCC Notes</t>
  </si>
  <si>
    <t>Risk</t>
  </si>
  <si>
    <t>Requirements</t>
  </si>
  <si>
    <t>Likelihood</t>
  </si>
  <si>
    <t>Impact</t>
  </si>
  <si>
    <t>Risk Score</t>
  </si>
  <si>
    <t xml:space="preserve">Section 1     Business </t>
  </si>
  <si>
    <t>BR</t>
  </si>
  <si>
    <t>Business Requirements</t>
  </si>
  <si>
    <t>BR-01</t>
  </si>
  <si>
    <t>What is the primary business purpose of the solution or application?</t>
  </si>
  <si>
    <t>PeriWatch Surveillance is an advanced fetal surveillance and documentation system that incorporates the only automated maternal-fetal early warning system commercially available in the U.S. The systems features near real-time analytical tools and scalable workflows to help labor and delivery teams imporve productivity and efficiency, standardize communicaiton and make informed decisions.</t>
  </si>
  <si>
    <t>BR-02</t>
  </si>
  <si>
    <t>What are the main functions of the solution or application?</t>
  </si>
  <si>
    <t>The main function of the application is to provide a view for clinical staff to see patient tracings, annotations and early warning alerts to help improve birthing outcomes.</t>
  </si>
  <si>
    <t>The main functions of the application software are to monitor the fetal heart rate and use AI generated algorithms to help the clinician interpret fetal heart classification. Additionally, communication is standardized and lessens the burden on nursing documentation. Improves productivity. Uses AI generated algorithmns to identify patients who may be at risk for adverse outcomes.</t>
  </si>
  <si>
    <t>BR-03</t>
  </si>
  <si>
    <t>Which of the System's business units is the owner of application?</t>
  </si>
  <si>
    <t>Medical and Professional Affairs, Office of Women's Health, Obstetrics and Gynecology</t>
  </si>
  <si>
    <t>BR-04</t>
  </si>
  <si>
    <t>Which of the System's facilities will the application serve?</t>
  </si>
  <si>
    <t>Labor and delivery units</t>
  </si>
  <si>
    <t>The application will serve all 11 acute care maternity hospitals.</t>
  </si>
  <si>
    <t>DG</t>
  </si>
  <si>
    <t>Data Governance</t>
  </si>
  <si>
    <t>DG-01</t>
  </si>
  <si>
    <t>Which of the System's business unit is the data owner? 
Are there multiple business units that own the data?</t>
  </si>
  <si>
    <t>N/A</t>
  </si>
  <si>
    <t>DG-02</t>
  </si>
  <si>
    <t>What data does the application receive, process, and / or produce? 
(eg.  Medical (ePHI), Personnel, Financial etc.)</t>
  </si>
  <si>
    <t>Medical PHI is sent via HL7 interfaces from Epic to PeriWatch</t>
  </si>
  <si>
    <t>The application interfaces with Epic. It receives Medical PHI.</t>
  </si>
  <si>
    <t>DG-02a</t>
  </si>
  <si>
    <t>Provide details (a sample data set).</t>
  </si>
  <si>
    <t>n/a</t>
  </si>
  <si>
    <t>DG-02b</t>
  </si>
  <si>
    <t>Are SSNs (full or redacted) needed for the business purpose for this data transfer? 
If yes, why? Can a redacted format suffice?</t>
  </si>
  <si>
    <t>Not needed but can be interfaced.</t>
  </si>
  <si>
    <t>Will ask vendor. Probably not.</t>
  </si>
  <si>
    <t>DG-03</t>
  </si>
  <si>
    <t>If data is not PHI, is it considered business sensitive or confidential?</t>
  </si>
  <si>
    <t>DG-04</t>
  </si>
  <si>
    <t>If the data in the application is compromised how does it impact the System? 
(eg. Breach notification required or Reputational damage, etc.)</t>
  </si>
  <si>
    <t>All data is stored on customer site within a DB. If the DB was compromised(encrypted by ransomware) the application would be inoperable at that time.</t>
  </si>
  <si>
    <t>Requires discussion with vendor.</t>
  </si>
  <si>
    <t>EU</t>
  </si>
  <si>
    <t>End Users</t>
  </si>
  <si>
    <t>EU-01</t>
  </si>
  <si>
    <t>Who are the application’s end users?
(eg. business units, external users, etc.)</t>
  </si>
  <si>
    <t>Clinical staff</t>
  </si>
  <si>
    <t>Clinical providers and nurses in the obstetrical areas.</t>
  </si>
  <si>
    <t>EU-02</t>
  </si>
  <si>
    <t>How do the end users access and interact (via web etc.) with the application?</t>
  </si>
  <si>
    <t>PeriWatch has a thick client that can be installed on the PC or pushed through Citrix to the users. On the Vigilance side, access is via HTTPS.</t>
  </si>
  <si>
    <t>The end users access and interact with the application either through Epic or through the client application.</t>
  </si>
  <si>
    <t>EU-03</t>
  </si>
  <si>
    <t>What are the security expectations from the end users?</t>
  </si>
  <si>
    <t>Follow H+H policy.</t>
  </si>
  <si>
    <t>TP</t>
  </si>
  <si>
    <t>Third Party Vendor</t>
  </si>
  <si>
    <t>TP-01</t>
  </si>
  <si>
    <t>Are there any third parties that receive or process data to or from the application?
If yes, Who?</t>
  </si>
  <si>
    <t>No</t>
  </si>
  <si>
    <t>Requires vendor discussion. Possibly no.</t>
  </si>
  <si>
    <t>TP-02</t>
  </si>
  <si>
    <t>What methods or mechanisms are used to share data with third parties?
(eg. FTP, SFTP, RDP, SecureLink, etc.)</t>
  </si>
  <si>
    <t>Requires vendor discussion, if applicable.</t>
  </si>
  <si>
    <t>TP-03</t>
  </si>
  <si>
    <t>Has the vendor signed the the System's standard BAA (Business Associate Agreement)? 
If yes, please provide a copy.
If no, please contact Supply Chain.</t>
  </si>
  <si>
    <t>Not as of the filing of this questionnaire</t>
  </si>
  <si>
    <t>No. Information with Supply Chain department in progress.</t>
  </si>
  <si>
    <t>AD</t>
  </si>
  <si>
    <t>Administrators</t>
  </si>
  <si>
    <t>AD-01</t>
  </si>
  <si>
    <t>Does vendor retain administrative privileges to the application?</t>
  </si>
  <si>
    <t>Yes, requires vendor discussion.</t>
  </si>
  <si>
    <t>AD-02</t>
  </si>
  <si>
    <t xml:space="preserve">What administrative roles or functions does the application offer? </t>
  </si>
  <si>
    <t>Roles can be created based upon desired access. The roles are customizable on the backend.</t>
  </si>
  <si>
    <t xml:space="preserve">Requires vendor discussion. </t>
  </si>
  <si>
    <t>AD-02a</t>
  </si>
  <si>
    <t>Provide RBAC model for the Administrative functions.</t>
  </si>
  <si>
    <t>???</t>
  </si>
  <si>
    <t>RG</t>
  </si>
  <si>
    <t>Regulations</t>
  </si>
  <si>
    <t>RG-01</t>
  </si>
  <si>
    <t xml:space="preserve">Which industries does the application pertain to? </t>
  </si>
  <si>
    <t>Perinatal Software Development</t>
  </si>
  <si>
    <t>Perinatal medicine/Women's Health</t>
  </si>
  <si>
    <t>RG-02</t>
  </si>
  <si>
    <t>Which regulations does the application adhere to?
(eg. HIPAA, HITECH, etc. )</t>
  </si>
  <si>
    <t>HIPAA</t>
  </si>
  <si>
    <t>Section 2     Infrastructure</t>
  </si>
  <si>
    <t>SN</t>
  </si>
  <si>
    <t>Systems &amp; Network</t>
  </si>
  <si>
    <t>SN-01</t>
  </si>
  <si>
    <t>Does the application run on a local workstation or an on-premise server platform?</t>
  </si>
  <si>
    <t>Application is installed on Windows Server, on-premise to the client.</t>
  </si>
  <si>
    <t>SN-01a</t>
  </si>
  <si>
    <t>If yes, what Operating Systems or Browsers does the application support?
(eg. Windows Server 2016, Red Hat Linux 7.2, AIX, Windows 10, Chrome, IE, etc.)</t>
  </si>
  <si>
    <t>Windows Server 2016, Windows Server 2019, Chrome and Edge.</t>
  </si>
  <si>
    <t>SN-02</t>
  </si>
  <si>
    <t>Provide a detailed Technical Architecture Diagram. (Please include a data flow diagram, networking and server requirements, topology, etc.)</t>
  </si>
  <si>
    <t>See associated document with this response.</t>
  </si>
  <si>
    <t>SN-03</t>
  </si>
  <si>
    <t>Will any of the applications components or devices residing internally to the NYC Health + Hospitals environment be owned or managed by vendor or another third party? 
(If yes, answer remaining questions in this section.)</t>
  </si>
  <si>
    <t>PeriGen will support the application after go-live but maintenance on the servers is to be the responsibility of the client. For example, patches, updates and resource monitoring would be the responsibility of the client.</t>
  </si>
  <si>
    <t>SN-03a</t>
  </si>
  <si>
    <t>Will the application or device be joined to our domain or separate from it?</t>
  </si>
  <si>
    <t>Joined to the domain</t>
  </si>
  <si>
    <t>SN-03b</t>
  </si>
  <si>
    <t>Will the application or device require connectivity with the our domain?</t>
  </si>
  <si>
    <t>SN-03c</t>
  </si>
  <si>
    <t>Will the application or device directly or indirectly, access business sensitive data?
(eg. PHI, Financial, Personnel information etc.)?</t>
  </si>
  <si>
    <t>PHI</t>
  </si>
  <si>
    <t>SN-03d</t>
  </si>
  <si>
    <t>Who will be responsible for the application or device management?
(eg. OS and Security Patches, Anti-Virus etc.)</t>
  </si>
  <si>
    <t>Client</t>
  </si>
  <si>
    <t>Supported infrastructure</t>
  </si>
  <si>
    <t>RA</t>
  </si>
  <si>
    <t xml:space="preserve"> Remote Access</t>
  </si>
  <si>
    <t>RA-01</t>
  </si>
  <si>
    <t>Is functionality built into the application which allows remote user to access or control on-premise components of the application (client or server)?
(If yes answer the remaining questions in this section.)</t>
  </si>
  <si>
    <t>PeriWatch has the ability to be pushed as a Citrix app.</t>
  </si>
  <si>
    <t>RA-02</t>
  </si>
  <si>
    <t>What remote connection methods or protocols does the applcation support?</t>
  </si>
  <si>
    <t>Citrix or VPN access through the client</t>
  </si>
  <si>
    <t>RA-03</t>
  </si>
  <si>
    <t>What connection methods or protocols are used to accomplish remote support? Will the vendor use SecureLink?</t>
  </si>
  <si>
    <t>Yes SecureLink is our preferred option.</t>
  </si>
  <si>
    <t>Supported remote acccess</t>
  </si>
  <si>
    <t>BC</t>
  </si>
  <si>
    <t>Business Continuity  / Disaster Recovery</t>
  </si>
  <si>
    <t>BC-01</t>
  </si>
  <si>
    <t>Does the application support configuration backups?</t>
  </si>
  <si>
    <t>BC-02</t>
  </si>
  <si>
    <t xml:space="preserve">Does the application support HA (High Availablity) in an Active - Active Mode? </t>
  </si>
  <si>
    <t>Not natively. Vmware SRM is supported is the customer is invested in this technology. This also requires a full SQL clustering option</t>
  </si>
  <si>
    <t>BC-02a</t>
  </si>
  <si>
    <t xml:space="preserve">If Yes, will it be implemented in HA (High Availablity) Active - Active Mode? </t>
  </si>
  <si>
    <t>If SRM is supported and all prerequisits are present</t>
  </si>
  <si>
    <t>BC-03</t>
  </si>
  <si>
    <t>What business continuity provisions are defined for the application?</t>
  </si>
  <si>
    <t>PeriWatch supports Vmotion, SQL DB clustering + full backups for DR. SRM is also an option.</t>
  </si>
  <si>
    <t>BC-04</t>
  </si>
  <si>
    <t>For on-premise deployments, will the application and its data be replicated in both data centers?</t>
  </si>
  <si>
    <t>SQL AlwaysOn and Vmware is the preferred platfrom for data and app replication which depends on customer infrastructure. Will need to be discussed as part of pre-install activities</t>
  </si>
  <si>
    <t>BC-05</t>
  </si>
  <si>
    <t>Will disaster recovery tests be conducted annually according to the System's standards?</t>
  </si>
  <si>
    <t>BC-05a</t>
  </si>
  <si>
    <t>Provide BCP / DR process documentation.</t>
  </si>
  <si>
    <t>BC-06</t>
  </si>
  <si>
    <t>Are data store comparisons done periodically to ensure data reliability?</t>
  </si>
  <si>
    <t>Business Continuity and Disaster Recovery plans defined and implemented</t>
  </si>
  <si>
    <t>VE</t>
  </si>
  <si>
    <t>Virtualization / Externalization</t>
  </si>
  <si>
    <t>VE-01</t>
  </si>
  <si>
    <t xml:space="preserve">For on-premise deployments, what aspects of the application will be virtualized? </t>
  </si>
  <si>
    <t>Thick client can be virtualized and pushed to the staff</t>
  </si>
  <si>
    <t>VE-02</t>
  </si>
  <si>
    <t xml:space="preserve">For on-premise deployments, are any of the applications components required to be hosted in the System's DMZ? </t>
  </si>
  <si>
    <t>No, we do not required external communication with any of our servers. If a solution is required to grant access to users outside of the client network, Citrix and/or VPN options would be preferred.</t>
  </si>
  <si>
    <t>VE-02a</t>
  </si>
  <si>
    <t>If yes, provide additional information.</t>
  </si>
  <si>
    <t>Sub-section Score</t>
  </si>
  <si>
    <t>CL</t>
  </si>
  <si>
    <t>Cloud Infrastructure</t>
  </si>
  <si>
    <t>CL-01</t>
  </si>
  <si>
    <t>Are any of the application components located in a computing environment external to NYC Health + Hospitals?
(If yes, answer the remaining questions in this section as regards the external hosting environment.)</t>
  </si>
  <si>
    <t>CL-02</t>
  </si>
  <si>
    <t>What are the application's authorization and authentication security standards?</t>
  </si>
  <si>
    <t>CL-03</t>
  </si>
  <si>
    <t>What authorization and authentication protocols are supported by the application?</t>
  </si>
  <si>
    <t>CL-04</t>
  </si>
  <si>
    <t>Does the application support Federated Authentication Protocols (SAML2.0, LDAP, OATH 2.0 WS-Federation, etc.)?
Which ones?</t>
  </si>
  <si>
    <t>CL-05</t>
  </si>
  <si>
    <t>What are the the application's availability standards?</t>
  </si>
  <si>
    <t>CL-06</t>
  </si>
  <si>
    <t>For applications hosted in a cloud security model, does the application adheres to Cloud Security Alliance (CSA) standards and certifications?</t>
  </si>
  <si>
    <t>CL-07</t>
  </si>
  <si>
    <t>Does the application and its hosting environment adhere to established governance frameworks?
(eg. HIPAA, PCI, SOC 2 (type I &amp; II), ISO 27001:2013, NIST800-144 etc.)</t>
  </si>
  <si>
    <t>CL-08</t>
  </si>
  <si>
    <t>Does vendor allow customers to audit their data security controls?</t>
  </si>
  <si>
    <t>CL-09</t>
  </si>
  <si>
    <t>Does the application use data tagging, and are the tags cryptographically  signed?</t>
  </si>
  <si>
    <t>CL-10</t>
  </si>
  <si>
    <t>What mechanisms does your organization provide for customers to define access to their data?</t>
  </si>
  <si>
    <t>CL-11</t>
  </si>
  <si>
    <t>Provide vendor cloud security policies and standards documentation.</t>
  </si>
  <si>
    <t>CL-12</t>
  </si>
  <si>
    <t>Does vendor employ virtual network segmentation and zoning across tiers?</t>
  </si>
  <si>
    <t>CL-13</t>
  </si>
  <si>
    <t>Does the application employ end-to-end encryption for data-in-transit?</t>
  </si>
  <si>
    <t>CL-14</t>
  </si>
  <si>
    <t>Provide vendor's backup procedures and policies.</t>
  </si>
  <si>
    <t>CL-15</t>
  </si>
  <si>
    <t>Provide vendor's Disaster Recovery (DR) policies and procedures.</t>
  </si>
  <si>
    <t>CL-16</t>
  </si>
  <si>
    <t xml:space="preserve">Provide vendor's auditing and monitoring controls policies. </t>
  </si>
  <si>
    <t>Cloud Compliance (Application is ISO 27001, ISO 27018, SOC2, FedRAMP certified)</t>
  </si>
  <si>
    <t>TM</t>
  </si>
  <si>
    <t>Transfer Method</t>
  </si>
  <si>
    <t>TM-01</t>
  </si>
  <si>
    <t>Does the application involve data transfers from  the System's environment to the vendor?</t>
  </si>
  <si>
    <t>Potentially, if cold feed is part of the build.</t>
  </si>
  <si>
    <t>TM-01a</t>
  </si>
  <si>
    <t>If yes, is SFTP (Accellion/Kiteworks) supported for file transfer?</t>
  </si>
  <si>
    <t>TM-01b</t>
  </si>
  <si>
    <t>If No, a VPN must be created between the System and the vendor before the file transfer commences.</t>
  </si>
  <si>
    <t>Standard data transfer method</t>
  </si>
  <si>
    <t xml:space="preserve">Section 3     Application </t>
  </si>
  <si>
    <t>EN</t>
  </si>
  <si>
    <t>Environment</t>
  </si>
  <si>
    <t>EN- 01</t>
  </si>
  <si>
    <t>What frameworks and programming languages were used in developing the application?</t>
  </si>
  <si>
    <t>C# .Net (Server side), Angular (Client side web app)</t>
  </si>
  <si>
    <t>EN-02</t>
  </si>
  <si>
    <t>For on-premise deployments, what database server (eg., Oracle, MS-SQL, etc.), if any, will be used?</t>
  </si>
  <si>
    <t>MS-SQL</t>
  </si>
  <si>
    <t>EN-03</t>
  </si>
  <si>
    <t>For on-premise deployments, what application server (eg. Tomcat, Websphere, etc), if any, will be used?</t>
  </si>
  <si>
    <t>IIS will be installed on the PeriWatch application server.</t>
  </si>
  <si>
    <t>SD</t>
  </si>
  <si>
    <t>Software Development</t>
  </si>
  <si>
    <t>SD-01</t>
  </si>
  <si>
    <t>What Software Development Life Cycle (SDLC) methodology does the vendor use?</t>
  </si>
  <si>
    <t>PeriGen uses Agile methodology augmented to meet FDA/ISO quality system requirements.</t>
  </si>
  <si>
    <t>SD-02</t>
  </si>
  <si>
    <t>Does the vendor use test or dummy data in development and testing?</t>
  </si>
  <si>
    <t>SD-02a</t>
  </si>
  <si>
    <t>If no, what how is the data masked, obfuscated, or anonymized?</t>
  </si>
  <si>
    <t>SD-03</t>
  </si>
  <si>
    <t>What controls does the vendor use to safeguard application source code?</t>
  </si>
  <si>
    <t>MS DevOps with restricted access to licensed users with EntraID authentication + MFA</t>
  </si>
  <si>
    <t>SD-04</t>
  </si>
  <si>
    <t>What methods of secure coding practices were used in the applications development?</t>
  </si>
  <si>
    <t>Veracode guidelines based on OWASP top 10+</t>
  </si>
  <si>
    <t>Industry standard Software Development Life Cycle (SDLC) methodology used</t>
  </si>
  <si>
    <t>DP</t>
  </si>
  <si>
    <t>Data Processing</t>
  </si>
  <si>
    <t>DP-01</t>
  </si>
  <si>
    <t>What data entry paths does the application support?
(eg. form based data entry, database integration, etc.)</t>
  </si>
  <si>
    <t>The Vigilance application does not require data entry. All inputs are obtained from fetal monitors and EMR HL7 results inbound interface into the application.</t>
  </si>
  <si>
    <t>DP-02</t>
  </si>
  <si>
    <t>What data output paths does the application support?
(eg. web based, remote desktop, etc.)</t>
  </si>
  <si>
    <t>Primarily browser based</t>
  </si>
  <si>
    <t>DP-03</t>
  </si>
  <si>
    <t>How does data flow across the application’s internal components?</t>
  </si>
  <si>
    <t>Data flows from the Interface Engine (Rhapsody) to the PeriWatch DB and then is retrievable by the application</t>
  </si>
  <si>
    <t>DP-04</t>
  </si>
  <si>
    <t>What steps are taken to validate user input to prevent data-based attacks on the application (eg., code injection, buffer overruns, XSS, etc.)</t>
  </si>
  <si>
    <t>Application is scanned using the Veracode platform for any vulnerabilities covering all examples mentioned. For the Vigilance platform, from a user perspective, very little if any in entered in the app.</t>
  </si>
  <si>
    <t>DP-05</t>
  </si>
  <si>
    <t>What type of data does the application store and how is it stored?</t>
  </si>
  <si>
    <t>Patient tracing, annotations, exam and meds are stored in the Database.</t>
  </si>
  <si>
    <t>DP-06</t>
  </si>
  <si>
    <t>Is there any data which is stored or maintained outside the database?
(e.g. cloud, network shares, application interfaces, etc.)</t>
  </si>
  <si>
    <t>DP-07</t>
  </si>
  <si>
    <t xml:space="preserve">Is data being encrypted at rest, and  in motion, over LAN, WAN and Internet links? </t>
  </si>
  <si>
    <t xml:space="preserve">Data in the DB can be encrypted and all web communications occur via HTTPS </t>
  </si>
  <si>
    <t>DP-07a</t>
  </si>
  <si>
    <t>Specify encryption protocols, algorithms, and key or hash lengths, or define encryption requirements.</t>
  </si>
  <si>
    <t>TLS1.2 and above</t>
  </si>
  <si>
    <t>DP-07b</t>
  </si>
  <si>
    <t xml:space="preserve">If No, does this application have any compensatory controls in place? </t>
  </si>
  <si>
    <t>DP-08</t>
  </si>
  <si>
    <t>Are wireless connections (eg. WiFi, BlueTooth, NFC, etc.) required for the normal functioning of this application?</t>
  </si>
  <si>
    <t>No but are supported.</t>
  </si>
  <si>
    <t>DP-09</t>
  </si>
  <si>
    <t xml:space="preserve">Is File Transfer Protocol (FTP) or any other unsecured file transfer mechanism used? </t>
  </si>
  <si>
    <t>DP-10</t>
  </si>
  <si>
    <t>Will this application use Voice/fax modems for data exchange or remote control?</t>
  </si>
  <si>
    <t>DP-11</t>
  </si>
  <si>
    <t>What capabilities exist to detect the leakage of sensitive/confidential/ePHI data?  
(Are there any features in the app or event logging that will generate alarm or detect leakage of confidential / sensitive data?)</t>
  </si>
  <si>
    <t>Not directly. Since all ePHI is stored in the SQL DB hosted by the customer and all accesses are logged, such triggers could be created in collaboration with the customer</t>
  </si>
  <si>
    <t>DP-12</t>
  </si>
  <si>
    <t>For on-premise deployments, is any data stored or processed outside of the NYC Health + Hospitals environment? Please specify.</t>
  </si>
  <si>
    <t>DP-13</t>
  </si>
  <si>
    <t>Is any data stored or processed outside of the USA?</t>
  </si>
  <si>
    <t>DP-14</t>
  </si>
  <si>
    <t>Are there any vendor staff with access to confidential data located outside of the USA?</t>
  </si>
  <si>
    <t>Yes but only for tier 3 support cases. Development center is Israel and several members in Canada.</t>
  </si>
  <si>
    <t>DP-15</t>
  </si>
  <si>
    <t>Are analytics or tracking tools are used by your application? If yes, answer below</t>
  </si>
  <si>
    <t xml:space="preserve">  DP-15a</t>
  </si>
  <si>
    <t>Describe the tools that you are using and what data they expose</t>
  </si>
  <si>
    <t xml:space="preserve">  DP-15b</t>
  </si>
  <si>
    <t>Who receives the data from these tools?</t>
  </si>
  <si>
    <t xml:space="preserve">  DP-15c</t>
  </si>
  <si>
    <t>Do those tools expose data from any application  other than yours?</t>
  </si>
  <si>
    <t xml:space="preserve">  DP-15d</t>
  </si>
  <si>
    <t>What control do we retain over how the analytics are used?</t>
  </si>
  <si>
    <t xml:space="preserve">  DP-15e</t>
  </si>
  <si>
    <t>If your application handles ePHI, do you have a subcontractor BAA with all parties receiving data from your tools?</t>
  </si>
  <si>
    <t>Standards compliant encryption used for data-at-rest and data-in-motion</t>
  </si>
  <si>
    <t>AC</t>
  </si>
  <si>
    <t>Access Control</t>
  </si>
  <si>
    <t>AC-01</t>
  </si>
  <si>
    <t>Is RBAC (Role Based Access Control) used to determine user access for application and database?</t>
  </si>
  <si>
    <t>AC-02</t>
  </si>
  <si>
    <t>What requirements have been defined for user identification, authentication and authorization? Define explicitly ALL authentication, authorization methods used by this solution? (e.g. Kerboros, NTLM, SAML, LDAP etc.)</t>
  </si>
  <si>
    <t>LDAP and LDAPS</t>
  </si>
  <si>
    <t>AC-03</t>
  </si>
  <si>
    <t>Can admins assign a security classification with a higher level than their own, to themselves or other users?</t>
  </si>
  <si>
    <t>To other users, yes.</t>
  </si>
  <si>
    <t>AC-04</t>
  </si>
  <si>
    <t>Other than for installation, do on-premise components of the application require local Administrator rights for normal operation? Please provide details.</t>
  </si>
  <si>
    <t>Yes the service account that runs the application will need to be admin. Outside of that no other admin rights are required.</t>
  </si>
  <si>
    <t>AC-05</t>
  </si>
  <si>
    <t xml:space="preserve">Which users are authorized to make changes to data including but not limited to ePHI? </t>
  </si>
  <si>
    <t>AC-06</t>
  </si>
  <si>
    <t>Does the application integrate with Active Directory?</t>
  </si>
  <si>
    <t>AC-07</t>
  </si>
  <si>
    <t>Does it support an Application Login banner with a display message or content required by the System?</t>
  </si>
  <si>
    <t>No. We do show the user name that is logged in to a session</t>
  </si>
  <si>
    <t>AC-08</t>
  </si>
  <si>
    <t>Who, and how many people will have access to see PHI and the account information?</t>
  </si>
  <si>
    <t>All clinical staff with access to the application</t>
  </si>
  <si>
    <t>AC-09</t>
  </si>
  <si>
    <t>For how long  does the vendor need access to the System's data it  receives? As an example, if the request is for debt collection, and no collections occured in 12 months, does the vendor still maintain the access? There will need to be some expiration date.</t>
  </si>
  <si>
    <t>Vendor will need access to the system to provide support.</t>
  </si>
  <si>
    <t>AC-10</t>
  </si>
  <si>
    <t>Does the application use generic user accounts?</t>
  </si>
  <si>
    <t>Yes for support purposes only</t>
  </si>
  <si>
    <t>AC-11</t>
  </si>
  <si>
    <t>Are users allowed to save credentials to bypass reauthentication?</t>
  </si>
  <si>
    <t>AC-12</t>
  </si>
  <si>
    <t>For local accounts (as opposed to AD) how are passwords stored within the application?
Please be specific as to what algorithms are used.</t>
  </si>
  <si>
    <t>Yes. SHA256Managed</t>
  </si>
  <si>
    <t>AC-13</t>
  </si>
  <si>
    <t>Is password transmission and storage encrypted, and not viewable to even system administrators?</t>
  </si>
  <si>
    <t>AC-14</t>
  </si>
  <si>
    <t>For local accounts (as opposed to AD) does the application force new users to change their paswords on first login?</t>
  </si>
  <si>
    <t>AC-15</t>
  </si>
  <si>
    <t>For local accounts (as opposed to AD) can users change password at any time?</t>
  </si>
  <si>
    <t>AC-16</t>
  </si>
  <si>
    <t>For local accounts (as opposed to AD) can the application force password expiration and prevent users from reusing passwords?</t>
  </si>
  <si>
    <t>Yes users are unable to use their last password</t>
  </si>
  <si>
    <t>AC-17</t>
  </si>
  <si>
    <t>For local accounts (as opposed to AD) can the application be set to lock account after a specified number of failed login attempts?</t>
  </si>
  <si>
    <t>AC-18</t>
  </si>
  <si>
    <t>Does the application prevent users from logging in from more than one workstation at a time?</t>
  </si>
  <si>
    <t>Active Directory integration supported</t>
  </si>
  <si>
    <t>SM</t>
  </si>
  <si>
    <t>Security Monitoring &amp; Audit</t>
  </si>
  <si>
    <t>SM-01</t>
  </si>
  <si>
    <t>What application auditing requirements have been defined?</t>
  </si>
  <si>
    <t>All access, login (success &amp; failure), logout, source IP, Username are logged.</t>
  </si>
  <si>
    <t>SM-02</t>
  </si>
  <si>
    <t>What native application security monitoring requirements have been defined?</t>
  </si>
  <si>
    <t>Audit logs, Windows Event logs, interactive messages to the user and customer based report from the authentication/network activity</t>
  </si>
  <si>
    <t>SM-03</t>
  </si>
  <si>
    <t>What application error handling and logging requirements have been defined?</t>
  </si>
  <si>
    <t>SM-04</t>
  </si>
  <si>
    <t>Is every user activity authentication, authorization process being logged by Event Logs including user name, date and time?</t>
  </si>
  <si>
    <t>SM-05</t>
  </si>
  <si>
    <t>Do Audit Logs specifically capture any and all events related to 'Break the Glass' process? What are the details?</t>
  </si>
  <si>
    <t>The Vigilance application does not have a break the glass process. Since Vigilance provides near real-time visual cues/trends which are visible without PHI/authentication, it is not a mandatory function</t>
  </si>
  <si>
    <t>SM-06</t>
  </si>
  <si>
    <t>Are access and data changes to sensitive information logged in the event logs (eg: user action, date and time)?</t>
  </si>
  <si>
    <t>SM-07</t>
  </si>
  <si>
    <t>How are audit logs accessed, stored, and secured?</t>
  </si>
  <si>
    <t>Audit logs are stored to the DB</t>
  </si>
  <si>
    <t>SM-08</t>
  </si>
  <si>
    <t>Does the audit function log remote support connection attempts, and remote support actions such as application or configuratoin modifications?</t>
  </si>
  <si>
    <t xml:space="preserve">All remote support will take place using the TechSuport account. </t>
  </si>
  <si>
    <t>SM-09</t>
  </si>
  <si>
    <t>Is there any provision to protect tampering of audit logs by Administrators or other users? (Administrator or other users should only  have read permissions to logs within the application and database)</t>
  </si>
  <si>
    <t>All logs are stored in the SQL DB that is protected by access control and backed up (customer). Those logs can be copied/replicated by the customer to other storage to futher isolate logs as per customer needs.</t>
  </si>
  <si>
    <t>SM-10</t>
  </si>
  <si>
    <t>Does the application integrate with customer Security Incident &amp; Event Management (SIEM) solutions? (For hosted environments, that can be a CSV log export)</t>
  </si>
  <si>
    <t>No. However, logs are stored in a simple table in SQL that can be easily read/injested by SIEM tools</t>
  </si>
  <si>
    <t>SM-11</t>
  </si>
  <si>
    <t>Does the application use NTP or SNTP to ensure that the timestamps on application logs are synchronized with those in other applications?</t>
  </si>
  <si>
    <t>Application will use NTP provided by AD domain</t>
  </si>
  <si>
    <t>Security monitoring and audit well defined (Integration with SIEM/PPM supported)</t>
  </si>
  <si>
    <t>Application Design</t>
  </si>
  <si>
    <t>Define the vendors application design and review standards.</t>
  </si>
  <si>
    <t>Agile methodology, from concept to design, iterative development and testing followed by user factor/clinical review and approval followed by QA/Regression testing</t>
  </si>
  <si>
    <t>AD-01a</t>
  </si>
  <si>
    <t>Was the application code scanned with a code analyzer for security flaws prior to introducing into production?</t>
  </si>
  <si>
    <t>Yes, every version is scanned as part of the developmet process.</t>
  </si>
  <si>
    <t>How is intermediate or in-process data stored in the applications components memory or cache?</t>
  </si>
  <si>
    <t>Application users both although no data is persisted on client side</t>
  </si>
  <si>
    <t>AD-03</t>
  </si>
  <si>
    <t>Define the logical tiers that group the application components?</t>
  </si>
  <si>
    <t>UI tier, Middle API tier (data interchange), Data tier (SQL DB)</t>
  </si>
  <si>
    <t>AD-04</t>
  </si>
  <si>
    <t xml:space="preserve">Define the Staging, Testing and Quality Assurance, processes in the development of the application. </t>
  </si>
  <si>
    <t>Functional QA is perfromed during the development work of any item (new requirements, enhancements or bug fixes). At the end of each cycle, a regession phase it performed on expanded area of the application prior to approval and release.</t>
  </si>
  <si>
    <t>Industry standard application security guidelines followed (Eg OWASP top 10 etc)</t>
  </si>
  <si>
    <t>Section 4     Security</t>
  </si>
  <si>
    <t>OP</t>
  </si>
  <si>
    <t>Operations / Infrastructure</t>
  </si>
  <si>
    <t>OP-01</t>
  </si>
  <si>
    <t>What is the process for identifying and addressing vulnerabilities in the application and its components? (e.g. Vulnerability Scans  tools)</t>
  </si>
  <si>
    <t>Veracode scans on every major development iteration and version release. Any Critical, very high, high identified vulnerabilites must be resolved, any medium and lower are added to the product maintenance backlog in priority order</t>
  </si>
  <si>
    <t>OP-02</t>
  </si>
  <si>
    <t>What is the process for identifying and addressing vulnerabilities in network and solution components? (e.g. Vulnerability Scans with tools)</t>
  </si>
  <si>
    <t>OP-03</t>
  </si>
  <si>
    <t>Are any antivirus exclusions required for this application to work?</t>
  </si>
  <si>
    <t>Yes, we can provide those exclusions</t>
  </si>
  <si>
    <t>OP-04</t>
  </si>
  <si>
    <t>What, if any, firewall permissions are required for the application to function.</t>
  </si>
  <si>
    <t>We require ports to be open from the application server to the DB, from the client to the application server and potentially from the application server to the interface engine.</t>
  </si>
  <si>
    <t>OP-05</t>
  </si>
  <si>
    <t>What business continuity provisions have been defined for the application?</t>
  </si>
  <si>
    <t>The application is leveraging HA capabilities of their party systems like Vmware and SQL. Backup of data and application serfver are a second tier. Those are defined during the pre-install activities in collaboration with the customer</t>
  </si>
  <si>
    <t>OP-06</t>
  </si>
  <si>
    <t>Does the vendor provide documentation for guidance on establishing and managing security controls such as user access and auditing?</t>
  </si>
  <si>
    <t>OP-07</t>
  </si>
  <si>
    <t>Does the application include documentation that explains error or messages to users and system administrators and information on what actions required?</t>
  </si>
  <si>
    <t>Optional. The application is relatively simple to operate from user/administrator perspective</t>
  </si>
  <si>
    <t>Vulnerability scans, penetration assessment peformed, issues remediated</t>
  </si>
  <si>
    <t>IN</t>
  </si>
  <si>
    <t>Integrity</t>
  </si>
  <si>
    <t>IN-01</t>
  </si>
  <si>
    <t>Do all externally hosted components or externally facing on-premise components use digital certificates issued by a certificate authority trusted by major web browsers (eg., Digitrust, Entrust, etc.)</t>
  </si>
  <si>
    <t>All HTTP access with PeriWatch is via HTTPS and requires a valid certificate. There are no externally facing components</t>
  </si>
  <si>
    <t>IN-01a</t>
  </si>
  <si>
    <t xml:space="preserve">For on-premise deployments, can internally facing components use digital certificates issued by our internal PKI? </t>
  </si>
  <si>
    <t>Yes as long as it conforms to our certificate standard.</t>
  </si>
  <si>
    <t>IN-02</t>
  </si>
  <si>
    <t>Will there be any use of a data integrity solution? (eg. Tripwire)</t>
  </si>
  <si>
    <t>IN-03</t>
  </si>
  <si>
    <t>Will this application store the System's sensitive and protected information outside of the NYC Health + Hospitals environment (E.g. ePHI, username and password etc.)</t>
  </si>
  <si>
    <t>IN-04</t>
  </si>
  <si>
    <t>What are the data handling guidelines for this application?
(Data handling is the process of ensuring that any data within the application is stored, archived or disposed off in a safe and secure manner during and after the use. This includes the development of policies and procedures to manage data handled electronically as well as through non-electronic means.)</t>
  </si>
  <si>
    <t>Data retrention guidelines are determined as part of pre-install activities. Options are:
1. Store all data for the duration of project (best for data analysis and reporting)
2. Trend data but no ePHI (keeps all metrics and dervied trends but remove direct patient association X days after patient discharge).
3. Purge data after X days. All data is purged at the set time following discharge. With this option, no reports/analytics are available. This is not a recommended option.</t>
  </si>
  <si>
    <t>IN-05</t>
  </si>
  <si>
    <t xml:space="preserve">For on-premise deplyments, does this application store System sensitive / confidential / protected information on components facing the internet (on the NYC Health + Hospitals DMZ), residing in the cloud, or in the vendor's environment? </t>
  </si>
  <si>
    <t>IN-06</t>
  </si>
  <si>
    <t>Does this application store NYC Health + Hospitals sensitive / confidential / protected information on removable media or mobile devices? (Including but not limited to CD/DVDs, USB Drives, laptops, Smart Phones, BlackBerrys, Cell phones etc.)</t>
  </si>
  <si>
    <t>IN-07</t>
  </si>
  <si>
    <t>For on-premise deployments, are all servers deployed in the NYC Health + Hospitals corporate Data Centers?</t>
  </si>
  <si>
    <t>IN-08</t>
  </si>
  <si>
    <t>For on-premise deployments are all Internet facing servers deployed in the corporate DMZ?</t>
  </si>
  <si>
    <t>IN-09</t>
  </si>
  <si>
    <t xml:space="preserve">Is there a process in place to notify us of any new application or security feature? </t>
  </si>
  <si>
    <t>Data Integrity controls</t>
  </si>
  <si>
    <t>MC</t>
  </si>
  <si>
    <t>Malicious Code Protection</t>
  </si>
  <si>
    <t>MC-01</t>
  </si>
  <si>
    <t>Are on-premise application components compatible with commercial off-the-shelf (COTS) antivirus scanning products?</t>
  </si>
  <si>
    <t>MC-01a</t>
  </si>
  <si>
    <t>If no, indicate what additional security controls are included in the application to mitigate risk of malicious code?</t>
  </si>
  <si>
    <t>MC-02</t>
  </si>
  <si>
    <t xml:space="preserve">Does the application operate without requiring the user to have local administrative privileges on the workstation? </t>
  </si>
  <si>
    <t>CM</t>
  </si>
  <si>
    <t>Change Management</t>
  </si>
  <si>
    <t>CM-01</t>
  </si>
  <si>
    <t>Define vendors Change Management program.</t>
  </si>
  <si>
    <t>Any change requests are triaged by the Product Management team, depending on severity, priority and other parameters, CRs are scheduled to a version release plan. All changes/additions to the product are eventually phased into the corporate DevOps respective product backlog and follows corporate SDLC guidelines</t>
  </si>
  <si>
    <t>Vendor has well defined change management program</t>
  </si>
  <si>
    <t>IM</t>
  </si>
  <si>
    <t>Incident Management</t>
  </si>
  <si>
    <t>IM-01</t>
  </si>
  <si>
    <t>Define vendors Incident Response / Management program.</t>
  </si>
  <si>
    <t>PeriWatch has a dedicated support staff that is available 24/7/365 for any issues that may arise.</t>
  </si>
  <si>
    <t>Well has well defined Incident management program</t>
  </si>
  <si>
    <t>SP</t>
  </si>
  <si>
    <t xml:space="preserve">Security Practices </t>
  </si>
  <si>
    <t>SP-01</t>
  </si>
  <si>
    <t>Does vendor have a defined corporate security program? Please describe</t>
  </si>
  <si>
    <t>Yes, all employees must undergo annual security training</t>
  </si>
  <si>
    <t>SP-02</t>
  </si>
  <si>
    <t>Define the vendors security training program.</t>
  </si>
  <si>
    <t>SP-02a</t>
  </si>
  <si>
    <t>Do all employees receive HIPAA training?</t>
  </si>
  <si>
    <t>SP-03</t>
  </si>
  <si>
    <t>Does the vendor have specified personnel to oversee security processes and requirements? Please specify.</t>
  </si>
  <si>
    <t>Yes, PeriGen has a dedicated Network/Infrastructure team to review all processes and requriements.</t>
  </si>
  <si>
    <t>SP-04</t>
  </si>
  <si>
    <t>Does the vendor have employee onboarding and termination procedures that include security training? Please describe</t>
  </si>
  <si>
    <t>SP-05</t>
  </si>
  <si>
    <t>Define the vendor requirements that impose the principle of separation of duties?</t>
  </si>
  <si>
    <t>Users of the application are assinged to the appropriate security group which in turn is used to assigned the right autherization to appropriate functions within the system. At the corporate level, RBMS is used by allocating permissions to appropriate corporate resources. Ex: There is an EntraID group used to provide access to the Remote Access platform to customer sites. a Users needs to be authenticated (+MFA) and be part of that group to be allowed access to SecureLink (PeriGen preferred remote access platform)</t>
  </si>
  <si>
    <t>SP-06</t>
  </si>
  <si>
    <t>What controls are in place to protect the production application in the event of a compromise in corporate ennvironment?</t>
  </si>
  <si>
    <t>The two are completely seggregated. The application is running fully on-prem at the customer site with no connection to the PeriGen corporate environment</t>
  </si>
  <si>
    <t>SP-07</t>
  </si>
  <si>
    <t>What security governance requirements does the vendor have defined?</t>
  </si>
  <si>
    <t>Please see the attached policies</t>
  </si>
  <si>
    <t>Vendor has formalized information security program and undergoes third party assessments at least annually</t>
  </si>
  <si>
    <t>Max Risk Score</t>
  </si>
  <si>
    <t>Risk Threshold</t>
  </si>
  <si>
    <t>Review Status</t>
  </si>
  <si>
    <t>H+H Standard</t>
  </si>
  <si>
    <t>Security Controls</t>
  </si>
  <si>
    <t>Likelihood | Impact</t>
  </si>
  <si>
    <t>Low</t>
  </si>
  <si>
    <t>Medium</t>
  </si>
  <si>
    <t>High</t>
  </si>
  <si>
    <r>
      <t>NYC Health + Hospitals (the System) Risk Assessment Approval Ver. 3.0f</t>
    </r>
    <r>
      <rPr>
        <sz val="14"/>
        <color theme="1"/>
        <rFont val="Calibri"/>
        <family val="2"/>
        <scheme val="minor"/>
      </rPr>
      <t xml:space="preserve">
The solution described below is approved, subject to satisfactory completion of the listed requirements.</t>
    </r>
  </si>
  <si>
    <t>Solution Name</t>
  </si>
  <si>
    <t>Business Owner</t>
  </si>
  <si>
    <t>Overall Risk Rating</t>
  </si>
  <si>
    <t>Assessement Type</t>
  </si>
  <si>
    <t>Application/System</t>
  </si>
  <si>
    <t>Stores ePHI</t>
  </si>
  <si>
    <t>Vendor Name</t>
  </si>
  <si>
    <t>Vendor Contact</t>
  </si>
  <si>
    <t>Externally Hosted</t>
  </si>
  <si>
    <t>Date of Risk Assessors Review:</t>
  </si>
  <si>
    <t>Date of Compliance Review:</t>
  </si>
  <si>
    <t>Date all  Approval Requirements Completed</t>
  </si>
  <si>
    <t>Approval Summary Comments</t>
  </si>
  <si>
    <t>Requirement</t>
  </si>
  <si>
    <t>Owner</t>
  </si>
  <si>
    <t>Requested by</t>
  </si>
  <si>
    <t>Required before testing?</t>
  </si>
  <si>
    <t>Due Date</t>
  </si>
  <si>
    <t>Actual Completion Date</t>
  </si>
  <si>
    <t>Actual requirements</t>
  </si>
  <si>
    <t>REQ-01</t>
  </si>
  <si>
    <t>REQ-02</t>
  </si>
  <si>
    <t>REQ-03</t>
  </si>
  <si>
    <t>REQ-04</t>
  </si>
  <si>
    <t>REQ-05</t>
  </si>
  <si>
    <t>REQ-06</t>
  </si>
  <si>
    <t>REQ-07</t>
  </si>
  <si>
    <t>REQ-08</t>
  </si>
  <si>
    <t>REQ-09</t>
  </si>
  <si>
    <t>REQ-10</t>
  </si>
  <si>
    <t>REQ-11</t>
  </si>
  <si>
    <t>REQ-12</t>
  </si>
  <si>
    <t>REQ-13</t>
  </si>
  <si>
    <t>REQ-14</t>
  </si>
  <si>
    <t>REQ-15</t>
  </si>
  <si>
    <t>REQ-16</t>
  </si>
  <si>
    <t>REQ-17</t>
  </si>
  <si>
    <t>REQ-18</t>
  </si>
  <si>
    <t>REQ-19</t>
  </si>
  <si>
    <t>REQ-20</t>
  </si>
  <si>
    <t>REQ-21</t>
  </si>
  <si>
    <t>REQ-22</t>
  </si>
  <si>
    <t>REQ-23</t>
  </si>
  <si>
    <t>REQ-24</t>
  </si>
  <si>
    <t>REQ-25</t>
  </si>
  <si>
    <t>REQ-26</t>
  </si>
  <si>
    <t>REQ-27</t>
  </si>
  <si>
    <t>REQ-28</t>
  </si>
  <si>
    <t>REQ-29</t>
  </si>
  <si>
    <t>REQ-30</t>
  </si>
  <si>
    <t>REQ-31</t>
  </si>
  <si>
    <t>REQ-32</t>
  </si>
  <si>
    <t>REQ-33</t>
  </si>
  <si>
    <t>REQ-34</t>
  </si>
  <si>
    <t>REQ-35</t>
  </si>
  <si>
    <t>REQ-36</t>
  </si>
  <si>
    <t>REQ-37</t>
  </si>
  <si>
    <t>REQ-38</t>
  </si>
  <si>
    <t>REQ-39</t>
  </si>
  <si>
    <t>REQ-40</t>
  </si>
  <si>
    <t>REQ-41</t>
  </si>
  <si>
    <t>REQ-42</t>
  </si>
  <si>
    <t>REQ-43</t>
  </si>
  <si>
    <t>REQ-44</t>
  </si>
  <si>
    <t>REQ-45</t>
  </si>
  <si>
    <t>REQ-46</t>
  </si>
  <si>
    <t>REQ-47</t>
  </si>
  <si>
    <t>REQ-48</t>
  </si>
  <si>
    <t>REQ-49</t>
  </si>
  <si>
    <t>REQ-50</t>
  </si>
  <si>
    <t>Device</t>
  </si>
  <si>
    <t>Data Transfer</t>
  </si>
  <si>
    <t>ISRM</t>
  </si>
  <si>
    <t>OCC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</si>
</sst>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b/>
      <sz val="18"/>
      <color theme="1"/>
      <name val="Calibri"/>
      <family val="2"/>
      <scheme val="minor"/>
    </font>
    <font>
      <sz val="16"/>
      <color theme="1"/>
      <name val="Calibri"/>
      <family val="2"/>
      <scheme val="minor"/>
    </font>
    <font>
      <b/>
      <sz val="20"/>
      <color rgb="FFFF0000"/>
      <name val="Calibri"/>
      <family val="2"/>
      <scheme val="minor"/>
    </font>
    <font>
      <sz val="14"/>
      <color theme="1"/>
      <name val="Calibri"/>
      <family val="2"/>
      <scheme val="minor"/>
    </font>
    <font>
      <b/>
      <sz val="11"/>
      <color theme="0"/>
      <name val="Calibri"/>
      <family val="2"/>
      <scheme val="minor"/>
    </font>
    <font>
      <sz val="11"/>
      <color theme="1"/>
      <name val="Calibri"/>
      <family val="2"/>
    </font>
    <font>
      <sz val="11"/>
      <color theme="1" tint="4.9989318521683403E-2"/>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rgb="FFFF9900"/>
        <bgColor indexed="64"/>
      </patternFill>
    </fill>
    <fill>
      <patternFill patternType="solid">
        <fgColor theme="5" tint="0.79998168889431442"/>
        <bgColor indexed="64"/>
      </patternFill>
    </fill>
    <fill>
      <patternFill patternType="solid">
        <fgColor rgb="FF002060"/>
        <bgColor indexed="64"/>
      </patternFill>
    </fill>
    <fill>
      <patternFill patternType="solid">
        <fgColor theme="0"/>
        <bgColor indexed="64"/>
      </patternFill>
    </fill>
    <fill>
      <patternFill patternType="solid">
        <fgColor rgb="FFFFC000"/>
        <bgColor indexed="64"/>
      </patternFill>
    </fill>
    <fill>
      <patternFill patternType="solid">
        <fgColor theme="1"/>
        <bgColor theme="1"/>
      </patternFill>
    </fill>
    <fill>
      <patternFill patternType="solid">
        <fgColor theme="4" tint="0.59999389629810485"/>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1"/>
      </right>
      <top style="medium">
        <color theme="1"/>
      </top>
      <bottom/>
      <diagonal/>
    </border>
    <border>
      <left style="thin">
        <color theme="1"/>
      </left>
      <right style="thin">
        <color theme="1"/>
      </right>
      <top style="medium">
        <color theme="1"/>
      </top>
      <bottom/>
      <diagonal/>
    </border>
    <border>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0" borderId="0" xfId="0" applyAlignment="1">
      <alignment wrapText="1"/>
    </xf>
    <xf numFmtId="0" fontId="0" fillId="2" borderId="0" xfId="0" applyFill="1" applyAlignment="1">
      <alignment wrapText="1"/>
    </xf>
    <xf numFmtId="0" fontId="0" fillId="0" borderId="0" xfId="0" applyProtection="1">
      <protection locked="0"/>
    </xf>
    <xf numFmtId="0" fontId="1" fillId="0" borderId="0" xfId="0" applyFont="1" applyAlignment="1">
      <alignment wrapText="1"/>
    </xf>
    <xf numFmtId="0" fontId="1" fillId="3" borderId="0" xfId="0" applyFont="1"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1"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5" borderId="0" xfId="0" applyFill="1" applyAlignment="1">
      <alignment horizontal="left" vertical="center"/>
    </xf>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0" fillId="5" borderId="0" xfId="0" applyFill="1" applyAlignment="1">
      <alignment horizontal="left" wrapText="1"/>
    </xf>
    <xf numFmtId="0" fontId="1" fillId="4" borderId="0" xfId="0" applyFont="1" applyFill="1" applyAlignment="1">
      <alignment horizontal="left" vertical="center" wrapText="1"/>
    </xf>
    <xf numFmtId="0" fontId="1" fillId="4"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applyAlignment="1">
      <alignment horizontal="left" vertical="center"/>
    </xf>
    <xf numFmtId="0" fontId="0" fillId="0" borderId="0" xfId="0" applyAlignment="1">
      <alignment horizontal="left" vertical="center" wrapText="1" indent="3"/>
    </xf>
    <xf numFmtId="0" fontId="0" fillId="6" borderId="0" xfId="0" applyFill="1" applyAlignment="1">
      <alignment wrapText="1"/>
    </xf>
    <xf numFmtId="0" fontId="0" fillId="5" borderId="0" xfId="0" applyFill="1" applyAlignment="1">
      <alignment horizontal="left" vertical="center" wrapText="1"/>
    </xf>
    <xf numFmtId="0" fontId="1" fillId="2" borderId="0" xfId="0" applyFont="1" applyFill="1" applyAlignment="1">
      <alignment horizontal="right" vertical="center" wrapText="1"/>
    </xf>
    <xf numFmtId="0" fontId="0" fillId="0" borderId="0" xfId="0" applyAlignment="1">
      <alignment vertical="center" wrapText="1"/>
    </xf>
    <xf numFmtId="0" fontId="0" fillId="5" borderId="0" xfId="0" applyFill="1" applyAlignment="1">
      <alignment vertical="center" wrapText="1"/>
    </xf>
    <xf numFmtId="0" fontId="0" fillId="0" borderId="0" xfId="0" applyAlignment="1">
      <alignment horizontal="left" vertical="center" wrapText="1" indent="2"/>
    </xf>
    <xf numFmtId="0" fontId="2" fillId="2" borderId="0" xfId="0" applyFont="1" applyFill="1" applyAlignment="1" applyProtection="1">
      <alignment vertical="center" wrapText="1"/>
      <protection locked="0"/>
    </xf>
    <xf numFmtId="0" fontId="0" fillId="2" borderId="1" xfId="0" applyFill="1" applyBorder="1" applyProtection="1">
      <protection locked="0"/>
    </xf>
    <xf numFmtId="0" fontId="0" fillId="0" borderId="0" xfId="0" applyAlignment="1" applyProtection="1">
      <alignment wrapText="1"/>
      <protection locked="0"/>
    </xf>
    <xf numFmtId="0" fontId="0" fillId="0" borderId="0" xfId="0" applyAlignment="1">
      <alignment horizontal="left" vertical="center" wrapText="1" indent="1"/>
    </xf>
    <xf numFmtId="0" fontId="1" fillId="0" borderId="0" xfId="0" applyFont="1" applyAlignment="1" applyProtection="1">
      <alignment horizontal="left" wrapText="1"/>
      <protection locked="0"/>
    </xf>
    <xf numFmtId="0" fontId="0" fillId="0" borderId="0" xfId="0" applyAlignment="1" applyProtection="1">
      <alignment horizontal="left" wrapText="1"/>
      <protection locked="0"/>
    </xf>
    <xf numFmtId="0" fontId="0" fillId="0" borderId="0" xfId="0" applyAlignment="1">
      <alignment horizontal="left" wrapText="1" indent="1"/>
    </xf>
    <xf numFmtId="0" fontId="1" fillId="0" borderId="0" xfId="0" applyFont="1" applyAlignment="1">
      <alignment horizontal="left" wrapText="1"/>
    </xf>
    <xf numFmtId="0" fontId="0" fillId="0" borderId="0" xfId="0" applyAlignment="1">
      <alignment horizontal="left" wrapText="1"/>
    </xf>
    <xf numFmtId="14" fontId="0" fillId="0" borderId="0" xfId="0" applyNumberFormat="1" applyAlignment="1">
      <alignment horizontal="left" wrapText="1"/>
    </xf>
    <xf numFmtId="0" fontId="0" fillId="0" borderId="0" xfId="0" applyAlignment="1">
      <alignment horizontal="center" wrapText="1"/>
    </xf>
    <xf numFmtId="0" fontId="1" fillId="7" borderId="3" xfId="0" applyFont="1" applyFill="1" applyBorder="1" applyAlignment="1">
      <alignment horizontal="center"/>
    </xf>
    <xf numFmtId="0" fontId="1" fillId="7" borderId="3" xfId="0" applyFont="1" applyFill="1" applyBorder="1" applyAlignment="1">
      <alignment horizontal="center" vertical="center" wrapText="1"/>
    </xf>
    <xf numFmtId="0" fontId="0" fillId="0" borderId="3" xfId="0" applyBorder="1" applyAlignment="1">
      <alignment horizontal="center"/>
    </xf>
    <xf numFmtId="0" fontId="0" fillId="0" borderId="3" xfId="0" applyBorder="1" applyAlignment="1">
      <alignment horizontal="center" wrapText="1"/>
    </xf>
    <xf numFmtId="0" fontId="8" fillId="8" borderId="4" xfId="0" applyFont="1" applyFill="1" applyBorder="1"/>
    <xf numFmtId="0" fontId="8" fillId="8" borderId="5" xfId="0" applyFont="1" applyFill="1" applyBorder="1" applyAlignment="1">
      <alignment horizontal="center"/>
    </xf>
    <xf numFmtId="0" fontId="8" fillId="8" borderId="6" xfId="0" applyFont="1" applyFill="1" applyBorder="1" applyAlignment="1">
      <alignment horizontal="center"/>
    </xf>
    <xf numFmtId="0" fontId="9" fillId="0" borderId="7" xfId="0" applyFont="1" applyBorder="1" applyAlignment="1">
      <alignment horizontal="center" vertical="center"/>
    </xf>
    <xf numFmtId="0" fontId="10" fillId="0" borderId="3" xfId="0" applyFont="1" applyBorder="1" applyAlignment="1">
      <alignment horizontal="center" vertical="center"/>
    </xf>
    <xf numFmtId="0" fontId="9" fillId="0" borderId="3" xfId="0" applyFont="1" applyBorder="1" applyAlignment="1">
      <alignment horizontal="center" vertical="center"/>
    </xf>
    <xf numFmtId="0" fontId="0" fillId="0" borderId="3" xfId="0" applyBorder="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left" vertical="center" wrapText="1"/>
    </xf>
    <xf numFmtId="0" fontId="2" fillId="2" borderId="0" xfId="0" applyFont="1" applyFill="1" applyAlignment="1">
      <alignment horizontal="center" vertical="center" wrapText="1"/>
    </xf>
    <xf numFmtId="0" fontId="0" fillId="9" borderId="0" xfId="0" applyFill="1" applyAlignment="1">
      <alignment horizontal="center" vertical="center" wrapText="1"/>
    </xf>
    <xf numFmtId="0" fontId="0" fillId="9" borderId="0" xfId="0" applyFill="1" applyAlignment="1">
      <alignment horizontal="center"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pplyProtection="1">
      <alignment horizontal="left" vertical="center" wrapText="1"/>
      <protection locked="0"/>
    </xf>
    <xf numFmtId="0" fontId="0" fillId="2" borderId="1" xfId="0" applyFill="1" applyBorder="1" applyAlignment="1">
      <alignment horizontal="center"/>
    </xf>
    <xf numFmtId="0" fontId="0" fillId="2" borderId="2" xfId="0" applyFill="1" applyBorder="1" applyAlignment="1">
      <alignment horizontal="center"/>
    </xf>
    <xf numFmtId="0" fontId="3" fillId="2" borderId="0" xfId="0" applyFont="1" applyFill="1" applyAlignment="1">
      <alignment horizontal="center" vertical="center" wrapText="1"/>
    </xf>
    <xf numFmtId="0" fontId="0" fillId="0" borderId="0" xfId="0" applyAlignment="1" applyProtection="1">
      <alignment horizontal="center"/>
      <protection locked="0"/>
    </xf>
    <xf numFmtId="0" fontId="0" fillId="0" borderId="3" xfId="0" applyBorder="1" applyAlignment="1">
      <alignment horizontal="center" wrapText="1"/>
    </xf>
    <xf numFmtId="14" fontId="0" fillId="0" borderId="0" xfId="0" applyNumberFormat="1" applyAlignment="1">
      <alignment horizontal="center" wrapText="1"/>
    </xf>
  </cellXfs>
  <cellStyles count="1">
    <cellStyle name="Normal" xfId="0" builtinId="0"/>
  </cellStyles>
  <dxfs count="164">
    <dxf>
      <font>
        <b/>
        <i val="0"/>
        <strike val="0"/>
      </font>
      <fill>
        <patternFill>
          <bgColor rgb="FF92D050"/>
        </patternFill>
      </fill>
    </dxf>
    <dxf>
      <font>
        <b/>
        <i val="0"/>
        <strike val="0"/>
      </font>
      <fill>
        <patternFill>
          <bgColor rgb="FFFFFF00"/>
        </patternFill>
      </fill>
    </dxf>
    <dxf>
      <font>
        <b/>
        <i val="0"/>
        <strike val="0"/>
      </font>
      <fill>
        <patternFill>
          <bgColor rgb="FFFF0000"/>
        </patternFill>
      </fill>
    </dxf>
    <dxf>
      <fill>
        <patternFill>
          <bgColor rgb="FFFFB7B7"/>
        </patternFill>
      </fill>
    </dxf>
    <dxf>
      <fill>
        <patternFill>
          <bgColor rgb="FFF0F8C0"/>
        </patternFill>
      </fill>
    </dxf>
    <dxf>
      <fill>
        <patternFill>
          <bgColor theme="8" tint="0.79998168889431442"/>
        </patternFill>
      </fill>
    </dxf>
    <dxf>
      <fill>
        <patternFill>
          <bgColor rgb="FFFFB7B7"/>
        </patternFill>
      </fill>
    </dxf>
    <dxf>
      <fill>
        <patternFill>
          <bgColor rgb="FFF0F8C0"/>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E7E7FF"/>
        </patternFill>
      </fill>
    </dxf>
    <dxf>
      <fill>
        <patternFill>
          <bgColor rgb="FFFDDBF6"/>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E7E7FF"/>
        </patternFill>
      </fill>
    </dxf>
    <dxf>
      <fill>
        <patternFill>
          <bgColor rgb="FFFDDBF6"/>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E7E7FF"/>
        </patternFill>
      </fill>
    </dxf>
    <dxf>
      <fill>
        <patternFill>
          <bgColor rgb="FFFDDBF6"/>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E7E7FF"/>
        </patternFill>
      </fill>
    </dxf>
    <dxf>
      <fill>
        <patternFill>
          <bgColor rgb="FFFDDBF6"/>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0F8C0"/>
        </patternFill>
      </fill>
    </dxf>
    <dxf>
      <fill>
        <patternFill>
          <bgColor rgb="FFFFB7B7"/>
        </patternFill>
      </fill>
    </dxf>
    <dxf>
      <fill>
        <patternFill>
          <bgColor theme="8" tint="0.79998168889431442"/>
        </patternFill>
      </fill>
    </dxf>
    <dxf>
      <fill>
        <patternFill>
          <bgColor rgb="FFFFB7B7"/>
        </patternFill>
      </fill>
    </dxf>
    <dxf>
      <fill>
        <patternFill>
          <bgColor theme="8" tint="0.79998168889431442"/>
        </patternFill>
      </fill>
    </dxf>
    <dxf>
      <fill>
        <patternFill>
          <bgColor rgb="FFF0F8C0"/>
        </patternFill>
      </fill>
    </dxf>
    <dxf>
      <fill>
        <patternFill>
          <bgColor rgb="FFFFB7B7"/>
        </patternFill>
      </fill>
    </dxf>
    <dxf>
      <fill>
        <patternFill>
          <bgColor rgb="FFF0F8C0"/>
        </patternFill>
      </fill>
    </dxf>
    <dxf>
      <fill>
        <patternFill>
          <bgColor theme="8" tint="0.79998168889431442"/>
        </patternFill>
      </fill>
    </dxf>
    <dxf>
      <fill>
        <patternFill>
          <bgColor rgb="FFFFB7B7"/>
        </patternFill>
      </fill>
    </dxf>
    <dxf>
      <fill>
        <patternFill>
          <bgColor rgb="FFF0F8C0"/>
        </patternFill>
      </fill>
    </dxf>
    <dxf>
      <fill>
        <patternFill>
          <bgColor theme="8" tint="0.79998168889431442"/>
        </patternFill>
      </fill>
    </dxf>
    <dxf>
      <fill>
        <patternFill>
          <bgColor rgb="FFF0F8C0"/>
        </patternFill>
      </fill>
    </dxf>
    <dxf>
      <fill>
        <patternFill>
          <bgColor theme="8" tint="0.79998168889431442"/>
        </patternFill>
      </fill>
    </dxf>
    <dxf>
      <fill>
        <patternFill>
          <bgColor rgb="FFFFB7B7"/>
        </patternFill>
      </fill>
    </dxf>
    <dxf>
      <fill>
        <patternFill>
          <bgColor rgb="FFFFB7B7"/>
        </patternFill>
      </fill>
    </dxf>
    <dxf>
      <fill>
        <patternFill>
          <bgColor rgb="FFF0F8C0"/>
        </patternFill>
      </fill>
    </dxf>
    <dxf>
      <fill>
        <patternFill>
          <bgColor theme="8" tint="0.79998168889431442"/>
        </patternFill>
      </fill>
    </dxf>
    <dxf>
      <fill>
        <patternFill>
          <bgColor rgb="FFFFB7B7"/>
        </patternFill>
      </fill>
    </dxf>
    <dxf>
      <fill>
        <patternFill>
          <bgColor theme="8" tint="0.79998168889431442"/>
        </patternFill>
      </fill>
    </dxf>
    <dxf>
      <fill>
        <patternFill>
          <bgColor rgb="FFF0F8C0"/>
        </patternFill>
      </fill>
    </dxf>
    <dxf>
      <fill>
        <patternFill>
          <bgColor rgb="FFFFB7B7"/>
        </patternFill>
      </fill>
    </dxf>
    <dxf>
      <fill>
        <patternFill>
          <bgColor rgb="FFF0F8C0"/>
        </patternFill>
      </fill>
    </dxf>
    <dxf>
      <fill>
        <patternFill>
          <bgColor theme="8" tint="0.79998168889431442"/>
        </patternFill>
      </fill>
    </dxf>
    <dxf>
      <fill>
        <patternFill>
          <bgColor rgb="FFF0F8C0"/>
        </patternFill>
      </fill>
    </dxf>
    <dxf>
      <fill>
        <patternFill>
          <bgColor rgb="FFFFB7B7"/>
        </patternFill>
      </fill>
    </dxf>
    <dxf>
      <fill>
        <patternFill>
          <bgColor theme="8" tint="0.79998168889431442"/>
        </patternFill>
      </fill>
    </dxf>
    <dxf>
      <fill>
        <patternFill>
          <bgColor theme="8" tint="0.79998168889431442"/>
        </patternFill>
      </fill>
    </dxf>
    <dxf>
      <fill>
        <patternFill>
          <bgColor rgb="FFF0F8C0"/>
        </patternFill>
      </fill>
    </dxf>
    <dxf>
      <fill>
        <patternFill>
          <bgColor rgb="FFFFB7B7"/>
        </patternFill>
      </fill>
    </dxf>
    <dxf>
      <fill>
        <patternFill>
          <bgColor rgb="FFFFB7B7"/>
        </patternFill>
      </fill>
    </dxf>
    <dxf>
      <fill>
        <patternFill>
          <bgColor rgb="FFF0F8C0"/>
        </patternFill>
      </fill>
    </dxf>
    <dxf>
      <fill>
        <patternFill>
          <bgColor theme="8" tint="0.79998168889431442"/>
        </patternFill>
      </fill>
    </dxf>
    <dxf>
      <fill>
        <patternFill>
          <bgColor rgb="FFF0F8C0"/>
        </patternFill>
      </fill>
    </dxf>
    <dxf>
      <fill>
        <patternFill>
          <bgColor theme="8" tint="0.79998168889431442"/>
        </patternFill>
      </fill>
    </dxf>
    <dxf>
      <fill>
        <patternFill>
          <bgColor rgb="FFFFB7B7"/>
        </patternFill>
      </fill>
    </dxf>
    <dxf>
      <fill>
        <patternFill>
          <bgColor rgb="FFFFB7B7"/>
        </patternFill>
      </fill>
    </dxf>
    <dxf>
      <fill>
        <patternFill>
          <bgColor rgb="FFF0F8C0"/>
        </patternFill>
      </fill>
    </dxf>
    <dxf>
      <fill>
        <patternFill>
          <bgColor theme="8" tint="0.79998168889431442"/>
        </patternFill>
      </fill>
    </dxf>
    <dxf>
      <fill>
        <patternFill>
          <bgColor rgb="FFF0F8C0"/>
        </patternFill>
      </fill>
    </dxf>
    <dxf>
      <fill>
        <patternFill>
          <bgColor theme="8" tint="0.79998168889431442"/>
        </patternFill>
      </fill>
    </dxf>
    <dxf>
      <fill>
        <patternFill>
          <bgColor rgb="FFFFB7B7"/>
        </patternFill>
      </fill>
    </dxf>
    <dxf>
      <fill>
        <patternFill>
          <bgColor rgb="FFFFB7B7"/>
        </patternFill>
      </fill>
    </dxf>
    <dxf>
      <fill>
        <patternFill>
          <bgColor rgb="FFF0F8C0"/>
        </patternFill>
      </fill>
    </dxf>
    <dxf>
      <fill>
        <patternFill>
          <bgColor theme="8" tint="0.79998168889431442"/>
        </patternFill>
      </fill>
    </dxf>
    <dxf>
      <fill>
        <patternFill>
          <bgColor rgb="FFFFB7B7"/>
        </patternFill>
      </fill>
    </dxf>
    <dxf>
      <fill>
        <patternFill>
          <bgColor rgb="FFF0F8C0"/>
        </patternFill>
      </fill>
    </dxf>
    <dxf>
      <fill>
        <patternFill>
          <bgColor theme="8" tint="0.79998168889431442"/>
        </patternFill>
      </fill>
    </dxf>
    <dxf>
      <fill>
        <patternFill>
          <bgColor rgb="FFFFB7B7"/>
        </patternFill>
      </fill>
    </dxf>
    <dxf>
      <fill>
        <patternFill>
          <bgColor rgb="FFF0F8C0"/>
        </patternFill>
      </fill>
    </dxf>
    <dxf>
      <fill>
        <patternFill>
          <bgColor theme="8" tint="0.79998168889431442"/>
        </patternFill>
      </fill>
    </dxf>
    <dxf>
      <fill>
        <patternFill>
          <bgColor rgb="FFFFB7B7"/>
        </patternFill>
      </fill>
    </dxf>
    <dxf>
      <fill>
        <patternFill>
          <bgColor rgb="FFF0F8C0"/>
        </patternFill>
      </fill>
    </dxf>
    <dxf>
      <fill>
        <patternFill>
          <bgColor theme="8" tint="0.79998168889431442"/>
        </patternFill>
      </fill>
    </dxf>
    <dxf>
      <fill>
        <patternFill>
          <bgColor theme="8" tint="0.79998168889431442"/>
        </patternFill>
      </fill>
    </dxf>
    <dxf>
      <fill>
        <patternFill>
          <bgColor rgb="FFF0F8C0"/>
        </patternFill>
      </fill>
    </dxf>
    <dxf>
      <fill>
        <patternFill>
          <bgColor rgb="FFFFB7B7"/>
        </patternFill>
      </fill>
    </dxf>
    <dxf>
      <fill>
        <patternFill>
          <bgColor theme="8" tint="0.79998168889431442"/>
        </patternFill>
      </fill>
    </dxf>
    <dxf>
      <fill>
        <patternFill>
          <bgColor rgb="FFF0F8C0"/>
        </patternFill>
      </fill>
    </dxf>
    <dxf>
      <fill>
        <patternFill>
          <bgColor rgb="FFFFB7B7"/>
        </patternFill>
      </fill>
    </dxf>
    <dxf>
      <fill>
        <patternFill>
          <bgColor rgb="FFFFB7B7"/>
        </patternFill>
      </fill>
    </dxf>
    <dxf>
      <fill>
        <patternFill>
          <bgColor rgb="FFF0F8C0"/>
        </patternFill>
      </fill>
    </dxf>
    <dxf>
      <fill>
        <patternFill>
          <bgColor theme="8" tint="0.79998168889431442"/>
        </patternFill>
      </fill>
    </dxf>
    <dxf>
      <fill>
        <patternFill>
          <bgColor theme="8" tint="0.79998168889431442"/>
        </patternFill>
      </fill>
    </dxf>
    <dxf>
      <fill>
        <patternFill>
          <bgColor rgb="FFFFB7B7"/>
        </patternFill>
      </fill>
    </dxf>
    <dxf>
      <fill>
        <patternFill>
          <bgColor rgb="FFF0F8C0"/>
        </patternFill>
      </fill>
    </dxf>
    <dxf>
      <fill>
        <patternFill>
          <bgColor rgb="FFF0F8C0"/>
        </patternFill>
      </fill>
    </dxf>
    <dxf>
      <fill>
        <patternFill>
          <bgColor rgb="FFFFB7B7"/>
        </patternFill>
      </fill>
    </dxf>
    <dxf>
      <fill>
        <patternFill>
          <bgColor theme="8" tint="0.79998168889431442"/>
        </patternFill>
      </fill>
    </dxf>
    <dxf>
      <fill>
        <patternFill>
          <bgColor theme="8" tint="0.79998168889431442"/>
        </patternFill>
      </fill>
    </dxf>
    <dxf>
      <fill>
        <patternFill>
          <bgColor rgb="FFF0F8C0"/>
        </patternFill>
      </fill>
    </dxf>
    <dxf>
      <fill>
        <patternFill>
          <bgColor rgb="FFFFB7B7"/>
        </patternFill>
      </fill>
    </dxf>
    <dxf>
      <fill>
        <patternFill>
          <bgColor theme="8" tint="0.79998168889431442"/>
        </patternFill>
      </fill>
    </dxf>
    <dxf>
      <fill>
        <patternFill>
          <bgColor rgb="FFF0F8C0"/>
        </patternFill>
      </fill>
    </dxf>
    <dxf>
      <fill>
        <patternFill>
          <bgColor rgb="FFFFB7B7"/>
        </patternFill>
      </fill>
    </dxf>
    <dxf>
      <fill>
        <patternFill>
          <bgColor rgb="FFFFB7B7"/>
        </patternFill>
      </fill>
    </dxf>
    <dxf>
      <fill>
        <patternFill>
          <bgColor rgb="FFF0F8C0"/>
        </patternFill>
      </fill>
    </dxf>
    <dxf>
      <fill>
        <patternFill>
          <bgColor theme="8" tint="0.79998168889431442"/>
        </patternFill>
      </fill>
    </dxf>
    <dxf>
      <fill>
        <patternFill>
          <bgColor theme="9" tint="0.79998168889431442"/>
        </patternFill>
      </fill>
    </dxf>
    <dxf>
      <fill>
        <patternFill>
          <bgColor rgb="FFE7E7FF"/>
        </patternFill>
      </fill>
    </dxf>
    <dxf>
      <fill>
        <patternFill>
          <bgColor theme="7" tint="0.79998168889431442"/>
        </patternFill>
      </fill>
    </dxf>
    <dxf>
      <fill>
        <patternFill>
          <bgColor rgb="FFFDDBF6"/>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E7E7FF"/>
        </patternFill>
      </fill>
    </dxf>
    <dxf>
      <fill>
        <patternFill>
          <bgColor rgb="FFFDDBF6"/>
        </patternFill>
      </fill>
    </dxf>
    <dxf>
      <fill>
        <patternFill>
          <bgColor rgb="FFFDDBF6"/>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E7E7FF"/>
        </patternFill>
      </fill>
    </dxf>
    <dxf>
      <fill>
        <patternFill>
          <bgColor rgb="FFFFB7B7"/>
        </patternFill>
      </fill>
    </dxf>
    <dxf>
      <fill>
        <patternFill>
          <bgColor rgb="FFF0F8C0"/>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E7E7FF"/>
        </patternFill>
      </fill>
    </dxf>
    <dxf>
      <fill>
        <patternFill>
          <bgColor rgb="FFFDDBF6"/>
        </patternFill>
      </fill>
    </dxf>
  </dxfs>
  <tableStyles count="0" defaultTableStyle="TableStyleMedium2" defaultPivotStyle="PivotStyleLight16"/>
  <colors>
    <mruColors>
      <color rgb="FFFF9900"/>
      <color rgb="FFF0F8C0"/>
      <color rgb="FFF7D6C1"/>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28800" cy="9312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28800" cy="931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1382661</xdr:colOff>
      <xdr:row>5</xdr:row>
      <xdr:rowOff>135700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2079113" cy="10548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828800" cy="9312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828800" cy="9312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
  <sheetViews>
    <sheetView zoomScale="114" zoomScaleNormal="114" workbookViewId="0">
      <selection activeCell="B2" sqref="B2"/>
    </sheetView>
  </sheetViews>
  <sheetFormatPr defaultColWidth="35.5703125" defaultRowHeight="14.45"/>
  <cols>
    <col min="1" max="1" width="10.42578125" style="13" customWidth="1"/>
    <col min="2" max="2" width="46.42578125" style="11" customWidth="1"/>
    <col min="3" max="3" width="45.5703125" style="1" customWidth="1"/>
    <col min="4" max="4" width="30" style="1" customWidth="1"/>
    <col min="5" max="5" width="25.5703125" style="1" customWidth="1"/>
    <col min="6" max="6" width="21.42578125" style="1" customWidth="1"/>
    <col min="7" max="7" width="16.5703125" style="1" customWidth="1"/>
    <col min="8" max="8" width="15.42578125" style="1" customWidth="1"/>
    <col min="9" max="9" width="22.140625" style="1" customWidth="1"/>
    <col min="10" max="16384" width="35.5703125" style="1"/>
  </cols>
  <sheetData>
    <row r="1" spans="1:23" s="3" customFormat="1" ht="74.25" customHeight="1">
      <c r="A1" s="28"/>
      <c r="B1" s="51" t="s">
        <v>0</v>
      </c>
      <c r="C1" s="51"/>
      <c r="D1" s="51"/>
      <c r="E1" s="51"/>
      <c r="F1" s="51"/>
      <c r="G1" s="27"/>
      <c r="H1" s="27"/>
      <c r="I1" s="27"/>
    </row>
    <row r="2" spans="1:23" customFormat="1" ht="18" customHeight="1">
      <c r="A2" s="12"/>
      <c r="B2" s="22"/>
      <c r="C2" s="15"/>
      <c r="D2" s="8"/>
      <c r="E2" s="8"/>
      <c r="F2" s="25"/>
      <c r="G2" s="8"/>
      <c r="H2" s="8"/>
      <c r="I2" s="8"/>
      <c r="J2" s="11"/>
      <c r="K2" s="11"/>
      <c r="L2" s="11"/>
      <c r="M2" s="11"/>
      <c r="N2" s="1"/>
      <c r="O2" s="1"/>
      <c r="P2" s="1"/>
      <c r="Q2" s="1"/>
      <c r="R2" s="1"/>
      <c r="S2" s="1"/>
      <c r="T2" s="1"/>
      <c r="U2" s="1"/>
      <c r="V2" s="1"/>
      <c r="W2" s="1"/>
    </row>
    <row r="3" spans="1:23" s="4" customFormat="1">
      <c r="A3" s="14"/>
      <c r="B3" s="14"/>
      <c r="C3" s="5"/>
      <c r="D3" s="5"/>
      <c r="E3" s="5"/>
      <c r="F3" s="5"/>
      <c r="G3" s="5"/>
      <c r="H3" s="5"/>
      <c r="I3" s="5"/>
    </row>
    <row r="4" spans="1:23" ht="76.349999999999994" customHeight="1">
      <c r="B4" s="49" t="s">
        <v>1</v>
      </c>
      <c r="C4" s="49"/>
      <c r="D4" s="49"/>
      <c r="E4" s="49"/>
      <c r="F4" s="49"/>
    </row>
    <row r="5" spans="1:23">
      <c r="A5" s="16"/>
      <c r="B5" s="16" t="s">
        <v>2</v>
      </c>
      <c r="C5" s="7"/>
      <c r="D5" s="7"/>
      <c r="E5" s="7"/>
      <c r="F5" s="7"/>
      <c r="G5" s="7"/>
      <c r="H5" s="7"/>
      <c r="I5" s="7"/>
    </row>
    <row r="6" spans="1:23" ht="29.1" customHeight="1">
      <c r="A6" s="13">
        <v>1</v>
      </c>
      <c r="B6" s="50" t="s">
        <v>3</v>
      </c>
      <c r="C6" s="50"/>
      <c r="D6" s="50"/>
      <c r="E6" s="50"/>
      <c r="F6" s="50"/>
    </row>
    <row r="7" spans="1:23" ht="28.35" customHeight="1">
      <c r="A7" s="13">
        <v>2</v>
      </c>
      <c r="B7" s="50" t="s">
        <v>4</v>
      </c>
      <c r="C7" s="50"/>
      <c r="D7" s="50"/>
      <c r="E7" s="50"/>
      <c r="F7" s="50"/>
    </row>
    <row r="8" spans="1:23" ht="19.350000000000001" customHeight="1">
      <c r="A8" s="13">
        <v>3</v>
      </c>
      <c r="B8" s="50" t="s">
        <v>5</v>
      </c>
      <c r="C8" s="50"/>
      <c r="D8" s="50"/>
      <c r="E8" s="50"/>
      <c r="F8" s="50"/>
    </row>
    <row r="9" spans="1:23">
      <c r="A9" s="14"/>
      <c r="B9" s="14"/>
      <c r="C9" s="6"/>
      <c r="D9" s="6"/>
      <c r="E9" s="6"/>
      <c r="F9" s="6"/>
      <c r="G9" s="6"/>
      <c r="H9" s="6"/>
      <c r="I9" s="6"/>
    </row>
    <row r="10" spans="1:23">
      <c r="A10" s="2"/>
    </row>
  </sheetData>
  <sheetProtection algorithmName="SHA-512" hashValue="G0CoNUK+uCeyWLllkIH1kGtRqPyw2mzYlMKGGOiJh0Y3320REuHBg3XE1Vur3i/EgpM+kCGNtxbfbS6Q4s141w==" saltValue="wbYZVnNF6kecCPkC1uDa+w==" spinCount="100000" sheet="1" objects="1" scenarios="1"/>
  <mergeCells count="5">
    <mergeCell ref="B4:F4"/>
    <mergeCell ref="B8:F8"/>
    <mergeCell ref="B7:F7"/>
    <mergeCell ref="B1:F1"/>
    <mergeCell ref="B6:F6"/>
  </mergeCells>
  <conditionalFormatting sqref="C2:D2">
    <cfRule type="cellIs" dxfId="163" priority="57" operator="equal">
      <formula>"Feedback Sent"</formula>
    </cfRule>
    <cfRule type="cellIs" dxfId="162" priority="58" operator="equal">
      <formula>"Questionnaire Received"</formula>
    </cfRule>
    <cfRule type="containsText" dxfId="161" priority="59" operator="containsText" text="Waiting">
      <formula>NOT(ISERROR(SEARCH("Waiting",C2)))</formula>
    </cfRule>
    <cfRule type="cellIs" dxfId="160" priority="60" operator="equal">
      <formula>"Not Started"</formula>
    </cfRule>
    <cfRule type="cellIs" dxfId="159" priority="61" operator="equal">
      <formula>"Started"</formula>
    </cfRule>
  </conditionalFormatting>
  <conditionalFormatting sqref="H4 H6:H8">
    <cfRule type="cellIs" dxfId="158" priority="16" operator="equal">
      <formula>"Low"</formula>
    </cfRule>
    <cfRule type="cellIs" dxfId="157" priority="17" operator="equal">
      <formula>"Medium"</formula>
    </cfRule>
    <cfRule type="cellIs" dxfId="156" priority="18" operator="equal">
      <formula>"High"</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18"/>
  <sheetViews>
    <sheetView tabSelected="1" zoomScaleNormal="100" workbookViewId="0">
      <selection activeCell="C19" sqref="C19"/>
    </sheetView>
  </sheetViews>
  <sheetFormatPr defaultColWidth="35.5703125" defaultRowHeight="14.45"/>
  <cols>
    <col min="1" max="1" width="10.42578125" style="13" customWidth="1"/>
    <col min="2" max="2" width="78.85546875" style="11" customWidth="1"/>
    <col min="3" max="3" width="70.5703125" style="1" customWidth="1"/>
    <col min="4" max="4" width="98.7109375" style="1" customWidth="1"/>
    <col min="5" max="5" width="25.5703125" style="1" customWidth="1"/>
    <col min="6" max="6" width="21.42578125" style="1" customWidth="1"/>
    <col min="7" max="7" width="16.5703125" style="1" customWidth="1"/>
    <col min="8" max="8" width="15.42578125" style="1" customWidth="1"/>
    <col min="9" max="9" width="22.140625" style="1" customWidth="1"/>
    <col min="10" max="13" width="14" style="1" customWidth="1"/>
    <col min="14" max="15" width="9.85546875" style="1" hidden="1" customWidth="1"/>
    <col min="16" max="16" width="9.85546875" style="1" customWidth="1"/>
    <col min="17" max="16384" width="35.5703125" style="1"/>
  </cols>
  <sheetData>
    <row r="1" spans="1:23" s="3" customFormat="1" ht="15.6">
      <c r="A1" s="57"/>
      <c r="B1" s="58"/>
      <c r="C1" s="59" t="s">
        <v>6</v>
      </c>
      <c r="D1" s="59"/>
      <c r="E1" s="59"/>
      <c r="F1" s="59"/>
      <c r="G1" s="59"/>
      <c r="H1" s="59"/>
      <c r="I1" s="59"/>
      <c r="J1"/>
      <c r="K1"/>
      <c r="L1"/>
      <c r="M1"/>
      <c r="N1"/>
      <c r="O1"/>
    </row>
    <row r="2" spans="1:23" customFormat="1">
      <c r="A2" s="12"/>
      <c r="B2" s="22"/>
      <c r="C2" s="15"/>
      <c r="D2" s="8"/>
      <c r="E2" s="8"/>
      <c r="F2" s="25"/>
      <c r="G2" s="8"/>
      <c r="H2" s="8"/>
      <c r="I2" s="8"/>
      <c r="J2" s="11"/>
      <c r="K2" s="11"/>
      <c r="L2" s="11"/>
      <c r="M2" s="11"/>
      <c r="N2" s="1"/>
      <c r="O2" s="1"/>
      <c r="P2" s="1"/>
      <c r="Q2" s="1"/>
      <c r="R2" s="1"/>
      <c r="S2" s="1"/>
      <c r="T2" s="1"/>
      <c r="U2" s="1"/>
      <c r="V2" s="1"/>
      <c r="W2" s="1"/>
    </row>
    <row r="3" spans="1:23" customFormat="1">
      <c r="A3" s="18"/>
      <c r="B3" s="23" t="s">
        <v>7</v>
      </c>
      <c r="C3" s="31" t="s">
        <v>8</v>
      </c>
      <c r="D3" s="23" t="s">
        <v>9</v>
      </c>
      <c r="E3" s="29" t="s">
        <v>10</v>
      </c>
      <c r="F3" s="23" t="s">
        <v>11</v>
      </c>
      <c r="G3" s="60" t="s">
        <v>12</v>
      </c>
      <c r="H3" s="60"/>
      <c r="I3" s="2"/>
      <c r="J3" s="11"/>
      <c r="K3" s="11"/>
      <c r="L3" s="11"/>
      <c r="M3" s="11"/>
      <c r="N3" s="1"/>
      <c r="O3" s="1"/>
      <c r="P3" s="1"/>
      <c r="Q3" s="1"/>
      <c r="R3" s="1"/>
      <c r="S3" s="1"/>
      <c r="T3" s="1"/>
      <c r="U3" s="1"/>
      <c r="V3" s="1"/>
      <c r="W3" s="1"/>
    </row>
    <row r="4" spans="1:23" customFormat="1">
      <c r="A4" s="19"/>
      <c r="B4" s="23" t="s">
        <v>13</v>
      </c>
      <c r="C4" s="32" t="s">
        <v>14</v>
      </c>
      <c r="D4" s="23" t="s">
        <v>15</v>
      </c>
      <c r="E4" s="29" t="s">
        <v>16</v>
      </c>
      <c r="F4" s="23" t="s">
        <v>17</v>
      </c>
      <c r="G4" s="29"/>
      <c r="H4" s="29"/>
      <c r="I4" s="2"/>
      <c r="J4" s="11"/>
      <c r="K4" s="11"/>
      <c r="L4" s="11"/>
      <c r="M4" s="11"/>
      <c r="N4" s="1"/>
      <c r="O4" s="1"/>
      <c r="P4" s="1"/>
      <c r="Q4" s="1"/>
      <c r="R4" s="1"/>
      <c r="S4" s="1"/>
      <c r="T4" s="1"/>
      <c r="U4" s="1"/>
      <c r="V4" s="1"/>
      <c r="W4" s="1"/>
    </row>
    <row r="5" spans="1:23" customFormat="1">
      <c r="A5" s="19"/>
      <c r="B5" s="23"/>
      <c r="C5" s="32"/>
      <c r="D5" s="23" t="s">
        <v>18</v>
      </c>
      <c r="E5" s="29" t="s">
        <v>19</v>
      </c>
      <c r="F5" s="23" t="s">
        <v>20</v>
      </c>
      <c r="G5" s="29"/>
      <c r="H5" s="29"/>
      <c r="I5" s="2"/>
      <c r="J5" s="11"/>
      <c r="K5" s="11"/>
      <c r="L5" s="11"/>
      <c r="M5" s="11"/>
      <c r="N5" s="1"/>
      <c r="O5" s="1"/>
      <c r="P5" s="1"/>
      <c r="Q5" s="1"/>
      <c r="R5" s="1"/>
      <c r="S5" s="1"/>
      <c r="T5" s="1"/>
      <c r="U5" s="1"/>
      <c r="V5" s="1"/>
      <c r="W5" s="1"/>
    </row>
    <row r="6" spans="1:23" customFormat="1">
      <c r="A6" s="18"/>
      <c r="B6" s="23" t="s">
        <v>21</v>
      </c>
      <c r="C6" s="32" t="s">
        <v>22</v>
      </c>
      <c r="D6" s="23" t="s">
        <v>23</v>
      </c>
      <c r="E6" s="29"/>
      <c r="F6" s="23" t="s">
        <v>24</v>
      </c>
      <c r="G6" s="29"/>
      <c r="H6" s="29"/>
      <c r="I6" s="2"/>
      <c r="J6" s="11"/>
      <c r="K6" s="11"/>
      <c r="L6" s="11"/>
      <c r="M6" s="11"/>
      <c r="N6" s="1"/>
      <c r="O6" s="1"/>
      <c r="P6" s="1"/>
      <c r="Q6" s="1"/>
      <c r="R6" s="1"/>
      <c r="S6" s="1"/>
      <c r="T6" s="1"/>
      <c r="U6" s="1"/>
      <c r="V6" s="1"/>
      <c r="W6" s="1"/>
    </row>
    <row r="7" spans="1:23" customFormat="1">
      <c r="A7" s="18"/>
      <c r="B7" s="23" t="s">
        <v>25</v>
      </c>
      <c r="C7" s="32" t="s">
        <v>22</v>
      </c>
      <c r="D7" s="23"/>
      <c r="E7" s="29"/>
      <c r="F7" s="23"/>
      <c r="G7" s="29"/>
      <c r="H7" s="29"/>
      <c r="I7" s="2"/>
      <c r="J7" s="11"/>
      <c r="K7" s="11"/>
      <c r="L7" s="11"/>
      <c r="M7" s="11"/>
      <c r="N7" s="1"/>
      <c r="O7" s="1"/>
      <c r="P7" s="1"/>
      <c r="Q7" s="1"/>
      <c r="R7" s="1"/>
      <c r="S7" s="1"/>
      <c r="T7" s="1"/>
      <c r="U7" s="1"/>
      <c r="V7" s="1"/>
      <c r="W7" s="1"/>
    </row>
    <row r="8" spans="1:23" customFormat="1">
      <c r="A8" s="19"/>
      <c r="B8" s="23" t="s">
        <v>26</v>
      </c>
      <c r="C8" s="32"/>
      <c r="D8" s="23" t="s">
        <v>27</v>
      </c>
      <c r="E8" s="29"/>
      <c r="F8" s="23" t="s">
        <v>28</v>
      </c>
      <c r="G8" s="29"/>
      <c r="H8" s="29"/>
      <c r="I8" s="2"/>
      <c r="J8" s="11"/>
      <c r="K8" s="11"/>
      <c r="L8" s="11"/>
      <c r="M8" s="11"/>
      <c r="N8" s="1"/>
      <c r="O8" s="1"/>
      <c r="P8" s="1"/>
      <c r="Q8" s="1"/>
      <c r="R8" s="1"/>
      <c r="S8" s="1"/>
      <c r="T8" s="1"/>
      <c r="U8" s="1"/>
      <c r="V8" s="1"/>
      <c r="W8" s="1"/>
    </row>
    <row r="9" spans="1:23" customFormat="1">
      <c r="A9" s="19"/>
      <c r="B9" s="23" t="s">
        <v>29</v>
      </c>
      <c r="C9" s="32" t="s">
        <v>30</v>
      </c>
      <c r="D9" s="23" t="s">
        <v>31</v>
      </c>
      <c r="E9" s="29"/>
      <c r="F9" s="23" t="s">
        <v>32</v>
      </c>
      <c r="G9" s="29"/>
      <c r="H9" s="29"/>
      <c r="I9" s="2"/>
      <c r="J9" s="11"/>
      <c r="K9" s="11"/>
      <c r="L9" s="11"/>
      <c r="M9" s="11"/>
      <c r="N9" s="1"/>
      <c r="O9" s="1"/>
      <c r="P9" s="1"/>
      <c r="Q9" s="1"/>
      <c r="R9" s="1"/>
      <c r="S9" s="1"/>
      <c r="T9" s="1"/>
      <c r="U9" s="1"/>
      <c r="V9" s="1"/>
      <c r="W9" s="1"/>
    </row>
    <row r="10" spans="1:23" customFormat="1">
      <c r="A10" s="12"/>
      <c r="B10" s="22"/>
      <c r="C10" s="15"/>
      <c r="D10" s="8"/>
      <c r="E10" s="8"/>
      <c r="F10" s="8"/>
      <c r="G10" s="8"/>
      <c r="H10" s="8"/>
      <c r="I10" s="8"/>
      <c r="J10" s="11"/>
      <c r="K10" s="11"/>
      <c r="L10" s="11"/>
      <c r="M10" s="11"/>
      <c r="N10" s="1"/>
      <c r="O10" s="1"/>
      <c r="P10" s="1"/>
      <c r="Q10" s="1"/>
      <c r="R10" s="1"/>
      <c r="S10" s="1"/>
      <c r="T10" s="1"/>
      <c r="U10" s="1"/>
      <c r="V10" s="1"/>
      <c r="W10" s="1"/>
    </row>
    <row r="11" spans="1:23" s="10" customFormat="1">
      <c r="A11" s="13" t="s">
        <v>33</v>
      </c>
      <c r="B11" s="9" t="s">
        <v>34</v>
      </c>
      <c r="C11" s="9" t="s">
        <v>35</v>
      </c>
      <c r="D11" s="9" t="s">
        <v>36</v>
      </c>
      <c r="E11" s="9" t="s">
        <v>37</v>
      </c>
      <c r="F11" s="9" t="s">
        <v>37</v>
      </c>
      <c r="G11" s="9" t="s">
        <v>38</v>
      </c>
      <c r="H11" s="9" t="s">
        <v>39</v>
      </c>
      <c r="I11" s="9" t="s">
        <v>40</v>
      </c>
      <c r="J11" s="17" t="s">
        <v>41</v>
      </c>
      <c r="K11" s="17" t="s">
        <v>42</v>
      </c>
      <c r="L11" s="17" t="s">
        <v>39</v>
      </c>
      <c r="M11" s="17" t="s">
        <v>43</v>
      </c>
    </row>
    <row r="12" spans="1:23" s="4" customFormat="1">
      <c r="A12" s="14"/>
      <c r="B12" s="14" t="s">
        <v>44</v>
      </c>
      <c r="C12" s="5"/>
      <c r="D12" s="5"/>
      <c r="E12" s="5"/>
      <c r="F12" s="5"/>
      <c r="G12" s="5"/>
      <c r="H12" s="5"/>
      <c r="I12" s="5"/>
    </row>
    <row r="13" spans="1:23">
      <c r="A13" s="16" t="s">
        <v>45</v>
      </c>
      <c r="B13" s="16" t="s">
        <v>46</v>
      </c>
      <c r="C13" s="7"/>
      <c r="D13" s="7"/>
      <c r="E13" s="7"/>
      <c r="F13" s="7"/>
      <c r="G13" s="7"/>
      <c r="H13" s="7"/>
      <c r="I13" s="7"/>
    </row>
    <row r="14" spans="1:23" ht="72">
      <c r="A14" s="13" t="s">
        <v>47</v>
      </c>
      <c r="B14" s="11" t="s">
        <v>48</v>
      </c>
      <c r="C14" s="29" t="s">
        <v>49</v>
      </c>
      <c r="D14" s="29" t="s">
        <v>49</v>
      </c>
    </row>
    <row r="15" spans="1:23" ht="57.6">
      <c r="A15" s="13" t="s">
        <v>50</v>
      </c>
      <c r="B15" s="11" t="s">
        <v>51</v>
      </c>
      <c r="C15" s="29" t="s">
        <v>52</v>
      </c>
      <c r="D15" s="29" t="s">
        <v>53</v>
      </c>
    </row>
    <row r="16" spans="1:23">
      <c r="A16" s="13" t="s">
        <v>54</v>
      </c>
      <c r="B16" s="11" t="s">
        <v>55</v>
      </c>
      <c r="D16" s="29" t="s">
        <v>56</v>
      </c>
    </row>
    <row r="17" spans="1:13">
      <c r="A17" s="13" t="s">
        <v>57</v>
      </c>
      <c r="B17" s="11" t="s">
        <v>58</v>
      </c>
      <c r="C17" s="1" t="s">
        <v>59</v>
      </c>
      <c r="D17" s="29" t="s">
        <v>60</v>
      </c>
    </row>
    <row r="18" spans="1:13">
      <c r="A18" s="16" t="s">
        <v>61</v>
      </c>
      <c r="B18" s="16" t="s">
        <v>62</v>
      </c>
      <c r="C18" s="17" t="s">
        <v>35</v>
      </c>
      <c r="D18" s="17" t="s">
        <v>36</v>
      </c>
      <c r="E18" s="17" t="s">
        <v>37</v>
      </c>
      <c r="F18" s="17" t="s">
        <v>37</v>
      </c>
      <c r="G18" s="17" t="s">
        <v>38</v>
      </c>
      <c r="H18" s="17" t="s">
        <v>39</v>
      </c>
      <c r="I18" s="17" t="s">
        <v>40</v>
      </c>
      <c r="J18" s="17" t="s">
        <v>41</v>
      </c>
      <c r="K18" s="17" t="s">
        <v>42</v>
      </c>
      <c r="L18" s="17" t="s">
        <v>39</v>
      </c>
      <c r="M18" s="17" t="s">
        <v>43</v>
      </c>
    </row>
    <row r="19" spans="1:13" ht="30.75">
      <c r="A19" s="13" t="s">
        <v>63</v>
      </c>
      <c r="B19" s="11" t="s">
        <v>64</v>
      </c>
      <c r="C19" s="29" t="s">
        <v>65</v>
      </c>
      <c r="D19" s="29" t="s">
        <v>56</v>
      </c>
    </row>
    <row r="20" spans="1:13" ht="28.9">
      <c r="A20" s="13" t="s">
        <v>66</v>
      </c>
      <c r="B20" s="11" t="s">
        <v>67</v>
      </c>
      <c r="C20" s="29" t="s">
        <v>68</v>
      </c>
      <c r="D20" s="29" t="s">
        <v>69</v>
      </c>
    </row>
    <row r="21" spans="1:13">
      <c r="A21" s="13" t="s">
        <v>70</v>
      </c>
      <c r="B21" s="20" t="s">
        <v>71</v>
      </c>
      <c r="C21" s="29"/>
      <c r="D21" s="29" t="s">
        <v>72</v>
      </c>
    </row>
    <row r="22" spans="1:13" ht="28.9">
      <c r="A22" s="13" t="s">
        <v>73</v>
      </c>
      <c r="B22" s="20" t="s">
        <v>74</v>
      </c>
      <c r="C22" s="29" t="s">
        <v>75</v>
      </c>
      <c r="D22" s="29" t="s">
        <v>76</v>
      </c>
    </row>
    <row r="23" spans="1:13">
      <c r="A23" s="13" t="s">
        <v>77</v>
      </c>
      <c r="B23" s="11" t="s">
        <v>78</v>
      </c>
      <c r="C23" s="29"/>
      <c r="D23" s="29" t="s">
        <v>65</v>
      </c>
    </row>
    <row r="24" spans="1:13" ht="28.9">
      <c r="A24" s="13" t="s">
        <v>79</v>
      </c>
      <c r="B24" s="11" t="s">
        <v>80</v>
      </c>
      <c r="C24" s="29" t="s">
        <v>81</v>
      </c>
      <c r="D24" s="29" t="s">
        <v>82</v>
      </c>
    </row>
    <row r="25" spans="1:13">
      <c r="A25" s="16" t="s">
        <v>83</v>
      </c>
      <c r="B25" s="16" t="s">
        <v>84</v>
      </c>
      <c r="C25" s="17" t="s">
        <v>35</v>
      </c>
      <c r="D25" s="17" t="s">
        <v>36</v>
      </c>
      <c r="E25" s="17" t="s">
        <v>37</v>
      </c>
      <c r="F25" s="17" t="s">
        <v>37</v>
      </c>
      <c r="G25" s="17" t="s">
        <v>38</v>
      </c>
      <c r="H25" s="17" t="s">
        <v>39</v>
      </c>
      <c r="I25" s="17" t="s">
        <v>40</v>
      </c>
      <c r="J25" s="17" t="s">
        <v>41</v>
      </c>
      <c r="K25" s="17" t="s">
        <v>42</v>
      </c>
      <c r="L25" s="17" t="s">
        <v>39</v>
      </c>
      <c r="M25" s="17" t="s">
        <v>43</v>
      </c>
    </row>
    <row r="26" spans="1:13" ht="28.9">
      <c r="A26" s="13" t="s">
        <v>85</v>
      </c>
      <c r="B26" s="11" t="s">
        <v>86</v>
      </c>
      <c r="C26" s="29" t="s">
        <v>87</v>
      </c>
      <c r="D26" s="29" t="s">
        <v>88</v>
      </c>
    </row>
    <row r="27" spans="1:13" ht="28.9">
      <c r="A27" s="13" t="s">
        <v>89</v>
      </c>
      <c r="B27" s="11" t="s">
        <v>90</v>
      </c>
      <c r="C27" s="29" t="s">
        <v>91</v>
      </c>
      <c r="D27" s="29" t="s">
        <v>92</v>
      </c>
    </row>
    <row r="28" spans="1:13">
      <c r="A28" s="13" t="s">
        <v>93</v>
      </c>
      <c r="B28" s="11" t="s">
        <v>94</v>
      </c>
      <c r="C28" s="29"/>
      <c r="D28" s="29" t="s">
        <v>95</v>
      </c>
    </row>
    <row r="29" spans="1:13">
      <c r="A29" s="16" t="s">
        <v>96</v>
      </c>
      <c r="B29" s="16" t="s">
        <v>97</v>
      </c>
      <c r="C29" s="17" t="s">
        <v>35</v>
      </c>
      <c r="D29" s="17" t="s">
        <v>36</v>
      </c>
      <c r="E29" s="17" t="s">
        <v>37</v>
      </c>
      <c r="F29" s="17" t="s">
        <v>37</v>
      </c>
      <c r="G29" s="17" t="s">
        <v>38</v>
      </c>
      <c r="H29" s="17" t="s">
        <v>39</v>
      </c>
      <c r="I29" s="17" t="s">
        <v>40</v>
      </c>
      <c r="J29" s="17" t="s">
        <v>41</v>
      </c>
      <c r="K29" s="17" t="s">
        <v>42</v>
      </c>
      <c r="L29" s="17" t="s">
        <v>39</v>
      </c>
      <c r="M29" s="17" t="s">
        <v>43</v>
      </c>
    </row>
    <row r="30" spans="1:13" ht="28.9">
      <c r="A30" s="13" t="s">
        <v>98</v>
      </c>
      <c r="B30" s="11" t="s">
        <v>99</v>
      </c>
      <c r="C30" s="29" t="s">
        <v>100</v>
      </c>
      <c r="D30" s="29" t="s">
        <v>101</v>
      </c>
    </row>
    <row r="31" spans="1:13" ht="28.9">
      <c r="A31" s="13" t="s">
        <v>102</v>
      </c>
      <c r="B31" s="11" t="s">
        <v>103</v>
      </c>
      <c r="C31" s="29" t="s">
        <v>65</v>
      </c>
      <c r="D31" s="29" t="s">
        <v>104</v>
      </c>
    </row>
    <row r="32" spans="1:13" ht="43.15">
      <c r="A32" s="13" t="s">
        <v>105</v>
      </c>
      <c r="B32" s="11" t="s">
        <v>106</v>
      </c>
      <c r="C32" s="29" t="s">
        <v>107</v>
      </c>
      <c r="D32" s="29" t="s">
        <v>108</v>
      </c>
    </row>
    <row r="33" spans="1:15" s="4" customFormat="1">
      <c r="A33" s="16" t="s">
        <v>109</v>
      </c>
      <c r="B33" s="16" t="s">
        <v>110</v>
      </c>
      <c r="C33" s="17" t="s">
        <v>35</v>
      </c>
      <c r="D33" s="17" t="s">
        <v>36</v>
      </c>
      <c r="E33" s="17" t="s">
        <v>37</v>
      </c>
      <c r="F33" s="17" t="s">
        <v>37</v>
      </c>
      <c r="G33" s="17" t="s">
        <v>38</v>
      </c>
      <c r="H33" s="17" t="s">
        <v>39</v>
      </c>
      <c r="I33" s="17" t="s">
        <v>40</v>
      </c>
      <c r="J33" s="17" t="s">
        <v>41</v>
      </c>
      <c r="K33" s="17" t="s">
        <v>42</v>
      </c>
      <c r="L33" s="17" t="s">
        <v>39</v>
      </c>
      <c r="M33" s="17" t="s">
        <v>43</v>
      </c>
    </row>
    <row r="34" spans="1:15">
      <c r="A34" s="13" t="s">
        <v>111</v>
      </c>
      <c r="B34" s="11" t="s">
        <v>112</v>
      </c>
      <c r="C34" s="29" t="s">
        <v>22</v>
      </c>
      <c r="D34" s="29" t="s">
        <v>113</v>
      </c>
    </row>
    <row r="35" spans="1:15">
      <c r="A35" s="13" t="s">
        <v>114</v>
      </c>
      <c r="B35" s="11" t="s">
        <v>115</v>
      </c>
      <c r="C35" s="29" t="s">
        <v>116</v>
      </c>
      <c r="D35" s="29" t="s">
        <v>117</v>
      </c>
    </row>
    <row r="36" spans="1:15">
      <c r="A36" s="13" t="s">
        <v>118</v>
      </c>
      <c r="B36" s="20" t="s">
        <v>119</v>
      </c>
      <c r="C36" s="29"/>
      <c r="D36" s="29" t="s">
        <v>120</v>
      </c>
    </row>
    <row r="37" spans="1:15">
      <c r="A37" s="16" t="s">
        <v>121</v>
      </c>
      <c r="B37" s="16" t="s">
        <v>122</v>
      </c>
      <c r="C37" s="17" t="s">
        <v>35</v>
      </c>
      <c r="D37" s="17" t="s">
        <v>36</v>
      </c>
      <c r="E37" s="17" t="s">
        <v>37</v>
      </c>
      <c r="F37" s="17" t="s">
        <v>37</v>
      </c>
      <c r="G37" s="17" t="s">
        <v>38</v>
      </c>
      <c r="H37" s="17" t="s">
        <v>39</v>
      </c>
      <c r="I37" s="17" t="s">
        <v>40</v>
      </c>
      <c r="J37" s="17" t="s">
        <v>41</v>
      </c>
      <c r="K37" s="17" t="s">
        <v>42</v>
      </c>
      <c r="L37" s="17" t="s">
        <v>39</v>
      </c>
      <c r="M37" s="17" t="s">
        <v>43</v>
      </c>
    </row>
    <row r="38" spans="1:15">
      <c r="A38" s="13" t="s">
        <v>123</v>
      </c>
      <c r="B38" s="11" t="s">
        <v>124</v>
      </c>
      <c r="C38" s="29" t="s">
        <v>125</v>
      </c>
      <c r="D38" s="29" t="s">
        <v>126</v>
      </c>
    </row>
    <row r="39" spans="1:15" ht="28.9">
      <c r="A39" s="13" t="s">
        <v>127</v>
      </c>
      <c r="B39" s="11" t="s">
        <v>128</v>
      </c>
      <c r="C39" s="29" t="s">
        <v>129</v>
      </c>
      <c r="D39" s="29" t="s">
        <v>129</v>
      </c>
    </row>
    <row r="40" spans="1:15">
      <c r="A40" s="14"/>
      <c r="B40" s="14" t="s">
        <v>130</v>
      </c>
      <c r="C40" s="5"/>
      <c r="D40" s="5"/>
      <c r="E40" s="5"/>
      <c r="F40" s="5"/>
      <c r="G40" s="5"/>
      <c r="H40" s="5"/>
      <c r="I40" s="5"/>
    </row>
    <row r="41" spans="1:15">
      <c r="A41" s="16" t="s">
        <v>131</v>
      </c>
      <c r="B41" s="16" t="s">
        <v>132</v>
      </c>
      <c r="C41" s="17" t="s">
        <v>35</v>
      </c>
      <c r="D41" s="17" t="s">
        <v>36</v>
      </c>
      <c r="E41" s="17" t="s">
        <v>37</v>
      </c>
      <c r="F41" s="17" t="s">
        <v>37</v>
      </c>
      <c r="G41" s="17" t="s">
        <v>38</v>
      </c>
      <c r="H41" s="17" t="s">
        <v>39</v>
      </c>
      <c r="I41" s="17" t="s">
        <v>40</v>
      </c>
      <c r="J41" s="17" t="s">
        <v>41</v>
      </c>
      <c r="K41" s="17" t="s">
        <v>42</v>
      </c>
      <c r="L41" s="17" t="s">
        <v>39</v>
      </c>
      <c r="M41" s="17" t="s">
        <v>43</v>
      </c>
    </row>
    <row r="42" spans="1:15">
      <c r="A42" s="13" t="s">
        <v>133</v>
      </c>
      <c r="B42" s="11" t="s">
        <v>134</v>
      </c>
      <c r="C42" s="29" t="s">
        <v>135</v>
      </c>
      <c r="D42" s="29"/>
      <c r="L42" s="1" t="str">
        <f t="shared" ref="L42:L55" si="0">IF(M42=0,"",IF(M42&lt;3,"Low",IF(M42&lt;6,"Medium","High")))</f>
        <v/>
      </c>
      <c r="M42">
        <f>PRODUCT(N42:O42)</f>
        <v>0</v>
      </c>
      <c r="N42" s="1">
        <f>IF(J42="Low",1,IF(J42="Medium",2,IF(J42="High",3,0)))</f>
        <v>0</v>
      </c>
      <c r="O42" s="1">
        <f t="shared" ref="O42" si="1">IF(K42="Low",1,IF(K42="Medium",2,IF(K42="High",3,0)))</f>
        <v>0</v>
      </c>
    </row>
    <row r="43" spans="1:15" ht="28.9">
      <c r="A43" s="13" t="s">
        <v>136</v>
      </c>
      <c r="B43" s="20" t="s">
        <v>137</v>
      </c>
      <c r="C43" s="29" t="s">
        <v>138</v>
      </c>
      <c r="D43" s="29"/>
      <c r="L43" s="1" t="str">
        <f t="shared" si="0"/>
        <v/>
      </c>
      <c r="M43">
        <f t="shared" ref="M43:M54" si="2">PRODUCT(N43:O43)</f>
        <v>0</v>
      </c>
      <c r="N43" s="1">
        <f>IF(J43="Low",1,IF(J43="Medium",2,IF(J43="High",3,0)))</f>
        <v>0</v>
      </c>
      <c r="O43" s="1">
        <f t="shared" ref="O43" si="3">IF(K43="Low",1,IF(K43="Medium",2,IF(K43="High",3,0)))</f>
        <v>0</v>
      </c>
    </row>
    <row r="44" spans="1:15" ht="28.9">
      <c r="A44" s="13" t="s">
        <v>139</v>
      </c>
      <c r="B44" s="11" t="s">
        <v>140</v>
      </c>
      <c r="C44" s="29" t="s">
        <v>141</v>
      </c>
      <c r="D44" s="29"/>
      <c r="L44" s="1" t="str">
        <f t="shared" si="0"/>
        <v/>
      </c>
      <c r="M44">
        <f t="shared" si="2"/>
        <v>0</v>
      </c>
      <c r="N44" s="1">
        <f t="shared" ref="N44:N49" si="4">IF(J44="Low",1,IF(J44="Medium",2,IF(J44="High",3,0)))</f>
        <v>0</v>
      </c>
      <c r="O44" s="1">
        <f t="shared" ref="O44:O49" si="5">IF(K44="Low",1,IF(K44="Medium",2,IF(K44="High",3,0)))</f>
        <v>0</v>
      </c>
    </row>
    <row r="45" spans="1:15" ht="43.15">
      <c r="A45" s="13" t="s">
        <v>142</v>
      </c>
      <c r="B45" s="11" t="s">
        <v>143</v>
      </c>
      <c r="C45" s="29" t="s">
        <v>144</v>
      </c>
      <c r="D45" s="29"/>
      <c r="L45" s="1" t="str">
        <f t="shared" si="0"/>
        <v/>
      </c>
      <c r="M45">
        <f t="shared" si="2"/>
        <v>0</v>
      </c>
      <c r="N45" s="1">
        <f t="shared" si="4"/>
        <v>0</v>
      </c>
      <c r="O45" s="1">
        <f t="shared" si="5"/>
        <v>0</v>
      </c>
    </row>
    <row r="46" spans="1:15">
      <c r="A46" s="13" t="s">
        <v>145</v>
      </c>
      <c r="B46" s="20" t="s">
        <v>146</v>
      </c>
      <c r="C46" s="29" t="s">
        <v>147</v>
      </c>
      <c r="D46" s="29"/>
      <c r="L46" s="1" t="str">
        <f t="shared" si="0"/>
        <v/>
      </c>
      <c r="M46">
        <f t="shared" si="2"/>
        <v>0</v>
      </c>
      <c r="N46" s="1">
        <f t="shared" si="4"/>
        <v>0</v>
      </c>
      <c r="O46" s="1">
        <f t="shared" si="5"/>
        <v>0</v>
      </c>
    </row>
    <row r="47" spans="1:15">
      <c r="A47" s="13" t="s">
        <v>148</v>
      </c>
      <c r="B47" s="20" t="s">
        <v>149</v>
      </c>
      <c r="C47" s="29" t="s">
        <v>22</v>
      </c>
      <c r="D47" s="29"/>
      <c r="L47" s="1" t="str">
        <f t="shared" si="0"/>
        <v/>
      </c>
      <c r="M47">
        <f t="shared" si="2"/>
        <v>0</v>
      </c>
      <c r="N47" s="1">
        <f t="shared" si="4"/>
        <v>0</v>
      </c>
      <c r="O47" s="1">
        <f t="shared" si="5"/>
        <v>0</v>
      </c>
    </row>
    <row r="48" spans="1:15" ht="28.9">
      <c r="A48" s="13" t="s">
        <v>150</v>
      </c>
      <c r="B48" s="20" t="s">
        <v>151</v>
      </c>
      <c r="C48" s="29" t="s">
        <v>152</v>
      </c>
      <c r="D48" s="29"/>
      <c r="L48" s="1" t="str">
        <f t="shared" si="0"/>
        <v/>
      </c>
      <c r="M48">
        <f t="shared" si="2"/>
        <v>0</v>
      </c>
      <c r="N48" s="1">
        <f t="shared" si="4"/>
        <v>0</v>
      </c>
      <c r="O48" s="1">
        <f t="shared" si="5"/>
        <v>0</v>
      </c>
    </row>
    <row r="49" spans="1:15" ht="28.9">
      <c r="A49" s="13" t="s">
        <v>153</v>
      </c>
      <c r="B49" s="20" t="s">
        <v>154</v>
      </c>
      <c r="C49" s="29" t="s">
        <v>155</v>
      </c>
      <c r="D49" s="29"/>
      <c r="L49" s="1" t="str">
        <f t="shared" si="0"/>
        <v/>
      </c>
      <c r="M49">
        <f t="shared" si="2"/>
        <v>0</v>
      </c>
      <c r="N49" s="1">
        <f t="shared" si="4"/>
        <v>0</v>
      </c>
      <c r="O49" s="1">
        <f t="shared" si="5"/>
        <v>0</v>
      </c>
    </row>
    <row r="50" spans="1:15">
      <c r="B50" s="52" t="s">
        <v>156</v>
      </c>
      <c r="C50" s="53"/>
      <c r="D50" s="53"/>
      <c r="E50" s="53"/>
      <c r="F50" s="53"/>
      <c r="G50" s="53"/>
      <c r="H50" s="53"/>
      <c r="I50" s="53"/>
      <c r="M50" s="37">
        <f>MAX(M42:M49)</f>
        <v>0</v>
      </c>
    </row>
    <row r="51" spans="1:15">
      <c r="A51" s="16" t="s">
        <v>157</v>
      </c>
      <c r="B51" s="16" t="s">
        <v>158</v>
      </c>
      <c r="C51" s="17" t="s">
        <v>35</v>
      </c>
      <c r="D51" s="17" t="s">
        <v>36</v>
      </c>
      <c r="E51" s="17" t="s">
        <v>37</v>
      </c>
      <c r="F51" s="17" t="s">
        <v>37</v>
      </c>
      <c r="G51" s="17" t="s">
        <v>38</v>
      </c>
      <c r="H51" s="17" t="s">
        <v>39</v>
      </c>
      <c r="I51" s="17" t="s">
        <v>40</v>
      </c>
      <c r="J51" s="17" t="s">
        <v>41</v>
      </c>
      <c r="K51" s="17" t="s">
        <v>42</v>
      </c>
      <c r="L51" s="17" t="s">
        <v>39</v>
      </c>
      <c r="M51" s="17" t="s">
        <v>43</v>
      </c>
    </row>
    <row r="52" spans="1:15" ht="43.15">
      <c r="A52" s="13" t="s">
        <v>159</v>
      </c>
      <c r="B52" s="11" t="s">
        <v>160</v>
      </c>
      <c r="C52" s="29" t="s">
        <v>161</v>
      </c>
      <c r="D52" s="29"/>
      <c r="L52" s="1" t="str">
        <f t="shared" si="0"/>
        <v/>
      </c>
      <c r="M52">
        <f t="shared" si="2"/>
        <v>0</v>
      </c>
      <c r="N52" s="1">
        <f t="shared" ref="N52" si="6">IF(J52="Low",1,IF(J52="Medium",2,IF(J52="High",3,0)))</f>
        <v>0</v>
      </c>
      <c r="O52" s="1">
        <f t="shared" ref="O52" si="7">IF(K52="Low",1,IF(K52="Medium",2,IF(K52="High",3,0)))</f>
        <v>0</v>
      </c>
    </row>
    <row r="53" spans="1:15">
      <c r="A53" s="13" t="s">
        <v>162</v>
      </c>
      <c r="B53" s="11" t="s">
        <v>163</v>
      </c>
      <c r="C53" s="29" t="s">
        <v>164</v>
      </c>
      <c r="D53" s="29"/>
      <c r="L53" s="1" t="str">
        <f t="shared" si="0"/>
        <v/>
      </c>
      <c r="M53">
        <f t="shared" si="2"/>
        <v>0</v>
      </c>
      <c r="N53" s="1">
        <f t="shared" ref="N53:N54" si="8">IF(J53="Low",1,IF(J53="Medium",2,IF(J53="High",3,0)))</f>
        <v>0</v>
      </c>
      <c r="O53" s="1">
        <f t="shared" ref="O53:O54" si="9">IF(K53="Low",1,IF(K53="Medium",2,IF(K53="High",3,0)))</f>
        <v>0</v>
      </c>
    </row>
    <row r="54" spans="1:15">
      <c r="A54" s="13" t="s">
        <v>165</v>
      </c>
      <c r="B54" s="11" t="s">
        <v>166</v>
      </c>
      <c r="C54" s="29" t="s">
        <v>167</v>
      </c>
      <c r="D54" s="29"/>
      <c r="L54" s="1" t="str">
        <f t="shared" si="0"/>
        <v/>
      </c>
      <c r="M54">
        <f t="shared" si="2"/>
        <v>0</v>
      </c>
      <c r="N54" s="1">
        <f t="shared" si="8"/>
        <v>0</v>
      </c>
      <c r="O54" s="1">
        <f t="shared" si="9"/>
        <v>0</v>
      </c>
    </row>
    <row r="55" spans="1:15">
      <c r="B55" s="52" t="s">
        <v>168</v>
      </c>
      <c r="C55" s="53"/>
      <c r="D55" s="53"/>
      <c r="E55" s="53"/>
      <c r="F55" s="53"/>
      <c r="G55" s="53"/>
      <c r="H55" s="53"/>
      <c r="I55" s="53"/>
      <c r="L55" s="1" t="str">
        <f t="shared" si="0"/>
        <v/>
      </c>
      <c r="M55" s="37">
        <f>MAX(M52:M54)</f>
        <v>0</v>
      </c>
    </row>
    <row r="56" spans="1:15">
      <c r="A56" s="16" t="s">
        <v>169</v>
      </c>
      <c r="B56" s="16" t="s">
        <v>170</v>
      </c>
      <c r="C56" s="17" t="s">
        <v>35</v>
      </c>
      <c r="D56" s="17" t="s">
        <v>36</v>
      </c>
      <c r="E56" s="17" t="s">
        <v>37</v>
      </c>
      <c r="F56" s="17" t="s">
        <v>37</v>
      </c>
      <c r="G56" s="17" t="s">
        <v>38</v>
      </c>
      <c r="H56" s="17" t="s">
        <v>39</v>
      </c>
      <c r="I56" s="17" t="s">
        <v>40</v>
      </c>
      <c r="J56" s="17" t="s">
        <v>41</v>
      </c>
      <c r="K56" s="17" t="s">
        <v>42</v>
      </c>
      <c r="L56" s="17" t="s">
        <v>39</v>
      </c>
      <c r="M56" s="17" t="s">
        <v>43</v>
      </c>
    </row>
    <row r="57" spans="1:15">
      <c r="A57" s="13" t="s">
        <v>171</v>
      </c>
      <c r="B57" s="11" t="s">
        <v>172</v>
      </c>
      <c r="C57" s="29" t="s">
        <v>22</v>
      </c>
      <c r="D57" s="29"/>
      <c r="L57" s="1" t="str">
        <f t="shared" ref="L57:L93" si="10">IF(M57=0,"",IF(M57&lt;3,"Low",IF(M57&lt;6,"Medium","High")))</f>
        <v/>
      </c>
      <c r="M57">
        <f t="shared" ref="M57:M64" si="11">PRODUCT(N57:O57)</f>
        <v>0</v>
      </c>
      <c r="N57" s="1">
        <f t="shared" ref="N57" si="12">IF(J57="Low",1,IF(J57="Medium",2,IF(J57="High",3,0)))</f>
        <v>0</v>
      </c>
      <c r="O57" s="1">
        <f t="shared" ref="O57" si="13">IF(K57="Low",1,IF(K57="Medium",2,IF(K57="High",3,0)))</f>
        <v>0</v>
      </c>
    </row>
    <row r="58" spans="1:15" ht="28.9">
      <c r="A58" s="13" t="s">
        <v>173</v>
      </c>
      <c r="B58" s="11" t="s">
        <v>174</v>
      </c>
      <c r="C58" s="29" t="s">
        <v>175</v>
      </c>
      <c r="D58" s="29"/>
      <c r="L58" s="1" t="str">
        <f t="shared" si="10"/>
        <v/>
      </c>
      <c r="M58">
        <f t="shared" si="11"/>
        <v>0</v>
      </c>
      <c r="N58" s="1">
        <f t="shared" ref="N58:N63" si="14">IF(J58="Low",1,IF(J58="Medium",2,IF(J58="High",3,0)))</f>
        <v>0</v>
      </c>
      <c r="O58" s="1">
        <f t="shared" ref="O58:O63" si="15">IF(K58="Low",1,IF(K58="Medium",2,IF(K58="High",3,0)))</f>
        <v>0</v>
      </c>
    </row>
    <row r="59" spans="1:15">
      <c r="A59" s="13" t="s">
        <v>176</v>
      </c>
      <c r="B59" s="30" t="s">
        <v>177</v>
      </c>
      <c r="C59" s="29" t="s">
        <v>178</v>
      </c>
      <c r="D59" s="29"/>
      <c r="L59" s="1" t="str">
        <f t="shared" si="10"/>
        <v/>
      </c>
      <c r="M59">
        <f t="shared" si="11"/>
        <v>0</v>
      </c>
      <c r="N59" s="1">
        <f t="shared" si="14"/>
        <v>0</v>
      </c>
      <c r="O59" s="1">
        <f t="shared" si="15"/>
        <v>0</v>
      </c>
    </row>
    <row r="60" spans="1:15">
      <c r="A60" s="13" t="s">
        <v>179</v>
      </c>
      <c r="B60" s="11" t="s">
        <v>180</v>
      </c>
      <c r="C60" s="29" t="s">
        <v>181</v>
      </c>
      <c r="D60" s="29"/>
      <c r="L60" s="1" t="str">
        <f t="shared" si="10"/>
        <v/>
      </c>
      <c r="M60">
        <f t="shared" si="11"/>
        <v>0</v>
      </c>
      <c r="N60" s="1">
        <f t="shared" si="14"/>
        <v>0</v>
      </c>
      <c r="O60" s="1">
        <f t="shared" si="15"/>
        <v>0</v>
      </c>
    </row>
    <row r="61" spans="1:15" ht="28.9" customHeight="1">
      <c r="A61" s="13" t="s">
        <v>182</v>
      </c>
      <c r="B61" s="11" t="s">
        <v>183</v>
      </c>
      <c r="C61" s="56" t="s">
        <v>184</v>
      </c>
      <c r="D61" s="29"/>
      <c r="L61" s="1" t="str">
        <f t="shared" si="10"/>
        <v/>
      </c>
      <c r="M61">
        <f t="shared" si="11"/>
        <v>0</v>
      </c>
      <c r="N61" s="1">
        <f t="shared" si="14"/>
        <v>0</v>
      </c>
      <c r="O61" s="1">
        <f t="shared" si="15"/>
        <v>0</v>
      </c>
    </row>
    <row r="62" spans="1:15">
      <c r="A62" s="13" t="s">
        <v>185</v>
      </c>
      <c r="B62" s="11" t="s">
        <v>186</v>
      </c>
      <c r="C62" s="56"/>
      <c r="D62" s="29"/>
      <c r="L62" s="1" t="str">
        <f t="shared" si="10"/>
        <v/>
      </c>
      <c r="M62">
        <f t="shared" si="11"/>
        <v>0</v>
      </c>
      <c r="N62" s="1">
        <f t="shared" si="14"/>
        <v>0</v>
      </c>
      <c r="O62" s="1">
        <f t="shared" si="15"/>
        <v>0</v>
      </c>
    </row>
    <row r="63" spans="1:15">
      <c r="A63" s="13" t="s">
        <v>187</v>
      </c>
      <c r="B63" s="20" t="s">
        <v>188</v>
      </c>
      <c r="C63" s="56"/>
      <c r="D63" s="29"/>
      <c r="L63" s="1" t="str">
        <f t="shared" si="10"/>
        <v/>
      </c>
      <c r="M63">
        <f t="shared" si="11"/>
        <v>0</v>
      </c>
      <c r="N63" s="1">
        <f t="shared" si="14"/>
        <v>0</v>
      </c>
      <c r="O63" s="1">
        <f t="shared" si="15"/>
        <v>0</v>
      </c>
    </row>
    <row r="64" spans="1:15">
      <c r="A64" s="13" t="s">
        <v>189</v>
      </c>
      <c r="B64" s="11" t="s">
        <v>190</v>
      </c>
      <c r="C64" s="56"/>
      <c r="D64" s="29"/>
      <c r="L64" s="1" t="str">
        <f t="shared" si="10"/>
        <v/>
      </c>
      <c r="M64">
        <f t="shared" si="11"/>
        <v>0</v>
      </c>
      <c r="N64" s="1">
        <f>IF(J65="Low",1,IF(J65="Medium",2,IF(J65="High",3,0)))</f>
        <v>0</v>
      </c>
      <c r="O64" s="1">
        <f>IF(K65="Low",1,IF(K65="Medium",2,IF(K65="High",3,0)))</f>
        <v>0</v>
      </c>
    </row>
    <row r="65" spans="1:15">
      <c r="B65" s="52" t="s">
        <v>191</v>
      </c>
      <c r="C65" s="53"/>
      <c r="D65" s="53"/>
      <c r="E65" s="53"/>
      <c r="F65" s="53"/>
      <c r="G65" s="53"/>
      <c r="H65" s="53"/>
      <c r="I65" s="53"/>
      <c r="L65" s="1" t="str">
        <f>IF(M65=0,"",IF(M65&lt;3,"Low",IF(M65&lt;6,"Medium","High")))</f>
        <v/>
      </c>
      <c r="M65" s="37">
        <f>MAX(M57:M64)</f>
        <v>0</v>
      </c>
    </row>
    <row r="66" spans="1:15">
      <c r="A66" s="16" t="s">
        <v>192</v>
      </c>
      <c r="B66" s="16" t="s">
        <v>193</v>
      </c>
      <c r="C66" s="17" t="s">
        <v>35</v>
      </c>
      <c r="D66" s="17" t="s">
        <v>36</v>
      </c>
      <c r="E66" s="17" t="s">
        <v>37</v>
      </c>
      <c r="F66" s="17" t="s">
        <v>37</v>
      </c>
      <c r="G66" s="17" t="s">
        <v>38</v>
      </c>
      <c r="H66" s="17" t="s">
        <v>39</v>
      </c>
      <c r="I66" s="17" t="s">
        <v>40</v>
      </c>
      <c r="J66" s="17" t="s">
        <v>41</v>
      </c>
      <c r="K66" s="17" t="s">
        <v>42</v>
      </c>
      <c r="L66" s="17" t="s">
        <v>39</v>
      </c>
      <c r="M66" s="17" t="s">
        <v>43</v>
      </c>
    </row>
    <row r="67" spans="1:15">
      <c r="A67" s="13" t="s">
        <v>194</v>
      </c>
      <c r="B67" s="11" t="s">
        <v>195</v>
      </c>
      <c r="C67" s="29" t="s">
        <v>196</v>
      </c>
      <c r="D67" s="29"/>
      <c r="L67" s="1" t="str">
        <f t="shared" si="10"/>
        <v/>
      </c>
      <c r="M67">
        <f t="shared" ref="M67:M87" si="16">PRODUCT(N67:O67)</f>
        <v>0</v>
      </c>
      <c r="N67" s="1">
        <f t="shared" ref="N67" si="17">IF(J67="Low",1,IF(J67="Medium",2,IF(J67="High",3,0)))</f>
        <v>0</v>
      </c>
      <c r="O67" s="1">
        <f t="shared" ref="O67" si="18">IF(K67="Low",1,IF(K67="Medium",2,IF(K67="High",3,0)))</f>
        <v>0</v>
      </c>
    </row>
    <row r="68" spans="1:15" ht="28.9">
      <c r="A68" s="13" t="s">
        <v>197</v>
      </c>
      <c r="B68" s="11" t="s">
        <v>198</v>
      </c>
      <c r="C68" s="29" t="s">
        <v>199</v>
      </c>
      <c r="D68" s="29"/>
      <c r="L68" s="1" t="str">
        <f t="shared" si="10"/>
        <v/>
      </c>
      <c r="M68">
        <f t="shared" si="16"/>
        <v>0</v>
      </c>
      <c r="N68" s="1">
        <f t="shared" ref="N68:N69" si="19">IF(J68="Low",1,IF(J68="Medium",2,IF(J68="High",3,0)))</f>
        <v>0</v>
      </c>
      <c r="O68" s="1">
        <f t="shared" ref="O68:O69" si="20">IF(K68="Low",1,IF(K68="Medium",2,IF(K68="High",3,0)))</f>
        <v>0</v>
      </c>
    </row>
    <row r="69" spans="1:15">
      <c r="A69" s="13" t="s">
        <v>200</v>
      </c>
      <c r="B69" s="20" t="s">
        <v>201</v>
      </c>
      <c r="C69" s="29"/>
      <c r="D69" s="29"/>
      <c r="L69" s="1" t="str">
        <f t="shared" si="10"/>
        <v/>
      </c>
      <c r="M69">
        <f t="shared" si="16"/>
        <v>0</v>
      </c>
      <c r="N69" s="1">
        <f t="shared" si="19"/>
        <v>0</v>
      </c>
      <c r="O69" s="1">
        <f t="shared" si="20"/>
        <v>0</v>
      </c>
    </row>
    <row r="70" spans="1:15">
      <c r="B70" s="55" t="s">
        <v>202</v>
      </c>
      <c r="C70" s="54"/>
      <c r="D70" s="54"/>
      <c r="E70" s="54"/>
      <c r="F70" s="54"/>
      <c r="G70" s="54"/>
      <c r="H70" s="54"/>
      <c r="I70" s="54"/>
      <c r="L70" s="1" t="str">
        <f t="shared" si="10"/>
        <v/>
      </c>
      <c r="M70" s="1">
        <f>MAX(M67:M69)</f>
        <v>0</v>
      </c>
    </row>
    <row r="71" spans="1:15">
      <c r="A71" s="16" t="s">
        <v>203</v>
      </c>
      <c r="B71" s="16" t="s">
        <v>204</v>
      </c>
      <c r="C71" s="17" t="s">
        <v>35</v>
      </c>
      <c r="D71" s="17" t="s">
        <v>36</v>
      </c>
      <c r="E71" s="17" t="s">
        <v>37</v>
      </c>
      <c r="F71" s="17" t="s">
        <v>37</v>
      </c>
      <c r="G71" s="17" t="s">
        <v>38</v>
      </c>
      <c r="H71" s="17" t="s">
        <v>39</v>
      </c>
      <c r="I71" s="17" t="s">
        <v>40</v>
      </c>
      <c r="J71" s="17" t="s">
        <v>41</v>
      </c>
      <c r="K71" s="17" t="s">
        <v>42</v>
      </c>
      <c r="L71" s="17" t="s">
        <v>39</v>
      </c>
      <c r="M71" s="17" t="s">
        <v>43</v>
      </c>
    </row>
    <row r="72" spans="1:15" ht="28.9">
      <c r="A72" s="13" t="s">
        <v>205</v>
      </c>
      <c r="B72" s="11" t="s">
        <v>206</v>
      </c>
      <c r="C72" s="29" t="s">
        <v>100</v>
      </c>
      <c r="D72" s="29"/>
      <c r="L72" s="1" t="str">
        <f t="shared" si="10"/>
        <v/>
      </c>
      <c r="M72">
        <f t="shared" si="16"/>
        <v>0</v>
      </c>
      <c r="N72" s="1">
        <f t="shared" ref="N72" si="21">IF(J72="Low",1,IF(J72="Medium",2,IF(J72="High",3,0)))</f>
        <v>0</v>
      </c>
      <c r="O72" s="1">
        <f t="shared" ref="O72" si="22">IF(K72="Low",1,IF(K72="Medium",2,IF(K72="High",3,0)))</f>
        <v>0</v>
      </c>
    </row>
    <row r="73" spans="1:15">
      <c r="A73" s="13" t="s">
        <v>207</v>
      </c>
      <c r="B73" s="30" t="s">
        <v>208</v>
      </c>
      <c r="C73" s="29"/>
      <c r="D73" s="29"/>
      <c r="L73" s="1" t="str">
        <f t="shared" si="10"/>
        <v/>
      </c>
      <c r="M73">
        <f t="shared" si="16"/>
        <v>0</v>
      </c>
      <c r="N73" s="1">
        <f t="shared" ref="N73:N87" si="23">IF(J73="Low",1,IF(J73="Medium",2,IF(J73="High",3,0)))</f>
        <v>0</v>
      </c>
      <c r="O73" s="1">
        <f t="shared" ref="O73:O87" si="24">IF(K73="Low",1,IF(K73="Medium",2,IF(K73="High",3,0)))</f>
        <v>0</v>
      </c>
    </row>
    <row r="74" spans="1:15">
      <c r="A74" s="13" t="s">
        <v>209</v>
      </c>
      <c r="B74" s="30" t="s">
        <v>210</v>
      </c>
      <c r="C74" s="29"/>
      <c r="D74" s="29"/>
      <c r="L74" s="1" t="str">
        <f t="shared" si="10"/>
        <v/>
      </c>
      <c r="M74">
        <f t="shared" si="16"/>
        <v>0</v>
      </c>
      <c r="N74" s="1">
        <f t="shared" si="23"/>
        <v>0</v>
      </c>
      <c r="O74" s="1">
        <f t="shared" si="24"/>
        <v>0</v>
      </c>
    </row>
    <row r="75" spans="1:15" ht="52.9" customHeight="1">
      <c r="A75" s="13" t="s">
        <v>211</v>
      </c>
      <c r="B75" s="30" t="s">
        <v>212</v>
      </c>
      <c r="C75" s="29"/>
      <c r="D75" s="29"/>
      <c r="L75" s="1" t="str">
        <f t="shared" si="10"/>
        <v/>
      </c>
      <c r="M75">
        <f t="shared" si="16"/>
        <v>0</v>
      </c>
      <c r="N75" s="1">
        <f t="shared" si="23"/>
        <v>0</v>
      </c>
      <c r="O75" s="1">
        <f t="shared" si="24"/>
        <v>0</v>
      </c>
    </row>
    <row r="76" spans="1:15">
      <c r="A76" s="13" t="s">
        <v>213</v>
      </c>
      <c r="B76" s="30" t="s">
        <v>214</v>
      </c>
      <c r="C76" s="29"/>
      <c r="D76" s="29"/>
      <c r="L76" s="1" t="str">
        <f t="shared" si="10"/>
        <v/>
      </c>
      <c r="M76">
        <f t="shared" si="16"/>
        <v>0</v>
      </c>
      <c r="N76" s="1">
        <f t="shared" si="23"/>
        <v>0</v>
      </c>
      <c r="O76" s="1">
        <f t="shared" si="24"/>
        <v>0</v>
      </c>
    </row>
    <row r="77" spans="1:15" ht="28.9">
      <c r="A77" s="13" t="s">
        <v>215</v>
      </c>
      <c r="B77" s="30" t="s">
        <v>216</v>
      </c>
      <c r="C77" s="29"/>
      <c r="D77" s="29"/>
      <c r="L77" s="1" t="str">
        <f t="shared" si="10"/>
        <v/>
      </c>
      <c r="M77">
        <f t="shared" si="16"/>
        <v>0</v>
      </c>
      <c r="N77" s="1">
        <f t="shared" si="23"/>
        <v>0</v>
      </c>
      <c r="O77" s="1">
        <f t="shared" si="24"/>
        <v>0</v>
      </c>
    </row>
    <row r="78" spans="1:15" ht="28.9">
      <c r="A78" s="13" t="s">
        <v>217</v>
      </c>
      <c r="B78" s="30" t="s">
        <v>218</v>
      </c>
      <c r="C78" s="29"/>
      <c r="D78" s="29"/>
      <c r="L78" s="1" t="str">
        <f t="shared" si="10"/>
        <v/>
      </c>
      <c r="M78">
        <f t="shared" si="16"/>
        <v>0</v>
      </c>
      <c r="N78" s="1">
        <f t="shared" si="23"/>
        <v>0</v>
      </c>
      <c r="O78" s="1">
        <f t="shared" si="24"/>
        <v>0</v>
      </c>
    </row>
    <row r="79" spans="1:15">
      <c r="A79" s="13" t="s">
        <v>219</v>
      </c>
      <c r="B79" s="30" t="s">
        <v>220</v>
      </c>
      <c r="C79" s="29"/>
      <c r="D79" s="29"/>
      <c r="L79" s="1" t="str">
        <f t="shared" si="10"/>
        <v/>
      </c>
      <c r="M79">
        <f t="shared" si="16"/>
        <v>0</v>
      </c>
      <c r="N79" s="1">
        <f t="shared" si="23"/>
        <v>0</v>
      </c>
      <c r="O79" s="1">
        <f t="shared" si="24"/>
        <v>0</v>
      </c>
    </row>
    <row r="80" spans="1:15">
      <c r="A80" s="13" t="s">
        <v>221</v>
      </c>
      <c r="B80" s="30" t="s">
        <v>222</v>
      </c>
      <c r="C80" s="29"/>
      <c r="D80" s="29"/>
      <c r="L80" s="1" t="str">
        <f t="shared" si="10"/>
        <v/>
      </c>
      <c r="M80">
        <f t="shared" si="16"/>
        <v>0</v>
      </c>
      <c r="N80" s="1">
        <f t="shared" si="23"/>
        <v>0</v>
      </c>
      <c r="O80" s="1">
        <f t="shared" si="24"/>
        <v>0</v>
      </c>
    </row>
    <row r="81" spans="1:15">
      <c r="A81" s="13" t="s">
        <v>223</v>
      </c>
      <c r="B81" s="33" t="s">
        <v>224</v>
      </c>
      <c r="C81" s="29"/>
      <c r="D81" s="29"/>
      <c r="L81" s="1" t="str">
        <f t="shared" si="10"/>
        <v/>
      </c>
      <c r="M81">
        <f t="shared" si="16"/>
        <v>0</v>
      </c>
      <c r="N81" s="1">
        <f t="shared" si="23"/>
        <v>0</v>
      </c>
      <c r="O81" s="1">
        <f t="shared" si="24"/>
        <v>0</v>
      </c>
    </row>
    <row r="82" spans="1:15">
      <c r="A82" s="13" t="s">
        <v>225</v>
      </c>
      <c r="B82" s="30" t="s">
        <v>226</v>
      </c>
      <c r="C82" s="29"/>
      <c r="D82" s="29"/>
      <c r="L82" s="1" t="str">
        <f t="shared" si="10"/>
        <v/>
      </c>
      <c r="M82">
        <f t="shared" si="16"/>
        <v>0</v>
      </c>
      <c r="N82" s="1">
        <f t="shared" si="23"/>
        <v>0</v>
      </c>
      <c r="O82" s="1">
        <f t="shared" si="24"/>
        <v>0</v>
      </c>
    </row>
    <row r="83" spans="1:15">
      <c r="A83" s="13" t="s">
        <v>227</v>
      </c>
      <c r="B83" s="30" t="s">
        <v>228</v>
      </c>
      <c r="C83" s="29"/>
      <c r="D83" s="29"/>
      <c r="L83" s="1" t="str">
        <f t="shared" si="10"/>
        <v/>
      </c>
      <c r="M83">
        <f t="shared" si="16"/>
        <v>0</v>
      </c>
      <c r="N83" s="1">
        <f t="shared" si="23"/>
        <v>0</v>
      </c>
      <c r="O83" s="1">
        <f t="shared" si="24"/>
        <v>0</v>
      </c>
    </row>
    <row r="84" spans="1:15">
      <c r="A84" s="13" t="s">
        <v>229</v>
      </c>
      <c r="B84" s="30" t="s">
        <v>230</v>
      </c>
      <c r="C84" s="29"/>
      <c r="D84" s="29"/>
      <c r="L84" s="1" t="str">
        <f t="shared" si="10"/>
        <v/>
      </c>
      <c r="M84">
        <f t="shared" si="16"/>
        <v>0</v>
      </c>
      <c r="N84" s="1">
        <f t="shared" si="23"/>
        <v>0</v>
      </c>
      <c r="O84" s="1">
        <f t="shared" si="24"/>
        <v>0</v>
      </c>
    </row>
    <row r="85" spans="1:15">
      <c r="A85" s="13" t="s">
        <v>231</v>
      </c>
      <c r="B85" s="30" t="s">
        <v>232</v>
      </c>
      <c r="C85" s="29"/>
      <c r="D85" s="29"/>
      <c r="L85" s="1" t="str">
        <f t="shared" si="10"/>
        <v/>
      </c>
      <c r="M85">
        <f t="shared" si="16"/>
        <v>0</v>
      </c>
      <c r="N85" s="1">
        <f t="shared" si="23"/>
        <v>0</v>
      </c>
      <c r="O85" s="1">
        <f t="shared" si="24"/>
        <v>0</v>
      </c>
    </row>
    <row r="86" spans="1:15">
      <c r="A86" s="13" t="s">
        <v>233</v>
      </c>
      <c r="B86" s="30" t="s">
        <v>234</v>
      </c>
      <c r="C86" s="29"/>
      <c r="D86" s="29"/>
      <c r="L86" s="1" t="str">
        <f t="shared" si="10"/>
        <v/>
      </c>
      <c r="M86">
        <f t="shared" si="16"/>
        <v>0</v>
      </c>
      <c r="N86" s="1">
        <f t="shared" si="23"/>
        <v>0</v>
      </c>
      <c r="O86" s="1">
        <f t="shared" si="24"/>
        <v>0</v>
      </c>
    </row>
    <row r="87" spans="1:15">
      <c r="A87" s="13" t="s">
        <v>235</v>
      </c>
      <c r="B87" s="30" t="s">
        <v>236</v>
      </c>
      <c r="C87" s="29"/>
      <c r="D87" s="29"/>
      <c r="L87" s="1" t="str">
        <f t="shared" si="10"/>
        <v/>
      </c>
      <c r="M87">
        <f t="shared" si="16"/>
        <v>0</v>
      </c>
      <c r="N87" s="1">
        <f t="shared" si="23"/>
        <v>0</v>
      </c>
      <c r="O87" s="1">
        <f t="shared" si="24"/>
        <v>0</v>
      </c>
    </row>
    <row r="88" spans="1:15">
      <c r="B88" s="52" t="s">
        <v>237</v>
      </c>
      <c r="C88" s="53"/>
      <c r="D88" s="53"/>
      <c r="E88" s="53"/>
      <c r="F88" s="53"/>
      <c r="G88" s="53"/>
      <c r="H88" s="53"/>
      <c r="I88" s="53"/>
      <c r="L88" s="1" t="str">
        <f t="shared" si="10"/>
        <v/>
      </c>
      <c r="M88" s="37">
        <f>MAX(M72:M87)</f>
        <v>0</v>
      </c>
    </row>
    <row r="89" spans="1:15">
      <c r="A89" s="16" t="s">
        <v>238</v>
      </c>
      <c r="B89" s="16" t="s">
        <v>239</v>
      </c>
      <c r="C89" s="17" t="s">
        <v>35</v>
      </c>
      <c r="D89" s="17" t="s">
        <v>36</v>
      </c>
      <c r="E89" s="17" t="s">
        <v>37</v>
      </c>
      <c r="F89" s="17" t="s">
        <v>37</v>
      </c>
      <c r="G89" s="17" t="s">
        <v>38</v>
      </c>
      <c r="H89" s="17" t="s">
        <v>39</v>
      </c>
      <c r="I89" s="17" t="s">
        <v>40</v>
      </c>
      <c r="J89" s="17" t="s">
        <v>41</v>
      </c>
      <c r="K89" s="17" t="s">
        <v>42</v>
      </c>
      <c r="L89" s="17" t="s">
        <v>39</v>
      </c>
      <c r="M89" s="17" t="s">
        <v>43</v>
      </c>
    </row>
    <row r="90" spans="1:15">
      <c r="A90" s="13" t="s">
        <v>240</v>
      </c>
      <c r="B90" s="11" t="s">
        <v>241</v>
      </c>
      <c r="C90" s="29" t="s">
        <v>242</v>
      </c>
      <c r="D90" s="29"/>
      <c r="L90" s="1" t="str">
        <f t="shared" si="10"/>
        <v/>
      </c>
      <c r="M90">
        <f t="shared" ref="M90:M92" si="25">PRODUCT(N90:O90)</f>
        <v>0</v>
      </c>
      <c r="N90" s="1">
        <f t="shared" ref="N90" si="26">IF(J90="Low",1,IF(J90="Medium",2,IF(J90="High",3,0)))</f>
        <v>0</v>
      </c>
      <c r="O90" s="1">
        <f t="shared" ref="O90" si="27">IF(K90="Low",1,IF(K90="Medium",2,IF(K90="High",3,0)))</f>
        <v>0</v>
      </c>
    </row>
    <row r="91" spans="1:15">
      <c r="A91" s="13" t="s">
        <v>243</v>
      </c>
      <c r="B91" s="20" t="s">
        <v>244</v>
      </c>
      <c r="C91" s="29" t="s">
        <v>22</v>
      </c>
      <c r="D91" s="29"/>
      <c r="L91" s="1" t="str">
        <f t="shared" si="10"/>
        <v/>
      </c>
      <c r="M91">
        <f t="shared" si="25"/>
        <v>0</v>
      </c>
      <c r="N91" s="1">
        <f t="shared" ref="N91:N92" si="28">IF(J91="Low",1,IF(J91="Medium",2,IF(J91="High",3,0)))</f>
        <v>0</v>
      </c>
      <c r="O91" s="1">
        <f t="shared" ref="O91:O92" si="29">IF(K91="Low",1,IF(K91="Medium",2,IF(K91="High",3,0)))</f>
        <v>0</v>
      </c>
    </row>
    <row r="92" spans="1:15">
      <c r="A92" s="13" t="s">
        <v>245</v>
      </c>
      <c r="B92" s="20" t="s">
        <v>246</v>
      </c>
      <c r="C92" s="29"/>
      <c r="D92" s="29"/>
      <c r="L92" s="1" t="str">
        <f t="shared" si="10"/>
        <v/>
      </c>
      <c r="M92">
        <f t="shared" si="25"/>
        <v>0</v>
      </c>
      <c r="N92" s="1">
        <f t="shared" si="28"/>
        <v>0</v>
      </c>
      <c r="O92" s="1">
        <f t="shared" si="29"/>
        <v>0</v>
      </c>
    </row>
    <row r="93" spans="1:15">
      <c r="B93" s="52" t="s">
        <v>247</v>
      </c>
      <c r="C93" s="53"/>
      <c r="D93" s="53"/>
      <c r="E93" s="53"/>
      <c r="F93" s="53"/>
      <c r="G93" s="53"/>
      <c r="H93" s="53"/>
      <c r="I93" s="53"/>
      <c r="L93" s="1" t="str">
        <f t="shared" si="10"/>
        <v/>
      </c>
      <c r="M93" s="37">
        <f>MAX(M90:M92)</f>
        <v>0</v>
      </c>
    </row>
    <row r="94" spans="1:15">
      <c r="A94" s="14"/>
      <c r="B94" s="14" t="s">
        <v>248</v>
      </c>
      <c r="C94" s="6"/>
      <c r="D94" s="6"/>
      <c r="E94" s="6"/>
      <c r="F94" s="6"/>
      <c r="G94" s="6"/>
      <c r="H94" s="6"/>
      <c r="I94" s="6"/>
    </row>
    <row r="95" spans="1:15">
      <c r="A95" s="16" t="s">
        <v>249</v>
      </c>
      <c r="B95" s="16" t="s">
        <v>250</v>
      </c>
      <c r="C95" s="17" t="s">
        <v>35</v>
      </c>
      <c r="D95" s="17" t="s">
        <v>36</v>
      </c>
      <c r="E95" s="17" t="s">
        <v>37</v>
      </c>
      <c r="F95" s="17" t="s">
        <v>37</v>
      </c>
      <c r="G95" s="17" t="s">
        <v>38</v>
      </c>
      <c r="H95" s="17" t="s">
        <v>39</v>
      </c>
      <c r="I95" s="17" t="s">
        <v>40</v>
      </c>
      <c r="J95" s="17" t="s">
        <v>41</v>
      </c>
      <c r="K95" s="17" t="s">
        <v>42</v>
      </c>
      <c r="L95" s="17" t="s">
        <v>39</v>
      </c>
      <c r="M95" s="17" t="s">
        <v>43</v>
      </c>
    </row>
    <row r="96" spans="1:15">
      <c r="A96" s="13" t="s">
        <v>251</v>
      </c>
      <c r="B96" s="11" t="s">
        <v>252</v>
      </c>
      <c r="C96" s="29" t="s">
        <v>253</v>
      </c>
      <c r="D96" s="29"/>
      <c r="L96" s="1" t="str">
        <f t="shared" ref="L96:L166" si="30">IF(M96=0,"",IF(M96&lt;3,"Low",IF(M96&lt;6,"Medium","High")))</f>
        <v/>
      </c>
      <c r="M96">
        <f t="shared" ref="M96:M98" si="31">PRODUCT(N96:O96)</f>
        <v>0</v>
      </c>
      <c r="N96" s="1">
        <f t="shared" ref="N96" si="32">IF(J96="Low",1,IF(J96="Medium",2,IF(J96="High",3,0)))</f>
        <v>0</v>
      </c>
      <c r="O96" s="1">
        <f t="shared" ref="O96" si="33">IF(K96="Low",1,IF(K96="Medium",2,IF(K96="High",3,0)))</f>
        <v>0</v>
      </c>
    </row>
    <row r="97" spans="1:15">
      <c r="A97" s="13" t="s">
        <v>254</v>
      </c>
      <c r="B97" s="11" t="s">
        <v>255</v>
      </c>
      <c r="C97" s="29" t="s">
        <v>256</v>
      </c>
      <c r="D97" s="29"/>
      <c r="L97" s="1" t="str">
        <f t="shared" si="30"/>
        <v/>
      </c>
      <c r="M97">
        <f t="shared" si="31"/>
        <v>0</v>
      </c>
      <c r="N97" s="1">
        <f t="shared" ref="N97:N98" si="34">IF(J97="Low",1,IF(J97="Medium",2,IF(J97="High",3,0)))</f>
        <v>0</v>
      </c>
      <c r="O97" s="1">
        <f t="shared" ref="O97:O98" si="35">IF(K97="Low",1,IF(K97="Medium",2,IF(K97="High",3,0)))</f>
        <v>0</v>
      </c>
    </row>
    <row r="98" spans="1:15">
      <c r="A98" s="13" t="s">
        <v>257</v>
      </c>
      <c r="B98" s="11" t="s">
        <v>258</v>
      </c>
      <c r="C98" s="29" t="s">
        <v>259</v>
      </c>
      <c r="D98" s="29"/>
      <c r="L98" s="1" t="str">
        <f t="shared" si="30"/>
        <v/>
      </c>
      <c r="M98">
        <f t="shared" si="31"/>
        <v>0</v>
      </c>
      <c r="N98" s="1">
        <f t="shared" si="34"/>
        <v>0</v>
      </c>
      <c r="O98" s="1">
        <f t="shared" si="35"/>
        <v>0</v>
      </c>
    </row>
    <row r="99" spans="1:15">
      <c r="B99" s="55" t="s">
        <v>202</v>
      </c>
      <c r="C99" s="54"/>
      <c r="D99" s="54"/>
      <c r="E99" s="54"/>
      <c r="F99" s="54"/>
      <c r="G99" s="54"/>
      <c r="H99" s="54"/>
      <c r="I99" s="54"/>
      <c r="L99" s="1" t="str">
        <f t="shared" si="30"/>
        <v/>
      </c>
      <c r="M99" s="1">
        <f>MAX(M96:M98)</f>
        <v>0</v>
      </c>
    </row>
    <row r="100" spans="1:15">
      <c r="A100" s="16" t="s">
        <v>260</v>
      </c>
      <c r="B100" s="16" t="s">
        <v>261</v>
      </c>
      <c r="C100" s="17" t="s">
        <v>35</v>
      </c>
      <c r="D100" s="17" t="s">
        <v>36</v>
      </c>
      <c r="E100" s="17" t="s">
        <v>37</v>
      </c>
      <c r="F100" s="17" t="s">
        <v>37</v>
      </c>
      <c r="G100" s="17" t="s">
        <v>38</v>
      </c>
      <c r="H100" s="17" t="s">
        <v>39</v>
      </c>
      <c r="I100" s="17" t="s">
        <v>40</v>
      </c>
      <c r="J100" s="17" t="s">
        <v>41</v>
      </c>
      <c r="K100" s="17" t="s">
        <v>42</v>
      </c>
      <c r="L100" s="17" t="s">
        <v>39</v>
      </c>
      <c r="M100" s="17" t="s">
        <v>43</v>
      </c>
    </row>
    <row r="101" spans="1:15">
      <c r="A101" s="13" t="s">
        <v>262</v>
      </c>
      <c r="B101" s="11" t="s">
        <v>263</v>
      </c>
      <c r="C101" s="29" t="s">
        <v>264</v>
      </c>
      <c r="D101" s="29"/>
      <c r="L101" s="1" t="str">
        <f t="shared" si="30"/>
        <v/>
      </c>
      <c r="M101">
        <f t="shared" ref="M101:M105" si="36">PRODUCT(N101:O101)</f>
        <v>0</v>
      </c>
      <c r="N101" s="1">
        <f t="shared" ref="N101" si="37">IF(J101="Low",1,IF(J101="Medium",2,IF(J101="High",3,0)))</f>
        <v>0</v>
      </c>
      <c r="O101" s="1">
        <f t="shared" ref="O101" si="38">IF(K101="Low",1,IF(K101="Medium",2,IF(K101="High",3,0)))</f>
        <v>0</v>
      </c>
    </row>
    <row r="102" spans="1:15">
      <c r="A102" s="13" t="s">
        <v>265</v>
      </c>
      <c r="B102" s="11" t="s">
        <v>266</v>
      </c>
      <c r="C102" s="29" t="s">
        <v>22</v>
      </c>
      <c r="D102" s="29"/>
      <c r="L102" s="1" t="str">
        <f t="shared" si="30"/>
        <v/>
      </c>
      <c r="M102">
        <f t="shared" si="36"/>
        <v>0</v>
      </c>
      <c r="N102" s="1">
        <f t="shared" ref="N102:N105" si="39">IF(J102="Low",1,IF(J102="Medium",2,IF(J102="High",3,0)))</f>
        <v>0</v>
      </c>
      <c r="O102" s="1">
        <f t="shared" ref="O102:O105" si="40">IF(K102="Low",1,IF(K102="Medium",2,IF(K102="High",3,0)))</f>
        <v>0</v>
      </c>
    </row>
    <row r="103" spans="1:15">
      <c r="A103" s="13" t="s">
        <v>267</v>
      </c>
      <c r="B103" s="26" t="s">
        <v>268</v>
      </c>
      <c r="C103" s="29"/>
      <c r="D103" s="29"/>
      <c r="L103" s="1" t="str">
        <f t="shared" si="30"/>
        <v/>
      </c>
      <c r="M103">
        <f t="shared" si="36"/>
        <v>0</v>
      </c>
      <c r="N103" s="1">
        <f t="shared" si="39"/>
        <v>0</v>
      </c>
      <c r="O103" s="1">
        <f t="shared" si="40"/>
        <v>0</v>
      </c>
    </row>
    <row r="104" spans="1:15">
      <c r="A104" s="13" t="s">
        <v>269</v>
      </c>
      <c r="B104" s="11" t="s">
        <v>270</v>
      </c>
      <c r="C104" s="29" t="s">
        <v>271</v>
      </c>
      <c r="D104" s="29"/>
      <c r="L104" s="1" t="str">
        <f t="shared" si="30"/>
        <v/>
      </c>
      <c r="M104">
        <f t="shared" si="36"/>
        <v>0</v>
      </c>
      <c r="N104" s="1">
        <f t="shared" si="39"/>
        <v>0</v>
      </c>
      <c r="O104" s="1">
        <f t="shared" si="40"/>
        <v>0</v>
      </c>
    </row>
    <row r="105" spans="1:15">
      <c r="A105" s="13" t="s">
        <v>272</v>
      </c>
      <c r="B105" s="11" t="s">
        <v>273</v>
      </c>
      <c r="C105" s="29" t="s">
        <v>274</v>
      </c>
      <c r="D105" s="29"/>
      <c r="L105" s="1" t="str">
        <f t="shared" si="30"/>
        <v/>
      </c>
      <c r="M105">
        <f t="shared" si="36"/>
        <v>0</v>
      </c>
      <c r="N105" s="1">
        <f t="shared" si="39"/>
        <v>0</v>
      </c>
      <c r="O105" s="1">
        <f t="shared" si="40"/>
        <v>0</v>
      </c>
    </row>
    <row r="106" spans="1:15">
      <c r="B106" s="52" t="s">
        <v>275</v>
      </c>
      <c r="C106" s="53"/>
      <c r="D106" s="53"/>
      <c r="E106" s="53"/>
      <c r="F106" s="53"/>
      <c r="G106" s="53"/>
      <c r="H106" s="53"/>
      <c r="I106" s="53"/>
      <c r="L106" s="1" t="str">
        <f t="shared" si="30"/>
        <v/>
      </c>
      <c r="M106" s="37">
        <f>MAX(M101:M105)</f>
        <v>0</v>
      </c>
    </row>
    <row r="107" spans="1:15">
      <c r="A107" s="16" t="s">
        <v>276</v>
      </c>
      <c r="B107" s="16" t="s">
        <v>277</v>
      </c>
      <c r="C107" s="17" t="s">
        <v>35</v>
      </c>
      <c r="D107" s="17" t="s">
        <v>36</v>
      </c>
      <c r="E107" s="17" t="s">
        <v>37</v>
      </c>
      <c r="F107" s="17" t="s">
        <v>37</v>
      </c>
      <c r="G107" s="17" t="s">
        <v>38</v>
      </c>
      <c r="H107" s="17" t="s">
        <v>39</v>
      </c>
      <c r="I107" s="17" t="s">
        <v>40</v>
      </c>
      <c r="J107" s="17" t="s">
        <v>41</v>
      </c>
      <c r="K107" s="17" t="s">
        <v>42</v>
      </c>
      <c r="L107" s="17" t="s">
        <v>39</v>
      </c>
      <c r="M107" s="17" t="s">
        <v>43</v>
      </c>
    </row>
    <row r="108" spans="1:15" ht="28.9">
      <c r="A108" s="13" t="s">
        <v>278</v>
      </c>
      <c r="B108" s="11" t="s">
        <v>279</v>
      </c>
      <c r="C108" s="29" t="s">
        <v>280</v>
      </c>
      <c r="D108" s="29"/>
      <c r="L108" s="1" t="str">
        <f t="shared" si="30"/>
        <v/>
      </c>
      <c r="M108">
        <f>PRODUCT(N108:O108)</f>
        <v>0</v>
      </c>
      <c r="N108" s="1">
        <f t="shared" ref="N108" si="41">IF(J108="Low",1,IF(J108="Medium",2,IF(J108="High",3,0)))</f>
        <v>0</v>
      </c>
      <c r="O108" s="1">
        <f t="shared" ref="O108" si="42">IF(K108="Low",1,IF(K108="Medium",2,IF(K108="High",3,0)))</f>
        <v>0</v>
      </c>
    </row>
    <row r="109" spans="1:15" ht="28.9">
      <c r="A109" s="13" t="s">
        <v>281</v>
      </c>
      <c r="B109" s="11" t="s">
        <v>282</v>
      </c>
      <c r="C109" s="29" t="s">
        <v>283</v>
      </c>
      <c r="D109" s="29"/>
      <c r="L109" s="1" t="str">
        <f t="shared" si="30"/>
        <v/>
      </c>
      <c r="M109">
        <f t="shared" ref="M109:M123" si="43">PRODUCT(N109:O109)</f>
        <v>0</v>
      </c>
      <c r="N109" s="1">
        <f t="shared" ref="N109:N123" si="44">IF(J109="Low",1,IF(J109="Medium",2,IF(J109="High",3,0)))</f>
        <v>0</v>
      </c>
      <c r="O109" s="1">
        <f t="shared" ref="O109:O123" si="45">IF(K109="Low",1,IF(K109="Medium",2,IF(K109="High",3,0)))</f>
        <v>0</v>
      </c>
    </row>
    <row r="110" spans="1:15" ht="28.9">
      <c r="A110" s="13" t="s">
        <v>284</v>
      </c>
      <c r="B110" s="11" t="s">
        <v>285</v>
      </c>
      <c r="C110" s="29" t="s">
        <v>286</v>
      </c>
      <c r="D110" s="29"/>
      <c r="L110" s="1" t="str">
        <f t="shared" si="30"/>
        <v/>
      </c>
      <c r="M110">
        <f t="shared" si="43"/>
        <v>0</v>
      </c>
      <c r="N110" s="1">
        <f t="shared" si="44"/>
        <v>0</v>
      </c>
      <c r="O110" s="1">
        <f t="shared" si="45"/>
        <v>0</v>
      </c>
    </row>
    <row r="111" spans="1:15" ht="43.15">
      <c r="A111" s="13" t="s">
        <v>287</v>
      </c>
      <c r="B111" s="11" t="s">
        <v>288</v>
      </c>
      <c r="C111" s="29" t="s">
        <v>289</v>
      </c>
      <c r="D111" s="29"/>
      <c r="L111" s="1" t="str">
        <f t="shared" si="30"/>
        <v/>
      </c>
      <c r="M111">
        <f t="shared" si="43"/>
        <v>0</v>
      </c>
      <c r="N111" s="1">
        <f t="shared" si="44"/>
        <v>0</v>
      </c>
      <c r="O111" s="1">
        <f t="shared" si="45"/>
        <v>0</v>
      </c>
    </row>
    <row r="112" spans="1:15">
      <c r="A112" s="13" t="s">
        <v>290</v>
      </c>
      <c r="B112" s="11" t="s">
        <v>291</v>
      </c>
      <c r="C112" s="29" t="s">
        <v>292</v>
      </c>
      <c r="D112" s="29"/>
      <c r="L112" s="1" t="str">
        <f t="shared" si="30"/>
        <v/>
      </c>
      <c r="M112">
        <f t="shared" si="43"/>
        <v>0</v>
      </c>
      <c r="N112" s="1">
        <f t="shared" si="44"/>
        <v>0</v>
      </c>
      <c r="O112" s="1">
        <f t="shared" si="45"/>
        <v>0</v>
      </c>
    </row>
    <row r="113" spans="1:15" ht="28.9">
      <c r="A113" s="13" t="s">
        <v>293</v>
      </c>
      <c r="B113" s="11" t="s">
        <v>294</v>
      </c>
      <c r="C113" s="29" t="s">
        <v>100</v>
      </c>
      <c r="D113" s="29"/>
      <c r="L113" s="1" t="str">
        <f t="shared" si="30"/>
        <v/>
      </c>
      <c r="M113">
        <f t="shared" si="43"/>
        <v>0</v>
      </c>
      <c r="N113" s="1">
        <f t="shared" si="44"/>
        <v>0</v>
      </c>
      <c r="O113" s="1">
        <f t="shared" si="45"/>
        <v>0</v>
      </c>
    </row>
    <row r="114" spans="1:15">
      <c r="A114" s="13" t="s">
        <v>295</v>
      </c>
      <c r="B114" s="11" t="s">
        <v>296</v>
      </c>
      <c r="C114" s="29" t="s">
        <v>297</v>
      </c>
      <c r="D114" s="29"/>
      <c r="L114" s="1" t="str">
        <f t="shared" si="30"/>
        <v/>
      </c>
      <c r="M114">
        <f t="shared" si="43"/>
        <v>0</v>
      </c>
      <c r="N114" s="1">
        <f t="shared" si="44"/>
        <v>0</v>
      </c>
      <c r="O114" s="1">
        <f t="shared" si="45"/>
        <v>0</v>
      </c>
    </row>
    <row r="115" spans="1:15">
      <c r="A115" s="13" t="s">
        <v>298</v>
      </c>
      <c r="B115" s="30" t="s">
        <v>299</v>
      </c>
      <c r="C115" s="29" t="s">
        <v>300</v>
      </c>
      <c r="D115" s="29"/>
      <c r="L115" s="1" t="str">
        <f t="shared" si="30"/>
        <v/>
      </c>
      <c r="M115">
        <f t="shared" si="43"/>
        <v>0</v>
      </c>
      <c r="N115" s="1">
        <f t="shared" si="44"/>
        <v>0</v>
      </c>
      <c r="O115" s="1">
        <f t="shared" si="45"/>
        <v>0</v>
      </c>
    </row>
    <row r="116" spans="1:15">
      <c r="A116" s="13" t="s">
        <v>301</v>
      </c>
      <c r="B116" s="30" t="s">
        <v>302</v>
      </c>
      <c r="C116" s="29"/>
      <c r="D116" s="29"/>
      <c r="L116" s="1" t="str">
        <f t="shared" si="30"/>
        <v/>
      </c>
      <c r="M116">
        <f t="shared" si="43"/>
        <v>0</v>
      </c>
      <c r="N116" s="1">
        <f t="shared" si="44"/>
        <v>0</v>
      </c>
      <c r="O116" s="1">
        <f t="shared" si="45"/>
        <v>0</v>
      </c>
    </row>
    <row r="117" spans="1:15">
      <c r="A117" s="13" t="s">
        <v>303</v>
      </c>
      <c r="B117" s="24" t="s">
        <v>304</v>
      </c>
      <c r="C117" s="29" t="s">
        <v>305</v>
      </c>
      <c r="D117" s="29"/>
      <c r="L117" s="1" t="str">
        <f t="shared" si="30"/>
        <v/>
      </c>
      <c r="M117">
        <f t="shared" si="43"/>
        <v>0</v>
      </c>
      <c r="N117" s="1">
        <f t="shared" si="44"/>
        <v>0</v>
      </c>
      <c r="O117" s="1">
        <f t="shared" si="45"/>
        <v>0</v>
      </c>
    </row>
    <row r="118" spans="1:15">
      <c r="A118" s="13" t="s">
        <v>306</v>
      </c>
      <c r="B118" s="11" t="s">
        <v>307</v>
      </c>
      <c r="C118" s="29" t="s">
        <v>100</v>
      </c>
      <c r="D118" s="29"/>
      <c r="L118" s="1" t="str">
        <f t="shared" si="30"/>
        <v/>
      </c>
      <c r="M118">
        <f t="shared" si="43"/>
        <v>0</v>
      </c>
      <c r="N118" s="1">
        <f t="shared" si="44"/>
        <v>0</v>
      </c>
      <c r="O118" s="1">
        <f t="shared" si="45"/>
        <v>0</v>
      </c>
    </row>
    <row r="119" spans="1:15">
      <c r="A119" s="13" t="s">
        <v>308</v>
      </c>
      <c r="B119" s="11" t="s">
        <v>309</v>
      </c>
      <c r="C119" s="29" t="s">
        <v>100</v>
      </c>
      <c r="D119" s="29"/>
      <c r="L119" s="1" t="str">
        <f t="shared" si="30"/>
        <v/>
      </c>
      <c r="M119">
        <f t="shared" si="43"/>
        <v>0</v>
      </c>
      <c r="N119" s="1">
        <f t="shared" si="44"/>
        <v>0</v>
      </c>
      <c r="O119" s="1">
        <f t="shared" si="45"/>
        <v>0</v>
      </c>
    </row>
    <row r="120" spans="1:15" ht="43.15">
      <c r="A120" s="13" t="s">
        <v>310</v>
      </c>
      <c r="B120" s="11" t="s">
        <v>311</v>
      </c>
      <c r="C120" s="29" t="s">
        <v>312</v>
      </c>
      <c r="D120" s="29"/>
      <c r="L120" s="1" t="str">
        <f t="shared" si="30"/>
        <v/>
      </c>
      <c r="M120">
        <f t="shared" si="43"/>
        <v>0</v>
      </c>
      <c r="N120" s="1">
        <f t="shared" si="44"/>
        <v>0</v>
      </c>
      <c r="O120" s="1">
        <f t="shared" si="45"/>
        <v>0</v>
      </c>
    </row>
    <row r="121" spans="1:15" ht="28.9">
      <c r="A121" s="13" t="s">
        <v>313</v>
      </c>
      <c r="B121" s="11" t="s">
        <v>314</v>
      </c>
      <c r="C121" s="29" t="s">
        <v>100</v>
      </c>
      <c r="D121" s="29"/>
      <c r="L121" s="1" t="str">
        <f t="shared" si="30"/>
        <v/>
      </c>
      <c r="M121">
        <f t="shared" si="43"/>
        <v>0</v>
      </c>
      <c r="N121" s="1">
        <f t="shared" si="44"/>
        <v>0</v>
      </c>
      <c r="O121" s="1">
        <f t="shared" si="45"/>
        <v>0</v>
      </c>
    </row>
    <row r="122" spans="1:15">
      <c r="A122" s="13" t="s">
        <v>315</v>
      </c>
      <c r="B122" s="11" t="s">
        <v>316</v>
      </c>
      <c r="C122" s="29" t="s">
        <v>100</v>
      </c>
      <c r="D122" s="29"/>
      <c r="L122" s="1" t="str">
        <f t="shared" si="30"/>
        <v/>
      </c>
      <c r="M122">
        <f t="shared" si="43"/>
        <v>0</v>
      </c>
      <c r="N122" s="1">
        <f t="shared" si="44"/>
        <v>0</v>
      </c>
      <c r="O122" s="1">
        <f t="shared" si="45"/>
        <v>0</v>
      </c>
    </row>
    <row r="123" spans="1:15">
      <c r="A123" s="13" t="s">
        <v>317</v>
      </c>
      <c r="B123" s="11" t="s">
        <v>318</v>
      </c>
      <c r="C123" s="29" t="s">
        <v>319</v>
      </c>
      <c r="D123" s="29"/>
      <c r="L123" s="1" t="str">
        <f t="shared" si="30"/>
        <v/>
      </c>
      <c r="M123">
        <f t="shared" si="43"/>
        <v>0</v>
      </c>
      <c r="N123" s="1">
        <f t="shared" si="44"/>
        <v>0</v>
      </c>
      <c r="O123" s="1">
        <f t="shared" si="45"/>
        <v>0</v>
      </c>
    </row>
    <row r="124" spans="1:15">
      <c r="A124" s="13" t="s">
        <v>320</v>
      </c>
      <c r="B124" s="11" t="s">
        <v>321</v>
      </c>
      <c r="C124" s="29" t="s">
        <v>100</v>
      </c>
      <c r="D124" s="29"/>
      <c r="M124"/>
    </row>
    <row r="125" spans="1:15">
      <c r="A125" s="13" t="s">
        <v>322</v>
      </c>
      <c r="B125" s="30" t="s">
        <v>323</v>
      </c>
      <c r="C125" s="29"/>
      <c r="D125" s="29"/>
      <c r="M125"/>
    </row>
    <row r="126" spans="1:15">
      <c r="A126" s="13" t="s">
        <v>324</v>
      </c>
      <c r="B126" s="30" t="s">
        <v>325</v>
      </c>
      <c r="C126" s="29"/>
      <c r="D126" s="29"/>
      <c r="M126"/>
    </row>
    <row r="127" spans="1:15">
      <c r="A127" s="13" t="s">
        <v>326</v>
      </c>
      <c r="B127" s="30" t="s">
        <v>327</v>
      </c>
      <c r="C127" s="29"/>
      <c r="D127" s="29"/>
      <c r="M127"/>
    </row>
    <row r="128" spans="1:15">
      <c r="A128" s="13" t="s">
        <v>328</v>
      </c>
      <c r="B128" s="30" t="s">
        <v>329</v>
      </c>
      <c r="C128" s="29"/>
      <c r="D128" s="29"/>
      <c r="M128"/>
    </row>
    <row r="129" spans="1:15">
      <c r="A129" s="13" t="s">
        <v>330</v>
      </c>
      <c r="B129" s="30" t="s">
        <v>331</v>
      </c>
      <c r="C129" s="29"/>
      <c r="D129" s="29"/>
      <c r="M129"/>
    </row>
    <row r="130" spans="1:15">
      <c r="B130" s="52" t="s">
        <v>332</v>
      </c>
      <c r="C130" s="53"/>
      <c r="D130" s="53"/>
      <c r="E130" s="53"/>
      <c r="F130" s="53"/>
      <c r="G130" s="53"/>
      <c r="H130" s="53"/>
      <c r="I130" s="53"/>
      <c r="L130" s="1" t="str">
        <f t="shared" si="30"/>
        <v/>
      </c>
      <c r="M130" s="37">
        <f>MAX(M108:M123)</f>
        <v>0</v>
      </c>
    </row>
    <row r="131" spans="1:15">
      <c r="A131" s="16" t="s">
        <v>333</v>
      </c>
      <c r="B131" s="16" t="s">
        <v>334</v>
      </c>
      <c r="C131" s="17" t="s">
        <v>35</v>
      </c>
      <c r="D131" s="17" t="s">
        <v>36</v>
      </c>
      <c r="E131" s="17" t="s">
        <v>37</v>
      </c>
      <c r="F131" s="17" t="s">
        <v>37</v>
      </c>
      <c r="G131" s="17" t="s">
        <v>38</v>
      </c>
      <c r="H131" s="17" t="s">
        <v>39</v>
      </c>
      <c r="I131" s="17" t="s">
        <v>40</v>
      </c>
      <c r="J131" s="17" t="s">
        <v>41</v>
      </c>
      <c r="K131" s="17" t="s">
        <v>42</v>
      </c>
      <c r="L131" s="17" t="s">
        <v>39</v>
      </c>
      <c r="M131" s="17" t="s">
        <v>43</v>
      </c>
    </row>
    <row r="132" spans="1:15">
      <c r="A132" s="13" t="s">
        <v>335</v>
      </c>
      <c r="B132" s="11" t="s">
        <v>336</v>
      </c>
      <c r="C132" s="29" t="s">
        <v>22</v>
      </c>
      <c r="D132" s="29"/>
      <c r="L132" s="1" t="str">
        <f t="shared" si="30"/>
        <v/>
      </c>
      <c r="M132">
        <f t="shared" ref="M132:M149" si="46">PRODUCT(N132:O132)</f>
        <v>0</v>
      </c>
      <c r="N132" s="1">
        <f t="shared" ref="N132" si="47">IF(J132="Low",1,IF(J132="Medium",2,IF(J132="High",3,0)))</f>
        <v>0</v>
      </c>
      <c r="O132" s="1">
        <f t="shared" ref="O132" si="48">IF(K132="Low",1,IF(K132="Medium",2,IF(K132="High",3,0)))</f>
        <v>0</v>
      </c>
    </row>
    <row r="133" spans="1:15" ht="28.9">
      <c r="A133" s="13" t="s">
        <v>337</v>
      </c>
      <c r="B133" s="11" t="s">
        <v>338</v>
      </c>
      <c r="C133" s="29" t="s">
        <v>339</v>
      </c>
      <c r="D133" s="29"/>
      <c r="L133" s="1" t="str">
        <f t="shared" si="30"/>
        <v/>
      </c>
      <c r="M133">
        <f t="shared" si="46"/>
        <v>0</v>
      </c>
      <c r="N133" s="1">
        <f t="shared" ref="N133:N149" si="49">IF(J133="Low",1,IF(J133="Medium",2,IF(J133="High",3,0)))</f>
        <v>0</v>
      </c>
      <c r="O133" s="1">
        <f t="shared" ref="O133:O149" si="50">IF(K133="Low",1,IF(K133="Medium",2,IF(K133="High",3,0)))</f>
        <v>0</v>
      </c>
    </row>
    <row r="134" spans="1:15">
      <c r="A134" s="13" t="s">
        <v>340</v>
      </c>
      <c r="B134" s="11" t="s">
        <v>341</v>
      </c>
      <c r="C134" s="29" t="s">
        <v>342</v>
      </c>
      <c r="D134" s="29"/>
      <c r="L134" s="1" t="str">
        <f t="shared" si="30"/>
        <v/>
      </c>
      <c r="M134">
        <f t="shared" si="46"/>
        <v>0</v>
      </c>
      <c r="N134" s="1">
        <f t="shared" si="49"/>
        <v>0</v>
      </c>
      <c r="O134" s="1">
        <f t="shared" si="50"/>
        <v>0</v>
      </c>
    </row>
    <row r="135" spans="1:15" ht="28.9">
      <c r="A135" s="13" t="s">
        <v>343</v>
      </c>
      <c r="B135" s="11" t="s">
        <v>344</v>
      </c>
      <c r="C135" s="29" t="s">
        <v>345</v>
      </c>
      <c r="D135" s="29"/>
      <c r="L135" s="1" t="str">
        <f t="shared" si="30"/>
        <v/>
      </c>
      <c r="M135">
        <f t="shared" si="46"/>
        <v>0</v>
      </c>
      <c r="N135" s="1">
        <f t="shared" si="49"/>
        <v>0</v>
      </c>
      <c r="O135" s="1">
        <f t="shared" si="50"/>
        <v>0</v>
      </c>
    </row>
    <row r="136" spans="1:15">
      <c r="A136" s="13" t="s">
        <v>346</v>
      </c>
      <c r="B136" s="11" t="s">
        <v>347</v>
      </c>
      <c r="C136" s="29" t="s">
        <v>87</v>
      </c>
      <c r="D136" s="29"/>
      <c r="L136" s="1" t="str">
        <f t="shared" si="30"/>
        <v/>
      </c>
      <c r="M136">
        <f t="shared" si="46"/>
        <v>0</v>
      </c>
      <c r="N136" s="1">
        <f t="shared" si="49"/>
        <v>0</v>
      </c>
      <c r="O136" s="1">
        <f t="shared" si="50"/>
        <v>0</v>
      </c>
    </row>
    <row r="137" spans="1:15">
      <c r="A137" s="13" t="s">
        <v>348</v>
      </c>
      <c r="B137" s="11" t="s">
        <v>349</v>
      </c>
      <c r="C137" s="29" t="s">
        <v>22</v>
      </c>
      <c r="D137" s="29"/>
      <c r="L137" s="1" t="str">
        <f t="shared" si="30"/>
        <v/>
      </c>
      <c r="M137">
        <f t="shared" si="46"/>
        <v>0</v>
      </c>
      <c r="N137" s="1">
        <f t="shared" si="49"/>
        <v>0</v>
      </c>
      <c r="O137" s="1">
        <f t="shared" si="50"/>
        <v>0</v>
      </c>
    </row>
    <row r="138" spans="1:15">
      <c r="A138" s="13" t="s">
        <v>350</v>
      </c>
      <c r="B138" s="11" t="s">
        <v>351</v>
      </c>
      <c r="C138" s="29" t="s">
        <v>352</v>
      </c>
      <c r="D138" s="29"/>
      <c r="L138" s="1" t="str">
        <f t="shared" si="30"/>
        <v/>
      </c>
      <c r="M138">
        <f t="shared" si="46"/>
        <v>0</v>
      </c>
      <c r="N138" s="1">
        <f t="shared" si="49"/>
        <v>0</v>
      </c>
      <c r="O138" s="1">
        <f t="shared" si="50"/>
        <v>0</v>
      </c>
    </row>
    <row r="139" spans="1:15">
      <c r="A139" s="13" t="s">
        <v>353</v>
      </c>
      <c r="B139" s="11" t="s">
        <v>354</v>
      </c>
      <c r="C139" s="29" t="s">
        <v>355</v>
      </c>
      <c r="D139" s="29"/>
      <c r="L139" s="1" t="str">
        <f t="shared" si="30"/>
        <v/>
      </c>
      <c r="M139">
        <f t="shared" si="46"/>
        <v>0</v>
      </c>
      <c r="N139" s="1">
        <f t="shared" si="49"/>
        <v>0</v>
      </c>
      <c r="O139" s="1">
        <f t="shared" si="50"/>
        <v>0</v>
      </c>
    </row>
    <row r="140" spans="1:15" ht="43.15">
      <c r="A140" s="13" t="s">
        <v>356</v>
      </c>
      <c r="B140" s="11" t="s">
        <v>357</v>
      </c>
      <c r="C140" s="29" t="s">
        <v>358</v>
      </c>
      <c r="D140" s="29"/>
      <c r="L140" s="1" t="str">
        <f t="shared" si="30"/>
        <v/>
      </c>
      <c r="M140">
        <f t="shared" si="46"/>
        <v>0</v>
      </c>
      <c r="N140" s="1">
        <f t="shared" si="49"/>
        <v>0</v>
      </c>
      <c r="O140" s="1">
        <f t="shared" si="50"/>
        <v>0</v>
      </c>
    </row>
    <row r="141" spans="1:15">
      <c r="A141" s="13" t="s">
        <v>359</v>
      </c>
      <c r="B141" s="11" t="s">
        <v>360</v>
      </c>
      <c r="C141" s="29" t="s">
        <v>361</v>
      </c>
      <c r="D141" s="29"/>
      <c r="L141" s="1" t="str">
        <f t="shared" si="30"/>
        <v/>
      </c>
      <c r="M141">
        <f t="shared" si="46"/>
        <v>0</v>
      </c>
      <c r="N141" s="1">
        <f t="shared" si="49"/>
        <v>0</v>
      </c>
      <c r="O141" s="1">
        <f t="shared" si="50"/>
        <v>0</v>
      </c>
    </row>
    <row r="142" spans="1:15">
      <c r="A142" s="13" t="s">
        <v>362</v>
      </c>
      <c r="B142" s="11" t="s">
        <v>363</v>
      </c>
      <c r="C142" s="29" t="s">
        <v>100</v>
      </c>
      <c r="D142" s="29"/>
      <c r="L142" s="1" t="str">
        <f t="shared" si="30"/>
        <v/>
      </c>
      <c r="M142">
        <f t="shared" si="46"/>
        <v>0</v>
      </c>
      <c r="N142" s="1">
        <f t="shared" si="49"/>
        <v>0</v>
      </c>
      <c r="O142" s="1">
        <f t="shared" si="50"/>
        <v>0</v>
      </c>
    </row>
    <row r="143" spans="1:15" ht="28.9">
      <c r="A143" s="13" t="s">
        <v>364</v>
      </c>
      <c r="B143" s="11" t="s">
        <v>365</v>
      </c>
      <c r="C143" s="29" t="s">
        <v>366</v>
      </c>
      <c r="D143" s="29"/>
      <c r="L143" s="1" t="str">
        <f t="shared" si="30"/>
        <v/>
      </c>
      <c r="M143">
        <f t="shared" si="46"/>
        <v>0</v>
      </c>
      <c r="N143" s="1">
        <f t="shared" si="49"/>
        <v>0</v>
      </c>
      <c r="O143" s="1">
        <f t="shared" si="50"/>
        <v>0</v>
      </c>
    </row>
    <row r="144" spans="1:15">
      <c r="A144" s="13" t="s">
        <v>367</v>
      </c>
      <c r="B144" s="11" t="s">
        <v>368</v>
      </c>
      <c r="C144" s="29" t="s">
        <v>22</v>
      </c>
      <c r="D144" s="29"/>
      <c r="L144" s="1" t="str">
        <f t="shared" si="30"/>
        <v/>
      </c>
      <c r="M144">
        <f t="shared" si="46"/>
        <v>0</v>
      </c>
      <c r="N144" s="1">
        <f t="shared" si="49"/>
        <v>0</v>
      </c>
      <c r="O144" s="1">
        <f t="shared" si="50"/>
        <v>0</v>
      </c>
    </row>
    <row r="145" spans="1:15">
      <c r="A145" s="13" t="s">
        <v>369</v>
      </c>
      <c r="B145" s="11" t="s">
        <v>370</v>
      </c>
      <c r="C145" s="29" t="s">
        <v>22</v>
      </c>
      <c r="D145" s="29"/>
      <c r="L145" s="1" t="str">
        <f t="shared" si="30"/>
        <v/>
      </c>
      <c r="M145">
        <f t="shared" si="46"/>
        <v>0</v>
      </c>
      <c r="N145" s="1">
        <f t="shared" si="49"/>
        <v>0</v>
      </c>
      <c r="O145" s="1">
        <f t="shared" si="50"/>
        <v>0</v>
      </c>
    </row>
    <row r="146" spans="1:15">
      <c r="A146" s="13" t="s">
        <v>371</v>
      </c>
      <c r="B146" s="11" t="s">
        <v>372</v>
      </c>
      <c r="C146" s="29" t="s">
        <v>22</v>
      </c>
      <c r="D146" s="29"/>
      <c r="L146" s="1" t="str">
        <f t="shared" si="30"/>
        <v/>
      </c>
      <c r="M146">
        <f t="shared" si="46"/>
        <v>0</v>
      </c>
      <c r="N146" s="1">
        <f t="shared" si="49"/>
        <v>0</v>
      </c>
      <c r="O146" s="1">
        <f t="shared" si="50"/>
        <v>0</v>
      </c>
    </row>
    <row r="147" spans="1:15" ht="28.9">
      <c r="A147" s="13" t="s">
        <v>373</v>
      </c>
      <c r="B147" s="11" t="s">
        <v>374</v>
      </c>
      <c r="C147" s="29" t="s">
        <v>375</v>
      </c>
      <c r="D147" s="29"/>
      <c r="L147" s="1" t="str">
        <f t="shared" si="30"/>
        <v/>
      </c>
      <c r="M147">
        <f t="shared" si="46"/>
        <v>0</v>
      </c>
      <c r="N147" s="1">
        <f t="shared" si="49"/>
        <v>0</v>
      </c>
      <c r="O147" s="1">
        <f t="shared" si="50"/>
        <v>0</v>
      </c>
    </row>
    <row r="148" spans="1:15" ht="28.9">
      <c r="A148" s="13" t="s">
        <v>376</v>
      </c>
      <c r="B148" s="11" t="s">
        <v>377</v>
      </c>
      <c r="C148" s="29" t="s">
        <v>22</v>
      </c>
      <c r="D148" s="29"/>
      <c r="L148" s="1" t="str">
        <f t="shared" si="30"/>
        <v/>
      </c>
      <c r="M148">
        <f t="shared" si="46"/>
        <v>0</v>
      </c>
      <c r="N148" s="1">
        <f t="shared" si="49"/>
        <v>0</v>
      </c>
      <c r="O148" s="1">
        <f t="shared" si="50"/>
        <v>0</v>
      </c>
    </row>
    <row r="149" spans="1:15">
      <c r="A149" s="13" t="s">
        <v>378</v>
      </c>
      <c r="B149" s="11" t="s">
        <v>379</v>
      </c>
      <c r="C149" s="29" t="s">
        <v>100</v>
      </c>
      <c r="D149" s="29"/>
      <c r="L149" s="1" t="str">
        <f t="shared" si="30"/>
        <v/>
      </c>
      <c r="M149">
        <f t="shared" si="46"/>
        <v>0</v>
      </c>
      <c r="N149" s="1">
        <f t="shared" si="49"/>
        <v>0</v>
      </c>
      <c r="O149" s="1">
        <f t="shared" si="50"/>
        <v>0</v>
      </c>
    </row>
    <row r="150" spans="1:15">
      <c r="B150" s="52" t="s">
        <v>380</v>
      </c>
      <c r="C150" s="53"/>
      <c r="D150" s="53"/>
      <c r="E150" s="53"/>
      <c r="F150" s="53"/>
      <c r="G150" s="53"/>
      <c r="H150" s="53"/>
      <c r="I150" s="53"/>
      <c r="L150" s="1" t="str">
        <f t="shared" si="30"/>
        <v/>
      </c>
      <c r="M150" s="37">
        <f>MAX(M132:M149)</f>
        <v>0</v>
      </c>
    </row>
    <row r="151" spans="1:15">
      <c r="A151" s="16" t="s">
        <v>381</v>
      </c>
      <c r="B151" s="16" t="s">
        <v>382</v>
      </c>
      <c r="C151" s="17" t="s">
        <v>35</v>
      </c>
      <c r="D151" s="17" t="s">
        <v>36</v>
      </c>
      <c r="E151" s="17" t="s">
        <v>37</v>
      </c>
      <c r="F151" s="17" t="s">
        <v>37</v>
      </c>
      <c r="G151" s="17" t="s">
        <v>38</v>
      </c>
      <c r="H151" s="17" t="s">
        <v>39</v>
      </c>
      <c r="I151" s="17" t="s">
        <v>40</v>
      </c>
      <c r="J151" s="17" t="s">
        <v>41</v>
      </c>
      <c r="K151" s="17" t="s">
        <v>42</v>
      </c>
      <c r="L151" s="17" t="s">
        <v>39</v>
      </c>
      <c r="M151" s="17" t="s">
        <v>43</v>
      </c>
    </row>
    <row r="152" spans="1:15">
      <c r="A152" s="13" t="s">
        <v>383</v>
      </c>
      <c r="B152" s="11" t="s">
        <v>384</v>
      </c>
      <c r="C152" s="29" t="s">
        <v>385</v>
      </c>
      <c r="D152" s="29"/>
      <c r="L152" s="1" t="str">
        <f t="shared" si="30"/>
        <v/>
      </c>
      <c r="M152">
        <f t="shared" ref="M152:M162" si="51">PRODUCT(N152:O152)</f>
        <v>0</v>
      </c>
      <c r="N152" s="1">
        <f t="shared" ref="N152" si="52">IF(J152="Low",1,IF(J152="Medium",2,IF(J152="High",3,0)))</f>
        <v>0</v>
      </c>
      <c r="O152" s="1">
        <f t="shared" ref="O152" si="53">IF(K152="Low",1,IF(K152="Medium",2,IF(K152="High",3,0)))</f>
        <v>0</v>
      </c>
    </row>
    <row r="153" spans="1:15" ht="28.9">
      <c r="A153" s="13" t="s">
        <v>386</v>
      </c>
      <c r="B153" s="11" t="s">
        <v>387</v>
      </c>
      <c r="C153" s="29" t="s">
        <v>388</v>
      </c>
      <c r="D153" s="29"/>
      <c r="L153" s="1" t="str">
        <f t="shared" si="30"/>
        <v/>
      </c>
      <c r="M153">
        <f t="shared" si="51"/>
        <v>0</v>
      </c>
      <c r="N153" s="1">
        <f t="shared" ref="N153:N162" si="54">IF(J153="Low",1,IF(J153="Medium",2,IF(J153="High",3,0)))</f>
        <v>0</v>
      </c>
      <c r="O153" s="1">
        <f t="shared" ref="O153:O162" si="55">IF(K153="Low",1,IF(K153="Medium",2,IF(K153="High",3,0)))</f>
        <v>0</v>
      </c>
    </row>
    <row r="154" spans="1:15" ht="28.9">
      <c r="A154" s="13" t="s">
        <v>389</v>
      </c>
      <c r="B154" s="11" t="s">
        <v>390</v>
      </c>
      <c r="C154" s="29" t="s">
        <v>388</v>
      </c>
      <c r="D154" s="29"/>
      <c r="L154" s="1" t="str">
        <f t="shared" si="30"/>
        <v/>
      </c>
      <c r="M154">
        <f t="shared" si="51"/>
        <v>0</v>
      </c>
      <c r="N154" s="1">
        <f t="shared" si="54"/>
        <v>0</v>
      </c>
      <c r="O154" s="1">
        <f t="shared" si="55"/>
        <v>0</v>
      </c>
    </row>
    <row r="155" spans="1:15" ht="28.9">
      <c r="A155" s="13" t="s">
        <v>391</v>
      </c>
      <c r="B155" s="11" t="s">
        <v>392</v>
      </c>
      <c r="C155" s="29" t="s">
        <v>22</v>
      </c>
      <c r="D155" s="29"/>
      <c r="L155" s="1" t="str">
        <f t="shared" si="30"/>
        <v/>
      </c>
      <c r="M155">
        <f t="shared" si="51"/>
        <v>0</v>
      </c>
      <c r="N155" s="1">
        <f t="shared" si="54"/>
        <v>0</v>
      </c>
      <c r="O155" s="1">
        <f t="shared" si="55"/>
        <v>0</v>
      </c>
    </row>
    <row r="156" spans="1:15" ht="28.9">
      <c r="A156" s="13" t="s">
        <v>393</v>
      </c>
      <c r="B156" s="11" t="s">
        <v>394</v>
      </c>
      <c r="C156" s="29" t="s">
        <v>395</v>
      </c>
      <c r="D156" s="29"/>
      <c r="L156" s="1" t="str">
        <f t="shared" si="30"/>
        <v/>
      </c>
      <c r="M156">
        <f t="shared" si="51"/>
        <v>0</v>
      </c>
      <c r="N156" s="1">
        <f t="shared" si="54"/>
        <v>0</v>
      </c>
      <c r="O156" s="1">
        <f t="shared" si="55"/>
        <v>0</v>
      </c>
    </row>
    <row r="157" spans="1:15">
      <c r="A157" s="13" t="s">
        <v>396</v>
      </c>
      <c r="B157" s="11" t="s">
        <v>397</v>
      </c>
      <c r="C157" s="29" t="s">
        <v>22</v>
      </c>
      <c r="D157" s="29"/>
      <c r="L157" s="1" t="str">
        <f t="shared" si="30"/>
        <v/>
      </c>
      <c r="M157">
        <f t="shared" si="51"/>
        <v>0</v>
      </c>
      <c r="N157" s="1">
        <f t="shared" si="54"/>
        <v>0</v>
      </c>
      <c r="O157" s="1">
        <f t="shared" si="55"/>
        <v>0</v>
      </c>
    </row>
    <row r="158" spans="1:15">
      <c r="A158" s="13" t="s">
        <v>398</v>
      </c>
      <c r="B158" s="11" t="s">
        <v>399</v>
      </c>
      <c r="C158" s="29" t="s">
        <v>400</v>
      </c>
      <c r="D158" s="29"/>
      <c r="L158" s="1" t="str">
        <f t="shared" si="30"/>
        <v/>
      </c>
      <c r="M158">
        <f t="shared" si="51"/>
        <v>0</v>
      </c>
      <c r="N158" s="1">
        <f t="shared" si="54"/>
        <v>0</v>
      </c>
      <c r="O158" s="1">
        <f t="shared" si="55"/>
        <v>0</v>
      </c>
    </row>
    <row r="159" spans="1:15" ht="28.9">
      <c r="A159" s="13" t="s">
        <v>401</v>
      </c>
      <c r="B159" s="11" t="s">
        <v>402</v>
      </c>
      <c r="C159" s="29" t="s">
        <v>403</v>
      </c>
      <c r="D159" s="29"/>
      <c r="L159" s="1" t="str">
        <f t="shared" si="30"/>
        <v/>
      </c>
      <c r="M159">
        <f t="shared" si="51"/>
        <v>0</v>
      </c>
      <c r="N159" s="1">
        <f t="shared" si="54"/>
        <v>0</v>
      </c>
      <c r="O159" s="1">
        <f t="shared" si="55"/>
        <v>0</v>
      </c>
    </row>
    <row r="160" spans="1:15" ht="43.15">
      <c r="A160" s="13" t="s">
        <v>404</v>
      </c>
      <c r="B160" s="11" t="s">
        <v>405</v>
      </c>
      <c r="C160" s="29" t="s">
        <v>406</v>
      </c>
      <c r="D160" s="29"/>
      <c r="L160" s="1" t="str">
        <f t="shared" si="30"/>
        <v/>
      </c>
      <c r="M160">
        <f t="shared" si="51"/>
        <v>0</v>
      </c>
      <c r="N160" s="1">
        <f t="shared" si="54"/>
        <v>0</v>
      </c>
      <c r="O160" s="1">
        <f t="shared" si="55"/>
        <v>0</v>
      </c>
    </row>
    <row r="161" spans="1:15" ht="28.9">
      <c r="A161" s="13" t="s">
        <v>407</v>
      </c>
      <c r="B161" s="11" t="s">
        <v>408</v>
      </c>
      <c r="C161" s="29" t="s">
        <v>409</v>
      </c>
      <c r="D161" s="29"/>
      <c r="L161" s="1" t="str">
        <f t="shared" si="30"/>
        <v/>
      </c>
      <c r="M161">
        <f t="shared" si="51"/>
        <v>0</v>
      </c>
      <c r="N161" s="1">
        <f t="shared" si="54"/>
        <v>0</v>
      </c>
      <c r="O161" s="1">
        <f t="shared" si="55"/>
        <v>0</v>
      </c>
    </row>
    <row r="162" spans="1:15" ht="28.9">
      <c r="A162" s="13" t="s">
        <v>410</v>
      </c>
      <c r="B162" s="11" t="s">
        <v>411</v>
      </c>
      <c r="C162" s="29" t="s">
        <v>412</v>
      </c>
      <c r="D162" s="29"/>
      <c r="L162" s="1" t="str">
        <f t="shared" si="30"/>
        <v/>
      </c>
      <c r="M162">
        <f t="shared" si="51"/>
        <v>0</v>
      </c>
      <c r="N162" s="1">
        <f t="shared" si="54"/>
        <v>0</v>
      </c>
      <c r="O162" s="1">
        <f t="shared" si="55"/>
        <v>0</v>
      </c>
    </row>
    <row r="163" spans="1:15">
      <c r="B163" s="52" t="s">
        <v>413</v>
      </c>
      <c r="C163" s="53"/>
      <c r="D163" s="53"/>
      <c r="E163" s="53"/>
      <c r="F163" s="53"/>
      <c r="G163" s="53"/>
      <c r="H163" s="53"/>
      <c r="I163" s="53"/>
      <c r="L163" s="1" t="str">
        <f t="shared" si="30"/>
        <v/>
      </c>
      <c r="M163" s="37">
        <f>MAX(M152:M162)</f>
        <v>0</v>
      </c>
    </row>
    <row r="164" spans="1:15">
      <c r="A164" s="16" t="s">
        <v>109</v>
      </c>
      <c r="B164" s="16" t="s">
        <v>414</v>
      </c>
      <c r="C164" s="17" t="s">
        <v>35</v>
      </c>
      <c r="D164" s="17" t="s">
        <v>36</v>
      </c>
      <c r="E164" s="17" t="s">
        <v>37</v>
      </c>
      <c r="F164" s="17" t="s">
        <v>37</v>
      </c>
      <c r="G164" s="17" t="s">
        <v>38</v>
      </c>
      <c r="H164" s="17" t="s">
        <v>39</v>
      </c>
      <c r="I164" s="17" t="s">
        <v>40</v>
      </c>
      <c r="J164" s="17" t="s">
        <v>41</v>
      </c>
      <c r="K164" s="17" t="s">
        <v>42</v>
      </c>
      <c r="L164" s="17" t="s">
        <v>39</v>
      </c>
      <c r="M164" s="17" t="s">
        <v>43</v>
      </c>
    </row>
    <row r="165" spans="1:15" ht="28.9">
      <c r="A165" s="13" t="s">
        <v>111</v>
      </c>
      <c r="B165" s="11" t="s">
        <v>415</v>
      </c>
      <c r="C165" s="29" t="s">
        <v>416</v>
      </c>
      <c r="D165" s="29"/>
      <c r="L165" s="1" t="str">
        <f t="shared" si="30"/>
        <v/>
      </c>
      <c r="M165">
        <f t="shared" ref="M165" si="56">PRODUCT(N165:O165)</f>
        <v>0</v>
      </c>
      <c r="N165" s="1">
        <f t="shared" ref="N165" si="57">IF(J165="Low",1,IF(J165="Medium",2,IF(J165="High",3,0)))</f>
        <v>0</v>
      </c>
      <c r="O165" s="1">
        <f t="shared" ref="O165" si="58">IF(K165="Low",1,IF(K165="Medium",2,IF(K165="High",3,0)))</f>
        <v>0</v>
      </c>
    </row>
    <row r="166" spans="1:15">
      <c r="A166" s="13" t="s">
        <v>417</v>
      </c>
      <c r="B166" s="11" t="s">
        <v>418</v>
      </c>
      <c r="C166" s="29" t="s">
        <v>419</v>
      </c>
      <c r="D166" s="29"/>
      <c r="L166" s="1" t="str">
        <f t="shared" si="30"/>
        <v/>
      </c>
      <c r="M166">
        <f t="shared" ref="M166:M169" si="59">PRODUCT(N166:P166)</f>
        <v>0</v>
      </c>
      <c r="N166" s="1">
        <f t="shared" ref="N166:N169" si="60">IF(J166="Low",1,IF(J166="Medium",2,IF(J166="High",3,0)))</f>
        <v>0</v>
      </c>
      <c r="O166" s="1">
        <f t="shared" ref="O166:O169" si="61">IF(K166="Low",1,IF(K166="Medium",2,IF(K166="High",3,0)))</f>
        <v>0</v>
      </c>
    </row>
    <row r="167" spans="1:15">
      <c r="A167" s="13" t="s">
        <v>114</v>
      </c>
      <c r="B167" s="11" t="s">
        <v>420</v>
      </c>
      <c r="C167" s="29" t="s">
        <v>421</v>
      </c>
      <c r="D167" s="29"/>
      <c r="L167" s="1" t="str">
        <f t="shared" ref="L167:L170" si="62">IF(M167=0,"",IF(M167&lt;3,"Low",IF(M167&lt;6,"Medium","High")))</f>
        <v/>
      </c>
      <c r="M167">
        <f t="shared" si="59"/>
        <v>0</v>
      </c>
      <c r="N167" s="1">
        <f t="shared" si="60"/>
        <v>0</v>
      </c>
      <c r="O167" s="1">
        <f t="shared" si="61"/>
        <v>0</v>
      </c>
    </row>
    <row r="168" spans="1:15">
      <c r="A168" s="13" t="s">
        <v>422</v>
      </c>
      <c r="B168" s="11" t="s">
        <v>423</v>
      </c>
      <c r="C168" s="29" t="s">
        <v>424</v>
      </c>
      <c r="D168" s="29"/>
      <c r="L168" s="1" t="str">
        <f t="shared" si="62"/>
        <v/>
      </c>
      <c r="M168">
        <f t="shared" si="59"/>
        <v>0</v>
      </c>
      <c r="N168" s="1">
        <f t="shared" si="60"/>
        <v>0</v>
      </c>
      <c r="O168" s="1">
        <f t="shared" si="61"/>
        <v>0</v>
      </c>
    </row>
    <row r="169" spans="1:15" ht="43.15">
      <c r="A169" s="13" t="s">
        <v>425</v>
      </c>
      <c r="B169" s="11" t="s">
        <v>426</v>
      </c>
      <c r="C169" s="29" t="s">
        <v>427</v>
      </c>
      <c r="D169" s="29"/>
      <c r="L169" s="1" t="str">
        <f t="shared" si="62"/>
        <v/>
      </c>
      <c r="M169">
        <f t="shared" si="59"/>
        <v>0</v>
      </c>
      <c r="N169" s="1">
        <f t="shared" si="60"/>
        <v>0</v>
      </c>
      <c r="O169" s="1">
        <f t="shared" si="61"/>
        <v>0</v>
      </c>
    </row>
    <row r="170" spans="1:15">
      <c r="B170" s="52" t="s">
        <v>428</v>
      </c>
      <c r="C170" s="53"/>
      <c r="D170" s="53"/>
      <c r="E170" s="53"/>
      <c r="F170" s="53"/>
      <c r="G170" s="53"/>
      <c r="H170" s="53"/>
      <c r="I170" s="53"/>
      <c r="L170" s="1" t="str">
        <f t="shared" si="62"/>
        <v/>
      </c>
      <c r="M170" s="37">
        <f>MAX(M165:M169)</f>
        <v>0</v>
      </c>
    </row>
    <row r="171" spans="1:15">
      <c r="A171" s="14"/>
      <c r="B171" s="14" t="s">
        <v>429</v>
      </c>
      <c r="C171" s="5"/>
      <c r="D171" s="5"/>
      <c r="E171" s="5"/>
      <c r="F171" s="5"/>
      <c r="G171" s="5"/>
      <c r="H171" s="5"/>
      <c r="I171" s="5"/>
    </row>
    <row r="172" spans="1:15">
      <c r="A172" s="16" t="s">
        <v>430</v>
      </c>
      <c r="B172" s="16" t="s">
        <v>431</v>
      </c>
      <c r="C172" s="17" t="s">
        <v>35</v>
      </c>
      <c r="D172" s="17" t="s">
        <v>36</v>
      </c>
      <c r="E172" s="17" t="s">
        <v>37</v>
      </c>
      <c r="F172" s="17" t="s">
        <v>37</v>
      </c>
      <c r="G172" s="17" t="s">
        <v>38</v>
      </c>
      <c r="H172" s="17" t="s">
        <v>39</v>
      </c>
      <c r="I172" s="17" t="s">
        <v>40</v>
      </c>
      <c r="J172" s="17" t="s">
        <v>41</v>
      </c>
      <c r="K172" s="17" t="s">
        <v>42</v>
      </c>
      <c r="L172" s="17" t="s">
        <v>39</v>
      </c>
      <c r="M172" s="17" t="s">
        <v>43</v>
      </c>
    </row>
    <row r="173" spans="1:15" ht="43.15">
      <c r="A173" s="13" t="s">
        <v>432</v>
      </c>
      <c r="B173" s="11" t="s">
        <v>433</v>
      </c>
      <c r="C173" s="29" t="s">
        <v>434</v>
      </c>
      <c r="D173" s="29"/>
      <c r="L173" s="1" t="str">
        <f t="shared" ref="L173:L213" si="63">IF(M173=0,"",IF(M173&lt;3,"Low",IF(M173&lt;6,"Medium","High")))</f>
        <v/>
      </c>
      <c r="M173">
        <f t="shared" ref="M173:M179" si="64">PRODUCT(N173:O173)</f>
        <v>0</v>
      </c>
      <c r="N173" s="1">
        <f t="shared" ref="N173" si="65">IF(J173="Low",1,IF(J173="Medium",2,IF(J173="High",3,0)))</f>
        <v>0</v>
      </c>
      <c r="O173" s="1">
        <f t="shared" ref="O173" si="66">IF(K173="Low",1,IF(K173="Medium",2,IF(K173="High",3,0)))</f>
        <v>0</v>
      </c>
    </row>
    <row r="174" spans="1:15" ht="43.15">
      <c r="A174" s="13" t="s">
        <v>435</v>
      </c>
      <c r="B174" s="11" t="s">
        <v>436</v>
      </c>
      <c r="C174" s="29" t="s">
        <v>434</v>
      </c>
      <c r="D174" s="29"/>
      <c r="L174" s="1" t="str">
        <f t="shared" si="63"/>
        <v/>
      </c>
      <c r="M174">
        <f t="shared" si="64"/>
        <v>0</v>
      </c>
      <c r="N174" s="1">
        <f t="shared" ref="N174:N179" si="67">IF(J174="Low",1,IF(J174="Medium",2,IF(J174="High",3,0)))</f>
        <v>0</v>
      </c>
      <c r="O174" s="1">
        <f t="shared" ref="O174:O179" si="68">IF(K174="Low",1,IF(K174="Medium",2,IF(K174="High",3,0)))</f>
        <v>0</v>
      </c>
    </row>
    <row r="175" spans="1:15">
      <c r="A175" s="13" t="s">
        <v>437</v>
      </c>
      <c r="B175" s="11" t="s">
        <v>438</v>
      </c>
      <c r="C175" s="29" t="s">
        <v>439</v>
      </c>
      <c r="D175" s="29"/>
      <c r="L175" s="1" t="str">
        <f t="shared" si="63"/>
        <v/>
      </c>
      <c r="M175">
        <f t="shared" si="64"/>
        <v>0</v>
      </c>
      <c r="N175" s="1">
        <f t="shared" si="67"/>
        <v>0</v>
      </c>
      <c r="O175" s="1">
        <f t="shared" si="68"/>
        <v>0</v>
      </c>
    </row>
    <row r="176" spans="1:15" ht="28.9">
      <c r="A176" s="13" t="s">
        <v>440</v>
      </c>
      <c r="B176" s="11" t="s">
        <v>441</v>
      </c>
      <c r="C176" s="29" t="s">
        <v>442</v>
      </c>
      <c r="D176" s="29"/>
      <c r="L176" s="1" t="str">
        <f t="shared" si="63"/>
        <v/>
      </c>
      <c r="M176">
        <f t="shared" si="64"/>
        <v>0</v>
      </c>
      <c r="N176" s="1">
        <f t="shared" si="67"/>
        <v>0</v>
      </c>
      <c r="O176" s="1">
        <f t="shared" si="68"/>
        <v>0</v>
      </c>
    </row>
    <row r="177" spans="1:15" ht="43.15">
      <c r="A177" s="13" t="s">
        <v>443</v>
      </c>
      <c r="B177" s="11" t="s">
        <v>444</v>
      </c>
      <c r="C177" s="29" t="s">
        <v>445</v>
      </c>
      <c r="D177" s="29"/>
      <c r="L177" s="1" t="str">
        <f t="shared" si="63"/>
        <v/>
      </c>
      <c r="M177">
        <f t="shared" si="64"/>
        <v>0</v>
      </c>
      <c r="N177" s="1">
        <f t="shared" si="67"/>
        <v>0</v>
      </c>
      <c r="O177" s="1">
        <f t="shared" si="68"/>
        <v>0</v>
      </c>
    </row>
    <row r="178" spans="1:15" ht="28.9">
      <c r="A178" s="13" t="s">
        <v>446</v>
      </c>
      <c r="B178" s="11" t="s">
        <v>447</v>
      </c>
      <c r="C178" s="29" t="s">
        <v>22</v>
      </c>
      <c r="D178" s="29"/>
      <c r="L178" s="1" t="str">
        <f t="shared" si="63"/>
        <v/>
      </c>
      <c r="M178">
        <f t="shared" si="64"/>
        <v>0</v>
      </c>
      <c r="N178" s="1">
        <f t="shared" si="67"/>
        <v>0</v>
      </c>
      <c r="O178" s="1">
        <f t="shared" si="68"/>
        <v>0</v>
      </c>
    </row>
    <row r="179" spans="1:15" ht="28.9">
      <c r="A179" s="13" t="s">
        <v>448</v>
      </c>
      <c r="B179" s="11" t="s">
        <v>449</v>
      </c>
      <c r="C179" s="29" t="s">
        <v>450</v>
      </c>
      <c r="D179" s="29"/>
      <c r="L179" s="1" t="str">
        <f t="shared" si="63"/>
        <v/>
      </c>
      <c r="M179">
        <f t="shared" si="64"/>
        <v>0</v>
      </c>
      <c r="N179" s="1">
        <f t="shared" si="67"/>
        <v>0</v>
      </c>
      <c r="O179" s="1">
        <f t="shared" si="68"/>
        <v>0</v>
      </c>
    </row>
    <row r="180" spans="1:15">
      <c r="B180" s="52" t="s">
        <v>451</v>
      </c>
      <c r="C180" s="53"/>
      <c r="D180" s="53"/>
      <c r="E180" s="53"/>
      <c r="F180" s="53"/>
      <c r="G180" s="53"/>
      <c r="H180" s="53"/>
      <c r="I180" s="53"/>
      <c r="L180" s="1" t="str">
        <f t="shared" si="63"/>
        <v/>
      </c>
      <c r="M180" s="37">
        <f>MAX(M173:M179)</f>
        <v>0</v>
      </c>
    </row>
    <row r="181" spans="1:15">
      <c r="A181" s="16" t="s">
        <v>452</v>
      </c>
      <c r="B181" s="16" t="s">
        <v>453</v>
      </c>
      <c r="C181" s="17" t="s">
        <v>35</v>
      </c>
      <c r="D181" s="17" t="s">
        <v>36</v>
      </c>
      <c r="E181" s="17" t="s">
        <v>37</v>
      </c>
      <c r="F181" s="17" t="s">
        <v>37</v>
      </c>
      <c r="G181" s="17" t="s">
        <v>38</v>
      </c>
      <c r="H181" s="17" t="s">
        <v>39</v>
      </c>
      <c r="I181" s="17" t="s">
        <v>40</v>
      </c>
      <c r="J181" s="17" t="s">
        <v>41</v>
      </c>
      <c r="K181" s="17" t="s">
        <v>42</v>
      </c>
      <c r="L181" s="17" t="s">
        <v>39</v>
      </c>
      <c r="M181" s="17" t="s">
        <v>43</v>
      </c>
    </row>
    <row r="182" spans="1:15" ht="28.9">
      <c r="A182" s="13" t="s">
        <v>454</v>
      </c>
      <c r="B182" s="24" t="s">
        <v>455</v>
      </c>
      <c r="C182" s="29" t="s">
        <v>456</v>
      </c>
      <c r="D182" s="29"/>
      <c r="L182" s="1" t="str">
        <f t="shared" si="63"/>
        <v/>
      </c>
      <c r="M182">
        <f t="shared" ref="M182:M191" si="69">PRODUCT(N182:O182)</f>
        <v>0</v>
      </c>
      <c r="N182" s="1">
        <f t="shared" ref="N182" si="70">IF(J182="Low",1,IF(J182="Medium",2,IF(J182="High",3,0)))</f>
        <v>0</v>
      </c>
      <c r="O182" s="1">
        <f t="shared" ref="O182" si="71">IF(K182="Low",1,IF(K182="Medium",2,IF(K182="High",3,0)))</f>
        <v>0</v>
      </c>
    </row>
    <row r="183" spans="1:15">
      <c r="A183" s="13" t="s">
        <v>457</v>
      </c>
      <c r="B183" s="24" t="s">
        <v>458</v>
      </c>
      <c r="C183" s="29" t="s">
        <v>459</v>
      </c>
      <c r="D183" s="29"/>
      <c r="L183" s="1" t="str">
        <f t="shared" si="63"/>
        <v/>
      </c>
      <c r="M183">
        <f t="shared" si="69"/>
        <v>0</v>
      </c>
      <c r="N183" s="1">
        <f t="shared" ref="N183:N191" si="72">IF(J183="Low",1,IF(J183="Medium",2,IF(J183="High",3,0)))</f>
        <v>0</v>
      </c>
      <c r="O183" s="1">
        <f t="shared" ref="O183:O191" si="73">IF(K183="Low",1,IF(K183="Medium",2,IF(K183="High",3,0)))</f>
        <v>0</v>
      </c>
    </row>
    <row r="184" spans="1:15">
      <c r="A184" s="13" t="s">
        <v>460</v>
      </c>
      <c r="B184" s="24" t="s">
        <v>461</v>
      </c>
      <c r="C184" s="29" t="s">
        <v>100</v>
      </c>
      <c r="D184" s="29"/>
      <c r="L184" s="1" t="str">
        <f t="shared" si="63"/>
        <v/>
      </c>
      <c r="M184">
        <f t="shared" si="69"/>
        <v>0</v>
      </c>
      <c r="N184" s="1">
        <f t="shared" si="72"/>
        <v>0</v>
      </c>
      <c r="O184" s="1">
        <f t="shared" si="73"/>
        <v>0</v>
      </c>
    </row>
    <row r="185" spans="1:15" ht="28.9">
      <c r="A185" s="13" t="s">
        <v>462</v>
      </c>
      <c r="B185" s="24" t="s">
        <v>463</v>
      </c>
      <c r="C185" s="29" t="s">
        <v>100</v>
      </c>
      <c r="D185" s="29"/>
      <c r="L185" s="1" t="str">
        <f t="shared" si="63"/>
        <v/>
      </c>
      <c r="M185">
        <f t="shared" si="69"/>
        <v>0</v>
      </c>
      <c r="N185" s="1">
        <f t="shared" si="72"/>
        <v>0</v>
      </c>
      <c r="O185" s="1">
        <f t="shared" si="73"/>
        <v>0</v>
      </c>
    </row>
    <row r="186" spans="1:15" ht="86.45">
      <c r="A186" s="13" t="s">
        <v>464</v>
      </c>
      <c r="B186" s="24" t="s">
        <v>465</v>
      </c>
      <c r="C186" s="29" t="s">
        <v>466</v>
      </c>
      <c r="D186" s="29"/>
      <c r="L186" s="1" t="str">
        <f t="shared" si="63"/>
        <v/>
      </c>
      <c r="M186">
        <f t="shared" si="69"/>
        <v>0</v>
      </c>
      <c r="N186" s="1">
        <f t="shared" si="72"/>
        <v>0</v>
      </c>
      <c r="O186" s="1">
        <f t="shared" si="73"/>
        <v>0</v>
      </c>
    </row>
    <row r="187" spans="1:15" ht="43.15">
      <c r="A187" s="13" t="s">
        <v>467</v>
      </c>
      <c r="B187" s="24" t="s">
        <v>468</v>
      </c>
      <c r="C187" s="29" t="s">
        <v>100</v>
      </c>
      <c r="D187" s="29"/>
      <c r="L187" s="1" t="str">
        <f t="shared" si="63"/>
        <v/>
      </c>
      <c r="M187">
        <f t="shared" si="69"/>
        <v>0</v>
      </c>
      <c r="N187" s="1">
        <f t="shared" si="72"/>
        <v>0</v>
      </c>
      <c r="O187" s="1">
        <f t="shared" si="73"/>
        <v>0</v>
      </c>
    </row>
    <row r="188" spans="1:15" ht="43.15">
      <c r="A188" s="13" t="s">
        <v>469</v>
      </c>
      <c r="B188" s="24" t="s">
        <v>470</v>
      </c>
      <c r="C188" s="29" t="s">
        <v>100</v>
      </c>
      <c r="D188" s="29"/>
      <c r="L188" s="1" t="str">
        <f t="shared" si="63"/>
        <v/>
      </c>
      <c r="M188">
        <f t="shared" si="69"/>
        <v>0</v>
      </c>
      <c r="N188" s="1">
        <f t="shared" si="72"/>
        <v>0</v>
      </c>
      <c r="O188" s="1">
        <f t="shared" si="73"/>
        <v>0</v>
      </c>
    </row>
    <row r="189" spans="1:15">
      <c r="A189" s="13" t="s">
        <v>471</v>
      </c>
      <c r="B189" s="24" t="s">
        <v>472</v>
      </c>
      <c r="C189" s="29" t="s">
        <v>22</v>
      </c>
      <c r="D189" s="29"/>
      <c r="L189" s="1" t="str">
        <f t="shared" si="63"/>
        <v/>
      </c>
      <c r="M189">
        <f t="shared" si="69"/>
        <v>0</v>
      </c>
      <c r="N189" s="1">
        <f t="shared" si="72"/>
        <v>0</v>
      </c>
      <c r="O189" s="1">
        <f t="shared" si="73"/>
        <v>0</v>
      </c>
    </row>
    <row r="190" spans="1:15">
      <c r="A190" s="13" t="s">
        <v>473</v>
      </c>
      <c r="B190" s="24" t="s">
        <v>474</v>
      </c>
      <c r="C190" s="29" t="s">
        <v>65</v>
      </c>
      <c r="D190" s="29"/>
      <c r="L190" s="1" t="str">
        <f t="shared" si="63"/>
        <v/>
      </c>
      <c r="M190">
        <f t="shared" si="69"/>
        <v>0</v>
      </c>
      <c r="N190" s="1">
        <f t="shared" si="72"/>
        <v>0</v>
      </c>
      <c r="O190" s="1">
        <f t="shared" si="73"/>
        <v>0</v>
      </c>
    </row>
    <row r="191" spans="1:15">
      <c r="A191" s="13" t="s">
        <v>475</v>
      </c>
      <c r="B191" s="24" t="s">
        <v>476</v>
      </c>
      <c r="C191" s="29" t="s">
        <v>22</v>
      </c>
      <c r="D191" s="29"/>
      <c r="L191" s="1" t="str">
        <f t="shared" si="63"/>
        <v/>
      </c>
      <c r="M191">
        <f t="shared" si="69"/>
        <v>0</v>
      </c>
      <c r="N191" s="1">
        <f t="shared" si="72"/>
        <v>0</v>
      </c>
      <c r="O191" s="1">
        <f t="shared" si="73"/>
        <v>0</v>
      </c>
    </row>
    <row r="192" spans="1:15">
      <c r="B192" s="52" t="s">
        <v>477</v>
      </c>
      <c r="C192" s="53"/>
      <c r="D192" s="53"/>
      <c r="E192" s="53"/>
      <c r="F192" s="53"/>
      <c r="G192" s="53"/>
      <c r="H192" s="53"/>
      <c r="I192" s="53"/>
      <c r="L192" s="1" t="str">
        <f t="shared" si="63"/>
        <v/>
      </c>
      <c r="M192" s="37">
        <f>MAX(M182:M191)</f>
        <v>0</v>
      </c>
    </row>
    <row r="193" spans="1:15">
      <c r="A193" s="16" t="s">
        <v>478</v>
      </c>
      <c r="B193" s="16" t="s">
        <v>479</v>
      </c>
      <c r="C193" s="17" t="s">
        <v>35</v>
      </c>
      <c r="D193" s="17" t="s">
        <v>36</v>
      </c>
      <c r="E193" s="17" t="s">
        <v>37</v>
      </c>
      <c r="F193" s="17" t="s">
        <v>37</v>
      </c>
      <c r="G193" s="17" t="s">
        <v>38</v>
      </c>
      <c r="H193" s="17" t="s">
        <v>39</v>
      </c>
      <c r="I193" s="17" t="s">
        <v>40</v>
      </c>
      <c r="J193" s="17" t="s">
        <v>41</v>
      </c>
      <c r="K193" s="17" t="s">
        <v>42</v>
      </c>
      <c r="L193" s="17" t="s">
        <v>39</v>
      </c>
      <c r="M193" s="17" t="s">
        <v>43</v>
      </c>
    </row>
    <row r="194" spans="1:15" ht="28.9">
      <c r="A194" s="13" t="s">
        <v>480</v>
      </c>
      <c r="B194" s="11" t="s">
        <v>481</v>
      </c>
      <c r="C194" s="29" t="s">
        <v>22</v>
      </c>
      <c r="D194" s="29"/>
      <c r="E194" s="21"/>
      <c r="L194" s="1" t="str">
        <f t="shared" si="63"/>
        <v/>
      </c>
      <c r="M194">
        <f t="shared" ref="M194:M196" si="74">PRODUCT(N194:O194)</f>
        <v>0</v>
      </c>
      <c r="N194" s="1">
        <f t="shared" ref="N194" si="75">IF(J194="Low",1,IF(J194="Medium",2,IF(J194="High",3,0)))</f>
        <v>0</v>
      </c>
      <c r="O194" s="1">
        <f t="shared" ref="O194" si="76">IF(K194="Low",1,IF(K194="Medium",2,IF(K194="High",3,0)))</f>
        <v>0</v>
      </c>
    </row>
    <row r="195" spans="1:15">
      <c r="A195" s="13" t="s">
        <v>482</v>
      </c>
      <c r="B195" s="30" t="s">
        <v>483</v>
      </c>
      <c r="C195" s="29"/>
      <c r="D195" s="29"/>
      <c r="L195" s="1" t="str">
        <f t="shared" si="63"/>
        <v/>
      </c>
      <c r="M195">
        <f t="shared" si="74"/>
        <v>0</v>
      </c>
      <c r="N195" s="1">
        <f t="shared" ref="N195:N196" si="77">IF(J195="Low",1,IF(J195="Medium",2,IF(J195="High",3,0)))</f>
        <v>0</v>
      </c>
      <c r="O195" s="1">
        <f t="shared" ref="O195:O196" si="78">IF(K195="Low",1,IF(K195="Medium",2,IF(K195="High",3,0)))</f>
        <v>0</v>
      </c>
    </row>
    <row r="196" spans="1:15">
      <c r="A196" s="13" t="s">
        <v>484</v>
      </c>
      <c r="B196" s="11" t="s">
        <v>485</v>
      </c>
      <c r="C196" s="29" t="s">
        <v>22</v>
      </c>
      <c r="D196" s="29"/>
      <c r="L196" s="1" t="str">
        <f t="shared" si="63"/>
        <v/>
      </c>
      <c r="M196">
        <f t="shared" si="74"/>
        <v>0</v>
      </c>
      <c r="N196" s="1">
        <f t="shared" si="77"/>
        <v>0</v>
      </c>
      <c r="O196" s="1">
        <f t="shared" si="78"/>
        <v>0</v>
      </c>
    </row>
    <row r="197" spans="1:15">
      <c r="B197" s="55" t="s">
        <v>202</v>
      </c>
      <c r="C197" s="55"/>
      <c r="D197" s="55"/>
      <c r="E197" s="55"/>
      <c r="F197" s="55"/>
      <c r="G197" s="55"/>
      <c r="H197" s="55"/>
      <c r="I197" s="55"/>
      <c r="L197" s="1" t="str">
        <f t="shared" si="63"/>
        <v/>
      </c>
      <c r="M197" s="1">
        <f>MAX(M194:M196)</f>
        <v>0</v>
      </c>
    </row>
    <row r="198" spans="1:15">
      <c r="A198" s="16" t="s">
        <v>486</v>
      </c>
      <c r="B198" s="16" t="s">
        <v>487</v>
      </c>
      <c r="C198" s="17" t="s">
        <v>35</v>
      </c>
      <c r="D198" s="17" t="s">
        <v>36</v>
      </c>
      <c r="E198" s="17" t="s">
        <v>37</v>
      </c>
      <c r="F198" s="17" t="s">
        <v>37</v>
      </c>
      <c r="G198" s="17" t="s">
        <v>38</v>
      </c>
      <c r="H198" s="17" t="s">
        <v>39</v>
      </c>
      <c r="I198" s="17" t="s">
        <v>40</v>
      </c>
      <c r="J198" s="17" t="s">
        <v>41</v>
      </c>
      <c r="K198" s="17" t="s">
        <v>42</v>
      </c>
      <c r="L198" s="17" t="s">
        <v>39</v>
      </c>
      <c r="M198" s="17" t="s">
        <v>43</v>
      </c>
    </row>
    <row r="199" spans="1:15" ht="57.6">
      <c r="A199" s="13" t="s">
        <v>488</v>
      </c>
      <c r="B199" s="11" t="s">
        <v>489</v>
      </c>
      <c r="C199" s="29" t="s">
        <v>490</v>
      </c>
      <c r="D199" s="29"/>
      <c r="L199" s="1" t="str">
        <f t="shared" si="63"/>
        <v/>
      </c>
      <c r="M199">
        <f t="shared" ref="M199" si="79">PRODUCT(N199:O199)</f>
        <v>0</v>
      </c>
      <c r="N199" s="1">
        <f t="shared" ref="N199" si="80">IF(J199="Low",1,IF(J199="Medium",2,IF(J199="High",3,0)))</f>
        <v>0</v>
      </c>
      <c r="O199" s="1">
        <f t="shared" ref="O199" si="81">IF(K199="Low",1,IF(K199="Medium",2,IF(K199="High",3,0)))</f>
        <v>0</v>
      </c>
    </row>
    <row r="200" spans="1:15">
      <c r="B200" s="52" t="s">
        <v>491</v>
      </c>
      <c r="C200" s="53"/>
      <c r="D200" s="53"/>
      <c r="E200" s="53"/>
      <c r="F200" s="53"/>
      <c r="G200" s="53"/>
      <c r="H200" s="53"/>
      <c r="I200" s="53"/>
      <c r="L200" s="1" t="str">
        <f t="shared" si="63"/>
        <v/>
      </c>
      <c r="M200" s="37">
        <f>MAX(M199:M199)</f>
        <v>0</v>
      </c>
    </row>
    <row r="201" spans="1:15">
      <c r="A201" s="16" t="s">
        <v>492</v>
      </c>
      <c r="B201" s="16" t="s">
        <v>493</v>
      </c>
      <c r="C201" s="17" t="s">
        <v>35</v>
      </c>
      <c r="D201" s="17" t="s">
        <v>36</v>
      </c>
      <c r="E201" s="17" t="s">
        <v>37</v>
      </c>
      <c r="F201" s="17" t="s">
        <v>37</v>
      </c>
      <c r="G201" s="17" t="s">
        <v>38</v>
      </c>
      <c r="H201" s="17" t="s">
        <v>39</v>
      </c>
      <c r="I201" s="17" t="s">
        <v>40</v>
      </c>
      <c r="J201" s="17" t="s">
        <v>41</v>
      </c>
      <c r="K201" s="17" t="s">
        <v>42</v>
      </c>
      <c r="L201" s="17" t="s">
        <v>39</v>
      </c>
      <c r="M201" s="17" t="s">
        <v>43</v>
      </c>
    </row>
    <row r="202" spans="1:15">
      <c r="A202" s="13" t="s">
        <v>494</v>
      </c>
      <c r="B202" s="11" t="s">
        <v>495</v>
      </c>
      <c r="C202" s="29" t="s">
        <v>496</v>
      </c>
      <c r="D202" s="29"/>
      <c r="L202" s="1" t="str">
        <f t="shared" si="63"/>
        <v/>
      </c>
      <c r="M202">
        <f t="shared" ref="M202" si="82">PRODUCT(N202:O202)</f>
        <v>0</v>
      </c>
      <c r="N202" s="1">
        <f t="shared" ref="N202" si="83">IF(J202="Low",1,IF(J202="Medium",2,IF(J202="High",3,0)))</f>
        <v>0</v>
      </c>
      <c r="O202" s="1">
        <f t="shared" ref="O202" si="84">IF(K202="Low",1,IF(K202="Medium",2,IF(K202="High",3,0)))</f>
        <v>0</v>
      </c>
    </row>
    <row r="203" spans="1:15">
      <c r="B203" s="52" t="s">
        <v>497</v>
      </c>
      <c r="C203" s="53"/>
      <c r="D203" s="53"/>
      <c r="E203" s="53"/>
      <c r="F203" s="53"/>
      <c r="G203" s="53"/>
      <c r="H203" s="53"/>
      <c r="I203" s="53"/>
      <c r="L203" s="1" t="str">
        <f t="shared" si="63"/>
        <v/>
      </c>
      <c r="M203" s="37">
        <f>MAX(M202:M202)</f>
        <v>0</v>
      </c>
    </row>
    <row r="204" spans="1:15">
      <c r="A204" s="16" t="s">
        <v>498</v>
      </c>
      <c r="B204" s="16" t="s">
        <v>499</v>
      </c>
      <c r="C204" s="17" t="s">
        <v>35</v>
      </c>
      <c r="D204" s="17" t="s">
        <v>36</v>
      </c>
      <c r="E204" s="17" t="s">
        <v>37</v>
      </c>
      <c r="F204" s="17" t="s">
        <v>37</v>
      </c>
      <c r="G204" s="17" t="s">
        <v>38</v>
      </c>
      <c r="H204" s="17" t="s">
        <v>39</v>
      </c>
      <c r="I204" s="17" t="s">
        <v>40</v>
      </c>
      <c r="J204" s="17" t="s">
        <v>41</v>
      </c>
      <c r="K204" s="17" t="s">
        <v>42</v>
      </c>
      <c r="L204" s="17" t="s">
        <v>39</v>
      </c>
      <c r="M204" s="17" t="s">
        <v>43</v>
      </c>
    </row>
    <row r="205" spans="1:15">
      <c r="A205" s="13" t="s">
        <v>500</v>
      </c>
      <c r="B205" s="11" t="s">
        <v>501</v>
      </c>
      <c r="C205" s="29" t="s">
        <v>502</v>
      </c>
      <c r="D205" s="29"/>
      <c r="L205" s="1" t="str">
        <f t="shared" si="63"/>
        <v/>
      </c>
      <c r="M205">
        <f t="shared" ref="M205:M212" si="85">PRODUCT(N205:O205)</f>
        <v>0</v>
      </c>
      <c r="N205" s="1">
        <f t="shared" ref="N205" si="86">IF(J205="Low",1,IF(J205="Medium",2,IF(J205="High",3,0)))</f>
        <v>0</v>
      </c>
      <c r="O205" s="1">
        <f t="shared" ref="O205" si="87">IF(K205="Low",1,IF(K205="Medium",2,IF(K205="High",3,0)))</f>
        <v>0</v>
      </c>
    </row>
    <row r="206" spans="1:15">
      <c r="A206" s="13" t="s">
        <v>503</v>
      </c>
      <c r="B206" s="11" t="s">
        <v>504</v>
      </c>
      <c r="C206" s="29" t="s">
        <v>22</v>
      </c>
      <c r="D206" s="29"/>
      <c r="L206" s="1" t="str">
        <f t="shared" si="63"/>
        <v/>
      </c>
      <c r="M206">
        <f t="shared" si="85"/>
        <v>0</v>
      </c>
      <c r="N206" s="1">
        <f t="shared" ref="N206:N213" si="88">IF(J206="Low",1,IF(J206="Medium",2,IF(J206="High",3,0)))</f>
        <v>0</v>
      </c>
      <c r="O206" s="1">
        <f t="shared" ref="O206:O213" si="89">IF(K206="Low",1,IF(K206="Medium",2,IF(K206="High",3,0)))</f>
        <v>0</v>
      </c>
    </row>
    <row r="207" spans="1:15">
      <c r="A207" s="13" t="s">
        <v>505</v>
      </c>
      <c r="B207" s="26" t="s">
        <v>506</v>
      </c>
      <c r="C207" s="29" t="s">
        <v>22</v>
      </c>
      <c r="D207" s="29"/>
      <c r="L207" s="1" t="str">
        <f t="shared" si="63"/>
        <v/>
      </c>
      <c r="M207">
        <f t="shared" si="85"/>
        <v>0</v>
      </c>
      <c r="N207" s="1">
        <f t="shared" si="88"/>
        <v>0</v>
      </c>
      <c r="O207" s="1">
        <f t="shared" si="89"/>
        <v>0</v>
      </c>
    </row>
    <row r="208" spans="1:15" ht="28.9">
      <c r="A208" s="13" t="s">
        <v>507</v>
      </c>
      <c r="B208" s="11" t="s">
        <v>508</v>
      </c>
      <c r="C208" s="29" t="s">
        <v>509</v>
      </c>
      <c r="D208" s="29"/>
      <c r="L208" s="1" t="str">
        <f t="shared" si="63"/>
        <v/>
      </c>
      <c r="M208">
        <f t="shared" si="85"/>
        <v>0</v>
      </c>
      <c r="N208" s="1">
        <f t="shared" si="88"/>
        <v>0</v>
      </c>
      <c r="O208" s="1">
        <f t="shared" si="89"/>
        <v>0</v>
      </c>
    </row>
    <row r="209" spans="1:15" ht="28.9">
      <c r="A209" s="13" t="s">
        <v>510</v>
      </c>
      <c r="B209" s="11" t="s">
        <v>511</v>
      </c>
      <c r="C209" s="29" t="s">
        <v>502</v>
      </c>
      <c r="D209" s="29"/>
      <c r="L209" s="1" t="str">
        <f t="shared" si="63"/>
        <v/>
      </c>
      <c r="M209">
        <f t="shared" si="85"/>
        <v>0</v>
      </c>
      <c r="N209" s="1">
        <f t="shared" si="88"/>
        <v>0</v>
      </c>
      <c r="O209" s="1">
        <f t="shared" si="89"/>
        <v>0</v>
      </c>
    </row>
    <row r="210" spans="1:15" ht="86.45">
      <c r="A210" s="13" t="s">
        <v>512</v>
      </c>
      <c r="B210" s="11" t="s">
        <v>513</v>
      </c>
      <c r="C210" s="29" t="s">
        <v>514</v>
      </c>
      <c r="D210" s="29"/>
      <c r="L210" s="1" t="str">
        <f t="shared" si="63"/>
        <v/>
      </c>
      <c r="M210">
        <f t="shared" si="85"/>
        <v>0</v>
      </c>
      <c r="N210" s="1">
        <f t="shared" si="88"/>
        <v>0</v>
      </c>
      <c r="O210" s="1">
        <f t="shared" si="89"/>
        <v>0</v>
      </c>
    </row>
    <row r="211" spans="1:15" ht="28.9">
      <c r="A211" s="13" t="s">
        <v>515</v>
      </c>
      <c r="B211" s="11" t="s">
        <v>516</v>
      </c>
      <c r="C211" s="29" t="s">
        <v>517</v>
      </c>
      <c r="D211" s="29"/>
      <c r="L211" s="1" t="str">
        <f t="shared" si="63"/>
        <v/>
      </c>
      <c r="M211">
        <f t="shared" si="85"/>
        <v>0</v>
      </c>
      <c r="N211" s="1">
        <f t="shared" si="88"/>
        <v>0</v>
      </c>
      <c r="O211" s="1">
        <f t="shared" si="89"/>
        <v>0</v>
      </c>
    </row>
    <row r="212" spans="1:15">
      <c r="A212" s="13" t="s">
        <v>518</v>
      </c>
      <c r="B212" s="11" t="s">
        <v>519</v>
      </c>
      <c r="C212" s="29" t="s">
        <v>520</v>
      </c>
      <c r="D212" s="29"/>
      <c r="L212" s="1" t="str">
        <f t="shared" si="63"/>
        <v/>
      </c>
      <c r="M212">
        <f t="shared" si="85"/>
        <v>0</v>
      </c>
      <c r="N212" s="1">
        <f t="shared" si="88"/>
        <v>0</v>
      </c>
      <c r="O212" s="1">
        <f t="shared" si="89"/>
        <v>0</v>
      </c>
    </row>
    <row r="213" spans="1:15">
      <c r="B213" s="52" t="s">
        <v>521</v>
      </c>
      <c r="C213" s="53"/>
      <c r="D213" s="53"/>
      <c r="E213" s="53"/>
      <c r="F213" s="53"/>
      <c r="G213" s="53"/>
      <c r="H213" s="53"/>
      <c r="I213" s="53"/>
      <c r="L213" s="1" t="str">
        <f t="shared" si="63"/>
        <v/>
      </c>
      <c r="M213" s="37">
        <f>MAX(M205:M212)</f>
        <v>0</v>
      </c>
      <c r="N213" s="1">
        <f t="shared" si="88"/>
        <v>0</v>
      </c>
      <c r="O213" s="1">
        <f t="shared" si="89"/>
        <v>0</v>
      </c>
    </row>
    <row r="214" spans="1:15">
      <c r="B214" s="10"/>
      <c r="C214" s="37"/>
      <c r="D214" s="37"/>
      <c r="E214" s="37"/>
      <c r="F214" s="37"/>
      <c r="G214" s="37"/>
      <c r="H214" s="37"/>
      <c r="I214" s="37"/>
      <c r="J214" s="54" t="s">
        <v>522</v>
      </c>
      <c r="K214" s="54"/>
      <c r="L214" s="54"/>
      <c r="M214" s="1">
        <f>MAX(M42:M213)</f>
        <v>0</v>
      </c>
    </row>
    <row r="215" spans="1:15">
      <c r="B215" s="10"/>
      <c r="C215" s="37"/>
      <c r="D215" s="37"/>
      <c r="E215" s="37"/>
      <c r="F215" s="37"/>
      <c r="G215" s="37"/>
      <c r="H215" s="37"/>
      <c r="I215" s="37"/>
      <c r="J215" s="54" t="s">
        <v>523</v>
      </c>
      <c r="K215" s="54"/>
      <c r="L215" s="54"/>
      <c r="M215" s="1">
        <v>6</v>
      </c>
    </row>
    <row r="216" spans="1:15">
      <c r="B216" s="10"/>
      <c r="C216" s="37"/>
      <c r="D216" s="37"/>
      <c r="E216" s="37"/>
      <c r="F216" s="37"/>
      <c r="G216" s="37"/>
      <c r="H216" s="37"/>
      <c r="I216" s="37"/>
      <c r="J216" s="54" t="s">
        <v>524</v>
      </c>
      <c r="K216" s="54"/>
      <c r="L216" s="54"/>
      <c r="M216" s="37" t="str">
        <f>IF(M214&lt;=M215,"Approved","Not Approved")</f>
        <v>Approved</v>
      </c>
    </row>
    <row r="217" spans="1:15">
      <c r="A217" s="14"/>
      <c r="B217" s="14"/>
      <c r="C217" s="6"/>
      <c r="D217" s="6"/>
      <c r="E217" s="6"/>
      <c r="F217" s="6"/>
      <c r="G217" s="6"/>
      <c r="H217" s="6"/>
      <c r="I217" s="6"/>
    </row>
    <row r="218" spans="1:15">
      <c r="A218" s="2"/>
    </row>
  </sheetData>
  <sheetProtection formatCells="0" formatRows="0"/>
  <mergeCells count="25">
    <mergeCell ref="C61:C64"/>
    <mergeCell ref="A1:B1"/>
    <mergeCell ref="C1:I1"/>
    <mergeCell ref="G3:H3"/>
    <mergeCell ref="B50:I50"/>
    <mergeCell ref="B55:I55"/>
    <mergeCell ref="B65:I65"/>
    <mergeCell ref="B70:I70"/>
    <mergeCell ref="B88:I88"/>
    <mergeCell ref="B93:I93"/>
    <mergeCell ref="B99:I99"/>
    <mergeCell ref="B106:I106"/>
    <mergeCell ref="B130:I130"/>
    <mergeCell ref="B150:I150"/>
    <mergeCell ref="B163:I163"/>
    <mergeCell ref="B170:I170"/>
    <mergeCell ref="B213:I213"/>
    <mergeCell ref="J214:L214"/>
    <mergeCell ref="J215:L215"/>
    <mergeCell ref="J216:L216"/>
    <mergeCell ref="B180:I180"/>
    <mergeCell ref="B192:I192"/>
    <mergeCell ref="B197:I197"/>
    <mergeCell ref="B200:I200"/>
    <mergeCell ref="B203:I203"/>
  </mergeCells>
  <conditionalFormatting sqref="C2:C10">
    <cfRule type="cellIs" dxfId="155" priority="213" operator="equal">
      <formula>"Questionnaire Received"</formula>
    </cfRule>
    <cfRule type="containsText" dxfId="154" priority="214" operator="containsText" text="Waiting">
      <formula>NOT(ISERROR(SEARCH("Waiting",C2)))</formula>
    </cfRule>
    <cfRule type="cellIs" dxfId="153" priority="215" operator="equal">
      <formula>"Not Started"</formula>
    </cfRule>
    <cfRule type="cellIs" dxfId="152" priority="216" operator="equal">
      <formula>"Started"</formula>
    </cfRule>
    <cfRule type="cellIs" dxfId="151" priority="212" operator="equal">
      <formula>"Feedback Sent"</formula>
    </cfRule>
  </conditionalFormatting>
  <conditionalFormatting sqref="D2">
    <cfRule type="cellIs" dxfId="150" priority="232" operator="equal">
      <formula>"Feedback Sent"</formula>
    </cfRule>
    <cfRule type="cellIs" dxfId="149" priority="233" operator="equal">
      <formula>"Questionnaire Received"</formula>
    </cfRule>
    <cfRule type="containsText" dxfId="148" priority="234" operator="containsText" text="Waiting">
      <formula>NOT(ISERROR(SEARCH("Waiting",D2)))</formula>
    </cfRule>
    <cfRule type="cellIs" dxfId="147" priority="235" operator="equal">
      <formula>"Not Started"</formula>
    </cfRule>
    <cfRule type="cellIs" dxfId="146" priority="236" operator="equal">
      <formula>"Started"</formula>
    </cfRule>
  </conditionalFormatting>
  <conditionalFormatting sqref="D10">
    <cfRule type="cellIs" dxfId="145" priority="470" operator="equal">
      <formula>"Not Started"</formula>
    </cfRule>
    <cfRule type="cellIs" dxfId="144" priority="467" operator="equal">
      <formula>"Feedback Sent"</formula>
    </cfRule>
    <cfRule type="containsText" dxfId="143" priority="469" operator="containsText" text="Waiting">
      <formula>NOT(ISERROR(SEARCH("Waiting",D10)))</formula>
    </cfRule>
    <cfRule type="cellIs" dxfId="142" priority="468" operator="equal">
      <formula>"Questionnaire Received"</formula>
    </cfRule>
    <cfRule type="cellIs" dxfId="141" priority="471" operator="equal">
      <formula>"Started"</formula>
    </cfRule>
  </conditionalFormatting>
  <conditionalFormatting sqref="E22">
    <cfRule type="cellIs" dxfId="140" priority="113" operator="equal">
      <formula>"Low"</formula>
    </cfRule>
    <cfRule type="cellIs" dxfId="139" priority="114" operator="equal">
      <formula>"Medium"</formula>
    </cfRule>
    <cfRule type="cellIs" dxfId="138" priority="115" operator="equal">
      <formula>"High"</formula>
    </cfRule>
  </conditionalFormatting>
  <conditionalFormatting sqref="H14:H17">
    <cfRule type="cellIs" dxfId="137" priority="85" operator="equal">
      <formula>"High"</formula>
    </cfRule>
    <cfRule type="cellIs" dxfId="136" priority="84" operator="equal">
      <formula>"Medium"</formula>
    </cfRule>
    <cfRule type="cellIs" dxfId="135" priority="83" operator="equal">
      <formula>"Low"</formula>
    </cfRule>
  </conditionalFormatting>
  <conditionalFormatting sqref="H19:H24">
    <cfRule type="cellIs" dxfId="134" priority="380" operator="equal">
      <formula>"High"</formula>
    </cfRule>
    <cfRule type="cellIs" dxfId="133" priority="379" operator="equal">
      <formula>"Medium"</formula>
    </cfRule>
    <cfRule type="cellIs" dxfId="132" priority="378" operator="equal">
      <formula>"Low"</formula>
    </cfRule>
  </conditionalFormatting>
  <conditionalFormatting sqref="H26:H28">
    <cfRule type="cellIs" dxfId="131" priority="372" operator="equal">
      <formula>"Low"</formula>
    </cfRule>
    <cfRule type="cellIs" dxfId="130" priority="374" operator="equal">
      <formula>"High"</formula>
    </cfRule>
    <cfRule type="cellIs" dxfId="129" priority="373" operator="equal">
      <formula>"Medium"</formula>
    </cfRule>
  </conditionalFormatting>
  <conditionalFormatting sqref="H30:H32">
    <cfRule type="cellIs" dxfId="128" priority="364" operator="equal">
      <formula>"Medium"</formula>
    </cfRule>
    <cfRule type="cellIs" dxfId="127" priority="365" operator="equal">
      <formula>"High"</formula>
    </cfRule>
    <cfRule type="cellIs" dxfId="126" priority="363" operator="equal">
      <formula>"Low"</formula>
    </cfRule>
  </conditionalFormatting>
  <conditionalFormatting sqref="H34:H36">
    <cfRule type="cellIs" dxfId="125" priority="110" operator="equal">
      <formula>"Low"</formula>
    </cfRule>
    <cfRule type="cellIs" dxfId="124" priority="111" operator="equal">
      <formula>"Medium"</formula>
    </cfRule>
    <cfRule type="cellIs" dxfId="123" priority="112" operator="equal">
      <formula>"High"</formula>
    </cfRule>
  </conditionalFormatting>
  <conditionalFormatting sqref="H38:H39">
    <cfRule type="cellIs" dxfId="122" priority="356" operator="equal">
      <formula>"High"</formula>
    </cfRule>
    <cfRule type="cellIs" dxfId="121" priority="355" operator="equal">
      <formula>"Medium"</formula>
    </cfRule>
    <cfRule type="cellIs" dxfId="120" priority="354" operator="equal">
      <formula>"Low"</formula>
    </cfRule>
  </conditionalFormatting>
  <conditionalFormatting sqref="H42:H49">
    <cfRule type="cellIs" dxfId="119" priority="109" operator="equal">
      <formula>"High"</formula>
    </cfRule>
    <cfRule type="cellIs" dxfId="118" priority="108" operator="equal">
      <formula>"Medium"</formula>
    </cfRule>
    <cfRule type="cellIs" dxfId="117" priority="107" operator="equal">
      <formula>"Low"</formula>
    </cfRule>
  </conditionalFormatting>
  <conditionalFormatting sqref="H52:H54">
    <cfRule type="cellIs" dxfId="116" priority="104" operator="equal">
      <formula>"Low"</formula>
    </cfRule>
    <cfRule type="cellIs" dxfId="115" priority="105" operator="equal">
      <formula>"Medium"</formula>
    </cfRule>
    <cfRule type="cellIs" dxfId="114" priority="106" operator="equal">
      <formula>"High"</formula>
    </cfRule>
  </conditionalFormatting>
  <conditionalFormatting sqref="H57:H64">
    <cfRule type="cellIs" dxfId="113" priority="333" operator="equal">
      <formula>"Low"</formula>
    </cfRule>
    <cfRule type="cellIs" dxfId="112" priority="334" operator="equal">
      <formula>"Medium"</formula>
    </cfRule>
    <cfRule type="cellIs" dxfId="111" priority="335" operator="equal">
      <formula>"High"</formula>
    </cfRule>
  </conditionalFormatting>
  <conditionalFormatting sqref="H67:H69">
    <cfRule type="cellIs" dxfId="110" priority="324" operator="equal">
      <formula>"Low"</formula>
    </cfRule>
    <cfRule type="cellIs" dxfId="109" priority="325" operator="equal">
      <formula>"Medium"</formula>
    </cfRule>
    <cfRule type="cellIs" dxfId="108" priority="326" operator="equal">
      <formula>"High"</formula>
    </cfRule>
  </conditionalFormatting>
  <conditionalFormatting sqref="H72:H87">
    <cfRule type="cellIs" dxfId="107" priority="95" operator="equal">
      <formula>"Low"</formula>
    </cfRule>
    <cfRule type="cellIs" dxfId="106" priority="96" operator="equal">
      <formula>"Medium"</formula>
    </cfRule>
    <cfRule type="cellIs" dxfId="105" priority="97" operator="equal">
      <formula>"High"</formula>
    </cfRule>
  </conditionalFormatting>
  <conditionalFormatting sqref="H90:H92">
    <cfRule type="cellIs" dxfId="104" priority="208" operator="equal">
      <formula>"High"</formula>
    </cfRule>
    <cfRule type="cellIs" dxfId="103" priority="206" operator="equal">
      <formula>"Low"</formula>
    </cfRule>
    <cfRule type="cellIs" dxfId="102" priority="207" operator="equal">
      <formula>"Medium"</formula>
    </cfRule>
  </conditionalFormatting>
  <conditionalFormatting sqref="H96:H98">
    <cfRule type="cellIs" dxfId="101" priority="273" operator="equal">
      <formula>"Low"</formula>
    </cfRule>
    <cfRule type="cellIs" dxfId="100" priority="274" operator="equal">
      <formula>"Medium"</formula>
    </cfRule>
    <cfRule type="cellIs" dxfId="99" priority="275" operator="equal">
      <formula>"High"</formula>
    </cfRule>
  </conditionalFormatting>
  <conditionalFormatting sqref="H101:H105">
    <cfRule type="cellIs" dxfId="98" priority="172" operator="equal">
      <formula>"High"</formula>
    </cfRule>
    <cfRule type="cellIs" dxfId="97" priority="170" operator="equal">
      <formula>"Low"</formula>
    </cfRule>
    <cfRule type="cellIs" dxfId="96" priority="171" operator="equal">
      <formula>"Medium"</formula>
    </cfRule>
  </conditionalFormatting>
  <conditionalFormatting sqref="H108:H129">
    <cfRule type="cellIs" dxfId="95" priority="116" operator="equal">
      <formula>"Low"</formula>
    </cfRule>
    <cfRule type="cellIs" dxfId="94" priority="117" operator="equal">
      <formula>"Medium"</formula>
    </cfRule>
    <cfRule type="cellIs" dxfId="93" priority="118" operator="equal">
      <formula>"High"</formula>
    </cfRule>
  </conditionalFormatting>
  <conditionalFormatting sqref="H132:H149">
    <cfRule type="cellIs" dxfId="92" priority="190" operator="equal">
      <formula>"High"</formula>
    </cfRule>
    <cfRule type="cellIs" dxfId="91" priority="189" operator="equal">
      <formula>"Medium"</formula>
    </cfRule>
    <cfRule type="cellIs" dxfId="90" priority="188" operator="equal">
      <formula>"Low"</formula>
    </cfRule>
  </conditionalFormatting>
  <conditionalFormatting sqref="H152:H162">
    <cfRule type="cellIs" dxfId="89" priority="122" operator="equal">
      <formula>"Low"</formula>
    </cfRule>
    <cfRule type="cellIs" dxfId="88" priority="124" operator="equal">
      <formula>"High"</formula>
    </cfRule>
    <cfRule type="cellIs" dxfId="87" priority="123" operator="equal">
      <formula>"Medium"</formula>
    </cfRule>
  </conditionalFormatting>
  <conditionalFormatting sqref="H165:H169">
    <cfRule type="cellIs" dxfId="86" priority="134" operator="equal">
      <formula>"Low"</formula>
    </cfRule>
    <cfRule type="cellIs" dxfId="85" priority="135" operator="equal">
      <formula>"Medium"</formula>
    </cfRule>
    <cfRule type="cellIs" dxfId="84" priority="136" operator="equal">
      <formula>"High"</formula>
    </cfRule>
  </conditionalFormatting>
  <conditionalFormatting sqref="H171">
    <cfRule type="cellIs" dxfId="83" priority="450" operator="equal">
      <formula>"Medium"</formula>
    </cfRule>
    <cfRule type="cellIs" dxfId="82" priority="449" operator="equal">
      <formula>"Low"</formula>
    </cfRule>
    <cfRule type="cellIs" dxfId="81" priority="451" operator="equal">
      <formula>"High"</formula>
    </cfRule>
  </conditionalFormatting>
  <conditionalFormatting sqref="H173:H179">
    <cfRule type="cellIs" dxfId="80" priority="140" operator="equal">
      <formula>"Low"</formula>
    </cfRule>
    <cfRule type="cellIs" dxfId="79" priority="141" operator="equal">
      <formula>"Medium"</formula>
    </cfRule>
    <cfRule type="cellIs" dxfId="78" priority="142" operator="equal">
      <formula>"High"</formula>
    </cfRule>
  </conditionalFormatting>
  <conditionalFormatting sqref="H182:H191">
    <cfRule type="cellIs" dxfId="77" priority="148" operator="equal">
      <formula>"High"</formula>
    </cfRule>
    <cfRule type="cellIs" dxfId="76" priority="146" operator="equal">
      <formula>"Low"</formula>
    </cfRule>
    <cfRule type="cellIs" dxfId="75" priority="147" operator="equal">
      <formula>"Medium"</formula>
    </cfRule>
  </conditionalFormatting>
  <conditionalFormatting sqref="H194:H196">
    <cfRule type="cellIs" dxfId="74" priority="158" operator="equal">
      <formula>"Low"</formula>
    </cfRule>
    <cfRule type="cellIs" dxfId="73" priority="159" operator="equal">
      <formula>"Medium"</formula>
    </cfRule>
    <cfRule type="cellIs" dxfId="72" priority="160" operator="equal">
      <formula>"High"</formula>
    </cfRule>
  </conditionalFormatting>
  <conditionalFormatting sqref="H199">
    <cfRule type="cellIs" dxfId="71" priority="164" operator="equal">
      <formula>"Low"</formula>
    </cfRule>
    <cfRule type="cellIs" dxfId="70" priority="165" operator="equal">
      <formula>"Medium"</formula>
    </cfRule>
    <cfRule type="cellIs" dxfId="69" priority="166" operator="equal">
      <formula>"High"</formula>
    </cfRule>
  </conditionalFormatting>
  <conditionalFormatting sqref="H202">
    <cfRule type="cellIs" dxfId="68" priority="385" operator="equal">
      <formula>"Medium"</formula>
    </cfRule>
    <cfRule type="cellIs" dxfId="67" priority="384" operator="equal">
      <formula>"Low"</formula>
    </cfRule>
    <cfRule type="cellIs" dxfId="66" priority="386" operator="equal">
      <formula>"High"</formula>
    </cfRule>
  </conditionalFormatting>
  <conditionalFormatting sqref="H205:H212">
    <cfRule type="cellIs" dxfId="65" priority="182" operator="equal">
      <formula>"Low"</formula>
    </cfRule>
    <cfRule type="cellIs" dxfId="64" priority="184" operator="equal">
      <formula>"High"</formula>
    </cfRule>
    <cfRule type="cellIs" dxfId="63" priority="183" operator="equal">
      <formula>"Medium"</formula>
    </cfRule>
  </conditionalFormatting>
  <conditionalFormatting sqref="M50">
    <cfRule type="cellIs" dxfId="62" priority="4" operator="between">
      <formula>7</formula>
      <formula>9</formula>
    </cfRule>
    <cfRule type="containsText" priority="6" operator="containsText" text="Approved">
      <formula>NOT(ISERROR(SEARCH("Approved",M50)))</formula>
    </cfRule>
    <cfRule type="cellIs" dxfId="61" priority="5" operator="between">
      <formula>0</formula>
      <formula>6</formula>
    </cfRule>
  </conditionalFormatting>
  <conditionalFormatting sqref="M55">
    <cfRule type="containsText" priority="72" operator="containsText" text="Approved">
      <formula>NOT(ISERROR(SEARCH("Approved",M55)))</formula>
    </cfRule>
    <cfRule type="cellIs" dxfId="60" priority="71" operator="between">
      <formula>0</formula>
      <formula>6</formula>
    </cfRule>
    <cfRule type="cellIs" dxfId="59" priority="70" operator="between">
      <formula>7</formula>
      <formula>9</formula>
    </cfRule>
  </conditionalFormatting>
  <conditionalFormatting sqref="M65">
    <cfRule type="containsText" priority="69" operator="containsText" text="Approved">
      <formula>NOT(ISERROR(SEARCH("Approved",M65)))</formula>
    </cfRule>
    <cfRule type="cellIs" dxfId="58" priority="68" operator="between">
      <formula>0</formula>
      <formula>6</formula>
    </cfRule>
    <cfRule type="cellIs" dxfId="57" priority="67" operator="between">
      <formula>7</formula>
      <formula>9</formula>
    </cfRule>
  </conditionalFormatting>
  <conditionalFormatting sqref="M88">
    <cfRule type="cellIs" dxfId="56" priority="64" operator="between">
      <formula>7</formula>
      <formula>9</formula>
    </cfRule>
    <cfRule type="cellIs" dxfId="55" priority="65" operator="between">
      <formula>0</formula>
      <formula>6</formula>
    </cfRule>
    <cfRule type="containsText" priority="66" operator="containsText" text="Approved">
      <formula>NOT(ISERROR(SEARCH("Approved",M88)))</formula>
    </cfRule>
  </conditionalFormatting>
  <conditionalFormatting sqref="M93">
    <cfRule type="cellIs" dxfId="54" priority="62" operator="between">
      <formula>0</formula>
      <formula>6</formula>
    </cfRule>
    <cfRule type="containsText" priority="63" operator="containsText" text="Approved">
      <formula>NOT(ISERROR(SEARCH("Approved",M93)))</formula>
    </cfRule>
    <cfRule type="cellIs" dxfId="53" priority="61" operator="between">
      <formula>7</formula>
      <formula>9</formula>
    </cfRule>
  </conditionalFormatting>
  <conditionalFormatting sqref="M106">
    <cfRule type="containsText" priority="60" operator="containsText" text="Approved">
      <formula>NOT(ISERROR(SEARCH("Approved",M106)))</formula>
    </cfRule>
    <cfRule type="cellIs" dxfId="52" priority="59" operator="between">
      <formula>0</formula>
      <formula>6</formula>
    </cfRule>
    <cfRule type="cellIs" dxfId="51" priority="58" operator="between">
      <formula>7</formula>
      <formula>9</formula>
    </cfRule>
  </conditionalFormatting>
  <conditionalFormatting sqref="M130">
    <cfRule type="cellIs" dxfId="50" priority="52" operator="between">
      <formula>7</formula>
      <formula>9</formula>
    </cfRule>
    <cfRule type="containsText" priority="54" operator="containsText" text="Approved">
      <formula>NOT(ISERROR(SEARCH("Approved",M130)))</formula>
    </cfRule>
    <cfRule type="cellIs" dxfId="49" priority="53" operator="between">
      <formula>0</formula>
      <formula>6</formula>
    </cfRule>
  </conditionalFormatting>
  <conditionalFormatting sqref="M150">
    <cfRule type="cellIs" dxfId="48" priority="46" operator="between">
      <formula>7</formula>
      <formula>9</formula>
    </cfRule>
    <cfRule type="containsText" priority="48" operator="containsText" text="Approved">
      <formula>NOT(ISERROR(SEARCH("Approved",M150)))</formula>
    </cfRule>
    <cfRule type="cellIs" dxfId="47" priority="47" operator="between">
      <formula>0</formula>
      <formula>6</formula>
    </cfRule>
  </conditionalFormatting>
  <conditionalFormatting sqref="M163">
    <cfRule type="cellIs" dxfId="46" priority="43" operator="between">
      <formula>7</formula>
      <formula>9</formula>
    </cfRule>
    <cfRule type="cellIs" dxfId="45" priority="44" operator="between">
      <formula>0</formula>
      <formula>6</formula>
    </cfRule>
    <cfRule type="containsText" priority="45" operator="containsText" text="Approved">
      <formula>NOT(ISERROR(SEARCH("Approved",M163)))</formula>
    </cfRule>
  </conditionalFormatting>
  <conditionalFormatting sqref="M170">
    <cfRule type="cellIs" dxfId="44" priority="38" operator="between">
      <formula>0</formula>
      <formula>6</formula>
    </cfRule>
    <cfRule type="containsText" priority="39" operator="containsText" text="Approved">
      <formula>NOT(ISERROR(SEARCH("Approved",M170)))</formula>
    </cfRule>
    <cfRule type="cellIs" dxfId="43" priority="37" operator="between">
      <formula>7</formula>
      <formula>9</formula>
    </cfRule>
  </conditionalFormatting>
  <conditionalFormatting sqref="M180">
    <cfRule type="containsText" priority="33" operator="containsText" text="Approved">
      <formula>NOT(ISERROR(SEARCH("Approved",M180)))</formula>
    </cfRule>
    <cfRule type="cellIs" dxfId="42" priority="32" operator="between">
      <formula>0</formula>
      <formula>6</formula>
    </cfRule>
    <cfRule type="cellIs" dxfId="41" priority="31" operator="between">
      <formula>7</formula>
      <formula>9</formula>
    </cfRule>
  </conditionalFormatting>
  <conditionalFormatting sqref="M192">
    <cfRule type="cellIs" dxfId="40" priority="25" operator="between">
      <formula>7</formula>
      <formula>9</formula>
    </cfRule>
    <cfRule type="cellIs" dxfId="39" priority="26" operator="between">
      <formula>0</formula>
      <formula>6</formula>
    </cfRule>
    <cfRule type="containsText" priority="27" operator="containsText" text="Approved">
      <formula>NOT(ISERROR(SEARCH("Approved",M192)))</formula>
    </cfRule>
  </conditionalFormatting>
  <conditionalFormatting sqref="M200">
    <cfRule type="cellIs" dxfId="38" priority="22" operator="between">
      <formula>7</formula>
      <formula>9</formula>
    </cfRule>
    <cfRule type="cellIs" dxfId="37" priority="23" operator="between">
      <formula>0</formula>
      <formula>6</formula>
    </cfRule>
    <cfRule type="containsText" priority="24" operator="containsText" text="Approved">
      <formula>NOT(ISERROR(SEARCH("Approved",M200)))</formula>
    </cfRule>
  </conditionalFormatting>
  <conditionalFormatting sqref="M203">
    <cfRule type="containsText" priority="21" operator="containsText" text="Approved">
      <formula>NOT(ISERROR(SEARCH("Approved",M203)))</formula>
    </cfRule>
    <cfRule type="cellIs" dxfId="36" priority="19" operator="between">
      <formula>7</formula>
      <formula>9</formula>
    </cfRule>
    <cfRule type="cellIs" dxfId="35" priority="20" operator="between">
      <formula>0</formula>
      <formula>6</formula>
    </cfRule>
  </conditionalFormatting>
  <conditionalFormatting sqref="M213">
    <cfRule type="containsText" priority="9" operator="containsText" text="Approved">
      <formula>NOT(ISERROR(SEARCH("Approved",M213)))</formula>
    </cfRule>
    <cfRule type="cellIs" dxfId="34" priority="8" operator="between">
      <formula>0</formula>
      <formula>6</formula>
    </cfRule>
    <cfRule type="cellIs" dxfId="33" priority="7" operator="between">
      <formula>7</formula>
      <formula>9</formula>
    </cfRule>
  </conditionalFormatting>
  <conditionalFormatting sqref="M216">
    <cfRule type="containsText" dxfId="32" priority="77" operator="containsText" text="Not Approved">
      <formula>NOT(ISERROR(SEARCH("Not Approved",M216)))</formula>
    </cfRule>
    <cfRule type="containsText" priority="79" operator="containsText" text="Approved">
      <formula>NOT(ISERROR(SEARCH("Approved",M216)))</formula>
    </cfRule>
    <cfRule type="containsText" dxfId="31" priority="78" operator="containsText" text="Approved">
      <formula>NOT(ISERROR(SEARCH("Approved",M216)))</formula>
    </cfRule>
  </conditionalFormatting>
  <dataValidations count="4">
    <dataValidation allowBlank="1" showInputMessage="1" showErrorMessage="1" prompt="Select Status" sqref="D7:D9 D2:D5" xr:uid="{00000000-0002-0000-0100-000000000000}"/>
    <dataValidation type="list" allowBlank="1" showInputMessage="1" showErrorMessage="1" error="High, Medium, Low" sqref="H30:H32 H34:H36 H152:H162 H182:H191 H194:H196 H90:H92 H67:H69 H132:H149 H52:H54 H199 H96:H98 H173:H179 H202 H57:H64 H42:H49 H101:H105 H38:H39 H26:H28 H171 H19:H24 H14:H17 H165:H169 H205:H212 H108:H129 H72:H87" xr:uid="{00000000-0002-0000-0100-000001000000}">
      <formula1>Risk</formula1>
    </dataValidation>
    <dataValidation type="list" allowBlank="1" showInputMessage="1" showErrorMessage="1" sqref="G4:G6" xr:uid="{00000000-0002-0000-0100-000002000000}">
      <formula1>YesNo</formula1>
    </dataValidation>
    <dataValidation type="list" allowBlank="1" showInputMessage="1" showErrorMessage="1" sqref="J42:K50 J52:K55 J57:K65 J67:K70 J90:K93 J96:K99 J101:K106 J132:K150 J152:K163 J165:K170 J173:K180 J182:K192 J194:K197 J199:K200 J202:K203 J205:K213 J108:K130 J72:K88" xr:uid="{59541072-FC09-4A17-A93C-0C7170B56B3D}">
      <formula1>Risk</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workbookViewId="0">
      <selection activeCell="B11" sqref="B11"/>
    </sheetView>
  </sheetViews>
  <sheetFormatPr defaultRowHeight="14.45"/>
  <cols>
    <col min="1" max="1" width="19.7109375" bestFit="1" customWidth="1"/>
    <col min="2" max="2" width="76.85546875" customWidth="1"/>
    <col min="3" max="3" width="17.5703125" customWidth="1"/>
    <col min="4" max="4" width="10.42578125" customWidth="1"/>
    <col min="5" max="5" width="10.140625" customWidth="1"/>
    <col min="6" max="6" width="13.140625" bestFit="1" customWidth="1"/>
  </cols>
  <sheetData>
    <row r="1" spans="1:6">
      <c r="A1" s="38" t="s">
        <v>525</v>
      </c>
      <c r="B1" s="39" t="s">
        <v>526</v>
      </c>
      <c r="C1" s="39" t="s">
        <v>41</v>
      </c>
      <c r="D1" s="39" t="s">
        <v>42</v>
      </c>
      <c r="E1" s="39" t="s">
        <v>39</v>
      </c>
      <c r="F1" s="39" t="s">
        <v>43</v>
      </c>
    </row>
    <row r="2" spans="1:6">
      <c r="A2" s="40"/>
      <c r="B2" s="41" t="str">
        <f>ApplicationQuestionnaire!B50</f>
        <v>Supported infrastructure</v>
      </c>
      <c r="C2" s="48">
        <f>ApplicationQuestionnaire!J50</f>
        <v>0</v>
      </c>
      <c r="D2" s="48">
        <f>ApplicationQuestionnaire!K50</f>
        <v>0</v>
      </c>
      <c r="E2" s="48">
        <f>ApplicationQuestionnaire!L50</f>
        <v>0</v>
      </c>
      <c r="F2" s="48">
        <f>ApplicationQuestionnaire!M50</f>
        <v>0</v>
      </c>
    </row>
    <row r="3" spans="1:6">
      <c r="A3" s="40"/>
      <c r="B3" s="41" t="str">
        <f>ApplicationQuestionnaire!B55</f>
        <v>Supported remote acccess</v>
      </c>
      <c r="C3" s="48">
        <f>ApplicationQuestionnaire!J55</f>
        <v>0</v>
      </c>
      <c r="D3" s="48">
        <f>ApplicationQuestionnaire!K55</f>
        <v>0</v>
      </c>
      <c r="E3" s="48" t="str">
        <f>ApplicationQuestionnaire!L55</f>
        <v/>
      </c>
      <c r="F3" s="48">
        <f>ApplicationQuestionnaire!M55</f>
        <v>0</v>
      </c>
    </row>
    <row r="4" spans="1:6">
      <c r="A4" s="40"/>
      <c r="B4" s="41" t="str">
        <f>ApplicationQuestionnaire!B65</f>
        <v>Business Continuity and Disaster Recovery plans defined and implemented</v>
      </c>
      <c r="C4" s="48">
        <f>ApplicationQuestionnaire!J65</f>
        <v>0</v>
      </c>
      <c r="D4" s="48">
        <f>ApplicationQuestionnaire!K65</f>
        <v>0</v>
      </c>
      <c r="E4" s="48" t="str">
        <f>ApplicationQuestionnaire!L65</f>
        <v/>
      </c>
      <c r="F4" s="48">
        <f>ApplicationQuestionnaire!M65</f>
        <v>0</v>
      </c>
    </row>
    <row r="5" spans="1:6">
      <c r="A5" s="40"/>
      <c r="B5" s="41" t="str">
        <f>ApplicationQuestionnaire!B88</f>
        <v>Cloud Compliance (Application is ISO 27001, ISO 27018, SOC2, FedRAMP certified)</v>
      </c>
      <c r="C5" s="48">
        <f>ApplicationQuestionnaire!J88</f>
        <v>0</v>
      </c>
      <c r="D5" s="48">
        <f>ApplicationQuestionnaire!K88</f>
        <v>0</v>
      </c>
      <c r="E5" s="48" t="str">
        <f>ApplicationQuestionnaire!L88</f>
        <v/>
      </c>
      <c r="F5" s="48">
        <f>ApplicationQuestionnaire!M88</f>
        <v>0</v>
      </c>
    </row>
    <row r="6" spans="1:6">
      <c r="A6" s="40"/>
      <c r="B6" s="41" t="str">
        <f>ApplicationQuestionnaire!B93</f>
        <v>Standard data transfer method</v>
      </c>
      <c r="C6" s="48">
        <f>ApplicationQuestionnaire!J93</f>
        <v>0</v>
      </c>
      <c r="D6" s="48">
        <f>ApplicationQuestionnaire!K93</f>
        <v>0</v>
      </c>
      <c r="E6" s="48" t="str">
        <f>ApplicationQuestionnaire!L93</f>
        <v/>
      </c>
      <c r="F6" s="48">
        <f>ApplicationQuestionnaire!M93</f>
        <v>0</v>
      </c>
    </row>
    <row r="7" spans="1:6">
      <c r="A7" s="40"/>
      <c r="B7" s="41" t="str">
        <f>ApplicationQuestionnaire!B106</f>
        <v>Industry standard Software Development Life Cycle (SDLC) methodology used</v>
      </c>
      <c r="C7" s="48">
        <f>ApplicationQuestionnaire!J106</f>
        <v>0</v>
      </c>
      <c r="D7" s="48">
        <f>ApplicationQuestionnaire!K106</f>
        <v>0</v>
      </c>
      <c r="E7" s="48" t="str">
        <f>ApplicationQuestionnaire!L106</f>
        <v/>
      </c>
      <c r="F7" s="48">
        <f>ApplicationQuestionnaire!M106</f>
        <v>0</v>
      </c>
    </row>
    <row r="8" spans="1:6">
      <c r="A8" s="40"/>
      <c r="B8" s="41" t="str">
        <f>ApplicationQuestionnaire!B130</f>
        <v>Standards compliant encryption used for data-at-rest and data-in-motion</v>
      </c>
      <c r="C8" s="48">
        <f>ApplicationQuestionnaire!J130</f>
        <v>0</v>
      </c>
      <c r="D8" s="48">
        <f>ApplicationQuestionnaire!K130</f>
        <v>0</v>
      </c>
      <c r="E8" s="48" t="str">
        <f>ApplicationQuestionnaire!L130</f>
        <v/>
      </c>
      <c r="F8" s="48">
        <f>ApplicationQuestionnaire!M130</f>
        <v>0</v>
      </c>
    </row>
    <row r="9" spans="1:6">
      <c r="A9" s="40"/>
      <c r="B9" s="41" t="str">
        <f>ApplicationQuestionnaire!B150</f>
        <v>Active Directory integration supported</v>
      </c>
      <c r="C9" s="48">
        <f>ApplicationQuestionnaire!J150</f>
        <v>0</v>
      </c>
      <c r="D9" s="48">
        <f>ApplicationQuestionnaire!K150</f>
        <v>0</v>
      </c>
      <c r="E9" s="48" t="str">
        <f>ApplicationQuestionnaire!L150</f>
        <v/>
      </c>
      <c r="F9" s="48">
        <f>ApplicationQuestionnaire!M150</f>
        <v>0</v>
      </c>
    </row>
    <row r="10" spans="1:6">
      <c r="A10" s="40"/>
      <c r="B10" s="41" t="str">
        <f>ApplicationQuestionnaire!B163</f>
        <v>Security monitoring and audit well defined (Integration with SIEM/PPM supported)</v>
      </c>
      <c r="C10" s="48">
        <f>ApplicationQuestionnaire!J163</f>
        <v>0</v>
      </c>
      <c r="D10" s="48">
        <f>ApplicationQuestionnaire!K163</f>
        <v>0</v>
      </c>
      <c r="E10" s="48" t="str">
        <f>ApplicationQuestionnaire!L163</f>
        <v/>
      </c>
      <c r="F10" s="48">
        <f>ApplicationQuestionnaire!M163</f>
        <v>0</v>
      </c>
    </row>
    <row r="11" spans="1:6">
      <c r="A11" s="40"/>
      <c r="B11" s="41" t="str">
        <f>ApplicationQuestionnaire!B170</f>
        <v>Industry standard application security guidelines followed (Eg OWASP top 10 etc)</v>
      </c>
      <c r="C11" s="48">
        <f>ApplicationQuestionnaire!J170</f>
        <v>0</v>
      </c>
      <c r="D11" s="48">
        <f>ApplicationQuestionnaire!K170</f>
        <v>0</v>
      </c>
      <c r="E11" s="48" t="str">
        <f>ApplicationQuestionnaire!L170</f>
        <v/>
      </c>
      <c r="F11" s="48">
        <f>ApplicationQuestionnaire!M170</f>
        <v>0</v>
      </c>
    </row>
    <row r="12" spans="1:6">
      <c r="A12" s="40"/>
      <c r="B12" s="41" t="str">
        <f>ApplicationQuestionnaire!B180</f>
        <v>Vulnerability scans, penetration assessment peformed, issues remediated</v>
      </c>
      <c r="C12" s="48">
        <f>ApplicationQuestionnaire!J180</f>
        <v>0</v>
      </c>
      <c r="D12" s="48">
        <f>ApplicationQuestionnaire!K180</f>
        <v>0</v>
      </c>
      <c r="E12" s="48" t="str">
        <f>ApplicationQuestionnaire!L180</f>
        <v/>
      </c>
      <c r="F12" s="48">
        <f>ApplicationQuestionnaire!M180</f>
        <v>0</v>
      </c>
    </row>
    <row r="13" spans="1:6">
      <c r="A13" s="40"/>
      <c r="B13" s="41" t="str">
        <f>ApplicationQuestionnaire!B192</f>
        <v>Data Integrity controls</v>
      </c>
      <c r="C13" s="48">
        <f>ApplicationQuestionnaire!J192</f>
        <v>0</v>
      </c>
      <c r="D13" s="48">
        <f>ApplicationQuestionnaire!K192</f>
        <v>0</v>
      </c>
      <c r="E13" s="48" t="str">
        <f>ApplicationQuestionnaire!L192</f>
        <v/>
      </c>
      <c r="F13" s="48">
        <f>ApplicationQuestionnaire!M192</f>
        <v>0</v>
      </c>
    </row>
    <row r="14" spans="1:6">
      <c r="A14" s="40"/>
      <c r="B14" s="41" t="str">
        <f>ApplicationQuestionnaire!B200</f>
        <v>Vendor has well defined change management program</v>
      </c>
      <c r="C14" s="48">
        <f>ApplicationQuestionnaire!J200</f>
        <v>0</v>
      </c>
      <c r="D14" s="48">
        <f>ApplicationQuestionnaire!K200</f>
        <v>0</v>
      </c>
      <c r="E14" s="48" t="str">
        <f>ApplicationQuestionnaire!L200</f>
        <v/>
      </c>
      <c r="F14" s="48">
        <f>ApplicationQuestionnaire!M200</f>
        <v>0</v>
      </c>
    </row>
    <row r="15" spans="1:6">
      <c r="A15" s="40"/>
      <c r="B15" s="41" t="str">
        <f>ApplicationQuestionnaire!B203</f>
        <v>Well has well defined Incident management program</v>
      </c>
      <c r="C15" s="48">
        <f>ApplicationQuestionnaire!J203</f>
        <v>0</v>
      </c>
      <c r="D15" s="48">
        <f>ApplicationQuestionnaire!K203</f>
        <v>0</v>
      </c>
      <c r="E15" s="48" t="str">
        <f>ApplicationQuestionnaire!L203</f>
        <v/>
      </c>
      <c r="F15" s="48">
        <f>ApplicationQuestionnaire!M203</f>
        <v>0</v>
      </c>
    </row>
    <row r="16" spans="1:6" ht="28.9">
      <c r="A16" s="40"/>
      <c r="B16" s="41" t="str">
        <f>ApplicationQuestionnaire!B213</f>
        <v>Vendor has formalized information security program and undergoes third party assessments at least annually</v>
      </c>
      <c r="C16" s="48">
        <f>ApplicationQuestionnaire!J213</f>
        <v>0</v>
      </c>
      <c r="D16" s="48">
        <f>ApplicationQuestionnaire!K213</f>
        <v>0</v>
      </c>
      <c r="E16" s="48" t="str">
        <f>ApplicationQuestionnaire!L213</f>
        <v/>
      </c>
      <c r="F16" s="48">
        <f>ApplicationQuestionnaire!M213</f>
        <v>0</v>
      </c>
    </row>
    <row r="17" spans="2:6">
      <c r="B17" s="37"/>
      <c r="C17" s="61" t="s">
        <v>522</v>
      </c>
      <c r="D17" s="61"/>
      <c r="E17" s="61"/>
      <c r="F17" s="48">
        <f>MAX(F2:F16)</f>
        <v>0</v>
      </c>
    </row>
    <row r="18" spans="2:6">
      <c r="B18" s="37"/>
      <c r="C18" s="61" t="s">
        <v>523</v>
      </c>
      <c r="D18" s="61"/>
      <c r="E18" s="61"/>
      <c r="F18" s="41">
        <v>6</v>
      </c>
    </row>
    <row r="19" spans="2:6">
      <c r="B19" s="37"/>
      <c r="C19" s="61" t="s">
        <v>524</v>
      </c>
      <c r="D19" s="61"/>
      <c r="E19" s="61"/>
      <c r="F19" s="41" t="str">
        <f>IF(F17&lt;=F18,"Approved","Not Approved")</f>
        <v>Approved</v>
      </c>
    </row>
    <row r="20" spans="2:6" ht="15" thickBot="1">
      <c r="B20" s="37"/>
      <c r="C20" s="37"/>
      <c r="D20" s="37"/>
      <c r="E20" s="37"/>
      <c r="F20" s="37"/>
    </row>
    <row r="21" spans="2:6">
      <c r="B21" s="37"/>
      <c r="C21" s="42" t="s">
        <v>527</v>
      </c>
      <c r="D21" s="43" t="s">
        <v>528</v>
      </c>
      <c r="E21" s="44" t="s">
        <v>529</v>
      </c>
      <c r="F21" s="44" t="s">
        <v>530</v>
      </c>
    </row>
    <row r="22" spans="2:6">
      <c r="C22" s="42" t="s">
        <v>530</v>
      </c>
      <c r="D22" s="45">
        <v>3</v>
      </c>
      <c r="E22" s="46">
        <v>6</v>
      </c>
      <c r="F22" s="46">
        <v>9</v>
      </c>
    </row>
    <row r="23" spans="2:6">
      <c r="C23" s="42" t="s">
        <v>529</v>
      </c>
      <c r="D23" s="45">
        <v>2</v>
      </c>
      <c r="E23" s="47">
        <v>4</v>
      </c>
      <c r="F23" s="47">
        <v>6</v>
      </c>
    </row>
    <row r="24" spans="2:6">
      <c r="C24" s="42" t="s">
        <v>528</v>
      </c>
      <c r="D24" s="45">
        <v>1</v>
      </c>
      <c r="E24" s="47">
        <v>2</v>
      </c>
      <c r="F24" s="47">
        <v>3</v>
      </c>
    </row>
  </sheetData>
  <sheetProtection algorithmName="SHA-512" hashValue="HTs5U7a+9uVaDXpKaCNSEVLhWvWtT3M5gYbdKHOm+nYN+r/npyqxa/jbMxFUUBA0evy8Gg2W204h8wMNJBya4A==" saltValue="a+BADNOAKLPbSaE8GegW/A==" spinCount="100000" sheet="1" objects="1" scenarios="1"/>
  <mergeCells count="3">
    <mergeCell ref="C17:E17"/>
    <mergeCell ref="C18:E18"/>
    <mergeCell ref="C19:E19"/>
  </mergeCells>
  <conditionalFormatting sqref="D22:F24">
    <cfRule type="colorScale" priority="4">
      <colorScale>
        <cfvo type="num" val="1"/>
        <cfvo type="num" val="5"/>
        <cfvo type="num" val="9"/>
        <color theme="9"/>
        <color rgb="FFFFEB84"/>
        <color rgb="FFFF0000"/>
      </colorScale>
    </cfRule>
  </conditionalFormatting>
  <conditionalFormatting sqref="F19">
    <cfRule type="containsText" dxfId="30" priority="1" operator="containsText" text="Not Approved">
      <formula>NOT(ISERROR(SEARCH("Not Approved",F19)))</formula>
    </cfRule>
    <cfRule type="containsText" dxfId="29" priority="2" operator="containsText" text="Approved">
      <formula>NOT(ISERROR(SEARCH("Approved",F19)))</formula>
    </cfRule>
    <cfRule type="containsText" priority="3" operator="containsText" text="Approved">
      <formula>NOT(ISERROR(SEARCH("Approved",F19)))</formula>
    </cfRule>
  </conditionalFormatting>
  <dataValidations count="1">
    <dataValidation type="list" allowBlank="1" showInputMessage="1" showErrorMessage="1" sqref="A2:A16" xr:uid="{54C1B14C-D0DA-4D11-8D82-193856974EFE}">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67"/>
  <sheetViews>
    <sheetView zoomScale="114" zoomScaleNormal="114" workbookViewId="0">
      <selection activeCell="F17" sqref="F17"/>
    </sheetView>
  </sheetViews>
  <sheetFormatPr defaultColWidth="35.7109375" defaultRowHeight="14.45"/>
  <cols>
    <col min="1" max="1" width="10.28515625" style="13" customWidth="1"/>
    <col min="2" max="2" width="46.28515625" style="11" customWidth="1"/>
    <col min="3" max="3" width="45.5703125" style="1" customWidth="1"/>
    <col min="4" max="4" width="30" style="1" customWidth="1"/>
    <col min="5" max="5" width="25.7109375" style="1" customWidth="1"/>
    <col min="6" max="6" width="21.42578125" style="1" customWidth="1"/>
    <col min="7" max="7" width="16.7109375" style="1" customWidth="1"/>
    <col min="8" max="8" width="15.42578125" style="1" customWidth="1"/>
    <col min="9" max="9" width="22.140625" style="1" customWidth="1"/>
    <col min="10" max="16384" width="35.7109375" style="1"/>
  </cols>
  <sheetData>
    <row r="1" spans="1:23" s="3" customFormat="1" ht="74.25" customHeight="1">
      <c r="A1" s="57"/>
      <c r="B1" s="58"/>
      <c r="C1" s="51" t="s">
        <v>531</v>
      </c>
      <c r="D1" s="51"/>
      <c r="E1" s="51"/>
      <c r="F1" s="51"/>
      <c r="G1" s="51"/>
      <c r="H1" s="51"/>
      <c r="I1" s="51"/>
    </row>
    <row r="2" spans="1:23" customFormat="1" ht="18" customHeight="1">
      <c r="A2" s="12"/>
      <c r="B2" s="22"/>
      <c r="C2" s="15"/>
      <c r="D2" s="8"/>
      <c r="E2" s="8"/>
      <c r="F2" s="25"/>
      <c r="G2" s="8"/>
      <c r="H2" s="8"/>
      <c r="I2" s="8"/>
      <c r="J2" s="11"/>
      <c r="K2" s="11"/>
      <c r="L2" s="11"/>
      <c r="M2" s="11"/>
      <c r="N2" s="1"/>
      <c r="O2" s="1"/>
      <c r="P2" s="1"/>
      <c r="Q2" s="1"/>
      <c r="R2" s="1"/>
      <c r="S2" s="1"/>
      <c r="T2" s="1"/>
      <c r="U2" s="1"/>
      <c r="V2" s="1"/>
      <c r="W2" s="1"/>
    </row>
    <row r="3" spans="1:23" customFormat="1" ht="18" customHeight="1">
      <c r="A3" s="18"/>
      <c r="B3" s="23" t="s">
        <v>532</v>
      </c>
      <c r="C3" s="34" t="str">
        <f>ApplicationQuestionnaire!C3</f>
        <v>PeriGen Fetal Monitoring System</v>
      </c>
      <c r="D3" s="23" t="s">
        <v>533</v>
      </c>
      <c r="E3" s="1" t="str">
        <f>ApplicationQuestionnaire!E3</f>
        <v>Wendy Wilcox</v>
      </c>
      <c r="F3" s="23" t="s">
        <v>534</v>
      </c>
      <c r="G3" s="1"/>
      <c r="H3" s="1"/>
      <c r="I3" s="2"/>
      <c r="J3" s="11"/>
      <c r="K3" s="11"/>
      <c r="L3" s="11"/>
      <c r="M3" s="11"/>
      <c r="N3" s="1"/>
      <c r="O3" s="1"/>
      <c r="P3" s="1"/>
      <c r="Q3" s="1"/>
      <c r="R3" s="1"/>
      <c r="S3" s="1"/>
      <c r="T3" s="1"/>
      <c r="U3" s="1"/>
      <c r="V3" s="1"/>
      <c r="W3" s="1"/>
    </row>
    <row r="4" spans="1:23" customFormat="1" ht="18" customHeight="1">
      <c r="A4" s="19"/>
      <c r="B4" s="23" t="s">
        <v>535</v>
      </c>
      <c r="C4" s="35" t="s">
        <v>536</v>
      </c>
      <c r="D4" s="23" t="s">
        <v>15</v>
      </c>
      <c r="E4" s="1" t="str">
        <f>ApplicationQuestionnaire!E4</f>
        <v>Shamise Quinn</v>
      </c>
      <c r="F4" s="23" t="s">
        <v>537</v>
      </c>
      <c r="G4" s="1">
        <f>ApplicationQuestionnaire!G4</f>
        <v>0</v>
      </c>
      <c r="H4" s="1"/>
      <c r="I4" s="2"/>
      <c r="J4" s="11"/>
      <c r="K4" s="11"/>
      <c r="L4" s="11"/>
      <c r="M4" s="11"/>
      <c r="N4" s="1"/>
      <c r="O4" s="1"/>
      <c r="P4" s="1"/>
      <c r="Q4" s="1"/>
      <c r="R4" s="1"/>
      <c r="S4" s="1"/>
      <c r="T4" s="1"/>
      <c r="U4" s="1"/>
      <c r="V4" s="1"/>
      <c r="W4" s="1"/>
    </row>
    <row r="5" spans="1:23" customFormat="1" ht="18" customHeight="1">
      <c r="A5" s="19"/>
      <c r="B5" s="23" t="s">
        <v>538</v>
      </c>
      <c r="C5" s="35"/>
      <c r="D5" s="23" t="s">
        <v>18</v>
      </c>
      <c r="E5" s="1" t="str">
        <f>ApplicationQuestionnaire!E5</f>
        <v>Julio  Santos</v>
      </c>
      <c r="F5" s="23" t="s">
        <v>20</v>
      </c>
      <c r="G5" s="1">
        <f>ApplicationQuestionnaire!G5</f>
        <v>0</v>
      </c>
      <c r="H5" s="1"/>
      <c r="I5" s="2"/>
      <c r="J5" s="11"/>
      <c r="K5" s="11"/>
      <c r="L5" s="11"/>
      <c r="M5" s="11"/>
      <c r="N5" s="1"/>
      <c r="O5" s="1"/>
      <c r="P5" s="1"/>
      <c r="Q5" s="1"/>
      <c r="R5" s="1"/>
      <c r="S5" s="1"/>
      <c r="T5" s="1"/>
      <c r="U5" s="1"/>
      <c r="V5" s="1"/>
      <c r="W5" s="1"/>
    </row>
    <row r="6" spans="1:23" customFormat="1" ht="18" customHeight="1">
      <c r="A6" s="18"/>
      <c r="B6" s="23" t="s">
        <v>539</v>
      </c>
      <c r="C6" s="35">
        <f>ApplicationQuestionnaire!E6</f>
        <v>0</v>
      </c>
      <c r="D6" s="23" t="s">
        <v>11</v>
      </c>
      <c r="E6" s="1" t="str">
        <f>ApplicationQuestionnaire!G3</f>
        <v>DMND000013259</v>
      </c>
      <c r="F6" s="23" t="s">
        <v>540</v>
      </c>
      <c r="G6" s="1">
        <f>ApplicationQuestionnaire!G6</f>
        <v>0</v>
      </c>
      <c r="H6" s="1"/>
      <c r="I6" s="2"/>
      <c r="J6" s="11"/>
      <c r="K6" s="11"/>
      <c r="L6" s="11"/>
      <c r="M6" s="11"/>
      <c r="N6" s="1"/>
      <c r="O6" s="1"/>
      <c r="P6" s="1"/>
      <c r="Q6" s="1"/>
      <c r="R6" s="1"/>
      <c r="S6" s="1"/>
      <c r="T6" s="1"/>
      <c r="U6" s="1"/>
      <c r="V6" s="1"/>
      <c r="W6" s="1"/>
    </row>
    <row r="7" spans="1:23" customFormat="1" ht="18" customHeight="1">
      <c r="A7" s="19"/>
      <c r="B7" s="23" t="s">
        <v>541</v>
      </c>
      <c r="C7" s="36"/>
      <c r="D7" s="23" t="s">
        <v>27</v>
      </c>
      <c r="E7" s="1">
        <f>ApplicationQuestionnaire!E8</f>
        <v>0</v>
      </c>
      <c r="F7" s="23" t="s">
        <v>28</v>
      </c>
      <c r="G7" s="1">
        <f>ApplicationQuestionnaire!G8</f>
        <v>0</v>
      </c>
      <c r="H7" s="1"/>
      <c r="I7" s="2"/>
      <c r="J7" s="11"/>
      <c r="K7" s="11"/>
      <c r="L7" s="11"/>
      <c r="M7" s="11"/>
      <c r="N7" s="1"/>
      <c r="O7" s="1"/>
      <c r="P7" s="1"/>
      <c r="Q7" s="1"/>
      <c r="R7" s="1"/>
      <c r="S7" s="1"/>
      <c r="T7" s="1"/>
      <c r="U7" s="1"/>
      <c r="V7" s="1"/>
      <c r="W7" s="1"/>
    </row>
    <row r="8" spans="1:23" customFormat="1" ht="18" customHeight="1">
      <c r="A8" s="19"/>
      <c r="B8" s="23" t="s">
        <v>542</v>
      </c>
      <c r="C8" s="36"/>
      <c r="D8" s="23" t="s">
        <v>31</v>
      </c>
      <c r="E8" s="1">
        <f>ApplicationQuestionnaire!E9</f>
        <v>0</v>
      </c>
      <c r="F8" s="23" t="s">
        <v>32</v>
      </c>
      <c r="G8" s="1">
        <f>ApplicationQuestionnaire!G9</f>
        <v>0</v>
      </c>
      <c r="H8" s="1"/>
      <c r="I8" s="2"/>
      <c r="J8" s="11"/>
      <c r="K8" s="11"/>
      <c r="L8" s="11"/>
      <c r="M8" s="11"/>
      <c r="N8" s="1"/>
      <c r="O8" s="1"/>
      <c r="P8" s="1"/>
      <c r="Q8" s="1"/>
      <c r="R8" s="1"/>
      <c r="S8" s="1"/>
      <c r="T8" s="1"/>
      <c r="U8" s="1"/>
      <c r="V8" s="1"/>
      <c r="W8" s="1"/>
    </row>
    <row r="9" spans="1:23" customFormat="1" ht="18" customHeight="1">
      <c r="A9" s="19"/>
      <c r="B9" s="23" t="s">
        <v>543</v>
      </c>
      <c r="C9" s="36"/>
      <c r="D9" s="23"/>
      <c r="E9" s="1"/>
      <c r="F9" s="23"/>
      <c r="G9" s="1"/>
      <c r="H9" s="1"/>
      <c r="I9" s="2"/>
      <c r="J9" s="11"/>
      <c r="K9" s="11"/>
      <c r="L9" s="11"/>
      <c r="M9" s="11"/>
      <c r="N9" s="1"/>
      <c r="O9" s="1"/>
      <c r="P9" s="1"/>
      <c r="Q9" s="1"/>
      <c r="R9" s="1"/>
      <c r="S9" s="1"/>
      <c r="T9" s="1"/>
      <c r="U9" s="1"/>
      <c r="V9" s="1"/>
      <c r="W9" s="1"/>
    </row>
    <row r="10" spans="1:23" customFormat="1" ht="18" customHeight="1">
      <c r="A10" s="12"/>
      <c r="B10" s="22"/>
      <c r="C10" s="15"/>
      <c r="D10" s="8"/>
      <c r="E10" s="8"/>
      <c r="F10" s="8"/>
      <c r="G10" s="8"/>
      <c r="H10" s="8"/>
      <c r="I10" s="8"/>
      <c r="J10" s="11"/>
      <c r="K10" s="11"/>
      <c r="L10" s="11"/>
      <c r="M10" s="11"/>
      <c r="N10" s="1"/>
      <c r="O10" s="1"/>
      <c r="P10" s="1"/>
      <c r="Q10" s="1"/>
      <c r="R10" s="1"/>
      <c r="S10" s="1"/>
      <c r="T10" s="1"/>
      <c r="U10" s="1"/>
      <c r="V10" s="1"/>
      <c r="W10" s="1"/>
    </row>
    <row r="11" spans="1:23" customFormat="1" ht="54" customHeight="1">
      <c r="A11" s="19"/>
      <c r="B11" s="23" t="s">
        <v>544</v>
      </c>
      <c r="C11" s="62"/>
      <c r="D11" s="62"/>
      <c r="E11" s="62"/>
      <c r="F11" s="62"/>
      <c r="G11" s="62"/>
      <c r="H11" s="62"/>
      <c r="I11" s="2"/>
      <c r="J11" s="11"/>
      <c r="K11" s="11"/>
      <c r="L11" s="11"/>
      <c r="M11" s="11"/>
      <c r="N11" s="1"/>
      <c r="O11" s="1"/>
      <c r="P11" s="1"/>
      <c r="Q11" s="1"/>
      <c r="R11" s="1"/>
      <c r="S11" s="1"/>
      <c r="T11" s="1"/>
      <c r="U11" s="1"/>
      <c r="V11" s="1"/>
      <c r="W11" s="1"/>
    </row>
    <row r="12" spans="1:23" customFormat="1" ht="18" customHeight="1">
      <c r="A12" s="12"/>
      <c r="B12" s="22"/>
      <c r="C12" s="15"/>
      <c r="D12" s="8"/>
      <c r="E12" s="8"/>
      <c r="F12" s="8"/>
      <c r="G12" s="8"/>
      <c r="H12" s="8"/>
      <c r="I12" s="8"/>
      <c r="J12" s="11"/>
      <c r="K12" s="11"/>
      <c r="L12" s="11"/>
      <c r="M12" s="11"/>
      <c r="N12" s="1"/>
      <c r="O12" s="1"/>
      <c r="P12" s="1"/>
      <c r="Q12" s="1"/>
      <c r="R12" s="1"/>
      <c r="S12" s="1"/>
      <c r="T12" s="1"/>
      <c r="U12" s="1"/>
      <c r="V12" s="1"/>
      <c r="W12" s="1"/>
    </row>
    <row r="13" spans="1:23" s="10" customFormat="1" ht="45.75" customHeight="1">
      <c r="A13" s="13" t="s">
        <v>33</v>
      </c>
      <c r="B13" s="9" t="s">
        <v>545</v>
      </c>
      <c r="C13" s="9" t="s">
        <v>546</v>
      </c>
      <c r="D13" s="9" t="s">
        <v>547</v>
      </c>
      <c r="E13" s="9" t="s">
        <v>548</v>
      </c>
      <c r="F13" s="9" t="s">
        <v>549</v>
      </c>
      <c r="G13" s="9" t="s">
        <v>550</v>
      </c>
      <c r="H13" s="9"/>
      <c r="I13" s="9"/>
    </row>
    <row r="14" spans="1:23" s="4" customFormat="1">
      <c r="A14" s="14"/>
      <c r="B14" s="14" t="s">
        <v>551</v>
      </c>
      <c r="C14" s="5"/>
      <c r="D14" s="5"/>
      <c r="E14" s="5"/>
      <c r="F14" s="5"/>
      <c r="G14" s="5"/>
      <c r="H14" s="5"/>
      <c r="I14" s="5"/>
    </row>
    <row r="15" spans="1:23" ht="30.75" customHeight="1">
      <c r="A15" s="13" t="s">
        <v>552</v>
      </c>
      <c r="C15" s="11"/>
      <c r="D15" s="11"/>
      <c r="E15" s="11"/>
      <c r="F15" s="11"/>
      <c r="G15" s="11"/>
      <c r="H15" s="11"/>
    </row>
    <row r="16" spans="1:23" ht="30.75" customHeight="1">
      <c r="A16" s="13" t="s">
        <v>553</v>
      </c>
      <c r="C16" s="11"/>
      <c r="D16" s="11"/>
      <c r="E16" s="11"/>
      <c r="F16" s="11"/>
      <c r="G16" s="11"/>
      <c r="H16" s="11"/>
    </row>
    <row r="17" spans="1:8" ht="30.75" customHeight="1">
      <c r="A17" s="13" t="s">
        <v>554</v>
      </c>
      <c r="C17" s="11"/>
      <c r="D17" s="11"/>
      <c r="E17" s="11"/>
      <c r="F17" s="11"/>
      <c r="G17" s="11"/>
      <c r="H17" s="11"/>
    </row>
    <row r="18" spans="1:8" ht="30.75" customHeight="1">
      <c r="A18" s="13" t="s">
        <v>555</v>
      </c>
      <c r="C18" s="11"/>
      <c r="D18" s="11"/>
      <c r="E18" s="11"/>
      <c r="F18" s="11"/>
      <c r="G18" s="11"/>
      <c r="H18" s="11"/>
    </row>
    <row r="19" spans="1:8" ht="30.75" customHeight="1">
      <c r="A19" s="13" t="s">
        <v>556</v>
      </c>
      <c r="C19" s="11"/>
      <c r="D19" s="11"/>
      <c r="E19" s="11"/>
      <c r="F19" s="11"/>
      <c r="G19" s="11"/>
      <c r="H19" s="11"/>
    </row>
    <row r="20" spans="1:8" ht="30.75" customHeight="1">
      <c r="A20" s="13" t="s">
        <v>557</v>
      </c>
      <c r="C20" s="11"/>
      <c r="D20" s="11"/>
      <c r="E20" s="11"/>
      <c r="F20" s="11"/>
      <c r="G20" s="11"/>
      <c r="H20" s="11"/>
    </row>
    <row r="21" spans="1:8" ht="30.75" customHeight="1">
      <c r="A21" s="13" t="s">
        <v>558</v>
      </c>
      <c r="C21" s="11"/>
      <c r="D21" s="11"/>
      <c r="E21" s="11"/>
      <c r="F21" s="11"/>
      <c r="G21" s="11"/>
      <c r="H21" s="11"/>
    </row>
    <row r="22" spans="1:8" ht="30.75" customHeight="1">
      <c r="A22" s="13" t="s">
        <v>559</v>
      </c>
      <c r="C22" s="11"/>
      <c r="D22" s="11"/>
      <c r="E22" s="11"/>
      <c r="F22" s="11"/>
      <c r="G22" s="11"/>
      <c r="H22" s="11"/>
    </row>
    <row r="23" spans="1:8" ht="30.75" customHeight="1">
      <c r="A23" s="13" t="s">
        <v>560</v>
      </c>
      <c r="C23" s="11"/>
      <c r="D23" s="11"/>
      <c r="E23" s="11"/>
      <c r="F23" s="11"/>
      <c r="G23" s="11"/>
      <c r="H23" s="11"/>
    </row>
    <row r="24" spans="1:8" ht="30.75" customHeight="1">
      <c r="A24" s="13" t="s">
        <v>561</v>
      </c>
      <c r="C24" s="11"/>
      <c r="D24" s="11"/>
      <c r="E24" s="11"/>
      <c r="F24" s="11"/>
      <c r="G24" s="11"/>
      <c r="H24" s="11"/>
    </row>
    <row r="25" spans="1:8" ht="30.75" customHeight="1">
      <c r="A25" s="13" t="s">
        <v>562</v>
      </c>
      <c r="C25" s="11"/>
      <c r="D25" s="11"/>
      <c r="E25" s="11"/>
      <c r="F25" s="11"/>
      <c r="G25" s="11"/>
      <c r="H25" s="11"/>
    </row>
    <row r="26" spans="1:8" ht="30.75" customHeight="1">
      <c r="A26" s="13" t="s">
        <v>563</v>
      </c>
      <c r="C26" s="11"/>
      <c r="D26" s="11"/>
      <c r="E26" s="11"/>
      <c r="F26" s="11"/>
      <c r="G26" s="11"/>
      <c r="H26" s="11"/>
    </row>
    <row r="27" spans="1:8" ht="30.75" customHeight="1">
      <c r="A27" s="13" t="s">
        <v>564</v>
      </c>
      <c r="C27" s="11"/>
      <c r="D27" s="11"/>
      <c r="E27" s="11"/>
      <c r="F27" s="11"/>
      <c r="G27" s="11"/>
      <c r="H27" s="11"/>
    </row>
    <row r="28" spans="1:8" ht="30.75" customHeight="1">
      <c r="A28" s="13" t="s">
        <v>565</v>
      </c>
      <c r="C28" s="11"/>
      <c r="D28" s="11"/>
      <c r="E28" s="11"/>
      <c r="F28" s="11"/>
      <c r="G28" s="11"/>
      <c r="H28" s="11"/>
    </row>
    <row r="29" spans="1:8" ht="30.75" customHeight="1">
      <c r="A29" s="13" t="s">
        <v>566</v>
      </c>
      <c r="C29" s="11"/>
      <c r="D29" s="11"/>
      <c r="E29" s="11"/>
      <c r="F29" s="11"/>
      <c r="G29" s="11"/>
      <c r="H29" s="11"/>
    </row>
    <row r="30" spans="1:8" ht="30.75" customHeight="1">
      <c r="A30" s="13" t="s">
        <v>567</v>
      </c>
      <c r="C30" s="11"/>
      <c r="D30" s="11"/>
      <c r="E30" s="11"/>
      <c r="F30" s="11"/>
      <c r="G30" s="11"/>
      <c r="H30" s="11"/>
    </row>
    <row r="31" spans="1:8" ht="30.75" customHeight="1">
      <c r="A31" s="13" t="s">
        <v>568</v>
      </c>
      <c r="C31" s="11"/>
      <c r="D31" s="11"/>
      <c r="E31" s="11"/>
      <c r="F31" s="11"/>
      <c r="G31" s="11"/>
      <c r="H31" s="11"/>
    </row>
    <row r="32" spans="1:8" ht="30.75" customHeight="1">
      <c r="A32" s="13" t="s">
        <v>569</v>
      </c>
      <c r="C32" s="11"/>
      <c r="D32" s="11"/>
      <c r="E32" s="11"/>
      <c r="F32" s="11"/>
      <c r="G32" s="11"/>
      <c r="H32" s="11"/>
    </row>
    <row r="33" spans="1:8" ht="30.75" customHeight="1">
      <c r="A33" s="13" t="s">
        <v>570</v>
      </c>
      <c r="C33" s="11"/>
      <c r="D33" s="11"/>
      <c r="E33" s="11"/>
      <c r="F33" s="11"/>
      <c r="G33" s="11"/>
      <c r="H33" s="11"/>
    </row>
    <row r="34" spans="1:8" ht="30.75" customHeight="1">
      <c r="A34" s="13" t="s">
        <v>571</v>
      </c>
      <c r="C34" s="11"/>
      <c r="D34" s="11"/>
      <c r="E34" s="11"/>
      <c r="F34" s="11"/>
      <c r="G34" s="11"/>
      <c r="H34" s="11"/>
    </row>
    <row r="35" spans="1:8" ht="30.75" customHeight="1">
      <c r="A35" s="13" t="s">
        <v>572</v>
      </c>
      <c r="C35" s="11"/>
      <c r="D35" s="11"/>
      <c r="E35" s="11"/>
      <c r="F35" s="11"/>
      <c r="G35" s="11"/>
      <c r="H35" s="11"/>
    </row>
    <row r="36" spans="1:8" ht="30.75" customHeight="1">
      <c r="A36" s="13" t="s">
        <v>573</v>
      </c>
      <c r="C36" s="11"/>
      <c r="D36" s="11"/>
      <c r="E36" s="11"/>
      <c r="F36" s="11"/>
      <c r="G36" s="11"/>
      <c r="H36" s="11"/>
    </row>
    <row r="37" spans="1:8" ht="30.75" customHeight="1">
      <c r="A37" s="13" t="s">
        <v>574</v>
      </c>
      <c r="C37" s="11"/>
      <c r="D37" s="11"/>
      <c r="E37" s="11"/>
      <c r="F37" s="11"/>
      <c r="G37" s="11"/>
      <c r="H37" s="11"/>
    </row>
    <row r="38" spans="1:8" ht="30.75" customHeight="1">
      <c r="A38" s="13" t="s">
        <v>575</v>
      </c>
      <c r="C38" s="11"/>
      <c r="D38" s="11"/>
      <c r="E38" s="11"/>
      <c r="F38" s="11"/>
      <c r="G38" s="11"/>
      <c r="H38" s="11"/>
    </row>
    <row r="39" spans="1:8" ht="30.75" customHeight="1">
      <c r="A39" s="13" t="s">
        <v>576</v>
      </c>
      <c r="C39" s="11"/>
      <c r="D39" s="11"/>
      <c r="E39" s="11"/>
      <c r="F39" s="11"/>
      <c r="G39" s="11"/>
      <c r="H39" s="11"/>
    </row>
    <row r="40" spans="1:8" ht="30.75" customHeight="1">
      <c r="A40" s="13" t="s">
        <v>577</v>
      </c>
      <c r="C40" s="11"/>
      <c r="D40" s="11"/>
      <c r="E40" s="11"/>
      <c r="F40" s="11"/>
      <c r="G40" s="11"/>
      <c r="H40" s="11"/>
    </row>
    <row r="41" spans="1:8" ht="30.75" customHeight="1">
      <c r="A41" s="13" t="s">
        <v>578</v>
      </c>
      <c r="C41" s="11"/>
      <c r="D41" s="11"/>
      <c r="E41" s="11"/>
      <c r="F41" s="11"/>
      <c r="G41" s="11"/>
      <c r="H41" s="11"/>
    </row>
    <row r="42" spans="1:8" ht="30.75" customHeight="1">
      <c r="A42" s="13" t="s">
        <v>579</v>
      </c>
      <c r="C42" s="11"/>
      <c r="D42" s="11"/>
      <c r="E42" s="11"/>
      <c r="F42" s="11"/>
      <c r="G42" s="11"/>
      <c r="H42" s="11"/>
    </row>
    <row r="43" spans="1:8" ht="30.75" customHeight="1">
      <c r="A43" s="13" t="s">
        <v>580</v>
      </c>
      <c r="C43" s="11"/>
      <c r="D43" s="11"/>
      <c r="E43" s="11"/>
      <c r="F43" s="11"/>
      <c r="G43" s="11"/>
      <c r="H43" s="11"/>
    </row>
    <row r="44" spans="1:8" ht="30.75" customHeight="1">
      <c r="A44" s="13" t="s">
        <v>581</v>
      </c>
      <c r="C44" s="11"/>
      <c r="D44" s="11"/>
      <c r="E44" s="11"/>
      <c r="F44" s="11"/>
      <c r="G44" s="11"/>
      <c r="H44" s="11"/>
    </row>
    <row r="45" spans="1:8" ht="30.75" customHeight="1">
      <c r="A45" s="13" t="s">
        <v>582</v>
      </c>
      <c r="C45" s="11"/>
      <c r="D45" s="11"/>
      <c r="E45" s="11"/>
      <c r="F45" s="11"/>
      <c r="G45" s="11"/>
      <c r="H45" s="11"/>
    </row>
    <row r="46" spans="1:8" ht="30.75" customHeight="1">
      <c r="A46" s="13" t="s">
        <v>583</v>
      </c>
      <c r="C46" s="11"/>
      <c r="D46" s="11"/>
      <c r="E46" s="11"/>
      <c r="F46" s="11"/>
      <c r="G46" s="11"/>
      <c r="H46" s="11"/>
    </row>
    <row r="47" spans="1:8" ht="30.75" customHeight="1">
      <c r="A47" s="13" t="s">
        <v>584</v>
      </c>
      <c r="C47" s="11"/>
      <c r="D47" s="11"/>
      <c r="E47" s="11"/>
      <c r="F47" s="11"/>
      <c r="G47" s="11"/>
      <c r="H47" s="11"/>
    </row>
    <row r="48" spans="1:8" ht="30.75" customHeight="1">
      <c r="A48" s="13" t="s">
        <v>585</v>
      </c>
      <c r="C48" s="11"/>
      <c r="D48" s="11"/>
      <c r="E48" s="11"/>
      <c r="F48" s="11"/>
      <c r="G48" s="11"/>
      <c r="H48" s="11"/>
    </row>
    <row r="49" spans="1:8" ht="30.75" customHeight="1">
      <c r="A49" s="13" t="s">
        <v>586</v>
      </c>
      <c r="C49" s="11"/>
      <c r="D49" s="11"/>
      <c r="E49" s="11"/>
      <c r="F49" s="11"/>
      <c r="G49" s="11"/>
      <c r="H49" s="11"/>
    </row>
    <row r="50" spans="1:8" ht="30.75" customHeight="1">
      <c r="A50" s="13" t="s">
        <v>587</v>
      </c>
      <c r="C50" s="11"/>
      <c r="D50" s="11"/>
      <c r="E50" s="11"/>
      <c r="F50" s="11"/>
      <c r="G50" s="11"/>
      <c r="H50" s="11"/>
    </row>
    <row r="51" spans="1:8" ht="30.75" customHeight="1">
      <c r="A51" s="13" t="s">
        <v>588</v>
      </c>
      <c r="C51" s="11"/>
      <c r="D51" s="11"/>
      <c r="E51" s="11"/>
      <c r="F51" s="11"/>
      <c r="G51" s="11"/>
      <c r="H51" s="11"/>
    </row>
    <row r="52" spans="1:8" ht="30.75" customHeight="1">
      <c r="A52" s="13" t="s">
        <v>589</v>
      </c>
      <c r="C52" s="11"/>
      <c r="D52" s="11"/>
      <c r="E52" s="11"/>
      <c r="F52" s="11"/>
      <c r="G52" s="11"/>
      <c r="H52" s="11"/>
    </row>
    <row r="53" spans="1:8" ht="30.75" customHeight="1">
      <c r="A53" s="13" t="s">
        <v>590</v>
      </c>
      <c r="C53" s="11"/>
      <c r="D53" s="11"/>
      <c r="E53" s="11"/>
      <c r="F53" s="11"/>
      <c r="G53" s="11"/>
      <c r="H53" s="11"/>
    </row>
    <row r="54" spans="1:8" ht="30.75" customHeight="1">
      <c r="A54" s="13" t="s">
        <v>591</v>
      </c>
      <c r="C54" s="11"/>
      <c r="D54" s="11"/>
      <c r="E54" s="11"/>
      <c r="F54" s="11"/>
      <c r="G54" s="11"/>
      <c r="H54" s="11"/>
    </row>
    <row r="55" spans="1:8" ht="30.75" customHeight="1">
      <c r="A55" s="13" t="s">
        <v>592</v>
      </c>
      <c r="C55" s="11"/>
      <c r="D55" s="11"/>
      <c r="E55" s="11"/>
      <c r="F55" s="11"/>
      <c r="G55" s="11"/>
      <c r="H55" s="11"/>
    </row>
    <row r="56" spans="1:8" ht="30.75" customHeight="1">
      <c r="A56" s="13" t="s">
        <v>593</v>
      </c>
      <c r="C56" s="11"/>
      <c r="D56" s="11"/>
      <c r="E56" s="11"/>
      <c r="F56" s="11"/>
      <c r="G56" s="11"/>
      <c r="H56" s="11"/>
    </row>
    <row r="57" spans="1:8" ht="30.75" customHeight="1">
      <c r="A57" s="13" t="s">
        <v>594</v>
      </c>
      <c r="C57" s="11"/>
      <c r="D57" s="11"/>
      <c r="E57" s="11"/>
      <c r="F57" s="11"/>
      <c r="G57" s="11"/>
      <c r="H57" s="11"/>
    </row>
    <row r="58" spans="1:8" ht="30.75" customHeight="1">
      <c r="A58" s="13" t="s">
        <v>595</v>
      </c>
      <c r="C58" s="11"/>
      <c r="D58" s="11"/>
      <c r="E58" s="11"/>
      <c r="F58" s="11"/>
      <c r="G58" s="11"/>
      <c r="H58" s="11"/>
    </row>
    <row r="59" spans="1:8" ht="30.75" customHeight="1">
      <c r="A59" s="13" t="s">
        <v>596</v>
      </c>
      <c r="C59" s="11"/>
      <c r="D59" s="11"/>
      <c r="E59" s="11"/>
      <c r="F59" s="11"/>
      <c r="G59" s="11"/>
      <c r="H59" s="11"/>
    </row>
    <row r="60" spans="1:8" ht="30.75" customHeight="1">
      <c r="A60" s="13" t="s">
        <v>597</v>
      </c>
      <c r="C60" s="11"/>
      <c r="D60" s="11"/>
      <c r="E60" s="11"/>
      <c r="F60" s="11"/>
      <c r="G60" s="11"/>
      <c r="H60" s="11"/>
    </row>
    <row r="61" spans="1:8" ht="30.75" customHeight="1">
      <c r="A61" s="13" t="s">
        <v>598</v>
      </c>
      <c r="C61" s="11"/>
      <c r="D61" s="11"/>
      <c r="E61" s="11"/>
      <c r="F61" s="11"/>
      <c r="G61" s="11"/>
      <c r="H61" s="11"/>
    </row>
    <row r="62" spans="1:8" ht="30.75" customHeight="1">
      <c r="A62" s="13" t="s">
        <v>599</v>
      </c>
      <c r="C62" s="11"/>
      <c r="D62" s="11"/>
      <c r="E62" s="11"/>
      <c r="F62" s="11"/>
      <c r="G62" s="11"/>
      <c r="H62" s="11"/>
    </row>
    <row r="63" spans="1:8" ht="30.75" customHeight="1">
      <c r="A63" s="13" t="s">
        <v>600</v>
      </c>
      <c r="C63" s="11"/>
      <c r="D63" s="11"/>
      <c r="E63" s="11"/>
      <c r="F63" s="11"/>
      <c r="G63" s="11"/>
      <c r="H63" s="11"/>
    </row>
    <row r="64" spans="1:8" ht="30.75" customHeight="1">
      <c r="A64" s="13" t="s">
        <v>601</v>
      </c>
      <c r="C64" s="11"/>
      <c r="D64" s="11"/>
      <c r="E64" s="11"/>
      <c r="F64" s="11"/>
      <c r="G64" s="11"/>
      <c r="H64" s="11"/>
    </row>
    <row r="65" spans="3:8" ht="30.75" customHeight="1">
      <c r="C65" s="11"/>
      <c r="D65" s="11"/>
      <c r="E65" s="11"/>
      <c r="F65" s="11"/>
      <c r="G65" s="11"/>
      <c r="H65" s="11"/>
    </row>
    <row r="66" spans="3:8" ht="30.75" customHeight="1">
      <c r="C66" s="11"/>
      <c r="D66" s="11"/>
      <c r="E66" s="11"/>
      <c r="F66" s="11"/>
      <c r="G66" s="11"/>
      <c r="H66" s="11"/>
    </row>
    <row r="67" spans="3:8" ht="30.75" customHeight="1">
      <c r="C67" s="11"/>
      <c r="D67" s="11"/>
      <c r="E67" s="11"/>
      <c r="F67" s="11"/>
      <c r="G67" s="11"/>
      <c r="H67" s="11"/>
    </row>
  </sheetData>
  <sheetProtection algorithmName="SHA-512" hashValue="qmqjb1Snz4l1EU+RWbuD99DcUUoU09FERF0Z+/01h3822Dzrvn2SIi49Ca5xgBRz2KTlJBVxblFyDlHdP5zRDQ==" saltValue="Nb5emPqqiYXwt+k4pSLOvA==" spinCount="100000" sheet="1" objects="1" scenarios="1"/>
  <mergeCells count="3">
    <mergeCell ref="A1:B1"/>
    <mergeCell ref="C1:I1"/>
    <mergeCell ref="C11:H11"/>
  </mergeCells>
  <conditionalFormatting sqref="C2:C11">
    <cfRule type="cellIs" dxfId="28" priority="1" operator="equal">
      <formula>"Feedback Sent"</formula>
    </cfRule>
    <cfRule type="cellIs" dxfId="27" priority="2" operator="equal">
      <formula>"Questionnaire Received"</formula>
    </cfRule>
    <cfRule type="containsText" dxfId="26" priority="3" operator="containsText" text="Waiting">
      <formula>NOT(ISERROR(SEARCH("Waiting",C2)))</formula>
    </cfRule>
    <cfRule type="cellIs" dxfId="25" priority="4" operator="equal">
      <formula>"Not Started"</formula>
    </cfRule>
    <cfRule type="cellIs" dxfId="24" priority="5" operator="equal">
      <formula>"Started"</formula>
    </cfRule>
  </conditionalFormatting>
  <conditionalFormatting sqref="C12:D12">
    <cfRule type="cellIs" dxfId="23" priority="118" operator="equal">
      <formula>"Feedback Sent"</formula>
    </cfRule>
    <cfRule type="cellIs" dxfId="22" priority="119" operator="equal">
      <formula>"Questionnaire Received"</formula>
    </cfRule>
    <cfRule type="containsText" dxfId="21" priority="120" operator="containsText" text="Waiting">
      <formula>NOT(ISERROR(SEARCH("Waiting",C12)))</formula>
    </cfRule>
    <cfRule type="cellIs" dxfId="20" priority="121" operator="equal">
      <formula>"Not Started"</formula>
    </cfRule>
    <cfRule type="cellIs" dxfId="19" priority="122" operator="equal">
      <formula>"Started"</formula>
    </cfRule>
  </conditionalFormatting>
  <conditionalFormatting sqref="D2">
    <cfRule type="cellIs" dxfId="18" priority="81" operator="equal">
      <formula>"Feedback Sent"</formula>
    </cfRule>
    <cfRule type="cellIs" dxfId="17" priority="82" operator="equal">
      <formula>"Questionnaire Received"</formula>
    </cfRule>
    <cfRule type="containsText" dxfId="16" priority="83" operator="containsText" text="Waiting">
      <formula>NOT(ISERROR(SEARCH("Waiting",D2)))</formula>
    </cfRule>
    <cfRule type="cellIs" dxfId="15" priority="84" operator="equal">
      <formula>"Not Started"</formula>
    </cfRule>
    <cfRule type="cellIs" dxfId="14" priority="85" operator="equal">
      <formula>"Started"</formula>
    </cfRule>
  </conditionalFormatting>
  <conditionalFormatting sqref="D10">
    <cfRule type="cellIs" dxfId="13" priority="6" operator="equal">
      <formula>"Feedback Sent"</formula>
    </cfRule>
    <cfRule type="cellIs" dxfId="12" priority="7" operator="equal">
      <formula>"Questionnaire Received"</formula>
    </cfRule>
    <cfRule type="containsText" dxfId="11" priority="8" operator="containsText" text="Waiting">
      <formula>NOT(ISERROR(SEARCH("Waiting",D10)))</formula>
    </cfRule>
    <cfRule type="cellIs" dxfId="10" priority="9" operator="equal">
      <formula>"Not Started"</formula>
    </cfRule>
    <cfRule type="cellIs" dxfId="9" priority="10" operator="equal">
      <formula>"Started"</formula>
    </cfRule>
  </conditionalFormatting>
  <conditionalFormatting sqref="G3">
    <cfRule type="cellIs" dxfId="8" priority="11" operator="equal">
      <formula>"Low"</formula>
    </cfRule>
    <cfRule type="cellIs" dxfId="7" priority="12" operator="equal">
      <formula>"Medium"</formula>
    </cfRule>
    <cfRule type="cellIs" dxfId="6" priority="13" operator="equal">
      <formula>"High"</formula>
    </cfRule>
  </conditionalFormatting>
  <conditionalFormatting sqref="H15:H64">
    <cfRule type="cellIs" dxfId="5" priority="14" operator="equal">
      <formula>"Low"</formula>
    </cfRule>
    <cfRule type="cellIs" dxfId="4" priority="15" operator="equal">
      <formula>"Medium"</formula>
    </cfRule>
    <cfRule type="cellIs" dxfId="3" priority="16" operator="equal">
      <formula>"High"</formula>
    </cfRule>
  </conditionalFormatting>
  <dataValidations count="5">
    <dataValidation type="list" allowBlank="1" showInputMessage="1" showErrorMessage="1" sqref="D15:D67" xr:uid="{00000000-0002-0000-0300-000000000000}">
      <formula1>RequestedBy</formula1>
    </dataValidation>
    <dataValidation type="list" allowBlank="1" showInputMessage="1" showErrorMessage="1" sqref="E15:E67" xr:uid="{00000000-0002-0000-0300-000001000000}">
      <formula1>YesNo</formula1>
    </dataValidation>
    <dataValidation type="list" allowBlank="1" showInputMessage="1" showErrorMessage="1" sqref="C4" xr:uid="{00000000-0002-0000-0300-000002000000}">
      <formula1>ReviewType</formula1>
    </dataValidation>
    <dataValidation allowBlank="1" showInputMessage="1" showErrorMessage="1" prompt="Select Status" sqref="D3:D5 D7:D9" xr:uid="{00000000-0002-0000-0300-000003000000}"/>
    <dataValidation type="list" allowBlank="1" showInputMessage="1" showErrorMessage="1" error="High, Medium, Low" sqref="G3" xr:uid="{00000000-0002-0000-0300-000004000000}">
      <formula1>Risk</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4"/>
  <sheetViews>
    <sheetView workbookViewId="0">
      <selection activeCell="A12" sqref="A12"/>
    </sheetView>
  </sheetViews>
  <sheetFormatPr defaultRowHeight="14.45"/>
  <cols>
    <col min="1" max="1" width="21.140625" customWidth="1"/>
  </cols>
  <sheetData>
    <row r="1" spans="1:1">
      <c r="A1" t="s">
        <v>536</v>
      </c>
    </row>
    <row r="2" spans="1:1">
      <c r="A2" t="s">
        <v>602</v>
      </c>
    </row>
    <row r="3" spans="1:1">
      <c r="A3" t="s">
        <v>603</v>
      </c>
    </row>
    <row r="5" spans="1:1">
      <c r="A5" t="s">
        <v>22</v>
      </c>
    </row>
    <row r="6" spans="1:1">
      <c r="A6" t="s">
        <v>100</v>
      </c>
    </row>
    <row r="8" spans="1:1">
      <c r="A8" t="s">
        <v>604</v>
      </c>
    </row>
    <row r="9" spans="1:1">
      <c r="A9" t="s">
        <v>605</v>
      </c>
    </row>
    <row r="11" spans="1:1">
      <c r="A11" t="s">
        <v>65</v>
      </c>
    </row>
    <row r="12" spans="1:1">
      <c r="A12" t="s">
        <v>530</v>
      </c>
    </row>
    <row r="13" spans="1:1">
      <c r="A13" t="s">
        <v>529</v>
      </c>
    </row>
    <row r="14" spans="1:1">
      <c r="A14" t="s">
        <v>528</v>
      </c>
    </row>
  </sheetData>
  <conditionalFormatting sqref="A12">
    <cfRule type="cellIs" dxfId="2" priority="3" operator="equal">
      <formula>"HIgh"</formula>
    </cfRule>
  </conditionalFormatting>
  <conditionalFormatting sqref="A13">
    <cfRule type="cellIs" dxfId="1" priority="2" operator="equal">
      <formula>"Medium"</formula>
    </cfRule>
  </conditionalFormatting>
  <conditionalFormatting sqref="A14">
    <cfRule type="cellIs" dxfId="0" priority="1" operator="equal">
      <formula>"Low"</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532DE2-4FF4-474C-91AD-4A26D4644738}"/>
</file>

<file path=customXml/itemProps2.xml><?xml version="1.0" encoding="utf-8"?>
<ds:datastoreItem xmlns:ds="http://schemas.openxmlformats.org/officeDocument/2006/customXml" ds:itemID="{2D4B7DF6-C754-4BA7-A025-1B728040F772}"/>
</file>

<file path=customXml/itemProps3.xml><?xml version="1.0" encoding="utf-8"?>
<ds:datastoreItem xmlns:ds="http://schemas.openxmlformats.org/officeDocument/2006/customXml" ds:itemID="{0B75C8F5-10C5-4030-8B61-715F540C5A68}"/>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New York City Health + Hospitals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Ohana, Ephraim</dc:creator>
  <cp:keywords/>
  <dc:description/>
  <cp:lastModifiedBy>Andrew Krieman</cp:lastModifiedBy>
  <cp:revision/>
  <dcterms:created xsi:type="dcterms:W3CDTF">2018-11-15T15:55:39Z</dcterms:created>
  <dcterms:modified xsi:type="dcterms:W3CDTF">2024-08-26T14:29:36Z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