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perigenlive-portal1.sharepoint.com/RFPs/Security and Privacy Surveys/Carle/"/>
    </mc:Choice>
  </mc:AlternateContent>
  <xr:revisionPtr revIDLastSave="12" documentId="8_{2CB4748B-A236-4418-887A-C260B8E1951D}" xr6:coauthVersionLast="45" xr6:coauthVersionMax="45" xr10:uidLastSave="{8A77B0C1-6155-46A2-9A84-289C6C2B34D0}"/>
  <bookViews>
    <workbookView xWindow="-120" yWindow="-120" windowWidth="38640" windowHeight="21240" xr2:uid="{00000000-000D-0000-FFFF-FFFF00000000}"/>
  </bookViews>
  <sheets>
    <sheet name="TAC Request For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A3" i="1" l="1"/>
  <c r="AA4" i="1"/>
  <c r="AA5" i="1"/>
  <c r="AA6" i="1"/>
  <c r="AA7" i="1"/>
  <c r="AA9" i="1"/>
  <c r="AA10" i="1"/>
  <c r="AA11" i="1"/>
  <c r="AA12" i="1"/>
  <c r="AA13" i="1"/>
  <c r="AA19" i="1"/>
  <c r="AA20" i="1"/>
  <c r="AA21" i="1"/>
  <c r="AA42" i="1"/>
  <c r="AA43" i="1"/>
  <c r="AA45" i="1"/>
  <c r="AA49" i="1"/>
  <c r="AA50" i="1"/>
  <c r="AA51" i="1"/>
  <c r="AA57" i="1"/>
  <c r="AA61" i="1"/>
  <c r="AA62" i="1"/>
  <c r="AA63" i="1"/>
  <c r="AA64" i="1"/>
  <c r="AA74" i="1"/>
  <c r="AA75" i="1"/>
  <c r="AA7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C60" i="1"/>
  <c r="AB44" i="1"/>
  <c r="AA44" i="1" s="1"/>
  <c r="AB24" i="1"/>
  <c r="AA24" i="1" s="1"/>
  <c r="AB23" i="1"/>
  <c r="AA23" i="1" s="1"/>
  <c r="AB8" i="1"/>
  <c r="AA8" i="1" s="1"/>
  <c r="C83" i="1" l="1"/>
  <c r="C81" i="1"/>
  <c r="C80" i="1"/>
  <c r="C76" i="1"/>
  <c r="C72" i="1"/>
  <c r="C69" i="1"/>
  <c r="C68" i="1"/>
  <c r="C64" i="1"/>
  <c r="C63" i="1"/>
  <c r="C59" i="1"/>
  <c r="C57" i="1"/>
  <c r="C55" i="1"/>
  <c r="C53" i="1"/>
  <c r="C52" i="1"/>
  <c r="C51" i="1"/>
  <c r="C45" i="1"/>
  <c r="C43" i="1"/>
  <c r="C21" i="1"/>
  <c r="C14" i="1"/>
  <c r="C13" i="1"/>
  <c r="C9" i="1"/>
  <c r="C7" i="1"/>
  <c r="AB69" i="1" l="1"/>
  <c r="AB78" i="1"/>
  <c r="AA78" i="1" s="1"/>
  <c r="AB79" i="1"/>
  <c r="AA79" i="1" s="1"/>
  <c r="AB80" i="1"/>
  <c r="AA80" i="1" s="1"/>
  <c r="AB81" i="1"/>
  <c r="AA81" i="1" s="1"/>
  <c r="AB82" i="1"/>
  <c r="AA82" i="1" s="1"/>
  <c r="AB83" i="1"/>
  <c r="AA83" i="1" s="1"/>
  <c r="AB84" i="1"/>
  <c r="AA84" i="1" s="1"/>
  <c r="AB85" i="1"/>
  <c r="AA85" i="1" s="1"/>
  <c r="AB86" i="1"/>
  <c r="AA86" i="1" s="1"/>
  <c r="AB77" i="1"/>
  <c r="AA77" i="1" s="1"/>
  <c r="AB72" i="1"/>
  <c r="AA72" i="1" s="1"/>
  <c r="AB73" i="1"/>
  <c r="AA73" i="1" s="1"/>
  <c r="AB71" i="1"/>
  <c r="AA71" i="1" s="1"/>
  <c r="AB70" i="1"/>
  <c r="AB68" i="1"/>
  <c r="AA68" i="1" s="1"/>
  <c r="AB67" i="1"/>
  <c r="AA67" i="1" s="1"/>
  <c r="AB66" i="1"/>
  <c r="AA66" i="1" s="1"/>
  <c r="AB65" i="1"/>
  <c r="AB59" i="1"/>
  <c r="AA59" i="1" s="1"/>
  <c r="AB60" i="1"/>
  <c r="AA60" i="1" s="1"/>
  <c r="AB58" i="1"/>
  <c r="AA58" i="1" s="1"/>
  <c r="AB56" i="1"/>
  <c r="AA56" i="1" s="1"/>
  <c r="AB55" i="1"/>
  <c r="AA55" i="1" s="1"/>
  <c r="AB54" i="1"/>
  <c r="AA54" i="1" s="1"/>
  <c r="AB53" i="1"/>
  <c r="AA53" i="1" s="1"/>
  <c r="AB52" i="1"/>
  <c r="AA52" i="1" s="1"/>
  <c r="AB47" i="1"/>
  <c r="AA47" i="1" s="1"/>
  <c r="AB48" i="1"/>
  <c r="AA48" i="1" s="1"/>
  <c r="AB46" i="1"/>
  <c r="AA46" i="1" s="1"/>
  <c r="AB15" i="1"/>
  <c r="AA15" i="1" s="1"/>
  <c r="AB16" i="1"/>
  <c r="AA16" i="1" s="1"/>
  <c r="AB17" i="1"/>
  <c r="AA17" i="1" s="1"/>
  <c r="AB18" i="1"/>
  <c r="AA18" i="1" s="1"/>
  <c r="AB14" i="1"/>
  <c r="AA14" i="1" s="1"/>
  <c r="AA2" i="1"/>
  <c r="AB22" i="1"/>
  <c r="AA22" i="1" s="1"/>
  <c r="AB25" i="1"/>
  <c r="AA25" i="1" s="1"/>
  <c r="AB26" i="1"/>
  <c r="AA26" i="1" s="1"/>
  <c r="AB27" i="1"/>
  <c r="AA27" i="1" s="1"/>
  <c r="AB28" i="1"/>
  <c r="AA28" i="1" s="1"/>
  <c r="AB29" i="1"/>
  <c r="AA29" i="1" s="1"/>
  <c r="AB30" i="1"/>
  <c r="AA30" i="1" s="1"/>
  <c r="AB31" i="1"/>
  <c r="AA31" i="1" s="1"/>
  <c r="AB32" i="1"/>
  <c r="AA32" i="1" s="1"/>
  <c r="AB33" i="1"/>
  <c r="AA33" i="1" s="1"/>
  <c r="AB34" i="1"/>
  <c r="AA34" i="1" s="1"/>
  <c r="AB35" i="1"/>
  <c r="AA35" i="1" s="1"/>
  <c r="AB36" i="1"/>
  <c r="AA36" i="1" s="1"/>
  <c r="AB37" i="1"/>
  <c r="AA37" i="1" s="1"/>
  <c r="AB38" i="1"/>
  <c r="AA38" i="1" s="1"/>
  <c r="AB39" i="1"/>
  <c r="AA39" i="1" s="1"/>
  <c r="AB40" i="1"/>
  <c r="AA40" i="1" s="1"/>
  <c r="AB41" i="1"/>
  <c r="AA41" i="1" s="1"/>
  <c r="AD69" i="1"/>
  <c r="AD65" i="1"/>
  <c r="AD70" i="1"/>
  <c r="AA65" i="1" l="1"/>
  <c r="AA69" i="1"/>
  <c r="AA70" i="1"/>
</calcChain>
</file>

<file path=xl/sharedStrings.xml><?xml version="1.0" encoding="utf-8"?>
<sst xmlns="http://schemas.openxmlformats.org/spreadsheetml/2006/main" count="159" uniqueCount="103">
  <si>
    <t>Overview</t>
  </si>
  <si>
    <t>Project Stage</t>
  </si>
  <si>
    <t>Servers</t>
  </si>
  <si>
    <t>Networked Devices</t>
  </si>
  <si>
    <t>Application</t>
  </si>
  <si>
    <t>Remote Access</t>
  </si>
  <si>
    <t>Yes</t>
  </si>
  <si>
    <t>Vendor</t>
  </si>
  <si>
    <t>Anticipated Go-Live</t>
  </si>
  <si>
    <t>Protected Information</t>
  </si>
  <si>
    <t>Physical, VM, or both?</t>
  </si>
  <si>
    <t>Other</t>
  </si>
  <si>
    <t>Check 1</t>
  </si>
  <si>
    <t>Check 1 Val</t>
  </si>
  <si>
    <t>Check 2</t>
  </si>
  <si>
    <t>Check 2 Val</t>
  </si>
  <si>
    <t>Show/Hide</t>
  </si>
  <si>
    <t>Will Patient, Member, Employee, Financial, or other protected information be stored or transmitted?</t>
  </si>
  <si>
    <t>Will there be servers in Carle's Data Centers?</t>
  </si>
  <si>
    <t>Does the vendor have a white paper on security practices/protocols/policies?</t>
  </si>
  <si>
    <t xml:space="preserve">Any additional comments on use of protected information?
</t>
  </si>
  <si>
    <t xml:space="preserve">How will protected information be transmitted?
</t>
  </si>
  <si>
    <t xml:space="preserve">How will protected information be stored?
</t>
  </si>
  <si>
    <t>How many unique users will require access?</t>
  </si>
  <si>
    <t>Will users connect from the vendor's network or direct from home?</t>
  </si>
  <si>
    <t>Does the vendor require multi factor authentication for remote access to their network?</t>
  </si>
  <si>
    <t>Connect from vendor's network</t>
  </si>
  <si>
    <t>Direct from home</t>
  </si>
  <si>
    <t xml:space="preserve">What are the vendor's public IP addresses that users will connect from?
</t>
  </si>
  <si>
    <t>Users will need to use multi factor authentication to access Carle's systems directly.  What is the vendor's corporate email domain name?</t>
  </si>
  <si>
    <t>24x7 unattended access is required</t>
  </si>
  <si>
    <t>Will the vendor or other 3rd party require remote access to Carle's network to administer servers?</t>
  </si>
  <si>
    <t>Will the vendor or other 3rd party require remote access to Carle's network applications?</t>
  </si>
  <si>
    <t xml:space="preserve">Explain remote access requirements:
</t>
  </si>
  <si>
    <t xml:space="preserve">Which applications need to be accessed remotely?
</t>
  </si>
  <si>
    <t xml:space="preserve">Which servers need to be accessed remotely?
</t>
  </si>
  <si>
    <t>Is supervised screen sharing sufficient for server administration or is 24x7 unattended access required?</t>
  </si>
  <si>
    <t>How will end users access the application?</t>
  </si>
  <si>
    <t>Who will access the application?</t>
  </si>
  <si>
    <t>From what locations will users interact?</t>
  </si>
  <si>
    <t>Admin Use Only &gt;&gt;&gt;</t>
  </si>
  <si>
    <t>How will users authenticate?</t>
  </si>
  <si>
    <t xml:space="preserve">Explain application access:
</t>
  </si>
  <si>
    <t>Local Accounts</t>
  </si>
  <si>
    <t>Can Carle password policies be enforced?</t>
  </si>
  <si>
    <t>Who will grant/remove access?</t>
  </si>
  <si>
    <t>Fat Client</t>
  </si>
  <si>
    <t>Who will install the client?</t>
  </si>
  <si>
    <t>What operating systems are supported?</t>
  </si>
  <si>
    <t>Will the desktop require any antivirus exceptions?</t>
  </si>
  <si>
    <t>Can the install be ran silently?</t>
  </si>
  <si>
    <t>Can the client run without a user being a local administrator?</t>
  </si>
  <si>
    <t>Are there any known conflicting software, updates, or plugins?</t>
  </si>
  <si>
    <t>Are there any workstation prerequitites required?</t>
  </si>
  <si>
    <t>What browsers does the application support?</t>
  </si>
  <si>
    <t>Citrix Published App</t>
  </si>
  <si>
    <t>What versions of Citrix can the vendor support?</t>
  </si>
  <si>
    <t>Can the Citrix servers be provisioned with Citrix PVS?</t>
  </si>
  <si>
    <t>How many users will be connecting at peak?</t>
  </si>
  <si>
    <t>How many users will be connecting day-to-day?</t>
  </si>
  <si>
    <t>How much memory needs allocated per concurrent connection?</t>
  </si>
  <si>
    <t>How much processor needs allocated per concurrent connection?</t>
  </si>
  <si>
    <t>How much disk is required per user?</t>
  </si>
  <si>
    <t>Does the vendor have a Citrix best practices document?</t>
  </si>
  <si>
    <t>Will load balancing be required?</t>
  </si>
  <si>
    <t>Explain load balancing requirements:</t>
  </si>
  <si>
    <t>Web Browser</t>
  </si>
  <si>
    <t xml:space="preserve">Explain authentication:
</t>
  </si>
  <si>
    <t>Will there be servers outside Carle's data centers (Cloud or vendor hosted)?</t>
  </si>
  <si>
    <t>Will access from the Internet be required?</t>
  </si>
  <si>
    <t>Explain Internet access requirements:</t>
  </si>
  <si>
    <t>Explain data center location(s):</t>
  </si>
  <si>
    <t>Can you provide a SOC 2 or other security attestation?</t>
  </si>
  <si>
    <t>Will new devices be connected to Carle's network?</t>
  </si>
  <si>
    <t xml:space="preserve">Manufacture, model, and description of device(s):
</t>
  </si>
  <si>
    <t>How many devices will be deployed?</t>
  </si>
  <si>
    <t>Will the devices connect to the wired or wireless network?</t>
  </si>
  <si>
    <t>Do the devices support 802.1X authentication?</t>
  </si>
  <si>
    <t>Budget Stage</t>
  </si>
  <si>
    <t>What department is the 'owner' (group/team responsible) of the unit(s)?</t>
  </si>
  <si>
    <t>How frequently are updates/patches expected to be applied?</t>
  </si>
  <si>
    <t>Is the device able to handle DHCP or are static addresses required?</t>
  </si>
  <si>
    <t>What network zones does the device need to communicate with? Inside? DMZ? Internet? GE-BioMed?</t>
  </si>
  <si>
    <t>Where will the devices be deployed?</t>
  </si>
  <si>
    <t>Carle / Health Alliance Contact</t>
  </si>
  <si>
    <t>No</t>
  </si>
  <si>
    <t xml:space="preserve">Background / Current State
</t>
  </si>
  <si>
    <t xml:space="preserve">Objective / Goal
</t>
  </si>
  <si>
    <t>Explain Project Stage:</t>
  </si>
  <si>
    <t>Will all communication utilize HTTPS?</t>
  </si>
  <si>
    <t>Explain use of HTTP and HTTPS:</t>
  </si>
  <si>
    <t>Are there any required web browser plugins?</t>
  </si>
  <si>
    <t>Has a Business Associates Agreement been signed?</t>
  </si>
  <si>
    <t>Explain user locations:</t>
  </si>
  <si>
    <t>Other/Multiple</t>
  </si>
  <si>
    <t>Has our cloud attestation form been submitted?</t>
  </si>
  <si>
    <t>Is vendor involvement required to make changes to the devices?</t>
  </si>
  <si>
    <t>Carle/Health Alliance Requestor and/or Vendor should complete this column</t>
  </si>
  <si>
    <t>PeriGen, Inc</t>
  </si>
  <si>
    <t>Convert Carle's current electronic fetal monitoring system, PeriCalm, to the latest version called PeriWatch.</t>
  </si>
  <si>
    <t>Clinicians primarily, administrators and support when required.</t>
  </si>
  <si>
    <t>Carle Network</t>
  </si>
  <si>
    <t>Active Directory/ADFS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</si>
</sst>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theme="0" tint="-0.34998626667073579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 tint="-0.34998626667073579"/>
      <name val="Wingdings 3"/>
      <family val="1"/>
      <charset val="2"/>
    </font>
  </fonts>
  <fills count="8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indexed="64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  <xf numFmtId="0" fontId="8" fillId="0" borderId="0" applyNumberFormat="0" applyFill="0" applyBorder="0" applyAlignment="0" applyProtection="0"/>
  </cellStyleXfs>
  <cellXfs count="17">
    <xf numFmtId="0" fontId="0" fillId="0" borderId="0" xfId="0"/>
    <xf numFmtId="0" fontId="3" fillId="2" borderId="0" xfId="1" applyFont="1"/>
    <xf numFmtId="0" fontId="4" fillId="0" borderId="0" xfId="0" applyFont="1"/>
    <xf numFmtId="49" fontId="0" fillId="4" borderId="1" xfId="0" applyNumberFormat="1" applyFill="1" applyBorder="1" applyAlignment="1">
      <alignment vertical="top" wrapText="1"/>
    </xf>
    <xf numFmtId="0" fontId="0" fillId="5" borderId="1" xfId="2" applyFont="1" applyFill="1" applyBorder="1" applyAlignment="1">
      <alignment vertical="top" wrapText="1"/>
    </xf>
    <xf numFmtId="0" fontId="1" fillId="5" borderId="1" xfId="2" applyFill="1" applyBorder="1" applyAlignment="1">
      <alignment vertical="top" wrapText="1"/>
    </xf>
    <xf numFmtId="0" fontId="0" fillId="0" borderId="0" xfId="0" applyAlignment="1">
      <alignment horizontal="center" vertical="top"/>
    </xf>
    <xf numFmtId="0" fontId="4" fillId="0" borderId="0" xfId="0" applyFont="1" applyAlignment="1">
      <alignment horizontal="center" vertical="top"/>
    </xf>
    <xf numFmtId="49" fontId="0" fillId="0" borderId="0" xfId="0" applyNumberFormat="1" applyAlignment="1">
      <alignment horizontal="center" vertical="top"/>
    </xf>
    <xf numFmtId="0" fontId="0" fillId="6" borderId="0" xfId="0" applyFill="1"/>
    <xf numFmtId="0" fontId="5" fillId="6" borderId="2" xfId="0" applyFont="1" applyFill="1" applyBorder="1" applyAlignment="1">
      <alignment horizontal="center" vertical="top" textRotation="90"/>
    </xf>
    <xf numFmtId="0" fontId="0" fillId="0" borderId="0" xfId="0" applyNumberFormat="1" applyAlignment="1">
      <alignment horizontal="center" vertical="top"/>
    </xf>
    <xf numFmtId="0" fontId="4" fillId="0" borderId="0" xfId="0" applyNumberFormat="1" applyFont="1" applyAlignment="1">
      <alignment horizontal="center" vertical="top"/>
    </xf>
    <xf numFmtId="0" fontId="6" fillId="6" borderId="2" xfId="1" applyFont="1" applyFill="1" applyBorder="1"/>
    <xf numFmtId="49" fontId="0" fillId="4" borderId="4" xfId="0" applyNumberFormat="1" applyFill="1" applyBorder="1" applyAlignment="1">
      <alignment vertical="top" wrapText="1"/>
    </xf>
    <xf numFmtId="0" fontId="7" fillId="0" borderId="0" xfId="0" applyFont="1"/>
    <xf numFmtId="0" fontId="9" fillId="7" borderId="3" xfId="3" applyFont="1" applyFill="1" applyBorder="1" applyAlignment="1">
      <alignment horizontal="center"/>
    </xf>
  </cellXfs>
  <cellStyles count="4">
    <cellStyle name="40% - Accent3" xfId="2" builtinId="39"/>
    <cellStyle name="Accent1" xfId="1" builtinId="29"/>
    <cellStyle name="Hyperlink" xfId="3" builtinId="8"/>
    <cellStyle name="Normal" xfId="0" builtinId="0"/>
  </cellStyles>
  <dxfs count="1"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B2B2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E103"/>
  <sheetViews>
    <sheetView showGridLines="0" tabSelected="1" workbookViewId="0">
      <selection activeCell="B76" sqref="B76"/>
    </sheetView>
  </sheetViews>
  <sheetFormatPr defaultRowHeight="15" x14ac:dyDescent="0.25"/>
  <cols>
    <col min="1" max="1" width="57.140625" customWidth="1"/>
    <col min="2" max="2" width="85.7109375" customWidth="1"/>
    <col min="3" max="3" width="2.5703125" style="15" customWidth="1"/>
    <col min="4" max="16" width="9.140625" customWidth="1"/>
    <col min="17" max="17" width="10.85546875" style="6" customWidth="1"/>
    <col min="18" max="21" width="10.140625" style="6" customWidth="1"/>
    <col min="22" max="25" width="9.140625" customWidth="1"/>
    <col min="26" max="26" width="26.85546875" bestFit="1" customWidth="1"/>
    <col min="27" max="27" width="10.85546875" style="11" bestFit="1" customWidth="1"/>
    <col min="28" max="28" width="12.85546875" style="11" bestFit="1" customWidth="1"/>
    <col min="29" max="29" width="32.5703125" style="11" bestFit="1" customWidth="1"/>
    <col min="30" max="30" width="7.7109375" style="11" bestFit="1" customWidth="1"/>
    <col min="31" max="31" width="11" style="11" bestFit="1" customWidth="1"/>
  </cols>
  <sheetData>
    <row r="1" spans="1:31" ht="15" customHeight="1" x14ac:dyDescent="0.25">
      <c r="B1" s="9" t="s">
        <v>97</v>
      </c>
      <c r="Z1" s="10"/>
      <c r="AA1" s="11" t="s">
        <v>16</v>
      </c>
      <c r="AB1" s="11" t="s">
        <v>12</v>
      </c>
      <c r="AC1" s="11" t="s">
        <v>13</v>
      </c>
      <c r="AD1" s="11" t="s">
        <v>14</v>
      </c>
      <c r="AE1" s="11" t="s">
        <v>15</v>
      </c>
    </row>
    <row r="2" spans="1:31" s="2" customFormat="1" ht="21" x14ac:dyDescent="0.35">
      <c r="A2" s="1" t="s">
        <v>0</v>
      </c>
      <c r="B2" s="1"/>
      <c r="C2" s="15"/>
      <c r="G2"/>
      <c r="H2"/>
      <c r="I2"/>
      <c r="K2"/>
      <c r="L2"/>
      <c r="M2"/>
      <c r="N2"/>
      <c r="O2"/>
      <c r="Q2" s="6"/>
      <c r="R2" s="7"/>
      <c r="S2" s="7"/>
      <c r="T2" s="7"/>
      <c r="U2" s="7"/>
      <c r="Z2" s="13" t="s">
        <v>40</v>
      </c>
      <c r="AA2" s="11">
        <f t="shared" ref="AA2:AA93" si="0">SUM(IF(AB2="",0,IF(AB2=AC2,10,-1)),IF(AD2="",0,IF(AD2=AE2,10,-1)))</f>
        <v>0</v>
      </c>
      <c r="AB2" s="11"/>
      <c r="AC2" s="12"/>
      <c r="AD2" s="12"/>
      <c r="AE2" s="12"/>
    </row>
    <row r="3" spans="1:31" x14ac:dyDescent="0.25">
      <c r="A3" s="4" t="s">
        <v>84</v>
      </c>
      <c r="B3" s="3"/>
      <c r="Z3" s="10"/>
      <c r="AA3" s="11">
        <f t="shared" si="0"/>
        <v>0</v>
      </c>
    </row>
    <row r="4" spans="1:31" x14ac:dyDescent="0.25">
      <c r="A4" s="4" t="s">
        <v>7</v>
      </c>
      <c r="B4" s="3" t="s">
        <v>98</v>
      </c>
      <c r="Z4" s="10"/>
      <c r="AA4" s="11">
        <f t="shared" si="0"/>
        <v>0</v>
      </c>
    </row>
    <row r="5" spans="1:31" ht="45" x14ac:dyDescent="0.25">
      <c r="A5" s="4" t="s">
        <v>87</v>
      </c>
      <c r="B5" s="3" t="s">
        <v>99</v>
      </c>
      <c r="Z5" s="10"/>
      <c r="AA5" s="11">
        <f t="shared" si="0"/>
        <v>0</v>
      </c>
    </row>
    <row r="6" spans="1:31" ht="45" x14ac:dyDescent="0.25">
      <c r="A6" s="4" t="s">
        <v>86</v>
      </c>
      <c r="B6" s="3"/>
      <c r="Z6" s="10"/>
      <c r="AA6" s="11">
        <f t="shared" si="0"/>
        <v>0</v>
      </c>
    </row>
    <row r="7" spans="1:31" x14ac:dyDescent="0.25">
      <c r="A7" s="5" t="s">
        <v>1</v>
      </c>
      <c r="B7" s="14"/>
      <c r="C7" s="16" t="str">
        <f>HYPERLINK("#"&amp;ADDRESS(ROW(),COLUMN()-1),CHAR(128))</f>
        <v>€</v>
      </c>
      <c r="Z7" s="10"/>
      <c r="AA7" s="11">
        <f t="shared" si="0"/>
        <v>0</v>
      </c>
    </row>
    <row r="8" spans="1:31" hidden="1" x14ac:dyDescent="0.25">
      <c r="A8" s="5" t="s">
        <v>88</v>
      </c>
      <c r="B8" s="3"/>
      <c r="Z8" s="10"/>
      <c r="AA8" s="11">
        <f t="shared" si="0"/>
        <v>-1</v>
      </c>
      <c r="AB8" s="11">
        <f>$B$7</f>
        <v>0</v>
      </c>
      <c r="AC8" s="11" t="s">
        <v>11</v>
      </c>
    </row>
    <row r="9" spans="1:31" x14ac:dyDescent="0.25">
      <c r="A9" s="5" t="s">
        <v>78</v>
      </c>
      <c r="B9" s="3"/>
      <c r="C9" s="16" t="str">
        <f>HYPERLINK("#"&amp;ADDRESS(ROW(),COLUMN()-1),CHAR(128))</f>
        <v>€</v>
      </c>
      <c r="Z9" s="10"/>
      <c r="AA9" s="11">
        <f t="shared" si="0"/>
        <v>0</v>
      </c>
    </row>
    <row r="10" spans="1:31" x14ac:dyDescent="0.25">
      <c r="A10" s="4" t="s">
        <v>8</v>
      </c>
      <c r="B10" s="3"/>
      <c r="Z10" s="10"/>
      <c r="AA10" s="11">
        <f t="shared" si="0"/>
        <v>0</v>
      </c>
    </row>
    <row r="11" spans="1:31" x14ac:dyDescent="0.25">
      <c r="Z11" s="10"/>
      <c r="AA11" s="11">
        <f t="shared" si="0"/>
        <v>0</v>
      </c>
    </row>
    <row r="12" spans="1:31" s="2" customFormat="1" ht="21" x14ac:dyDescent="0.35">
      <c r="A12" s="1" t="s">
        <v>9</v>
      </c>
      <c r="B12" s="1"/>
      <c r="C12" s="15"/>
      <c r="G12"/>
      <c r="H12"/>
      <c r="I12"/>
      <c r="K12"/>
      <c r="L12"/>
      <c r="M12"/>
      <c r="N12"/>
      <c r="O12"/>
      <c r="Q12" s="6"/>
      <c r="R12" s="7"/>
      <c r="S12" s="7"/>
      <c r="T12" s="7"/>
      <c r="U12" s="7"/>
      <c r="Z12" s="10"/>
      <c r="AA12" s="11">
        <f t="shared" si="0"/>
        <v>0</v>
      </c>
      <c r="AB12" s="11"/>
      <c r="AC12" s="12"/>
      <c r="AD12" s="12"/>
      <c r="AE12" s="12"/>
    </row>
    <row r="13" spans="1:31" ht="30" x14ac:dyDescent="0.25">
      <c r="A13" s="4" t="s">
        <v>17</v>
      </c>
      <c r="B13" s="3" t="s">
        <v>6</v>
      </c>
      <c r="C13" s="16" t="str">
        <f>HYPERLINK("#"&amp;ADDRESS(ROW(),COLUMN()-1),CHAR(128))</f>
        <v>€</v>
      </c>
      <c r="R13" s="8"/>
      <c r="Z13" s="10"/>
      <c r="AA13" s="11">
        <f t="shared" si="0"/>
        <v>0</v>
      </c>
    </row>
    <row r="14" spans="1:31" hidden="1" x14ac:dyDescent="0.25">
      <c r="A14" s="4" t="s">
        <v>92</v>
      </c>
      <c r="B14" s="3"/>
      <c r="C14" s="16" t="str">
        <f>HYPERLINK("#"&amp;ADDRESS(ROW(),COLUMN()-1),CHAR(128))</f>
        <v>€</v>
      </c>
      <c r="R14" s="8"/>
      <c r="Z14" s="10"/>
      <c r="AA14" s="11">
        <f t="shared" si="0"/>
        <v>10</v>
      </c>
      <c r="AB14" s="11" t="str">
        <f>$B$13</f>
        <v>Yes</v>
      </c>
      <c r="AC14" s="11" t="s">
        <v>6</v>
      </c>
    </row>
    <row r="15" spans="1:31" ht="45" hidden="1" x14ac:dyDescent="0.25">
      <c r="A15" s="4" t="s">
        <v>22</v>
      </c>
      <c r="B15" s="3"/>
      <c r="R15" s="8"/>
      <c r="T15" s="8"/>
      <c r="Z15" s="10"/>
      <c r="AA15" s="11">
        <f t="shared" si="0"/>
        <v>10</v>
      </c>
      <c r="AB15" s="11" t="str">
        <f t="shared" ref="AB15:AB18" si="1">$B$13</f>
        <v>Yes</v>
      </c>
      <c r="AC15" s="11" t="s">
        <v>6</v>
      </c>
    </row>
    <row r="16" spans="1:31" ht="45" hidden="1" x14ac:dyDescent="0.25">
      <c r="A16" s="4" t="s">
        <v>21</v>
      </c>
      <c r="B16" s="3"/>
      <c r="R16" s="8"/>
      <c r="T16" s="8"/>
      <c r="Z16" s="10"/>
      <c r="AA16" s="11">
        <f t="shared" si="0"/>
        <v>10</v>
      </c>
      <c r="AB16" s="11" t="str">
        <f t="shared" si="1"/>
        <v>Yes</v>
      </c>
      <c r="AC16" s="11" t="s">
        <v>6</v>
      </c>
    </row>
    <row r="17" spans="1:31" ht="30" hidden="1" x14ac:dyDescent="0.25">
      <c r="A17" s="4" t="s">
        <v>19</v>
      </c>
      <c r="B17" s="3"/>
      <c r="R17" s="8"/>
      <c r="T17" s="8"/>
      <c r="Z17" s="10"/>
      <c r="AA17" s="11">
        <f t="shared" si="0"/>
        <v>10</v>
      </c>
      <c r="AB17" s="11" t="str">
        <f t="shared" si="1"/>
        <v>Yes</v>
      </c>
      <c r="AC17" s="11" t="s">
        <v>6</v>
      </c>
    </row>
    <row r="18" spans="1:31" ht="45" hidden="1" x14ac:dyDescent="0.25">
      <c r="A18" s="4" t="s">
        <v>20</v>
      </c>
      <c r="B18" s="3"/>
      <c r="R18" s="8"/>
      <c r="T18" s="8"/>
      <c r="Z18" s="10"/>
      <c r="AA18" s="11">
        <f t="shared" si="0"/>
        <v>10</v>
      </c>
      <c r="AB18" s="11" t="str">
        <f t="shared" si="1"/>
        <v>Yes</v>
      </c>
      <c r="AC18" s="11" t="s">
        <v>6</v>
      </c>
    </row>
    <row r="19" spans="1:31" x14ac:dyDescent="0.25">
      <c r="Z19" s="10"/>
      <c r="AA19" s="11">
        <f t="shared" si="0"/>
        <v>0</v>
      </c>
    </row>
    <row r="20" spans="1:31" s="2" customFormat="1" ht="21" x14ac:dyDescent="0.35">
      <c r="A20" s="1" t="s">
        <v>4</v>
      </c>
      <c r="B20" s="1"/>
      <c r="C20" s="15"/>
      <c r="G20"/>
      <c r="H20"/>
      <c r="I20"/>
      <c r="K20"/>
      <c r="Q20" s="6"/>
      <c r="R20" s="7"/>
      <c r="S20" s="7"/>
      <c r="T20" s="7"/>
      <c r="U20" s="7"/>
      <c r="Z20" s="10"/>
      <c r="AA20" s="11">
        <f t="shared" si="0"/>
        <v>0</v>
      </c>
      <c r="AB20" s="11"/>
      <c r="AC20" s="12"/>
      <c r="AD20" s="12"/>
      <c r="AE20" s="12"/>
    </row>
    <row r="21" spans="1:31" x14ac:dyDescent="0.25">
      <c r="A21" s="4" t="s">
        <v>37</v>
      </c>
      <c r="B21" s="3" t="s">
        <v>46</v>
      </c>
      <c r="C21" s="16" t="str">
        <f>HYPERLINK("#"&amp;ADDRESS(ROW(),COLUMN()-1),CHAR(128))</f>
        <v>€</v>
      </c>
      <c r="Z21" s="10"/>
      <c r="AA21" s="11">
        <f t="shared" si="0"/>
        <v>0</v>
      </c>
    </row>
    <row r="22" spans="1:31" hidden="1" x14ac:dyDescent="0.25">
      <c r="A22" s="4" t="s">
        <v>54</v>
      </c>
      <c r="B22" s="3"/>
      <c r="Z22" s="10"/>
      <c r="AA22" s="11">
        <f t="shared" si="0"/>
        <v>-1</v>
      </c>
      <c r="AB22" s="11" t="str">
        <f t="shared" ref="AB22:AB41" si="2">$B$21</f>
        <v>Fat Client</v>
      </c>
      <c r="AC22" s="11" t="s">
        <v>66</v>
      </c>
    </row>
    <row r="23" spans="1:31" hidden="1" x14ac:dyDescent="0.25">
      <c r="A23" s="4" t="s">
        <v>89</v>
      </c>
      <c r="B23" s="3"/>
      <c r="Z23" s="10"/>
      <c r="AA23" s="11">
        <f t="shared" si="0"/>
        <v>-1</v>
      </c>
      <c r="AB23" s="11" t="str">
        <f>$B$21</f>
        <v>Fat Client</v>
      </c>
      <c r="AC23" s="11" t="s">
        <v>66</v>
      </c>
    </row>
    <row r="24" spans="1:31" hidden="1" x14ac:dyDescent="0.25">
      <c r="A24" s="4" t="s">
        <v>90</v>
      </c>
      <c r="B24" s="3"/>
      <c r="Z24" s="10"/>
      <c r="AA24" s="11">
        <f t="shared" si="0"/>
        <v>-1</v>
      </c>
      <c r="AB24" s="11">
        <f>$B$23</f>
        <v>0</v>
      </c>
      <c r="AC24" s="11" t="s">
        <v>85</v>
      </c>
    </row>
    <row r="25" spans="1:31" hidden="1" x14ac:dyDescent="0.25">
      <c r="A25" s="4" t="s">
        <v>91</v>
      </c>
      <c r="B25" s="3"/>
      <c r="Z25" s="10"/>
      <c r="AA25" s="11">
        <f t="shared" si="0"/>
        <v>-1</v>
      </c>
      <c r="AB25" s="11" t="str">
        <f t="shared" si="2"/>
        <v>Fat Client</v>
      </c>
      <c r="AC25" s="11" t="s">
        <v>66</v>
      </c>
    </row>
    <row r="26" spans="1:31" hidden="1" x14ac:dyDescent="0.25">
      <c r="A26" s="4" t="s">
        <v>47</v>
      </c>
      <c r="B26" s="3"/>
      <c r="Z26" s="10"/>
      <c r="AA26" s="11">
        <f t="shared" si="0"/>
        <v>10</v>
      </c>
      <c r="AB26" s="11" t="str">
        <f t="shared" si="2"/>
        <v>Fat Client</v>
      </c>
      <c r="AC26" s="11" t="s">
        <v>46</v>
      </c>
    </row>
    <row r="27" spans="1:31" hidden="1" x14ac:dyDescent="0.25">
      <c r="A27" s="4" t="s">
        <v>48</v>
      </c>
      <c r="B27" s="3"/>
      <c r="Z27" s="10"/>
      <c r="AA27" s="11">
        <f t="shared" si="0"/>
        <v>10</v>
      </c>
      <c r="AB27" s="11" t="str">
        <f t="shared" si="2"/>
        <v>Fat Client</v>
      </c>
      <c r="AC27" s="11" t="s">
        <v>46</v>
      </c>
    </row>
    <row r="28" spans="1:31" hidden="1" x14ac:dyDescent="0.25">
      <c r="A28" s="4" t="s">
        <v>49</v>
      </c>
      <c r="B28" s="3"/>
      <c r="Z28" s="10"/>
      <c r="AA28" s="11">
        <f t="shared" si="0"/>
        <v>10</v>
      </c>
      <c r="AB28" s="11" t="str">
        <f t="shared" si="2"/>
        <v>Fat Client</v>
      </c>
      <c r="AC28" s="11" t="s">
        <v>46</v>
      </c>
    </row>
    <row r="29" spans="1:31" hidden="1" x14ac:dyDescent="0.25">
      <c r="A29" s="4" t="s">
        <v>50</v>
      </c>
      <c r="B29" s="3"/>
      <c r="Z29" s="10"/>
      <c r="AA29" s="11">
        <f t="shared" si="0"/>
        <v>10</v>
      </c>
      <c r="AB29" s="11" t="str">
        <f t="shared" si="2"/>
        <v>Fat Client</v>
      </c>
      <c r="AC29" s="11" t="s">
        <v>46</v>
      </c>
    </row>
    <row r="30" spans="1:31" hidden="1" x14ac:dyDescent="0.25">
      <c r="A30" s="4" t="s">
        <v>51</v>
      </c>
      <c r="B30" s="3"/>
      <c r="Z30" s="10"/>
      <c r="AA30" s="11">
        <f t="shared" si="0"/>
        <v>10</v>
      </c>
      <c r="AB30" s="11" t="str">
        <f t="shared" si="2"/>
        <v>Fat Client</v>
      </c>
      <c r="AC30" s="11" t="s">
        <v>46</v>
      </c>
    </row>
    <row r="31" spans="1:31" ht="30" hidden="1" x14ac:dyDescent="0.25">
      <c r="A31" s="4" t="s">
        <v>52</v>
      </c>
      <c r="B31" s="3"/>
      <c r="Z31" s="10"/>
      <c r="AA31" s="11">
        <f t="shared" si="0"/>
        <v>10</v>
      </c>
      <c r="AB31" s="11" t="str">
        <f t="shared" si="2"/>
        <v>Fat Client</v>
      </c>
      <c r="AC31" s="11" t="s">
        <v>46</v>
      </c>
    </row>
    <row r="32" spans="1:31" hidden="1" x14ac:dyDescent="0.25">
      <c r="A32" s="4" t="s">
        <v>53</v>
      </c>
      <c r="B32" s="3"/>
      <c r="Z32" s="10"/>
      <c r="AA32" s="11">
        <f t="shared" si="0"/>
        <v>10</v>
      </c>
      <c r="AB32" s="11" t="str">
        <f t="shared" si="2"/>
        <v>Fat Client</v>
      </c>
      <c r="AC32" s="11" t="s">
        <v>46</v>
      </c>
    </row>
    <row r="33" spans="1:29" hidden="1" x14ac:dyDescent="0.25">
      <c r="A33" s="4" t="s">
        <v>56</v>
      </c>
      <c r="B33" s="3"/>
      <c r="Z33" s="10"/>
      <c r="AA33" s="11">
        <f t="shared" si="0"/>
        <v>-1</v>
      </c>
      <c r="AB33" s="11" t="str">
        <f t="shared" si="2"/>
        <v>Fat Client</v>
      </c>
      <c r="AC33" s="11" t="s">
        <v>55</v>
      </c>
    </row>
    <row r="34" spans="1:29" hidden="1" x14ac:dyDescent="0.25">
      <c r="A34" s="4" t="s">
        <v>57</v>
      </c>
      <c r="B34" s="3"/>
      <c r="Z34" s="10"/>
      <c r="AA34" s="11">
        <f t="shared" si="0"/>
        <v>-1</v>
      </c>
      <c r="AB34" s="11" t="str">
        <f t="shared" si="2"/>
        <v>Fat Client</v>
      </c>
      <c r="AC34" s="11" t="s">
        <v>55</v>
      </c>
    </row>
    <row r="35" spans="1:29" hidden="1" x14ac:dyDescent="0.25">
      <c r="A35" s="4" t="s">
        <v>58</v>
      </c>
      <c r="B35" s="3"/>
      <c r="Z35" s="10"/>
      <c r="AA35" s="11">
        <f t="shared" si="0"/>
        <v>-1</v>
      </c>
      <c r="AB35" s="11" t="str">
        <f t="shared" si="2"/>
        <v>Fat Client</v>
      </c>
      <c r="AC35" s="11" t="s">
        <v>55</v>
      </c>
    </row>
    <row r="36" spans="1:29" hidden="1" x14ac:dyDescent="0.25">
      <c r="A36" s="4" t="s">
        <v>59</v>
      </c>
      <c r="B36" s="3"/>
      <c r="Z36" s="10"/>
      <c r="AA36" s="11">
        <f t="shared" si="0"/>
        <v>-1</v>
      </c>
      <c r="AB36" s="11" t="str">
        <f t="shared" si="2"/>
        <v>Fat Client</v>
      </c>
      <c r="AC36" s="11" t="s">
        <v>55</v>
      </c>
    </row>
    <row r="37" spans="1:29" ht="30" hidden="1" x14ac:dyDescent="0.25">
      <c r="A37" s="4" t="s">
        <v>60</v>
      </c>
      <c r="B37" s="3"/>
      <c r="Z37" s="10"/>
      <c r="AA37" s="11">
        <f t="shared" si="0"/>
        <v>-1</v>
      </c>
      <c r="AB37" s="11" t="str">
        <f t="shared" si="2"/>
        <v>Fat Client</v>
      </c>
      <c r="AC37" s="11" t="s">
        <v>55</v>
      </c>
    </row>
    <row r="38" spans="1:29" ht="30" hidden="1" x14ac:dyDescent="0.25">
      <c r="A38" s="4" t="s">
        <v>61</v>
      </c>
      <c r="B38" s="3"/>
      <c r="Z38" s="10"/>
      <c r="AA38" s="11">
        <f t="shared" si="0"/>
        <v>-1</v>
      </c>
      <c r="AB38" s="11" t="str">
        <f t="shared" si="2"/>
        <v>Fat Client</v>
      </c>
      <c r="AC38" s="11" t="s">
        <v>55</v>
      </c>
    </row>
    <row r="39" spans="1:29" hidden="1" x14ac:dyDescent="0.25">
      <c r="A39" s="4" t="s">
        <v>62</v>
      </c>
      <c r="B39" s="3"/>
      <c r="Z39" s="10"/>
      <c r="AA39" s="11">
        <f t="shared" si="0"/>
        <v>-1</v>
      </c>
      <c r="AB39" s="11" t="str">
        <f t="shared" si="2"/>
        <v>Fat Client</v>
      </c>
      <c r="AC39" s="11" t="s">
        <v>55</v>
      </c>
    </row>
    <row r="40" spans="1:29" hidden="1" x14ac:dyDescent="0.25">
      <c r="A40" s="4" t="s">
        <v>63</v>
      </c>
      <c r="B40" s="3"/>
      <c r="Z40" s="10"/>
      <c r="AA40" s="11">
        <f t="shared" si="0"/>
        <v>-1</v>
      </c>
      <c r="AB40" s="11" t="str">
        <f t="shared" si="2"/>
        <v>Fat Client</v>
      </c>
      <c r="AC40" s="11" t="s">
        <v>55</v>
      </c>
    </row>
    <row r="41" spans="1:29" ht="45" hidden="1" x14ac:dyDescent="0.25">
      <c r="A41" s="4" t="s">
        <v>42</v>
      </c>
      <c r="B41" s="3"/>
      <c r="Z41" s="10"/>
      <c r="AA41" s="11">
        <f t="shared" si="0"/>
        <v>-1</v>
      </c>
      <c r="AB41" s="11" t="str">
        <f t="shared" si="2"/>
        <v>Fat Client</v>
      </c>
      <c r="AC41" s="11" t="s">
        <v>11</v>
      </c>
    </row>
    <row r="42" spans="1:29" x14ac:dyDescent="0.25">
      <c r="A42" s="4" t="s">
        <v>38</v>
      </c>
      <c r="B42" s="3" t="s">
        <v>100</v>
      </c>
      <c r="Z42" s="10"/>
      <c r="AA42" s="11">
        <f t="shared" si="0"/>
        <v>0</v>
      </c>
    </row>
    <row r="43" spans="1:29" x14ac:dyDescent="0.25">
      <c r="A43" s="4" t="s">
        <v>39</v>
      </c>
      <c r="B43" s="3" t="s">
        <v>101</v>
      </c>
      <c r="C43" s="16" t="str">
        <f>HYPERLINK("#"&amp;ADDRESS(ROW(),COLUMN()-1),CHAR(128))</f>
        <v>€</v>
      </c>
      <c r="Z43" s="10"/>
      <c r="AA43" s="11">
        <f t="shared" si="0"/>
        <v>0</v>
      </c>
    </row>
    <row r="44" spans="1:29" hidden="1" x14ac:dyDescent="0.25">
      <c r="A44" s="4" t="s">
        <v>93</v>
      </c>
      <c r="B44" s="3"/>
      <c r="Z44" s="10"/>
      <c r="AA44" s="11">
        <f t="shared" si="0"/>
        <v>-1</v>
      </c>
      <c r="AB44" s="8" t="str">
        <f>$B$43</f>
        <v>Carle Network</v>
      </c>
      <c r="AC44" s="11" t="s">
        <v>94</v>
      </c>
    </row>
    <row r="45" spans="1:29" x14ac:dyDescent="0.25">
      <c r="A45" s="4" t="s">
        <v>41</v>
      </c>
      <c r="B45" s="3" t="s">
        <v>102</v>
      </c>
      <c r="C45" s="16" t="str">
        <f>HYPERLINK("#"&amp;ADDRESS(ROW(),COLUMN()-1),CHAR(128))</f>
        <v>€</v>
      </c>
      <c r="Z45" s="10"/>
      <c r="AA45" s="11">
        <f t="shared" si="0"/>
        <v>0</v>
      </c>
    </row>
    <row r="46" spans="1:29" hidden="1" x14ac:dyDescent="0.25">
      <c r="A46" s="4" t="s">
        <v>45</v>
      </c>
      <c r="B46" s="3"/>
      <c r="Z46" s="10"/>
      <c r="AA46" s="11">
        <f t="shared" si="0"/>
        <v>-1</v>
      </c>
      <c r="AB46" s="11" t="str">
        <f>$B$45</f>
        <v>Active Directory/ADFS</v>
      </c>
      <c r="AC46" s="11" t="s">
        <v>43</v>
      </c>
    </row>
    <row r="47" spans="1:29" hidden="1" x14ac:dyDescent="0.25">
      <c r="A47" s="4" t="s">
        <v>44</v>
      </c>
      <c r="B47" s="3"/>
      <c r="Z47" s="10"/>
      <c r="AA47" s="11">
        <f t="shared" si="0"/>
        <v>-1</v>
      </c>
      <c r="AB47" s="11" t="str">
        <f t="shared" ref="AB47:AB48" si="3">$B$45</f>
        <v>Active Directory/ADFS</v>
      </c>
      <c r="AC47" s="11" t="s">
        <v>43</v>
      </c>
    </row>
    <row r="48" spans="1:29" ht="45" hidden="1" x14ac:dyDescent="0.25">
      <c r="A48" s="4" t="s">
        <v>67</v>
      </c>
      <c r="B48" s="3"/>
      <c r="Z48" s="10"/>
      <c r="AA48" s="11">
        <f t="shared" si="0"/>
        <v>-1</v>
      </c>
      <c r="AB48" s="11" t="str">
        <f t="shared" si="3"/>
        <v>Active Directory/ADFS</v>
      </c>
      <c r="AC48" s="11" t="s">
        <v>11</v>
      </c>
    </row>
    <row r="49" spans="1:31" x14ac:dyDescent="0.25">
      <c r="Z49" s="10"/>
      <c r="AA49" s="11">
        <f t="shared" si="0"/>
        <v>0</v>
      </c>
    </row>
    <row r="50" spans="1:31" s="2" customFormat="1" ht="21" x14ac:dyDescent="0.35">
      <c r="A50" s="1" t="s">
        <v>2</v>
      </c>
      <c r="B50" s="1"/>
      <c r="C50" s="15"/>
      <c r="G50"/>
      <c r="H50"/>
      <c r="I50"/>
      <c r="K50"/>
      <c r="L50"/>
      <c r="M50"/>
      <c r="N50"/>
      <c r="O50"/>
      <c r="Q50" s="6"/>
      <c r="R50" s="7"/>
      <c r="S50" s="7"/>
      <c r="T50" s="7"/>
      <c r="U50" s="7"/>
      <c r="Z50" s="10"/>
      <c r="AA50" s="11">
        <f t="shared" si="0"/>
        <v>0</v>
      </c>
      <c r="AB50" s="11"/>
      <c r="AC50" s="12"/>
      <c r="AD50" s="12"/>
      <c r="AE50" s="12"/>
    </row>
    <row r="51" spans="1:31" x14ac:dyDescent="0.25">
      <c r="A51" s="4" t="s">
        <v>18</v>
      </c>
      <c r="B51" s="3" t="s">
        <v>6</v>
      </c>
      <c r="C51" s="16" t="str">
        <f>HYPERLINK("#"&amp;ADDRESS(ROW(),COLUMN()-1),CHAR(128))</f>
        <v>€</v>
      </c>
      <c r="Z51" s="10"/>
      <c r="AA51" s="11">
        <f t="shared" si="0"/>
        <v>0</v>
      </c>
    </row>
    <row r="52" spans="1:31" hidden="1" x14ac:dyDescent="0.25">
      <c r="A52" s="4" t="s">
        <v>10</v>
      </c>
      <c r="B52" s="3"/>
      <c r="C52" s="16" t="str">
        <f>HYPERLINK("#"&amp;ADDRESS(ROW(),COLUMN()-1),CHAR(128))</f>
        <v>€</v>
      </c>
      <c r="Z52" s="10"/>
      <c r="AA52" s="11">
        <f t="shared" si="0"/>
        <v>10</v>
      </c>
      <c r="AB52" s="11" t="str">
        <f>$B$51</f>
        <v>Yes</v>
      </c>
      <c r="AC52" s="11" t="s">
        <v>6</v>
      </c>
    </row>
    <row r="53" spans="1:31" hidden="1" x14ac:dyDescent="0.25">
      <c r="A53" s="4" t="s">
        <v>69</v>
      </c>
      <c r="B53" s="3"/>
      <c r="C53" s="16" t="str">
        <f>HYPERLINK("#"&amp;ADDRESS(ROW(),COLUMN()-1),CHAR(128))</f>
        <v>€</v>
      </c>
      <c r="Z53" s="10"/>
      <c r="AA53" s="11">
        <f t="shared" si="0"/>
        <v>10</v>
      </c>
      <c r="AB53" s="11" t="str">
        <f>$B$51</f>
        <v>Yes</v>
      </c>
      <c r="AC53" s="11" t="s">
        <v>6</v>
      </c>
    </row>
    <row r="54" spans="1:31" hidden="1" x14ac:dyDescent="0.25">
      <c r="A54" s="4" t="s">
        <v>70</v>
      </c>
      <c r="B54" s="3"/>
      <c r="Z54" s="10"/>
      <c r="AA54" s="11">
        <f t="shared" si="0"/>
        <v>-1</v>
      </c>
      <c r="AB54" s="11">
        <f>$B$53</f>
        <v>0</v>
      </c>
      <c r="AC54" s="11" t="s">
        <v>6</v>
      </c>
    </row>
    <row r="55" spans="1:31" hidden="1" x14ac:dyDescent="0.25">
      <c r="A55" s="4" t="s">
        <v>64</v>
      </c>
      <c r="B55" s="3"/>
      <c r="C55" s="16" t="str">
        <f>HYPERLINK("#"&amp;ADDRESS(ROW(),COLUMN()-1),CHAR(128))</f>
        <v>€</v>
      </c>
      <c r="Z55" s="10"/>
      <c r="AA55" s="11">
        <f t="shared" si="0"/>
        <v>10</v>
      </c>
      <c r="AB55" s="11" t="str">
        <f>$B$51</f>
        <v>Yes</v>
      </c>
      <c r="AC55" s="11" t="s">
        <v>6</v>
      </c>
    </row>
    <row r="56" spans="1:31" hidden="1" x14ac:dyDescent="0.25">
      <c r="A56" s="4" t="s">
        <v>65</v>
      </c>
      <c r="B56" s="3"/>
      <c r="Z56" s="10"/>
      <c r="AA56" s="11">
        <f t="shared" si="0"/>
        <v>-1</v>
      </c>
      <c r="AB56" s="11">
        <f>$B$55</f>
        <v>0</v>
      </c>
      <c r="AC56" s="11" t="s">
        <v>6</v>
      </c>
    </row>
    <row r="57" spans="1:31" ht="30" x14ac:dyDescent="0.25">
      <c r="A57" s="4" t="s">
        <v>68</v>
      </c>
      <c r="B57" s="3" t="s">
        <v>85</v>
      </c>
      <c r="C57" s="16" t="str">
        <f>HYPERLINK("#"&amp;ADDRESS(ROW(),COLUMN()-1),CHAR(128))</f>
        <v>€</v>
      </c>
      <c r="Z57" s="10"/>
      <c r="AA57" s="11">
        <f t="shared" si="0"/>
        <v>0</v>
      </c>
    </row>
    <row r="58" spans="1:31" hidden="1" x14ac:dyDescent="0.25">
      <c r="A58" s="4" t="s">
        <v>71</v>
      </c>
      <c r="B58" s="3"/>
      <c r="Z58" s="10"/>
      <c r="AA58" s="11">
        <f t="shared" si="0"/>
        <v>-1</v>
      </c>
      <c r="AB58" s="11" t="str">
        <f>$B$57</f>
        <v>No</v>
      </c>
      <c r="AC58" s="11" t="s">
        <v>6</v>
      </c>
    </row>
    <row r="59" spans="1:31" hidden="1" x14ac:dyDescent="0.25">
      <c r="A59" s="4" t="s">
        <v>72</v>
      </c>
      <c r="B59" s="3"/>
      <c r="C59" s="16" t="str">
        <f>HYPERLINK("#"&amp;ADDRESS(ROW(),COLUMN()-1),CHAR(128))</f>
        <v>€</v>
      </c>
      <c r="Z59" s="10"/>
      <c r="AA59" s="11">
        <f t="shared" si="0"/>
        <v>-1</v>
      </c>
      <c r="AB59" s="11" t="str">
        <f t="shared" ref="AB59:AB60" si="4">$B$57</f>
        <v>No</v>
      </c>
      <c r="AC59" s="11" t="s">
        <v>6</v>
      </c>
    </row>
    <row r="60" spans="1:31" hidden="1" x14ac:dyDescent="0.25">
      <c r="A60" s="4" t="s">
        <v>95</v>
      </c>
      <c r="B60" s="3"/>
      <c r="C60" s="16" t="str">
        <f>HYPERLINK("#"&amp;ADDRESS(ROW(),COLUMN()-1),CHAR(128))</f>
        <v>€</v>
      </c>
      <c r="Z60" s="10"/>
      <c r="AA60" s="11">
        <f t="shared" si="0"/>
        <v>-1</v>
      </c>
      <c r="AB60" s="11" t="str">
        <f t="shared" si="4"/>
        <v>No</v>
      </c>
      <c r="AC60" s="11" t="s">
        <v>6</v>
      </c>
    </row>
    <row r="61" spans="1:31" x14ac:dyDescent="0.25">
      <c r="Z61" s="10"/>
      <c r="AA61" s="11">
        <f t="shared" si="0"/>
        <v>0</v>
      </c>
    </row>
    <row r="62" spans="1:31" s="2" customFormat="1" ht="21" x14ac:dyDescent="0.35">
      <c r="A62" s="1" t="s">
        <v>5</v>
      </c>
      <c r="B62" s="1"/>
      <c r="C62" s="15"/>
      <c r="G62"/>
      <c r="H62"/>
      <c r="I62"/>
      <c r="K62"/>
      <c r="L62"/>
      <c r="M62"/>
      <c r="N62"/>
      <c r="O62"/>
      <c r="Q62" s="6"/>
      <c r="R62" s="7"/>
      <c r="S62" s="7"/>
      <c r="T62" s="7"/>
      <c r="U62" s="7"/>
      <c r="Z62" s="10"/>
      <c r="AA62" s="11">
        <f t="shared" si="0"/>
        <v>0</v>
      </c>
      <c r="AB62" s="11"/>
      <c r="AC62" s="12"/>
      <c r="AD62" s="12"/>
      <c r="AE62" s="12"/>
    </row>
    <row r="63" spans="1:31" ht="30" x14ac:dyDescent="0.25">
      <c r="A63" s="4" t="s">
        <v>31</v>
      </c>
      <c r="B63" s="3" t="s">
        <v>6</v>
      </c>
      <c r="C63" s="16" t="str">
        <f>HYPERLINK("#"&amp;ADDRESS(ROW(),COLUMN()-1),CHAR(128))</f>
        <v>€</v>
      </c>
      <c r="Z63" s="10"/>
      <c r="AA63" s="11">
        <f t="shared" si="0"/>
        <v>0</v>
      </c>
    </row>
    <row r="64" spans="1:31" ht="30" x14ac:dyDescent="0.25">
      <c r="A64" s="4" t="s">
        <v>32</v>
      </c>
      <c r="B64" s="3" t="s">
        <v>85</v>
      </c>
      <c r="C64" s="16" t="str">
        <f>HYPERLINK("#"&amp;ADDRESS(ROW(),COLUMN()-1),CHAR(128))</f>
        <v>€</v>
      </c>
      <c r="Z64" s="10"/>
      <c r="AA64" s="11">
        <f t="shared" si="0"/>
        <v>0</v>
      </c>
    </row>
    <row r="65" spans="1:31" hidden="1" x14ac:dyDescent="0.25">
      <c r="A65" s="4" t="s">
        <v>23</v>
      </c>
      <c r="B65" s="3"/>
      <c r="R65" s="8"/>
      <c r="T65" s="8"/>
      <c r="Z65" s="10"/>
      <c r="AA65" s="11">
        <f t="shared" si="0"/>
        <v>9</v>
      </c>
      <c r="AB65" s="11" t="str">
        <f>$B$63</f>
        <v>Yes</v>
      </c>
      <c r="AC65" s="11" t="s">
        <v>6</v>
      </c>
      <c r="AD65" s="11" t="str">
        <f>$B$64</f>
        <v>No</v>
      </c>
      <c r="AE65" s="11" t="s">
        <v>6</v>
      </c>
    </row>
    <row r="66" spans="1:31" ht="45" hidden="1" x14ac:dyDescent="0.25">
      <c r="A66" s="4" t="s">
        <v>35</v>
      </c>
      <c r="B66" s="3"/>
      <c r="R66" s="8"/>
      <c r="T66" s="8"/>
      <c r="Z66" s="10"/>
      <c r="AA66" s="11">
        <f t="shared" si="0"/>
        <v>10</v>
      </c>
      <c r="AB66" s="11" t="str">
        <f>$B$63</f>
        <v>Yes</v>
      </c>
      <c r="AC66" s="11" t="s">
        <v>6</v>
      </c>
    </row>
    <row r="67" spans="1:31" ht="45" hidden="1" x14ac:dyDescent="0.25">
      <c r="A67" s="4" t="s">
        <v>34</v>
      </c>
      <c r="B67" s="3"/>
      <c r="R67" s="8"/>
      <c r="T67" s="8"/>
      <c r="Z67" s="10"/>
      <c r="AA67" s="11">
        <f t="shared" si="0"/>
        <v>-1</v>
      </c>
      <c r="AB67" s="11" t="str">
        <f>$B$64</f>
        <v>No</v>
      </c>
      <c r="AC67" s="11" t="s">
        <v>6</v>
      </c>
    </row>
    <row r="68" spans="1:31" ht="30" hidden="1" x14ac:dyDescent="0.25">
      <c r="A68" s="4" t="s">
        <v>36</v>
      </c>
      <c r="B68" s="3"/>
      <c r="C68" s="16" t="str">
        <f>HYPERLINK("#"&amp;ADDRESS(ROW(),COLUMN()-1),CHAR(128))</f>
        <v>€</v>
      </c>
      <c r="Z68" s="10"/>
      <c r="AA68" s="11">
        <f t="shared" si="0"/>
        <v>10</v>
      </c>
      <c r="AB68" s="11" t="str">
        <f>$B$63</f>
        <v>Yes</v>
      </c>
      <c r="AC68" s="11" t="s">
        <v>6</v>
      </c>
    </row>
    <row r="69" spans="1:31" ht="30" hidden="1" x14ac:dyDescent="0.25">
      <c r="A69" s="4" t="s">
        <v>24</v>
      </c>
      <c r="B69" s="3"/>
      <c r="C69" s="16" t="str">
        <f>HYPERLINK("#"&amp;ADDRESS(ROW(),COLUMN()-1),CHAR(128))</f>
        <v>€</v>
      </c>
      <c r="R69" s="8"/>
      <c r="T69" s="8"/>
      <c r="Z69" s="10"/>
      <c r="AA69" s="11">
        <f t="shared" si="0"/>
        <v>-2</v>
      </c>
      <c r="AB69" s="11">
        <f>$B$68</f>
        <v>0</v>
      </c>
      <c r="AC69" s="11" t="s">
        <v>30</v>
      </c>
      <c r="AD69" s="11" t="str">
        <f>$B$64</f>
        <v>No</v>
      </c>
      <c r="AE69" s="11" t="s">
        <v>6</v>
      </c>
    </row>
    <row r="70" spans="1:31" ht="45" hidden="1" x14ac:dyDescent="0.25">
      <c r="A70" s="4" t="s">
        <v>33</v>
      </c>
      <c r="B70" s="3"/>
      <c r="R70" s="8"/>
      <c r="T70" s="8"/>
      <c r="Z70" s="10"/>
      <c r="AA70" s="11">
        <f t="shared" si="0"/>
        <v>-2</v>
      </c>
      <c r="AB70" s="11">
        <f>$B$69</f>
        <v>0</v>
      </c>
      <c r="AC70" s="11" t="s">
        <v>11</v>
      </c>
      <c r="AD70" s="11">
        <f>$B$68</f>
        <v>0</v>
      </c>
      <c r="AE70" s="11" t="s">
        <v>11</v>
      </c>
    </row>
    <row r="71" spans="1:31" ht="45" hidden="1" x14ac:dyDescent="0.25">
      <c r="A71" s="4" t="s">
        <v>28</v>
      </c>
      <c r="B71" s="3"/>
      <c r="R71" s="8"/>
      <c r="T71" s="8"/>
      <c r="Z71" s="10"/>
      <c r="AA71" s="11">
        <f t="shared" si="0"/>
        <v>-1</v>
      </c>
      <c r="AB71" s="11">
        <f>$B$69</f>
        <v>0</v>
      </c>
      <c r="AC71" s="11" t="s">
        <v>26</v>
      </c>
    </row>
    <row r="72" spans="1:31" ht="30" hidden="1" x14ac:dyDescent="0.25">
      <c r="A72" s="4" t="s">
        <v>25</v>
      </c>
      <c r="B72" s="3"/>
      <c r="C72" s="16" t="str">
        <f>HYPERLINK("#"&amp;ADDRESS(ROW(),COLUMN()-1),CHAR(128))</f>
        <v>€</v>
      </c>
      <c r="R72" s="8"/>
      <c r="T72" s="8"/>
      <c r="Z72" s="10"/>
      <c r="AA72" s="11">
        <f t="shared" si="0"/>
        <v>-1</v>
      </c>
      <c r="AB72" s="11">
        <f t="shared" ref="AB72:AB73" si="5">$B$69</f>
        <v>0</v>
      </c>
      <c r="AC72" s="11" t="s">
        <v>26</v>
      </c>
    </row>
    <row r="73" spans="1:31" ht="45" hidden="1" x14ac:dyDescent="0.25">
      <c r="A73" s="4" t="s">
        <v>29</v>
      </c>
      <c r="B73" s="3"/>
      <c r="R73" s="8"/>
      <c r="T73" s="8"/>
      <c r="Z73" s="10"/>
      <c r="AA73" s="11">
        <f t="shared" si="0"/>
        <v>-1</v>
      </c>
      <c r="AB73" s="11">
        <f t="shared" si="5"/>
        <v>0</v>
      </c>
      <c r="AC73" s="11" t="s">
        <v>27</v>
      </c>
    </row>
    <row r="74" spans="1:31" x14ac:dyDescent="0.25">
      <c r="Z74" s="10"/>
      <c r="AA74" s="11">
        <f t="shared" si="0"/>
        <v>0</v>
      </c>
    </row>
    <row r="75" spans="1:31" s="2" customFormat="1" ht="21" x14ac:dyDescent="0.35">
      <c r="A75" s="1" t="s">
        <v>3</v>
      </c>
      <c r="B75" s="1"/>
      <c r="C75" s="15"/>
      <c r="G75"/>
      <c r="H75"/>
      <c r="I75"/>
      <c r="K75"/>
      <c r="Q75" s="6"/>
      <c r="R75" s="7"/>
      <c r="S75" s="7"/>
      <c r="T75" s="7"/>
      <c r="U75" s="7"/>
      <c r="Z75" s="10"/>
      <c r="AA75" s="11">
        <f t="shared" si="0"/>
        <v>0</v>
      </c>
      <c r="AB75" s="11"/>
      <c r="AC75" s="12"/>
      <c r="AD75" s="12"/>
      <c r="AE75" s="12"/>
    </row>
    <row r="76" spans="1:31" x14ac:dyDescent="0.25">
      <c r="A76" s="4" t="s">
        <v>73</v>
      </c>
      <c r="B76" s="3" t="s">
        <v>6</v>
      </c>
      <c r="C76" s="16" t="str">
        <f>HYPERLINK("#"&amp;ADDRESS(ROW(),COLUMN()-1),CHAR(128))</f>
        <v>€</v>
      </c>
      <c r="Z76" s="10"/>
      <c r="AA76" s="11">
        <f t="shared" si="0"/>
        <v>0</v>
      </c>
    </row>
    <row r="77" spans="1:31" ht="45" hidden="1" x14ac:dyDescent="0.25">
      <c r="A77" s="4" t="s">
        <v>74</v>
      </c>
      <c r="B77" s="3"/>
      <c r="Z77" s="10"/>
      <c r="AA77" s="11">
        <f t="shared" si="0"/>
        <v>10</v>
      </c>
      <c r="AB77" s="11" t="str">
        <f>$B$76</f>
        <v>Yes</v>
      </c>
      <c r="AC77" s="11" t="s">
        <v>6</v>
      </c>
    </row>
    <row r="78" spans="1:31" hidden="1" x14ac:dyDescent="0.25">
      <c r="A78" s="4" t="s">
        <v>75</v>
      </c>
      <c r="B78" s="3"/>
      <c r="Z78" s="10"/>
      <c r="AA78" s="11">
        <f t="shared" si="0"/>
        <v>10</v>
      </c>
      <c r="AB78" s="11" t="str">
        <f t="shared" ref="AB78:AB86" si="6">$B$76</f>
        <v>Yes</v>
      </c>
      <c r="AC78" s="11" t="s">
        <v>6</v>
      </c>
    </row>
    <row r="79" spans="1:31" hidden="1" x14ac:dyDescent="0.25">
      <c r="A79" s="4" t="s">
        <v>83</v>
      </c>
      <c r="B79" s="3"/>
      <c r="Z79" s="10"/>
      <c r="AA79" s="11">
        <f t="shared" si="0"/>
        <v>10</v>
      </c>
      <c r="AB79" s="11" t="str">
        <f t="shared" si="6"/>
        <v>Yes</v>
      </c>
      <c r="AC79" s="11" t="s">
        <v>6</v>
      </c>
    </row>
    <row r="80" spans="1:31" hidden="1" x14ac:dyDescent="0.25">
      <c r="A80" s="4" t="s">
        <v>76</v>
      </c>
      <c r="B80" s="3"/>
      <c r="C80" s="16" t="str">
        <f>HYPERLINK("#"&amp;ADDRESS(ROW(),COLUMN()-1),CHAR(128))</f>
        <v>€</v>
      </c>
      <c r="Z80" s="10"/>
      <c r="AA80" s="11">
        <f t="shared" si="0"/>
        <v>10</v>
      </c>
      <c r="AB80" s="11" t="str">
        <f t="shared" si="6"/>
        <v>Yes</v>
      </c>
      <c r="AC80" s="11" t="s">
        <v>6</v>
      </c>
    </row>
    <row r="81" spans="1:29" hidden="1" x14ac:dyDescent="0.25">
      <c r="A81" s="4" t="s">
        <v>77</v>
      </c>
      <c r="B81" s="3"/>
      <c r="C81" s="16" t="str">
        <f>HYPERLINK("#"&amp;ADDRESS(ROW(),COLUMN()-1),CHAR(128))</f>
        <v>€</v>
      </c>
      <c r="Z81" s="10"/>
      <c r="AA81" s="11">
        <f t="shared" si="0"/>
        <v>10</v>
      </c>
      <c r="AB81" s="11" t="str">
        <f t="shared" si="6"/>
        <v>Yes</v>
      </c>
      <c r="AC81" s="11" t="s">
        <v>6</v>
      </c>
    </row>
    <row r="82" spans="1:29" ht="30" hidden="1" x14ac:dyDescent="0.25">
      <c r="A82" s="4" t="s">
        <v>79</v>
      </c>
      <c r="B82" s="3"/>
      <c r="Z82" s="10"/>
      <c r="AA82" s="11">
        <f t="shared" si="0"/>
        <v>10</v>
      </c>
      <c r="AB82" s="11" t="str">
        <f t="shared" si="6"/>
        <v>Yes</v>
      </c>
      <c r="AC82" s="11" t="s">
        <v>6</v>
      </c>
    </row>
    <row r="83" spans="1:29" ht="30" hidden="1" x14ac:dyDescent="0.25">
      <c r="A83" s="4" t="s">
        <v>96</v>
      </c>
      <c r="B83" s="3"/>
      <c r="C83" s="16" t="str">
        <f>HYPERLINK("#"&amp;ADDRESS(ROW(),COLUMN()-1),CHAR(128))</f>
        <v>€</v>
      </c>
      <c r="Z83" s="10"/>
      <c r="AA83" s="11">
        <f t="shared" si="0"/>
        <v>10</v>
      </c>
      <c r="AB83" s="11" t="str">
        <f t="shared" si="6"/>
        <v>Yes</v>
      </c>
      <c r="AC83" s="11" t="s">
        <v>6</v>
      </c>
    </row>
    <row r="84" spans="1:29" hidden="1" x14ac:dyDescent="0.25">
      <c r="A84" s="4" t="s">
        <v>80</v>
      </c>
      <c r="B84" s="3"/>
      <c r="Z84" s="10"/>
      <c r="AA84" s="11">
        <f t="shared" si="0"/>
        <v>10</v>
      </c>
      <c r="AB84" s="11" t="str">
        <f t="shared" si="6"/>
        <v>Yes</v>
      </c>
      <c r="AC84" s="11" t="s">
        <v>6</v>
      </c>
    </row>
    <row r="85" spans="1:29" ht="30" hidden="1" x14ac:dyDescent="0.25">
      <c r="A85" s="4" t="s">
        <v>81</v>
      </c>
      <c r="B85" s="3"/>
      <c r="Z85" s="10"/>
      <c r="AA85" s="11">
        <f t="shared" si="0"/>
        <v>10</v>
      </c>
      <c r="AB85" s="11" t="str">
        <f t="shared" si="6"/>
        <v>Yes</v>
      </c>
      <c r="AC85" s="11" t="s">
        <v>6</v>
      </c>
    </row>
    <row r="86" spans="1:29" ht="30" hidden="1" x14ac:dyDescent="0.25">
      <c r="A86" s="4" t="s">
        <v>82</v>
      </c>
      <c r="B86" s="3"/>
      <c r="Z86" s="10"/>
      <c r="AA86" s="11">
        <f t="shared" si="0"/>
        <v>10</v>
      </c>
      <c r="AB86" s="11" t="str">
        <f t="shared" si="6"/>
        <v>Yes</v>
      </c>
      <c r="AC86" s="11" t="s">
        <v>6</v>
      </c>
    </row>
    <row r="87" spans="1:29" x14ac:dyDescent="0.25">
      <c r="Z87" s="10"/>
      <c r="AA87" s="11">
        <f t="shared" si="0"/>
        <v>0</v>
      </c>
    </row>
    <row r="88" spans="1:29" x14ac:dyDescent="0.25">
      <c r="Z88" s="10"/>
      <c r="AA88" s="11">
        <f t="shared" si="0"/>
        <v>0</v>
      </c>
    </row>
    <row r="89" spans="1:29" x14ac:dyDescent="0.25">
      <c r="Z89" s="10"/>
      <c r="AA89" s="11">
        <f t="shared" si="0"/>
        <v>0</v>
      </c>
    </row>
    <row r="90" spans="1:29" x14ac:dyDescent="0.25">
      <c r="Z90" s="10"/>
      <c r="AA90" s="11">
        <f t="shared" si="0"/>
        <v>0</v>
      </c>
    </row>
    <row r="91" spans="1:29" x14ac:dyDescent="0.25">
      <c r="Z91" s="10"/>
      <c r="AA91" s="11">
        <f t="shared" si="0"/>
        <v>0</v>
      </c>
    </row>
    <row r="92" spans="1:29" x14ac:dyDescent="0.25">
      <c r="Z92" s="10"/>
      <c r="AA92" s="11">
        <f t="shared" si="0"/>
        <v>0</v>
      </c>
    </row>
    <row r="93" spans="1:29" x14ac:dyDescent="0.25">
      <c r="Z93" s="10"/>
      <c r="AA93" s="11">
        <f t="shared" si="0"/>
        <v>0</v>
      </c>
    </row>
    <row r="94" spans="1:29" x14ac:dyDescent="0.25">
      <c r="Z94" s="10"/>
      <c r="AA94" s="11">
        <f t="shared" ref="AA94:AA103" si="7">SUM(IF(AB94="",0,IF(AB94=AC94,10,-1)),IF(AD94="",0,IF(AD94=AE94,10,-1)))</f>
        <v>0</v>
      </c>
    </row>
    <row r="95" spans="1:29" x14ac:dyDescent="0.25">
      <c r="Z95" s="10"/>
      <c r="AA95" s="11">
        <f t="shared" si="7"/>
        <v>0</v>
      </c>
    </row>
    <row r="96" spans="1:29" x14ac:dyDescent="0.25">
      <c r="Z96" s="10"/>
      <c r="AA96" s="11">
        <f t="shared" si="7"/>
        <v>0</v>
      </c>
    </row>
    <row r="97" spans="26:27" x14ac:dyDescent="0.25">
      <c r="Z97" s="10"/>
      <c r="AA97" s="11">
        <f t="shared" si="7"/>
        <v>0</v>
      </c>
    </row>
    <row r="98" spans="26:27" x14ac:dyDescent="0.25">
      <c r="Z98" s="10"/>
      <c r="AA98" s="11">
        <f t="shared" si="7"/>
        <v>0</v>
      </c>
    </row>
    <row r="99" spans="26:27" x14ac:dyDescent="0.25">
      <c r="Z99" s="10"/>
      <c r="AA99" s="11">
        <f t="shared" si="7"/>
        <v>0</v>
      </c>
    </row>
    <row r="100" spans="26:27" x14ac:dyDescent="0.25">
      <c r="Z100" s="10"/>
      <c r="AA100" s="11">
        <f t="shared" si="7"/>
        <v>0</v>
      </c>
    </row>
    <row r="101" spans="26:27" x14ac:dyDescent="0.25">
      <c r="Z101" s="10"/>
      <c r="AA101" s="11">
        <f t="shared" si="7"/>
        <v>0</v>
      </c>
    </row>
    <row r="102" spans="26:27" x14ac:dyDescent="0.25">
      <c r="Z102" s="10"/>
      <c r="AA102" s="11">
        <f t="shared" si="7"/>
        <v>0</v>
      </c>
    </row>
    <row r="103" spans="26:27" x14ac:dyDescent="0.25">
      <c r="Z103" s="10"/>
      <c r="AA103" s="11">
        <f t="shared" si="7"/>
        <v>0</v>
      </c>
    </row>
  </sheetData>
  <conditionalFormatting sqref="B2:B86">
    <cfRule type="expression" dxfId="0" priority="69">
      <formula>$AA2&lt;0</formula>
    </cfRule>
  </conditionalFormatting>
  <dataValidations count="11">
    <dataValidation type="list" allowBlank="1" showInputMessage="1" showErrorMessage="1" sqref="B51 B23:B24 B13:B14 B72 B63:B64 B55 B57 B53 B59:B60 B76 B81 B83" xr:uid="{00000000-0002-0000-0000-000000000000}">
      <formula1>"Yes,No"</formula1>
    </dataValidation>
    <dataValidation type="list" allowBlank="1" showInputMessage="1" showErrorMessage="1" sqref="B7" xr:uid="{00000000-0002-0000-0000-000001000000}">
      <formula1>"Evaluating,Implementing,Installed,Other"</formula1>
    </dataValidation>
    <dataValidation type="list" allowBlank="1" showInputMessage="1" showErrorMessage="1" sqref="B52" xr:uid="{00000000-0002-0000-0000-000002000000}">
      <formula1>"Physical,VM,Both"</formula1>
    </dataValidation>
    <dataValidation type="list" allowBlank="1" showInputMessage="1" showErrorMessage="1" sqref="B68" xr:uid="{00000000-0002-0000-0000-000003000000}">
      <formula1>"Supervised screen sharing is sufficient,24x7 unattended access is required,Other"</formula1>
    </dataValidation>
    <dataValidation type="list" allowBlank="1" showInputMessage="1" showErrorMessage="1" sqref="B69" xr:uid="{00000000-0002-0000-0000-000004000000}">
      <formula1>"Connect from vendor's network,Direct from home,Other"</formula1>
    </dataValidation>
    <dataValidation type="list" allowBlank="1" showInputMessage="1" showErrorMessage="1" sqref="B21" xr:uid="{00000000-0002-0000-0000-000005000000}">
      <formula1>"Web Browser,Fat Client,Citrix Published App,Other"</formula1>
    </dataValidation>
    <dataValidation type="list" allowBlank="1" showInputMessage="1" showErrorMessage="1" sqref="B43" xr:uid="{00000000-0002-0000-0000-000006000000}">
      <formula1>"Carle Network,Internet,Other/Multiple"</formula1>
    </dataValidation>
    <dataValidation type="list" allowBlank="1" showInputMessage="1" showErrorMessage="1" sqref="B45" xr:uid="{00000000-0002-0000-0000-000007000000}">
      <formula1>"Active Directory/ADFS,Local Accounts,Other"</formula1>
    </dataValidation>
    <dataValidation type="list" allowBlank="1" showInputMessage="1" showErrorMessage="1" sqref="B80" xr:uid="{00000000-0002-0000-0000-000008000000}">
      <formula1>"Wired,Wireless,Both"</formula1>
    </dataValidation>
    <dataValidation type="list" allowBlank="1" showInputMessage="1" showErrorMessage="1" sqref="B9" xr:uid="{00000000-0002-0000-0000-000009000000}">
      <formula1>"Not Budgeted,Budgeted,Capital Approved,Purchased"</formula1>
    </dataValidation>
    <dataValidation allowBlank="1" showErrorMessage="1" prompt="Who at Carle or Health Alliance is sponsoring this project?" sqref="B3" xr:uid="{00000000-0002-0000-0000-00000A000000}"/>
  </dataValidation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F004842037BA44F801E7D78EFF2BDA7" ma:contentTypeVersion="26" ma:contentTypeDescription="Create a new document." ma:contentTypeScope="" ma:versionID="b327aa5cbb4463b86ddd3c0134a48b24">
  <xsd:schema xmlns:xsd="http://www.w3.org/2001/XMLSchema" xmlns:xs="http://www.w3.org/2001/XMLSchema" xmlns:p="http://schemas.microsoft.com/office/2006/metadata/properties" xmlns:ns2="http://schemas.microsoft.com/sharepoint/v3/fields" xmlns:ns3="e6c7cf81-12fe-425f-a5c0-d82f8a821745" xmlns:ns4="7cc12636-eeb3-4ff6-886f-4dcac8dddb7e" targetNamespace="http://schemas.microsoft.com/office/2006/metadata/properties" ma:root="true" ma:fieldsID="10316a474f1fa08fc83a6fea57267d65" ns2:_="" ns3:_="" ns4:_="">
    <xsd:import namespace="http://schemas.microsoft.com/sharepoint/v3/fields"/>
    <xsd:import namespace="e6c7cf81-12fe-425f-a5c0-d82f8a821745"/>
    <xsd:import namespace="7cc12636-eeb3-4ff6-886f-4dcac8dddb7e"/>
    <xsd:element name="properties">
      <xsd:complexType>
        <xsd:sequence>
          <xsd:element name="documentManagement">
            <xsd:complexType>
              <xsd:all>
                <xsd:element ref="ns2:_DCDateModified" minOccurs="0"/>
                <xsd:element ref="ns2:_Revision" minOccurs="0"/>
                <xsd:element ref="ns2:_Status" minOccurs="0"/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3:MediaServiceObjectDetectorVersions" minOccurs="0"/>
                <xsd:element ref="ns3:MediaServiceSearchProperties" minOccurs="0"/>
                <xsd:element ref="ns3:lcf76f155ced4ddcb4097134ff3c332f" minOccurs="0"/>
                <xsd:element ref="ns4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DCDateModified" ma:index="4" nillable="true" ma:displayName="Date Modified" ma:description="The date on which this resource was last modified" ma:format="DateTime" ma:internalName="_DCDateModified" ma:readOnly="false">
      <xsd:simpleType>
        <xsd:restriction base="dms:DateTime"/>
      </xsd:simpleType>
    </xsd:element>
    <xsd:element name="_Revision" ma:index="5" nillable="true" ma:displayName="Revision" ma:internalName="_Revision" ma:readOnly="false">
      <xsd:simpleType>
        <xsd:restriction base="dms:Text"/>
      </xsd:simpleType>
    </xsd:element>
    <xsd:element name="_Status" ma:index="6" nillable="true" ma:displayName="Status" ma:default="Not Started" ma:format="Dropdown" ma:internalName="_Status" ma:readOnly="false">
      <xsd:simpleType>
        <xsd:union memberTypes="dms:Text">
          <xsd:simpleType>
            <xsd:restriction base="dms:Choice">
              <xsd:enumeration value="Not Started"/>
              <xsd:enumeration value="Draft"/>
              <xsd:enumeration value="Reviewed"/>
              <xsd:enumeration value="Scheduled"/>
              <xsd:enumeration value="Published"/>
              <xsd:enumeration value="Final"/>
              <xsd:enumeration value="Expired"/>
            </xsd:restriction>
          </xsd:simpleType>
        </xsd:un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c7cf81-12fe-425f-a5c0-d82f8a8217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7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8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5" nillable="true" ma:displayName="MediaServiceObjectDetectorVersions" ma:description="" ma:hidden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9842dfc5-13bc-413d-b12b-68dbd3cc3f9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c12636-eeb3-4ff6-886f-4dcac8dddb7e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fd4f1ad-bd9d-462a-9fe8-ad08d59a845e}" ma:internalName="TaxCatchAll" ma:showField="CatchAllData" ma:web="7cc12636-eeb3-4ff6-886f-4dcac8dddb7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1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 ma:displayName="Status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CDateModified xmlns="http://schemas.microsoft.com/sharepoint/v3/fields" xsi:nil="true"/>
    <_Status xmlns="http://schemas.microsoft.com/sharepoint/v3/fields">Not Started</_Status>
    <_Revision xmlns="http://schemas.microsoft.com/sharepoint/v3/fields" xsi:nil="true"/>
    <lcf76f155ced4ddcb4097134ff3c332f xmlns="e6c7cf81-12fe-425f-a5c0-d82f8a821745">
      <Terms xmlns="http://schemas.microsoft.com/office/infopath/2007/PartnerControls"/>
    </lcf76f155ced4ddcb4097134ff3c332f>
    <TaxCatchAll xmlns="7cc12636-eeb3-4ff6-886f-4dcac8dddb7e" xsi:nil="true"/>
  </documentManagement>
</p:properti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684B4958-030F-4E80-AD30-1BED4F14872C}"/>
</file>

<file path=customXml/itemProps2.xml><?xml version="1.0" encoding="utf-8"?>
<ds:datastoreItem xmlns:ds="http://schemas.openxmlformats.org/officeDocument/2006/customXml" ds:itemID="{12E8C88F-A37A-40E0-AA12-57A9914D7F46}"/>
</file>

<file path=customXml/itemProps3.xml><?xml version="1.0" encoding="utf-8"?>
<ds:datastoreItem xmlns:ds="http://schemas.openxmlformats.org/officeDocument/2006/customXml" ds:itemID="{B899A36E-F067-4401-BA9A-5796957A5303}"/>
</file>

<file path=customXml/itemProps4.xml><?xml version="1.0" encoding="utf-8"?>
<ds:datastoreItem xmlns:ds="http://schemas.openxmlformats.org/officeDocument/2006/customXml" ds:itemID="{CD085B23-8015-4C99-8B33-FB90AA35E0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TAC Request Form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Allan Kyburz</dc:creator>
  <cp:lastModifiedBy>Bruno Bendavid</cp:lastModifiedBy>
  <dcterms:created xsi:type="dcterms:W3CDTF">2019-11-25T17:59:04Z</dcterms:created>
  <dcterms:modified xsi:type="dcterms:W3CDTF">2020-09-10T18:44:58Z</dcterms:modified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0x010100EF004842037BA44F801E7D78EFF2BDA7</vt:lpwstr>
  </property>
  <property fmtid="{D5CDD505-2E9C-101B-9397-08002B2CF9AE}" pid="3" name="_dlc_DocIdItemGuid">
    <vt:lpwstr>14b45d99-d580-49b4-be36-e2ab040e2b2d</vt:lpwstr>
  </property>
  <property fmtid="{D5CDD505-2E9C-101B-9397-08002B2CF9AE}" pid="4" name="Order">
    <vt:r8>62500</vt:r8>
  </property>
  <property fmtid="{D5CDD505-2E9C-101B-9397-08002B2CF9AE}" pid="5" name="_ExtendedDescription">
    <vt:lpwstr/>
  </property>
</Properties>
</file>