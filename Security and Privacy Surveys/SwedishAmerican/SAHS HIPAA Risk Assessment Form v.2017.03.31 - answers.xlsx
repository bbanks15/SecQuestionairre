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autoCompressPictures="0"/>
  <mc:AlternateContent xmlns:mc="http://schemas.openxmlformats.org/markup-compatibility/2006">
    <mc:Choice Requires="x15">
      <x15ac:absPath xmlns:x15ac="http://schemas.microsoft.com/office/spreadsheetml/2010/11/ac" url="C:\Users\Bruno Bendavid\Downloads\"/>
    </mc:Choice>
  </mc:AlternateContent>
  <xr:revisionPtr revIDLastSave="0" documentId="8_{ABF35427-FEE4-4AAA-8024-C792B6A5BEB4}" xr6:coauthVersionLast="47" xr6:coauthVersionMax="47" xr10:uidLastSave="{00000000-0000-0000-0000-000000000000}"/>
  <bookViews>
    <workbookView xWindow="-120" yWindow="-120" windowWidth="38640" windowHeight="21240" tabRatio="500" xr2:uid="{00000000-000D-0000-FFFF-FFFF00000000}"/>
  </bookViews>
  <sheets>
    <sheet name="Vendor Information" sheetId="4" r:id="rId1"/>
    <sheet name="HIPAA Compliance Questions" sheetId="1" r:id="rId2"/>
    <sheet name="Cloud Security Questionnaire" sheetId="3" r:id="rId3"/>
    <sheet name="Audit and Recommendations" sheetId="2" r:id="rId4"/>
  </sheets>
  <definedNames>
    <definedName name="_xlnm.Print_Area" localSheetId="1">'HIPAA Compliance Questions'!$A$4:$C$55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A1" i="1"/>
  <c r="A1" i="3"/>
  <c r="D24" i="2"/>
  <c r="D23" i="2"/>
  <c r="D22" i="2"/>
  <c r="D21" i="2"/>
  <c r="D20" i="2"/>
  <c r="D19" i="2"/>
  <c r="D18" i="2"/>
  <c r="D17" i="2"/>
  <c r="D16" i="2"/>
  <c r="D15" i="2"/>
  <c r="D25" i="2"/>
</calcChain>
</file>

<file path=xl/sharedStrings.xml><?xml version="1.0" encoding="utf-8"?>
<sst xmlns="http://schemas.openxmlformats.org/spreadsheetml/2006/main" count="301" uniqueCount="278">
  <si>
    <t>Administrative Safeguards (164.308)</t>
  </si>
  <si>
    <t>Security Management Process</t>
  </si>
  <si>
    <t>Risk Analysis (Required)</t>
  </si>
  <si>
    <t>Risk Management (Required)</t>
  </si>
  <si>
    <t>IS Activity Review (Required)</t>
  </si>
  <si>
    <t>Assigned Security Responsibility (Required)</t>
  </si>
  <si>
    <t>Workforce Security</t>
  </si>
  <si>
    <t>Termination Procedures (Addressable)</t>
  </si>
  <si>
    <t>Information Access Management</t>
  </si>
  <si>
    <t>Access Authorization (Addressable)</t>
  </si>
  <si>
    <t>Access Establishment &amp; Modification (Addressable)</t>
  </si>
  <si>
    <t>Security Awareness &amp; Training</t>
  </si>
  <si>
    <t>Protection from Malicious Software (Addressable)</t>
  </si>
  <si>
    <t>Log-In Monitoring (Addressable)</t>
  </si>
  <si>
    <t>Password Management (Addressable)</t>
  </si>
  <si>
    <t>Contingency Plan</t>
  </si>
  <si>
    <t>Data Backup Plan (Required)</t>
  </si>
  <si>
    <t>Disaster Recovery Plan (Required)</t>
  </si>
  <si>
    <t>Emergency Mode Operation Plan (Required)</t>
  </si>
  <si>
    <t>Application and Criticality Analysis (Addressable)</t>
  </si>
  <si>
    <t>BAC &amp; Other Arrangements (Required)</t>
  </si>
  <si>
    <t>Physical Safeguards (164.310)</t>
  </si>
  <si>
    <t>Facility Access Controls</t>
  </si>
  <si>
    <t>Contingency Operations (Addressable)</t>
  </si>
  <si>
    <t>Facility Security Plan (Addressable)</t>
  </si>
  <si>
    <t>Access Control &amp; Validation Procedures (Addressable)</t>
  </si>
  <si>
    <t>Maintenance Records (Addressable)</t>
  </si>
  <si>
    <t>Workstation Use (Required)</t>
  </si>
  <si>
    <t>Workstation Security (Required)</t>
  </si>
  <si>
    <t>Device &amp; Media Controls</t>
  </si>
  <si>
    <t>Disposal (Required)</t>
  </si>
  <si>
    <t>Media Re-use (Required)</t>
  </si>
  <si>
    <t>Accountability (Addressable)</t>
  </si>
  <si>
    <t>Technical Safeguards (164.312)</t>
  </si>
  <si>
    <t>Access Control</t>
  </si>
  <si>
    <t>Unique User Identification (Required)</t>
  </si>
  <si>
    <t>Automatic Logoff (Addressable)</t>
  </si>
  <si>
    <t>Encryption &amp; Decryption (Addressable)</t>
  </si>
  <si>
    <t>Audit Controls</t>
  </si>
  <si>
    <t>Integrity</t>
  </si>
  <si>
    <t>Transmission Security</t>
  </si>
  <si>
    <t>Policies and Procedures and Documentation Requirements (164.316)</t>
  </si>
  <si>
    <t>Time Limit (Required)</t>
  </si>
  <si>
    <t>Does the application vendor perform information security risk analysis of the proposed solution from a hardware, software and network perspective?  Please give example of current risk analysis process.</t>
  </si>
  <si>
    <t>Does the application vendor have a formal information security risk management program in place to address information security risks over the life of the product?  How is this program structured?</t>
  </si>
  <si>
    <t>Does the application vendor have a position that is primarily responsible for the security of the proposed software/hardware solution?  What is this position called and where does it report?</t>
  </si>
  <si>
    <t>Define how credentials are created for the proposed application.  Does it integrate with Active Directory?  What is the process for user account creation?</t>
  </si>
  <si>
    <t xml:space="preserve">New Application Information Security Risk Assessment </t>
  </si>
  <si>
    <t>HIPAA Security Compliance Requirements</t>
  </si>
  <si>
    <t>HIPAA Specification Requirement</t>
  </si>
  <si>
    <t>Questions</t>
  </si>
  <si>
    <t>Does the application vendor support the periodic vulnerability testing of the proposed application?  Does the vendor ever perform this type of security testing on the proposed application?</t>
  </si>
  <si>
    <t>Vendor Responses</t>
  </si>
  <si>
    <t>What methods of backup and restore does the proposed application support?  Does it utilize onsite backup hardware/software or does it include specific backup/restoration procedures?</t>
  </si>
  <si>
    <t>Please describe the type of data, business or clinical process that the proposed application will facilitate.  Does this application store patient information or provide automation for medical devices?</t>
  </si>
  <si>
    <t>Does the application support the removal of user access credentials due to their change in employment status?</t>
  </si>
  <si>
    <t>Does the proposed application create logs that can be reviewed for log-in monitoring?  Please describe:</t>
  </si>
  <si>
    <t>Does the proposed application run on standard commodity server/workstation hardware and software?  If custom hardware or software is used, how long would it take to acquire replacements?</t>
  </si>
  <si>
    <t>Does the proposed application support offline access to patient information to facilitate treatment even when the rest of the application is unavailable?  Please describe:</t>
  </si>
  <si>
    <t>Will the vendor support signing a Business Associate Agreement when required?</t>
  </si>
  <si>
    <t>Are there any special physical requirements for the proposed application that would need to be addressed if the primary site was unavailable?  If so, how long would it take to replicate the required physical environment?</t>
  </si>
  <si>
    <t>Does the proposed application provide other equipment (cabinets, medical devices, etc.) that would require physical access control capabilities?  If yes, please describe physical access control and validation capabilities of the proposed application.</t>
  </si>
  <si>
    <t xml:space="preserve">If the proposed application includes physical equipment changes as mentioned above, who will be maintaining the maintenance records of the vendor supplied hardware?  </t>
  </si>
  <si>
    <t>Does the proposed application require any changes to the physical environment in order to protect access to patient information?  These could include locking doors, privacy screens and other types of hardware locks.  If so, please describe:</t>
  </si>
  <si>
    <t>If the proposed application includes additional physical equipment as mentioned above, what security mechanisms are used to prevent theft or unauthorized physical access to the equipment?</t>
  </si>
  <si>
    <t>Can the proposed application support proper disposal of media per the organization's media disposal policy?  If not, please describe how media will be sanitized after use or at the end of the agreement.</t>
  </si>
  <si>
    <t>Who will be responsible for the media disposal and re-use?  Will it be the proposed application vendor or the organization?</t>
  </si>
  <si>
    <t>Does the proposed application support the creation of unique user names for access to patient information?  Please describe:</t>
  </si>
  <si>
    <t>Does the proposed application support role-based access controls or other methods to enforce minimum necessary rights?  Are there any available reports or other method to allow the periodic auditing of user permissions?</t>
  </si>
  <si>
    <t>Does the application support running in a limited environment to enforce organizational use policies?  This would include running without workstation administrative privileges, or limited Internet access for example.  Please describe:</t>
  </si>
  <si>
    <t>Is there any reuse of media involved with the application?  If so, how is the media sanitized between uses to prevent inadvertent access to patient records?  How will media be sanitized before being returned to the vendor for service?</t>
  </si>
  <si>
    <t>Does the proposed application support auditing capabilities to allow the organization to audit access to patient information?  Please describe these capabilities:</t>
  </si>
  <si>
    <t>How does the proposed application maintain integrity of stored patient information?  This could be through the use of relational databases with transaction logs, clustered servers, cryptographic hashes, or other error correcting technologies.  Please describe:</t>
  </si>
  <si>
    <t>Encryption &amp; Integrity (Addressable)</t>
  </si>
  <si>
    <t>Does the proposed application support a data retention policy enforcement for patient information according to organizational policy?</t>
  </si>
  <si>
    <t>Documentation</t>
  </si>
  <si>
    <t>Will the risk mitigation recommendations cause a delay in the project implementation?  Is the delay going to impact the project negatively?</t>
  </si>
  <si>
    <t>Project Impact</t>
  </si>
  <si>
    <t>Are the risk mitigation recommendations cost effective?</t>
  </si>
  <si>
    <t>Cost Factors</t>
  </si>
  <si>
    <t>What are the recommended mitigations to reduce the potential of the risks identified in this assessment?</t>
  </si>
  <si>
    <t>Risk Mitigation Recommendations</t>
  </si>
  <si>
    <t>What types of attacks were considered in the assessment of this system?</t>
  </si>
  <si>
    <t>Attack Vectors Considered</t>
  </si>
  <si>
    <t>What are the reasonably anticipated risks and disclosures of electronic protected health information?</t>
  </si>
  <si>
    <t>Potential Risks</t>
  </si>
  <si>
    <t>Auditor Notes and Recommendations</t>
  </si>
  <si>
    <t>Summary</t>
  </si>
  <si>
    <t>Vendor Name</t>
  </si>
  <si>
    <t>Address</t>
  </si>
  <si>
    <t>Vendor representative name, title and contact information</t>
  </si>
  <si>
    <t>This portion of the form is for auditor information only.  Do not enter any information into this sheet.</t>
  </si>
  <si>
    <t>Vendor representative name, title and contact information responsible for completing this form.</t>
  </si>
  <si>
    <t>Date of assessment request</t>
  </si>
  <si>
    <t>Date of Vendor submission of completed form.</t>
  </si>
  <si>
    <t>Reason for requesting new application</t>
  </si>
  <si>
    <t>Internal Request Information</t>
  </si>
  <si>
    <t>Vendor Request Information</t>
  </si>
  <si>
    <t>Staff member name, title and contact information</t>
  </si>
  <si>
    <t>Projected implementation date for new application being requested.</t>
  </si>
  <si>
    <t>General Overview of application functionality</t>
  </si>
  <si>
    <t>General Application and Vendor Information</t>
  </si>
  <si>
    <t>The rest of this form should be completed by the vendor's representative.</t>
  </si>
  <si>
    <t>Staff Response</t>
  </si>
  <si>
    <t>Vendor Response</t>
  </si>
  <si>
    <t>Application name and version information</t>
  </si>
  <si>
    <t>For questions concerning this form please contact:</t>
  </si>
  <si>
    <t>Is the application hosted in the the cloud by the vendor or installed onsite?  (If the application is hosted in the cloud, please complete the externally hosted form as well.)</t>
  </si>
  <si>
    <t>Does the data center which houses the hosted application environment meet TIA-942 Tier 3 standards or better?</t>
  </si>
  <si>
    <t>Is the infrastructure (hosts, network equipment, etc.) hosting the application located in a locked cage-type environment?</t>
  </si>
  <si>
    <t>Does the facility require badge access at a minimum?</t>
  </si>
  <si>
    <t>Is the equipment hosting the application located in a physically secure facility?</t>
  </si>
  <si>
    <t>Physical Security Section</t>
  </si>
  <si>
    <t>Can the hosted service provider provide an architecture document that includes elements such as network diagrams, data flows, and other security technologies that are in use? Please attach to the questionnaire.</t>
  </si>
  <si>
    <t>Can the hosted service provider produce a document detailing the most recently completed third-party vulnerability assessment?</t>
  </si>
  <si>
    <t>Does the application utilize TLS Data Encryption? (Yes/No)</t>
  </si>
  <si>
    <t>Does the application utilize IPSEC VPN Connectivity? (Yes/No)</t>
  </si>
  <si>
    <t>Does the application utilize private telecommunication circuits? (Yes/No)</t>
  </si>
  <si>
    <t>Cloud Security Questionnaire</t>
  </si>
  <si>
    <t>Host Security</t>
  </si>
  <si>
    <t xml:space="preserve">Can the hosted service provider provide a listing of current patches if requested for hosts, including host OS patches, web servers, databases, and any other material application?  </t>
  </si>
  <si>
    <t>How does the hosted service provider keep the environment current with security patches and updates?  Is this a formal process?</t>
  </si>
  <si>
    <t>How does the hosted service provider monitor the integrity and availability of the server hosting environment?</t>
  </si>
  <si>
    <t>What is the password policy for the hosted service provider server infrastructure, including minimum password length, password generation guidelines, and how often passwords are changed?</t>
  </si>
  <si>
    <t>Web Security</t>
  </si>
  <si>
    <t>Can the hosted service provider disclose specific versions and general security configuration for any hosted service including databases or other middleware?</t>
  </si>
  <si>
    <t xml:space="preserve">Please disclose whether the application uses Java, JavaScript, ActiveX, PHP, ASP or .NET technology.   </t>
  </si>
  <si>
    <t>Please describe the process for performing quality assurance testing for the application.  For example, testing of authentication, authorization, and accounting functions, as well as any other activity designed to validate the security architecture.</t>
  </si>
  <si>
    <t xml:space="preserve">Has the hosted service provider done web code review, including CGI, Java, etc, for the explicit purposes of finding and remediating security vulnerabilities?  </t>
  </si>
  <si>
    <t>Cryptography</t>
  </si>
  <si>
    <t>Does the hosted service provider utilize any encryption methods that were custom developed?</t>
  </si>
  <si>
    <t>Can the hosted application service provider encrypt sensitive data which scaling from a single data element level to an entire database?</t>
  </si>
  <si>
    <t>Disaster Recovery/Business Continuity</t>
  </si>
  <si>
    <t>Can the hosted service provider produce documented evidence of disaster recovery/business continuity plan?</t>
  </si>
  <si>
    <t>Is this plan tested periodically to verify actual recovery timeframes and capabilities?</t>
  </si>
  <si>
    <t>Intellectual Property</t>
  </si>
  <si>
    <t>Important:  Each requested application must have an individual risk assessment form.  Forms that contain multiple applications or do not provide sufficient information will be rejected which could delay project implementation.</t>
  </si>
  <si>
    <t>Does the proposed application allow for the configuration of password requirements to meet complexity requirements?  (Upper case, lower case, special characters, length, etc.)</t>
  </si>
  <si>
    <t>What encryption algorithms are utilized to protect patient information from being intercepted or modified while in transit?  Are they FIPS-140-2 compliant?</t>
  </si>
  <si>
    <t>Does the proposed application support the encryption of patient information when at rest?  Does this storage-based encryption utilize algorithms based on FIPS-140-2 standards?</t>
  </si>
  <si>
    <t>Does the proposed application allow for the configuration of technical controls to enforce an organization's timeout policy?  Please describe:</t>
  </si>
  <si>
    <t>Do encryption algorithms utilized by the host application service provider meet FIPS-140-2 standards?</t>
  </si>
  <si>
    <t>Organizational Impact</t>
  </si>
  <si>
    <t xml:space="preserve">Do you produce audit assertions using a structured, industry accepted format?  If so, please provide evidence of this for your company and any third-party Hosting Vendor.  e.g. ISO 27001/ SSAE 16/SOC  </t>
  </si>
  <si>
    <t>What actions do you take upon locating a security issue?    </t>
  </si>
  <si>
    <t>What notice is required to do non­intrusive, intrusive scans, or other vulnerability assessments? </t>
  </si>
  <si>
    <t>How do you monitor outsourced (third-party) operations?  </t>
  </si>
  <si>
    <t>Please explain how you secure and protect:  Data in transit/in motion, Data at rest.</t>
  </si>
  <si>
    <t xml:space="preserve">Who is your SSL CA provider?    </t>
  </si>
  <si>
    <t xml:space="preserve">Can you provide assurances that their authentication practices are audited at least annually by a trusted third­party auditor? </t>
  </si>
  <si>
    <t>How are encryption keys for data managed?  Please describe the process for both data at rest and in transit and in motion.</t>
  </si>
  <si>
    <t>Do you have the ability to logically segment or encrypt customer data such that data may be produced for a single tenant only?  Can this be performed without inadvertently accessing another tenant's data?</t>
  </si>
  <si>
    <t>Describe the change control process for infrastructure, network, software.</t>
  </si>
  <si>
    <t>What protections are in place for the OWASP Top 10?</t>
  </si>
  <si>
    <t xml:space="preserve">What language is the application back-end written in? (C, C#, Perl, Java, J2EE, Python, VBScript, etc.) </t>
  </si>
  <si>
    <t>What controls do you have in place to protect from the unauthorized introduction of software into your systems? </t>
  </si>
  <si>
    <t>Do you share networks, VPNs, firewalls and load balancers between your dedicated and any public cloud environments?</t>
  </si>
  <si>
    <t>How are the hosted service provider’s hosts that will serve the application hardened from malicious attacks and information leaks?  Are servers hardened to a national standard (e.g. CIS ­Center Internet Security)?</t>
  </si>
  <si>
    <t>What security partners\vendors do you work with?   </t>
  </si>
  <si>
    <t>What provisions are in place with third parties to provide for the security and protection of information and assets?</t>
  </si>
  <si>
    <t xml:space="preserve">What type of cyberliability insurance do you have?  Please describe the limits under the policy.  </t>
  </si>
  <si>
    <t>General Audit Support</t>
  </si>
  <si>
    <t>Operational Security</t>
  </si>
  <si>
    <t>What are your internal mobile device access capabilities and any security controls for protecting lost or stolen mobile devices containing data? </t>
  </si>
  <si>
    <t>Does the application utilize any other systems or applications for remote access not already mentioned?  If yes, please describe.</t>
  </si>
  <si>
    <t>Investigation Support</t>
  </si>
  <si>
    <t>Does the hosted service provider perform criminal background check procedures for personnel that will have access to the physical environment?</t>
  </si>
  <si>
    <t>Explain your workforce hire, orientation and security training process and any data/customer confidentiality agreements you have in place.  Are all employees under NDA and does this extend to customer data?</t>
  </si>
  <si>
    <t>How is your data stored in the cloud? Is it a SAN or S3 or Glacier? What are your backup and retrieval options?  </t>
  </si>
  <si>
    <t>How long are backups available?  Do you perform test restores?</t>
  </si>
  <si>
    <t>Explain any redundancy you have across multiple datacenters or repositories and if those  data repositories are within the US and controlled by your organization. </t>
  </si>
  <si>
    <t>Explain how the vendor monitors and reports upon notification of abuse or investigation. This might include regulatory violations, criminal or civil investigations and additional requests made by either an outside entity or internally.</t>
  </si>
  <si>
    <t>Describe any IDS/ IPS usage and configuration.</t>
  </si>
  <si>
    <t>Do you have staff dedicated\responsible for ensuring Data Security for your customers? </t>
  </si>
  <si>
    <t>Do all users receive training on general security issues such as phishing, passwords, and malware?</t>
  </si>
  <si>
    <t>Do developers receive training on security development and any potential threats and hazards?</t>
  </si>
  <si>
    <t>Network Security</t>
  </si>
  <si>
    <t>What tools are used for staff to perform remote administration?</t>
  </si>
  <si>
    <t>Controls</t>
  </si>
  <si>
    <t>Audits</t>
  </si>
  <si>
    <t>Architecture</t>
  </si>
  <si>
    <t>Data Integrity</t>
  </si>
  <si>
    <t>Data Encryption</t>
  </si>
  <si>
    <t>Hosting Security</t>
  </si>
  <si>
    <t>Procedures</t>
  </si>
  <si>
    <t>Business Stability</t>
  </si>
  <si>
    <t>Legal - Contract</t>
  </si>
  <si>
    <t>Impact of Risk (1-5)</t>
  </si>
  <si>
    <t>Probability of Risk (1-5)</t>
  </si>
  <si>
    <t>Cloud Hosted Risk Assessment Metrics</t>
  </si>
  <si>
    <t>Total Project Risk (out of 250)</t>
  </si>
  <si>
    <t>Total Risk Score (25 Maximum)</t>
  </si>
  <si>
    <t>Are all user accounts created with unique credentials?</t>
  </si>
  <si>
    <t>Terry Bainter, tbainter@tririvers.org, 779-696-6871</t>
  </si>
  <si>
    <t>Audit Category</t>
  </si>
  <si>
    <t>Please describe your provisioning/deprovisioning process and role management structure for all accounts including standard access, administrative access, and service accounts.</t>
  </si>
  <si>
    <t>Please send completed form to InfoSec@tririvers.org</t>
  </si>
  <si>
    <t xml:space="preserve">Overall Risk Rating: </t>
  </si>
  <si>
    <t>ServiceNow Implementation PROJECT number</t>
  </si>
  <si>
    <t>Could the compromise of this system impact other organizations outside of the organization requesting the Risk Assessment?</t>
  </si>
  <si>
    <t>v2017.03.31</t>
  </si>
  <si>
    <t>Ben Morton, bamorton@tririvers.org, 779-696-6838</t>
  </si>
  <si>
    <t>In the event of a security incident, please provide vendor contact information.                Is this contact available 24hrs/day x 7days/week?</t>
  </si>
  <si>
    <t>Does the remote access solution support individual employee vendor logins?</t>
  </si>
  <si>
    <t>Can the vendor provide audit logs for remote access sessions if requested?</t>
  </si>
  <si>
    <t>Does the remote access solution utilize dual factor authentication?</t>
  </si>
  <si>
    <t>Can the remote access connection be disabled by default and manually enabled on an as-needed basis?</t>
  </si>
  <si>
    <t>Are the devices used for vendor remote access managed by the vendor's central security policy?</t>
  </si>
  <si>
    <t>Remote Support Methodology</t>
  </si>
  <si>
    <t>Individual Remote Logins</t>
  </si>
  <si>
    <t>Remote Access Logs</t>
  </si>
  <si>
    <t>Dual Factor for Remote Access</t>
  </si>
  <si>
    <t>Connection Status</t>
  </si>
  <si>
    <t>Access Device Management</t>
  </si>
  <si>
    <t>Vendor Remote Support</t>
  </si>
  <si>
    <t>Can the proposed application be run on workstations and servers that utilize antivirus protection?  Does the application vendor support periodic vendor-specific vulnerability patching (i.e. Java, Adobe Reader, Windows Updates)?</t>
  </si>
  <si>
    <t>Does the vendor utilize a remote access solution to support the application?  If so, please describe methodology, such as site-to-site VPN or web control product (i.e. WebEx, LogMeIn, GotoMyPC).</t>
  </si>
  <si>
    <t>Please attach technical documentation including specifications, version requirements, and associated network drawings to this form for submission.</t>
  </si>
  <si>
    <t xml:space="preserve">This document defines the minimum security criteria based on HIPAA security measures that an information technology vendor must meet in order to be considered for use by SAHS  Information Security will closely review the vendor responses, and will suggest remediation measures in any areas that fall short of the minimum security criteria. Information Security approval of any given hosted service provider resides largely on the vendor's response to this document.  This document can be provided to information technology vendors that are either being considered for use by SAHS, or have already been selected for use.   </t>
  </si>
  <si>
    <t>This area of the form should be completed by the SAHS staff member requesting the risk assessment.</t>
  </si>
  <si>
    <t>This document defines the minimum security criteria that a hosted service provider must meet in order to be considered for use by SAHS.  Information Security will closely review the vendor responses, and will suggest remediation measures in any areas that fall short of the minimum security criteria. Information Security approval of any given hosted service provider resides largely on the vendor's response to this document.  This document can be provided to information technology vendors that are either being considered for use by SAHS, or have already been selected for use.</t>
  </si>
  <si>
    <t xml:space="preserve">What internal/external software/hardware/infrastructure/security audits (penetration testing) do you perform ?  Will you provide these to SAHS for review? </t>
  </si>
  <si>
    <t xml:space="preserve">Can SAHS Information Security staff perform non-intrusive network audits of the provided service randomly, without prior notice?  Other network and physical audits can be conducted on site at a mutually agreed upon time.  </t>
  </si>
  <si>
    <t xml:space="preserve">Do you perform annual review of third parties?  What does your annual review include?  Will you provide copies of this to SAHS? </t>
  </si>
  <si>
    <t>Can the hosted service provider disclose who amongst their personnel will have access to the environment hosting the application for SAHS?</t>
  </si>
  <si>
    <t>Will SAHS have the final approval on who is authorized to have access to the physical environment?</t>
  </si>
  <si>
    <t xml:space="preserve">How does the hosted service provider keep data from SAHS separate from other clients?  </t>
  </si>
  <si>
    <t>How is communication between SAHS and the hosted service provider secured?</t>
  </si>
  <si>
    <t>Is the hosted service provider using existing SAHS accounts for the purpose of single sign on?</t>
  </si>
  <si>
    <t>Can the hosted service provider agree upon RPO and RTO timeframes that are appropriate to the business function being provided to SAHS?</t>
  </si>
  <si>
    <t>What events are logged and shared with SAHS?</t>
  </si>
  <si>
    <t xml:space="preserve">Does the hosted service provider have a plan for notifying SAHS immediately of any breach or unauthorized access including SAHS hosted data, communications devices, servers or other infrastructure that directly or indirectly supports the hosted environment? </t>
  </si>
  <si>
    <t xml:space="preserve">Can the hosted service provider accommodate regular user account privilege access reviews involving SAHS data? </t>
  </si>
  <si>
    <t>Will the hosted service provider agree to allow the SAHS Incident Response Team to interface and facilitate any incident with law enforcement, e-discovery, or subpoenas relating to SAHS data?</t>
  </si>
  <si>
    <t>Will the hosted service provider agree to provide all relevant logs and access to evidence in the case of a data breach to the SAHS Incident Response team?</t>
  </si>
  <si>
    <t xml:space="preserve">Can the hosted service provider supply general location information about the location of hosted SAHS data in order to comply with individual state information security legislation? </t>
  </si>
  <si>
    <t xml:space="preserve">Will the hosted service provider agree to allow SAHS to retain all rights and ownership of any data entered, stored or processed by the hosted service provider on behalf of SAHS? </t>
  </si>
  <si>
    <t>How can we ensure that you do not use SAHS customer data for any other purposes?  </t>
  </si>
  <si>
    <t xml:space="preserve">Will the hosted service provider agree to transfer all SAHS data that was created/processed/stored throughout the duration of the contract period in a pre-agreed upon format and media at the termination of the agreement? </t>
  </si>
  <si>
    <t xml:space="preserve">Will the hosted service provider agree to expedite the transfer of all SAHS data upon request in the event of any dispute arising between SAHS and the hosted service provider? </t>
  </si>
  <si>
    <t>Will the hosted service provider agree to destroy or render unusable any information that was created and stored on behalf of SAHS during the lifetime of the contract?</t>
  </si>
  <si>
    <t>Joe Granneman, jgranneman@tririvers.org, 779-235-0410</t>
  </si>
  <si>
    <t>PeriGen Inc.</t>
  </si>
  <si>
    <t>PeriWatch Vigilance</t>
  </si>
  <si>
    <t>Bruno Bendavid, SVP Product Management, bruno.bendavid@perigen.com</t>
  </si>
  <si>
    <t>We only perfrom risk analysis from software perspective which is the only part of the offering PeriGen provides. Risk assessment primarily include hazard analysis from clinical perspective as well as compliance from regulatory bodies. Two processes are in place, the first during the development stage of each version, hazard analysis is perfromed on each software change. The second is part of regulatory review of any changed guidelines from the FDA that we must comply with being a class II medical device.</t>
  </si>
  <si>
    <t>There is no formal process. Security consideration are always reviewed and enahnced as part of product development efforts.</t>
  </si>
  <si>
    <t>There is no dedicted role. All security related are managed by product architects and SVP Product Management.</t>
  </si>
  <si>
    <t>Yes. This is strongly recommended to be done by the customer as part of AD group association. The application only authenticates users by that in approved groups. This is applied on our corporate policies when individuals change roles or terminate.</t>
  </si>
  <si>
    <t>Yes. We always assume that the customer keeps all protection softwares up to date.</t>
  </si>
  <si>
    <t>Yes. These auditing functionality is described in the application user &amp; admin user guides.</t>
  </si>
  <si>
    <t>Yes. That said, the preferred mode is AD authentication where password policies are fully managed by the customer IT administrator.</t>
  </si>
  <si>
    <t>Backup is supported in 2 ways: 
1) SQL agent type backup that is supported by the customer (this is typically discuss during pre-install phase of implementation)
2) Vmware replication if supported by the customer</t>
  </si>
  <si>
    <t>Yes. We provide the server (VM) specification for the customer to provide based on their internal infrastructure.</t>
  </si>
  <si>
    <t>No</t>
  </si>
  <si>
    <t>The PeriWatch Tracings/Vigilance system receives and stores the following data:
1. Patient infromation via ADT interface
2. Clinical data documented by the clinician directly in the application or via HL7 interface
3. Vital signs originating from the fetal monitor (maternal vitals and FHR tracing)</t>
  </si>
  <si>
    <t>Yes</t>
  </si>
  <si>
    <t>servers are to be supplied by the customer</t>
  </si>
  <si>
    <t>No. Application instances on workkstation only need netwrok access to the server with no special requirements on the station.</t>
  </si>
  <si>
    <t>No hardware is provided.</t>
  </si>
  <si>
    <t>Not applicable to the solution provided. As for the server, since it is provided by the customer, any disposal need (for example if customer decides to move away) would be under the full control of the customer.</t>
  </si>
  <si>
    <t>Not applicable.</t>
  </si>
  <si>
    <t>Yes. The recommended configuration is to use AD authentication for user management</t>
  </si>
  <si>
    <t>The server is provided and hosted by the customer. Should encryption at rest is required, we support TDE which is SQL server encryption option (SQL Enterprise / Data Center) compatible with FIPS-140-2 standards.</t>
  </si>
  <si>
    <t>The use of SQL server and transaction log shipping as the primary database is at the heart of maintining integrity and access control of all data in the application. All data writing/reading is perfromed using transactional calls matching storgly typed schemas ensuring proper data integrity. SQL Clustering is supported.</t>
  </si>
  <si>
    <t>SecureLink is the primary service used by PeriGen to access all customer servers.</t>
  </si>
  <si>
    <t>Not practical with SecureLink. The customer has control over incoming remote control from SecureLink.</t>
  </si>
  <si>
    <t>All data in transit between application modules is encrypted in transit and FIPS-140-2 compatible</t>
  </si>
  <si>
    <t>There is no data "purging" or deleting with the PeriWatch application. Data should be safe as long as the application is used.</t>
  </si>
  <si>
    <t>100 Regency Forest Drive, Suite 200
Cary, North Carolina 27518</t>
  </si>
  <si>
    <t>No. The application is hosted by the customer.</t>
  </si>
  <si>
    <t>bruno.bendavid@perigen.com and support@perigen.com
Our support organization provide 24x7x365 support</t>
  </si>
  <si>
    <t>PeriWatch Vigilance™ is a Perinatal Early Warning System that notifies clinicians about patients whose conditions are worsening. Using an artificial intelligence-based approach, it continuously analyzes fetal heart rate, contractions, labor progression, and provides maternal vital signs alerts. Notification thresholds can be configured by each institution and the actual alerts appear on the department census board.</t>
  </si>
  <si>
    <t>Nov, 2021</t>
  </si>
  <si>
    <t>New product acquisition</t>
  </si>
  <si>
    <t>Vulnerabilty testing is done the Veracode platform with every release</t>
  </si>
  <si>
    <t>AD integrated. Access is granted if a user is autheticated and is a member of the security group determined during configurations (2 groups are used only. VigilanceUsers and VigilanceAdmins)</t>
  </si>
  <si>
    <t>The Cloud Security Questionnaire is not applicable. The PeriGen application is fully hosted/managed by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</si>
</sst>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Arial"/>
    </font>
    <font>
      <b/>
      <sz val="10"/>
      <name val="Arial"/>
      <family val="2"/>
    </font>
    <font>
      <sz val="10"/>
      <name val="Arial"/>
      <family val="2"/>
    </font>
    <font>
      <b/>
      <sz val="12"/>
      <color theme="0"/>
      <name val="Arial"/>
      <family val="2"/>
    </font>
    <font>
      <b/>
      <sz val="14"/>
      <color theme="0"/>
      <name val="Arial"/>
      <family val="2"/>
    </font>
    <font>
      <b/>
      <sz val="20"/>
      <name val="Arial"/>
      <family val="2"/>
    </font>
    <font>
      <sz val="16"/>
      <name val="Arial"/>
      <family val="2"/>
    </font>
    <font>
      <u/>
      <sz val="10"/>
      <color theme="10"/>
      <name val="Arial"/>
      <family val="2"/>
    </font>
    <font>
      <u/>
      <sz val="10"/>
      <color theme="11"/>
      <name val="Arial"/>
      <family val="2"/>
    </font>
    <font>
      <sz val="12"/>
      <name val="Arial"/>
      <family val="2"/>
    </font>
    <font>
      <sz val="8"/>
      <name val="Arial"/>
      <family val="2"/>
    </font>
    <font>
      <sz val="10"/>
      <color rgb="FF000000"/>
      <name val="Arial"/>
      <family val="2"/>
    </font>
    <font>
      <b/>
      <sz val="14"/>
      <color rgb="FFFFFFFF"/>
      <name val="Arial"/>
      <family val="2"/>
    </font>
    <font>
      <sz val="12"/>
      <name val="Arial"/>
      <family val="2"/>
    </font>
    <font>
      <b/>
      <sz val="12"/>
      <color theme="0"/>
      <name val="Arial"/>
      <family val="2"/>
    </font>
    <font>
      <b/>
      <sz val="14"/>
      <color theme="0"/>
      <name val="Arial"/>
      <family val="2"/>
    </font>
    <font>
      <sz val="10"/>
      <color theme="3"/>
      <name val="Arial"/>
      <family val="2"/>
    </font>
    <font>
      <b/>
      <sz val="11"/>
      <color theme="0"/>
      <name val="Arial"/>
      <family val="2"/>
    </font>
    <font>
      <sz val="12"/>
      <color theme="0"/>
      <name val="Arial"/>
      <family val="2"/>
    </font>
    <font>
      <sz val="10"/>
      <name val="Arial"/>
      <family val="2"/>
    </font>
    <font>
      <b/>
      <sz val="20"/>
      <name val="Arial"/>
      <family val="2"/>
    </font>
    <font>
      <u/>
      <sz val="10"/>
      <color theme="10"/>
      <name val="Arial"/>
      <family val="2"/>
    </font>
    <font>
      <b/>
      <sz val="12"/>
      <name val="Arial"/>
      <family val="2"/>
    </font>
    <font>
      <sz val="10"/>
      <color rgb="FF000000"/>
      <name val="Arial"/>
      <family val="2"/>
    </font>
    <font>
      <sz val="11"/>
      <color theme="0"/>
      <name val="Arial"/>
      <family val="2"/>
    </font>
    <font>
      <sz val="12"/>
      <color rgb="FF000000"/>
      <name val="Arial"/>
      <family val="2"/>
    </font>
    <font>
      <b/>
      <sz val="16"/>
      <color rgb="FFFFFFFF"/>
      <name val="Arial"/>
      <family val="2"/>
    </font>
    <font>
      <b/>
      <sz val="18"/>
      <color rgb="FFFFFFFF"/>
      <name val="Arial"/>
      <family val="2"/>
    </font>
    <font>
      <b/>
      <sz val="12"/>
      <color rgb="FFFFFFFF"/>
      <name val="Arial"/>
      <family val="2"/>
    </font>
    <font>
      <b/>
      <sz val="11"/>
      <color rgb="FFFFC000"/>
      <name val="Arial"/>
      <family val="2"/>
    </font>
    <font>
      <sz val="10"/>
      <color rgb="FFFFC000"/>
      <name val="Arial"/>
      <family val="2"/>
    </font>
    <font>
      <sz val="14"/>
      <name val="Arial"/>
      <family val="2"/>
    </font>
    <font>
      <b/>
      <i/>
      <sz val="10"/>
      <name val="Arial"/>
      <family val="2"/>
    </font>
    <font>
      <sz val="11"/>
      <color rgb="FF747474"/>
      <name val="Arial"/>
      <family val="2"/>
    </font>
  </fonts>
  <fills count="9">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0" tint="-0.14999847407452621"/>
        <bgColor indexed="64"/>
      </patternFill>
    </fill>
    <fill>
      <patternFill patternType="solid">
        <fgColor theme="3"/>
        <bgColor indexed="56"/>
      </patternFill>
    </fill>
    <fill>
      <patternFill patternType="solid">
        <fgColor theme="3" tint="-0.249977111117893"/>
        <bgColor indexed="64"/>
      </patternFill>
    </fill>
    <fill>
      <patternFill patternType="solid">
        <fgColor theme="0" tint="-0.249977111117893"/>
        <bgColor indexed="64"/>
      </patternFill>
    </fill>
    <fill>
      <patternFill patternType="solid">
        <fgColor rgb="FFFFFF00"/>
        <bgColor indexed="64"/>
      </patternFill>
    </fill>
  </fills>
  <borders count="4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diagonalDown="1">
      <left style="medium">
        <color rgb="FF333333"/>
      </left>
      <right style="thin">
        <color rgb="FF333333"/>
      </right>
      <top/>
      <bottom style="thin">
        <color rgb="FF333333"/>
      </bottom>
      <diagonal/>
    </border>
    <border diagonalDown="1">
      <left style="thin">
        <color rgb="FF333333"/>
      </left>
      <right style="thin">
        <color rgb="FF333333"/>
      </right>
      <top style="thin">
        <color rgb="FF333333"/>
      </top>
      <bottom style="thin">
        <color rgb="FF333333"/>
      </bottom>
      <diagonal/>
    </border>
    <border diagonalDown="1">
      <left style="medium">
        <color rgb="FF333333"/>
      </left>
      <right style="thin">
        <color rgb="FF333333"/>
      </right>
      <top style="thin">
        <color rgb="FF333333"/>
      </top>
      <bottom style="thin">
        <color rgb="FF333333"/>
      </bottom>
      <diagonal/>
    </border>
    <border diagonalDown="1">
      <left style="medium">
        <color rgb="FF333333"/>
      </left>
      <right style="thin">
        <color rgb="FF333333"/>
      </right>
      <top style="medium">
        <color rgb="FF333333"/>
      </top>
      <bottom style="thin">
        <color rgb="FF333333"/>
      </bottom>
      <diagonal/>
    </border>
    <border>
      <left/>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rgb="FF333333"/>
      </left>
      <right/>
      <top/>
      <bottom style="medium">
        <color rgb="FF333333"/>
      </bottom>
      <diagonal/>
    </border>
    <border>
      <left/>
      <right/>
      <top/>
      <bottom style="medium">
        <color rgb="FF333333"/>
      </bottom>
      <diagonal/>
    </border>
    <border>
      <left/>
      <right style="medium">
        <color rgb="FF333333"/>
      </right>
      <top/>
      <bottom style="medium">
        <color rgb="FF333333"/>
      </bottom>
      <diagonal/>
    </border>
    <border>
      <left/>
      <right/>
      <top style="medium">
        <color auto="1"/>
      </top>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auto="1"/>
      </right>
      <top/>
      <bottom/>
      <diagonal/>
    </border>
    <border>
      <left style="medium">
        <color rgb="FF333333"/>
      </left>
      <right/>
      <top/>
      <bottom/>
      <diagonal/>
    </border>
    <border>
      <left/>
      <right style="medium">
        <color rgb="FF333333"/>
      </right>
      <top/>
      <bottom/>
      <diagonal/>
    </border>
    <border>
      <left style="thin">
        <color rgb="FF333333"/>
      </left>
      <right/>
      <top/>
      <bottom/>
      <diagonal/>
    </border>
    <border diagonalDown="1">
      <left style="thin">
        <color rgb="FF333333"/>
      </left>
      <right/>
      <top style="medium">
        <color rgb="FF333333"/>
      </top>
      <bottom style="thin">
        <color rgb="FF333333"/>
      </bottom>
      <diagonal/>
    </border>
    <border diagonalDown="1">
      <left style="thin">
        <color rgb="FF333333"/>
      </left>
      <right/>
      <top style="thin">
        <color rgb="FF333333"/>
      </top>
      <bottom style="thin">
        <color rgb="FF333333"/>
      </bottom>
      <diagonal/>
    </border>
    <border diagonalDown="1">
      <left style="thin">
        <color rgb="FF333333"/>
      </left>
      <right/>
      <top/>
      <bottom style="thin">
        <color rgb="FF333333"/>
      </bottom>
      <diagonal/>
    </border>
    <border diagonalDown="1">
      <left style="thin">
        <color indexed="64"/>
      </left>
      <right style="thin">
        <color indexed="64"/>
      </right>
      <top style="thin">
        <color indexed="64"/>
      </top>
      <bottom style="thin">
        <color indexed="64"/>
      </bottom>
      <diagonal/>
    </border>
    <border>
      <left style="medium">
        <color rgb="FF333333"/>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1" fillId="0" borderId="0"/>
    <xf numFmtId="0" fontId="21" fillId="0" borderId="0" applyNumberFormat="0" applyFill="0" applyBorder="0" applyAlignment="0" applyProtection="0"/>
  </cellStyleXfs>
  <cellXfs count="146">
    <xf numFmtId="0" fontId="0" fillId="0" borderId="0" xfId="0"/>
    <xf numFmtId="0" fontId="0" fillId="0" borderId="0" xfId="0" applyAlignment="1">
      <alignment wrapText="1"/>
    </xf>
    <xf numFmtId="0" fontId="0" fillId="0" borderId="0" xfId="0" applyAlignment="1">
      <alignment horizontal="left" vertical="center" inden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xf>
    <xf numFmtId="0" fontId="0" fillId="0" borderId="6" xfId="0" applyBorder="1" applyAlignment="1">
      <alignment vertical="center" wrapText="1"/>
    </xf>
    <xf numFmtId="0" fontId="3" fillId="2" borderId="2" xfId="0" applyFont="1" applyFill="1" applyBorder="1" applyAlignment="1">
      <alignment vertical="center" wrapText="1"/>
    </xf>
    <xf numFmtId="0" fontId="4" fillId="2" borderId="5" xfId="0" applyFont="1" applyFill="1" applyBorder="1" applyAlignment="1">
      <alignment vertical="center" wrapText="1"/>
    </xf>
    <xf numFmtId="0" fontId="2" fillId="0" borderId="5" xfId="0" applyFont="1" applyBorder="1" applyAlignment="1">
      <alignment horizontal="left" vertical="center" wrapText="1" indent="2"/>
    </xf>
    <xf numFmtId="0" fontId="0" fillId="0" borderId="5" xfId="0" applyFont="1" applyBorder="1" applyAlignment="1">
      <alignment horizontal="left" vertical="center" wrapText="1" indent="2"/>
    </xf>
    <xf numFmtId="0" fontId="1" fillId="0" borderId="5" xfId="0" applyFont="1" applyBorder="1" applyAlignment="1">
      <alignment horizontal="left" vertical="center" wrapText="1" indent="1"/>
    </xf>
    <xf numFmtId="0" fontId="0" fillId="0" borderId="6" xfId="0" applyBorder="1" applyAlignment="1">
      <alignment horizontal="left" vertical="center" wrapText="1" indent="1"/>
    </xf>
    <xf numFmtId="0" fontId="11" fillId="0" borderId="0" xfId="27"/>
    <xf numFmtId="0" fontId="9" fillId="0" borderId="0" xfId="0" applyFont="1" applyBorder="1" applyAlignment="1">
      <alignment horizontal="left" wrapText="1"/>
    </xf>
    <xf numFmtId="0" fontId="9" fillId="0" borderId="6" xfId="0" applyFont="1" applyBorder="1" applyAlignment="1">
      <alignment horizontal="left" wrapText="1"/>
    </xf>
    <xf numFmtId="0" fontId="9" fillId="0" borderId="15" xfId="0" applyFont="1" applyBorder="1" applyAlignment="1">
      <alignment horizontal="left" wrapText="1"/>
    </xf>
    <xf numFmtId="0" fontId="9" fillId="0" borderId="21" xfId="0" applyFont="1" applyBorder="1" applyAlignment="1">
      <alignment horizontal="left" wrapText="1"/>
    </xf>
    <xf numFmtId="0" fontId="13" fillId="0" borderId="16" xfId="0" applyFont="1" applyBorder="1" applyAlignment="1">
      <alignment vertical="center" wrapText="1"/>
    </xf>
    <xf numFmtId="0" fontId="13" fillId="0" borderId="5" xfId="0" applyFont="1" applyBorder="1" applyAlignment="1">
      <alignment vertical="center" wrapText="1"/>
    </xf>
    <xf numFmtId="0" fontId="13" fillId="0" borderId="20" xfId="0" applyFont="1" applyBorder="1" applyAlignment="1">
      <alignment vertical="center" wrapText="1"/>
    </xf>
    <xf numFmtId="0" fontId="13" fillId="0" borderId="2" xfId="0" applyFont="1" applyBorder="1" applyAlignment="1">
      <alignment vertical="center" wrapText="1"/>
    </xf>
    <xf numFmtId="0" fontId="9" fillId="0" borderId="4" xfId="0" applyFont="1" applyBorder="1" applyAlignment="1">
      <alignment horizontal="left" wrapText="1"/>
    </xf>
    <xf numFmtId="0" fontId="17" fillId="0" borderId="0" xfId="0" applyFont="1" applyFill="1" applyBorder="1" applyAlignment="1">
      <alignment horizontal="left" wrapText="1"/>
    </xf>
    <xf numFmtId="0" fontId="18" fillId="0" borderId="0" xfId="0" applyFont="1" applyFill="1" applyBorder="1" applyAlignment="1">
      <alignment horizontal="left" vertical="center" wrapText="1"/>
    </xf>
    <xf numFmtId="0" fontId="0" fillId="0" borderId="4" xfId="0" applyBorder="1"/>
    <xf numFmtId="0" fontId="0" fillId="0" borderId="6" xfId="0" applyBorder="1"/>
    <xf numFmtId="0" fontId="0" fillId="0" borderId="9" xfId="0" applyBorder="1"/>
    <xf numFmtId="0" fontId="0" fillId="0" borderId="21" xfId="0" applyBorder="1"/>
    <xf numFmtId="0" fontId="19" fillId="0" borderId="20" xfId="0" applyFont="1" applyBorder="1" applyAlignment="1">
      <alignment horizontal="left" vertical="center" wrapText="1" indent="1"/>
    </xf>
    <xf numFmtId="0" fontId="0" fillId="0" borderId="15" xfId="0" applyBorder="1"/>
    <xf numFmtId="0" fontId="21" fillId="0" borderId="5" xfId="28" applyBorder="1" applyAlignment="1">
      <alignment vertical="center" wrapText="1"/>
    </xf>
    <xf numFmtId="0" fontId="19" fillId="0" borderId="1" xfId="0" applyFont="1" applyBorder="1" applyAlignment="1">
      <alignment vertical="center" wrapText="1"/>
    </xf>
    <xf numFmtId="0" fontId="22" fillId="0" borderId="0" xfId="0" applyFont="1" applyFill="1" applyBorder="1" applyAlignment="1">
      <alignment wrapText="1"/>
    </xf>
    <xf numFmtId="0" fontId="11" fillId="0" borderId="0" xfId="27"/>
    <xf numFmtId="0" fontId="2" fillId="0" borderId="20" xfId="0" applyFont="1" applyBorder="1" applyAlignment="1">
      <alignment horizontal="left" vertical="center" wrapText="1" indent="1"/>
    </xf>
    <xf numFmtId="0" fontId="19" fillId="0" borderId="2" xfId="0" applyFont="1" applyBorder="1" applyAlignment="1">
      <alignment horizontal="left" vertical="center" wrapText="1" indent="1"/>
    </xf>
    <xf numFmtId="0" fontId="2" fillId="0" borderId="5" xfId="0" applyFont="1" applyBorder="1" applyAlignment="1">
      <alignment horizontal="left" vertical="center" wrapText="1" indent="1"/>
    </xf>
    <xf numFmtId="0" fontId="0" fillId="0" borderId="5" xfId="0" applyBorder="1" applyAlignment="1">
      <alignment horizontal="left" vertical="center" wrapText="1" indent="1"/>
    </xf>
    <xf numFmtId="0" fontId="19" fillId="0" borderId="5" xfId="0" applyFont="1" applyBorder="1" applyAlignment="1">
      <alignment horizontal="left" vertical="center" wrapText="1" indent="1"/>
    </xf>
    <xf numFmtId="0" fontId="19" fillId="0" borderId="7" xfId="0" applyFont="1" applyBorder="1" applyAlignment="1">
      <alignment horizontal="left" vertical="center" wrapText="1" indent="1"/>
    </xf>
    <xf numFmtId="0" fontId="0" fillId="0" borderId="2" xfId="0" applyBorder="1" applyAlignment="1">
      <alignment horizontal="left" vertical="center" wrapText="1" indent="1"/>
    </xf>
    <xf numFmtId="0" fontId="0" fillId="0" borderId="20" xfId="0" applyBorder="1" applyAlignment="1">
      <alignment horizontal="left" vertical="center" wrapText="1" indent="1"/>
    </xf>
    <xf numFmtId="0" fontId="19" fillId="0" borderId="16" xfId="0" applyFont="1" applyBorder="1" applyAlignment="1">
      <alignment horizontal="left" vertical="center" wrapText="1" indent="1"/>
    </xf>
    <xf numFmtId="0" fontId="2" fillId="0" borderId="16" xfId="0" applyFont="1" applyBorder="1" applyAlignment="1">
      <alignment horizontal="left" vertical="center" wrapText="1" indent="1"/>
    </xf>
    <xf numFmtId="0" fontId="17" fillId="6" borderId="0" xfId="0" applyFont="1" applyFill="1" applyBorder="1" applyAlignment="1">
      <alignment horizontal="left" wrapText="1"/>
    </xf>
    <xf numFmtId="0" fontId="11" fillId="0" borderId="37" xfId="27" applyBorder="1" applyAlignment="1">
      <alignment vertical="center" wrapText="1"/>
    </xf>
    <xf numFmtId="0" fontId="11" fillId="0" borderId="38" xfId="27" applyBorder="1" applyAlignment="1">
      <alignment vertical="center" wrapText="1"/>
    </xf>
    <xf numFmtId="0" fontId="11" fillId="0" borderId="38" xfId="27" applyFont="1" applyBorder="1" applyAlignment="1">
      <alignment vertical="center" wrapText="1"/>
    </xf>
    <xf numFmtId="0" fontId="11" fillId="0" borderId="39" xfId="27" applyBorder="1" applyAlignment="1">
      <alignment vertical="center" wrapText="1"/>
    </xf>
    <xf numFmtId="0" fontId="25" fillId="0" borderId="40" xfId="27" applyFont="1" applyBorder="1" applyAlignment="1">
      <alignment horizontal="center" vertical="center" wrapText="1"/>
    </xf>
    <xf numFmtId="0" fontId="3" fillId="3" borderId="13" xfId="27" applyFont="1" applyFill="1" applyBorder="1" applyAlignment="1">
      <alignment horizontal="left" vertical="center" indent="1"/>
    </xf>
    <xf numFmtId="0" fontId="3" fillId="3" borderId="12" xfId="27" applyFont="1" applyFill="1" applyBorder="1" applyAlignment="1">
      <alignment horizontal="left" vertical="center" indent="1"/>
    </xf>
    <xf numFmtId="0" fontId="3" fillId="3" borderId="11" xfId="27" applyFont="1" applyFill="1" applyBorder="1" applyAlignment="1">
      <alignment horizontal="left" vertical="center" indent="1"/>
    </xf>
    <xf numFmtId="0" fontId="3" fillId="3" borderId="10" xfId="27" applyFont="1" applyFill="1" applyBorder="1" applyAlignment="1">
      <alignment horizontal="left" vertical="center" indent="1"/>
    </xf>
    <xf numFmtId="0" fontId="3" fillId="3" borderId="40" xfId="27" applyFont="1" applyFill="1" applyBorder="1" applyAlignment="1">
      <alignment horizontal="left" vertical="center" indent="1"/>
    </xf>
    <xf numFmtId="0" fontId="0" fillId="0" borderId="7" xfId="0" applyBorder="1" applyAlignment="1">
      <alignment horizontal="left" vertical="center" wrapText="1" indent="1"/>
    </xf>
    <xf numFmtId="0" fontId="28" fillId="5" borderId="0" xfId="27" applyFont="1" applyFill="1" applyBorder="1" applyAlignment="1">
      <alignment horizontal="center" vertical="center"/>
    </xf>
    <xf numFmtId="0" fontId="28" fillId="5" borderId="34" xfId="27" applyFont="1" applyFill="1" applyBorder="1" applyAlignment="1">
      <alignment horizontal="left" vertical="center"/>
    </xf>
    <xf numFmtId="0" fontId="31" fillId="0" borderId="11" xfId="27" applyFont="1" applyFill="1" applyBorder="1" applyAlignment="1">
      <alignment horizontal="left" vertical="center" indent="1"/>
    </xf>
    <xf numFmtId="0" fontId="9" fillId="0" borderId="20" xfId="0" applyFont="1" applyBorder="1" applyAlignment="1">
      <alignment vertical="center" wrapText="1"/>
    </xf>
    <xf numFmtId="0" fontId="24" fillId="6" borderId="0" xfId="0" applyFont="1" applyFill="1" applyBorder="1" applyAlignment="1">
      <alignment horizontal="left" wrapText="1"/>
    </xf>
    <xf numFmtId="0" fontId="0" fillId="0" borderId="0" xfId="0" applyAlignment="1">
      <alignment wrapText="1"/>
    </xf>
    <xf numFmtId="0" fontId="9" fillId="0" borderId="5" xfId="0" applyFont="1" applyBorder="1" applyAlignment="1">
      <alignment vertical="center" wrapText="1"/>
    </xf>
    <xf numFmtId="0" fontId="1" fillId="7" borderId="0" xfId="0" applyFont="1" applyFill="1" applyAlignment="1">
      <alignment horizontal="left" wrapText="1"/>
    </xf>
    <xf numFmtId="0" fontId="22" fillId="7" borderId="0" xfId="0" applyFont="1" applyFill="1" applyAlignment="1">
      <alignment horizontal="left" wrapText="1"/>
    </xf>
    <xf numFmtId="0" fontId="25" fillId="7" borderId="0" xfId="27" applyFont="1" applyFill="1"/>
    <xf numFmtId="0" fontId="25" fillId="0" borderId="0" xfId="27" applyFont="1"/>
    <xf numFmtId="0" fontId="9" fillId="0" borderId="0" xfId="0" applyFont="1"/>
    <xf numFmtId="0" fontId="9" fillId="0" borderId="0" xfId="0" applyFont="1" applyAlignment="1">
      <alignment wrapText="1"/>
    </xf>
    <xf numFmtId="0" fontId="2" fillId="0" borderId="1" xfId="0" applyFont="1" applyBorder="1" applyAlignment="1">
      <alignment vertical="center" wrapText="1"/>
    </xf>
    <xf numFmtId="0" fontId="24" fillId="6" borderId="0" xfId="0" applyFont="1" applyFill="1" applyBorder="1" applyAlignment="1">
      <alignment horizontal="left" wrapText="1"/>
    </xf>
    <xf numFmtId="0" fontId="29" fillId="6" borderId="0" xfId="0" applyFont="1" applyFill="1" applyBorder="1" applyAlignment="1">
      <alignment horizontal="left" wrapText="1"/>
    </xf>
    <xf numFmtId="0" fontId="9" fillId="0" borderId="6" xfId="0" applyFont="1" applyBorder="1" applyAlignment="1">
      <alignment vertical="center" wrapText="1"/>
    </xf>
    <xf numFmtId="0" fontId="2" fillId="0" borderId="6" xfId="0" applyFont="1" applyBorder="1" applyAlignment="1">
      <alignment vertical="center" wrapText="1"/>
    </xf>
    <xf numFmtId="0" fontId="33" fillId="0" borderId="0" xfId="0" applyFont="1"/>
    <xf numFmtId="0" fontId="9" fillId="8" borderId="6" xfId="0" applyFont="1" applyFill="1" applyBorder="1" applyAlignment="1">
      <alignment horizontal="left" wrapText="1"/>
    </xf>
    <xf numFmtId="15" fontId="9" fillId="0" borderId="6" xfId="0" applyNumberFormat="1" applyFont="1" applyBorder="1" applyAlignment="1">
      <alignment horizontal="left" wrapText="1"/>
    </xf>
    <xf numFmtId="0" fontId="9" fillId="8" borderId="21" xfId="0" applyFont="1" applyFill="1" applyBorder="1" applyAlignment="1">
      <alignment horizontal="left" wrapText="1"/>
    </xf>
    <xf numFmtId="0" fontId="0" fillId="0" borderId="6" xfId="0" applyBorder="1" applyAlignment="1">
      <alignment wrapText="1"/>
    </xf>
    <xf numFmtId="0" fontId="0" fillId="0" borderId="15" xfId="0" applyBorder="1" applyAlignment="1">
      <alignment wrapText="1"/>
    </xf>
    <xf numFmtId="0" fontId="16" fillId="4" borderId="32" xfId="0" applyFont="1" applyFill="1" applyBorder="1" applyAlignment="1">
      <alignment horizontal="center" vertical="center" textRotation="45" wrapText="1"/>
    </xf>
    <xf numFmtId="0" fontId="16" fillId="4" borderId="33" xfId="0" applyFont="1" applyFill="1" applyBorder="1" applyAlignment="1">
      <alignment horizontal="center" vertical="center" textRotation="45" wrapText="1"/>
    </xf>
    <xf numFmtId="0" fontId="16" fillId="4" borderId="29" xfId="0" applyFont="1" applyFill="1" applyBorder="1" applyAlignment="1">
      <alignment horizontal="center" vertical="center" textRotation="45" wrapText="1"/>
    </xf>
    <xf numFmtId="0" fontId="15" fillId="2" borderId="1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4" fillId="3" borderId="3"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6" fillId="4" borderId="0" xfId="0" applyFont="1" applyFill="1" applyBorder="1" applyAlignment="1">
      <alignment horizontal="left" vertical="center" textRotation="45" wrapText="1"/>
    </xf>
    <xf numFmtId="0" fontId="14" fillId="3" borderId="28"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29" fillId="6" borderId="0" xfId="0" applyFont="1" applyFill="1" applyBorder="1" applyAlignment="1">
      <alignment horizontal="left" wrapText="1"/>
    </xf>
    <xf numFmtId="0" fontId="30" fillId="0" borderId="0" xfId="0" applyFont="1" applyAlignment="1">
      <alignment horizontal="left" wrapText="1"/>
    </xf>
    <xf numFmtId="0" fontId="5" fillId="0" borderId="0" xfId="0" applyFont="1" applyAlignment="1">
      <alignment horizontal="center" wrapText="1"/>
    </xf>
    <xf numFmtId="0" fontId="9" fillId="0" borderId="0" xfId="0" applyFont="1" applyAlignment="1">
      <alignment horizontal="left" vertical="center" wrapText="1"/>
    </xf>
    <xf numFmtId="0" fontId="13" fillId="0" borderId="0" xfId="0" applyFont="1" applyAlignment="1">
      <alignment horizontal="left" vertical="center" wrapText="1"/>
    </xf>
    <xf numFmtId="0" fontId="22" fillId="0" borderId="0" xfId="0" applyFont="1" applyFill="1" applyBorder="1" applyAlignment="1">
      <alignment horizontal="center" wrapText="1"/>
    </xf>
    <xf numFmtId="0" fontId="24" fillId="6" borderId="0" xfId="0" applyFont="1" applyFill="1" applyBorder="1" applyAlignment="1">
      <alignment horizontal="left" wrapText="1"/>
    </xf>
    <xf numFmtId="0" fontId="0" fillId="0" borderId="0" xfId="0" applyAlignment="1">
      <alignment wrapText="1"/>
    </xf>
    <xf numFmtId="0" fontId="32" fillId="8" borderId="42" xfId="0" applyFont="1" applyFill="1" applyBorder="1" applyAlignment="1">
      <alignment horizontal="center" vertical="center" wrapText="1"/>
    </xf>
    <xf numFmtId="0" fontId="32" fillId="8" borderId="4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6" fillId="0" borderId="0" xfId="0" applyFont="1" applyAlignment="1">
      <alignment horizontal="center" wrapText="1"/>
    </xf>
    <xf numFmtId="0" fontId="3" fillId="3" borderId="22"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23" xfId="0" applyFont="1" applyFill="1" applyBorder="1" applyAlignment="1">
      <alignment horizontal="left" vertical="center" wrapText="1"/>
    </xf>
    <xf numFmtId="0" fontId="4" fillId="3" borderId="22"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23" xfId="0" applyFont="1" applyFill="1" applyBorder="1" applyAlignment="1">
      <alignment horizontal="left" vertical="center" wrapText="1"/>
    </xf>
    <xf numFmtId="0" fontId="3" fillId="3" borderId="30" xfId="0" applyFont="1" applyFill="1" applyBorder="1" applyAlignment="1">
      <alignment horizontal="left" vertical="center"/>
    </xf>
    <xf numFmtId="0" fontId="3" fillId="3" borderId="31" xfId="0" applyFont="1" applyFill="1" applyBorder="1" applyAlignment="1">
      <alignment horizontal="left" vertical="center"/>
    </xf>
    <xf numFmtId="0" fontId="13" fillId="0" borderId="0" xfId="0" applyFont="1" applyAlignment="1">
      <alignment horizontal="left" wrapText="1"/>
    </xf>
    <xf numFmtId="0" fontId="20" fillId="0" borderId="0" xfId="0" applyFont="1" applyAlignment="1">
      <alignment horizontal="center"/>
    </xf>
    <xf numFmtId="0" fontId="3" fillId="3" borderId="17" xfId="0" applyFont="1" applyFill="1" applyBorder="1" applyAlignment="1">
      <alignment horizontal="left" vertical="center"/>
    </xf>
    <xf numFmtId="0" fontId="3" fillId="3" borderId="19" xfId="0" applyFont="1" applyFill="1" applyBorder="1" applyAlignment="1">
      <alignment horizontal="left" vertical="center"/>
    </xf>
    <xf numFmtId="0" fontId="3" fillId="3" borderId="2" xfId="0" applyFont="1" applyFill="1" applyBorder="1" applyAlignment="1">
      <alignment horizontal="left" vertical="center"/>
    </xf>
    <xf numFmtId="0" fontId="3" fillId="3" borderId="4" xfId="0" applyFont="1" applyFill="1" applyBorder="1" applyAlignment="1">
      <alignment horizontal="left" vertical="center"/>
    </xf>
    <xf numFmtId="0" fontId="22" fillId="0" borderId="27" xfId="0" applyFont="1" applyFill="1" applyBorder="1" applyAlignment="1">
      <alignment horizontal="left" wrapText="1"/>
    </xf>
    <xf numFmtId="0" fontId="4" fillId="5" borderId="41" xfId="27" applyFont="1" applyFill="1" applyBorder="1" applyAlignment="1">
      <alignment horizontal="center" vertical="center"/>
    </xf>
    <xf numFmtId="0" fontId="4" fillId="5" borderId="24" xfId="27" applyFont="1" applyFill="1" applyBorder="1" applyAlignment="1">
      <alignment horizontal="center" vertical="center"/>
    </xf>
    <xf numFmtId="0" fontId="12" fillId="5" borderId="34" xfId="27" applyFont="1" applyFill="1" applyBorder="1" applyAlignment="1">
      <alignment horizontal="left" vertical="center"/>
    </xf>
    <xf numFmtId="0" fontId="12" fillId="5" borderId="0" xfId="27" applyFont="1" applyFill="1" applyBorder="1" applyAlignment="1">
      <alignment horizontal="left" vertical="center"/>
    </xf>
    <xf numFmtId="0" fontId="12" fillId="5" borderId="35" xfId="27" applyFont="1" applyFill="1" applyBorder="1" applyAlignment="1">
      <alignment horizontal="left" vertical="center"/>
    </xf>
    <xf numFmtId="0" fontId="12" fillId="5" borderId="24" xfId="27" applyFont="1" applyFill="1" applyBorder="1" applyAlignment="1">
      <alignment horizontal="left" vertical="center"/>
    </xf>
    <xf numFmtId="0" fontId="12" fillId="5" borderId="25" xfId="27" applyFont="1" applyFill="1" applyBorder="1" applyAlignment="1">
      <alignment horizontal="left" vertical="center"/>
    </xf>
    <xf numFmtId="0" fontId="12" fillId="5" borderId="26" xfId="27" applyFont="1" applyFill="1" applyBorder="1" applyAlignment="1">
      <alignment horizontal="left" vertical="center"/>
    </xf>
    <xf numFmtId="0" fontId="26" fillId="5" borderId="34" xfId="27" applyFont="1" applyFill="1" applyBorder="1" applyAlignment="1">
      <alignment horizontal="center" vertical="center"/>
    </xf>
    <xf numFmtId="0" fontId="26" fillId="5" borderId="0" xfId="27" applyFont="1" applyFill="1" applyBorder="1" applyAlignment="1">
      <alignment horizontal="center" vertical="center"/>
    </xf>
    <xf numFmtId="0" fontId="27" fillId="5" borderId="34" xfId="27" applyFont="1" applyFill="1" applyBorder="1" applyAlignment="1">
      <alignment horizontal="center" vertical="center"/>
    </xf>
    <xf numFmtId="0" fontId="27" fillId="5" borderId="0" xfId="27" applyFont="1" applyFill="1" applyBorder="1" applyAlignment="1">
      <alignment horizontal="center" vertical="center"/>
    </xf>
    <xf numFmtId="0" fontId="9" fillId="0" borderId="36" xfId="27" applyFont="1" applyFill="1" applyBorder="1" applyAlignment="1">
      <alignment horizontal="left" vertical="center" wrapText="1"/>
    </xf>
    <xf numFmtId="0" fontId="9" fillId="0" borderId="0" xfId="27" applyFont="1" applyFill="1" applyBorder="1" applyAlignment="1">
      <alignment horizontal="left" vertical="center" wrapText="1"/>
    </xf>
    <xf numFmtId="0" fontId="11" fillId="0" borderId="1" xfId="27" applyBorder="1" applyAlignment="1">
      <alignment horizontal="left" vertical="center" wrapText="1"/>
    </xf>
    <xf numFmtId="0" fontId="11" fillId="0" borderId="1" xfId="27" applyFont="1" applyBorder="1" applyAlignment="1">
      <alignment horizontal="left" vertical="center" wrapText="1"/>
    </xf>
    <xf numFmtId="0" fontId="23" fillId="0" borderId="1" xfId="27" applyFont="1" applyBorder="1" applyAlignment="1">
      <alignment horizontal="left" vertical="center" wrapText="1"/>
    </xf>
  </cellXfs>
  <cellStyles count="2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cellStyle name="Normal" xfId="0" builtinId="0"/>
    <cellStyle name="Normal 2" xfId="27" xr:uid="{00000000-0005-0000-0000-00001C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abSelected="1" topLeftCell="A23" workbookViewId="0">
      <selection activeCell="C28" sqref="C28"/>
    </sheetView>
  </sheetViews>
  <sheetFormatPr defaultRowHeight="12.75" x14ac:dyDescent="0.2"/>
  <cols>
    <col min="1" max="1" width="68" customWidth="1"/>
    <col min="2" max="2" width="85.7109375" customWidth="1"/>
    <col min="3" max="3" width="59.140625" customWidth="1"/>
  </cols>
  <sheetData>
    <row r="1" spans="1:3" x14ac:dyDescent="0.2">
      <c r="A1" s="62" t="s">
        <v>200</v>
      </c>
      <c r="B1" s="62"/>
      <c r="C1" s="62"/>
    </row>
    <row r="2" spans="1:3" ht="26.25" x14ac:dyDescent="0.4">
      <c r="A2" s="98" t="s">
        <v>47</v>
      </c>
      <c r="B2" s="98"/>
      <c r="C2" s="98"/>
    </row>
    <row r="3" spans="1:3" s="5" customFormat="1" ht="71.25" customHeight="1" x14ac:dyDescent="0.2">
      <c r="A3" s="99" t="s">
        <v>218</v>
      </c>
      <c r="B3" s="100"/>
      <c r="C3" s="100"/>
    </row>
    <row r="4" spans="1:3" ht="32.25" customHeight="1" x14ac:dyDescent="0.25">
      <c r="A4" s="101" t="s">
        <v>136</v>
      </c>
      <c r="B4" s="101"/>
      <c r="C4" s="101"/>
    </row>
    <row r="5" spans="1:3" ht="15" x14ac:dyDescent="0.25">
      <c r="A5" s="45" t="s">
        <v>106</v>
      </c>
      <c r="B5" s="102" t="s">
        <v>241</v>
      </c>
      <c r="C5" s="103"/>
    </row>
    <row r="6" spans="1:3" ht="15" x14ac:dyDescent="0.25">
      <c r="A6" s="45"/>
      <c r="B6" s="61" t="s">
        <v>193</v>
      </c>
      <c r="C6" s="45"/>
    </row>
    <row r="7" spans="1:3" ht="15" x14ac:dyDescent="0.25">
      <c r="A7" s="45"/>
      <c r="B7" s="61" t="s">
        <v>201</v>
      </c>
      <c r="C7" s="61"/>
    </row>
    <row r="8" spans="1:3" ht="15" x14ac:dyDescent="0.25">
      <c r="A8" s="45"/>
      <c r="B8" s="96" t="s">
        <v>196</v>
      </c>
      <c r="C8" s="97"/>
    </row>
    <row r="9" spans="1:3" ht="15.75" thickBot="1" x14ac:dyDescent="0.25">
      <c r="A9" s="14"/>
      <c r="B9" s="14"/>
      <c r="C9" s="14"/>
    </row>
    <row r="10" spans="1:3" ht="18.75" thickBot="1" x14ac:dyDescent="0.25">
      <c r="A10" s="84" t="s">
        <v>101</v>
      </c>
      <c r="B10" s="85"/>
      <c r="C10" s="86"/>
    </row>
    <row r="11" spans="1:3" x14ac:dyDescent="0.2">
      <c r="A11" s="87" t="s">
        <v>96</v>
      </c>
      <c r="B11" s="89" t="s">
        <v>50</v>
      </c>
      <c r="C11" s="91" t="s">
        <v>103</v>
      </c>
    </row>
    <row r="12" spans="1:3" ht="13.5" thickBot="1" x14ac:dyDescent="0.25">
      <c r="A12" s="88"/>
      <c r="B12" s="90"/>
      <c r="C12" s="92"/>
    </row>
    <row r="13" spans="1:3" ht="72" customHeight="1" x14ac:dyDescent="0.2">
      <c r="A13" s="93" t="s">
        <v>219</v>
      </c>
      <c r="B13" s="18" t="s">
        <v>93</v>
      </c>
      <c r="C13" s="16" t="s">
        <v>273</v>
      </c>
    </row>
    <row r="14" spans="1:3" ht="72" customHeight="1" x14ac:dyDescent="0.2">
      <c r="A14" s="93"/>
      <c r="B14" s="19" t="s">
        <v>98</v>
      </c>
      <c r="C14" s="15" t="s">
        <v>244</v>
      </c>
    </row>
    <row r="15" spans="1:3" ht="72" customHeight="1" x14ac:dyDescent="0.2">
      <c r="A15" s="93"/>
      <c r="B15" s="19" t="s">
        <v>95</v>
      </c>
      <c r="C15" s="15" t="s">
        <v>274</v>
      </c>
    </row>
    <row r="16" spans="1:3" ht="72" customHeight="1" x14ac:dyDescent="0.2">
      <c r="A16" s="93"/>
      <c r="B16" s="20" t="s">
        <v>99</v>
      </c>
      <c r="C16" s="78"/>
    </row>
    <row r="17" spans="1:3" ht="72" customHeight="1" thickBot="1" x14ac:dyDescent="0.25">
      <c r="A17" s="93"/>
      <c r="B17" s="60" t="s">
        <v>198</v>
      </c>
      <c r="C17" s="17"/>
    </row>
    <row r="18" spans="1:3" x14ac:dyDescent="0.2">
      <c r="A18" s="87" t="s">
        <v>97</v>
      </c>
      <c r="B18" s="89" t="s">
        <v>50</v>
      </c>
      <c r="C18" s="91" t="s">
        <v>104</v>
      </c>
    </row>
    <row r="19" spans="1:3" ht="13.5" thickBot="1" x14ac:dyDescent="0.25">
      <c r="A19" s="88"/>
      <c r="B19" s="94"/>
      <c r="C19" s="95"/>
    </row>
    <row r="20" spans="1:3" ht="72" customHeight="1" x14ac:dyDescent="0.2">
      <c r="A20" s="81" t="s">
        <v>102</v>
      </c>
      <c r="B20" s="21" t="s">
        <v>88</v>
      </c>
      <c r="C20" s="22" t="s">
        <v>242</v>
      </c>
    </row>
    <row r="21" spans="1:3" ht="72" customHeight="1" x14ac:dyDescent="0.2">
      <c r="A21" s="82"/>
      <c r="B21" s="19" t="s">
        <v>89</v>
      </c>
      <c r="C21" s="15" t="s">
        <v>269</v>
      </c>
    </row>
    <row r="22" spans="1:3" ht="72" customHeight="1" x14ac:dyDescent="0.2">
      <c r="A22" s="82"/>
      <c r="B22" s="19" t="s">
        <v>105</v>
      </c>
      <c r="C22" s="73" t="s">
        <v>243</v>
      </c>
    </row>
    <row r="23" spans="1:3" ht="72" customHeight="1" x14ac:dyDescent="0.2">
      <c r="A23" s="82"/>
      <c r="B23" s="31" t="s">
        <v>107</v>
      </c>
      <c r="C23" s="73" t="s">
        <v>270</v>
      </c>
    </row>
    <row r="24" spans="1:3" ht="72" customHeight="1" x14ac:dyDescent="0.2">
      <c r="A24" s="82"/>
      <c r="B24" s="19" t="s">
        <v>90</v>
      </c>
      <c r="C24" s="76"/>
    </row>
    <row r="25" spans="1:3" ht="72" customHeight="1" x14ac:dyDescent="0.2">
      <c r="A25" s="82"/>
      <c r="B25" s="19" t="s">
        <v>92</v>
      </c>
      <c r="C25" s="15" t="s">
        <v>244</v>
      </c>
    </row>
    <row r="26" spans="1:3" ht="72" customHeight="1" x14ac:dyDescent="0.2">
      <c r="A26" s="82"/>
      <c r="B26" s="63" t="s">
        <v>202</v>
      </c>
      <c r="C26" s="15" t="s">
        <v>271</v>
      </c>
    </row>
    <row r="27" spans="1:3" ht="72" customHeight="1" x14ac:dyDescent="0.2">
      <c r="A27" s="82"/>
      <c r="B27" s="19" t="s">
        <v>94</v>
      </c>
      <c r="C27" s="77" t="s">
        <v>273</v>
      </c>
    </row>
    <row r="28" spans="1:3" ht="136.5" customHeight="1" thickBot="1" x14ac:dyDescent="0.25">
      <c r="A28" s="83"/>
      <c r="B28" s="19" t="s">
        <v>100</v>
      </c>
      <c r="C28" s="15" t="s">
        <v>272</v>
      </c>
    </row>
    <row r="29" spans="1:3" x14ac:dyDescent="0.2">
      <c r="A29" s="62"/>
      <c r="B29" s="62"/>
      <c r="C29" s="62"/>
    </row>
    <row r="33" spans="3:3" ht="14.25" x14ac:dyDescent="0.2">
      <c r="C33" s="75"/>
    </row>
    <row r="34" spans="3:3" ht="14.25" x14ac:dyDescent="0.2">
      <c r="C34" s="75"/>
    </row>
  </sheetData>
  <mergeCells count="14">
    <mergeCell ref="B8:C8"/>
    <mergeCell ref="A2:C2"/>
    <mergeCell ref="A3:C3"/>
    <mergeCell ref="A4:C4"/>
    <mergeCell ref="B5:C5"/>
    <mergeCell ref="A20:A28"/>
    <mergeCell ref="A10:C10"/>
    <mergeCell ref="A11:A12"/>
    <mergeCell ref="B11:B12"/>
    <mergeCell ref="C11:C12"/>
    <mergeCell ref="A13:A17"/>
    <mergeCell ref="A18:A19"/>
    <mergeCell ref="B18:B19"/>
    <mergeCell ref="C18:C19"/>
  </mergeCells>
  <hyperlinks>
    <hyperlink ref="B23" location="'Cloud Security Questions'!A1" display="Is the application hosted in the the cloud by the vendor or installed onsite?  (If the application is hosted in the cloud, please complete the externally hosted form as well.)" xr:uid="{00000000-0004-0000-0000-000000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6"/>
  <sheetViews>
    <sheetView zoomScale="130" zoomScaleNormal="130" workbookViewId="0">
      <pane ySplit="1" topLeftCell="A50" activePane="bottomLeft" state="frozen"/>
      <selection pane="bottomLeft" activeCell="C15" sqref="C15"/>
    </sheetView>
  </sheetViews>
  <sheetFormatPr defaultColWidth="14.42578125" defaultRowHeight="15.75" customHeight="1" x14ac:dyDescent="0.2"/>
  <cols>
    <col min="1" max="1" width="54" style="1" customWidth="1"/>
    <col min="2" max="2" width="54.140625" style="1" customWidth="1"/>
    <col min="3" max="3" width="96" style="1" customWidth="1"/>
  </cols>
  <sheetData>
    <row r="1" spans="1:4" ht="15.75" customHeight="1" x14ac:dyDescent="0.25">
      <c r="A1" s="65" t="str">
        <f>CONCATENATE("Vendor Name: ",'Vendor Information'!C20)</f>
        <v>Vendor Name: PeriGen Inc.</v>
      </c>
      <c r="B1" s="64"/>
      <c r="C1" s="62"/>
    </row>
    <row r="2" spans="1:4" ht="26.25" x14ac:dyDescent="0.4">
      <c r="A2" s="98" t="s">
        <v>47</v>
      </c>
      <c r="B2" s="98"/>
      <c r="C2" s="98"/>
    </row>
    <row r="3" spans="1:4" ht="27" customHeight="1" thickBot="1" x14ac:dyDescent="0.35">
      <c r="A3" s="113" t="s">
        <v>48</v>
      </c>
      <c r="B3" s="103"/>
      <c r="C3" s="103"/>
      <c r="D3" s="103"/>
    </row>
    <row r="4" spans="1:4" ht="24.95" customHeight="1" x14ac:dyDescent="0.2">
      <c r="A4" s="7" t="s">
        <v>49</v>
      </c>
      <c r="B4" s="106" t="s">
        <v>50</v>
      </c>
      <c r="C4" s="108" t="s">
        <v>52</v>
      </c>
    </row>
    <row r="5" spans="1:4" ht="72" customHeight="1" x14ac:dyDescent="0.2">
      <c r="A5" s="8" t="s">
        <v>0</v>
      </c>
      <c r="B5" s="107"/>
      <c r="C5" s="109"/>
    </row>
    <row r="6" spans="1:4" ht="72" customHeight="1" x14ac:dyDescent="0.2">
      <c r="A6" s="114" t="s">
        <v>1</v>
      </c>
      <c r="B6" s="115"/>
      <c r="C6" s="116"/>
    </row>
    <row r="7" spans="1:4" ht="72" customHeight="1" x14ac:dyDescent="0.2">
      <c r="A7" s="9" t="s">
        <v>2</v>
      </c>
      <c r="B7" s="3" t="s">
        <v>43</v>
      </c>
      <c r="C7" s="74" t="s">
        <v>245</v>
      </c>
    </row>
    <row r="8" spans="1:4" ht="72" customHeight="1" x14ac:dyDescent="0.2">
      <c r="A8" s="9" t="s">
        <v>3</v>
      </c>
      <c r="B8" s="3" t="s">
        <v>44</v>
      </c>
      <c r="C8" s="74" t="s">
        <v>246</v>
      </c>
    </row>
    <row r="9" spans="1:4" ht="72" customHeight="1" x14ac:dyDescent="0.2">
      <c r="A9" s="10" t="s">
        <v>4</v>
      </c>
      <c r="B9" s="3" t="s">
        <v>51</v>
      </c>
      <c r="C9" s="74" t="s">
        <v>275</v>
      </c>
    </row>
    <row r="10" spans="1:4" ht="72" customHeight="1" x14ac:dyDescent="0.2">
      <c r="A10" s="11" t="s">
        <v>5</v>
      </c>
      <c r="B10" s="3" t="s">
        <v>45</v>
      </c>
      <c r="C10" s="74" t="s">
        <v>247</v>
      </c>
    </row>
    <row r="11" spans="1:4" ht="72" customHeight="1" x14ac:dyDescent="0.2">
      <c r="A11" s="114" t="s">
        <v>6</v>
      </c>
      <c r="B11" s="115"/>
      <c r="C11" s="116"/>
    </row>
    <row r="12" spans="1:4" s="2" customFormat="1" ht="72" customHeight="1" x14ac:dyDescent="0.2">
      <c r="A12" s="9" t="s">
        <v>7</v>
      </c>
      <c r="B12" s="3" t="s">
        <v>55</v>
      </c>
      <c r="C12" s="74" t="s">
        <v>248</v>
      </c>
    </row>
    <row r="13" spans="1:4" s="2" customFormat="1" ht="72" customHeight="1" x14ac:dyDescent="0.2">
      <c r="A13" s="114" t="s">
        <v>8</v>
      </c>
      <c r="B13" s="115"/>
      <c r="C13" s="116"/>
    </row>
    <row r="14" spans="1:4" ht="72" customHeight="1" x14ac:dyDescent="0.2">
      <c r="A14" s="9" t="s">
        <v>9</v>
      </c>
      <c r="B14" s="4" t="s">
        <v>46</v>
      </c>
      <c r="C14" s="12" t="s">
        <v>276</v>
      </c>
    </row>
    <row r="15" spans="1:4" ht="72" customHeight="1" x14ac:dyDescent="0.2">
      <c r="A15" s="9" t="s">
        <v>10</v>
      </c>
      <c r="B15" s="4" t="s">
        <v>68</v>
      </c>
      <c r="C15" s="12" t="s">
        <v>256</v>
      </c>
    </row>
    <row r="16" spans="1:4" ht="72" customHeight="1" x14ac:dyDescent="0.2">
      <c r="A16" s="114" t="s">
        <v>11</v>
      </c>
      <c r="B16" s="115"/>
      <c r="C16" s="116"/>
    </row>
    <row r="17" spans="1:3" ht="72" customHeight="1" x14ac:dyDescent="0.2">
      <c r="A17" s="9" t="s">
        <v>12</v>
      </c>
      <c r="B17" s="70" t="s">
        <v>215</v>
      </c>
      <c r="C17" s="6" t="s">
        <v>249</v>
      </c>
    </row>
    <row r="18" spans="1:3" ht="72" customHeight="1" x14ac:dyDescent="0.2">
      <c r="A18" s="9" t="s">
        <v>13</v>
      </c>
      <c r="B18" s="3" t="s">
        <v>56</v>
      </c>
      <c r="C18" s="6" t="s">
        <v>250</v>
      </c>
    </row>
    <row r="19" spans="1:3" ht="72" customHeight="1" x14ac:dyDescent="0.2">
      <c r="A19" s="9" t="s">
        <v>14</v>
      </c>
      <c r="B19" s="32" t="s">
        <v>137</v>
      </c>
      <c r="C19" s="6" t="s">
        <v>251</v>
      </c>
    </row>
    <row r="20" spans="1:3" ht="72" customHeight="1" x14ac:dyDescent="0.2">
      <c r="A20" s="114" t="s">
        <v>15</v>
      </c>
      <c r="B20" s="115"/>
      <c r="C20" s="116"/>
    </row>
    <row r="21" spans="1:3" ht="102.75" customHeight="1" x14ac:dyDescent="0.2">
      <c r="A21" s="9" t="s">
        <v>16</v>
      </c>
      <c r="B21" s="3" t="s">
        <v>53</v>
      </c>
      <c r="C21" s="6" t="s">
        <v>252</v>
      </c>
    </row>
    <row r="22" spans="1:3" ht="72" customHeight="1" x14ac:dyDescent="0.2">
      <c r="A22" s="9" t="s">
        <v>17</v>
      </c>
      <c r="B22" s="3" t="s">
        <v>57</v>
      </c>
      <c r="C22" s="6" t="s">
        <v>253</v>
      </c>
    </row>
    <row r="23" spans="1:3" ht="72" customHeight="1" x14ac:dyDescent="0.2">
      <c r="A23" s="9" t="s">
        <v>18</v>
      </c>
      <c r="B23" s="3" t="s">
        <v>58</v>
      </c>
      <c r="C23" s="6" t="s">
        <v>254</v>
      </c>
    </row>
    <row r="24" spans="1:3" ht="72" customHeight="1" x14ac:dyDescent="0.2">
      <c r="A24" s="9" t="s">
        <v>19</v>
      </c>
      <c r="B24" s="3" t="s">
        <v>54</v>
      </c>
      <c r="C24" s="6" t="s">
        <v>255</v>
      </c>
    </row>
    <row r="25" spans="1:3" ht="72" customHeight="1" x14ac:dyDescent="0.2">
      <c r="A25" s="11" t="s">
        <v>20</v>
      </c>
      <c r="B25" s="3" t="s">
        <v>59</v>
      </c>
      <c r="C25" s="6" t="s">
        <v>256</v>
      </c>
    </row>
    <row r="26" spans="1:3" ht="72" customHeight="1" x14ac:dyDescent="0.2">
      <c r="A26" s="110" t="s">
        <v>21</v>
      </c>
      <c r="B26" s="111"/>
      <c r="C26" s="112"/>
    </row>
    <row r="27" spans="1:3" ht="72" customHeight="1" x14ac:dyDescent="0.2">
      <c r="A27" s="114" t="s">
        <v>22</v>
      </c>
      <c r="B27" s="115"/>
      <c r="C27" s="116"/>
    </row>
    <row r="28" spans="1:3" ht="72" customHeight="1" x14ac:dyDescent="0.2">
      <c r="A28" s="9" t="s">
        <v>23</v>
      </c>
      <c r="B28" s="3" t="s">
        <v>60</v>
      </c>
      <c r="C28" s="6" t="s">
        <v>254</v>
      </c>
    </row>
    <row r="29" spans="1:3" ht="72" customHeight="1" x14ac:dyDescent="0.2">
      <c r="A29" s="9" t="s">
        <v>24</v>
      </c>
      <c r="B29" s="3" t="s">
        <v>63</v>
      </c>
      <c r="C29" s="6" t="s">
        <v>254</v>
      </c>
    </row>
    <row r="30" spans="1:3" ht="72" customHeight="1" x14ac:dyDescent="0.2">
      <c r="A30" s="9" t="s">
        <v>25</v>
      </c>
      <c r="B30" s="3" t="s">
        <v>61</v>
      </c>
      <c r="C30" s="6" t="s">
        <v>254</v>
      </c>
    </row>
    <row r="31" spans="1:3" ht="72" customHeight="1" x14ac:dyDescent="0.2">
      <c r="A31" s="9" t="s">
        <v>26</v>
      </c>
      <c r="B31" s="3" t="s">
        <v>62</v>
      </c>
      <c r="C31" s="6" t="s">
        <v>257</v>
      </c>
    </row>
    <row r="32" spans="1:3" ht="72" customHeight="1" x14ac:dyDescent="0.2">
      <c r="A32" s="11" t="s">
        <v>27</v>
      </c>
      <c r="B32" s="3" t="s">
        <v>69</v>
      </c>
      <c r="C32" s="6" t="s">
        <v>258</v>
      </c>
    </row>
    <row r="33" spans="1:3" ht="72" customHeight="1" x14ac:dyDescent="0.2">
      <c r="A33" s="11" t="s">
        <v>28</v>
      </c>
      <c r="B33" s="3" t="s">
        <v>64</v>
      </c>
      <c r="C33" s="6" t="s">
        <v>259</v>
      </c>
    </row>
    <row r="34" spans="1:3" ht="72" customHeight="1" x14ac:dyDescent="0.2">
      <c r="A34" s="117" t="s">
        <v>29</v>
      </c>
      <c r="B34" s="118"/>
      <c r="C34" s="119"/>
    </row>
    <row r="35" spans="1:3" ht="72" customHeight="1" x14ac:dyDescent="0.2">
      <c r="A35" s="9" t="s">
        <v>30</v>
      </c>
      <c r="B35" s="3" t="s">
        <v>65</v>
      </c>
      <c r="C35" s="6" t="s">
        <v>260</v>
      </c>
    </row>
    <row r="36" spans="1:3" ht="72" customHeight="1" x14ac:dyDescent="0.2">
      <c r="A36" s="9" t="s">
        <v>31</v>
      </c>
      <c r="B36" s="3" t="s">
        <v>70</v>
      </c>
      <c r="C36" s="6" t="s">
        <v>254</v>
      </c>
    </row>
    <row r="37" spans="1:3" ht="72" customHeight="1" x14ac:dyDescent="0.2">
      <c r="A37" s="9" t="s">
        <v>32</v>
      </c>
      <c r="B37" s="3" t="s">
        <v>66</v>
      </c>
      <c r="C37" s="6" t="s">
        <v>261</v>
      </c>
    </row>
    <row r="38" spans="1:3" ht="72" customHeight="1" x14ac:dyDescent="0.2">
      <c r="A38" s="110" t="s">
        <v>33</v>
      </c>
      <c r="B38" s="111"/>
      <c r="C38" s="112"/>
    </row>
    <row r="39" spans="1:3" ht="72" customHeight="1" x14ac:dyDescent="0.2">
      <c r="A39" s="117" t="s">
        <v>34</v>
      </c>
      <c r="B39" s="118"/>
      <c r="C39" s="119"/>
    </row>
    <row r="40" spans="1:3" ht="72" customHeight="1" x14ac:dyDescent="0.2">
      <c r="A40" s="9" t="s">
        <v>35</v>
      </c>
      <c r="B40" s="3" t="s">
        <v>67</v>
      </c>
      <c r="C40" s="6" t="s">
        <v>262</v>
      </c>
    </row>
    <row r="41" spans="1:3" ht="72" customHeight="1" x14ac:dyDescent="0.2">
      <c r="A41" s="11" t="s">
        <v>36</v>
      </c>
      <c r="B41" s="32" t="s">
        <v>140</v>
      </c>
      <c r="C41" s="6" t="s">
        <v>256</v>
      </c>
    </row>
    <row r="42" spans="1:3" ht="72" customHeight="1" x14ac:dyDescent="0.2">
      <c r="A42" s="11" t="s">
        <v>37</v>
      </c>
      <c r="B42" s="32" t="s">
        <v>139</v>
      </c>
      <c r="C42" s="6" t="s">
        <v>263</v>
      </c>
    </row>
    <row r="43" spans="1:3" ht="72" customHeight="1" x14ac:dyDescent="0.2">
      <c r="A43" s="11" t="s">
        <v>38</v>
      </c>
      <c r="B43" s="3" t="s">
        <v>71</v>
      </c>
      <c r="C43" s="6" t="s">
        <v>256</v>
      </c>
    </row>
    <row r="44" spans="1:3" ht="72" customHeight="1" x14ac:dyDescent="0.2">
      <c r="A44" s="11" t="s">
        <v>39</v>
      </c>
      <c r="B44" s="3" t="s">
        <v>72</v>
      </c>
      <c r="C44" s="6" t="s">
        <v>264</v>
      </c>
    </row>
    <row r="45" spans="1:3" ht="72" customHeight="1" x14ac:dyDescent="0.2">
      <c r="A45" s="117" t="s">
        <v>214</v>
      </c>
      <c r="B45" s="118"/>
      <c r="C45" s="119"/>
    </row>
    <row r="46" spans="1:3" ht="72" customHeight="1" x14ac:dyDescent="0.2">
      <c r="A46" s="11" t="s">
        <v>208</v>
      </c>
      <c r="B46" s="70" t="s">
        <v>216</v>
      </c>
      <c r="C46" s="6" t="s">
        <v>265</v>
      </c>
    </row>
    <row r="47" spans="1:3" ht="72" customHeight="1" x14ac:dyDescent="0.2">
      <c r="A47" s="11" t="s">
        <v>209</v>
      </c>
      <c r="B47" s="70" t="s">
        <v>203</v>
      </c>
      <c r="C47" s="6" t="s">
        <v>256</v>
      </c>
    </row>
    <row r="48" spans="1:3" ht="72" customHeight="1" x14ac:dyDescent="0.2">
      <c r="A48" s="11" t="s">
        <v>210</v>
      </c>
      <c r="B48" s="70" t="s">
        <v>204</v>
      </c>
      <c r="C48" s="6" t="s">
        <v>256</v>
      </c>
    </row>
    <row r="49" spans="1:3" ht="72" customHeight="1" x14ac:dyDescent="0.2">
      <c r="A49" s="11" t="s">
        <v>211</v>
      </c>
      <c r="B49" s="70" t="s">
        <v>205</v>
      </c>
      <c r="C49" s="6" t="s">
        <v>256</v>
      </c>
    </row>
    <row r="50" spans="1:3" ht="72" customHeight="1" x14ac:dyDescent="0.2">
      <c r="A50" s="11" t="s">
        <v>212</v>
      </c>
      <c r="B50" s="70" t="s">
        <v>206</v>
      </c>
      <c r="C50" s="6" t="s">
        <v>266</v>
      </c>
    </row>
    <row r="51" spans="1:3" ht="72" customHeight="1" x14ac:dyDescent="0.2">
      <c r="A51" s="11" t="s">
        <v>213</v>
      </c>
      <c r="B51" s="70" t="s">
        <v>207</v>
      </c>
      <c r="C51" s="6" t="s">
        <v>256</v>
      </c>
    </row>
    <row r="52" spans="1:3" ht="72" customHeight="1" x14ac:dyDescent="0.2">
      <c r="A52" s="117" t="s">
        <v>40</v>
      </c>
      <c r="B52" s="118"/>
      <c r="C52" s="119"/>
    </row>
    <row r="53" spans="1:3" ht="72" customHeight="1" x14ac:dyDescent="0.2">
      <c r="A53" s="10" t="s">
        <v>73</v>
      </c>
      <c r="B53" s="32" t="s">
        <v>138</v>
      </c>
      <c r="C53" s="6" t="s">
        <v>267</v>
      </c>
    </row>
    <row r="54" spans="1:3" ht="72" customHeight="1" x14ac:dyDescent="0.2">
      <c r="A54" s="110" t="s">
        <v>41</v>
      </c>
      <c r="B54" s="111"/>
      <c r="C54" s="112"/>
    </row>
    <row r="55" spans="1:3" ht="72" customHeight="1" x14ac:dyDescent="0.2">
      <c r="A55" s="32" t="s">
        <v>42</v>
      </c>
      <c r="B55" s="32" t="s">
        <v>74</v>
      </c>
      <c r="C55" s="70" t="s">
        <v>268</v>
      </c>
    </row>
    <row r="56" spans="1:3" ht="72" customHeight="1" x14ac:dyDescent="0.2">
      <c r="A56" s="32" t="s">
        <v>75</v>
      </c>
      <c r="B56" s="104" t="s">
        <v>217</v>
      </c>
      <c r="C56" s="105"/>
    </row>
  </sheetData>
  <mergeCells count="18">
    <mergeCell ref="A2:C2"/>
    <mergeCell ref="A11:C11"/>
    <mergeCell ref="A6:C6"/>
    <mergeCell ref="A52:C52"/>
    <mergeCell ref="A34:C34"/>
    <mergeCell ref="A26:C26"/>
    <mergeCell ref="A27:C27"/>
    <mergeCell ref="A39:C39"/>
    <mergeCell ref="A38:C38"/>
    <mergeCell ref="A20:C20"/>
    <mergeCell ref="A16:C16"/>
    <mergeCell ref="A13:C13"/>
    <mergeCell ref="A45:C45"/>
    <mergeCell ref="B56:C56"/>
    <mergeCell ref="B4:B5"/>
    <mergeCell ref="C4:C5"/>
    <mergeCell ref="A54:C54"/>
    <mergeCell ref="A3:D3"/>
  </mergeCells>
  <phoneticPr fontId="10" type="noConversion"/>
  <printOptions horizontalCentered="1"/>
  <pageMargins left="0.75" right="0.75" top="1" bottom="1" header="0.5" footer="0.5"/>
  <pageSetup scale="48" fitToHeight="3" orientation="landscape" horizontalDpi="4294967292" verticalDpi="4294967292"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6"/>
  <sheetViews>
    <sheetView workbookViewId="0">
      <pane ySplit="1" topLeftCell="A2" activePane="bottomLeft" state="frozen"/>
      <selection pane="bottomLeft" activeCell="B14" sqref="B14"/>
    </sheetView>
  </sheetViews>
  <sheetFormatPr defaultColWidth="11.42578125" defaultRowHeight="12.75" x14ac:dyDescent="0.2"/>
  <cols>
    <col min="1" max="2" width="96.5703125" customWidth="1"/>
  </cols>
  <sheetData>
    <row r="1" spans="1:3" s="68" customFormat="1" ht="15.75" x14ac:dyDescent="0.25">
      <c r="A1" s="65" t="str">
        <f>CONCATENATE("Vendor Name: ",'Vendor Information'!C20)</f>
        <v>Vendor Name: PeriGen Inc.</v>
      </c>
      <c r="C1" s="69"/>
    </row>
    <row r="2" spans="1:3" ht="15.75" customHeight="1" x14ac:dyDescent="0.2">
      <c r="A2" s="62"/>
      <c r="B2" s="62"/>
      <c r="C2" s="62"/>
    </row>
    <row r="3" spans="1:3" ht="26.25" x14ac:dyDescent="0.4">
      <c r="A3" s="123" t="s">
        <v>118</v>
      </c>
      <c r="B3" s="123"/>
    </row>
    <row r="5" spans="1:3" ht="69.95" customHeight="1" thickBot="1" x14ac:dyDescent="0.25">
      <c r="A5" s="122" t="s">
        <v>220</v>
      </c>
      <c r="B5" s="122"/>
    </row>
    <row r="6" spans="1:3" ht="30" customHeight="1" x14ac:dyDescent="0.25">
      <c r="A6" s="128" t="s">
        <v>136</v>
      </c>
      <c r="B6" s="128"/>
      <c r="C6" s="33"/>
    </row>
    <row r="7" spans="1:3" ht="15.75" customHeight="1" x14ac:dyDescent="0.25">
      <c r="A7" s="45" t="s">
        <v>106</v>
      </c>
      <c r="B7" s="71" t="s">
        <v>241</v>
      </c>
    </row>
    <row r="8" spans="1:3" ht="15.75" customHeight="1" x14ac:dyDescent="0.25">
      <c r="A8" s="45"/>
      <c r="B8" s="71" t="s">
        <v>193</v>
      </c>
    </row>
    <row r="9" spans="1:3" ht="15.75" customHeight="1" x14ac:dyDescent="0.25">
      <c r="A9" s="45"/>
      <c r="B9" s="71" t="s">
        <v>201</v>
      </c>
    </row>
    <row r="10" spans="1:3" ht="15.75" customHeight="1" x14ac:dyDescent="0.25">
      <c r="A10" s="45"/>
      <c r="B10" s="72" t="s">
        <v>196</v>
      </c>
    </row>
    <row r="11" spans="1:3" ht="15.75" customHeight="1" thickBot="1" x14ac:dyDescent="0.3">
      <c r="A11" s="23"/>
      <c r="B11" s="24"/>
    </row>
    <row r="12" spans="1:3" ht="45" customHeight="1" thickBot="1" x14ac:dyDescent="0.25">
      <c r="A12" s="124" t="s">
        <v>161</v>
      </c>
      <c r="B12" s="125"/>
    </row>
    <row r="13" spans="1:3" ht="72" customHeight="1" x14ac:dyDescent="0.2">
      <c r="A13" s="38" t="s">
        <v>143</v>
      </c>
      <c r="B13" s="26" t="s">
        <v>277</v>
      </c>
    </row>
    <row r="14" spans="1:3" ht="72" customHeight="1" x14ac:dyDescent="0.2">
      <c r="A14" s="38" t="s">
        <v>173</v>
      </c>
      <c r="B14" s="79"/>
    </row>
    <row r="15" spans="1:3" ht="72" customHeight="1" x14ac:dyDescent="0.2">
      <c r="A15" s="37" t="s">
        <v>160</v>
      </c>
      <c r="B15" s="26"/>
    </row>
    <row r="16" spans="1:3" ht="72" customHeight="1" x14ac:dyDescent="0.2">
      <c r="A16" s="37" t="s">
        <v>158</v>
      </c>
      <c r="B16" s="26"/>
    </row>
    <row r="17" spans="1:2" ht="72" customHeight="1" x14ac:dyDescent="0.2">
      <c r="A17" s="38" t="s">
        <v>221</v>
      </c>
      <c r="B17" s="26"/>
    </row>
    <row r="18" spans="1:2" ht="72" customHeight="1" x14ac:dyDescent="0.2">
      <c r="A18" s="43" t="s">
        <v>144</v>
      </c>
      <c r="B18" s="80"/>
    </row>
    <row r="19" spans="1:2" ht="72" customHeight="1" x14ac:dyDescent="0.2">
      <c r="A19" s="38" t="s">
        <v>222</v>
      </c>
      <c r="B19" s="79"/>
    </row>
    <row r="20" spans="1:2" ht="72" customHeight="1" x14ac:dyDescent="0.2">
      <c r="A20" s="43" t="s">
        <v>145</v>
      </c>
      <c r="B20" s="30"/>
    </row>
    <row r="21" spans="1:2" ht="72" customHeight="1" x14ac:dyDescent="0.2">
      <c r="A21" s="38" t="s">
        <v>114</v>
      </c>
      <c r="B21" s="26"/>
    </row>
    <row r="22" spans="1:2" ht="72" customHeight="1" x14ac:dyDescent="0.2">
      <c r="A22" s="38" t="s">
        <v>113</v>
      </c>
      <c r="B22" s="26"/>
    </row>
    <row r="23" spans="1:2" ht="72" customHeight="1" x14ac:dyDescent="0.2">
      <c r="A23" s="43" t="s">
        <v>146</v>
      </c>
      <c r="B23" s="30"/>
    </row>
    <row r="24" spans="1:2" ht="72" customHeight="1" x14ac:dyDescent="0.2">
      <c r="A24" s="44" t="s">
        <v>159</v>
      </c>
      <c r="B24" s="30"/>
    </row>
    <row r="25" spans="1:2" ht="72" customHeight="1" thickBot="1" x14ac:dyDescent="0.25">
      <c r="A25" s="43" t="s">
        <v>223</v>
      </c>
      <c r="B25" s="30"/>
    </row>
    <row r="26" spans="1:2" ht="45" customHeight="1" thickBot="1" x14ac:dyDescent="0.25">
      <c r="A26" s="124" t="s">
        <v>112</v>
      </c>
      <c r="B26" s="125"/>
    </row>
    <row r="27" spans="1:2" ht="72" customHeight="1" x14ac:dyDescent="0.2">
      <c r="A27" s="41" t="s">
        <v>111</v>
      </c>
      <c r="B27" s="25"/>
    </row>
    <row r="28" spans="1:2" ht="72" customHeight="1" x14ac:dyDescent="0.2">
      <c r="A28" s="38" t="s">
        <v>110</v>
      </c>
      <c r="B28" s="26"/>
    </row>
    <row r="29" spans="1:2" ht="72" customHeight="1" x14ac:dyDescent="0.2">
      <c r="A29" s="38" t="s">
        <v>109</v>
      </c>
      <c r="B29" s="26"/>
    </row>
    <row r="30" spans="1:2" ht="72" customHeight="1" x14ac:dyDescent="0.2">
      <c r="A30" s="38" t="s">
        <v>224</v>
      </c>
      <c r="B30" s="26"/>
    </row>
    <row r="31" spans="1:2" ht="72" customHeight="1" x14ac:dyDescent="0.2">
      <c r="A31" s="38" t="s">
        <v>225</v>
      </c>
      <c r="B31" s="26"/>
    </row>
    <row r="32" spans="1:2" ht="72" customHeight="1" x14ac:dyDescent="0.2">
      <c r="A32" s="37" t="s">
        <v>166</v>
      </c>
      <c r="B32" s="26"/>
    </row>
    <row r="33" spans="1:2" ht="72" customHeight="1" thickBot="1" x14ac:dyDescent="0.25">
      <c r="A33" s="42" t="s">
        <v>108</v>
      </c>
      <c r="B33" s="28"/>
    </row>
    <row r="34" spans="1:2" ht="45" customHeight="1" x14ac:dyDescent="0.2">
      <c r="A34" s="126" t="s">
        <v>176</v>
      </c>
      <c r="B34" s="127"/>
    </row>
    <row r="35" spans="1:2" ht="72" customHeight="1" x14ac:dyDescent="0.2">
      <c r="A35" s="38" t="s">
        <v>226</v>
      </c>
      <c r="B35" s="26"/>
    </row>
    <row r="36" spans="1:2" ht="72" customHeight="1" x14ac:dyDescent="0.2">
      <c r="A36" s="37" t="s">
        <v>172</v>
      </c>
      <c r="B36" s="26"/>
    </row>
    <row r="37" spans="1:2" ht="72" customHeight="1" x14ac:dyDescent="0.2">
      <c r="A37" s="38" t="s">
        <v>227</v>
      </c>
      <c r="B37" s="26"/>
    </row>
    <row r="38" spans="1:2" ht="72" customHeight="1" x14ac:dyDescent="0.2">
      <c r="A38" s="35" t="s">
        <v>115</v>
      </c>
      <c r="B38" s="28"/>
    </row>
    <row r="39" spans="1:2" ht="72" customHeight="1" x14ac:dyDescent="0.2">
      <c r="A39" s="35" t="s">
        <v>116</v>
      </c>
      <c r="B39" s="28"/>
    </row>
    <row r="40" spans="1:2" ht="72" customHeight="1" x14ac:dyDescent="0.2">
      <c r="A40" s="35" t="s">
        <v>117</v>
      </c>
      <c r="B40" s="28"/>
    </row>
    <row r="41" spans="1:2" ht="72" customHeight="1" x14ac:dyDescent="0.2">
      <c r="A41" s="37" t="s">
        <v>156</v>
      </c>
      <c r="B41" s="28"/>
    </row>
    <row r="42" spans="1:2" ht="72" customHeight="1" thickBot="1" x14ac:dyDescent="0.25">
      <c r="A42" s="35" t="s">
        <v>164</v>
      </c>
      <c r="B42" s="28"/>
    </row>
    <row r="43" spans="1:2" ht="45" customHeight="1" thickBot="1" x14ac:dyDescent="0.25">
      <c r="A43" s="120" t="s">
        <v>119</v>
      </c>
      <c r="B43" s="121"/>
    </row>
    <row r="44" spans="1:2" ht="72" customHeight="1" x14ac:dyDescent="0.2">
      <c r="A44" s="37" t="s">
        <v>157</v>
      </c>
      <c r="B44" s="26"/>
    </row>
    <row r="45" spans="1:2" ht="72" customHeight="1" x14ac:dyDescent="0.2">
      <c r="A45" s="39" t="s">
        <v>120</v>
      </c>
      <c r="B45" s="26"/>
    </row>
    <row r="46" spans="1:2" ht="72" customHeight="1" x14ac:dyDescent="0.2">
      <c r="A46" s="39" t="s">
        <v>121</v>
      </c>
      <c r="B46" s="26"/>
    </row>
    <row r="47" spans="1:2" ht="72" customHeight="1" x14ac:dyDescent="0.2">
      <c r="A47" s="37" t="s">
        <v>177</v>
      </c>
      <c r="B47" s="26"/>
    </row>
    <row r="48" spans="1:2" ht="72" customHeight="1" x14ac:dyDescent="0.2">
      <c r="A48" s="39" t="s">
        <v>122</v>
      </c>
      <c r="B48" s="26"/>
    </row>
    <row r="49" spans="1:2" ht="72" customHeight="1" x14ac:dyDescent="0.2">
      <c r="A49" s="39" t="s">
        <v>123</v>
      </c>
      <c r="B49" s="26"/>
    </row>
    <row r="50" spans="1:2" ht="72" customHeight="1" x14ac:dyDescent="0.2">
      <c r="A50" s="39" t="s">
        <v>228</v>
      </c>
      <c r="B50" s="26"/>
    </row>
    <row r="51" spans="1:2" ht="72" customHeight="1" thickBot="1" x14ac:dyDescent="0.25">
      <c r="A51" s="39" t="s">
        <v>155</v>
      </c>
      <c r="B51" s="26"/>
    </row>
    <row r="52" spans="1:2" ht="45" customHeight="1" thickBot="1" x14ac:dyDescent="0.25">
      <c r="A52" s="120" t="s">
        <v>124</v>
      </c>
      <c r="B52" s="121"/>
    </row>
    <row r="53" spans="1:2" ht="72" customHeight="1" x14ac:dyDescent="0.2">
      <c r="A53" s="36" t="s">
        <v>125</v>
      </c>
      <c r="B53" s="25"/>
    </row>
    <row r="54" spans="1:2" ht="72" customHeight="1" x14ac:dyDescent="0.2">
      <c r="A54" s="37" t="s">
        <v>175</v>
      </c>
      <c r="B54" s="26"/>
    </row>
    <row r="55" spans="1:2" ht="72" customHeight="1" x14ac:dyDescent="0.2">
      <c r="A55" s="38" t="s">
        <v>126</v>
      </c>
      <c r="B55" s="26"/>
    </row>
    <row r="56" spans="1:2" ht="72" customHeight="1" x14ac:dyDescent="0.2">
      <c r="A56" s="37" t="s">
        <v>154</v>
      </c>
      <c r="B56" s="26"/>
    </row>
    <row r="57" spans="1:2" ht="72" customHeight="1" x14ac:dyDescent="0.2">
      <c r="A57" s="39" t="s">
        <v>127</v>
      </c>
      <c r="B57" s="26"/>
    </row>
    <row r="58" spans="1:2" ht="72" customHeight="1" x14ac:dyDescent="0.2">
      <c r="A58" s="29" t="s">
        <v>152</v>
      </c>
      <c r="B58" s="28"/>
    </row>
    <row r="59" spans="1:2" ht="72" customHeight="1" x14ac:dyDescent="0.2">
      <c r="A59" s="35" t="s">
        <v>153</v>
      </c>
      <c r="B59" s="28"/>
    </row>
    <row r="60" spans="1:2" ht="72" customHeight="1" thickBot="1" x14ac:dyDescent="0.25">
      <c r="A60" s="40" t="s">
        <v>128</v>
      </c>
      <c r="B60" s="27"/>
    </row>
    <row r="61" spans="1:2" ht="45" customHeight="1" thickBot="1" x14ac:dyDescent="0.25">
      <c r="A61" s="120" t="s">
        <v>129</v>
      </c>
      <c r="B61" s="121"/>
    </row>
    <row r="62" spans="1:2" ht="45" customHeight="1" x14ac:dyDescent="0.2">
      <c r="A62" s="39" t="s">
        <v>147</v>
      </c>
      <c r="B62" s="26"/>
    </row>
    <row r="63" spans="1:2" ht="45" customHeight="1" x14ac:dyDescent="0.2">
      <c r="A63" s="39" t="s">
        <v>148</v>
      </c>
      <c r="B63" s="26"/>
    </row>
    <row r="64" spans="1:2" ht="45" customHeight="1" x14ac:dyDescent="0.2">
      <c r="A64" s="39" t="s">
        <v>149</v>
      </c>
      <c r="B64" s="26"/>
    </row>
    <row r="65" spans="1:2" ht="45" customHeight="1" x14ac:dyDescent="0.2">
      <c r="A65" s="37" t="s">
        <v>150</v>
      </c>
      <c r="B65" s="26"/>
    </row>
    <row r="66" spans="1:2" ht="45" customHeight="1" x14ac:dyDescent="0.2">
      <c r="A66" s="37" t="s">
        <v>151</v>
      </c>
      <c r="B66" s="26"/>
    </row>
    <row r="67" spans="1:2" ht="72" customHeight="1" x14ac:dyDescent="0.2">
      <c r="A67" s="39" t="s">
        <v>130</v>
      </c>
      <c r="B67" s="26"/>
    </row>
    <row r="68" spans="1:2" ht="72" customHeight="1" x14ac:dyDescent="0.2">
      <c r="A68" s="39" t="s">
        <v>141</v>
      </c>
      <c r="B68" s="26"/>
    </row>
    <row r="69" spans="1:2" ht="72" customHeight="1" thickBot="1" x14ac:dyDescent="0.25">
      <c r="A69" s="40" t="s">
        <v>131</v>
      </c>
      <c r="B69" s="27"/>
    </row>
    <row r="70" spans="1:2" ht="45" customHeight="1" thickBot="1" x14ac:dyDescent="0.25">
      <c r="A70" s="120" t="s">
        <v>132</v>
      </c>
      <c r="B70" s="121"/>
    </row>
    <row r="71" spans="1:2" ht="72" customHeight="1" x14ac:dyDescent="0.2">
      <c r="A71" s="36" t="s">
        <v>133</v>
      </c>
      <c r="B71" s="25"/>
    </row>
    <row r="72" spans="1:2" ht="72" customHeight="1" x14ac:dyDescent="0.2">
      <c r="A72" s="39" t="s">
        <v>134</v>
      </c>
      <c r="B72" s="26"/>
    </row>
    <row r="73" spans="1:2" ht="72" customHeight="1" x14ac:dyDescent="0.2">
      <c r="A73" s="35" t="s">
        <v>168</v>
      </c>
      <c r="B73" s="28"/>
    </row>
    <row r="74" spans="1:2" ht="72" customHeight="1" x14ac:dyDescent="0.2">
      <c r="A74" s="35" t="s">
        <v>169</v>
      </c>
      <c r="B74" s="28"/>
    </row>
    <row r="75" spans="1:2" ht="72" customHeight="1" x14ac:dyDescent="0.2">
      <c r="A75" s="35" t="s">
        <v>170</v>
      </c>
      <c r="B75" s="28"/>
    </row>
    <row r="76" spans="1:2" ht="72" customHeight="1" thickBot="1" x14ac:dyDescent="0.25">
      <c r="A76" s="40" t="s">
        <v>229</v>
      </c>
      <c r="B76" s="27"/>
    </row>
    <row r="77" spans="1:2" ht="45" customHeight="1" thickBot="1" x14ac:dyDescent="0.25">
      <c r="A77" s="120" t="s">
        <v>165</v>
      </c>
      <c r="B77" s="121"/>
    </row>
    <row r="78" spans="1:2" ht="72" customHeight="1" x14ac:dyDescent="0.2">
      <c r="A78" s="37" t="s">
        <v>171</v>
      </c>
      <c r="B78" s="26"/>
    </row>
    <row r="79" spans="1:2" ht="72" customHeight="1" x14ac:dyDescent="0.2">
      <c r="A79" s="39" t="s">
        <v>230</v>
      </c>
      <c r="B79" s="26"/>
    </row>
    <row r="80" spans="1:2" ht="72" customHeight="1" x14ac:dyDescent="0.2">
      <c r="A80" s="39" t="s">
        <v>231</v>
      </c>
      <c r="B80" s="26"/>
    </row>
    <row r="81" spans="1:2" ht="72" customHeight="1" x14ac:dyDescent="0.2">
      <c r="A81" s="39" t="s">
        <v>232</v>
      </c>
      <c r="B81" s="26"/>
    </row>
    <row r="82" spans="1:2" ht="72" customHeight="1" x14ac:dyDescent="0.2">
      <c r="A82" s="38" t="s">
        <v>233</v>
      </c>
      <c r="B82" s="26"/>
    </row>
    <row r="83" spans="1:2" ht="72" customHeight="1" x14ac:dyDescent="0.2">
      <c r="A83" s="39" t="s">
        <v>234</v>
      </c>
      <c r="B83" s="26"/>
    </row>
    <row r="84" spans="1:2" ht="72" customHeight="1" thickBot="1" x14ac:dyDescent="0.25">
      <c r="A84" s="56" t="s">
        <v>235</v>
      </c>
      <c r="B84" s="27"/>
    </row>
    <row r="85" spans="1:2" ht="45" customHeight="1" thickBot="1" x14ac:dyDescent="0.25">
      <c r="A85" s="120" t="s">
        <v>135</v>
      </c>
      <c r="B85" s="121"/>
    </row>
    <row r="86" spans="1:2" ht="72" customHeight="1" x14ac:dyDescent="0.2">
      <c r="A86" s="36" t="s">
        <v>236</v>
      </c>
      <c r="B86" s="25"/>
    </row>
    <row r="87" spans="1:2" ht="72" customHeight="1" x14ac:dyDescent="0.2">
      <c r="A87" s="43" t="s">
        <v>237</v>
      </c>
      <c r="B87" s="30"/>
    </row>
    <row r="88" spans="1:2" ht="72" customHeight="1" x14ac:dyDescent="0.2">
      <c r="A88" s="39" t="s">
        <v>238</v>
      </c>
      <c r="B88" s="26"/>
    </row>
    <row r="89" spans="1:2" ht="72" customHeight="1" x14ac:dyDescent="0.2">
      <c r="A89" s="39" t="s">
        <v>239</v>
      </c>
      <c r="B89" s="26"/>
    </row>
    <row r="90" spans="1:2" ht="72" customHeight="1" thickBot="1" x14ac:dyDescent="0.25">
      <c r="A90" s="40" t="s">
        <v>240</v>
      </c>
      <c r="B90" s="27"/>
    </row>
    <row r="91" spans="1:2" ht="45" customHeight="1" thickBot="1" x14ac:dyDescent="0.25">
      <c r="A91" s="120" t="s">
        <v>162</v>
      </c>
      <c r="B91" s="121"/>
    </row>
    <row r="92" spans="1:2" ht="72" customHeight="1" x14ac:dyDescent="0.2">
      <c r="A92" s="39" t="s">
        <v>163</v>
      </c>
      <c r="B92" s="26"/>
    </row>
    <row r="93" spans="1:2" ht="72" customHeight="1" x14ac:dyDescent="0.2">
      <c r="A93" s="39" t="s">
        <v>167</v>
      </c>
      <c r="B93" s="26"/>
    </row>
    <row r="94" spans="1:2" ht="72" customHeight="1" x14ac:dyDescent="0.2">
      <c r="A94" s="37" t="s">
        <v>195</v>
      </c>
      <c r="B94" s="26"/>
    </row>
    <row r="95" spans="1:2" ht="72" customHeight="1" x14ac:dyDescent="0.2">
      <c r="A95" s="37" t="s">
        <v>192</v>
      </c>
      <c r="B95" s="26"/>
    </row>
    <row r="96" spans="1:2" ht="72" customHeight="1" x14ac:dyDescent="0.2">
      <c r="A96" s="39" t="s">
        <v>174</v>
      </c>
      <c r="B96" s="26"/>
    </row>
  </sheetData>
  <mergeCells count="13">
    <mergeCell ref="A91:B91"/>
    <mergeCell ref="A5:B5"/>
    <mergeCell ref="A3:B3"/>
    <mergeCell ref="A12:B12"/>
    <mergeCell ref="A26:B26"/>
    <mergeCell ref="A85:B85"/>
    <mergeCell ref="A34:B34"/>
    <mergeCell ref="A43:B43"/>
    <mergeCell ref="A52:B52"/>
    <mergeCell ref="A61:B61"/>
    <mergeCell ref="A70:B70"/>
    <mergeCell ref="A77:B77"/>
    <mergeCell ref="A6:B6"/>
  </mergeCells>
  <pageMargins left="0.75" right="0.75" top="1" bottom="1" header="0.5" footer="0.5"/>
  <pageSetup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activeCell="G8" sqref="G8"/>
    </sheetView>
  </sheetViews>
  <sheetFormatPr defaultColWidth="11.42578125" defaultRowHeight="12.75" x14ac:dyDescent="0.2"/>
  <cols>
    <col min="1" max="1" width="44.7109375" style="13" customWidth="1"/>
    <col min="2" max="2" width="47.85546875" style="13" customWidth="1"/>
    <col min="3" max="4" width="56.28515625" style="13" customWidth="1"/>
    <col min="5" max="16384" width="11.42578125" style="13"/>
  </cols>
  <sheetData>
    <row r="1" spans="1:4" s="67" customFormat="1" ht="15.75" x14ac:dyDescent="0.25">
      <c r="A1" s="65" t="str">
        <f>CONCATENATE("Vendor Name: ",'Vendor Information'!C20)</f>
        <v>Vendor Name: PeriGen Inc.</v>
      </c>
      <c r="B1" s="66"/>
      <c r="C1" s="66"/>
      <c r="D1" s="66"/>
    </row>
    <row r="2" spans="1:4" ht="30" customHeight="1" x14ac:dyDescent="0.2">
      <c r="A2" s="139" t="s">
        <v>87</v>
      </c>
      <c r="B2" s="140"/>
      <c r="C2" s="140"/>
      <c r="D2" s="140"/>
    </row>
    <row r="3" spans="1:4" ht="75.95" customHeight="1" x14ac:dyDescent="0.2">
      <c r="A3" s="59" t="s">
        <v>197</v>
      </c>
      <c r="B3" s="141" t="s">
        <v>91</v>
      </c>
      <c r="C3" s="142"/>
      <c r="D3" s="142"/>
    </row>
    <row r="4" spans="1:4" ht="18" customHeight="1" x14ac:dyDescent="0.2">
      <c r="A4" s="137" t="s">
        <v>86</v>
      </c>
      <c r="B4" s="138"/>
      <c r="C4" s="138"/>
      <c r="D4" s="138"/>
    </row>
    <row r="5" spans="1:4" ht="12.95" customHeight="1" thickBot="1" x14ac:dyDescent="0.25">
      <c r="A5" s="137"/>
      <c r="B5" s="138"/>
      <c r="C5" s="138"/>
      <c r="D5" s="138"/>
    </row>
    <row r="6" spans="1:4" ht="72" customHeight="1" x14ac:dyDescent="0.2">
      <c r="A6" s="51" t="s">
        <v>85</v>
      </c>
      <c r="B6" s="46" t="s">
        <v>84</v>
      </c>
      <c r="C6" s="143"/>
      <c r="D6" s="143"/>
    </row>
    <row r="7" spans="1:4" ht="72" customHeight="1" x14ac:dyDescent="0.2">
      <c r="A7" s="52" t="s">
        <v>83</v>
      </c>
      <c r="B7" s="47" t="s">
        <v>82</v>
      </c>
      <c r="C7" s="143"/>
      <c r="D7" s="143"/>
    </row>
    <row r="8" spans="1:4" s="34" customFormat="1" ht="72" customHeight="1" x14ac:dyDescent="0.2">
      <c r="A8" s="52" t="s">
        <v>142</v>
      </c>
      <c r="B8" s="48" t="s">
        <v>199</v>
      </c>
      <c r="C8" s="144"/>
      <c r="D8" s="145"/>
    </row>
    <row r="9" spans="1:4" ht="72" customHeight="1" x14ac:dyDescent="0.2">
      <c r="A9" s="53" t="s">
        <v>81</v>
      </c>
      <c r="B9" s="47" t="s">
        <v>80</v>
      </c>
      <c r="C9" s="143"/>
      <c r="D9" s="143"/>
    </row>
    <row r="10" spans="1:4" ht="72" customHeight="1" x14ac:dyDescent="0.2">
      <c r="A10" s="54" t="s">
        <v>79</v>
      </c>
      <c r="B10" s="49" t="s">
        <v>78</v>
      </c>
      <c r="C10" s="143"/>
      <c r="D10" s="143"/>
    </row>
    <row r="11" spans="1:4" ht="72" customHeight="1" x14ac:dyDescent="0.2">
      <c r="A11" s="54" t="s">
        <v>77</v>
      </c>
      <c r="B11" s="49" t="s">
        <v>76</v>
      </c>
      <c r="C11" s="143"/>
      <c r="D11" s="143"/>
    </row>
    <row r="12" spans="1:4" ht="12.6" customHeight="1" x14ac:dyDescent="0.2">
      <c r="A12" s="137" t="s">
        <v>189</v>
      </c>
      <c r="B12" s="138"/>
      <c r="C12" s="138"/>
      <c r="D12" s="138"/>
    </row>
    <row r="13" spans="1:4" ht="12.95" customHeight="1" x14ac:dyDescent="0.2">
      <c r="A13" s="137"/>
      <c r="B13" s="138"/>
      <c r="C13" s="138"/>
      <c r="D13" s="138"/>
    </row>
    <row r="14" spans="1:4" s="34" customFormat="1" ht="15.75" x14ac:dyDescent="0.2">
      <c r="A14" s="58" t="s">
        <v>194</v>
      </c>
      <c r="B14" s="57" t="s">
        <v>187</v>
      </c>
      <c r="C14" s="57" t="s">
        <v>188</v>
      </c>
      <c r="D14" s="57" t="s">
        <v>191</v>
      </c>
    </row>
    <row r="15" spans="1:4" ht="72" customHeight="1" x14ac:dyDescent="0.2">
      <c r="A15" s="55" t="s">
        <v>178</v>
      </c>
      <c r="B15" s="50"/>
      <c r="C15" s="50"/>
      <c r="D15" s="50">
        <f>B15*C15</f>
        <v>0</v>
      </c>
    </row>
    <row r="16" spans="1:4" ht="72" customHeight="1" x14ac:dyDescent="0.2">
      <c r="A16" s="55" t="s">
        <v>179</v>
      </c>
      <c r="B16" s="50"/>
      <c r="C16" s="50"/>
      <c r="D16" s="50">
        <f t="shared" ref="D16:D24" si="0">B16*C16</f>
        <v>0</v>
      </c>
    </row>
    <row r="17" spans="1:4" ht="72" customHeight="1" x14ac:dyDescent="0.2">
      <c r="A17" s="55" t="s">
        <v>180</v>
      </c>
      <c r="B17" s="50"/>
      <c r="C17" s="50"/>
      <c r="D17" s="50">
        <f t="shared" si="0"/>
        <v>0</v>
      </c>
    </row>
    <row r="18" spans="1:4" ht="72" customHeight="1" x14ac:dyDescent="0.2">
      <c r="A18" s="55" t="s">
        <v>181</v>
      </c>
      <c r="B18" s="50"/>
      <c r="C18" s="50"/>
      <c r="D18" s="50">
        <f t="shared" si="0"/>
        <v>0</v>
      </c>
    </row>
    <row r="19" spans="1:4" ht="72" customHeight="1" x14ac:dyDescent="0.2">
      <c r="A19" s="55" t="s">
        <v>182</v>
      </c>
      <c r="B19" s="50"/>
      <c r="C19" s="50"/>
      <c r="D19" s="50">
        <f t="shared" si="0"/>
        <v>0</v>
      </c>
    </row>
    <row r="20" spans="1:4" ht="72" customHeight="1" x14ac:dyDescent="0.2">
      <c r="A20" s="55" t="s">
        <v>183</v>
      </c>
      <c r="B20" s="50"/>
      <c r="C20" s="50"/>
      <c r="D20" s="50">
        <f t="shared" si="0"/>
        <v>0</v>
      </c>
    </row>
    <row r="21" spans="1:4" ht="72" customHeight="1" x14ac:dyDescent="0.2">
      <c r="A21" s="55" t="s">
        <v>184</v>
      </c>
      <c r="B21" s="50"/>
      <c r="C21" s="50"/>
      <c r="D21" s="50">
        <f t="shared" si="0"/>
        <v>0</v>
      </c>
    </row>
    <row r="22" spans="1:4" ht="72" customHeight="1" x14ac:dyDescent="0.2">
      <c r="A22" s="55" t="s">
        <v>185</v>
      </c>
      <c r="B22" s="50"/>
      <c r="C22" s="50"/>
      <c r="D22" s="50">
        <f t="shared" si="0"/>
        <v>0</v>
      </c>
    </row>
    <row r="23" spans="1:4" ht="72" customHeight="1" x14ac:dyDescent="0.2">
      <c r="A23" s="55" t="s">
        <v>186</v>
      </c>
      <c r="B23" s="50"/>
      <c r="C23" s="50"/>
      <c r="D23" s="50">
        <f t="shared" si="0"/>
        <v>0</v>
      </c>
    </row>
    <row r="24" spans="1:4" ht="72" customHeight="1" x14ac:dyDescent="0.2">
      <c r="A24" s="55" t="s">
        <v>135</v>
      </c>
      <c r="B24" s="50"/>
      <c r="C24" s="50"/>
      <c r="D24" s="50">
        <f t="shared" si="0"/>
        <v>0</v>
      </c>
    </row>
    <row r="25" spans="1:4" ht="36" customHeight="1" x14ac:dyDescent="0.2">
      <c r="A25" s="131" t="s">
        <v>190</v>
      </c>
      <c r="B25" s="132"/>
      <c r="C25" s="133"/>
      <c r="D25" s="129">
        <f>SUM(D15:D24)</f>
        <v>0</v>
      </c>
    </row>
    <row r="26" spans="1:4" ht="36" customHeight="1" thickBot="1" x14ac:dyDescent="0.25">
      <c r="A26" s="134"/>
      <c r="B26" s="135"/>
      <c r="C26" s="136"/>
      <c r="D26" s="130"/>
    </row>
  </sheetData>
  <sheetProtection selectLockedCells="1" selectUnlockedCells="1"/>
  <mergeCells count="12">
    <mergeCell ref="D25:D26"/>
    <mergeCell ref="A25:C26"/>
    <mergeCell ref="A12:D13"/>
    <mergeCell ref="A2:D2"/>
    <mergeCell ref="B3:D3"/>
    <mergeCell ref="A4:D5"/>
    <mergeCell ref="C6:D6"/>
    <mergeCell ref="C7:D7"/>
    <mergeCell ref="C8:D8"/>
    <mergeCell ref="C9:D9"/>
    <mergeCell ref="C10:D10"/>
    <mergeCell ref="C11:D11"/>
  </mergeCells>
  <pageMargins left="0.74791666666666667" right="0.74791666666666667" top="0.98402777777777772" bottom="0.98402777777777772" header="0.51180555555555551" footer="0.51180555555555551"/>
  <pageSetup firstPageNumber="0"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Adam Ford</DisplayName>
        <AccountId>367</AccountId>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3E11F7-EB06-4150-BEC3-E9EC4D7D3DF8}">
  <ds:schemaRefs>
    <ds:schemaRef ds:uri="http://schemas.microsoft.com/office/2006/documentManagement/types"/>
    <ds:schemaRef ds:uri="14c339db-4fcb-4cbd-8633-1201a6f0e19b"/>
    <ds:schemaRef ds:uri="http://purl.org/dc/elements/1.1/"/>
    <ds:schemaRef ds:uri="63a6c59b-4122-478b-aef6-4fc0178e5f33"/>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schemas.microsoft.com/sharepoint/v3/fields"/>
    <ds:schemaRef ds:uri="http://www.w3.org/XML/1998/namespace"/>
    <ds:schemaRef ds:uri="http://purl.org/dc/dcmitype/"/>
  </ds:schemaRefs>
</ds:datastoreItem>
</file>

<file path=customXml/itemProps2.xml><?xml version="1.0" encoding="utf-8"?>
<ds:datastoreItem xmlns:ds="http://schemas.openxmlformats.org/officeDocument/2006/customXml" ds:itemID="{EA35EBA4-C4D5-4054-80B7-5F90BDC08032}"/>
</file>

<file path=customXml/itemProps3.xml><?xml version="1.0" encoding="utf-8"?>
<ds:datastoreItem xmlns:ds="http://schemas.openxmlformats.org/officeDocument/2006/customXml" ds:itemID="{6EC4661A-1E88-49BF-8082-151FE834D090}">
  <ds:schemaRefs>
    <ds:schemaRef ds:uri="http://schemas.microsoft.com/sharepoint/v3/contenttype/forms"/>
  </ds:schemaRefs>
</ds:datastoreItem>
</file>

<file path=customXml/itemProps4.xml><?xml version="1.0" encoding="utf-8"?>
<ds:datastoreItem xmlns:ds="http://schemas.openxmlformats.org/officeDocument/2006/customXml" ds:itemID="{C47C9760-D796-4A3E-A14D-11C9C991B1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Vendor Information</vt:lpstr>
      <vt:lpstr>HIPAA Compliance Questions</vt:lpstr>
      <vt:lpstr>Cloud Security Questionnaire</vt:lpstr>
      <vt:lpstr>Audit and Recommendations</vt:lpstr>
      <vt:lpstr>'HIPAA Compliance Questions'!Print_Area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Joseph Granneman</dc:creator>
  <cp:lastModifiedBy>Bruno Bendavid</cp:lastModifiedBy>
  <cp:lastPrinted>2015-02-06T20:28:54Z</cp:lastPrinted>
  <dcterms:created xsi:type="dcterms:W3CDTF">2015-02-04T19:48:44Z</dcterms:created>
  <dcterms:modified xsi:type="dcterms:W3CDTF">2021-11-08T01:49:37Z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5120">
    <vt:lpwstr>1</vt:lpwstr>
  </property>
  <property fmtid="{D5CDD505-2E9C-101B-9397-08002B2CF9AE}" pid="4" name="_dlc_DocIdItemGuid">
    <vt:lpwstr>c9e58931-d30e-403f-b315-5c9a4804f7f6</vt:lpwstr>
  </property>
  <property fmtid="{D5CDD505-2E9C-101B-9397-08002B2CF9AE}" pid="5" name="Order">
    <vt:r8>43400</vt:r8>
  </property>
  <property fmtid="{D5CDD505-2E9C-101B-9397-08002B2CF9AE}" pid="6" name="_ExtendedDescription">
    <vt:lpwstr/>
  </property>
</Properties>
</file>