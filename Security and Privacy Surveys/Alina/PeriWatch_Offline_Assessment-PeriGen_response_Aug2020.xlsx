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Alina/"/>
    </mc:Choice>
  </mc:AlternateContent>
  <xr:revisionPtr revIDLastSave="121" documentId="11_5B818A1CF2FE9E663B12128049A186F8ECB029B8" xr6:coauthVersionLast="45" xr6:coauthVersionMax="45" xr10:uidLastSave="{92FE859E-E69C-487E-9D8C-2F62C95AB9C4}"/>
  <bookViews>
    <workbookView xWindow="-120" yWindow="-120" windowWidth="38640" windowHeight="21240" xr2:uid="{00000000-000D-0000-FFFF-FFFF00000000}"/>
  </bookViews>
  <sheets>
    <sheet name="Application Controls - Standard" sheetId="1" r:id="rId1"/>
    <sheet name="System Level Contro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3" i="2" l="1"/>
  <c r="H83" i="2"/>
  <c r="M81" i="2"/>
  <c r="H81" i="2"/>
  <c r="M79" i="2"/>
  <c r="H79" i="2"/>
  <c r="M77" i="2"/>
  <c r="H77" i="2"/>
  <c r="M75" i="2"/>
  <c r="H75" i="2"/>
  <c r="M73" i="2"/>
  <c r="H73" i="2"/>
  <c r="M71" i="2"/>
  <c r="H71" i="2"/>
  <c r="M69" i="2"/>
  <c r="H69" i="2"/>
  <c r="M67" i="2"/>
  <c r="H67" i="2"/>
  <c r="M65" i="2"/>
  <c r="H65" i="2"/>
  <c r="M57" i="2"/>
  <c r="H57" i="2"/>
  <c r="M53" i="2"/>
  <c r="H53" i="2"/>
  <c r="M51" i="2"/>
  <c r="H51" i="2"/>
  <c r="M49" i="2"/>
  <c r="H49" i="2"/>
  <c r="J48" i="2"/>
  <c r="M47" i="2"/>
  <c r="H47" i="2"/>
  <c r="M45" i="2"/>
  <c r="H45" i="2"/>
  <c r="M39" i="2"/>
  <c r="H39" i="2"/>
  <c r="J38" i="2"/>
  <c r="M37" i="2"/>
  <c r="H37" i="2"/>
  <c r="M35" i="2"/>
  <c r="H35" i="2"/>
  <c r="J34" i="2"/>
  <c r="M33" i="2"/>
  <c r="H33" i="2"/>
  <c r="M31" i="2"/>
  <c r="H31" i="2"/>
  <c r="J30" i="2"/>
  <c r="M29" i="2"/>
  <c r="H29" i="2"/>
  <c r="J28" i="2"/>
  <c r="M27" i="2"/>
  <c r="H27" i="2"/>
  <c r="M83" i="1"/>
  <c r="H83" i="1"/>
  <c r="M81" i="1"/>
  <c r="H81" i="1"/>
  <c r="M79" i="1"/>
  <c r="H79" i="1"/>
  <c r="M77" i="1"/>
  <c r="H77" i="1"/>
  <c r="M75" i="1"/>
  <c r="H75" i="1"/>
  <c r="M73" i="1"/>
  <c r="H73" i="1"/>
  <c r="M71" i="1"/>
  <c r="H71" i="1"/>
  <c r="M69" i="1"/>
  <c r="H69" i="1"/>
  <c r="M67" i="1"/>
  <c r="H67" i="1"/>
  <c r="M65" i="1"/>
  <c r="H65" i="1"/>
  <c r="M63" i="1"/>
  <c r="H63" i="1"/>
  <c r="M61" i="1"/>
  <c r="H61" i="1"/>
  <c r="M59" i="1"/>
  <c r="H59" i="1"/>
  <c r="M57" i="1"/>
  <c r="H57" i="1"/>
  <c r="M55" i="1"/>
  <c r="H55" i="1"/>
  <c r="M53" i="1"/>
  <c r="H53" i="1"/>
  <c r="M51" i="1"/>
  <c r="H51" i="1"/>
  <c r="M49" i="1"/>
  <c r="H49" i="1"/>
  <c r="M47" i="1"/>
  <c r="H47" i="1"/>
  <c r="M45" i="1"/>
  <c r="H45" i="1"/>
  <c r="M43" i="1"/>
  <c r="H43" i="1"/>
  <c r="M41" i="1"/>
  <c r="H41" i="1"/>
  <c r="M39" i="1"/>
  <c r="H39" i="1"/>
  <c r="M37" i="1"/>
  <c r="H37" i="1"/>
  <c r="M35" i="1"/>
  <c r="H35" i="1"/>
  <c r="M33" i="1"/>
  <c r="H33" i="1"/>
  <c r="M31" i="1"/>
  <c r="H31" i="1"/>
  <c r="M29" i="1"/>
  <c r="H29" i="1"/>
  <c r="M27" i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8" authorId="0" shapeId="0" xr:uid="{00000000-0006-0000-0000-000001000000}">
      <text>
        <r>
          <rPr>
            <sz val="10"/>
            <rFont val="Arial"/>
          </rPr>
          <t>This is asking whether a user can check a box to have the browser or app remember the password.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8" authorId="0" shapeId="0" xr:uid="{00000000-0006-0000-0100-000001000000}">
      <text>
        <r>
          <rPr>
            <sz val="10"/>
            <rFont val="Arial"/>
          </rPr>
          <t>System-wide Policy: Business Associate Contracting</t>
        </r>
      </text>
    </comment>
    <comment ref="D44" authorId="0" shapeId="0" xr:uid="{00000000-0006-0000-0100-000002000000}">
      <text>
        <r>
          <rPr>
            <sz val="10"/>
            <rFont val="Arial"/>
          </rPr>
          <t>Check for latest: https://www.pcisecuritystandards.org/assessors_and_solutions/payment_applications</t>
        </r>
      </text>
    </comment>
    <comment ref="D46" authorId="0" shapeId="0" xr:uid="{00000000-0006-0000-0100-000003000000}">
      <text>
        <r>
          <rPr>
            <sz val="10"/>
            <rFont val="Arial"/>
          </rPr>
          <t>Check this website for updated list:https://www.pcisecuritystandards.org/assessors_and_solutions/point_to_point_encryption_solutions</t>
        </r>
      </text>
    </comment>
    <comment ref="D68" authorId="0" shapeId="0" xr:uid="{00000000-0006-0000-0100-000004000000}">
      <text>
        <r>
          <rPr>
            <sz val="10"/>
            <rFont val="Arial"/>
          </rPr>
          <t>Includes one or more primary media data types such as text, images, graphic objects (including drawings, sketches and illustrations) animation sequences, audio and video.</t>
        </r>
      </text>
    </comment>
  </commentList>
</comments>
</file>

<file path=xl/sharedStrings.xml><?xml version="1.0" encoding="utf-8"?>
<sst xmlns="http://schemas.openxmlformats.org/spreadsheetml/2006/main" count="1200" uniqueCount="303">
  <si>
    <t/>
  </si>
  <si>
    <t>HDR</t>
  </si>
  <si>
    <t>True</t>
  </si>
  <si>
    <t>Type:              Application Controls - Standard</t>
  </si>
  <si>
    <t>Name</t>
  </si>
  <si>
    <t>Enter the name</t>
  </si>
  <si>
    <t>Short Name</t>
  </si>
  <si>
    <t>Question / Description</t>
  </si>
  <si>
    <t>Answer / Value</t>
  </si>
  <si>
    <t>ATTR</t>
  </si>
  <si>
    <t>Respondent</t>
  </si>
  <si>
    <t>*</t>
  </si>
  <si>
    <t>795</t>
  </si>
  <si>
    <t>System Characterization</t>
  </si>
  <si>
    <t>3000</t>
  </si>
  <si>
    <t>GRC Assessor</t>
  </si>
  <si>
    <t>3014</t>
  </si>
  <si>
    <t>Associated Application</t>
  </si>
  <si>
    <t>3221</t>
  </si>
  <si>
    <t>System Name</t>
  </si>
  <si>
    <t>ATRF Title or System Name</t>
  </si>
  <si>
    <t>3015</t>
  </si>
  <si>
    <t>Comment</t>
  </si>
  <si>
    <t>Authentication (passwords)</t>
  </si>
  <si>
    <t>Does the technology require the use of passwords?</t>
  </si>
  <si>
    <t>CTRL</t>
  </si>
  <si>
    <t>152702</t>
  </si>
  <si>
    <t>Password Failure Message</t>
  </si>
  <si>
    <t>When authentication fails, is the user informed of which portion of the authentication process failed?</t>
  </si>
  <si>
    <t>152780</t>
  </si>
  <si>
    <t>Password Masking</t>
  </si>
  <si>
    <t>Are passwords masked or hidden during authentication?</t>
  </si>
  <si>
    <t>152845</t>
  </si>
  <si>
    <t>Password Reset Procedure</t>
  </si>
  <si>
    <t>Is a mechanism in place to report or reset lost or compromised passwords?</t>
  </si>
  <si>
    <t>152910</t>
  </si>
  <si>
    <t>Password History (user)</t>
  </si>
  <si>
    <t>Can users reuse any of their last 8 passwords?</t>
  </si>
  <si>
    <t>152975</t>
  </si>
  <si>
    <t>Password Saved</t>
  </si>
  <si>
    <t>Are users able to save credentials (bypassing future authentication)?</t>
  </si>
  <si>
    <t>153046</t>
  </si>
  <si>
    <t>Password Aging (user)</t>
  </si>
  <si>
    <t>Does the technology require users to change passwords within at least 180 days?</t>
  </si>
  <si>
    <t>153112</t>
  </si>
  <si>
    <t>Password Storage</t>
  </si>
  <si>
    <t>Are passwords stored in a secure manner?</t>
  </si>
  <si>
    <t>153183</t>
  </si>
  <si>
    <t>Password Distribution</t>
  </si>
  <si>
    <t>Are new temporary passwords communicated/distributed in a secure manner?</t>
  </si>
  <si>
    <t>153256</t>
  </si>
  <si>
    <t>Password Length (user)</t>
  </si>
  <si>
    <t>Does the system require at least an 8 character password?</t>
  </si>
  <si>
    <t>153329</t>
  </si>
  <si>
    <t>Password Complexity (user)</t>
  </si>
  <si>
    <t>Do password complexity settings require at least three of the following four character types: Uppercase English characters (A through Z)Lowercase English characters (a through z)Numbers (0 through 9)Special characters: ` ~ ! @ # $ % ^ &amp; * ( ) _ + - =  } [ ] \ : " ; ' &lt; &gt; ? , . /</t>
  </si>
  <si>
    <t>153407</t>
  </si>
  <si>
    <t>Password Forced Changes</t>
  </si>
  <si>
    <t>Are users forced to change their password during first login?</t>
  </si>
  <si>
    <t>153485</t>
  </si>
  <si>
    <t>User Roles</t>
  </si>
  <si>
    <t>Are users assigned specific roles?</t>
  </si>
  <si>
    <t>153565</t>
  </si>
  <si>
    <t>Users Roles - Defined</t>
  </si>
  <si>
    <t>Do the current roles limit access to the minimum necessary level?</t>
  </si>
  <si>
    <t>153617</t>
  </si>
  <si>
    <t>Authentication Communication</t>
  </si>
  <si>
    <t>Are credentials encrypted during the authentication process?</t>
  </si>
  <si>
    <t>153686</t>
  </si>
  <si>
    <t>Idle Session Control</t>
  </si>
  <si>
    <t>Are sessions locked out or terminated after a maximum of 15 minutes of inactivity?</t>
  </si>
  <si>
    <t>153754</t>
  </si>
  <si>
    <t>Data Backup</t>
  </si>
  <si>
    <t>Are data backups performed?</t>
  </si>
  <si>
    <t>155179</t>
  </si>
  <si>
    <t>Data Backup - Frequency</t>
  </si>
  <si>
    <t>Are data backups performed daily?</t>
  </si>
  <si>
    <t>155253</t>
  </si>
  <si>
    <t>Data Backup - Recovery Testing</t>
  </si>
  <si>
    <t>Has data recovery been tested in the last six months?</t>
  </si>
  <si>
    <t>155328</t>
  </si>
  <si>
    <t>Unique IDs</t>
  </si>
  <si>
    <t>Are user IDs unique?</t>
  </si>
  <si>
    <t>155694</t>
  </si>
  <si>
    <t>Account Lockout</t>
  </si>
  <si>
    <t>Does the system lock out the user after 6 or fewer unsuccessful login attempts?</t>
  </si>
  <si>
    <t>155737</t>
  </si>
  <si>
    <t>Account Lockout (duration)</t>
  </si>
  <si>
    <t>Does the system disable the user account for at least 30 minutes after an account lock out?</t>
  </si>
  <si>
    <t>155780</t>
  </si>
  <si>
    <t>Account Termination</t>
  </si>
  <si>
    <t>Are accounts regularly reviewed for inactivity, termination, or for correct entitlement assignment?</t>
  </si>
  <si>
    <t>155824</t>
  </si>
  <si>
    <t>Hardening</t>
  </si>
  <si>
    <t>Has a security hardening best practice guide (such as CIS benchmarks) been used to secure this technology?</t>
  </si>
  <si>
    <t>183532</t>
  </si>
  <si>
    <t>Hardening (functionality)</t>
  </si>
  <si>
    <t>Have all extra (unused) functionality (such as scripts, drivers, features, subsystems, file systems) been disabled or removed?</t>
  </si>
  <si>
    <t>183566</t>
  </si>
  <si>
    <t>Hardening (services)</t>
  </si>
  <si>
    <t>Are extra (unused) network services running?</t>
  </si>
  <si>
    <t>183653</t>
  </si>
  <si>
    <t>Security Logs Review (frequency)</t>
  </si>
  <si>
    <t>Are security and incident logs and reports reviewed on a regular basis?</t>
  </si>
  <si>
    <t>183688</t>
  </si>
  <si>
    <t>Data Encryption (stored)</t>
  </si>
  <si>
    <t>Is all Allina Confidential data stored in the system encrypted?</t>
  </si>
  <si>
    <t>183736</t>
  </si>
  <si>
    <t>Data Encryption (transmitted)</t>
  </si>
  <si>
    <t>Is all Allina Confidential data transmitted to and from the system encrypted during transfer?</t>
  </si>
  <si>
    <t>183789</t>
  </si>
  <si>
    <t>FTR</t>
  </si>
  <si>
    <t>Rsam Support                                                                                                 Page 1 of 1                                                                                                                                      Confidential</t>
  </si>
  <si>
    <t>No</t>
  </si>
  <si>
    <t>Comments:</t>
  </si>
  <si>
    <t>1</t>
  </si>
  <si>
    <t>Other</t>
  </si>
  <si>
    <t>2</t>
  </si>
  <si>
    <t>Yes</t>
  </si>
  <si>
    <t>n/a</t>
  </si>
  <si>
    <t>0</t>
  </si>
  <si>
    <t>What is the response message shown to the user when authentication fails?</t>
  </si>
  <si>
    <t>How do users reset their password for this technology?</t>
  </si>
  <si>
    <t>Up to how many of their last passwords can be re-used?</t>
  </si>
  <si>
    <t>Auto Login / Passwords can be saved</t>
  </si>
  <si>
    <t>Passwords Cannot Be Saved</t>
  </si>
  <si>
    <t>How often must a user change their password?</t>
  </si>
  <si>
    <t>Passwords stored in clear-text</t>
  </si>
  <si>
    <t>Passwords encrypted or hashed</t>
  </si>
  <si>
    <t>Please explain choice of other.</t>
  </si>
  <si>
    <t>Passwords passed in the clear (e-mail)</t>
  </si>
  <si>
    <t>Password distribution secured</t>
  </si>
  <si>
    <t>Describe how password distribution is secured</t>
  </si>
  <si>
    <t>What is the password length requirement?</t>
  </si>
  <si>
    <t>Please describe current complexity requirements.</t>
  </si>
  <si>
    <t>Are users able to continue using their temporary assigned password?</t>
  </si>
  <si>
    <t>N/A</t>
  </si>
  <si>
    <t>Please indicate if the sessions are locked out or terminated, and if so, specify the interval.</t>
  </si>
  <si>
    <t>No, there are shared or multi-user logins</t>
  </si>
  <si>
    <t>Please indicate if this technology is locking out after any amount of failed login attempts, and identify the number of failed attempts if one exists.</t>
  </si>
  <si>
    <t>How long will a locked out account be disabled?</t>
  </si>
  <si>
    <t>Please indicate why this technology has no system hardening.</t>
  </si>
  <si>
    <t>Which best practices guide is this technology using?</t>
  </si>
  <si>
    <t>Unknown</t>
  </si>
  <si>
    <t>At what frequency?</t>
  </si>
  <si>
    <t>Type:              System Level Controls</t>
  </si>
  <si>
    <t>Documentation Directions</t>
  </si>
  <si>
    <t>3078</t>
  </si>
  <si>
    <t>Business Associate Agreement</t>
  </si>
  <si>
    <t>Has this system been evaluated to determine if a business associate agreement is needed?</t>
  </si>
  <si>
    <t>183855</t>
  </si>
  <si>
    <t>Business Continuity Plan</t>
  </si>
  <si>
    <t>Has a business continuity plan (BCP) been created in order to document procedures in case of system unavailability?</t>
  </si>
  <si>
    <t>183901</t>
  </si>
  <si>
    <t>3rd Party Hosting Confidential Data</t>
  </si>
  <si>
    <t>Is there a 3rd party hosting Allina confidential data in this system?</t>
  </si>
  <si>
    <t>183946</t>
  </si>
  <si>
    <t>3rd Party Hosting Confidential Data Documentation</t>
  </si>
  <si>
    <t>Has the 3rd party provided evidence of an independent review of the hosting environment with documentation?</t>
  </si>
  <si>
    <t>183990</t>
  </si>
  <si>
    <t>End User Access Agreement (EAA) - Network Access</t>
  </si>
  <si>
    <t>Does a 3rd party require network access for successful operation of this system?</t>
  </si>
  <si>
    <t>184038</t>
  </si>
  <si>
    <t>End User Access Agreement (EAA) - Evaluation</t>
  </si>
  <si>
    <t>Has this system been evaluated to determine if an EAA (End User Access Agreement) is needed?</t>
  </si>
  <si>
    <t>184082</t>
  </si>
  <si>
    <t>KIOSK Usage</t>
  </si>
  <si>
    <t>Does this system include a KIOSK?</t>
  </si>
  <si>
    <t>184129</t>
  </si>
  <si>
    <t>PCI Data in System</t>
  </si>
  <si>
    <t>Does this system contain PCI information?</t>
  </si>
  <si>
    <t>184278</t>
  </si>
  <si>
    <t>PCI DSS</t>
  </si>
  <si>
    <t>Is the payment system PA-DSS certified and listed on PCI Security Standard’s website?</t>
  </si>
  <si>
    <t>184322</t>
  </si>
  <si>
    <t>PCI PPE</t>
  </si>
  <si>
    <t>Does
the payment system use point to point or end to end encryption?</t>
  </si>
  <si>
    <t>184367</t>
  </si>
  <si>
    <t>PCI Documentation - Network Diagram</t>
  </si>
  <si>
    <t>Is there a current diagram that shows all cardholder data flows across systems and networks?</t>
  </si>
  <si>
    <t>184413</t>
  </si>
  <si>
    <t>Compliance: Research Risk</t>
  </si>
  <si>
    <t>Is data within this technology going to be used for research?</t>
  </si>
  <si>
    <t>184458</t>
  </si>
  <si>
    <t>Compliance: Research Risk 2</t>
  </si>
  <si>
    <t>Has Compliance been notified and had the opportunity to review this research?</t>
  </si>
  <si>
    <t>184502</t>
  </si>
  <si>
    <t>Compliance: Employee Health Plan Data Risk</t>
  </si>
  <si>
    <t>Does the technology contain Allina Employee Health Plan data?</t>
  </si>
  <si>
    <t>184547</t>
  </si>
  <si>
    <t>Compliance: patient data co-mingled with Allina Health Plan</t>
  </si>
  <si>
    <t>Is Allina Health patient data co-mingled with Allina Health Plan data?</t>
  </si>
  <si>
    <t>184591</t>
  </si>
  <si>
    <t>Compliance: Data Governance Committee Risk</t>
  </si>
  <si>
    <t>Is this technology transferring patient data not intended to be used for treatment or payment or does confidential data from this technology leave the United States?</t>
  </si>
  <si>
    <t>184636</t>
  </si>
  <si>
    <t>Compliance: Data Governance Committee Risk 2</t>
  </si>
  <si>
    <t>Has the transfer been reviewed by the Data Governance Committee?</t>
  </si>
  <si>
    <t>184680</t>
  </si>
  <si>
    <t>Compliance: Patient Billing</t>
  </si>
  <si>
    <t>Is this technology used to bill patients?</t>
  </si>
  <si>
    <t>184725</t>
  </si>
  <si>
    <t>Compliance: Patient Billing 2</t>
  </si>
  <si>
    <t>Has Compliance had an opportunity to review this technology?</t>
  </si>
  <si>
    <t>184769</t>
  </si>
  <si>
    <t>Compliance: Provider Arrangement</t>
  </si>
  <si>
    <t>Is
there a known provider (Dentist, MD, DO, Chiropractor) who has any type of
ownership or investment in this company?</t>
  </si>
  <si>
    <t>184814</t>
  </si>
  <si>
    <t>Multimedia data</t>
  </si>
  <si>
    <t>Does this system store, transmit, or receive multimedia data?</t>
  </si>
  <si>
    <t>244194</t>
  </si>
  <si>
    <t>Multimedia Video</t>
  </si>
  <si>
    <t>Does this system store, transmit and/or receive video data?</t>
  </si>
  <si>
    <t>244197</t>
  </si>
  <si>
    <t>Multimedia Audio</t>
  </si>
  <si>
    <t>Does this system store, transmit and/or receive audio data?</t>
  </si>
  <si>
    <t>244201</t>
  </si>
  <si>
    <t>Multimedia Images</t>
  </si>
  <si>
    <t>Does this system store, transmit and/or receive image data?</t>
  </si>
  <si>
    <t>244205</t>
  </si>
  <si>
    <t>Multimedia Business Purpose</t>
  </si>
  <si>
    <t>What is the business purpose for the multi-media data?</t>
  </si>
  <si>
    <t>244209</t>
  </si>
  <si>
    <t>Multimedia Equipment</t>
  </si>
  <si>
    <t>Is there equipment used to create the multimedia such as camera, tablet, laptop, microphone?</t>
  </si>
  <si>
    <t>244214</t>
  </si>
  <si>
    <t>Multimedia Storage</t>
  </si>
  <si>
    <t>Is the multimedia stored?</t>
  </si>
  <si>
    <t>244218</t>
  </si>
  <si>
    <t>Multimedia User groups</t>
  </si>
  <si>
    <t>Do users or groups have access to the data?</t>
  </si>
  <si>
    <t>244222</t>
  </si>
  <si>
    <t>AH: Multimedia Distribution</t>
  </si>
  <si>
    <t>Is there a capability to reproduce or copy the multimedia for distribution?</t>
  </si>
  <si>
    <t>244226</t>
  </si>
  <si>
    <t>The business unit has not yet evaluated this system to determine if a business associate agreement (BAA) is needed.</t>
  </si>
  <si>
    <t>Please indicate why this system has not yet been evaluated to determine if a BAA is needed.</t>
  </si>
  <si>
    <t>The business unit has evaluated this system to determine if a business associate agreement (BAA) is needed. A BAA is needed, but has not yet been obtained.</t>
  </si>
  <si>
    <t>Please indicate why a BAA has not yet been obtained.</t>
  </si>
  <si>
    <t>The business unit has evaluated this system to determine if a business associate agreement (BAA) is needed.  A business associate agreement is not needed.</t>
  </si>
  <si>
    <t>Please indicate rationale for why a BAA is not needed.</t>
  </si>
  <si>
    <t>The business unit has evaluated this system to determine if a business associate agreement (BAA) is needed. A BAA is needed, and has been signed and obtained.</t>
  </si>
  <si>
    <t>Please attach Business Associate Agreement</t>
  </si>
  <si>
    <t>A business continuity plan has not yet been created.</t>
  </si>
  <si>
    <t>A business continuity plan is not needed.</t>
  </si>
  <si>
    <t>Please indicate why a BCP plan is not needed.</t>
  </si>
  <si>
    <t>A BCP plan has been created.</t>
  </si>
  <si>
    <t>Please attach business continuity plan.</t>
  </si>
  <si>
    <t>The 3rd party has not provided sufficient documentation.</t>
  </si>
  <si>
    <t>The 3rd party has provided a SOC2.</t>
  </si>
  <si>
    <t>Please attach SOC2.</t>
  </si>
  <si>
    <t>The 3rd party has provided HI-TRUST Certification.</t>
  </si>
  <si>
    <t>Please provide HI-TRUST Certification evidence.</t>
  </si>
  <si>
    <t>The 3rd party has provided ISO  Certification.</t>
  </si>
  <si>
    <t>Please provide ISO Certification evidence.</t>
  </si>
  <si>
    <t>The 3rd party has provided other documentation.</t>
  </si>
  <si>
    <t>Please describe the documentation.</t>
  </si>
  <si>
    <t>Please attach the documentation.</t>
  </si>
  <si>
    <t>This system has not yet been evaluated to determine if a EAA is needed.</t>
  </si>
  <si>
    <t>This system has been evaluated and has been determined an EAA is needed.  An EAA has not yet been obtained.</t>
  </si>
  <si>
    <t>This system has been evaluated, and an EAA is not needed.</t>
  </si>
  <si>
    <t>This system has been evaluated and has been determined an EAA is needed.  An EAA has been signed and obtained.</t>
  </si>
  <si>
    <t>Please attach EAA.</t>
  </si>
  <si>
    <t>KIOSKS are utilized in this system, the policy has been reviewed, and there are concerns.</t>
  </si>
  <si>
    <t>Please indicate concerns or areas of non-compliance with the policy.</t>
  </si>
  <si>
    <t>KIOSKS are utilized in this system, but the policy has not yet been reviewed for compliance.</t>
  </si>
  <si>
    <t>KIOSKs are not utilized in this system.</t>
  </si>
  <si>
    <t>KIOSKS are utilized in this system, and the KIOSK policy has been reviewed for compliance.  There are no concerns.</t>
  </si>
  <si>
    <t>Please explain why there is not point to point encryption.</t>
  </si>
  <si>
    <t>Yes, but not certified.</t>
  </si>
  <si>
    <t>Please add any additional information about this not being certified.</t>
  </si>
  <si>
    <t>Please describe why you don't have a diagram.</t>
  </si>
  <si>
    <t>Please attach the network diagram.</t>
  </si>
  <si>
    <t>Who is the provider?  Where do they practice?  Are they an Allina employee or are they credentialed at Allina?</t>
  </si>
  <si>
    <t>Please describe the equipment used to create the multimedia data.</t>
  </si>
  <si>
    <t>Please describe if the data is stored, transmitted, and/or received.</t>
  </si>
  <si>
    <t>Patient care (used for patient treatment decisions)</t>
  </si>
  <si>
    <t>Please describe the patient care purpose.</t>
  </si>
  <si>
    <t>Patient care (not used for patient treatment decisions)</t>
  </si>
  <si>
    <t>Please describe the business purpose.</t>
  </si>
  <si>
    <t>Please describe the equipment used including the brand and model if available.</t>
  </si>
  <si>
    <t>Where is the media stored, and how long is it retained?</t>
  </si>
  <si>
    <t>Please describe the users and groups that have access to the multimedia and how they access it.</t>
  </si>
  <si>
    <t>PeriWatch Vigilance</t>
  </si>
  <si>
    <t>Bruno Bendavid</t>
  </si>
  <si>
    <t>Obstetrical Early Warning System. Provides situational awareness side by side with your existing EMR and surveillance system.</t>
  </si>
  <si>
    <t>Only AD/LDAP based authentication is supported.</t>
  </si>
  <si>
    <t>That said, since the application is browser based, that functionality has to be disabled by the customer via GPOs.</t>
  </si>
  <si>
    <t>Passwords are never stored, only passed through in encrypted from to the  AD/LDAP server</t>
  </si>
  <si>
    <t>There are only two roles: User (who can see and navigate the Vigilance screens) and Admin (who can change certain global parameters). There is minimal data entry in this system.</t>
  </si>
  <si>
    <t>It is configurable</t>
  </si>
  <si>
    <t>Backups are the responsibility of the customer. The details are discussed/coordinated with customer IT as aprt of pre-install activities</t>
  </si>
  <si>
    <t>This capability is driven by the customer Active Directory policies</t>
  </si>
  <si>
    <t>This is the customer responsibility and managed centrally on your Active Directory</t>
  </si>
  <si>
    <t xml:space="preserve">The base OS is supplied by the customer according to customer guidelines. The PeriWatch Vigilance system only installs the necessary services/ports required for the system operation. </t>
  </si>
  <si>
    <t>Customer responsibility</t>
  </si>
  <si>
    <t>Not by default. All sensitive data is stored in the SQL database and the Vigilance application supports the SQL TDE option. If this is a customer requirement, the appropriate SQL version much be used and the customer must provide the appropriate encryption certificates.</t>
  </si>
  <si>
    <t>All data in transit is encrypted (https) using the customer supplied/managed  certificates.</t>
  </si>
  <si>
    <t>The entire system is hosted by Allina</t>
  </si>
  <si>
    <t>Only for support calls</t>
  </si>
  <si>
    <t xml:space="preserve">Could eventually be used for research if both parties are interested. </t>
  </si>
  <si>
    <t>In progress.</t>
  </si>
  <si>
    <t>This is fully hosted by Allina. All BCP plans  should be covered by the custmer's existing BCP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</si>
</sst>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</font>
    <font>
      <b/>
      <sz val="26"/>
      <name val="Arial"/>
    </font>
    <font>
      <b/>
      <sz val="10"/>
      <color indexed="49"/>
      <name val="Arial"/>
    </font>
    <font>
      <sz val="10"/>
      <color indexed="9"/>
      <name val="Arial"/>
    </font>
    <font>
      <sz val="10"/>
      <color indexed="44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4"/>
        <bgColor indexed="23"/>
      </patternFill>
    </fill>
    <fill>
      <patternFill patternType="solid">
        <fgColor indexed="44"/>
        <bgColor indexed="31"/>
      </patternFill>
    </fill>
    <fill>
      <patternFill patternType="solid">
        <fgColor indexed="43"/>
        <bgColor indexed="26"/>
      </patternFill>
    </fill>
  </fills>
  <borders count="8">
    <border>
      <left/>
      <right/>
      <top/>
      <bottom/>
      <diagonal/>
    </border>
    <border diagonalUp="1" diagonalDown="1">
      <left style="thin">
        <color auto="1"/>
      </left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/>
      <bottom/>
      <diagonal/>
    </border>
    <border diagonalUp="1" diagonalDown="1">
      <left/>
      <right/>
      <top style="thin">
        <color auto="1"/>
      </top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/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2" borderId="0" xfId="0" applyNumberFormat="1" applyFill="1" applyBorder="1" applyAlignment="1">
      <alignment wrapText="1"/>
    </xf>
    <xf numFmtId="0" fontId="0" fillId="2" borderId="0" xfId="0" applyNumberFormat="1" applyFont="1" applyFill="1" applyAlignment="1" applyProtection="1">
      <alignment wrapText="1"/>
    </xf>
    <xf numFmtId="0" fontId="0" fillId="2" borderId="1" xfId="0" applyNumberFormat="1" applyFont="1" applyFill="1" applyBorder="1" applyAlignment="1" applyProtection="1">
      <alignment wrapText="1"/>
    </xf>
    <xf numFmtId="0" fontId="1" fillId="4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0" fillId="0" borderId="2" xfId="0" applyNumberFormat="1" applyFont="1" applyFill="1" applyBorder="1" applyAlignment="1" applyProtection="1">
      <alignment wrapText="1"/>
      <protection locked="0"/>
    </xf>
    <xf numFmtId="0" fontId="0" fillId="2" borderId="3" xfId="0" applyNumberFormat="1" applyFont="1" applyFill="1" applyBorder="1" applyAlignment="1" applyProtection="1">
      <alignment wrapText="1"/>
    </xf>
    <xf numFmtId="0" fontId="1" fillId="5" borderId="4" xfId="0" applyNumberFormat="1" applyFont="1" applyFill="1" applyBorder="1" applyAlignment="1" applyProtection="1"/>
    <xf numFmtId="0" fontId="0" fillId="4" borderId="0" xfId="0" applyNumberFormat="1" applyFont="1" applyFill="1" applyAlignment="1" applyProtection="1"/>
    <xf numFmtId="0" fontId="0" fillId="4" borderId="0" xfId="0" applyNumberFormat="1" applyFont="1" applyFill="1" applyAlignment="1" applyProtection="1">
      <alignment wrapText="1"/>
    </xf>
    <xf numFmtId="49" fontId="0" fillId="4" borderId="0" xfId="0" applyNumberFormat="1" applyFont="1" applyFill="1" applyAlignment="1" applyProtection="1">
      <alignment wrapText="1"/>
    </xf>
    <xf numFmtId="49" fontId="4" fillId="0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wrapText="1"/>
      <protection locked="0"/>
    </xf>
    <xf numFmtId="0" fontId="0" fillId="0" borderId="4" xfId="0" applyNumberFormat="1" applyFont="1" applyFill="1" applyBorder="1" applyAlignment="1" applyProtection="1"/>
    <xf numFmtId="49" fontId="0" fillId="2" borderId="1" xfId="0" applyNumberFormat="1" applyFont="1" applyFill="1" applyBorder="1" applyAlignment="1" applyProtection="1">
      <alignment wrapText="1"/>
    </xf>
    <xf numFmtId="0" fontId="4" fillId="0" borderId="0" xfId="0" applyNumberFormat="1" applyFont="1" applyFill="1" applyAlignment="1" applyProtection="1">
      <alignment wrapText="1"/>
    </xf>
    <xf numFmtId="0" fontId="1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Alignment="1" applyProtection="1"/>
    <xf numFmtId="0" fontId="3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 applyProtection="1">
      <alignment wrapText="1"/>
      <protection locked="0"/>
    </xf>
    <xf numFmtId="0" fontId="0" fillId="0" borderId="6" xfId="0" applyNumberFormat="1" applyFont="1" applyFill="1" applyBorder="1" applyAlignment="1" applyProtection="1">
      <alignment wrapText="1"/>
      <protection locked="0"/>
    </xf>
    <xf numFmtId="0" fontId="0" fillId="0" borderId="7" xfId="0" applyNumberFormat="1" applyFont="1" applyFill="1" applyBorder="1" applyAlignment="1" applyProtection="1">
      <alignment wrapText="1"/>
      <protection locked="0"/>
    </xf>
    <xf numFmtId="0" fontId="0" fillId="4" borderId="0" xfId="0" applyNumberFormat="1" applyFont="1" applyFill="1" applyAlignment="1" applyProtection="1"/>
    <xf numFmtId="0" fontId="0" fillId="0" borderId="0" xfId="0" applyNumberFormat="1" applyFont="1" applyFill="1" applyAlignment="1" applyProtection="1"/>
  </cellXfs>
  <cellStyles count="1">
    <cellStyle name="Normal" xfId="0" builtinId="0"/>
  </cellStyles>
  <dxfs count="125"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673100</xdr:colOff>
      <xdr:row>29</xdr:row>
      <xdr:rowOff>209550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29</xdr:row>
      <xdr:rowOff>209550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673100</xdr:colOff>
      <xdr:row>29</xdr:row>
      <xdr:rowOff>209550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673100</xdr:colOff>
      <xdr:row>29</xdr:row>
      <xdr:rowOff>209550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673100</xdr:colOff>
      <xdr:row>29</xdr:row>
      <xdr:rowOff>209550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673100</xdr:colOff>
      <xdr:row>29</xdr:row>
      <xdr:rowOff>209550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29</xdr:row>
      <xdr:rowOff>47625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29</xdr:row>
      <xdr:rowOff>47625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29</xdr:row>
      <xdr:rowOff>47625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933450</xdr:colOff>
      <xdr:row>29</xdr:row>
      <xdr:rowOff>47625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079"/>
  <sheetViews>
    <sheetView tabSelected="1" topLeftCell="A22" zoomScale="130" zoomScaleNormal="130" workbookViewId="0">
      <selection activeCell="F18" sqref="F18:H18"/>
    </sheetView>
  </sheetViews>
  <sheetFormatPr defaultColWidth="9.140625" defaultRowHeight="12.75" x14ac:dyDescent="0.2"/>
  <cols>
    <col min="1" max="1" width="3.85546875" style="1" customWidth="1"/>
    <col min="2" max="2" width="32.140625" style="1" customWidth="1"/>
    <col min="3" max="3" width="2.5703125" style="1" customWidth="1"/>
    <col min="4" max="4" width="39.140625" style="1" customWidth="1"/>
    <col min="5" max="5" width="3.5703125" style="1" customWidth="1"/>
    <col min="6" max="6" width="49.85546875" style="1" customWidth="1"/>
    <col min="7" max="7" width="3.5703125" style="1" customWidth="1"/>
    <col min="8" max="8" width="34.5703125" style="1" customWidth="1"/>
    <col min="9" max="9" width="3.85546875" style="1" customWidth="1"/>
    <col min="10" max="10" width="20.85546875" style="1" customWidth="1"/>
    <col min="11" max="11" width="3.28515625" style="1" customWidth="1"/>
  </cols>
  <sheetData>
    <row r="1" spans="1:14" x14ac:dyDescent="0.2">
      <c r="A1" s="2"/>
      <c r="B1" s="18"/>
      <c r="C1" s="18"/>
      <c r="D1" s="18"/>
      <c r="E1" s="18"/>
      <c r="F1" s="18"/>
      <c r="G1" s="18"/>
      <c r="H1" s="18"/>
      <c r="I1" s="18"/>
      <c r="J1" s="4"/>
      <c r="K1" s="3"/>
    </row>
    <row r="2" spans="1:14" x14ac:dyDescent="0.2">
      <c r="A2" s="2"/>
      <c r="B2" s="21"/>
      <c r="C2" s="21"/>
      <c r="D2" s="21"/>
      <c r="E2" s="21"/>
      <c r="F2" s="21"/>
      <c r="G2" s="21"/>
      <c r="H2" s="21"/>
      <c r="I2" s="21"/>
      <c r="J2" s="4"/>
      <c r="K2" s="3"/>
    </row>
    <row r="3" spans="1:14" x14ac:dyDescent="0.2">
      <c r="A3" s="2"/>
      <c r="B3" s="21"/>
      <c r="C3" s="21"/>
      <c r="D3" s="21"/>
      <c r="E3" s="21"/>
      <c r="F3" s="21"/>
      <c r="G3" s="21"/>
      <c r="H3" s="21"/>
      <c r="I3" s="21"/>
      <c r="J3" s="4"/>
      <c r="K3" s="3"/>
    </row>
    <row r="4" spans="1:14" x14ac:dyDescent="0.2">
      <c r="A4" s="2"/>
      <c r="B4" s="21"/>
      <c r="C4" s="21"/>
      <c r="D4" s="21"/>
      <c r="E4" s="21"/>
      <c r="F4" s="21"/>
      <c r="G4" s="21"/>
      <c r="H4" s="21"/>
      <c r="I4" s="21"/>
      <c r="J4" s="4"/>
      <c r="K4" s="3"/>
    </row>
    <row r="5" spans="1:14" x14ac:dyDescent="0.2">
      <c r="A5" s="2"/>
      <c r="B5" s="20"/>
      <c r="C5" s="20"/>
      <c r="D5" s="20"/>
      <c r="E5" s="20"/>
      <c r="F5" s="20"/>
      <c r="G5" s="20"/>
      <c r="H5" s="20"/>
      <c r="I5" s="20"/>
      <c r="J5" s="4"/>
      <c r="K5" s="3"/>
    </row>
    <row r="6" spans="1:14" x14ac:dyDescent="0.2">
      <c r="A6" s="3" t="s">
        <v>0</v>
      </c>
      <c r="B6" s="19" t="s">
        <v>0</v>
      </c>
      <c r="C6" s="19"/>
      <c r="D6" s="19"/>
      <c r="E6" s="19"/>
      <c r="F6" s="19"/>
      <c r="G6" s="19"/>
      <c r="H6" s="19"/>
      <c r="I6" s="19"/>
      <c r="J6" s="3"/>
      <c r="K6" s="3"/>
      <c r="L6" s="6" t="s">
        <v>1</v>
      </c>
      <c r="M6" s="6" t="s">
        <v>2</v>
      </c>
    </row>
    <row r="7" spans="1:14" x14ac:dyDescent="0.2">
      <c r="A7" s="3" t="s">
        <v>0</v>
      </c>
      <c r="B7" s="19" t="s">
        <v>3</v>
      </c>
      <c r="C7" s="19"/>
      <c r="D7" s="19"/>
      <c r="E7" s="19"/>
      <c r="F7" s="19"/>
      <c r="G7" s="19"/>
      <c r="H7" s="19"/>
      <c r="I7" s="19"/>
      <c r="J7" s="3"/>
      <c r="K7" s="3"/>
      <c r="L7" s="6" t="s">
        <v>1</v>
      </c>
      <c r="M7" s="6" t="s">
        <v>2</v>
      </c>
    </row>
    <row r="8" spans="1:14" x14ac:dyDescent="0.2">
      <c r="A8" s="3" t="s">
        <v>0</v>
      </c>
      <c r="B8" s="19" t="s">
        <v>0</v>
      </c>
      <c r="C8" s="19"/>
      <c r="D8" s="19"/>
      <c r="E8" s="19"/>
      <c r="F8" s="19"/>
      <c r="G8" s="19"/>
      <c r="H8" s="19"/>
      <c r="I8" s="19"/>
      <c r="J8" s="3"/>
      <c r="K8" s="3"/>
      <c r="L8" s="6" t="s">
        <v>1</v>
      </c>
      <c r="M8" s="6" t="s">
        <v>2</v>
      </c>
    </row>
    <row r="9" spans="1:14" x14ac:dyDescent="0.2">
      <c r="A9" s="3" t="s">
        <v>0</v>
      </c>
      <c r="B9" s="19" t="s">
        <v>0</v>
      </c>
      <c r="C9" s="19"/>
      <c r="D9" s="19"/>
      <c r="E9" s="19"/>
      <c r="F9" s="19"/>
      <c r="G9" s="19"/>
      <c r="H9" s="19"/>
      <c r="I9" s="19"/>
      <c r="J9" s="3"/>
      <c r="K9" s="3"/>
      <c r="L9" s="6" t="s">
        <v>1</v>
      </c>
      <c r="M9" s="6" t="s">
        <v>2</v>
      </c>
    </row>
    <row r="10" spans="1:14" x14ac:dyDescent="0.2">
      <c r="A10" s="3" t="s">
        <v>0</v>
      </c>
      <c r="B10" s="5" t="s">
        <v>4</v>
      </c>
      <c r="C10" s="5"/>
      <c r="D10" s="5" t="s">
        <v>5</v>
      </c>
      <c r="E10" s="5"/>
      <c r="F10" s="7" t="s">
        <v>283</v>
      </c>
      <c r="G10" s="5"/>
      <c r="H10" s="5"/>
      <c r="I10" s="5"/>
      <c r="J10" s="3"/>
      <c r="K10" s="3"/>
      <c r="L10" s="6" t="s">
        <v>1</v>
      </c>
      <c r="M10" s="6" t="s">
        <v>2</v>
      </c>
    </row>
    <row r="11" spans="1:14" x14ac:dyDescent="0.2">
      <c r="A11" s="3" t="s">
        <v>0</v>
      </c>
      <c r="B11" s="19" t="s">
        <v>0</v>
      </c>
      <c r="C11" s="19"/>
      <c r="D11" s="19"/>
      <c r="E11" s="19"/>
      <c r="F11" s="19"/>
      <c r="G11" s="19"/>
      <c r="H11" s="19"/>
      <c r="I11" s="19"/>
      <c r="J11" s="3"/>
      <c r="K11" s="3"/>
      <c r="L11" s="6" t="s">
        <v>1</v>
      </c>
      <c r="M11" s="6" t="s">
        <v>2</v>
      </c>
    </row>
    <row r="12" spans="1:14" x14ac:dyDescent="0.2">
      <c r="A12" s="8"/>
      <c r="B12" s="9" t="s">
        <v>6</v>
      </c>
      <c r="C12" s="9" t="s">
        <v>0</v>
      </c>
      <c r="D12" s="9" t="s">
        <v>7</v>
      </c>
      <c r="E12" s="9" t="s">
        <v>0</v>
      </c>
      <c r="F12" s="9" t="s">
        <v>8</v>
      </c>
      <c r="G12" s="9"/>
      <c r="H12" s="9"/>
      <c r="I12" s="9"/>
      <c r="J12" s="4"/>
      <c r="K12" s="3"/>
    </row>
    <row r="13" spans="1:14" ht="6.2" hidden="1" customHeight="1" x14ac:dyDescent="0.2">
      <c r="A13" s="8"/>
      <c r="B13" s="25"/>
      <c r="C13" s="25"/>
      <c r="D13" s="25"/>
      <c r="E13" s="25"/>
      <c r="F13" s="25"/>
      <c r="G13" s="25"/>
      <c r="H13" s="25"/>
      <c r="I13" s="25"/>
      <c r="J13" s="4"/>
      <c r="K13" s="3"/>
    </row>
    <row r="14" spans="1:14" hidden="1" x14ac:dyDescent="0.2">
      <c r="A14" s="8"/>
      <c r="B14" s="10" t="s">
        <v>4</v>
      </c>
      <c r="C14" s="10"/>
      <c r="D14" s="10" t="s">
        <v>5</v>
      </c>
      <c r="E14" s="10"/>
      <c r="F14" s="7"/>
      <c r="G14" s="10"/>
      <c r="H14" s="10"/>
      <c r="I14" s="10"/>
      <c r="J14" s="4"/>
      <c r="K14" s="3"/>
      <c r="L14" s="6" t="s">
        <v>9</v>
      </c>
    </row>
    <row r="15" spans="1:14" ht="6.2" customHeight="1" x14ac:dyDescent="0.2">
      <c r="A15" s="8"/>
      <c r="B15" s="25"/>
      <c r="C15" s="25"/>
      <c r="D15" s="25"/>
      <c r="E15" s="25"/>
      <c r="F15" s="25"/>
      <c r="G15" s="25"/>
      <c r="H15" s="25"/>
      <c r="I15" s="25"/>
      <c r="J15" s="4"/>
      <c r="K15" s="3"/>
    </row>
    <row r="16" spans="1:14" x14ac:dyDescent="0.2">
      <c r="A16" s="8"/>
      <c r="B16" s="11" t="s">
        <v>10</v>
      </c>
      <c r="C16" s="10" t="s">
        <v>0</v>
      </c>
      <c r="D16" s="11" t="s">
        <v>10</v>
      </c>
      <c r="E16" s="10" t="s">
        <v>0</v>
      </c>
      <c r="F16" s="22" t="s">
        <v>284</v>
      </c>
      <c r="G16" s="23"/>
      <c r="H16" s="24"/>
      <c r="I16" s="10" t="s">
        <v>11</v>
      </c>
      <c r="J16" s="4"/>
      <c r="K16" s="3"/>
      <c r="L16" s="6" t="s">
        <v>9</v>
      </c>
      <c r="N16" s="6" t="s">
        <v>12</v>
      </c>
    </row>
    <row r="17" spans="1:14" ht="6.2" customHeight="1" x14ac:dyDescent="0.2">
      <c r="A17" s="8"/>
      <c r="B17" s="25"/>
      <c r="C17" s="25"/>
      <c r="D17" s="25"/>
      <c r="E17" s="25"/>
      <c r="F17" s="25"/>
      <c r="G17" s="25"/>
      <c r="H17" s="25"/>
      <c r="I17" s="25"/>
      <c r="J17" s="4"/>
      <c r="K17" s="3"/>
    </row>
    <row r="18" spans="1:14" ht="147" customHeight="1" x14ac:dyDescent="0.2">
      <c r="A18" s="8"/>
      <c r="B18" s="11" t="s">
        <v>13</v>
      </c>
      <c r="C18" s="10" t="s">
        <v>0</v>
      </c>
      <c r="D18" s="11" t="s">
        <v>13</v>
      </c>
      <c r="E18" s="10" t="s">
        <v>0</v>
      </c>
      <c r="F18" s="22" t="s">
        <v>285</v>
      </c>
      <c r="G18" s="23"/>
      <c r="H18" s="24"/>
      <c r="I18" s="10"/>
      <c r="J18" s="4"/>
      <c r="K18" s="3"/>
      <c r="L18" s="6" t="s">
        <v>9</v>
      </c>
      <c r="N18" s="6" t="s">
        <v>14</v>
      </c>
    </row>
    <row r="19" spans="1:14" ht="6.2" customHeight="1" x14ac:dyDescent="0.2">
      <c r="A19" s="8"/>
      <c r="B19" s="25"/>
      <c r="C19" s="25"/>
      <c r="D19" s="25"/>
      <c r="E19" s="25"/>
      <c r="F19" s="25"/>
      <c r="G19" s="25"/>
      <c r="H19" s="25"/>
      <c r="I19" s="25"/>
      <c r="J19" s="4"/>
      <c r="K19" s="3"/>
    </row>
    <row r="20" spans="1:14" x14ac:dyDescent="0.2">
      <c r="A20" s="8"/>
      <c r="B20" s="11" t="s">
        <v>15</v>
      </c>
      <c r="C20" s="10" t="s">
        <v>0</v>
      </c>
      <c r="D20" s="11" t="s">
        <v>15</v>
      </c>
      <c r="E20" s="10" t="s">
        <v>0</v>
      </c>
      <c r="F20" s="22"/>
      <c r="G20" s="23"/>
      <c r="H20" s="24"/>
      <c r="I20" s="10" t="s">
        <v>11</v>
      </c>
      <c r="J20" s="4"/>
      <c r="K20" s="3"/>
      <c r="L20" s="6" t="s">
        <v>9</v>
      </c>
      <c r="N20" s="6" t="s">
        <v>16</v>
      </c>
    </row>
    <row r="21" spans="1:14" ht="6.2" customHeight="1" x14ac:dyDescent="0.2">
      <c r="A21" s="8"/>
      <c r="B21" s="25"/>
      <c r="C21" s="25"/>
      <c r="D21" s="25"/>
      <c r="E21" s="25"/>
      <c r="F21" s="25"/>
      <c r="G21" s="25"/>
      <c r="H21" s="25"/>
      <c r="I21" s="25"/>
      <c r="J21" s="4"/>
      <c r="K21" s="3"/>
    </row>
    <row r="22" spans="1:14" ht="29.45" customHeight="1" x14ac:dyDescent="0.2">
      <c r="A22" s="8"/>
      <c r="B22" s="11" t="s">
        <v>17</v>
      </c>
      <c r="C22" s="10" t="s">
        <v>0</v>
      </c>
      <c r="D22" s="11" t="s">
        <v>17</v>
      </c>
      <c r="E22" s="10" t="s">
        <v>0</v>
      </c>
      <c r="F22" s="22"/>
      <c r="G22" s="23"/>
      <c r="H22" s="24"/>
      <c r="I22" s="10"/>
      <c r="J22" s="4"/>
      <c r="K22" s="3"/>
      <c r="L22" s="6" t="s">
        <v>9</v>
      </c>
      <c r="N22" s="6" t="s">
        <v>18</v>
      </c>
    </row>
    <row r="23" spans="1:14" ht="6.2" customHeight="1" x14ac:dyDescent="0.2">
      <c r="A23" s="8"/>
      <c r="B23" s="25"/>
      <c r="C23" s="25"/>
      <c r="D23" s="25"/>
      <c r="E23" s="25"/>
      <c r="F23" s="25"/>
      <c r="G23" s="25"/>
      <c r="H23" s="25"/>
      <c r="I23" s="25"/>
      <c r="J23" s="4"/>
      <c r="K23" s="3"/>
    </row>
    <row r="24" spans="1:14" ht="29.45" customHeight="1" x14ac:dyDescent="0.2">
      <c r="A24" s="8"/>
      <c r="B24" s="11" t="s">
        <v>19</v>
      </c>
      <c r="C24" s="10" t="s">
        <v>0</v>
      </c>
      <c r="D24" s="11" t="s">
        <v>20</v>
      </c>
      <c r="E24" s="10" t="s">
        <v>0</v>
      </c>
      <c r="F24" s="22" t="s">
        <v>283</v>
      </c>
      <c r="G24" s="23"/>
      <c r="H24" s="24"/>
      <c r="I24" s="10" t="s">
        <v>11</v>
      </c>
      <c r="J24" s="4"/>
      <c r="K24" s="3"/>
      <c r="L24" s="6" t="s">
        <v>9</v>
      </c>
      <c r="N24" s="6" t="s">
        <v>21</v>
      </c>
    </row>
    <row r="25" spans="1:14" ht="6.2" customHeight="1" x14ac:dyDescent="0.2">
      <c r="A25" s="8"/>
      <c r="B25" s="25"/>
      <c r="C25" s="25"/>
      <c r="D25" s="25"/>
      <c r="E25" s="25"/>
      <c r="F25" s="25"/>
      <c r="G25" s="25"/>
      <c r="H25" s="25"/>
      <c r="I25" s="25"/>
      <c r="J25" s="4"/>
      <c r="K25" s="3"/>
    </row>
    <row r="26" spans="1:14" x14ac:dyDescent="0.2">
      <c r="A26" s="8"/>
      <c r="B26" s="9" t="s">
        <v>6</v>
      </c>
      <c r="C26" s="9"/>
      <c r="D26" s="9" t="s">
        <v>7</v>
      </c>
      <c r="E26" s="9"/>
      <c r="F26" s="9" t="s">
        <v>8</v>
      </c>
      <c r="G26" s="9"/>
      <c r="H26" s="9" t="s">
        <v>22</v>
      </c>
      <c r="I26" s="9"/>
      <c r="J26" s="4"/>
      <c r="K26" s="3"/>
    </row>
    <row r="27" spans="1:14" x14ac:dyDescent="0.2">
      <c r="A27" s="8"/>
      <c r="B27" s="25"/>
      <c r="C27" s="25"/>
      <c r="D27" s="25"/>
      <c r="E27" s="25"/>
      <c r="F27" s="25"/>
      <c r="G27" s="25"/>
      <c r="H27" s="12" t="str">
        <f>IF(F28=B32000,C32000,"")&amp;IF(F28=B32001,C32001,"")&amp;IF(F28=B32002,C32002,"")</f>
        <v>Comments:</v>
      </c>
      <c r="I27" s="10"/>
      <c r="J27" s="4"/>
      <c r="K27" s="3"/>
      <c r="M27" s="13" t="str">
        <f>IF(F28=B32000,E32000,"")&amp;IF(F28=B32001,E32001,"")&amp;IF(F28=B32002,E32002,"")</f>
        <v>1</v>
      </c>
    </row>
    <row r="28" spans="1:14" ht="25.5" x14ac:dyDescent="0.2">
      <c r="A28" s="8"/>
      <c r="B28" s="11" t="s">
        <v>23</v>
      </c>
      <c r="C28" s="10"/>
      <c r="D28" s="11" t="s">
        <v>24</v>
      </c>
      <c r="E28" s="10"/>
      <c r="F28" s="7" t="s">
        <v>118</v>
      </c>
      <c r="G28" s="10" t="s">
        <v>11</v>
      </c>
      <c r="H28" s="14" t="s">
        <v>286</v>
      </c>
      <c r="I28" s="10"/>
      <c r="J28" s="4"/>
      <c r="K28" s="3"/>
      <c r="L28" s="6" t="s">
        <v>25</v>
      </c>
      <c r="N28" s="6" t="s">
        <v>26</v>
      </c>
    </row>
    <row r="29" spans="1:14" x14ac:dyDescent="0.2">
      <c r="A29" s="8"/>
      <c r="B29" s="25"/>
      <c r="C29" s="25"/>
      <c r="D29" s="25"/>
      <c r="E29" s="25"/>
      <c r="F29" s="25"/>
      <c r="G29" s="25"/>
      <c r="H29" s="12" t="str">
        <f>IF(F30=B32003,C32003,"")&amp;IF(F30=B32005,C32005,"")</f>
        <v>Comments:</v>
      </c>
      <c r="I29" s="10"/>
      <c r="J29" s="4"/>
      <c r="K29" s="3"/>
      <c r="M29" s="13" t="str">
        <f>IF(F30=B32003,E32003,"")&amp;IF(F30=B32005,E32005,"")</f>
        <v>1</v>
      </c>
    </row>
    <row r="30" spans="1:14" ht="38.25" x14ac:dyDescent="0.2">
      <c r="A30" s="8"/>
      <c r="B30" s="11" t="s">
        <v>27</v>
      </c>
      <c r="C30" s="10"/>
      <c r="D30" s="11" t="s">
        <v>28</v>
      </c>
      <c r="E30" s="10"/>
      <c r="F30" s="7" t="s">
        <v>118</v>
      </c>
      <c r="G30" s="10" t="s">
        <v>11</v>
      </c>
      <c r="H30" s="14"/>
      <c r="I30" s="10"/>
      <c r="J30" s="4"/>
      <c r="K30" s="3"/>
      <c r="L30" s="6" t="s">
        <v>25</v>
      </c>
      <c r="N30" s="6" t="s">
        <v>29</v>
      </c>
    </row>
    <row r="31" spans="1:14" x14ac:dyDescent="0.2">
      <c r="A31" s="8"/>
      <c r="B31" s="25"/>
      <c r="C31" s="25"/>
      <c r="D31" s="25"/>
      <c r="E31" s="25"/>
      <c r="F31" s="25"/>
      <c r="G31" s="25"/>
      <c r="H31" s="12" t="str">
        <f>IF(F32=B32006,C32006,"")&amp;IF(F32=B32008,C32008,"")</f>
        <v>Comments:</v>
      </c>
      <c r="I31" s="10"/>
      <c r="J31" s="4"/>
      <c r="K31" s="3"/>
      <c r="M31" s="13" t="str">
        <f>IF(F32=B32006,E32006,"")&amp;IF(F32=B32008,E32008,"")</f>
        <v>1</v>
      </c>
    </row>
    <row r="32" spans="1:14" ht="25.5" x14ac:dyDescent="0.2">
      <c r="A32" s="8"/>
      <c r="B32" s="11" t="s">
        <v>30</v>
      </c>
      <c r="C32" s="10"/>
      <c r="D32" s="11" t="s">
        <v>31</v>
      </c>
      <c r="E32" s="10"/>
      <c r="F32" s="7" t="s">
        <v>118</v>
      </c>
      <c r="G32" s="10" t="s">
        <v>11</v>
      </c>
      <c r="H32" s="14"/>
      <c r="I32" s="10"/>
      <c r="J32" s="4"/>
      <c r="K32" s="3"/>
      <c r="L32" s="6" t="s">
        <v>25</v>
      </c>
      <c r="N32" s="6" t="s">
        <v>32</v>
      </c>
    </row>
    <row r="33" spans="1:14" x14ac:dyDescent="0.2">
      <c r="A33" s="8"/>
      <c r="B33" s="25"/>
      <c r="C33" s="25"/>
      <c r="D33" s="25"/>
      <c r="E33" s="25"/>
      <c r="F33" s="25"/>
      <c r="G33" s="25"/>
      <c r="H33" s="12" t="str">
        <f>IF(F34=B32009,C32009,"")&amp;IF(F34=B32011,C32011,"")</f>
        <v>How do users reset their password for this technology?</v>
      </c>
      <c r="I33" s="10"/>
      <c r="J33" s="4"/>
      <c r="K33" s="3"/>
      <c r="M33" s="13" t="str">
        <f>IF(F34=B32009,E32009,"")&amp;IF(F34=B32011,E32011,"")</f>
        <v>2</v>
      </c>
    </row>
    <row r="34" spans="1:14" ht="25.5" x14ac:dyDescent="0.2">
      <c r="A34" s="8"/>
      <c r="B34" s="11" t="s">
        <v>33</v>
      </c>
      <c r="C34" s="10"/>
      <c r="D34" s="11" t="s">
        <v>34</v>
      </c>
      <c r="E34" s="10"/>
      <c r="F34" s="7" t="s">
        <v>118</v>
      </c>
      <c r="G34" s="10" t="s">
        <v>11</v>
      </c>
      <c r="H34" s="14" t="s">
        <v>292</v>
      </c>
      <c r="I34" s="10"/>
      <c r="J34" s="4"/>
      <c r="K34" s="3"/>
      <c r="L34" s="6" t="s">
        <v>25</v>
      </c>
      <c r="N34" s="6" t="s">
        <v>35</v>
      </c>
    </row>
    <row r="35" spans="1:14" x14ac:dyDescent="0.2">
      <c r="A35" s="8"/>
      <c r="B35" s="25"/>
      <c r="C35" s="25"/>
      <c r="D35" s="25"/>
      <c r="E35" s="25"/>
      <c r="F35" s="25"/>
      <c r="G35" s="25"/>
      <c r="H35" s="12" t="str">
        <f>IF(F36=B32012,C32012,"")&amp;IF(F36=B32014,C32014,"")</f>
        <v>Up to how many of their last passwords can be re-used?</v>
      </c>
      <c r="I35" s="10"/>
      <c r="J35" s="4"/>
      <c r="K35" s="3"/>
      <c r="M35" s="13" t="str">
        <f>IF(F36=B32012,E32012,"")&amp;IF(F36=B32014,E32014,"")</f>
        <v>2</v>
      </c>
    </row>
    <row r="36" spans="1:14" ht="25.5" x14ac:dyDescent="0.2">
      <c r="A36" s="8"/>
      <c r="B36" s="11" t="s">
        <v>36</v>
      </c>
      <c r="C36" s="10"/>
      <c r="D36" s="11" t="s">
        <v>37</v>
      </c>
      <c r="E36" s="10"/>
      <c r="F36" s="7" t="s">
        <v>118</v>
      </c>
      <c r="G36" s="10" t="s">
        <v>11</v>
      </c>
      <c r="H36" s="14" t="s">
        <v>292</v>
      </c>
      <c r="I36" s="10"/>
      <c r="J36" s="4"/>
      <c r="K36" s="3"/>
      <c r="L36" s="6" t="s">
        <v>25</v>
      </c>
      <c r="N36" s="6" t="s">
        <v>38</v>
      </c>
    </row>
    <row r="37" spans="1:14" x14ac:dyDescent="0.2">
      <c r="A37" s="8"/>
      <c r="B37" s="25"/>
      <c r="C37" s="25"/>
      <c r="D37" s="25"/>
      <c r="E37" s="25"/>
      <c r="F37" s="25"/>
      <c r="G37" s="25"/>
      <c r="H37" s="12" t="str">
        <f>IF(F38=B32015,C32015,"")&amp;IF(F38=B32016,C32016,"")&amp;IF(F38=B32018,C32018,"")</f>
        <v>Comments:</v>
      </c>
      <c r="I37" s="10"/>
      <c r="J37" s="4"/>
      <c r="K37" s="3"/>
      <c r="M37" s="13" t="str">
        <f>IF(F38=B32015,E32015,"")&amp;IF(F38=B32016,E32016,"")&amp;IF(F38=B32018,E32018,"")</f>
        <v>1</v>
      </c>
    </row>
    <row r="38" spans="1:14" ht="38.25" x14ac:dyDescent="0.2">
      <c r="A38" s="8"/>
      <c r="B38" s="11" t="s">
        <v>39</v>
      </c>
      <c r="C38" s="10"/>
      <c r="D38" s="11" t="s">
        <v>40</v>
      </c>
      <c r="E38" s="10"/>
      <c r="F38" s="7" t="s">
        <v>125</v>
      </c>
      <c r="G38" s="10" t="s">
        <v>11</v>
      </c>
      <c r="H38" s="14" t="s">
        <v>287</v>
      </c>
      <c r="I38" s="10"/>
      <c r="J38" s="4"/>
      <c r="K38" s="3"/>
      <c r="L38" s="6" t="s">
        <v>25</v>
      </c>
      <c r="N38" s="6" t="s">
        <v>41</v>
      </c>
    </row>
    <row r="39" spans="1:14" x14ac:dyDescent="0.2">
      <c r="A39" s="8"/>
      <c r="B39" s="25"/>
      <c r="C39" s="25"/>
      <c r="D39" s="25"/>
      <c r="E39" s="25"/>
      <c r="F39" s="25"/>
      <c r="G39" s="25"/>
      <c r="H39" s="12" t="str">
        <f>IF(F40=B32019,C32019,"")&amp;IF(F40=B32021,C32021,"")</f>
        <v>Comments:</v>
      </c>
      <c r="I39" s="10"/>
      <c r="J39" s="4"/>
      <c r="K39" s="3"/>
      <c r="M39" s="13" t="str">
        <f>IF(F40=B32019,E32019,"")&amp;IF(F40=B32021,E32021,"")</f>
        <v>1</v>
      </c>
    </row>
    <row r="40" spans="1:14" ht="25.5" x14ac:dyDescent="0.2">
      <c r="A40" s="8"/>
      <c r="B40" s="11" t="s">
        <v>42</v>
      </c>
      <c r="C40" s="10"/>
      <c r="D40" s="11" t="s">
        <v>43</v>
      </c>
      <c r="E40" s="10"/>
      <c r="F40" s="7" t="s">
        <v>118</v>
      </c>
      <c r="G40" s="10" t="s">
        <v>11</v>
      </c>
      <c r="H40" s="14" t="s">
        <v>292</v>
      </c>
      <c r="I40" s="10"/>
      <c r="J40" s="4"/>
      <c r="K40" s="3"/>
      <c r="L40" s="6" t="s">
        <v>25</v>
      </c>
      <c r="N40" s="6" t="s">
        <v>44</v>
      </c>
    </row>
    <row r="41" spans="1:14" x14ac:dyDescent="0.2">
      <c r="A41" s="8"/>
      <c r="B41" s="25"/>
      <c r="C41" s="25"/>
      <c r="D41" s="25"/>
      <c r="E41" s="25"/>
      <c r="F41" s="25"/>
      <c r="G41" s="25"/>
      <c r="H41" s="12" t="str">
        <f>IF(F42=B32022,C32022,"")&amp;IF(F42=B32023,C32023,"")&amp;IF(F42=B32024,C32024,"")</f>
        <v>Please explain choice of other.</v>
      </c>
      <c r="I41" s="10"/>
      <c r="J41" s="4"/>
      <c r="K41" s="3"/>
      <c r="M41" s="13" t="str">
        <f>IF(F42=B32022,E32022,"")&amp;IF(F42=B32023,E32023,"")&amp;IF(F42=B32024,E32024,"")</f>
        <v>2</v>
      </c>
    </row>
    <row r="42" spans="1:14" ht="38.25" x14ac:dyDescent="0.2">
      <c r="A42" s="8"/>
      <c r="B42" s="11" t="s">
        <v>45</v>
      </c>
      <c r="C42" s="10"/>
      <c r="D42" s="11" t="s">
        <v>46</v>
      </c>
      <c r="E42" s="10"/>
      <c r="F42" s="7" t="s">
        <v>116</v>
      </c>
      <c r="G42" s="10" t="s">
        <v>11</v>
      </c>
      <c r="H42" s="14" t="s">
        <v>288</v>
      </c>
      <c r="I42" s="10"/>
      <c r="J42" s="4"/>
      <c r="K42" s="3"/>
      <c r="L42" s="6" t="s">
        <v>25</v>
      </c>
      <c r="N42" s="6" t="s">
        <v>47</v>
      </c>
    </row>
    <row r="43" spans="1:14" x14ac:dyDescent="0.2">
      <c r="A43" s="8"/>
      <c r="B43" s="25"/>
      <c r="C43" s="25"/>
      <c r="D43" s="25"/>
      <c r="E43" s="25"/>
      <c r="F43" s="25"/>
      <c r="G43" s="25"/>
      <c r="H43" s="12" t="str">
        <f>IF(F44=B32026,C32026,"")&amp;IF(F44=B32027,C32027,"")&amp;IF(F44=B32028,C32028,"")</f>
        <v/>
      </c>
      <c r="I43" s="10"/>
      <c r="J43" s="4"/>
      <c r="K43" s="3"/>
      <c r="M43" s="13" t="str">
        <f>IF(F44=B32026,E32026,"")&amp;IF(F44=B32027,E32027,"")&amp;IF(F44=B32028,E32028,"")</f>
        <v/>
      </c>
    </row>
    <row r="44" spans="1:14" ht="38.25" x14ac:dyDescent="0.2">
      <c r="A44" s="8"/>
      <c r="B44" s="11" t="s">
        <v>48</v>
      </c>
      <c r="C44" s="10"/>
      <c r="D44" s="11" t="s">
        <v>49</v>
      </c>
      <c r="E44" s="10"/>
      <c r="F44" s="7" t="s">
        <v>119</v>
      </c>
      <c r="G44" s="10" t="s">
        <v>11</v>
      </c>
      <c r="H44" s="14"/>
      <c r="I44" s="10"/>
      <c r="J44" s="4"/>
      <c r="K44" s="3"/>
      <c r="L44" s="6" t="s">
        <v>25</v>
      </c>
      <c r="N44" s="6" t="s">
        <v>50</v>
      </c>
    </row>
    <row r="45" spans="1:14" x14ac:dyDescent="0.2">
      <c r="A45" s="8"/>
      <c r="B45" s="25"/>
      <c r="C45" s="25"/>
      <c r="D45" s="25"/>
      <c r="E45" s="25"/>
      <c r="F45" s="25"/>
      <c r="G45" s="25"/>
      <c r="H45" s="12" t="str">
        <f>IF(F46=B32030,C32030,"")&amp;IF(F46=B32031,C32031,"")</f>
        <v>Comments:</v>
      </c>
      <c r="I45" s="10"/>
      <c r="J45" s="4"/>
      <c r="K45" s="3"/>
      <c r="M45" s="13" t="str">
        <f>IF(F46=B32030,E32030,"")&amp;IF(F46=B32031,E32031,"")</f>
        <v>1</v>
      </c>
    </row>
    <row r="46" spans="1:14" ht="25.5" x14ac:dyDescent="0.2">
      <c r="A46" s="8"/>
      <c r="B46" s="11" t="s">
        <v>51</v>
      </c>
      <c r="C46" s="10"/>
      <c r="D46" s="11" t="s">
        <v>52</v>
      </c>
      <c r="E46" s="10"/>
      <c r="F46" s="7" t="s">
        <v>118</v>
      </c>
      <c r="G46" s="10" t="s">
        <v>11</v>
      </c>
      <c r="H46" s="14" t="s">
        <v>292</v>
      </c>
      <c r="I46" s="10"/>
      <c r="J46" s="4"/>
      <c r="K46" s="3"/>
      <c r="L46" s="6" t="s">
        <v>25</v>
      </c>
      <c r="N46" s="6" t="s">
        <v>53</v>
      </c>
    </row>
    <row r="47" spans="1:14" x14ac:dyDescent="0.2">
      <c r="A47" s="8"/>
      <c r="B47" s="25"/>
      <c r="C47" s="25"/>
      <c r="D47" s="25"/>
      <c r="E47" s="25"/>
      <c r="F47" s="25"/>
      <c r="G47" s="25"/>
      <c r="H47" s="12" t="str">
        <f>IF(F48=B32033,C32033,"")&amp;IF(F48=B32034,C32034,"")</f>
        <v>Comments:</v>
      </c>
      <c r="I47" s="10"/>
      <c r="J47" s="4"/>
      <c r="K47" s="3"/>
      <c r="M47" s="13" t="str">
        <f>IF(F48=B32033,E32033,"")&amp;IF(F48=B32034,E32034,"")</f>
        <v>1</v>
      </c>
    </row>
    <row r="48" spans="1:14" ht="89.25" x14ac:dyDescent="0.2">
      <c r="A48" s="8"/>
      <c r="B48" s="11" t="s">
        <v>54</v>
      </c>
      <c r="C48" s="10"/>
      <c r="D48" s="11" t="s">
        <v>55</v>
      </c>
      <c r="E48" s="10"/>
      <c r="F48" s="7" t="s">
        <v>118</v>
      </c>
      <c r="G48" s="10" t="s">
        <v>11</v>
      </c>
      <c r="H48" s="14" t="s">
        <v>292</v>
      </c>
      <c r="I48" s="10"/>
      <c r="J48" s="4"/>
      <c r="K48" s="3"/>
      <c r="L48" s="6" t="s">
        <v>25</v>
      </c>
      <c r="N48" s="6" t="s">
        <v>56</v>
      </c>
    </row>
    <row r="49" spans="1:14" x14ac:dyDescent="0.2">
      <c r="A49" s="8"/>
      <c r="B49" s="25"/>
      <c r="C49" s="25"/>
      <c r="D49" s="25"/>
      <c r="E49" s="25"/>
      <c r="F49" s="25"/>
      <c r="G49" s="25"/>
      <c r="H49" s="12" t="str">
        <f>IF(F50=B32036,C32036,"")&amp;IF(F50=B32037,C32037,"")</f>
        <v>Are users able to continue using their temporary assigned password?</v>
      </c>
      <c r="I49" s="10"/>
      <c r="J49" s="4"/>
      <c r="K49" s="3"/>
      <c r="M49" s="13" t="str">
        <f>IF(F50=B32036,E32036,"")&amp;IF(F50=B32037,E32037,"")</f>
        <v>2</v>
      </c>
    </row>
    <row r="50" spans="1:14" ht="25.5" x14ac:dyDescent="0.2">
      <c r="A50" s="8"/>
      <c r="B50" s="11" t="s">
        <v>57</v>
      </c>
      <c r="C50" s="10"/>
      <c r="D50" s="11" t="s">
        <v>58</v>
      </c>
      <c r="E50" s="10"/>
      <c r="F50" s="7" t="s">
        <v>113</v>
      </c>
      <c r="G50" s="10" t="s">
        <v>11</v>
      </c>
      <c r="H50" s="14" t="s">
        <v>292</v>
      </c>
      <c r="I50" s="10"/>
      <c r="J50" s="4"/>
      <c r="K50" s="3"/>
      <c r="L50" s="6" t="s">
        <v>25</v>
      </c>
      <c r="N50" s="6" t="s">
        <v>59</v>
      </c>
    </row>
    <row r="51" spans="1:14" x14ac:dyDescent="0.2">
      <c r="A51" s="8"/>
      <c r="B51" s="25"/>
      <c r="C51" s="25"/>
      <c r="D51" s="25"/>
      <c r="E51" s="25"/>
      <c r="F51" s="25"/>
      <c r="G51" s="25"/>
      <c r="H51" s="12" t="str">
        <f>IF(F52=B32039,C32039,"")&amp;IF(F52=B32040,C32040,"")</f>
        <v>Comments:</v>
      </c>
      <c r="I51" s="10"/>
      <c r="J51" s="4"/>
      <c r="K51" s="3"/>
      <c r="M51" s="13" t="str">
        <f>IF(F52=B32039,E32039,"")&amp;IF(F52=B32040,E32040,"")</f>
        <v>1</v>
      </c>
    </row>
    <row r="52" spans="1:14" x14ac:dyDescent="0.2">
      <c r="A52" s="8"/>
      <c r="B52" s="11" t="s">
        <v>60</v>
      </c>
      <c r="C52" s="10"/>
      <c r="D52" s="11" t="s">
        <v>61</v>
      </c>
      <c r="E52" s="10"/>
      <c r="F52" s="7" t="s">
        <v>118</v>
      </c>
      <c r="G52" s="10" t="s">
        <v>11</v>
      </c>
      <c r="H52" s="14"/>
      <c r="I52" s="10"/>
      <c r="J52" s="4"/>
      <c r="K52" s="3"/>
      <c r="L52" s="6" t="s">
        <v>25</v>
      </c>
      <c r="N52" s="6" t="s">
        <v>62</v>
      </c>
    </row>
    <row r="53" spans="1:14" x14ac:dyDescent="0.2">
      <c r="A53" s="8"/>
      <c r="B53" s="25"/>
      <c r="C53" s="25"/>
      <c r="D53" s="25"/>
      <c r="E53" s="25"/>
      <c r="F53" s="25"/>
      <c r="G53" s="25"/>
      <c r="H53" s="12" t="str">
        <f>IF(F54=B32042,C32042,"")&amp;IF(F54=B32043,C32043,"")&amp;IF(F54=B32044,C32044,"")</f>
        <v>Comments:</v>
      </c>
      <c r="I53" s="10"/>
      <c r="J53" s="4"/>
      <c r="K53" s="3"/>
      <c r="M53" s="13" t="str">
        <f>IF(F54=B32042,E32042,"")&amp;IF(F54=B32043,E32043,"")&amp;IF(F54=B32044,E32044,"")</f>
        <v>1</v>
      </c>
    </row>
    <row r="54" spans="1:14" ht="63.75" x14ac:dyDescent="0.2">
      <c r="A54" s="8"/>
      <c r="B54" s="11" t="s">
        <v>63</v>
      </c>
      <c r="C54" s="10"/>
      <c r="D54" s="11" t="s">
        <v>64</v>
      </c>
      <c r="E54" s="10"/>
      <c r="F54" s="7" t="s">
        <v>118</v>
      </c>
      <c r="G54" s="10" t="s">
        <v>11</v>
      </c>
      <c r="H54" s="14" t="s">
        <v>289</v>
      </c>
      <c r="I54" s="10"/>
      <c r="J54" s="4"/>
      <c r="K54" s="3"/>
      <c r="L54" s="6" t="s">
        <v>25</v>
      </c>
      <c r="N54" s="6" t="s">
        <v>65</v>
      </c>
    </row>
    <row r="55" spans="1:14" x14ac:dyDescent="0.2">
      <c r="A55" s="8"/>
      <c r="B55" s="25"/>
      <c r="C55" s="25"/>
      <c r="D55" s="25"/>
      <c r="E55" s="25"/>
      <c r="F55" s="25"/>
      <c r="G55" s="25"/>
      <c r="H55" s="12" t="str">
        <f>IF(F56=B32045,C32045,"")&amp;IF(F56=B32046,C32046,"")</f>
        <v>Comments:</v>
      </c>
      <c r="I55" s="10"/>
      <c r="J55" s="4"/>
      <c r="K55" s="3"/>
      <c r="M55" s="13" t="str">
        <f>IF(F56=B32045,E32045,"")&amp;IF(F56=B32046,E32046,"")</f>
        <v>1</v>
      </c>
    </row>
    <row r="56" spans="1:14" ht="25.5" x14ac:dyDescent="0.2">
      <c r="A56" s="8"/>
      <c r="B56" s="11" t="s">
        <v>66</v>
      </c>
      <c r="C56" s="10"/>
      <c r="D56" s="11" t="s">
        <v>67</v>
      </c>
      <c r="E56" s="10"/>
      <c r="F56" s="7" t="s">
        <v>118</v>
      </c>
      <c r="G56" s="10" t="s">
        <v>11</v>
      </c>
      <c r="H56" s="14"/>
      <c r="I56" s="10"/>
      <c r="J56" s="4"/>
      <c r="K56" s="3"/>
      <c r="L56" s="6" t="s">
        <v>25</v>
      </c>
      <c r="N56" s="6" t="s">
        <v>68</v>
      </c>
    </row>
    <row r="57" spans="1:14" x14ac:dyDescent="0.2">
      <c r="A57" s="8"/>
      <c r="B57" s="25"/>
      <c r="C57" s="25"/>
      <c r="D57" s="25"/>
      <c r="E57" s="25"/>
      <c r="F57" s="25"/>
      <c r="G57" s="25"/>
      <c r="H57" s="12" t="str">
        <f>IF(F58=B32047,C32047,"")&amp;IF(F58=B32048,C32048,"")</f>
        <v>Comments:</v>
      </c>
      <c r="I57" s="10"/>
      <c r="J57" s="4"/>
      <c r="K57" s="3"/>
      <c r="M57" s="13" t="str">
        <f>IF(F58=B32047,E32047,"")&amp;IF(F58=B32048,E32048,"")</f>
        <v>1</v>
      </c>
    </row>
    <row r="58" spans="1:14" ht="25.5" x14ac:dyDescent="0.2">
      <c r="A58" s="8"/>
      <c r="B58" s="11" t="s">
        <v>69</v>
      </c>
      <c r="C58" s="10"/>
      <c r="D58" s="11" t="s">
        <v>70</v>
      </c>
      <c r="E58" s="10"/>
      <c r="F58" s="7" t="s">
        <v>118</v>
      </c>
      <c r="G58" s="10" t="s">
        <v>11</v>
      </c>
      <c r="H58" s="14" t="s">
        <v>290</v>
      </c>
      <c r="I58" s="10"/>
      <c r="J58" s="4"/>
      <c r="K58" s="3"/>
      <c r="L58" s="6" t="s">
        <v>25</v>
      </c>
      <c r="N58" s="6" t="s">
        <v>71</v>
      </c>
    </row>
    <row r="59" spans="1:14" x14ac:dyDescent="0.2">
      <c r="A59" s="8"/>
      <c r="B59" s="25"/>
      <c r="C59" s="25"/>
      <c r="D59" s="25"/>
      <c r="E59" s="25"/>
      <c r="F59" s="25"/>
      <c r="G59" s="25"/>
      <c r="H59" s="12" t="str">
        <f>IF(F60=B32049,C32049,"")&amp;IF(F60=B32050,C32050,"")</f>
        <v>Comments:</v>
      </c>
      <c r="I59" s="10"/>
      <c r="J59" s="4"/>
      <c r="K59" s="3"/>
      <c r="M59" s="13" t="str">
        <f>IF(F60=B32049,E32049,"")&amp;IF(F60=B32050,E32050,"")</f>
        <v>1</v>
      </c>
    </row>
    <row r="60" spans="1:14" ht="51" x14ac:dyDescent="0.2">
      <c r="A60" s="8"/>
      <c r="B60" s="11" t="s">
        <v>72</v>
      </c>
      <c r="C60" s="10"/>
      <c r="D60" s="11" t="s">
        <v>73</v>
      </c>
      <c r="E60" s="10"/>
      <c r="F60" s="7" t="s">
        <v>118</v>
      </c>
      <c r="G60" s="10" t="s">
        <v>11</v>
      </c>
      <c r="H60" s="14" t="s">
        <v>291</v>
      </c>
      <c r="I60" s="10"/>
      <c r="J60" s="4"/>
      <c r="K60" s="3"/>
      <c r="L60" s="6" t="s">
        <v>25</v>
      </c>
      <c r="N60" s="6" t="s">
        <v>74</v>
      </c>
    </row>
    <row r="61" spans="1:14" x14ac:dyDescent="0.2">
      <c r="A61" s="8"/>
      <c r="B61" s="25"/>
      <c r="C61" s="25"/>
      <c r="D61" s="25"/>
      <c r="E61" s="25"/>
      <c r="F61" s="25"/>
      <c r="G61" s="25"/>
      <c r="H61" s="12" t="str">
        <f>IF(F62=B32051,C32051,"")&amp;IF(F62=B32052,C32052,"")</f>
        <v>Comments:</v>
      </c>
      <c r="I61" s="10"/>
      <c r="J61" s="4"/>
      <c r="K61" s="3"/>
      <c r="M61" s="13" t="str">
        <f>IF(F62=B32051,E32051,"")&amp;IF(F62=B32052,E32052,"")</f>
        <v>1</v>
      </c>
    </row>
    <row r="62" spans="1:14" x14ac:dyDescent="0.2">
      <c r="A62" s="8"/>
      <c r="B62" s="11" t="s">
        <v>75</v>
      </c>
      <c r="C62" s="10"/>
      <c r="D62" s="11" t="s">
        <v>76</v>
      </c>
      <c r="E62" s="10"/>
      <c r="F62" s="7" t="s">
        <v>118</v>
      </c>
      <c r="G62" s="10" t="s">
        <v>11</v>
      </c>
      <c r="H62" s="14"/>
      <c r="I62" s="10"/>
      <c r="J62" s="4"/>
      <c r="K62" s="3"/>
      <c r="L62" s="6" t="s">
        <v>25</v>
      </c>
      <c r="N62" s="6" t="s">
        <v>77</v>
      </c>
    </row>
    <row r="63" spans="1:14" x14ac:dyDescent="0.2">
      <c r="A63" s="8"/>
      <c r="B63" s="25"/>
      <c r="C63" s="25"/>
      <c r="D63" s="25"/>
      <c r="E63" s="25"/>
      <c r="F63" s="25"/>
      <c r="G63" s="25"/>
      <c r="H63" s="12" t="str">
        <f>IF(F64=B32054,C32054,"")&amp;IF(F64=B32055,C32055,"")</f>
        <v>Comments:</v>
      </c>
      <c r="I63" s="10"/>
      <c r="J63" s="4"/>
      <c r="K63" s="3"/>
      <c r="M63" s="13" t="str">
        <f>IF(F64=B32054,E32054,"")&amp;IF(F64=B32055,E32055,"")</f>
        <v>1</v>
      </c>
    </row>
    <row r="64" spans="1:14" ht="25.5" x14ac:dyDescent="0.2">
      <c r="A64" s="8"/>
      <c r="B64" s="11" t="s">
        <v>78</v>
      </c>
      <c r="C64" s="10"/>
      <c r="D64" s="11" t="s">
        <v>79</v>
      </c>
      <c r="E64" s="10"/>
      <c r="F64" s="7" t="s">
        <v>118</v>
      </c>
      <c r="G64" s="10" t="s">
        <v>11</v>
      </c>
      <c r="H64" s="14"/>
      <c r="I64" s="10"/>
      <c r="J64" s="4"/>
      <c r="K64" s="3"/>
      <c r="L64" s="6" t="s">
        <v>25</v>
      </c>
      <c r="N64" s="6" t="s">
        <v>80</v>
      </c>
    </row>
    <row r="65" spans="1:14" x14ac:dyDescent="0.2">
      <c r="A65" s="8"/>
      <c r="B65" s="25"/>
      <c r="C65" s="25"/>
      <c r="D65" s="25"/>
      <c r="E65" s="25"/>
      <c r="F65" s="25"/>
      <c r="G65" s="25"/>
      <c r="H65" s="12" t="str">
        <f>IF(F66=B32057,C32057,"")&amp;IF(F66=B32058,C32058,"")</f>
        <v>Comments:</v>
      </c>
      <c r="I65" s="10"/>
      <c r="J65" s="4"/>
      <c r="K65" s="3"/>
      <c r="M65" s="13" t="str">
        <f>IF(F66=B32057,E32057,"")&amp;IF(F66=B32058,E32058,"")</f>
        <v>1</v>
      </c>
    </row>
    <row r="66" spans="1:14" x14ac:dyDescent="0.2">
      <c r="A66" s="8"/>
      <c r="B66" s="11" t="s">
        <v>81</v>
      </c>
      <c r="C66" s="10"/>
      <c r="D66" s="11" t="s">
        <v>82</v>
      </c>
      <c r="E66" s="10"/>
      <c r="F66" s="7" t="s">
        <v>118</v>
      </c>
      <c r="G66" s="10" t="s">
        <v>11</v>
      </c>
      <c r="H66" s="14"/>
      <c r="I66" s="10"/>
      <c r="J66" s="4"/>
      <c r="K66" s="3"/>
      <c r="L66" s="6" t="s">
        <v>25</v>
      </c>
      <c r="N66" s="6" t="s">
        <v>83</v>
      </c>
    </row>
    <row r="67" spans="1:14" x14ac:dyDescent="0.2">
      <c r="A67" s="8"/>
      <c r="B67" s="25"/>
      <c r="C67" s="25"/>
      <c r="D67" s="25"/>
      <c r="E67" s="25"/>
      <c r="F67" s="25"/>
      <c r="G67" s="25"/>
      <c r="H67" s="12" t="str">
        <f>IF(F68=B32059,C32059,"")&amp;IF(F68=B32060,C32060,"")</f>
        <v>Comments:</v>
      </c>
      <c r="I67" s="10"/>
      <c r="J67" s="4"/>
      <c r="K67" s="3"/>
      <c r="M67" s="13" t="str">
        <f>IF(F68=B32059,E32059,"")&amp;IF(F68=B32060,E32060,"")</f>
        <v>1</v>
      </c>
    </row>
    <row r="68" spans="1:14" ht="25.5" x14ac:dyDescent="0.2">
      <c r="A68" s="8"/>
      <c r="B68" s="11" t="s">
        <v>84</v>
      </c>
      <c r="C68" s="10"/>
      <c r="D68" s="11" t="s">
        <v>85</v>
      </c>
      <c r="E68" s="10"/>
      <c r="F68" s="7" t="s">
        <v>118</v>
      </c>
      <c r="G68" s="10" t="s">
        <v>11</v>
      </c>
      <c r="H68" s="14" t="s">
        <v>292</v>
      </c>
      <c r="I68" s="10"/>
      <c r="J68" s="4"/>
      <c r="K68" s="3"/>
      <c r="L68" s="6" t="s">
        <v>25</v>
      </c>
      <c r="N68" s="6" t="s">
        <v>86</v>
      </c>
    </row>
    <row r="69" spans="1:14" x14ac:dyDescent="0.2">
      <c r="A69" s="8"/>
      <c r="B69" s="25"/>
      <c r="C69" s="25"/>
      <c r="D69" s="25"/>
      <c r="E69" s="25"/>
      <c r="F69" s="25"/>
      <c r="G69" s="25"/>
      <c r="H69" s="12" t="str">
        <f>IF(F70=B32061,C32061,"")&amp;IF(F70=B32062,C32062,"")</f>
        <v>How long will a locked out account be disabled?</v>
      </c>
      <c r="I69" s="10"/>
      <c r="J69" s="4"/>
      <c r="K69" s="3"/>
      <c r="M69" s="13" t="str">
        <f>IF(F70=B32061,E32061,"")&amp;IF(F70=B32062,E32062,"")</f>
        <v>2</v>
      </c>
    </row>
    <row r="70" spans="1:14" ht="38.25" x14ac:dyDescent="0.2">
      <c r="A70" s="8"/>
      <c r="B70" s="11" t="s">
        <v>87</v>
      </c>
      <c r="C70" s="10"/>
      <c r="D70" s="11" t="s">
        <v>88</v>
      </c>
      <c r="E70" s="10"/>
      <c r="F70" s="7" t="s">
        <v>113</v>
      </c>
      <c r="G70" s="10" t="s">
        <v>11</v>
      </c>
      <c r="H70" s="14" t="s">
        <v>292</v>
      </c>
      <c r="I70" s="10"/>
      <c r="J70" s="4"/>
      <c r="K70" s="3"/>
      <c r="L70" s="6" t="s">
        <v>25</v>
      </c>
      <c r="N70" s="6" t="s">
        <v>89</v>
      </c>
    </row>
    <row r="71" spans="1:14" x14ac:dyDescent="0.2">
      <c r="A71" s="8"/>
      <c r="B71" s="25"/>
      <c r="C71" s="25"/>
      <c r="D71" s="25"/>
      <c r="E71" s="25"/>
      <c r="F71" s="25"/>
      <c r="G71" s="25"/>
      <c r="H71" s="12" t="str">
        <f>IF(F72=B32064,C32064,"")&amp;IF(F72=B32065,C32065,"")</f>
        <v>Comments:</v>
      </c>
      <c r="I71" s="10"/>
      <c r="J71" s="4"/>
      <c r="K71" s="3"/>
      <c r="M71" s="13" t="str">
        <f>IF(F72=B32064,E32064,"")&amp;IF(F72=B32065,E32065,"")</f>
        <v>1</v>
      </c>
    </row>
    <row r="72" spans="1:14" ht="38.25" x14ac:dyDescent="0.2">
      <c r="A72" s="8"/>
      <c r="B72" s="11" t="s">
        <v>90</v>
      </c>
      <c r="C72" s="10"/>
      <c r="D72" s="11" t="s">
        <v>91</v>
      </c>
      <c r="E72" s="10"/>
      <c r="F72" s="7" t="s">
        <v>113</v>
      </c>
      <c r="G72" s="10" t="s">
        <v>11</v>
      </c>
      <c r="H72" s="14" t="s">
        <v>293</v>
      </c>
      <c r="I72" s="10"/>
      <c r="J72" s="4"/>
      <c r="K72" s="3"/>
      <c r="L72" s="6" t="s">
        <v>25</v>
      </c>
      <c r="N72" s="6" t="s">
        <v>92</v>
      </c>
    </row>
    <row r="73" spans="1:14" x14ac:dyDescent="0.2">
      <c r="A73" s="8"/>
      <c r="B73" s="25"/>
      <c r="C73" s="25"/>
      <c r="D73" s="25"/>
      <c r="E73" s="25"/>
      <c r="F73" s="25"/>
      <c r="G73" s="25"/>
      <c r="H73" s="12" t="str">
        <f>IF(F74=B32066,C32066,"")&amp;IF(F74=B32067,C32067,"")</f>
        <v>Please indicate why this technology has no system hardening.</v>
      </c>
      <c r="I73" s="10"/>
      <c r="J73" s="4"/>
      <c r="K73" s="3"/>
      <c r="M73" s="13" t="str">
        <f>IF(F74=B32066,E32066,"")&amp;IF(F74=B32067,E32067,"")</f>
        <v>2</v>
      </c>
    </row>
    <row r="74" spans="1:14" ht="76.5" x14ac:dyDescent="0.2">
      <c r="A74" s="8"/>
      <c r="B74" s="11" t="s">
        <v>93</v>
      </c>
      <c r="C74" s="10"/>
      <c r="D74" s="11" t="s">
        <v>94</v>
      </c>
      <c r="E74" s="10"/>
      <c r="F74" s="7" t="s">
        <v>113</v>
      </c>
      <c r="G74" s="10" t="s">
        <v>11</v>
      </c>
      <c r="H74" s="14" t="s">
        <v>294</v>
      </c>
      <c r="I74" s="10"/>
      <c r="J74" s="4"/>
      <c r="K74" s="3"/>
      <c r="L74" s="6" t="s">
        <v>25</v>
      </c>
      <c r="N74" s="6" t="s">
        <v>95</v>
      </c>
    </row>
    <row r="75" spans="1:14" x14ac:dyDescent="0.2">
      <c r="A75" s="8"/>
      <c r="B75" s="25"/>
      <c r="C75" s="25"/>
      <c r="D75" s="25"/>
      <c r="E75" s="25"/>
      <c r="F75" s="25"/>
      <c r="G75" s="25"/>
      <c r="H75" s="12" t="str">
        <f>IF(F76=B32068,C32068,"")&amp;IF(F76=B32069,C32069,"")&amp;IF(F76=B32070,C32070,"")</f>
        <v>Comments:</v>
      </c>
      <c r="I75" s="10"/>
      <c r="J75" s="4"/>
      <c r="K75" s="3"/>
      <c r="M75" s="13" t="str">
        <f>IF(F76=B32068,E32068,"")&amp;IF(F76=B32069,E32069,"")&amp;IF(F76=B32070,E32070,"")</f>
        <v>1</v>
      </c>
    </row>
    <row r="76" spans="1:14" ht="38.25" x14ac:dyDescent="0.2">
      <c r="A76" s="8"/>
      <c r="B76" s="11" t="s">
        <v>96</v>
      </c>
      <c r="C76" s="10"/>
      <c r="D76" s="11" t="s">
        <v>97</v>
      </c>
      <c r="E76" s="10"/>
      <c r="F76" s="7" t="s">
        <v>118</v>
      </c>
      <c r="G76" s="10" t="s">
        <v>11</v>
      </c>
      <c r="H76" s="14"/>
      <c r="I76" s="10"/>
      <c r="J76" s="4"/>
      <c r="K76" s="3"/>
      <c r="L76" s="6" t="s">
        <v>25</v>
      </c>
      <c r="N76" s="6" t="s">
        <v>98</v>
      </c>
    </row>
    <row r="77" spans="1:14" x14ac:dyDescent="0.2">
      <c r="A77" s="8"/>
      <c r="B77" s="25"/>
      <c r="C77" s="25"/>
      <c r="D77" s="25"/>
      <c r="E77" s="25"/>
      <c r="F77" s="25"/>
      <c r="G77" s="25"/>
      <c r="H77" s="12" t="str">
        <f>IF(F78=B32071,C32071,"")&amp;IF(F78=B32072,C32072,"")&amp;IF(F78=B32073,C32073,"")</f>
        <v>Comments:</v>
      </c>
      <c r="I77" s="10"/>
      <c r="J77" s="4"/>
      <c r="K77" s="3"/>
      <c r="M77" s="13" t="str">
        <f>IF(F78=B32071,E32071,"")&amp;IF(F78=B32072,E32072,"")&amp;IF(F78=B32073,E32073,"")</f>
        <v>1</v>
      </c>
    </row>
    <row r="78" spans="1:14" x14ac:dyDescent="0.2">
      <c r="A78" s="8"/>
      <c r="B78" s="11" t="s">
        <v>99</v>
      </c>
      <c r="C78" s="10"/>
      <c r="D78" s="11" t="s">
        <v>100</v>
      </c>
      <c r="E78" s="10"/>
      <c r="F78" s="7" t="s">
        <v>113</v>
      </c>
      <c r="G78" s="10" t="s">
        <v>11</v>
      </c>
      <c r="H78" s="14"/>
      <c r="I78" s="10"/>
      <c r="J78" s="4"/>
      <c r="K78" s="3"/>
      <c r="L78" s="6" t="s">
        <v>25</v>
      </c>
      <c r="N78" s="6" t="s">
        <v>101</v>
      </c>
    </row>
    <row r="79" spans="1:14" x14ac:dyDescent="0.2">
      <c r="A79" s="8"/>
      <c r="B79" s="25"/>
      <c r="C79" s="25"/>
      <c r="D79" s="25"/>
      <c r="E79" s="25"/>
      <c r="F79" s="25"/>
      <c r="G79" s="25"/>
      <c r="H79" s="12" t="str">
        <f>IF(F80=B32074,C32074,"")&amp;IF(F80=B32075,C32075,"")</f>
        <v>At what frequency?</v>
      </c>
      <c r="I79" s="10"/>
      <c r="J79" s="4"/>
      <c r="K79" s="3"/>
      <c r="M79" s="13" t="str">
        <f>IF(F80=B32074,E32074,"")&amp;IF(F80=B32075,E32075,"")</f>
        <v>2</v>
      </c>
    </row>
    <row r="80" spans="1:14" ht="25.5" x14ac:dyDescent="0.2">
      <c r="A80" s="8"/>
      <c r="B80" s="11" t="s">
        <v>102</v>
      </c>
      <c r="C80" s="10"/>
      <c r="D80" s="11" t="s">
        <v>103</v>
      </c>
      <c r="E80" s="10"/>
      <c r="F80" s="7" t="s">
        <v>118</v>
      </c>
      <c r="G80" s="10" t="s">
        <v>11</v>
      </c>
      <c r="H80" s="14" t="s">
        <v>295</v>
      </c>
      <c r="I80" s="10"/>
      <c r="J80" s="4"/>
      <c r="K80" s="3"/>
      <c r="L80" s="6" t="s">
        <v>25</v>
      </c>
      <c r="N80" s="6" t="s">
        <v>104</v>
      </c>
    </row>
    <row r="81" spans="1:14" x14ac:dyDescent="0.2">
      <c r="A81" s="8"/>
      <c r="B81" s="25"/>
      <c r="C81" s="25"/>
      <c r="D81" s="25"/>
      <c r="E81" s="25"/>
      <c r="F81" s="25"/>
      <c r="G81" s="25"/>
      <c r="H81" s="12" t="str">
        <f>IF(F82=B32076,C32076,"")&amp;IF(F82=B32077,C32077,"")</f>
        <v>Comments:</v>
      </c>
      <c r="I81" s="10"/>
      <c r="J81" s="4"/>
      <c r="K81" s="3"/>
      <c r="M81" s="13" t="str">
        <f>IF(F82=B32076,E32076,"")&amp;IF(F82=B32077,E32077,"")</f>
        <v>1</v>
      </c>
    </row>
    <row r="82" spans="1:14" ht="102" x14ac:dyDescent="0.2">
      <c r="A82" s="8"/>
      <c r="B82" s="11" t="s">
        <v>105</v>
      </c>
      <c r="C82" s="10"/>
      <c r="D82" s="11" t="s">
        <v>106</v>
      </c>
      <c r="E82" s="10"/>
      <c r="F82" s="7" t="s">
        <v>113</v>
      </c>
      <c r="G82" s="10" t="s">
        <v>11</v>
      </c>
      <c r="H82" s="14" t="s">
        <v>296</v>
      </c>
      <c r="I82" s="10"/>
      <c r="J82" s="4"/>
      <c r="K82" s="3"/>
      <c r="L82" s="6" t="s">
        <v>25</v>
      </c>
      <c r="N82" s="6" t="s">
        <v>107</v>
      </c>
    </row>
    <row r="83" spans="1:14" x14ac:dyDescent="0.2">
      <c r="A83" s="8"/>
      <c r="B83" s="25"/>
      <c r="C83" s="25"/>
      <c r="D83" s="25"/>
      <c r="E83" s="25"/>
      <c r="F83" s="25"/>
      <c r="G83" s="25"/>
      <c r="H83" s="12" t="str">
        <f>IF(F84=B32078,C32078,"")&amp;IF(F84=B32079,C32079,"")</f>
        <v>Comments:</v>
      </c>
      <c r="I83" s="10"/>
      <c r="J83" s="4"/>
      <c r="K83" s="3"/>
      <c r="M83" s="13" t="str">
        <f>IF(F84=B32078,E32078,"")&amp;IF(F84=B32079,E32079,"")</f>
        <v>1</v>
      </c>
    </row>
    <row r="84" spans="1:14" ht="38.25" x14ac:dyDescent="0.2">
      <c r="A84" s="8"/>
      <c r="B84" s="11" t="s">
        <v>108</v>
      </c>
      <c r="C84" s="10"/>
      <c r="D84" s="11" t="s">
        <v>109</v>
      </c>
      <c r="E84" s="10"/>
      <c r="F84" s="7" t="s">
        <v>118</v>
      </c>
      <c r="G84" s="10" t="s">
        <v>11</v>
      </c>
      <c r="H84" s="14" t="s">
        <v>297</v>
      </c>
      <c r="I84" s="10"/>
      <c r="J84" s="4"/>
      <c r="K84" s="3"/>
      <c r="L84" s="6" t="s">
        <v>25</v>
      </c>
      <c r="N84" s="6" t="s">
        <v>110</v>
      </c>
    </row>
    <row r="85" spans="1:14" ht="6.2" customHeight="1" x14ac:dyDescent="0.2">
      <c r="A85" s="8"/>
      <c r="B85" s="25"/>
      <c r="C85" s="25"/>
      <c r="D85" s="25"/>
      <c r="E85" s="25"/>
      <c r="F85" s="25"/>
      <c r="G85" s="25"/>
      <c r="H85" s="25"/>
      <c r="I85" s="25"/>
      <c r="J85" s="4"/>
      <c r="K85" s="3"/>
    </row>
    <row r="86" spans="1:14" x14ac:dyDescent="0.2">
      <c r="A86" s="8"/>
      <c r="J86" s="4"/>
      <c r="K86" s="3"/>
      <c r="L86" s="6" t="s">
        <v>111</v>
      </c>
    </row>
    <row r="87" spans="1:14" x14ac:dyDescent="0.2">
      <c r="A87" s="8"/>
      <c r="J87" s="4"/>
      <c r="K87" s="3"/>
      <c r="L87" s="6" t="s">
        <v>111</v>
      </c>
    </row>
    <row r="88" spans="1:14" x14ac:dyDescent="0.2">
      <c r="A88" s="8"/>
      <c r="J88" s="4"/>
      <c r="K88" s="3"/>
      <c r="L88" s="6" t="s">
        <v>111</v>
      </c>
    </row>
    <row r="89" spans="1:14" x14ac:dyDescent="0.2">
      <c r="A89" s="8"/>
      <c r="B89" s="19" t="s">
        <v>112</v>
      </c>
      <c r="C89" s="26"/>
      <c r="D89" s="26"/>
      <c r="E89" s="26"/>
      <c r="F89" s="26"/>
      <c r="G89" s="26"/>
      <c r="H89" s="26"/>
      <c r="I89" s="26"/>
      <c r="J89" s="4"/>
      <c r="K89" s="3"/>
      <c r="L89" s="6" t="s">
        <v>111</v>
      </c>
    </row>
    <row r="90" spans="1:14" x14ac:dyDescent="0.2">
      <c r="A90" s="8"/>
      <c r="J90" s="4"/>
      <c r="K90" s="3"/>
      <c r="L90" s="6" t="s">
        <v>111</v>
      </c>
    </row>
    <row r="91" spans="1:14" x14ac:dyDescent="0.2">
      <c r="B91" s="15"/>
      <c r="C91" s="15"/>
      <c r="D91" s="15"/>
      <c r="E91" s="15"/>
      <c r="F91" s="15"/>
      <c r="G91" s="15"/>
      <c r="H91" s="15"/>
      <c r="I91" s="15"/>
    </row>
    <row r="32000" spans="2:5" x14ac:dyDescent="0.2">
      <c r="B32000" s="6" t="s">
        <v>113</v>
      </c>
      <c r="C32000" s="6" t="s">
        <v>114</v>
      </c>
      <c r="D32000" s="6" t="s">
        <v>0</v>
      </c>
      <c r="E32000" s="6" t="s">
        <v>115</v>
      </c>
    </row>
    <row r="32001" spans="2:5" x14ac:dyDescent="0.2">
      <c r="B32001" s="6" t="s">
        <v>116</v>
      </c>
      <c r="C32001" s="6" t="s">
        <v>114</v>
      </c>
      <c r="D32001" s="6" t="s">
        <v>0</v>
      </c>
      <c r="E32001" s="6" t="s">
        <v>117</v>
      </c>
    </row>
    <row r="32002" spans="2:5" x14ac:dyDescent="0.2">
      <c r="B32002" s="6" t="s">
        <v>118</v>
      </c>
      <c r="C32002" s="6" t="s">
        <v>114</v>
      </c>
      <c r="D32002" s="6" t="s">
        <v>0</v>
      </c>
      <c r="E32002" s="6" t="s">
        <v>115</v>
      </c>
    </row>
    <row r="32003" spans="2:5" x14ac:dyDescent="0.2">
      <c r="B32003" s="6" t="s">
        <v>118</v>
      </c>
      <c r="C32003" s="6" t="s">
        <v>114</v>
      </c>
      <c r="D32003" s="6" t="s">
        <v>0</v>
      </c>
      <c r="E32003" s="6" t="s">
        <v>115</v>
      </c>
    </row>
    <row r="32004" spans="2:5" x14ac:dyDescent="0.2">
      <c r="B32004" s="6" t="s">
        <v>119</v>
      </c>
      <c r="C32004" s="6" t="s">
        <v>0</v>
      </c>
      <c r="D32004" s="6" t="s">
        <v>0</v>
      </c>
      <c r="E32004" s="6" t="s">
        <v>120</v>
      </c>
    </row>
    <row r="32005" spans="2:5" x14ac:dyDescent="0.2">
      <c r="B32005" s="6" t="s">
        <v>113</v>
      </c>
      <c r="C32005" s="6" t="s">
        <v>121</v>
      </c>
      <c r="D32005" s="6" t="s">
        <v>0</v>
      </c>
      <c r="E32005" s="6" t="s">
        <v>115</v>
      </c>
    </row>
    <row r="32006" spans="2:5" x14ac:dyDescent="0.2">
      <c r="B32006" s="6" t="s">
        <v>113</v>
      </c>
      <c r="C32006" s="6" t="s">
        <v>114</v>
      </c>
      <c r="D32006" s="6" t="s">
        <v>0</v>
      </c>
      <c r="E32006" s="6" t="s">
        <v>115</v>
      </c>
    </row>
    <row r="32007" spans="2:5" x14ac:dyDescent="0.2">
      <c r="B32007" s="6" t="s">
        <v>119</v>
      </c>
      <c r="C32007" s="6" t="s">
        <v>0</v>
      </c>
      <c r="D32007" s="6" t="s">
        <v>0</v>
      </c>
      <c r="E32007" s="6" t="s">
        <v>120</v>
      </c>
    </row>
    <row r="32008" spans="2:5" x14ac:dyDescent="0.2">
      <c r="B32008" s="6" t="s">
        <v>118</v>
      </c>
      <c r="C32008" s="6" t="s">
        <v>114</v>
      </c>
      <c r="D32008" s="6" t="s">
        <v>0</v>
      </c>
      <c r="E32008" s="6" t="s">
        <v>115</v>
      </c>
    </row>
    <row r="32009" spans="2:5" x14ac:dyDescent="0.2">
      <c r="B32009" s="6" t="s">
        <v>113</v>
      </c>
      <c r="C32009" s="6" t="s">
        <v>114</v>
      </c>
      <c r="D32009" s="6" t="s">
        <v>0</v>
      </c>
      <c r="E32009" s="6" t="s">
        <v>115</v>
      </c>
    </row>
    <row r="32010" spans="2:5" x14ac:dyDescent="0.2">
      <c r="B32010" s="6" t="s">
        <v>119</v>
      </c>
      <c r="C32010" s="6" t="s">
        <v>0</v>
      </c>
      <c r="D32010" s="6" t="s">
        <v>0</v>
      </c>
      <c r="E32010" s="6" t="s">
        <v>120</v>
      </c>
    </row>
    <row r="32011" spans="2:5" x14ac:dyDescent="0.2">
      <c r="B32011" s="6" t="s">
        <v>118</v>
      </c>
      <c r="C32011" s="6" t="s">
        <v>122</v>
      </c>
      <c r="D32011" s="6" t="s">
        <v>0</v>
      </c>
      <c r="E32011" s="6" t="s">
        <v>117</v>
      </c>
    </row>
    <row r="32012" spans="2:5" x14ac:dyDescent="0.2">
      <c r="B32012" s="6" t="s">
        <v>118</v>
      </c>
      <c r="C32012" s="6" t="s">
        <v>123</v>
      </c>
      <c r="D32012" s="6" t="s">
        <v>0</v>
      </c>
      <c r="E32012" s="6" t="s">
        <v>117</v>
      </c>
    </row>
    <row r="32013" spans="2:5" x14ac:dyDescent="0.2">
      <c r="B32013" s="6" t="s">
        <v>119</v>
      </c>
      <c r="C32013" s="6" t="s">
        <v>0</v>
      </c>
      <c r="D32013" s="6" t="s">
        <v>0</v>
      </c>
      <c r="E32013" s="6" t="s">
        <v>120</v>
      </c>
    </row>
    <row r="32014" spans="2:5" x14ac:dyDescent="0.2">
      <c r="B32014" s="6" t="s">
        <v>113</v>
      </c>
      <c r="C32014" s="6" t="s">
        <v>114</v>
      </c>
      <c r="D32014" s="6" t="s">
        <v>0</v>
      </c>
      <c r="E32014" s="6" t="s">
        <v>115</v>
      </c>
    </row>
    <row r="32015" spans="2:5" x14ac:dyDescent="0.2">
      <c r="B32015" s="6" t="s">
        <v>124</v>
      </c>
      <c r="C32015" s="6" t="s">
        <v>114</v>
      </c>
      <c r="D32015" s="6" t="s">
        <v>0</v>
      </c>
      <c r="E32015" s="6" t="s">
        <v>115</v>
      </c>
    </row>
    <row r="32016" spans="2:5" x14ac:dyDescent="0.2">
      <c r="B32016" s="6" t="s">
        <v>116</v>
      </c>
      <c r="C32016" s="6" t="s">
        <v>114</v>
      </c>
      <c r="D32016" s="6" t="s">
        <v>0</v>
      </c>
      <c r="E32016" s="6" t="s">
        <v>115</v>
      </c>
    </row>
    <row r="32017" spans="2:5" x14ac:dyDescent="0.2">
      <c r="B32017" s="6" t="s">
        <v>119</v>
      </c>
      <c r="C32017" s="6" t="s">
        <v>0</v>
      </c>
      <c r="D32017" s="6" t="s">
        <v>0</v>
      </c>
      <c r="E32017" s="6" t="s">
        <v>120</v>
      </c>
    </row>
    <row r="32018" spans="2:5" x14ac:dyDescent="0.2">
      <c r="B32018" s="6" t="s">
        <v>125</v>
      </c>
      <c r="C32018" s="6" t="s">
        <v>114</v>
      </c>
      <c r="D32018" s="6" t="s">
        <v>0</v>
      </c>
      <c r="E32018" s="6" t="s">
        <v>115</v>
      </c>
    </row>
    <row r="32019" spans="2:5" x14ac:dyDescent="0.2">
      <c r="B32019" s="6" t="s">
        <v>113</v>
      </c>
      <c r="C32019" s="6" t="s">
        <v>126</v>
      </c>
      <c r="D32019" s="6" t="s">
        <v>0</v>
      </c>
      <c r="E32019" s="6" t="s">
        <v>117</v>
      </c>
    </row>
    <row r="32020" spans="2:5" x14ac:dyDescent="0.2">
      <c r="B32020" s="6" t="s">
        <v>119</v>
      </c>
      <c r="C32020" s="6" t="s">
        <v>0</v>
      </c>
      <c r="D32020" s="6" t="s">
        <v>0</v>
      </c>
      <c r="E32020" s="6" t="s">
        <v>120</v>
      </c>
    </row>
    <row r="32021" spans="2:5" x14ac:dyDescent="0.2">
      <c r="B32021" s="6" t="s">
        <v>118</v>
      </c>
      <c r="C32021" s="6" t="s">
        <v>114</v>
      </c>
      <c r="D32021" s="6" t="s">
        <v>0</v>
      </c>
      <c r="E32021" s="6" t="s">
        <v>115</v>
      </c>
    </row>
    <row r="32022" spans="2:5" x14ac:dyDescent="0.2">
      <c r="B32022" s="6" t="s">
        <v>127</v>
      </c>
      <c r="C32022" s="6" t="s">
        <v>114</v>
      </c>
      <c r="D32022" s="6" t="s">
        <v>0</v>
      </c>
      <c r="E32022" s="6" t="s">
        <v>115</v>
      </c>
    </row>
    <row r="32023" spans="2:5" x14ac:dyDescent="0.2">
      <c r="B32023" s="6" t="s">
        <v>128</v>
      </c>
      <c r="C32023" s="6" t="s">
        <v>114</v>
      </c>
      <c r="D32023" s="6" t="s">
        <v>0</v>
      </c>
      <c r="E32023" s="6" t="s">
        <v>115</v>
      </c>
    </row>
    <row r="32024" spans="2:5" x14ac:dyDescent="0.2">
      <c r="B32024" s="6" t="s">
        <v>116</v>
      </c>
      <c r="C32024" s="6" t="s">
        <v>129</v>
      </c>
      <c r="D32024" s="6" t="s">
        <v>0</v>
      </c>
      <c r="E32024" s="6" t="s">
        <v>117</v>
      </c>
    </row>
    <row r="32025" spans="2:5" x14ac:dyDescent="0.2">
      <c r="B32025" s="6" t="s">
        <v>119</v>
      </c>
      <c r="C32025" s="6" t="s">
        <v>0</v>
      </c>
      <c r="D32025" s="6" t="s">
        <v>0</v>
      </c>
      <c r="E32025" s="6" t="s">
        <v>120</v>
      </c>
    </row>
    <row r="32026" spans="2:5" x14ac:dyDescent="0.2">
      <c r="B32026" s="6" t="s">
        <v>130</v>
      </c>
      <c r="C32026" s="6" t="s">
        <v>114</v>
      </c>
      <c r="D32026" s="6" t="s">
        <v>0</v>
      </c>
      <c r="E32026" s="6" t="s">
        <v>115</v>
      </c>
    </row>
    <row r="32027" spans="2:5" x14ac:dyDescent="0.2">
      <c r="B32027" s="6" t="s">
        <v>131</v>
      </c>
      <c r="C32027" s="6" t="s">
        <v>132</v>
      </c>
      <c r="D32027" s="6" t="s">
        <v>0</v>
      </c>
      <c r="E32027" s="6" t="s">
        <v>117</v>
      </c>
    </row>
    <row r="32028" spans="2:5" x14ac:dyDescent="0.2">
      <c r="B32028" s="6" t="s">
        <v>116</v>
      </c>
      <c r="C32028" s="6" t="s">
        <v>114</v>
      </c>
      <c r="D32028" s="6" t="s">
        <v>0</v>
      </c>
      <c r="E32028" s="6" t="s">
        <v>117</v>
      </c>
    </row>
    <row r="32029" spans="2:5" x14ac:dyDescent="0.2">
      <c r="B32029" s="6" t="s">
        <v>119</v>
      </c>
      <c r="C32029" s="6" t="s">
        <v>0</v>
      </c>
      <c r="D32029" s="6" t="s">
        <v>0</v>
      </c>
      <c r="E32029" s="6" t="s">
        <v>120</v>
      </c>
    </row>
    <row r="32030" spans="2:5" x14ac:dyDescent="0.2">
      <c r="B32030" s="6" t="s">
        <v>113</v>
      </c>
      <c r="C32030" s="6" t="s">
        <v>133</v>
      </c>
      <c r="D32030" s="6" t="s">
        <v>0</v>
      </c>
      <c r="E32030" s="6" t="s">
        <v>117</v>
      </c>
    </row>
    <row r="32031" spans="2:5" x14ac:dyDescent="0.2">
      <c r="B32031" s="6" t="s">
        <v>118</v>
      </c>
      <c r="C32031" s="6" t="s">
        <v>114</v>
      </c>
      <c r="D32031" s="6" t="s">
        <v>0</v>
      </c>
      <c r="E32031" s="6" t="s">
        <v>115</v>
      </c>
    </row>
    <row r="32032" spans="2:5" x14ac:dyDescent="0.2">
      <c r="B32032" s="6" t="s">
        <v>119</v>
      </c>
      <c r="C32032" s="6" t="s">
        <v>0</v>
      </c>
      <c r="D32032" s="6" t="s">
        <v>0</v>
      </c>
      <c r="E32032" s="6" t="s">
        <v>120</v>
      </c>
    </row>
    <row r="32033" spans="2:5" x14ac:dyDescent="0.2">
      <c r="B32033" s="6" t="s">
        <v>113</v>
      </c>
      <c r="C32033" s="6" t="s">
        <v>134</v>
      </c>
      <c r="D32033" s="6" t="s">
        <v>0</v>
      </c>
      <c r="E32033" s="6" t="s">
        <v>117</v>
      </c>
    </row>
    <row r="32034" spans="2:5" x14ac:dyDescent="0.2">
      <c r="B32034" s="6" t="s">
        <v>118</v>
      </c>
      <c r="C32034" s="6" t="s">
        <v>114</v>
      </c>
      <c r="D32034" s="6" t="s">
        <v>0</v>
      </c>
      <c r="E32034" s="6" t="s">
        <v>115</v>
      </c>
    </row>
    <row r="32035" spans="2:5" x14ac:dyDescent="0.2">
      <c r="B32035" s="6" t="s">
        <v>119</v>
      </c>
      <c r="C32035" s="6" t="s">
        <v>0</v>
      </c>
      <c r="D32035" s="6" t="s">
        <v>0</v>
      </c>
      <c r="E32035" s="6" t="s">
        <v>120</v>
      </c>
    </row>
    <row r="32036" spans="2:5" x14ac:dyDescent="0.2">
      <c r="B32036" s="6" t="s">
        <v>113</v>
      </c>
      <c r="C32036" s="6" t="s">
        <v>135</v>
      </c>
      <c r="D32036" s="6" t="s">
        <v>0</v>
      </c>
      <c r="E32036" s="6" t="s">
        <v>117</v>
      </c>
    </row>
    <row r="32037" spans="2:5" x14ac:dyDescent="0.2">
      <c r="B32037" s="6" t="s">
        <v>118</v>
      </c>
      <c r="C32037" s="6" t="s">
        <v>114</v>
      </c>
      <c r="D32037" s="6" t="s">
        <v>0</v>
      </c>
      <c r="E32037" s="6" t="s">
        <v>115</v>
      </c>
    </row>
    <row r="32038" spans="2:5" x14ac:dyDescent="0.2">
      <c r="B32038" s="6" t="s">
        <v>119</v>
      </c>
      <c r="C32038" s="6" t="s">
        <v>0</v>
      </c>
      <c r="D32038" s="6" t="s">
        <v>0</v>
      </c>
      <c r="E32038" s="6" t="s">
        <v>120</v>
      </c>
    </row>
    <row r="32039" spans="2:5" x14ac:dyDescent="0.2">
      <c r="B32039" s="6" t="s">
        <v>113</v>
      </c>
      <c r="C32039" s="6" t="s">
        <v>114</v>
      </c>
      <c r="D32039" s="6" t="s">
        <v>0</v>
      </c>
      <c r="E32039" s="6" t="s">
        <v>115</v>
      </c>
    </row>
    <row r="32040" spans="2:5" x14ac:dyDescent="0.2">
      <c r="B32040" s="6" t="s">
        <v>118</v>
      </c>
      <c r="C32040" s="6" t="s">
        <v>114</v>
      </c>
      <c r="D32040" s="6" t="s">
        <v>0</v>
      </c>
      <c r="E32040" s="6" t="s">
        <v>115</v>
      </c>
    </row>
    <row r="32041" spans="2:5" x14ac:dyDescent="0.2">
      <c r="B32041" s="6" t="s">
        <v>136</v>
      </c>
      <c r="C32041" s="6" t="s">
        <v>0</v>
      </c>
      <c r="D32041" s="6" t="s">
        <v>0</v>
      </c>
      <c r="E32041" s="6" t="s">
        <v>120</v>
      </c>
    </row>
    <row r="32042" spans="2:5" x14ac:dyDescent="0.2">
      <c r="B32042" s="6" t="s">
        <v>113</v>
      </c>
      <c r="C32042" s="6" t="s">
        <v>114</v>
      </c>
      <c r="D32042" s="6" t="s">
        <v>0</v>
      </c>
      <c r="E32042" s="6" t="s">
        <v>115</v>
      </c>
    </row>
    <row r="32043" spans="2:5" x14ac:dyDescent="0.2">
      <c r="B32043" s="6" t="s">
        <v>118</v>
      </c>
      <c r="C32043" s="6" t="s">
        <v>114</v>
      </c>
      <c r="D32043" s="6" t="s">
        <v>0</v>
      </c>
      <c r="E32043" s="6" t="s">
        <v>115</v>
      </c>
    </row>
    <row r="32044" spans="2:5" x14ac:dyDescent="0.2">
      <c r="B32044" s="6" t="s">
        <v>136</v>
      </c>
      <c r="C32044" s="6" t="s">
        <v>114</v>
      </c>
      <c r="D32044" s="6" t="s">
        <v>0</v>
      </c>
      <c r="E32044" s="6" t="s">
        <v>115</v>
      </c>
    </row>
    <row r="32045" spans="2:5" x14ac:dyDescent="0.2">
      <c r="B32045" s="6" t="s">
        <v>113</v>
      </c>
      <c r="C32045" s="6" t="s">
        <v>114</v>
      </c>
      <c r="D32045" s="6" t="s">
        <v>0</v>
      </c>
      <c r="E32045" s="6" t="s">
        <v>115</v>
      </c>
    </row>
    <row r="32046" spans="2:5" x14ac:dyDescent="0.2">
      <c r="B32046" s="6" t="s">
        <v>118</v>
      </c>
      <c r="C32046" s="6" t="s">
        <v>114</v>
      </c>
      <c r="D32046" s="6" t="s">
        <v>0</v>
      </c>
      <c r="E32046" s="6" t="s">
        <v>115</v>
      </c>
    </row>
    <row r="32047" spans="2:5" x14ac:dyDescent="0.2">
      <c r="B32047" s="6" t="s">
        <v>113</v>
      </c>
      <c r="C32047" s="6" t="s">
        <v>137</v>
      </c>
      <c r="D32047" s="6" t="s">
        <v>0</v>
      </c>
      <c r="E32047" s="6" t="s">
        <v>117</v>
      </c>
    </row>
    <row r="32048" spans="2:5" x14ac:dyDescent="0.2">
      <c r="B32048" s="6" t="s">
        <v>118</v>
      </c>
      <c r="C32048" s="6" t="s">
        <v>114</v>
      </c>
      <c r="D32048" s="6" t="s">
        <v>0</v>
      </c>
      <c r="E32048" s="6" t="s">
        <v>115</v>
      </c>
    </row>
    <row r="32049" spans="2:5" x14ac:dyDescent="0.2">
      <c r="B32049" s="6" t="s">
        <v>113</v>
      </c>
      <c r="C32049" s="6" t="s">
        <v>114</v>
      </c>
      <c r="D32049" s="6" t="s">
        <v>0</v>
      </c>
      <c r="E32049" s="6" t="s">
        <v>115</v>
      </c>
    </row>
    <row r="32050" spans="2:5" x14ac:dyDescent="0.2">
      <c r="B32050" s="6" t="s">
        <v>118</v>
      </c>
      <c r="C32050" s="6" t="s">
        <v>114</v>
      </c>
      <c r="D32050" s="6" t="s">
        <v>0</v>
      </c>
      <c r="E32050" s="6" t="s">
        <v>115</v>
      </c>
    </row>
    <row r="32051" spans="2:5" x14ac:dyDescent="0.2">
      <c r="B32051" s="6" t="s">
        <v>113</v>
      </c>
      <c r="C32051" s="6" t="s">
        <v>114</v>
      </c>
      <c r="D32051" s="6" t="s">
        <v>0</v>
      </c>
      <c r="E32051" s="6" t="s">
        <v>115</v>
      </c>
    </row>
    <row r="32052" spans="2:5" x14ac:dyDescent="0.2">
      <c r="B32052" s="6" t="s">
        <v>118</v>
      </c>
      <c r="C32052" s="6" t="s">
        <v>114</v>
      </c>
      <c r="D32052" s="6" t="s">
        <v>0</v>
      </c>
      <c r="E32052" s="6" t="s">
        <v>115</v>
      </c>
    </row>
    <row r="32053" spans="2:5" x14ac:dyDescent="0.2">
      <c r="B32053" s="6" t="s">
        <v>136</v>
      </c>
      <c r="C32053" s="6" t="s">
        <v>0</v>
      </c>
      <c r="D32053" s="6" t="s">
        <v>0</v>
      </c>
      <c r="E32053" s="6" t="s">
        <v>120</v>
      </c>
    </row>
    <row r="32054" spans="2:5" x14ac:dyDescent="0.2">
      <c r="B32054" s="6" t="s">
        <v>113</v>
      </c>
      <c r="C32054" s="6" t="s">
        <v>114</v>
      </c>
      <c r="D32054" s="6" t="s">
        <v>0</v>
      </c>
      <c r="E32054" s="6" t="s">
        <v>115</v>
      </c>
    </row>
    <row r="32055" spans="2:5" x14ac:dyDescent="0.2">
      <c r="B32055" s="6" t="s">
        <v>118</v>
      </c>
      <c r="C32055" s="6" t="s">
        <v>114</v>
      </c>
      <c r="D32055" s="6" t="s">
        <v>0</v>
      </c>
      <c r="E32055" s="6" t="s">
        <v>115</v>
      </c>
    </row>
    <row r="32056" spans="2:5" x14ac:dyDescent="0.2">
      <c r="B32056" s="6" t="s">
        <v>136</v>
      </c>
      <c r="C32056" s="6" t="s">
        <v>0</v>
      </c>
      <c r="D32056" s="6" t="s">
        <v>0</v>
      </c>
      <c r="E32056" s="6" t="s">
        <v>120</v>
      </c>
    </row>
    <row r="32057" spans="2:5" x14ac:dyDescent="0.2">
      <c r="B32057" s="6" t="s">
        <v>138</v>
      </c>
      <c r="C32057" s="6" t="s">
        <v>114</v>
      </c>
      <c r="D32057" s="6" t="s">
        <v>0</v>
      </c>
      <c r="E32057" s="6" t="s">
        <v>115</v>
      </c>
    </row>
    <row r="32058" spans="2:5" x14ac:dyDescent="0.2">
      <c r="B32058" s="6" t="s">
        <v>118</v>
      </c>
      <c r="C32058" s="6" t="s">
        <v>114</v>
      </c>
      <c r="D32058" s="6" t="s">
        <v>0</v>
      </c>
      <c r="E32058" s="6" t="s">
        <v>115</v>
      </c>
    </row>
    <row r="32059" spans="2:5" x14ac:dyDescent="0.2">
      <c r="B32059" s="6" t="s">
        <v>113</v>
      </c>
      <c r="C32059" s="6" t="s">
        <v>139</v>
      </c>
      <c r="D32059" s="6" t="s">
        <v>0</v>
      </c>
      <c r="E32059" s="6" t="s">
        <v>117</v>
      </c>
    </row>
    <row r="32060" spans="2:5" x14ac:dyDescent="0.2">
      <c r="B32060" s="6" t="s">
        <v>118</v>
      </c>
      <c r="C32060" s="6" t="s">
        <v>114</v>
      </c>
      <c r="D32060" s="6" t="s">
        <v>0</v>
      </c>
      <c r="E32060" s="6" t="s">
        <v>115</v>
      </c>
    </row>
    <row r="32061" spans="2:5" x14ac:dyDescent="0.2">
      <c r="B32061" s="6" t="s">
        <v>113</v>
      </c>
      <c r="C32061" s="6" t="s">
        <v>140</v>
      </c>
      <c r="D32061" s="6" t="s">
        <v>0</v>
      </c>
      <c r="E32061" s="6" t="s">
        <v>117</v>
      </c>
    </row>
    <row r="32062" spans="2:5" x14ac:dyDescent="0.2">
      <c r="B32062" s="6" t="s">
        <v>118</v>
      </c>
      <c r="C32062" s="6" t="s">
        <v>114</v>
      </c>
      <c r="D32062" s="6" t="s">
        <v>0</v>
      </c>
      <c r="E32062" s="6" t="s">
        <v>115</v>
      </c>
    </row>
    <row r="32063" spans="2:5" x14ac:dyDescent="0.2">
      <c r="B32063" s="6" t="s">
        <v>136</v>
      </c>
      <c r="C32063" s="6" t="s">
        <v>0</v>
      </c>
      <c r="D32063" s="6" t="s">
        <v>0</v>
      </c>
      <c r="E32063" s="6" t="s">
        <v>120</v>
      </c>
    </row>
    <row r="32064" spans="2:5" x14ac:dyDescent="0.2">
      <c r="B32064" s="6" t="s">
        <v>113</v>
      </c>
      <c r="C32064" s="6" t="s">
        <v>114</v>
      </c>
      <c r="D32064" s="6" t="s">
        <v>0</v>
      </c>
      <c r="E32064" s="6" t="s">
        <v>115</v>
      </c>
    </row>
    <row r="32065" spans="2:5" x14ac:dyDescent="0.2">
      <c r="B32065" s="6" t="s">
        <v>118</v>
      </c>
      <c r="C32065" s="6" t="s">
        <v>114</v>
      </c>
      <c r="D32065" s="6" t="s">
        <v>0</v>
      </c>
      <c r="E32065" s="6" t="s">
        <v>115</v>
      </c>
    </row>
    <row r="32066" spans="2:5" x14ac:dyDescent="0.2">
      <c r="B32066" s="6" t="s">
        <v>113</v>
      </c>
      <c r="C32066" s="6" t="s">
        <v>141</v>
      </c>
      <c r="D32066" s="6" t="s">
        <v>0</v>
      </c>
      <c r="E32066" s="6" t="s">
        <v>117</v>
      </c>
    </row>
    <row r="32067" spans="2:5" x14ac:dyDescent="0.2">
      <c r="B32067" s="6" t="s">
        <v>118</v>
      </c>
      <c r="C32067" s="6" t="s">
        <v>142</v>
      </c>
      <c r="D32067" s="6" t="s">
        <v>0</v>
      </c>
      <c r="E32067" s="6" t="s">
        <v>117</v>
      </c>
    </row>
    <row r="32068" spans="2:5" x14ac:dyDescent="0.2">
      <c r="B32068" s="6" t="s">
        <v>143</v>
      </c>
      <c r="C32068" s="6" t="s">
        <v>114</v>
      </c>
      <c r="D32068" s="6" t="s">
        <v>0</v>
      </c>
      <c r="E32068" s="6" t="s">
        <v>115</v>
      </c>
    </row>
    <row r="32069" spans="2:5" x14ac:dyDescent="0.2">
      <c r="B32069" s="6" t="s">
        <v>113</v>
      </c>
      <c r="C32069" s="6" t="s">
        <v>114</v>
      </c>
      <c r="D32069" s="6" t="s">
        <v>0</v>
      </c>
      <c r="E32069" s="6" t="s">
        <v>115</v>
      </c>
    </row>
    <row r="32070" spans="2:5" x14ac:dyDescent="0.2">
      <c r="B32070" s="6" t="s">
        <v>118</v>
      </c>
      <c r="C32070" s="6" t="s">
        <v>114</v>
      </c>
      <c r="D32070" s="6" t="s">
        <v>0</v>
      </c>
      <c r="E32070" s="6" t="s">
        <v>115</v>
      </c>
    </row>
    <row r="32071" spans="2:5" x14ac:dyDescent="0.2">
      <c r="B32071" s="6" t="s">
        <v>143</v>
      </c>
      <c r="C32071" s="6" t="s">
        <v>114</v>
      </c>
      <c r="D32071" s="6" t="s">
        <v>0</v>
      </c>
      <c r="E32071" s="6" t="s">
        <v>115</v>
      </c>
    </row>
    <row r="32072" spans="2:5" x14ac:dyDescent="0.2">
      <c r="B32072" s="6" t="s">
        <v>118</v>
      </c>
      <c r="C32072" s="6" t="s">
        <v>114</v>
      </c>
      <c r="D32072" s="6" t="s">
        <v>0</v>
      </c>
      <c r="E32072" s="6" t="s">
        <v>115</v>
      </c>
    </row>
    <row r="32073" spans="2:5" x14ac:dyDescent="0.2">
      <c r="B32073" s="6" t="s">
        <v>113</v>
      </c>
      <c r="C32073" s="6" t="s">
        <v>114</v>
      </c>
      <c r="D32073" s="6" t="s">
        <v>0</v>
      </c>
      <c r="E32073" s="6" t="s">
        <v>115</v>
      </c>
    </row>
    <row r="32074" spans="2:5" x14ac:dyDescent="0.2">
      <c r="B32074" s="6" t="s">
        <v>113</v>
      </c>
      <c r="C32074" s="6" t="s">
        <v>114</v>
      </c>
      <c r="D32074" s="6" t="s">
        <v>0</v>
      </c>
      <c r="E32074" s="6" t="s">
        <v>115</v>
      </c>
    </row>
    <row r="32075" spans="2:5" x14ac:dyDescent="0.2">
      <c r="B32075" s="6" t="s">
        <v>118</v>
      </c>
      <c r="C32075" s="6" t="s">
        <v>144</v>
      </c>
      <c r="D32075" s="6" t="s">
        <v>0</v>
      </c>
      <c r="E32075" s="6" t="s">
        <v>117</v>
      </c>
    </row>
    <row r="32076" spans="2:5" x14ac:dyDescent="0.2">
      <c r="B32076" s="6" t="s">
        <v>113</v>
      </c>
      <c r="C32076" s="6" t="s">
        <v>114</v>
      </c>
      <c r="D32076" s="6" t="s">
        <v>0</v>
      </c>
      <c r="E32076" s="6" t="s">
        <v>115</v>
      </c>
    </row>
    <row r="32077" spans="2:5" x14ac:dyDescent="0.2">
      <c r="B32077" s="6" t="s">
        <v>118</v>
      </c>
      <c r="C32077" s="6" t="s">
        <v>114</v>
      </c>
      <c r="D32077" s="6" t="s">
        <v>0</v>
      </c>
      <c r="E32077" s="6" t="s">
        <v>115</v>
      </c>
    </row>
    <row r="32078" spans="2:5" x14ac:dyDescent="0.2">
      <c r="B32078" s="6" t="s">
        <v>113</v>
      </c>
      <c r="C32078" s="6" t="s">
        <v>114</v>
      </c>
      <c r="D32078" s="6" t="s">
        <v>0</v>
      </c>
      <c r="E32078" s="6" t="s">
        <v>115</v>
      </c>
    </row>
    <row r="32079" spans="2:5" x14ac:dyDescent="0.2">
      <c r="B32079" s="6" t="s">
        <v>118</v>
      </c>
      <c r="C32079" s="6" t="s">
        <v>114</v>
      </c>
      <c r="D32079" s="6" t="s">
        <v>0</v>
      </c>
      <c r="E32079" s="6" t="s">
        <v>115</v>
      </c>
    </row>
  </sheetData>
  <sheetProtection password="C71F" sheet="1" objects="1" scenarios="1"/>
  <mergeCells count="51">
    <mergeCell ref="B89:I89"/>
    <mergeCell ref="B85:I85"/>
    <mergeCell ref="B83:G83"/>
    <mergeCell ref="B81:G81"/>
    <mergeCell ref="B79:G79"/>
    <mergeCell ref="B77:G77"/>
    <mergeCell ref="B75:G75"/>
    <mergeCell ref="B73:G73"/>
    <mergeCell ref="B71:G71"/>
    <mergeCell ref="B69:G69"/>
    <mergeCell ref="B67:G67"/>
    <mergeCell ref="B65:G65"/>
    <mergeCell ref="B63:G63"/>
    <mergeCell ref="B61:G61"/>
    <mergeCell ref="B59:G59"/>
    <mergeCell ref="B57:G57"/>
    <mergeCell ref="B55:G55"/>
    <mergeCell ref="B53:G53"/>
    <mergeCell ref="B51:G51"/>
    <mergeCell ref="B49:G49"/>
    <mergeCell ref="B47:G47"/>
    <mergeCell ref="B45:G45"/>
    <mergeCell ref="B43:G43"/>
    <mergeCell ref="B41:G41"/>
    <mergeCell ref="B39:G39"/>
    <mergeCell ref="B37:G37"/>
    <mergeCell ref="B35:G35"/>
    <mergeCell ref="B33:G33"/>
    <mergeCell ref="B31:G31"/>
    <mergeCell ref="B29:G29"/>
    <mergeCell ref="B27:G27"/>
    <mergeCell ref="B25:I25"/>
    <mergeCell ref="F24:H24"/>
    <mergeCell ref="B23:I23"/>
    <mergeCell ref="F22:H22"/>
    <mergeCell ref="B21:I21"/>
    <mergeCell ref="F20:H20"/>
    <mergeCell ref="B19:I19"/>
    <mergeCell ref="F18:H18"/>
    <mergeCell ref="B17:I17"/>
    <mergeCell ref="F16:H16"/>
    <mergeCell ref="B15:I15"/>
    <mergeCell ref="B13:I13"/>
    <mergeCell ref="B11:I11"/>
    <mergeCell ref="B9:I9"/>
    <mergeCell ref="B1:I1"/>
    <mergeCell ref="B8:I8"/>
    <mergeCell ref="B7:I7"/>
    <mergeCell ref="B6:I6"/>
    <mergeCell ref="B5:I5"/>
    <mergeCell ref="B2:I4"/>
  </mergeCells>
  <conditionalFormatting sqref="H27 H29 H31 H33 H35 H37 H39 H41 H43 H45 H47 H49 H51 H53 H55 H57 H59 H61 H63 H65 H67 H69 H71 H73 H75 H77 H79 H81 H83">
    <cfRule type="cellIs" dxfId="124" priority="15" operator="notEqual">
      <formula>""</formula>
    </cfRule>
  </conditionalFormatting>
  <conditionalFormatting sqref="H28">
    <cfRule type="expression" dxfId="123" priority="16">
      <formula>$M$27="2"</formula>
    </cfRule>
    <cfRule type="expression" dxfId="122" priority="17">
      <formula>$M$27="1"</formula>
    </cfRule>
  </conditionalFormatting>
  <conditionalFormatting sqref="H30">
    <cfRule type="expression" dxfId="121" priority="18">
      <formula>$M$29="2"</formula>
    </cfRule>
    <cfRule type="expression" dxfId="120" priority="19">
      <formula>$M$29="1"</formula>
    </cfRule>
  </conditionalFormatting>
  <conditionalFormatting sqref="H32">
    <cfRule type="expression" dxfId="119" priority="20">
      <formula>$M$31="2"</formula>
    </cfRule>
    <cfRule type="expression" dxfId="118" priority="21">
      <formula>$M$31="1"</formula>
    </cfRule>
  </conditionalFormatting>
  <conditionalFormatting sqref="H38">
    <cfRule type="expression" dxfId="113" priority="26">
      <formula>$M$37="2"</formula>
    </cfRule>
    <cfRule type="expression" dxfId="112" priority="27">
      <formula>$M$37="1"</formula>
    </cfRule>
  </conditionalFormatting>
  <conditionalFormatting sqref="H42">
    <cfRule type="expression" dxfId="109" priority="30">
      <formula>$M$41="2"</formula>
    </cfRule>
    <cfRule type="expression" dxfId="108" priority="31">
      <formula>$M$41="1"</formula>
    </cfRule>
  </conditionalFormatting>
  <conditionalFormatting sqref="H44">
    <cfRule type="expression" dxfId="107" priority="32">
      <formula>$M$43="2"</formula>
    </cfRule>
    <cfRule type="expression" dxfId="106" priority="33">
      <formula>$M$43="1"</formula>
    </cfRule>
  </conditionalFormatting>
  <conditionalFormatting sqref="H52">
    <cfRule type="expression" dxfId="99" priority="40">
      <formula>$M$51="2"</formula>
    </cfRule>
    <cfRule type="expression" dxfId="98" priority="41">
      <formula>$M$51="1"</formula>
    </cfRule>
  </conditionalFormatting>
  <conditionalFormatting sqref="H54">
    <cfRule type="expression" dxfId="97" priority="42">
      <formula>$M$53="2"</formula>
    </cfRule>
    <cfRule type="expression" dxfId="96" priority="43">
      <formula>$M$53="1"</formula>
    </cfRule>
  </conditionalFormatting>
  <conditionalFormatting sqref="H56">
    <cfRule type="expression" dxfId="95" priority="44">
      <formula>$M$55="2"</formula>
    </cfRule>
    <cfRule type="expression" dxfId="94" priority="45">
      <formula>$M$55="1"</formula>
    </cfRule>
  </conditionalFormatting>
  <conditionalFormatting sqref="H58">
    <cfRule type="expression" dxfId="93" priority="46">
      <formula>$M$57="2"</formula>
    </cfRule>
    <cfRule type="expression" dxfId="92" priority="47">
      <formula>$M$57="1"</formula>
    </cfRule>
  </conditionalFormatting>
  <conditionalFormatting sqref="H60">
    <cfRule type="expression" dxfId="91" priority="48">
      <formula>$M$59="2"</formula>
    </cfRule>
    <cfRule type="expression" dxfId="90" priority="49">
      <formula>$M$59="1"</formula>
    </cfRule>
  </conditionalFormatting>
  <conditionalFormatting sqref="H62">
    <cfRule type="expression" dxfId="89" priority="50">
      <formula>$M$61="2"</formula>
    </cfRule>
    <cfRule type="expression" dxfId="88" priority="51">
      <formula>$M$61="1"</formula>
    </cfRule>
  </conditionalFormatting>
  <conditionalFormatting sqref="H64">
    <cfRule type="expression" dxfId="87" priority="52">
      <formula>$M$63="2"</formula>
    </cfRule>
    <cfRule type="expression" dxfId="86" priority="53">
      <formula>$M$63="1"</formula>
    </cfRule>
  </conditionalFormatting>
  <conditionalFormatting sqref="H66">
    <cfRule type="expression" dxfId="85" priority="54">
      <formula>$M$65="2"</formula>
    </cfRule>
    <cfRule type="expression" dxfId="84" priority="55">
      <formula>$M$65="1"</formula>
    </cfRule>
  </conditionalFormatting>
  <conditionalFormatting sqref="H70">
    <cfRule type="expression" dxfId="81" priority="58">
      <formula>$M$69="2"</formula>
    </cfRule>
    <cfRule type="expression" dxfId="80" priority="59">
      <formula>$M$69="1"</formula>
    </cfRule>
  </conditionalFormatting>
  <conditionalFormatting sqref="H72">
    <cfRule type="expression" dxfId="79" priority="60">
      <formula>$M$71="2"</formula>
    </cfRule>
    <cfRule type="expression" dxfId="78" priority="61">
      <formula>$M$71="1"</formula>
    </cfRule>
  </conditionalFormatting>
  <conditionalFormatting sqref="H74">
    <cfRule type="expression" dxfId="77" priority="62">
      <formula>$M$73="2"</formula>
    </cfRule>
    <cfRule type="expression" dxfId="76" priority="63">
      <formula>$M$73="1"</formula>
    </cfRule>
  </conditionalFormatting>
  <conditionalFormatting sqref="H76">
    <cfRule type="expression" dxfId="75" priority="64">
      <formula>$M$75="2"</formula>
    </cfRule>
    <cfRule type="expression" dxfId="74" priority="65">
      <formula>$M$75="1"</formula>
    </cfRule>
  </conditionalFormatting>
  <conditionalFormatting sqref="H78">
    <cfRule type="expression" dxfId="73" priority="66">
      <formula>$M$77="2"</formula>
    </cfRule>
    <cfRule type="expression" dxfId="72" priority="67">
      <formula>$M$77="1"</formula>
    </cfRule>
  </conditionalFormatting>
  <conditionalFormatting sqref="H80">
    <cfRule type="expression" dxfId="71" priority="68">
      <formula>$M$79="2"</formula>
    </cfRule>
    <cfRule type="expression" dxfId="70" priority="69">
      <formula>$M$79="1"</formula>
    </cfRule>
  </conditionalFormatting>
  <conditionalFormatting sqref="H82">
    <cfRule type="expression" dxfId="69" priority="70">
      <formula>$M$81="2"</formula>
    </cfRule>
    <cfRule type="expression" dxfId="68" priority="71">
      <formula>$M$81="1"</formula>
    </cfRule>
  </conditionalFormatting>
  <conditionalFormatting sqref="H84">
    <cfRule type="expression" dxfId="67" priority="72">
      <formula>$M$83="2"</formula>
    </cfRule>
    <cfRule type="expression" dxfId="66" priority="73">
      <formula>$M$83="1"</formula>
    </cfRule>
  </conditionalFormatting>
  <conditionalFormatting sqref="H68">
    <cfRule type="expression" dxfId="13" priority="13">
      <formula>$M$69="2"</formula>
    </cfRule>
    <cfRule type="expression" dxfId="12" priority="14">
      <formula>$M$69="1"</formula>
    </cfRule>
  </conditionalFormatting>
  <conditionalFormatting sqref="H48">
    <cfRule type="expression" dxfId="11" priority="11">
      <formula>$M$69="2"</formula>
    </cfRule>
    <cfRule type="expression" dxfId="10" priority="12">
      <formula>$M$69="1"</formula>
    </cfRule>
  </conditionalFormatting>
  <conditionalFormatting sqref="H50">
    <cfRule type="expression" dxfId="9" priority="9">
      <formula>$M$69="2"</formula>
    </cfRule>
    <cfRule type="expression" dxfId="8" priority="10">
      <formula>$M$69="1"</formula>
    </cfRule>
  </conditionalFormatting>
  <conditionalFormatting sqref="H46">
    <cfRule type="expression" dxfId="7" priority="7">
      <formula>$M$69="2"</formula>
    </cfRule>
    <cfRule type="expression" dxfId="6" priority="8">
      <formula>$M$69="1"</formula>
    </cfRule>
  </conditionalFormatting>
  <conditionalFormatting sqref="H40">
    <cfRule type="expression" dxfId="5" priority="5">
      <formula>$M$69="2"</formula>
    </cfRule>
    <cfRule type="expression" dxfId="4" priority="6">
      <formula>$M$69="1"</formula>
    </cfRule>
  </conditionalFormatting>
  <conditionalFormatting sqref="H36">
    <cfRule type="expression" dxfId="3" priority="3">
      <formula>$M$69="2"</formula>
    </cfRule>
    <cfRule type="expression" dxfId="2" priority="4">
      <formula>$M$69="1"</formula>
    </cfRule>
  </conditionalFormatting>
  <conditionalFormatting sqref="H34">
    <cfRule type="expression" dxfId="1" priority="1">
      <formula>$M$69="2"</formula>
    </cfRule>
    <cfRule type="expression" dxfId="0" priority="2">
      <formula>$M$69="1"</formula>
    </cfRule>
  </conditionalFormatting>
  <dataValidations count="31">
    <dataValidation type="textLength" showInputMessage="1" showErrorMessage="1" errorTitle="RSAM" error="Maximum number of characters cannot exceed {0}" sqref="F16:H16 F18:H18 F20:H20 F22:H22 F24:H24" xr:uid="{00000000-0002-0000-0000-000000000000}">
      <formula1>0</formula1>
      <formula2>3900</formula2>
    </dataValidation>
    <dataValidation type="custom" showInputMessage="1" showErrorMessage="1" errorTitle="RSAM" error="You cannot enter Name having '%' character." sqref="F10" xr:uid="{00000000-0002-0000-0000-000001000000}">
      <formula1>IF(ISERROR(FIND("%",$F$10,1)),FALSE,TRUE)=FALSE</formula1>
    </dataValidation>
    <dataValidation type="list" showInputMessage="1" showErrorMessage="1" errorTitle="RSAM" error="Select an appropriate value from the list." sqref="F28" xr:uid="{00000000-0002-0000-0000-000002000000}">
      <formula1>$B$32000:$B$32002</formula1>
    </dataValidation>
    <dataValidation type="list" showInputMessage="1" showErrorMessage="1" errorTitle="RSAM" error="Select an appropriate value from the list." sqref="F30" xr:uid="{00000000-0002-0000-0000-000003000000}">
      <formula1>$B$32003:$B$32005</formula1>
    </dataValidation>
    <dataValidation type="list" showInputMessage="1" showErrorMessage="1" errorTitle="RSAM" error="Select an appropriate value from the list." sqref="F32" xr:uid="{00000000-0002-0000-0000-000004000000}">
      <formula1>$B$32006:$B$32008</formula1>
    </dataValidation>
    <dataValidation type="list" showInputMessage="1" showErrorMessage="1" errorTitle="RSAM" error="Select an appropriate value from the list." sqref="F34" xr:uid="{00000000-0002-0000-0000-000005000000}">
      <formula1>$B$32009:$B$32011</formula1>
    </dataValidation>
    <dataValidation type="list" showInputMessage="1" showErrorMessage="1" errorTitle="RSAM" error="Select an appropriate value from the list." sqref="F36" xr:uid="{00000000-0002-0000-0000-000006000000}">
      <formula1>$B$32012:$B$32014</formula1>
    </dataValidation>
    <dataValidation type="list" showInputMessage="1" showErrorMessage="1" errorTitle="RSAM" error="Select an appropriate value from the list." sqref="F38" xr:uid="{00000000-0002-0000-0000-000007000000}">
      <formula1>$B$32015:$B$32018</formula1>
    </dataValidation>
    <dataValidation type="list" showInputMessage="1" showErrorMessage="1" errorTitle="RSAM" error="Select an appropriate value from the list." sqref="F40" xr:uid="{00000000-0002-0000-0000-000008000000}">
      <formula1>$B$32019:$B$32021</formula1>
    </dataValidation>
    <dataValidation type="list" showInputMessage="1" showErrorMessage="1" errorTitle="RSAM" error="Select an appropriate value from the list." sqref="F42" xr:uid="{00000000-0002-0000-0000-000009000000}">
      <formula1>$B$32022:$B$32025</formula1>
    </dataValidation>
    <dataValidation type="list" showInputMessage="1" showErrorMessage="1" errorTitle="RSAM" error="Select an appropriate value from the list." sqref="F44" xr:uid="{00000000-0002-0000-0000-00000A000000}">
      <formula1>$B$32026:$B$32029</formula1>
    </dataValidation>
    <dataValidation type="list" showInputMessage="1" showErrorMessage="1" errorTitle="RSAM" error="Select an appropriate value from the list." sqref="F46" xr:uid="{00000000-0002-0000-0000-00000B000000}">
      <formula1>$B$32030:$B$32032</formula1>
    </dataValidation>
    <dataValidation type="list" showInputMessage="1" showErrorMessage="1" errorTitle="RSAM" error="Select an appropriate value from the list." sqref="F48" xr:uid="{00000000-0002-0000-0000-00000C000000}">
      <formula1>$B$32033:$B$32035</formula1>
    </dataValidation>
    <dataValidation type="list" showInputMessage="1" showErrorMessage="1" errorTitle="RSAM" error="Select an appropriate value from the list." sqref="F50" xr:uid="{00000000-0002-0000-0000-00000D000000}">
      <formula1>$B$32036:$B$32038</formula1>
    </dataValidation>
    <dataValidation type="list" showInputMessage="1" showErrorMessage="1" errorTitle="RSAM" error="Select an appropriate value from the list." sqref="F52" xr:uid="{00000000-0002-0000-0000-00000E000000}">
      <formula1>$B$32039:$B$32041</formula1>
    </dataValidation>
    <dataValidation type="list" showInputMessage="1" showErrorMessage="1" errorTitle="RSAM" error="Select an appropriate value from the list." sqref="F54" xr:uid="{00000000-0002-0000-0000-00000F000000}">
      <formula1>$B$32042:$B$32044</formula1>
    </dataValidation>
    <dataValidation type="list" showInputMessage="1" showErrorMessage="1" errorTitle="RSAM" error="Select an appropriate value from the list." sqref="F56" xr:uid="{00000000-0002-0000-0000-000010000000}">
      <formula1>$B$32045:$B$32046</formula1>
    </dataValidation>
    <dataValidation type="list" showInputMessage="1" showErrorMessage="1" errorTitle="RSAM" error="Select an appropriate value from the list." sqref="F58" xr:uid="{00000000-0002-0000-0000-000011000000}">
      <formula1>$B$32047:$B$32048</formula1>
    </dataValidation>
    <dataValidation type="list" showInputMessage="1" showErrorMessage="1" errorTitle="RSAM" error="Select an appropriate value from the list." sqref="F60" xr:uid="{00000000-0002-0000-0000-000012000000}">
      <formula1>$B$32049:$B$32050</formula1>
    </dataValidation>
    <dataValidation type="list" showInputMessage="1" showErrorMessage="1" errorTitle="RSAM" error="Select an appropriate value from the list." sqref="F62" xr:uid="{00000000-0002-0000-0000-000013000000}">
      <formula1>$B$32051:$B$32053</formula1>
    </dataValidation>
    <dataValidation type="list" showInputMessage="1" showErrorMessage="1" errorTitle="RSAM" error="Select an appropriate value from the list." sqref="F64" xr:uid="{00000000-0002-0000-0000-000014000000}">
      <formula1>$B$32054:$B$32056</formula1>
    </dataValidation>
    <dataValidation type="list" showInputMessage="1" showErrorMessage="1" errorTitle="RSAM" error="Select an appropriate value from the list." sqref="F66" xr:uid="{00000000-0002-0000-0000-000015000000}">
      <formula1>$B$32057:$B$32058</formula1>
    </dataValidation>
    <dataValidation type="list" showInputMessage="1" showErrorMessage="1" errorTitle="RSAM" error="Select an appropriate value from the list." sqref="F68" xr:uid="{00000000-0002-0000-0000-000016000000}">
      <formula1>$B$32059:$B$32060</formula1>
    </dataValidation>
    <dataValidation type="list" showInputMessage="1" showErrorMessage="1" errorTitle="RSAM" error="Select an appropriate value from the list." sqref="F70" xr:uid="{00000000-0002-0000-0000-000017000000}">
      <formula1>$B$32061:$B$32063</formula1>
    </dataValidation>
    <dataValidation type="list" showInputMessage="1" showErrorMessage="1" errorTitle="RSAM" error="Select an appropriate value from the list." sqref="F72" xr:uid="{00000000-0002-0000-0000-000018000000}">
      <formula1>$B$32064:$B$32065</formula1>
    </dataValidation>
    <dataValidation type="list" showInputMessage="1" showErrorMessage="1" errorTitle="RSAM" error="Select an appropriate value from the list." sqref="F74" xr:uid="{00000000-0002-0000-0000-000019000000}">
      <formula1>$B$32066:$B$32067</formula1>
    </dataValidation>
    <dataValidation type="list" showInputMessage="1" showErrorMessage="1" errorTitle="RSAM" error="Select an appropriate value from the list." sqref="F76" xr:uid="{00000000-0002-0000-0000-00001A000000}">
      <formula1>$B$32068:$B$32070</formula1>
    </dataValidation>
    <dataValidation type="list" showInputMessage="1" showErrorMessage="1" errorTitle="RSAM" error="Select an appropriate value from the list." sqref="F78" xr:uid="{00000000-0002-0000-0000-00001B000000}">
      <formula1>$B$32071:$B$32073</formula1>
    </dataValidation>
    <dataValidation type="list" showInputMessage="1" showErrorMessage="1" errorTitle="RSAM" error="Select an appropriate value from the list." sqref="F80" xr:uid="{00000000-0002-0000-0000-00001C000000}">
      <formula1>$B$32074:$B$32075</formula1>
    </dataValidation>
    <dataValidation type="list" showInputMessage="1" showErrorMessage="1" errorTitle="RSAM" error="Select an appropriate value from the list." sqref="F82" xr:uid="{00000000-0002-0000-0000-00001D000000}">
      <formula1>$B$32076:$B$32077</formula1>
    </dataValidation>
    <dataValidation type="list" showInputMessage="1" showErrorMessage="1" errorTitle="RSAM" error="Select an appropriate value from the list." sqref="F84" xr:uid="{00000000-0002-0000-0000-00001E000000}">
      <formula1>$B$32078:$B$32079</formula1>
    </dataValidation>
  </dataValidation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2086"/>
  <sheetViews>
    <sheetView topLeftCell="A39" zoomScale="130" zoomScaleNormal="130" workbookViewId="0">
      <selection activeCell="D50" sqref="D50"/>
    </sheetView>
  </sheetViews>
  <sheetFormatPr defaultColWidth="9.140625" defaultRowHeight="12.75" x14ac:dyDescent="0.2"/>
  <cols>
    <col min="1" max="1" width="3.85546875" style="1" customWidth="1"/>
    <col min="2" max="2" width="32.140625" style="1" customWidth="1"/>
    <col min="3" max="3" width="2.5703125" style="1" customWidth="1"/>
    <col min="4" max="4" width="39.140625" style="1" customWidth="1"/>
    <col min="5" max="5" width="3.5703125" style="1" customWidth="1"/>
    <col min="6" max="6" width="49.85546875" style="1" customWidth="1"/>
    <col min="7" max="7" width="3.5703125" style="1" customWidth="1"/>
    <col min="8" max="8" width="34.5703125" style="1" customWidth="1"/>
    <col min="9" max="9" width="3.85546875" style="1" customWidth="1"/>
    <col min="10" max="10" width="20.85546875" style="1" customWidth="1"/>
    <col min="11" max="11" width="3.28515625" style="1" customWidth="1"/>
  </cols>
  <sheetData>
    <row r="1" spans="1:14" x14ac:dyDescent="0.2">
      <c r="A1" s="2"/>
      <c r="B1" s="18"/>
      <c r="C1" s="18"/>
      <c r="D1" s="18"/>
      <c r="E1" s="18"/>
      <c r="F1" s="18"/>
      <c r="G1" s="18"/>
      <c r="H1" s="18"/>
      <c r="I1" s="18"/>
      <c r="J1" s="4"/>
      <c r="K1" s="3"/>
    </row>
    <row r="2" spans="1:14" x14ac:dyDescent="0.2">
      <c r="A2" s="2"/>
      <c r="B2" s="21"/>
      <c r="C2" s="21"/>
      <c r="D2" s="21"/>
      <c r="E2" s="21"/>
      <c r="F2" s="21"/>
      <c r="G2" s="21"/>
      <c r="H2" s="21"/>
      <c r="I2" s="21"/>
      <c r="J2" s="4"/>
      <c r="K2" s="3"/>
    </row>
    <row r="3" spans="1:14" x14ac:dyDescent="0.2">
      <c r="A3" s="2"/>
      <c r="B3" s="21"/>
      <c r="C3" s="21"/>
      <c r="D3" s="21"/>
      <c r="E3" s="21"/>
      <c r="F3" s="21"/>
      <c r="G3" s="21"/>
      <c r="H3" s="21"/>
      <c r="I3" s="21"/>
      <c r="J3" s="4"/>
      <c r="K3" s="3"/>
    </row>
    <row r="4" spans="1:14" x14ac:dyDescent="0.2">
      <c r="A4" s="2"/>
      <c r="B4" s="21"/>
      <c r="C4" s="21"/>
      <c r="D4" s="21"/>
      <c r="E4" s="21"/>
      <c r="F4" s="21"/>
      <c r="G4" s="21"/>
      <c r="H4" s="21"/>
      <c r="I4" s="21"/>
      <c r="J4" s="4"/>
      <c r="K4" s="3"/>
    </row>
    <row r="5" spans="1:14" x14ac:dyDescent="0.2">
      <c r="A5" s="2"/>
      <c r="B5" s="20"/>
      <c r="C5" s="20"/>
      <c r="D5" s="20"/>
      <c r="E5" s="20"/>
      <c r="F5" s="20"/>
      <c r="G5" s="20"/>
      <c r="H5" s="20"/>
      <c r="I5" s="20"/>
      <c r="J5" s="4"/>
      <c r="K5" s="3"/>
    </row>
    <row r="6" spans="1:14" x14ac:dyDescent="0.2">
      <c r="A6" s="3" t="s">
        <v>0</v>
      </c>
      <c r="B6" s="19" t="s">
        <v>0</v>
      </c>
      <c r="C6" s="19"/>
      <c r="D6" s="19"/>
      <c r="E6" s="19"/>
      <c r="F6" s="19"/>
      <c r="G6" s="19"/>
      <c r="H6" s="19"/>
      <c r="I6" s="19"/>
      <c r="J6" s="3"/>
      <c r="K6" s="3"/>
      <c r="L6" s="6" t="s">
        <v>1</v>
      </c>
      <c r="M6" s="6" t="s">
        <v>2</v>
      </c>
    </row>
    <row r="7" spans="1:14" x14ac:dyDescent="0.2">
      <c r="A7" s="3" t="s">
        <v>0</v>
      </c>
      <c r="B7" s="19" t="s">
        <v>145</v>
      </c>
      <c r="C7" s="19"/>
      <c r="D7" s="19"/>
      <c r="E7" s="19"/>
      <c r="F7" s="19"/>
      <c r="G7" s="19"/>
      <c r="H7" s="19"/>
      <c r="I7" s="19"/>
      <c r="J7" s="3"/>
      <c r="K7" s="3"/>
      <c r="L7" s="6" t="s">
        <v>1</v>
      </c>
      <c r="M7" s="6" t="s">
        <v>2</v>
      </c>
    </row>
    <row r="8" spans="1:14" x14ac:dyDescent="0.2">
      <c r="A8" s="3" t="s">
        <v>0</v>
      </c>
      <c r="B8" s="19" t="s">
        <v>0</v>
      </c>
      <c r="C8" s="19"/>
      <c r="D8" s="19"/>
      <c r="E8" s="19"/>
      <c r="F8" s="19"/>
      <c r="G8" s="19"/>
      <c r="H8" s="19"/>
      <c r="I8" s="19"/>
      <c r="J8" s="3"/>
      <c r="K8" s="3"/>
      <c r="L8" s="6" t="s">
        <v>1</v>
      </c>
      <c r="M8" s="6" t="s">
        <v>2</v>
      </c>
    </row>
    <row r="9" spans="1:14" x14ac:dyDescent="0.2">
      <c r="A9" s="3" t="s">
        <v>0</v>
      </c>
      <c r="B9" s="19" t="s">
        <v>0</v>
      </c>
      <c r="C9" s="19"/>
      <c r="D9" s="19"/>
      <c r="E9" s="19"/>
      <c r="F9" s="19"/>
      <c r="G9" s="19"/>
      <c r="H9" s="19"/>
      <c r="I9" s="19"/>
      <c r="J9" s="3"/>
      <c r="K9" s="3"/>
      <c r="L9" s="6" t="s">
        <v>1</v>
      </c>
      <c r="M9" s="6" t="s">
        <v>2</v>
      </c>
    </row>
    <row r="10" spans="1:14" x14ac:dyDescent="0.2">
      <c r="A10" s="3" t="s">
        <v>0</v>
      </c>
      <c r="B10" s="5" t="s">
        <v>4</v>
      </c>
      <c r="C10" s="5"/>
      <c r="D10" s="5" t="s">
        <v>5</v>
      </c>
      <c r="E10" s="5"/>
      <c r="F10" s="7" t="s">
        <v>283</v>
      </c>
      <c r="G10" s="5"/>
      <c r="H10" s="5"/>
      <c r="I10" s="5"/>
      <c r="J10" s="3"/>
      <c r="K10" s="3"/>
      <c r="L10" s="6" t="s">
        <v>1</v>
      </c>
      <c r="M10" s="6" t="s">
        <v>2</v>
      </c>
    </row>
    <row r="11" spans="1:14" x14ac:dyDescent="0.2">
      <c r="A11" s="3" t="s">
        <v>0</v>
      </c>
      <c r="B11" s="19" t="s">
        <v>0</v>
      </c>
      <c r="C11" s="19"/>
      <c r="D11" s="19"/>
      <c r="E11" s="19"/>
      <c r="F11" s="19"/>
      <c r="G11" s="19"/>
      <c r="H11" s="19"/>
      <c r="I11" s="19"/>
      <c r="J11" s="3"/>
      <c r="K11" s="3"/>
      <c r="L11" s="6" t="s">
        <v>1</v>
      </c>
      <c r="M11" s="6" t="s">
        <v>2</v>
      </c>
    </row>
    <row r="12" spans="1:14" x14ac:dyDescent="0.2">
      <c r="A12" s="8"/>
      <c r="B12" s="9" t="s">
        <v>6</v>
      </c>
      <c r="C12" s="9" t="s">
        <v>0</v>
      </c>
      <c r="D12" s="9" t="s">
        <v>7</v>
      </c>
      <c r="E12" s="9" t="s">
        <v>0</v>
      </c>
      <c r="F12" s="9" t="s">
        <v>8</v>
      </c>
      <c r="G12" s="9"/>
      <c r="H12" s="9"/>
      <c r="I12" s="9"/>
      <c r="J12" s="4"/>
      <c r="K12" s="3"/>
    </row>
    <row r="13" spans="1:14" ht="6.2" hidden="1" customHeight="1" x14ac:dyDescent="0.2">
      <c r="A13" s="8"/>
      <c r="B13" s="25"/>
      <c r="C13" s="25"/>
      <c r="D13" s="25"/>
      <c r="E13" s="25"/>
      <c r="F13" s="25"/>
      <c r="G13" s="25"/>
      <c r="H13" s="25"/>
      <c r="I13" s="25"/>
      <c r="J13" s="4"/>
      <c r="K13" s="3"/>
    </row>
    <row r="14" spans="1:14" hidden="1" x14ac:dyDescent="0.2">
      <c r="A14" s="8"/>
      <c r="B14" s="10" t="s">
        <v>4</v>
      </c>
      <c r="C14" s="10"/>
      <c r="D14" s="10" t="s">
        <v>5</v>
      </c>
      <c r="E14" s="10"/>
      <c r="F14" s="7"/>
      <c r="G14" s="10"/>
      <c r="H14" s="10"/>
      <c r="I14" s="10"/>
      <c r="J14" s="4"/>
      <c r="K14" s="3"/>
      <c r="L14" s="6" t="s">
        <v>9</v>
      </c>
    </row>
    <row r="15" spans="1:14" ht="6.2" customHeight="1" x14ac:dyDescent="0.2">
      <c r="A15" s="8"/>
      <c r="B15" s="25"/>
      <c r="C15" s="25"/>
      <c r="D15" s="25"/>
      <c r="E15" s="25"/>
      <c r="F15" s="25"/>
      <c r="G15" s="25"/>
      <c r="H15" s="25"/>
      <c r="I15" s="25"/>
      <c r="J15" s="4"/>
      <c r="K15" s="3"/>
    </row>
    <row r="16" spans="1:14" x14ac:dyDescent="0.2">
      <c r="A16" s="8"/>
      <c r="B16" s="11" t="s">
        <v>10</v>
      </c>
      <c r="C16" s="10" t="s">
        <v>0</v>
      </c>
      <c r="D16" s="11" t="s">
        <v>10</v>
      </c>
      <c r="E16" s="10" t="s">
        <v>0</v>
      </c>
      <c r="F16" s="22" t="s">
        <v>284</v>
      </c>
      <c r="G16" s="23"/>
      <c r="H16" s="24"/>
      <c r="I16" s="10" t="s">
        <v>11</v>
      </c>
      <c r="J16" s="4"/>
      <c r="K16" s="3"/>
      <c r="L16" s="6" t="s">
        <v>9</v>
      </c>
      <c r="N16" s="6" t="s">
        <v>12</v>
      </c>
    </row>
    <row r="17" spans="1:14" ht="6.2" customHeight="1" x14ac:dyDescent="0.2">
      <c r="A17" s="8"/>
      <c r="B17" s="25"/>
      <c r="C17" s="25"/>
      <c r="D17" s="25"/>
      <c r="E17" s="25"/>
      <c r="F17" s="25"/>
      <c r="G17" s="25"/>
      <c r="H17" s="25"/>
      <c r="I17" s="25"/>
      <c r="J17" s="4"/>
      <c r="K17" s="3"/>
    </row>
    <row r="18" spans="1:14" ht="147" customHeight="1" x14ac:dyDescent="0.2">
      <c r="A18" s="8"/>
      <c r="B18" s="11" t="s">
        <v>13</v>
      </c>
      <c r="C18" s="10" t="s">
        <v>0</v>
      </c>
      <c r="D18" s="11" t="s">
        <v>13</v>
      </c>
      <c r="E18" s="10" t="s">
        <v>0</v>
      </c>
      <c r="F18" s="22" t="s">
        <v>285</v>
      </c>
      <c r="G18" s="23"/>
      <c r="H18" s="24"/>
      <c r="I18" s="10"/>
      <c r="J18" s="4"/>
      <c r="K18" s="3"/>
      <c r="L18" s="6" t="s">
        <v>9</v>
      </c>
      <c r="N18" s="6" t="s">
        <v>14</v>
      </c>
    </row>
    <row r="19" spans="1:14" ht="6.2" customHeight="1" x14ac:dyDescent="0.2">
      <c r="A19" s="8"/>
      <c r="B19" s="25"/>
      <c r="C19" s="25"/>
      <c r="D19" s="25"/>
      <c r="E19" s="25"/>
      <c r="F19" s="25"/>
      <c r="G19" s="25"/>
      <c r="H19" s="25"/>
      <c r="I19" s="25"/>
      <c r="J19" s="4"/>
      <c r="K19" s="3"/>
    </row>
    <row r="20" spans="1:14" x14ac:dyDescent="0.2">
      <c r="A20" s="8"/>
      <c r="B20" s="11" t="s">
        <v>15</v>
      </c>
      <c r="C20" s="10" t="s">
        <v>0</v>
      </c>
      <c r="D20" s="11" t="s">
        <v>15</v>
      </c>
      <c r="E20" s="10" t="s">
        <v>0</v>
      </c>
      <c r="F20" s="22"/>
      <c r="G20" s="23"/>
      <c r="H20" s="24"/>
      <c r="I20" s="10" t="s">
        <v>11</v>
      </c>
      <c r="J20" s="4"/>
      <c r="K20" s="3"/>
      <c r="L20" s="6" t="s">
        <v>9</v>
      </c>
      <c r="N20" s="6" t="s">
        <v>16</v>
      </c>
    </row>
    <row r="21" spans="1:14" ht="6.2" customHeight="1" x14ac:dyDescent="0.2">
      <c r="A21" s="8"/>
      <c r="B21" s="25"/>
      <c r="C21" s="25"/>
      <c r="D21" s="25"/>
      <c r="E21" s="25"/>
      <c r="F21" s="25"/>
      <c r="G21" s="25"/>
      <c r="H21" s="25"/>
      <c r="I21" s="25"/>
      <c r="J21" s="4"/>
      <c r="K21" s="3"/>
    </row>
    <row r="22" spans="1:14" ht="29.45" customHeight="1" x14ac:dyDescent="0.2">
      <c r="A22" s="8"/>
      <c r="B22" s="11" t="s">
        <v>146</v>
      </c>
      <c r="C22" s="10" t="s">
        <v>0</v>
      </c>
      <c r="D22" s="11" t="s">
        <v>0</v>
      </c>
      <c r="E22" s="10" t="s">
        <v>0</v>
      </c>
      <c r="F22" s="22"/>
      <c r="G22" s="23"/>
      <c r="H22" s="24"/>
      <c r="I22" s="10"/>
      <c r="J22" s="4"/>
      <c r="K22" s="3"/>
      <c r="L22" s="6" t="s">
        <v>9</v>
      </c>
      <c r="N22" s="6" t="s">
        <v>147</v>
      </c>
    </row>
    <row r="23" spans="1:14" ht="6.2" customHeight="1" x14ac:dyDescent="0.2">
      <c r="A23" s="8"/>
      <c r="B23" s="25"/>
      <c r="C23" s="25"/>
      <c r="D23" s="25"/>
      <c r="E23" s="25"/>
      <c r="F23" s="25"/>
      <c r="G23" s="25"/>
      <c r="H23" s="25"/>
      <c r="I23" s="25"/>
      <c r="J23" s="4"/>
      <c r="K23" s="3"/>
    </row>
    <row r="24" spans="1:14" ht="29.45" customHeight="1" x14ac:dyDescent="0.2">
      <c r="A24" s="8"/>
      <c r="B24" s="11" t="s">
        <v>19</v>
      </c>
      <c r="C24" s="10" t="s">
        <v>0</v>
      </c>
      <c r="D24" s="11" t="s">
        <v>20</v>
      </c>
      <c r="E24" s="10" t="s">
        <v>0</v>
      </c>
      <c r="F24" s="22" t="s">
        <v>283</v>
      </c>
      <c r="G24" s="23"/>
      <c r="H24" s="24"/>
      <c r="I24" s="10" t="s">
        <v>11</v>
      </c>
      <c r="J24" s="4"/>
      <c r="K24" s="3"/>
      <c r="L24" s="6" t="s">
        <v>9</v>
      </c>
      <c r="N24" s="6" t="s">
        <v>21</v>
      </c>
    </row>
    <row r="25" spans="1:14" ht="6.2" customHeight="1" x14ac:dyDescent="0.2">
      <c r="A25" s="8"/>
      <c r="B25" s="25"/>
      <c r="C25" s="25"/>
      <c r="D25" s="25"/>
      <c r="E25" s="25"/>
      <c r="F25" s="25"/>
      <c r="G25" s="25"/>
      <c r="H25" s="25"/>
      <c r="I25" s="25"/>
      <c r="J25" s="4"/>
      <c r="K25" s="3"/>
    </row>
    <row r="26" spans="1:14" x14ac:dyDescent="0.2">
      <c r="A26" s="8"/>
      <c r="B26" s="9" t="s">
        <v>6</v>
      </c>
      <c r="C26" s="9"/>
      <c r="D26" s="9" t="s">
        <v>7</v>
      </c>
      <c r="E26" s="9"/>
      <c r="F26" s="9" t="s">
        <v>8</v>
      </c>
      <c r="G26" s="9"/>
      <c r="H26" s="9" t="s">
        <v>22</v>
      </c>
      <c r="I26" s="9"/>
      <c r="J26" s="4"/>
      <c r="K26" s="3"/>
    </row>
    <row r="27" spans="1:14" x14ac:dyDescent="0.2">
      <c r="A27" s="8"/>
      <c r="B27" s="25"/>
      <c r="C27" s="25"/>
      <c r="D27" s="25"/>
      <c r="E27" s="25"/>
      <c r="F27" s="25"/>
      <c r="G27" s="25"/>
      <c r="H27" s="12" t="str">
        <f>IF(F28=B32000,C32000,"")&amp;IF(F28=B32001,C32001,"")&amp;IF(F28=B32002,C32002,"")&amp;IF(F28=B32003,C32003,"")</f>
        <v>Comments:</v>
      </c>
      <c r="I27" s="10"/>
      <c r="J27" s="4"/>
      <c r="K27" s="3"/>
      <c r="M27" s="13" t="str">
        <f>IF(F28=B32000,E32000,"")&amp;IF(F28=B32001,E32001,"")&amp;IF(F28=B32002,E32002,"")&amp;IF(F28=B32003,E32003,"")</f>
        <v>1</v>
      </c>
    </row>
    <row r="28" spans="1:14" ht="38.25" x14ac:dyDescent="0.2">
      <c r="A28" s="8"/>
      <c r="B28" s="11" t="s">
        <v>148</v>
      </c>
      <c r="C28" s="10"/>
      <c r="D28" s="11" t="s">
        <v>149</v>
      </c>
      <c r="E28" s="10"/>
      <c r="F28" s="7" t="s">
        <v>241</v>
      </c>
      <c r="G28" s="10" t="s">
        <v>11</v>
      </c>
      <c r="H28" s="14" t="s">
        <v>301</v>
      </c>
      <c r="I28" s="10"/>
      <c r="J28" s="16" t="str">
        <f>IF(F28=B32003,D32003,"")</f>
        <v>Please attach Business Associate Agreement</v>
      </c>
      <c r="K28" s="3"/>
      <c r="L28" s="6" t="s">
        <v>25</v>
      </c>
      <c r="N28" s="6" t="s">
        <v>150</v>
      </c>
    </row>
    <row r="29" spans="1:14" x14ac:dyDescent="0.2">
      <c r="A29" s="8"/>
      <c r="B29" s="25"/>
      <c r="C29" s="25"/>
      <c r="D29" s="25"/>
      <c r="E29" s="25"/>
      <c r="F29" s="25"/>
      <c r="G29" s="25"/>
      <c r="H29" s="12" t="str">
        <f>IF(F30=B32004,C32004,"")&amp;IF(F30=B32005,C32005,"")&amp;IF(F30=B32006,C32006,"")</f>
        <v>Please indicate why a BCP plan is not needed.</v>
      </c>
      <c r="I29" s="10"/>
      <c r="J29" s="4"/>
      <c r="K29" s="3"/>
      <c r="M29" s="13" t="str">
        <f>IF(F30=B32004,E32004,"")&amp;IF(F30=B32005,E32005,"")&amp;IF(F30=B32006,E32006,"")</f>
        <v>2</v>
      </c>
    </row>
    <row r="30" spans="1:14" ht="38.25" x14ac:dyDescent="0.2">
      <c r="A30" s="8"/>
      <c r="B30" s="11" t="s">
        <v>151</v>
      </c>
      <c r="C30" s="10"/>
      <c r="D30" s="11" t="s">
        <v>152</v>
      </c>
      <c r="E30" s="10"/>
      <c r="F30" s="7" t="s">
        <v>244</v>
      </c>
      <c r="G30" s="10" t="s">
        <v>11</v>
      </c>
      <c r="H30" s="14" t="s">
        <v>302</v>
      </c>
      <c r="I30" s="10"/>
      <c r="J30" s="16" t="str">
        <f>IF(F30=B32006,D32006,"")</f>
        <v/>
      </c>
      <c r="K30" s="3"/>
      <c r="L30" s="6" t="s">
        <v>25</v>
      </c>
      <c r="N30" s="6" t="s">
        <v>153</v>
      </c>
    </row>
    <row r="31" spans="1:14" x14ac:dyDescent="0.2">
      <c r="A31" s="8"/>
      <c r="B31" s="25"/>
      <c r="C31" s="25"/>
      <c r="D31" s="25"/>
      <c r="E31" s="25"/>
      <c r="F31" s="25"/>
      <c r="G31" s="25"/>
      <c r="H31" s="12" t="str">
        <f>IF(F32=B32007,C32007,"")&amp;IF(F32=B32008,C32008,"")</f>
        <v>Comments:</v>
      </c>
      <c r="I31" s="10"/>
      <c r="J31" s="4"/>
      <c r="K31" s="3"/>
      <c r="M31" s="13" t="str">
        <f>IF(F32=B32007,E32007,"")&amp;IF(F32=B32008,E32008,"")</f>
        <v>1</v>
      </c>
    </row>
    <row r="32" spans="1:14" ht="25.5" x14ac:dyDescent="0.2">
      <c r="A32" s="8"/>
      <c r="B32" s="11" t="s">
        <v>154</v>
      </c>
      <c r="C32" s="10"/>
      <c r="D32" s="11" t="s">
        <v>155</v>
      </c>
      <c r="E32" s="10"/>
      <c r="F32" s="7" t="s">
        <v>113</v>
      </c>
      <c r="G32" s="10" t="s">
        <v>11</v>
      </c>
      <c r="H32" s="14" t="s">
        <v>298</v>
      </c>
      <c r="I32" s="10"/>
      <c r="J32" s="4"/>
      <c r="K32" s="3"/>
      <c r="L32" s="6" t="s">
        <v>25</v>
      </c>
      <c r="N32" s="6" t="s">
        <v>156</v>
      </c>
    </row>
    <row r="33" spans="1:14" x14ac:dyDescent="0.2">
      <c r="A33" s="8"/>
      <c r="B33" s="25"/>
      <c r="C33" s="25"/>
      <c r="D33" s="25"/>
      <c r="E33" s="25"/>
      <c r="F33" s="25"/>
      <c r="G33" s="25"/>
      <c r="H33" s="12" t="str">
        <f>IF(F34=B32009,C32009,"")&amp;IF(F34=B32010,C32010,"")&amp;IF(F34=B32011,C32011,"")&amp;IF(F34=B32012,C32012,"")&amp;IF(F34=B32013,C32013,"")</f>
        <v/>
      </c>
      <c r="I33" s="10"/>
      <c r="J33" s="4"/>
      <c r="K33" s="3"/>
      <c r="M33" s="13" t="str">
        <f>IF(F34=B32009,E32009,"")&amp;IF(F34=B32010,E32010,"")&amp;IF(F34=B32011,E32011,"")&amp;IF(F34=B32012,E32012,"")&amp;IF(F34=B32013,E32013,"")</f>
        <v/>
      </c>
    </row>
    <row r="34" spans="1:14" ht="38.25" x14ac:dyDescent="0.2">
      <c r="A34" s="8"/>
      <c r="B34" s="11" t="s">
        <v>157</v>
      </c>
      <c r="C34" s="10"/>
      <c r="D34" s="11" t="s">
        <v>158</v>
      </c>
      <c r="E34" s="10"/>
      <c r="F34" s="7" t="s">
        <v>119</v>
      </c>
      <c r="G34" s="10" t="s">
        <v>11</v>
      </c>
      <c r="H34" s="14"/>
      <c r="I34" s="10"/>
      <c r="J34" s="16" t="str">
        <f>IF(F34=B32010,D32010,"")&amp;IF(F34=B32011,D32011,"")&amp;IF(F34=B32012,D32012,"")&amp;IF(F34=B32013,D32013,"")</f>
        <v/>
      </c>
      <c r="K34" s="3"/>
      <c r="L34" s="6" t="s">
        <v>25</v>
      </c>
      <c r="N34" s="6" t="s">
        <v>159</v>
      </c>
    </row>
    <row r="35" spans="1:14" x14ac:dyDescent="0.2">
      <c r="A35" s="8"/>
      <c r="B35" s="25"/>
      <c r="C35" s="25"/>
      <c r="D35" s="25"/>
      <c r="E35" s="25"/>
      <c r="F35" s="25"/>
      <c r="G35" s="25"/>
      <c r="H35" s="12" t="str">
        <f>IF(F36=B32015,C32015,"")&amp;IF(F36=B32016,C32016,"")</f>
        <v>Comments:</v>
      </c>
      <c r="I35" s="10"/>
      <c r="J35" s="4"/>
      <c r="K35" s="3"/>
      <c r="M35" s="13" t="str">
        <f>IF(F36=B32015,E32015,"")&amp;IF(F36=B32016,E32016,"")</f>
        <v>1</v>
      </c>
    </row>
    <row r="36" spans="1:14" ht="25.5" x14ac:dyDescent="0.2">
      <c r="A36" s="8"/>
      <c r="B36" s="11" t="s">
        <v>160</v>
      </c>
      <c r="C36" s="10"/>
      <c r="D36" s="11" t="s">
        <v>161</v>
      </c>
      <c r="E36" s="10"/>
      <c r="F36" s="7" t="s">
        <v>118</v>
      </c>
      <c r="G36" s="10" t="s">
        <v>11</v>
      </c>
      <c r="H36" s="14" t="s">
        <v>299</v>
      </c>
      <c r="I36" s="10"/>
      <c r="J36" s="4"/>
      <c r="K36" s="3"/>
      <c r="L36" s="6" t="s">
        <v>25</v>
      </c>
      <c r="N36" s="6" t="s">
        <v>162</v>
      </c>
    </row>
    <row r="37" spans="1:14" x14ac:dyDescent="0.2">
      <c r="A37" s="8"/>
      <c r="B37" s="25"/>
      <c r="C37" s="25"/>
      <c r="D37" s="25"/>
      <c r="E37" s="25"/>
      <c r="F37" s="25"/>
      <c r="G37" s="25"/>
      <c r="H37" s="12" t="str">
        <f>IF(F38=B32017,C32017,"")&amp;IF(F38=B32018,C32018,"")&amp;IF(F38=B32019,C32019,"")&amp;IF(F38=B32020,C32020,"")</f>
        <v/>
      </c>
      <c r="I37" s="10"/>
      <c r="J37" s="4"/>
      <c r="K37" s="3"/>
      <c r="M37" s="13" t="str">
        <f>IF(F38=B32017,E32017,"")&amp;IF(F38=B32018,E32018,"")&amp;IF(F38=B32019,E32019,"")&amp;IF(F38=B32020,E32020,"")</f>
        <v/>
      </c>
    </row>
    <row r="38" spans="1:14" ht="38.25" x14ac:dyDescent="0.2">
      <c r="A38" s="8"/>
      <c r="B38" s="11" t="s">
        <v>163</v>
      </c>
      <c r="C38" s="10"/>
      <c r="D38" s="11" t="s">
        <v>164</v>
      </c>
      <c r="E38" s="10"/>
      <c r="F38" s="7" t="s">
        <v>119</v>
      </c>
      <c r="G38" s="10" t="s">
        <v>11</v>
      </c>
      <c r="H38" s="14"/>
      <c r="I38" s="10"/>
      <c r="J38" s="16" t="str">
        <f>IF(F38=B32020,D32020,"")</f>
        <v/>
      </c>
      <c r="K38" s="3"/>
      <c r="L38" s="6" t="s">
        <v>25</v>
      </c>
      <c r="N38" s="6" t="s">
        <v>165</v>
      </c>
    </row>
    <row r="39" spans="1:14" x14ac:dyDescent="0.2">
      <c r="A39" s="8"/>
      <c r="B39" s="25"/>
      <c r="C39" s="25"/>
      <c r="D39" s="25"/>
      <c r="E39" s="25"/>
      <c r="F39" s="25"/>
      <c r="G39" s="25"/>
      <c r="H39" s="12" t="str">
        <f>IF(F40=B32022,C32022,"")&amp;IF(F40=B32023,C32023,"")&amp;IF(F40=B32024,C32024,"")&amp;IF(F40=B32025,C32025,"")</f>
        <v>Comments:</v>
      </c>
      <c r="I39" s="10"/>
      <c r="J39" s="4"/>
      <c r="K39" s="3"/>
      <c r="M39" s="13" t="str">
        <f>IF(F40=B32022,E32022,"")&amp;IF(F40=B32023,E32023,"")&amp;IF(F40=B32024,E32024,"")&amp;IF(F40=B32025,E32025,"")</f>
        <v>1</v>
      </c>
    </row>
    <row r="40" spans="1:14" x14ac:dyDescent="0.2">
      <c r="A40" s="8"/>
      <c r="B40" s="11" t="s">
        <v>166</v>
      </c>
      <c r="C40" s="10"/>
      <c r="D40" s="11" t="s">
        <v>167</v>
      </c>
      <c r="E40" s="10"/>
      <c r="F40" s="7" t="s">
        <v>266</v>
      </c>
      <c r="G40" s="10" t="s">
        <v>11</v>
      </c>
      <c r="H40" s="14"/>
      <c r="I40" s="10"/>
      <c r="J40" s="4"/>
      <c r="K40" s="3"/>
      <c r="L40" s="6" t="s">
        <v>25</v>
      </c>
      <c r="N40" s="6" t="s">
        <v>168</v>
      </c>
    </row>
    <row r="41" spans="1:14" x14ac:dyDescent="0.2">
      <c r="A41" s="8"/>
      <c r="B41" s="25"/>
      <c r="C41" s="25"/>
      <c r="D41" s="25"/>
      <c r="E41" s="25"/>
      <c r="F41" s="25"/>
      <c r="G41" s="25"/>
      <c r="H41" s="10"/>
      <c r="I41" s="10"/>
      <c r="J41" s="4"/>
      <c r="K41" s="3"/>
    </row>
    <row r="42" spans="1:14" x14ac:dyDescent="0.2">
      <c r="A42" s="8"/>
      <c r="B42" s="11" t="s">
        <v>169</v>
      </c>
      <c r="C42" s="10"/>
      <c r="D42" s="11" t="s">
        <v>170</v>
      </c>
      <c r="E42" s="10"/>
      <c r="F42" s="7" t="s">
        <v>113</v>
      </c>
      <c r="G42" s="10" t="s">
        <v>11</v>
      </c>
      <c r="H42" s="10"/>
      <c r="I42" s="10"/>
      <c r="J42" s="4"/>
      <c r="K42" s="3"/>
      <c r="L42" s="6" t="s">
        <v>25</v>
      </c>
      <c r="N42" s="6" t="s">
        <v>171</v>
      </c>
    </row>
    <row r="43" spans="1:14" x14ac:dyDescent="0.2">
      <c r="A43" s="8"/>
      <c r="B43" s="25"/>
      <c r="C43" s="25"/>
      <c r="D43" s="25"/>
      <c r="E43" s="25"/>
      <c r="F43" s="25"/>
      <c r="G43" s="25"/>
      <c r="H43" s="10"/>
      <c r="I43" s="10"/>
      <c r="J43" s="4"/>
      <c r="K43" s="3"/>
    </row>
    <row r="44" spans="1:14" ht="25.5" x14ac:dyDescent="0.2">
      <c r="A44" s="8"/>
      <c r="B44" s="11" t="s">
        <v>172</v>
      </c>
      <c r="C44" s="10"/>
      <c r="D44" s="11" t="s">
        <v>173</v>
      </c>
      <c r="E44" s="10"/>
      <c r="F44" s="7" t="s">
        <v>136</v>
      </c>
      <c r="G44" s="10" t="s">
        <v>11</v>
      </c>
      <c r="H44" s="10"/>
      <c r="I44" s="10"/>
      <c r="J44" s="4"/>
      <c r="K44" s="3"/>
      <c r="L44" s="6" t="s">
        <v>25</v>
      </c>
      <c r="N44" s="6" t="s">
        <v>174</v>
      </c>
    </row>
    <row r="45" spans="1:14" x14ac:dyDescent="0.2">
      <c r="A45" s="8"/>
      <c r="B45" s="25"/>
      <c r="C45" s="25"/>
      <c r="D45" s="25"/>
      <c r="E45" s="25"/>
      <c r="F45" s="25"/>
      <c r="G45" s="25"/>
      <c r="H45" s="12" t="str">
        <f>IF(F46=B32031,C32031,"")&amp;IF(F46=B32032,C32032,"")</f>
        <v/>
      </c>
      <c r="I45" s="10"/>
      <c r="J45" s="4"/>
      <c r="K45" s="3"/>
      <c r="M45" s="13" t="str">
        <f>IF(F46=B32031,E32031,"")&amp;IF(F46=B32032,E32032,"")</f>
        <v/>
      </c>
    </row>
    <row r="46" spans="1:14" ht="38.25" x14ac:dyDescent="0.2">
      <c r="A46" s="8"/>
      <c r="B46" s="11" t="s">
        <v>175</v>
      </c>
      <c r="C46" s="10"/>
      <c r="D46" s="11" t="s">
        <v>176</v>
      </c>
      <c r="E46" s="10"/>
      <c r="F46" s="7" t="s">
        <v>136</v>
      </c>
      <c r="G46" s="10" t="s">
        <v>11</v>
      </c>
      <c r="H46" s="14"/>
      <c r="I46" s="10"/>
      <c r="J46" s="4"/>
      <c r="K46" s="3"/>
      <c r="L46" s="6" t="s">
        <v>25</v>
      </c>
      <c r="N46" s="6" t="s">
        <v>177</v>
      </c>
    </row>
    <row r="47" spans="1:14" x14ac:dyDescent="0.2">
      <c r="A47" s="8"/>
      <c r="B47" s="25"/>
      <c r="C47" s="25"/>
      <c r="D47" s="25"/>
      <c r="E47" s="25"/>
      <c r="F47" s="25"/>
      <c r="G47" s="25"/>
      <c r="H47" s="12" t="str">
        <f>IF(F48=B32035,C32035,"")</f>
        <v/>
      </c>
      <c r="I47" s="10"/>
      <c r="J47" s="4"/>
      <c r="K47" s="3"/>
      <c r="M47" s="13" t="str">
        <f>IF(F48=B32035,E32035,"")</f>
        <v/>
      </c>
    </row>
    <row r="48" spans="1:14" ht="38.25" x14ac:dyDescent="0.2">
      <c r="A48" s="8"/>
      <c r="B48" s="11" t="s">
        <v>178</v>
      </c>
      <c r="C48" s="10"/>
      <c r="D48" s="11" t="s">
        <v>179</v>
      </c>
      <c r="E48" s="10"/>
      <c r="F48" s="7" t="s">
        <v>136</v>
      </c>
      <c r="G48" s="10" t="s">
        <v>11</v>
      </c>
      <c r="H48" s="14"/>
      <c r="I48" s="10"/>
      <c r="J48" s="16" t="str">
        <f>IF(F48=B32036,D32036,"")</f>
        <v/>
      </c>
      <c r="K48" s="3"/>
      <c r="L48" s="6" t="s">
        <v>25</v>
      </c>
      <c r="N48" s="6" t="s">
        <v>180</v>
      </c>
    </row>
    <row r="49" spans="1:14" x14ac:dyDescent="0.2">
      <c r="A49" s="8"/>
      <c r="B49" s="25"/>
      <c r="C49" s="25"/>
      <c r="D49" s="25"/>
      <c r="E49" s="25"/>
      <c r="F49" s="25"/>
      <c r="G49" s="25"/>
      <c r="H49" s="12" t="str">
        <f>IF(F50=B32038,C32038,"")&amp;IF(F50=B32039,C32039,"")</f>
        <v>Comments:</v>
      </c>
      <c r="I49" s="10"/>
      <c r="J49" s="4"/>
      <c r="K49" s="3"/>
      <c r="M49" s="13" t="str">
        <f>IF(F50=B32038,E32038,"")&amp;IF(F50=B32039,E32039,"")</f>
        <v>1</v>
      </c>
    </row>
    <row r="50" spans="1:14" ht="25.5" x14ac:dyDescent="0.2">
      <c r="A50" s="8"/>
      <c r="B50" s="11" t="s">
        <v>181</v>
      </c>
      <c r="C50" s="10"/>
      <c r="D50" s="11" t="s">
        <v>182</v>
      </c>
      <c r="E50" s="10"/>
      <c r="F50" s="7" t="s">
        <v>113</v>
      </c>
      <c r="G50" s="10" t="s">
        <v>11</v>
      </c>
      <c r="H50" s="14" t="s">
        <v>300</v>
      </c>
      <c r="I50" s="10"/>
      <c r="J50" s="4"/>
      <c r="K50" s="3"/>
      <c r="L50" s="6" t="s">
        <v>25</v>
      </c>
      <c r="N50" s="6" t="s">
        <v>183</v>
      </c>
    </row>
    <row r="51" spans="1:14" x14ac:dyDescent="0.2">
      <c r="A51" s="8"/>
      <c r="B51" s="25"/>
      <c r="C51" s="25"/>
      <c r="D51" s="25"/>
      <c r="E51" s="25"/>
      <c r="F51" s="25"/>
      <c r="G51" s="25"/>
      <c r="H51" s="12" t="str">
        <f>IF(F52=B32040,C32040,"")&amp;IF(F52=B32041,C32041,"")</f>
        <v>Comments:</v>
      </c>
      <c r="I51" s="10"/>
      <c r="J51" s="4"/>
      <c r="K51" s="3"/>
      <c r="M51" s="13" t="str">
        <f>IF(F52=B32040,E32040,"")&amp;IF(F52=B32041,E32041,"")</f>
        <v>1</v>
      </c>
    </row>
    <row r="52" spans="1:14" ht="25.5" x14ac:dyDescent="0.2">
      <c r="A52" s="8"/>
      <c r="B52" s="11" t="s">
        <v>184</v>
      </c>
      <c r="C52" s="10"/>
      <c r="D52" s="11" t="s">
        <v>185</v>
      </c>
      <c r="E52" s="10"/>
      <c r="F52" s="7" t="s">
        <v>113</v>
      </c>
      <c r="G52" s="10" t="s">
        <v>11</v>
      </c>
      <c r="H52" s="14"/>
      <c r="I52" s="10"/>
      <c r="J52" s="4"/>
      <c r="K52" s="3"/>
      <c r="L52" s="6" t="s">
        <v>25</v>
      </c>
      <c r="N52" s="6" t="s">
        <v>186</v>
      </c>
    </row>
    <row r="53" spans="1:14" x14ac:dyDescent="0.2">
      <c r="A53" s="8"/>
      <c r="B53" s="25"/>
      <c r="C53" s="25"/>
      <c r="D53" s="25"/>
      <c r="E53" s="25"/>
      <c r="F53" s="25"/>
      <c r="G53" s="25"/>
      <c r="H53" s="12" t="str">
        <f>IF(F54=B32043,C32043,"")&amp;IF(F54=B32044,C32044,"")</f>
        <v>Comments:</v>
      </c>
      <c r="I53" s="10"/>
      <c r="J53" s="4"/>
      <c r="K53" s="3"/>
      <c r="M53" s="13" t="str">
        <f>IF(F54=B32043,E32043,"")&amp;IF(F54=B32044,E32044,"")</f>
        <v>1</v>
      </c>
    </row>
    <row r="54" spans="1:14" ht="25.5" x14ac:dyDescent="0.2">
      <c r="A54" s="8"/>
      <c r="B54" s="11" t="s">
        <v>187</v>
      </c>
      <c r="C54" s="10"/>
      <c r="D54" s="11" t="s">
        <v>188</v>
      </c>
      <c r="E54" s="10"/>
      <c r="F54" s="7" t="s">
        <v>113</v>
      </c>
      <c r="G54" s="10" t="s">
        <v>11</v>
      </c>
      <c r="H54" s="14"/>
      <c r="I54" s="10"/>
      <c r="J54" s="4"/>
      <c r="K54" s="3"/>
      <c r="L54" s="6" t="s">
        <v>25</v>
      </c>
      <c r="N54" s="6" t="s">
        <v>189</v>
      </c>
    </row>
    <row r="55" spans="1:14" x14ac:dyDescent="0.2">
      <c r="A55" s="8"/>
      <c r="B55" s="25"/>
      <c r="C55" s="25"/>
      <c r="D55" s="25"/>
      <c r="E55" s="25"/>
      <c r="F55" s="25"/>
      <c r="G55" s="25"/>
      <c r="H55" s="10"/>
      <c r="I55" s="10"/>
      <c r="J55" s="4"/>
      <c r="K55" s="3"/>
    </row>
    <row r="56" spans="1:14" ht="25.5" x14ac:dyDescent="0.2">
      <c r="A56" s="8"/>
      <c r="B56" s="11" t="s">
        <v>190</v>
      </c>
      <c r="C56" s="10"/>
      <c r="D56" s="11" t="s">
        <v>191</v>
      </c>
      <c r="E56" s="10"/>
      <c r="F56" s="7" t="s">
        <v>113</v>
      </c>
      <c r="G56" s="10" t="s">
        <v>11</v>
      </c>
      <c r="H56" s="10"/>
      <c r="I56" s="10"/>
      <c r="J56" s="4"/>
      <c r="K56" s="3"/>
      <c r="L56" s="6" t="s">
        <v>25</v>
      </c>
      <c r="N56" s="6" t="s">
        <v>192</v>
      </c>
    </row>
    <row r="57" spans="1:14" x14ac:dyDescent="0.2">
      <c r="A57" s="8"/>
      <c r="B57" s="25"/>
      <c r="C57" s="25"/>
      <c r="D57" s="25"/>
      <c r="E57" s="25"/>
      <c r="F57" s="25"/>
      <c r="G57" s="25"/>
      <c r="H57" s="12" t="str">
        <f>IF(F58=B32048,C32048,"")</f>
        <v/>
      </c>
      <c r="I57" s="10"/>
      <c r="J57" s="4"/>
      <c r="K57" s="3"/>
      <c r="M57" s="13" t="str">
        <f>IF(F58=B32048,E32048,"")</f>
        <v/>
      </c>
    </row>
    <row r="58" spans="1:14" ht="51" x14ac:dyDescent="0.2">
      <c r="A58" s="8"/>
      <c r="B58" s="11" t="s">
        <v>193</v>
      </c>
      <c r="C58" s="10"/>
      <c r="D58" s="11" t="s">
        <v>194</v>
      </c>
      <c r="E58" s="10"/>
      <c r="F58" s="7" t="s">
        <v>113</v>
      </c>
      <c r="G58" s="10" t="s">
        <v>11</v>
      </c>
      <c r="H58" s="14"/>
      <c r="I58" s="10"/>
      <c r="J58" s="4"/>
      <c r="K58" s="3"/>
      <c r="L58" s="6" t="s">
        <v>25</v>
      </c>
      <c r="N58" s="6" t="s">
        <v>195</v>
      </c>
    </row>
    <row r="59" spans="1:14" x14ac:dyDescent="0.2">
      <c r="A59" s="8"/>
      <c r="B59" s="25"/>
      <c r="C59" s="25"/>
      <c r="D59" s="25"/>
      <c r="E59" s="25"/>
      <c r="F59" s="25"/>
      <c r="G59" s="25"/>
      <c r="H59" s="10"/>
      <c r="I59" s="10"/>
      <c r="J59" s="4"/>
      <c r="K59" s="3"/>
    </row>
    <row r="60" spans="1:14" ht="25.5" x14ac:dyDescent="0.2">
      <c r="A60" s="8"/>
      <c r="B60" s="11" t="s">
        <v>196</v>
      </c>
      <c r="C60" s="10"/>
      <c r="D60" s="11" t="s">
        <v>197</v>
      </c>
      <c r="E60" s="10"/>
      <c r="F60" s="7" t="s">
        <v>113</v>
      </c>
      <c r="G60" s="10" t="s">
        <v>11</v>
      </c>
      <c r="H60" s="10"/>
      <c r="I60" s="10"/>
      <c r="J60" s="4"/>
      <c r="K60" s="3"/>
      <c r="L60" s="6" t="s">
        <v>25</v>
      </c>
      <c r="N60" s="6" t="s">
        <v>198</v>
      </c>
    </row>
    <row r="61" spans="1:14" x14ac:dyDescent="0.2">
      <c r="A61" s="8"/>
      <c r="B61" s="25"/>
      <c r="C61" s="25"/>
      <c r="D61" s="25"/>
      <c r="E61" s="25"/>
      <c r="F61" s="25"/>
      <c r="G61" s="25"/>
      <c r="H61" s="10"/>
      <c r="I61" s="10"/>
      <c r="J61" s="4"/>
      <c r="K61" s="3"/>
    </row>
    <row r="62" spans="1:14" x14ac:dyDescent="0.2">
      <c r="A62" s="8"/>
      <c r="B62" s="11" t="s">
        <v>199</v>
      </c>
      <c r="C62" s="10"/>
      <c r="D62" s="11" t="s">
        <v>200</v>
      </c>
      <c r="E62" s="10"/>
      <c r="F62" s="7" t="s">
        <v>113</v>
      </c>
      <c r="G62" s="10" t="s">
        <v>11</v>
      </c>
      <c r="H62" s="10"/>
      <c r="I62" s="10"/>
      <c r="J62" s="4"/>
      <c r="K62" s="3"/>
      <c r="L62" s="6" t="s">
        <v>25</v>
      </c>
      <c r="N62" s="6" t="s">
        <v>201</v>
      </c>
    </row>
    <row r="63" spans="1:14" x14ac:dyDescent="0.2">
      <c r="A63" s="8"/>
      <c r="B63" s="25"/>
      <c r="C63" s="25"/>
      <c r="D63" s="25"/>
      <c r="E63" s="25"/>
      <c r="F63" s="25"/>
      <c r="G63" s="25"/>
      <c r="H63" s="10"/>
      <c r="I63" s="10"/>
      <c r="J63" s="4"/>
      <c r="K63" s="3"/>
    </row>
    <row r="64" spans="1:14" ht="25.5" x14ac:dyDescent="0.2">
      <c r="A64" s="8"/>
      <c r="B64" s="11" t="s">
        <v>202</v>
      </c>
      <c r="C64" s="10"/>
      <c r="D64" s="11" t="s">
        <v>203</v>
      </c>
      <c r="E64" s="10"/>
      <c r="F64" s="7" t="s">
        <v>113</v>
      </c>
      <c r="G64" s="10" t="s">
        <v>11</v>
      </c>
      <c r="H64" s="10"/>
      <c r="I64" s="10"/>
      <c r="J64" s="4"/>
      <c r="K64" s="3"/>
      <c r="L64" s="6" t="s">
        <v>25</v>
      </c>
      <c r="N64" s="6" t="s">
        <v>204</v>
      </c>
    </row>
    <row r="65" spans="1:14" x14ac:dyDescent="0.2">
      <c r="A65" s="8"/>
      <c r="B65" s="25"/>
      <c r="C65" s="25"/>
      <c r="D65" s="25"/>
      <c r="E65" s="25"/>
      <c r="F65" s="25"/>
      <c r="G65" s="25"/>
      <c r="H65" s="12" t="str">
        <f>IF(F66=B32058,C32058,"")</f>
        <v/>
      </c>
      <c r="I65" s="10"/>
      <c r="J65" s="4"/>
      <c r="K65" s="3"/>
      <c r="M65" s="13" t="str">
        <f>IF(F66=B32058,E32058,"")</f>
        <v/>
      </c>
    </row>
    <row r="66" spans="1:14" ht="51" x14ac:dyDescent="0.2">
      <c r="A66" s="8"/>
      <c r="B66" s="11" t="s">
        <v>205</v>
      </c>
      <c r="C66" s="10"/>
      <c r="D66" s="11" t="s">
        <v>206</v>
      </c>
      <c r="E66" s="10"/>
      <c r="F66" s="7" t="s">
        <v>113</v>
      </c>
      <c r="G66" s="10" t="s">
        <v>11</v>
      </c>
      <c r="H66" s="14"/>
      <c r="I66" s="10"/>
      <c r="J66" s="4"/>
      <c r="K66" s="3"/>
      <c r="L66" s="6" t="s">
        <v>25</v>
      </c>
      <c r="N66" s="6" t="s">
        <v>207</v>
      </c>
    </row>
    <row r="67" spans="1:14" x14ac:dyDescent="0.2">
      <c r="A67" s="8"/>
      <c r="B67" s="25"/>
      <c r="C67" s="25"/>
      <c r="D67" s="25"/>
      <c r="E67" s="25"/>
      <c r="F67" s="25"/>
      <c r="G67" s="25"/>
      <c r="H67" s="12" t="str">
        <f>IF(F68=B32060,C32060,"")&amp;IF(F68=B32061,C32061,"")</f>
        <v>Comments:</v>
      </c>
      <c r="I67" s="10"/>
      <c r="J67" s="4"/>
      <c r="K67" s="3"/>
      <c r="M67" s="13" t="str">
        <f>IF(F68=B32060,E32060,"")&amp;IF(F68=B32061,E32061,"")</f>
        <v>1</v>
      </c>
    </row>
    <row r="68" spans="1:14" ht="25.5" x14ac:dyDescent="0.2">
      <c r="A68" s="8"/>
      <c r="B68" s="11" t="s">
        <v>208</v>
      </c>
      <c r="C68" s="10"/>
      <c r="D68" s="11" t="s">
        <v>209</v>
      </c>
      <c r="E68" s="10"/>
      <c r="F68" s="7" t="s">
        <v>113</v>
      </c>
      <c r="G68" s="10" t="s">
        <v>11</v>
      </c>
      <c r="H68" s="14"/>
      <c r="I68" s="10"/>
      <c r="J68" s="4"/>
      <c r="K68" s="3"/>
      <c r="L68" s="6" t="s">
        <v>25</v>
      </c>
      <c r="N68" s="6" t="s">
        <v>210</v>
      </c>
    </row>
    <row r="69" spans="1:14" x14ac:dyDescent="0.2">
      <c r="A69" s="8"/>
      <c r="B69" s="25"/>
      <c r="C69" s="25"/>
      <c r="D69" s="25"/>
      <c r="E69" s="25"/>
      <c r="F69" s="25"/>
      <c r="G69" s="25"/>
      <c r="H69" s="12" t="str">
        <f>IF(F70=B32062,C32062,"")&amp;IF(F70=B32063,C32063,"")</f>
        <v>Comments:</v>
      </c>
      <c r="I69" s="10"/>
      <c r="J69" s="4"/>
      <c r="K69" s="3"/>
      <c r="M69" s="13" t="str">
        <f>IF(F70=B32062,E32062,"")&amp;IF(F70=B32063,E32063,"")</f>
        <v>1</v>
      </c>
    </row>
    <row r="70" spans="1:14" ht="25.5" x14ac:dyDescent="0.2">
      <c r="A70" s="8"/>
      <c r="B70" s="11" t="s">
        <v>211</v>
      </c>
      <c r="C70" s="10"/>
      <c r="D70" s="11" t="s">
        <v>212</v>
      </c>
      <c r="E70" s="10"/>
      <c r="F70" s="7" t="s">
        <v>113</v>
      </c>
      <c r="G70" s="10" t="s">
        <v>11</v>
      </c>
      <c r="H70" s="14"/>
      <c r="I70" s="10"/>
      <c r="J70" s="4"/>
      <c r="K70" s="3"/>
      <c r="L70" s="6" t="s">
        <v>25</v>
      </c>
      <c r="N70" s="6" t="s">
        <v>213</v>
      </c>
    </row>
    <row r="71" spans="1:14" x14ac:dyDescent="0.2">
      <c r="A71" s="8"/>
      <c r="B71" s="25"/>
      <c r="C71" s="25"/>
      <c r="D71" s="25"/>
      <c r="E71" s="25"/>
      <c r="F71" s="25"/>
      <c r="G71" s="25"/>
      <c r="H71" s="12" t="str">
        <f>IF(F72=B32065,C32065,"")&amp;IF(F72=B32066,C32066,"")</f>
        <v>Comments:</v>
      </c>
      <c r="I71" s="10"/>
      <c r="J71" s="4"/>
      <c r="K71" s="3"/>
      <c r="M71" s="13" t="str">
        <f>IF(F72=B32065,E32065,"")&amp;IF(F72=B32066,E32066,"")</f>
        <v>1</v>
      </c>
    </row>
    <row r="72" spans="1:14" ht="25.5" x14ac:dyDescent="0.2">
      <c r="A72" s="8"/>
      <c r="B72" s="11" t="s">
        <v>214</v>
      </c>
      <c r="C72" s="10"/>
      <c r="D72" s="11" t="s">
        <v>215</v>
      </c>
      <c r="E72" s="10"/>
      <c r="F72" s="7" t="s">
        <v>113</v>
      </c>
      <c r="G72" s="10" t="s">
        <v>11</v>
      </c>
      <c r="H72" s="14"/>
      <c r="I72" s="10"/>
      <c r="J72" s="4"/>
      <c r="K72" s="3"/>
      <c r="L72" s="6" t="s">
        <v>25</v>
      </c>
      <c r="N72" s="6" t="s">
        <v>216</v>
      </c>
    </row>
    <row r="73" spans="1:14" x14ac:dyDescent="0.2">
      <c r="A73" s="8"/>
      <c r="B73" s="25"/>
      <c r="C73" s="25"/>
      <c r="D73" s="25"/>
      <c r="E73" s="25"/>
      <c r="F73" s="25"/>
      <c r="G73" s="25"/>
      <c r="H73" s="12" t="str">
        <f>IF(F74=B32068,C32068,"")&amp;IF(F74=B32069,C32069,"")</f>
        <v>Comments:</v>
      </c>
      <c r="I73" s="10"/>
      <c r="J73" s="4"/>
      <c r="K73" s="3"/>
      <c r="M73" s="13" t="str">
        <f>IF(F74=B32068,E32068,"")&amp;IF(F74=B32069,E32069,"")</f>
        <v>1</v>
      </c>
    </row>
    <row r="74" spans="1:14" ht="25.5" x14ac:dyDescent="0.2">
      <c r="A74" s="8"/>
      <c r="B74" s="11" t="s">
        <v>217</v>
      </c>
      <c r="C74" s="10"/>
      <c r="D74" s="11" t="s">
        <v>218</v>
      </c>
      <c r="E74" s="10"/>
      <c r="F74" s="7" t="s">
        <v>113</v>
      </c>
      <c r="G74" s="10" t="s">
        <v>11</v>
      </c>
      <c r="H74" s="14"/>
      <c r="I74" s="10"/>
      <c r="J74" s="4"/>
      <c r="K74" s="3"/>
      <c r="L74" s="6" t="s">
        <v>25</v>
      </c>
      <c r="N74" s="6" t="s">
        <v>219</v>
      </c>
    </row>
    <row r="75" spans="1:14" x14ac:dyDescent="0.2">
      <c r="A75" s="8"/>
      <c r="B75" s="25"/>
      <c r="C75" s="25"/>
      <c r="D75" s="25"/>
      <c r="E75" s="25"/>
      <c r="F75" s="25"/>
      <c r="G75" s="25"/>
      <c r="H75" s="12" t="str">
        <f>IF(F76=B32071,C32071,"")&amp;IF(F76=B32072,C32072,"")&amp;IF(F76=B32073,C32073,"")</f>
        <v/>
      </c>
      <c r="I75" s="10"/>
      <c r="J75" s="4"/>
      <c r="K75" s="3"/>
      <c r="M75" s="13" t="str">
        <f>IF(F76=B32071,E32071,"")&amp;IF(F76=B32072,E32072,"")&amp;IF(F76=B32073,E32073,"")</f>
        <v/>
      </c>
    </row>
    <row r="76" spans="1:14" ht="25.5" x14ac:dyDescent="0.2">
      <c r="A76" s="8"/>
      <c r="B76" s="11" t="s">
        <v>220</v>
      </c>
      <c r="C76" s="10"/>
      <c r="D76" s="11" t="s">
        <v>221</v>
      </c>
      <c r="E76" s="10"/>
      <c r="F76" s="7" t="s">
        <v>113</v>
      </c>
      <c r="G76" s="10" t="s">
        <v>11</v>
      </c>
      <c r="H76" s="14"/>
      <c r="I76" s="10"/>
      <c r="J76" s="4"/>
      <c r="K76" s="3"/>
      <c r="L76" s="6" t="s">
        <v>25</v>
      </c>
      <c r="N76" s="6" t="s">
        <v>222</v>
      </c>
    </row>
    <row r="77" spans="1:14" x14ac:dyDescent="0.2">
      <c r="A77" s="8"/>
      <c r="B77" s="25"/>
      <c r="C77" s="25"/>
      <c r="D77" s="25"/>
      <c r="E77" s="25"/>
      <c r="F77" s="25"/>
      <c r="G77" s="25"/>
      <c r="H77" s="12" t="str">
        <f>IF(F78=B32076,C32076,"")</f>
        <v/>
      </c>
      <c r="I77" s="10"/>
      <c r="J77" s="4"/>
      <c r="K77" s="3"/>
      <c r="M77" s="13" t="str">
        <f>IF(F78=B32076,E32076,"")</f>
        <v/>
      </c>
    </row>
    <row r="78" spans="1:14" ht="38.25" x14ac:dyDescent="0.2">
      <c r="A78" s="8"/>
      <c r="B78" s="11" t="s">
        <v>223</v>
      </c>
      <c r="C78" s="10"/>
      <c r="D78" s="11" t="s">
        <v>224</v>
      </c>
      <c r="E78" s="10"/>
      <c r="F78" s="7" t="s">
        <v>113</v>
      </c>
      <c r="G78" s="10" t="s">
        <v>11</v>
      </c>
      <c r="H78" s="14"/>
      <c r="I78" s="10"/>
      <c r="J78" s="4"/>
      <c r="K78" s="3"/>
      <c r="L78" s="6" t="s">
        <v>25</v>
      </c>
      <c r="N78" s="6" t="s">
        <v>225</v>
      </c>
    </row>
    <row r="79" spans="1:14" x14ac:dyDescent="0.2">
      <c r="A79" s="8"/>
      <c r="B79" s="25"/>
      <c r="C79" s="25"/>
      <c r="D79" s="25"/>
      <c r="E79" s="25"/>
      <c r="F79" s="25"/>
      <c r="G79" s="25"/>
      <c r="H79" s="12" t="str">
        <f>IF(F80=B32078,C32078,"")&amp;IF(F80=B32079,C32079,"")</f>
        <v>Comments:</v>
      </c>
      <c r="I79" s="10"/>
      <c r="J79" s="4"/>
      <c r="K79" s="3"/>
      <c r="M79" s="13" t="str">
        <f>IF(F80=B32078,E32078,"")&amp;IF(F80=B32079,E32079,"")</f>
        <v>1</v>
      </c>
    </row>
    <row r="80" spans="1:14" x14ac:dyDescent="0.2">
      <c r="A80" s="8"/>
      <c r="B80" s="11" t="s">
        <v>226</v>
      </c>
      <c r="C80" s="10"/>
      <c r="D80" s="11" t="s">
        <v>227</v>
      </c>
      <c r="E80" s="10"/>
      <c r="F80" s="7" t="s">
        <v>113</v>
      </c>
      <c r="G80" s="10" t="s">
        <v>11</v>
      </c>
      <c r="H80" s="14"/>
      <c r="I80" s="10"/>
      <c r="J80" s="4"/>
      <c r="K80" s="3"/>
      <c r="L80" s="6" t="s">
        <v>25</v>
      </c>
      <c r="N80" s="6" t="s">
        <v>228</v>
      </c>
    </row>
    <row r="81" spans="1:14" x14ac:dyDescent="0.2">
      <c r="A81" s="8"/>
      <c r="B81" s="25"/>
      <c r="C81" s="25"/>
      <c r="D81" s="25"/>
      <c r="E81" s="25"/>
      <c r="F81" s="25"/>
      <c r="G81" s="25"/>
      <c r="H81" s="12" t="str">
        <f>IF(F82=B32081,C32081,"")</f>
        <v/>
      </c>
      <c r="I81" s="10"/>
      <c r="J81" s="4"/>
      <c r="K81" s="3"/>
      <c r="M81" s="13" t="str">
        <f>IF(F82=B32081,E32081,"")</f>
        <v/>
      </c>
    </row>
    <row r="82" spans="1:14" x14ac:dyDescent="0.2">
      <c r="A82" s="8"/>
      <c r="B82" s="11" t="s">
        <v>229</v>
      </c>
      <c r="C82" s="10"/>
      <c r="D82" s="11" t="s">
        <v>230</v>
      </c>
      <c r="E82" s="10"/>
      <c r="F82" s="7" t="s">
        <v>113</v>
      </c>
      <c r="G82" s="10" t="s">
        <v>11</v>
      </c>
      <c r="H82" s="14"/>
      <c r="I82" s="10"/>
      <c r="J82" s="4"/>
      <c r="K82" s="3"/>
      <c r="L82" s="6" t="s">
        <v>25</v>
      </c>
      <c r="N82" s="6" t="s">
        <v>231</v>
      </c>
    </row>
    <row r="83" spans="1:14" x14ac:dyDescent="0.2">
      <c r="A83" s="8"/>
      <c r="B83" s="25"/>
      <c r="C83" s="25"/>
      <c r="D83" s="25"/>
      <c r="E83" s="25"/>
      <c r="F83" s="25"/>
      <c r="G83" s="25"/>
      <c r="H83" s="12" t="str">
        <f>IF(F84=B32084,C32084,"")</f>
        <v/>
      </c>
      <c r="I83" s="10"/>
      <c r="J83" s="4"/>
      <c r="K83" s="3"/>
      <c r="M83" s="13" t="str">
        <f>IF(F84=B32084,E32084,"")</f>
        <v/>
      </c>
    </row>
    <row r="84" spans="1:14" ht="25.5" x14ac:dyDescent="0.2">
      <c r="A84" s="8"/>
      <c r="B84" s="11" t="s">
        <v>232</v>
      </c>
      <c r="C84" s="10"/>
      <c r="D84" s="11" t="s">
        <v>233</v>
      </c>
      <c r="E84" s="10"/>
      <c r="F84" s="7" t="s">
        <v>113</v>
      </c>
      <c r="G84" s="10" t="s">
        <v>11</v>
      </c>
      <c r="H84" s="14"/>
      <c r="I84" s="10"/>
      <c r="J84" s="4"/>
      <c r="K84" s="3"/>
      <c r="L84" s="6" t="s">
        <v>25</v>
      </c>
      <c r="N84" s="6" t="s">
        <v>234</v>
      </c>
    </row>
    <row r="85" spans="1:14" ht="6.2" customHeight="1" x14ac:dyDescent="0.2">
      <c r="A85" s="8"/>
      <c r="B85" s="25"/>
      <c r="C85" s="25"/>
      <c r="D85" s="25"/>
      <c r="E85" s="25"/>
      <c r="F85" s="25"/>
      <c r="G85" s="25"/>
      <c r="H85" s="25"/>
      <c r="I85" s="25"/>
      <c r="J85" s="4"/>
      <c r="K85" s="3"/>
    </row>
    <row r="86" spans="1:14" x14ac:dyDescent="0.2">
      <c r="A86" s="8"/>
      <c r="J86" s="4"/>
      <c r="K86" s="3"/>
      <c r="L86" s="6" t="s">
        <v>111</v>
      </c>
    </row>
    <row r="87" spans="1:14" x14ac:dyDescent="0.2">
      <c r="A87" s="8"/>
      <c r="J87" s="4"/>
      <c r="K87" s="3"/>
      <c r="L87" s="6" t="s">
        <v>111</v>
      </c>
    </row>
    <row r="88" spans="1:14" x14ac:dyDescent="0.2">
      <c r="A88" s="8"/>
      <c r="J88" s="4"/>
      <c r="K88" s="3"/>
      <c r="L88" s="6" t="s">
        <v>111</v>
      </c>
    </row>
    <row r="89" spans="1:14" x14ac:dyDescent="0.2">
      <c r="A89" s="8"/>
      <c r="B89" s="19" t="s">
        <v>112</v>
      </c>
      <c r="C89" s="26"/>
      <c r="D89" s="26"/>
      <c r="E89" s="26"/>
      <c r="F89" s="26"/>
      <c r="G89" s="26"/>
      <c r="H89" s="26"/>
      <c r="I89" s="26"/>
      <c r="J89" s="4"/>
      <c r="K89" s="3"/>
      <c r="L89" s="6" t="s">
        <v>111</v>
      </c>
    </row>
    <row r="90" spans="1:14" x14ac:dyDescent="0.2">
      <c r="A90" s="8"/>
      <c r="J90" s="4"/>
      <c r="K90" s="3"/>
      <c r="L90" s="6" t="s">
        <v>111</v>
      </c>
    </row>
    <row r="91" spans="1:14" x14ac:dyDescent="0.2">
      <c r="B91" s="15"/>
      <c r="C91" s="15"/>
      <c r="D91" s="15"/>
      <c r="E91" s="15"/>
      <c r="F91" s="15"/>
      <c r="G91" s="15"/>
      <c r="H91" s="15"/>
      <c r="I91" s="15"/>
    </row>
    <row r="32000" spans="2:5" x14ac:dyDescent="0.2">
      <c r="B32000" s="6" t="s">
        <v>235</v>
      </c>
      <c r="C32000" s="6" t="s">
        <v>236</v>
      </c>
      <c r="D32000" s="6" t="s">
        <v>0</v>
      </c>
      <c r="E32000" s="6" t="s">
        <v>117</v>
      </c>
    </row>
    <row r="32001" spans="2:5" x14ac:dyDescent="0.2">
      <c r="B32001" s="6" t="s">
        <v>237</v>
      </c>
      <c r="C32001" s="6" t="s">
        <v>238</v>
      </c>
      <c r="D32001" s="6" t="s">
        <v>0</v>
      </c>
      <c r="E32001" s="6" t="s">
        <v>117</v>
      </c>
    </row>
    <row r="32002" spans="2:5" x14ac:dyDescent="0.2">
      <c r="B32002" s="6" t="s">
        <v>239</v>
      </c>
      <c r="C32002" s="6" t="s">
        <v>240</v>
      </c>
      <c r="D32002" s="6" t="s">
        <v>0</v>
      </c>
      <c r="E32002" s="6" t="s">
        <v>117</v>
      </c>
    </row>
    <row r="32003" spans="2:5" x14ac:dyDescent="0.2">
      <c r="B32003" s="6" t="s">
        <v>241</v>
      </c>
      <c r="C32003" s="6" t="s">
        <v>114</v>
      </c>
      <c r="D32003" s="6" t="s">
        <v>242</v>
      </c>
      <c r="E32003" s="6" t="s">
        <v>115</v>
      </c>
    </row>
    <row r="32004" spans="2:5" x14ac:dyDescent="0.2">
      <c r="B32004" s="6" t="s">
        <v>243</v>
      </c>
      <c r="C32004" s="6" t="s">
        <v>114</v>
      </c>
      <c r="D32004" s="6" t="s">
        <v>0</v>
      </c>
      <c r="E32004" s="6" t="s">
        <v>115</v>
      </c>
    </row>
    <row r="32005" spans="2:5" x14ac:dyDescent="0.2">
      <c r="B32005" s="6" t="s">
        <v>244</v>
      </c>
      <c r="C32005" s="6" t="s">
        <v>245</v>
      </c>
      <c r="D32005" s="6" t="s">
        <v>0</v>
      </c>
      <c r="E32005" s="6" t="s">
        <v>117</v>
      </c>
    </row>
    <row r="32006" spans="2:5" x14ac:dyDescent="0.2">
      <c r="B32006" s="6" t="s">
        <v>246</v>
      </c>
      <c r="C32006" s="6" t="s">
        <v>114</v>
      </c>
      <c r="D32006" s="6" t="s">
        <v>247</v>
      </c>
      <c r="E32006" s="6" t="s">
        <v>115</v>
      </c>
    </row>
    <row r="32007" spans="2:5" x14ac:dyDescent="0.2">
      <c r="B32007" s="6" t="s">
        <v>118</v>
      </c>
      <c r="C32007" s="6" t="s">
        <v>114</v>
      </c>
      <c r="D32007" s="6" t="s">
        <v>0</v>
      </c>
      <c r="E32007" s="6" t="s">
        <v>115</v>
      </c>
    </row>
    <row r="32008" spans="2:5" x14ac:dyDescent="0.2">
      <c r="B32008" s="6" t="s">
        <v>113</v>
      </c>
      <c r="C32008" s="6" t="s">
        <v>114</v>
      </c>
      <c r="D32008" s="6" t="s">
        <v>0</v>
      </c>
      <c r="E32008" s="6" t="s">
        <v>115</v>
      </c>
    </row>
    <row r="32009" spans="2:5" ht="25.5" x14ac:dyDescent="0.2">
      <c r="B32009" s="17" t="s">
        <v>248</v>
      </c>
      <c r="C32009" s="6" t="s">
        <v>114</v>
      </c>
      <c r="D32009" s="6" t="s">
        <v>0</v>
      </c>
      <c r="E32009" s="6" t="s">
        <v>115</v>
      </c>
    </row>
    <row r="32010" spans="2:5" x14ac:dyDescent="0.2">
      <c r="B32010" s="6" t="s">
        <v>249</v>
      </c>
      <c r="C32010" s="6" t="s">
        <v>114</v>
      </c>
      <c r="D32010" s="6" t="s">
        <v>250</v>
      </c>
      <c r="E32010" s="6" t="s">
        <v>115</v>
      </c>
    </row>
    <row r="32011" spans="2:5" ht="25.5" x14ac:dyDescent="0.2">
      <c r="B32011" s="17" t="s">
        <v>251</v>
      </c>
      <c r="C32011" s="6" t="s">
        <v>114</v>
      </c>
      <c r="D32011" s="6" t="s">
        <v>252</v>
      </c>
      <c r="E32011" s="6" t="s">
        <v>115</v>
      </c>
    </row>
    <row r="32012" spans="2:5" x14ac:dyDescent="0.2">
      <c r="B32012" s="6" t="s">
        <v>253</v>
      </c>
      <c r="C32012" s="6" t="s">
        <v>114</v>
      </c>
      <c r="D32012" s="6" t="s">
        <v>254</v>
      </c>
      <c r="E32012" s="6" t="s">
        <v>115</v>
      </c>
    </row>
    <row r="32013" spans="2:5" ht="25.5" x14ac:dyDescent="0.2">
      <c r="B32013" s="17" t="s">
        <v>255</v>
      </c>
      <c r="C32013" s="6" t="s">
        <v>256</v>
      </c>
      <c r="D32013" s="6" t="s">
        <v>257</v>
      </c>
      <c r="E32013" s="6" t="s">
        <v>117</v>
      </c>
    </row>
    <row r="32014" spans="2:5" x14ac:dyDescent="0.2">
      <c r="B32014" s="6" t="s">
        <v>119</v>
      </c>
      <c r="C32014" s="6" t="s">
        <v>0</v>
      </c>
      <c r="D32014" s="6" t="s">
        <v>0</v>
      </c>
      <c r="E32014" s="6" t="s">
        <v>120</v>
      </c>
    </row>
    <row r="32015" spans="2:5" x14ac:dyDescent="0.2">
      <c r="B32015" s="6" t="s">
        <v>118</v>
      </c>
      <c r="C32015" s="6" t="s">
        <v>114</v>
      </c>
      <c r="D32015" s="6" t="s">
        <v>0</v>
      </c>
      <c r="E32015" s="6" t="s">
        <v>115</v>
      </c>
    </row>
    <row r="32016" spans="2:5" x14ac:dyDescent="0.2">
      <c r="B32016" s="6" t="s">
        <v>113</v>
      </c>
      <c r="C32016" s="6" t="s">
        <v>114</v>
      </c>
      <c r="D32016" s="6" t="s">
        <v>0</v>
      </c>
      <c r="E32016" s="6" t="s">
        <v>115</v>
      </c>
    </row>
    <row r="32017" spans="2:5" ht="38.25" x14ac:dyDescent="0.2">
      <c r="B32017" s="17" t="s">
        <v>258</v>
      </c>
      <c r="C32017" s="6" t="s">
        <v>114</v>
      </c>
      <c r="D32017" s="6" t="s">
        <v>0</v>
      </c>
      <c r="E32017" s="6" t="s">
        <v>115</v>
      </c>
    </row>
    <row r="32018" spans="2:5" ht="51" x14ac:dyDescent="0.2">
      <c r="B32018" s="17" t="s">
        <v>259</v>
      </c>
      <c r="C32018" s="6" t="s">
        <v>114</v>
      </c>
      <c r="D32018" s="6" t="s">
        <v>0</v>
      </c>
      <c r="E32018" s="6" t="s">
        <v>115</v>
      </c>
    </row>
    <row r="32019" spans="2:5" x14ac:dyDescent="0.2">
      <c r="B32019" s="6" t="s">
        <v>260</v>
      </c>
      <c r="C32019" s="6" t="s">
        <v>114</v>
      </c>
      <c r="D32019" s="6" t="s">
        <v>0</v>
      </c>
      <c r="E32019" s="6" t="s">
        <v>115</v>
      </c>
    </row>
    <row r="32020" spans="2:5" ht="51" x14ac:dyDescent="0.2">
      <c r="B32020" s="17" t="s">
        <v>261</v>
      </c>
      <c r="C32020" s="6" t="s">
        <v>114</v>
      </c>
      <c r="D32020" s="6" t="s">
        <v>262</v>
      </c>
      <c r="E32020" s="6" t="s">
        <v>115</v>
      </c>
    </row>
    <row r="32021" spans="2:5" x14ac:dyDescent="0.2">
      <c r="B32021" s="6" t="s">
        <v>119</v>
      </c>
      <c r="C32021" s="6" t="s">
        <v>0</v>
      </c>
      <c r="D32021" s="6" t="s">
        <v>0</v>
      </c>
      <c r="E32021" s="6" t="s">
        <v>120</v>
      </c>
    </row>
    <row r="32022" spans="2:5" x14ac:dyDescent="0.2">
      <c r="B32022" s="6" t="s">
        <v>263</v>
      </c>
      <c r="C32022" s="6" t="s">
        <v>264</v>
      </c>
      <c r="D32022" s="6" t="s">
        <v>0</v>
      </c>
      <c r="E32022" s="6" t="s">
        <v>117</v>
      </c>
    </row>
    <row r="32023" spans="2:5" x14ac:dyDescent="0.2">
      <c r="B32023" s="6" t="s">
        <v>265</v>
      </c>
      <c r="C32023" s="6" t="s">
        <v>114</v>
      </c>
      <c r="D32023" s="6" t="s">
        <v>0</v>
      </c>
      <c r="E32023" s="6" t="s">
        <v>115</v>
      </c>
    </row>
    <row r="32024" spans="2:5" x14ac:dyDescent="0.2">
      <c r="B32024" s="6" t="s">
        <v>266</v>
      </c>
      <c r="C32024" s="6" t="s">
        <v>114</v>
      </c>
      <c r="D32024" s="6" t="s">
        <v>0</v>
      </c>
      <c r="E32024" s="6" t="s">
        <v>115</v>
      </c>
    </row>
    <row r="32025" spans="2:5" x14ac:dyDescent="0.2">
      <c r="B32025" s="6" t="s">
        <v>267</v>
      </c>
      <c r="C32025" s="6" t="s">
        <v>114</v>
      </c>
      <c r="D32025" s="6" t="s">
        <v>0</v>
      </c>
      <c r="E32025" s="6" t="s">
        <v>115</v>
      </c>
    </row>
    <row r="32026" spans="2:5" x14ac:dyDescent="0.2">
      <c r="B32026" s="6" t="s">
        <v>118</v>
      </c>
      <c r="C32026" s="6" t="s">
        <v>0</v>
      </c>
      <c r="D32026" s="6" t="s">
        <v>0</v>
      </c>
      <c r="E32026" s="6" t="s">
        <v>120</v>
      </c>
    </row>
    <row r="32027" spans="2:5" x14ac:dyDescent="0.2">
      <c r="B32027" s="6" t="s">
        <v>113</v>
      </c>
      <c r="C32027" s="6" t="s">
        <v>0</v>
      </c>
      <c r="D32027" s="6" t="s">
        <v>0</v>
      </c>
      <c r="E32027" s="6" t="s">
        <v>120</v>
      </c>
    </row>
    <row r="32028" spans="2:5" x14ac:dyDescent="0.2">
      <c r="B32028" s="6" t="s">
        <v>113</v>
      </c>
      <c r="C32028" s="6" t="s">
        <v>0</v>
      </c>
      <c r="D32028" s="6" t="s">
        <v>0</v>
      </c>
      <c r="E32028" s="6" t="s">
        <v>120</v>
      </c>
    </row>
    <row r="32029" spans="2:5" x14ac:dyDescent="0.2">
      <c r="B32029" s="6" t="s">
        <v>118</v>
      </c>
      <c r="C32029" s="6" t="s">
        <v>0</v>
      </c>
      <c r="D32029" s="6" t="s">
        <v>0</v>
      </c>
      <c r="E32029" s="6" t="s">
        <v>120</v>
      </c>
    </row>
    <row r="32030" spans="2:5" x14ac:dyDescent="0.2">
      <c r="B32030" s="6" t="s">
        <v>136</v>
      </c>
      <c r="C32030" s="6" t="s">
        <v>0</v>
      </c>
      <c r="D32030" s="6" t="s">
        <v>0</v>
      </c>
      <c r="E32030" s="6" t="s">
        <v>120</v>
      </c>
    </row>
    <row r="32031" spans="2:5" x14ac:dyDescent="0.2">
      <c r="B32031" s="6" t="s">
        <v>113</v>
      </c>
      <c r="C32031" s="6" t="s">
        <v>268</v>
      </c>
      <c r="D32031" s="6" t="s">
        <v>0</v>
      </c>
      <c r="E32031" s="6" t="s">
        <v>115</v>
      </c>
    </row>
    <row r="32032" spans="2:5" x14ac:dyDescent="0.2">
      <c r="B32032" s="6" t="s">
        <v>269</v>
      </c>
      <c r="C32032" s="6" t="s">
        <v>270</v>
      </c>
      <c r="D32032" s="6" t="s">
        <v>0</v>
      </c>
      <c r="E32032" s="6" t="s">
        <v>115</v>
      </c>
    </row>
    <row r="32033" spans="2:5" x14ac:dyDescent="0.2">
      <c r="B32033" s="6" t="s">
        <v>118</v>
      </c>
      <c r="C32033" s="6" t="s">
        <v>0</v>
      </c>
      <c r="D32033" s="6" t="s">
        <v>0</v>
      </c>
      <c r="E32033" s="6" t="s">
        <v>120</v>
      </c>
    </row>
    <row r="32034" spans="2:5" x14ac:dyDescent="0.2">
      <c r="B32034" s="6" t="s">
        <v>136</v>
      </c>
      <c r="C32034" s="6" t="s">
        <v>0</v>
      </c>
      <c r="D32034" s="6" t="s">
        <v>0</v>
      </c>
      <c r="E32034" s="6" t="s">
        <v>120</v>
      </c>
    </row>
    <row r="32035" spans="2:5" x14ac:dyDescent="0.2">
      <c r="B32035" s="6" t="s">
        <v>113</v>
      </c>
      <c r="C32035" s="6" t="s">
        <v>271</v>
      </c>
      <c r="D32035" s="6" t="s">
        <v>0</v>
      </c>
      <c r="E32035" s="6" t="s">
        <v>117</v>
      </c>
    </row>
    <row r="32036" spans="2:5" x14ac:dyDescent="0.2">
      <c r="B32036" s="6" t="s">
        <v>118</v>
      </c>
      <c r="C32036" s="6" t="s">
        <v>0</v>
      </c>
      <c r="D32036" s="6" t="s">
        <v>272</v>
      </c>
      <c r="E32036" s="6" t="s">
        <v>120</v>
      </c>
    </row>
    <row r="32037" spans="2:5" x14ac:dyDescent="0.2">
      <c r="B32037" s="6" t="s">
        <v>136</v>
      </c>
      <c r="C32037" s="6" t="s">
        <v>0</v>
      </c>
      <c r="D32037" s="6" t="s">
        <v>0</v>
      </c>
      <c r="E32037" s="6" t="s">
        <v>120</v>
      </c>
    </row>
    <row r="32038" spans="2:5" x14ac:dyDescent="0.2">
      <c r="B32038" s="6" t="s">
        <v>113</v>
      </c>
      <c r="C32038" s="6" t="s">
        <v>114</v>
      </c>
      <c r="D32038" s="6" t="s">
        <v>0</v>
      </c>
      <c r="E32038" s="6" t="s">
        <v>115</v>
      </c>
    </row>
    <row r="32039" spans="2:5" x14ac:dyDescent="0.2">
      <c r="B32039" s="6" t="s">
        <v>118</v>
      </c>
      <c r="C32039" s="6" t="s">
        <v>114</v>
      </c>
      <c r="D32039" s="6" t="s">
        <v>0</v>
      </c>
      <c r="E32039" s="6" t="s">
        <v>115</v>
      </c>
    </row>
    <row r="32040" spans="2:5" x14ac:dyDescent="0.2">
      <c r="B32040" s="6" t="s">
        <v>113</v>
      </c>
      <c r="C32040" s="6" t="s">
        <v>114</v>
      </c>
      <c r="D32040" s="6" t="s">
        <v>0</v>
      </c>
      <c r="E32040" s="6" t="s">
        <v>115</v>
      </c>
    </row>
    <row r="32041" spans="2:5" x14ac:dyDescent="0.2">
      <c r="B32041" s="6" t="s">
        <v>118</v>
      </c>
      <c r="C32041" s="6" t="s">
        <v>114</v>
      </c>
      <c r="D32041" s="6" t="s">
        <v>0</v>
      </c>
      <c r="E32041" s="6" t="s">
        <v>115</v>
      </c>
    </row>
    <row r="32042" spans="2:5" x14ac:dyDescent="0.2">
      <c r="B32042" s="6" t="s">
        <v>136</v>
      </c>
      <c r="C32042" s="6" t="s">
        <v>0</v>
      </c>
      <c r="D32042" s="6" t="s">
        <v>0</v>
      </c>
      <c r="E32042" s="6" t="s">
        <v>120</v>
      </c>
    </row>
    <row r="32043" spans="2:5" x14ac:dyDescent="0.2">
      <c r="B32043" s="6" t="s">
        <v>118</v>
      </c>
      <c r="C32043" s="6" t="s">
        <v>114</v>
      </c>
      <c r="D32043" s="6" t="s">
        <v>0</v>
      </c>
      <c r="E32043" s="6" t="s">
        <v>115</v>
      </c>
    </row>
    <row r="32044" spans="2:5" x14ac:dyDescent="0.2">
      <c r="B32044" s="6" t="s">
        <v>113</v>
      </c>
      <c r="C32044" s="6" t="s">
        <v>114</v>
      </c>
      <c r="D32044" s="6" t="s">
        <v>0</v>
      </c>
      <c r="E32044" s="6" t="s">
        <v>115</v>
      </c>
    </row>
    <row r="32045" spans="2:5" x14ac:dyDescent="0.2">
      <c r="B32045" s="6" t="s">
        <v>118</v>
      </c>
      <c r="C32045" s="6" t="s">
        <v>0</v>
      </c>
      <c r="D32045" s="6" t="s">
        <v>0</v>
      </c>
      <c r="E32045" s="6" t="s">
        <v>120</v>
      </c>
    </row>
    <row r="32046" spans="2:5" x14ac:dyDescent="0.2">
      <c r="B32046" s="6" t="s">
        <v>113</v>
      </c>
      <c r="C32046" s="6" t="s">
        <v>0</v>
      </c>
      <c r="D32046" s="6" t="s">
        <v>0</v>
      </c>
      <c r="E32046" s="6" t="s">
        <v>120</v>
      </c>
    </row>
    <row r="32047" spans="2:5" x14ac:dyDescent="0.2">
      <c r="B32047" s="6" t="s">
        <v>136</v>
      </c>
      <c r="C32047" s="6" t="s">
        <v>0</v>
      </c>
      <c r="D32047" s="6" t="s">
        <v>0</v>
      </c>
      <c r="E32047" s="6" t="s">
        <v>120</v>
      </c>
    </row>
    <row r="32048" spans="2:5" x14ac:dyDescent="0.2">
      <c r="B32048" s="6" t="s">
        <v>118</v>
      </c>
      <c r="C32048" s="6" t="s">
        <v>114</v>
      </c>
      <c r="D32048" s="6" t="s">
        <v>0</v>
      </c>
      <c r="E32048" s="6" t="s">
        <v>115</v>
      </c>
    </row>
    <row r="32049" spans="2:5" x14ac:dyDescent="0.2">
      <c r="B32049" s="6" t="s">
        <v>113</v>
      </c>
      <c r="C32049" s="6" t="s">
        <v>0</v>
      </c>
      <c r="D32049" s="6" t="s">
        <v>0</v>
      </c>
      <c r="E32049" s="6" t="s">
        <v>120</v>
      </c>
    </row>
    <row r="32050" spans="2:5" x14ac:dyDescent="0.2">
      <c r="B32050" s="6" t="s">
        <v>113</v>
      </c>
      <c r="C32050" s="6" t="s">
        <v>0</v>
      </c>
      <c r="D32050" s="6" t="s">
        <v>0</v>
      </c>
      <c r="E32050" s="6" t="s">
        <v>120</v>
      </c>
    </row>
    <row r="32051" spans="2:5" x14ac:dyDescent="0.2">
      <c r="B32051" s="6" t="s">
        <v>118</v>
      </c>
      <c r="C32051" s="6" t="s">
        <v>0</v>
      </c>
      <c r="D32051" s="6" t="s">
        <v>0</v>
      </c>
      <c r="E32051" s="6" t="s">
        <v>120</v>
      </c>
    </row>
    <row r="32052" spans="2:5" x14ac:dyDescent="0.2">
      <c r="B32052" s="6" t="s">
        <v>136</v>
      </c>
      <c r="C32052" s="6" t="s">
        <v>0</v>
      </c>
      <c r="D32052" s="6" t="s">
        <v>0</v>
      </c>
      <c r="E32052" s="6" t="s">
        <v>120</v>
      </c>
    </row>
    <row r="32053" spans="2:5" x14ac:dyDescent="0.2">
      <c r="B32053" s="6" t="s">
        <v>118</v>
      </c>
      <c r="C32053" s="6" t="s">
        <v>0</v>
      </c>
      <c r="D32053" s="6" t="s">
        <v>0</v>
      </c>
      <c r="E32053" s="6" t="s">
        <v>120</v>
      </c>
    </row>
    <row r="32054" spans="2:5" x14ac:dyDescent="0.2">
      <c r="B32054" s="6" t="s">
        <v>113</v>
      </c>
      <c r="C32054" s="6" t="s">
        <v>0</v>
      </c>
      <c r="D32054" s="6" t="s">
        <v>0</v>
      </c>
      <c r="E32054" s="6" t="s">
        <v>120</v>
      </c>
    </row>
    <row r="32055" spans="2:5" x14ac:dyDescent="0.2">
      <c r="B32055" s="6" t="s">
        <v>113</v>
      </c>
      <c r="C32055" s="6" t="s">
        <v>0</v>
      </c>
      <c r="D32055" s="6" t="s">
        <v>0</v>
      </c>
      <c r="E32055" s="6" t="s">
        <v>120</v>
      </c>
    </row>
    <row r="32056" spans="2:5" x14ac:dyDescent="0.2">
      <c r="B32056" s="6" t="s">
        <v>118</v>
      </c>
      <c r="C32056" s="6" t="s">
        <v>0</v>
      </c>
      <c r="D32056" s="6" t="s">
        <v>0</v>
      </c>
      <c r="E32056" s="6" t="s">
        <v>120</v>
      </c>
    </row>
    <row r="32057" spans="2:5" x14ac:dyDescent="0.2">
      <c r="B32057" s="6" t="s">
        <v>136</v>
      </c>
      <c r="C32057" s="6" t="s">
        <v>0</v>
      </c>
      <c r="D32057" s="6" t="s">
        <v>0</v>
      </c>
      <c r="E32057" s="6" t="s">
        <v>120</v>
      </c>
    </row>
    <row r="32058" spans="2:5" ht="409.5" x14ac:dyDescent="0.2">
      <c r="B32058" s="6" t="s">
        <v>118</v>
      </c>
      <c r="C32058" s="17" t="s">
        <v>273</v>
      </c>
      <c r="D32058" s="6" t="s">
        <v>0</v>
      </c>
      <c r="E32058" s="6" t="s">
        <v>117</v>
      </c>
    </row>
    <row r="32059" spans="2:5" x14ac:dyDescent="0.2">
      <c r="B32059" s="6" t="s">
        <v>113</v>
      </c>
      <c r="C32059" s="6" t="s">
        <v>0</v>
      </c>
      <c r="D32059" s="6" t="s">
        <v>0</v>
      </c>
      <c r="E32059" s="6" t="s">
        <v>120</v>
      </c>
    </row>
    <row r="32060" spans="2:5" x14ac:dyDescent="0.2">
      <c r="B32060" s="6" t="s">
        <v>113</v>
      </c>
      <c r="C32060" s="6" t="s">
        <v>114</v>
      </c>
      <c r="D32060" s="6" t="s">
        <v>0</v>
      </c>
      <c r="E32060" s="6" t="s">
        <v>115</v>
      </c>
    </row>
    <row r="32061" spans="2:5" x14ac:dyDescent="0.2">
      <c r="B32061" s="6" t="s">
        <v>118</v>
      </c>
      <c r="C32061" s="6" t="s">
        <v>274</v>
      </c>
      <c r="D32061" s="6" t="s">
        <v>0</v>
      </c>
      <c r="E32061" s="6" t="s">
        <v>117</v>
      </c>
    </row>
    <row r="32062" spans="2:5" x14ac:dyDescent="0.2">
      <c r="B32062" s="6" t="s">
        <v>113</v>
      </c>
      <c r="C32062" s="6" t="s">
        <v>114</v>
      </c>
      <c r="D32062" s="6" t="s">
        <v>0</v>
      </c>
      <c r="E32062" s="6" t="s">
        <v>115</v>
      </c>
    </row>
    <row r="32063" spans="2:5" x14ac:dyDescent="0.2">
      <c r="B32063" s="6" t="s">
        <v>118</v>
      </c>
      <c r="C32063" s="6" t="s">
        <v>275</v>
      </c>
      <c r="D32063" s="6" t="s">
        <v>0</v>
      </c>
      <c r="E32063" s="6" t="s">
        <v>117</v>
      </c>
    </row>
    <row r="32064" spans="2:5" x14ac:dyDescent="0.2">
      <c r="B32064" s="6" t="s">
        <v>136</v>
      </c>
      <c r="C32064" s="6" t="s">
        <v>0</v>
      </c>
      <c r="D32064" s="6" t="s">
        <v>0</v>
      </c>
      <c r="E32064" s="6" t="s">
        <v>120</v>
      </c>
    </row>
    <row r="32065" spans="2:5" x14ac:dyDescent="0.2">
      <c r="B32065" s="6" t="s">
        <v>113</v>
      </c>
      <c r="C32065" s="6" t="s">
        <v>114</v>
      </c>
      <c r="D32065" s="6" t="s">
        <v>0</v>
      </c>
      <c r="E32065" s="6" t="s">
        <v>115</v>
      </c>
    </row>
    <row r="32066" spans="2:5" x14ac:dyDescent="0.2">
      <c r="B32066" s="6" t="s">
        <v>118</v>
      </c>
      <c r="C32066" s="6" t="s">
        <v>275</v>
      </c>
      <c r="D32066" s="6" t="s">
        <v>0</v>
      </c>
      <c r="E32066" s="6" t="s">
        <v>117</v>
      </c>
    </row>
    <row r="32067" spans="2:5" x14ac:dyDescent="0.2">
      <c r="B32067" s="6" t="s">
        <v>136</v>
      </c>
      <c r="C32067" s="6" t="s">
        <v>0</v>
      </c>
      <c r="D32067" s="6" t="s">
        <v>0</v>
      </c>
      <c r="E32067" s="6" t="s">
        <v>120</v>
      </c>
    </row>
    <row r="32068" spans="2:5" x14ac:dyDescent="0.2">
      <c r="B32068" s="6" t="s">
        <v>113</v>
      </c>
      <c r="C32068" s="6" t="s">
        <v>114</v>
      </c>
      <c r="D32068" s="6" t="s">
        <v>0</v>
      </c>
      <c r="E32068" s="6" t="s">
        <v>115</v>
      </c>
    </row>
    <row r="32069" spans="2:5" x14ac:dyDescent="0.2">
      <c r="B32069" s="6" t="s">
        <v>118</v>
      </c>
      <c r="C32069" s="6" t="s">
        <v>275</v>
      </c>
      <c r="D32069" s="6" t="s">
        <v>0</v>
      </c>
      <c r="E32069" s="6" t="s">
        <v>117</v>
      </c>
    </row>
    <row r="32070" spans="2:5" x14ac:dyDescent="0.2">
      <c r="B32070" s="6" t="s">
        <v>136</v>
      </c>
      <c r="C32070" s="6" t="s">
        <v>0</v>
      </c>
      <c r="D32070" s="6" t="s">
        <v>0</v>
      </c>
      <c r="E32070" s="6" t="s">
        <v>120</v>
      </c>
    </row>
    <row r="32071" spans="2:5" x14ac:dyDescent="0.2">
      <c r="B32071" s="6" t="s">
        <v>276</v>
      </c>
      <c r="C32071" s="6" t="s">
        <v>277</v>
      </c>
      <c r="D32071" s="6" t="s">
        <v>0</v>
      </c>
      <c r="E32071" s="6" t="s">
        <v>117</v>
      </c>
    </row>
    <row r="32072" spans="2:5" x14ac:dyDescent="0.2">
      <c r="B32072" s="6" t="s">
        <v>278</v>
      </c>
      <c r="C32072" s="6" t="s">
        <v>277</v>
      </c>
      <c r="D32072" s="6" t="s">
        <v>0</v>
      </c>
      <c r="E32072" s="6" t="s">
        <v>117</v>
      </c>
    </row>
    <row r="32073" spans="2:5" x14ac:dyDescent="0.2">
      <c r="B32073" s="6" t="s">
        <v>116</v>
      </c>
      <c r="C32073" s="6" t="s">
        <v>279</v>
      </c>
      <c r="D32073" s="6" t="s">
        <v>0</v>
      </c>
      <c r="E32073" s="6" t="s">
        <v>117</v>
      </c>
    </row>
    <row r="32074" spans="2:5" x14ac:dyDescent="0.2">
      <c r="B32074" s="6" t="s">
        <v>136</v>
      </c>
      <c r="C32074" s="6" t="s">
        <v>0</v>
      </c>
      <c r="D32074" s="6" t="s">
        <v>0</v>
      </c>
      <c r="E32074" s="6" t="s">
        <v>120</v>
      </c>
    </row>
    <row r="32075" spans="2:5" x14ac:dyDescent="0.2">
      <c r="B32075" s="6" t="s">
        <v>113</v>
      </c>
      <c r="C32075" s="6" t="s">
        <v>0</v>
      </c>
      <c r="D32075" s="6" t="s">
        <v>0</v>
      </c>
      <c r="E32075" s="6" t="s">
        <v>120</v>
      </c>
    </row>
    <row r="32076" spans="2:5" x14ac:dyDescent="0.2">
      <c r="B32076" s="6" t="s">
        <v>118</v>
      </c>
      <c r="C32076" s="6" t="s">
        <v>280</v>
      </c>
      <c r="D32076" s="6" t="s">
        <v>0</v>
      </c>
      <c r="E32076" s="6" t="s">
        <v>117</v>
      </c>
    </row>
    <row r="32077" spans="2:5" x14ac:dyDescent="0.2">
      <c r="B32077" s="6" t="s">
        <v>136</v>
      </c>
      <c r="C32077" s="6" t="s">
        <v>0</v>
      </c>
      <c r="D32077" s="6" t="s">
        <v>0</v>
      </c>
      <c r="E32077" s="6" t="s">
        <v>120</v>
      </c>
    </row>
    <row r="32078" spans="2:5" x14ac:dyDescent="0.2">
      <c r="B32078" s="6" t="s">
        <v>113</v>
      </c>
      <c r="C32078" s="6" t="s">
        <v>114</v>
      </c>
      <c r="D32078" s="6" t="s">
        <v>0</v>
      </c>
      <c r="E32078" s="6" t="s">
        <v>115</v>
      </c>
    </row>
    <row r="32079" spans="2:5" x14ac:dyDescent="0.2">
      <c r="B32079" s="6" t="s">
        <v>118</v>
      </c>
      <c r="C32079" s="6" t="s">
        <v>281</v>
      </c>
      <c r="D32079" s="6" t="s">
        <v>0</v>
      </c>
      <c r="E32079" s="6" t="s">
        <v>117</v>
      </c>
    </row>
    <row r="32080" spans="2:5" x14ac:dyDescent="0.2">
      <c r="B32080" s="6" t="s">
        <v>136</v>
      </c>
      <c r="C32080" s="6" t="s">
        <v>0</v>
      </c>
      <c r="D32080" s="6" t="s">
        <v>0</v>
      </c>
      <c r="E32080" s="6" t="s">
        <v>120</v>
      </c>
    </row>
    <row r="32081" spans="2:5" x14ac:dyDescent="0.2">
      <c r="B32081" s="6" t="s">
        <v>118</v>
      </c>
      <c r="C32081" s="6" t="s">
        <v>282</v>
      </c>
      <c r="D32081" s="6" t="s">
        <v>0</v>
      </c>
      <c r="E32081" s="6" t="s">
        <v>117</v>
      </c>
    </row>
    <row r="32082" spans="2:5" x14ac:dyDescent="0.2">
      <c r="B32082" s="6" t="s">
        <v>113</v>
      </c>
      <c r="C32082" s="6" t="s">
        <v>0</v>
      </c>
      <c r="D32082" s="6" t="s">
        <v>0</v>
      </c>
      <c r="E32082" s="6" t="s">
        <v>120</v>
      </c>
    </row>
    <row r="32083" spans="2:5" x14ac:dyDescent="0.2">
      <c r="B32083" s="6" t="s">
        <v>136</v>
      </c>
      <c r="C32083" s="6" t="s">
        <v>0</v>
      </c>
      <c r="D32083" s="6" t="s">
        <v>0</v>
      </c>
      <c r="E32083" s="6" t="s">
        <v>120</v>
      </c>
    </row>
    <row r="32084" spans="2:5" x14ac:dyDescent="0.2">
      <c r="B32084" s="6" t="s">
        <v>118</v>
      </c>
      <c r="C32084" s="6" t="s">
        <v>114</v>
      </c>
      <c r="D32084" s="6" t="s">
        <v>0</v>
      </c>
      <c r="E32084" s="6" t="s">
        <v>117</v>
      </c>
    </row>
    <row r="32085" spans="2:5" x14ac:dyDescent="0.2">
      <c r="B32085" s="6" t="s">
        <v>113</v>
      </c>
      <c r="C32085" s="6" t="s">
        <v>0</v>
      </c>
      <c r="D32085" s="6" t="s">
        <v>0</v>
      </c>
      <c r="E32085" s="6" t="s">
        <v>120</v>
      </c>
    </row>
    <row r="32086" spans="2:5" x14ac:dyDescent="0.2">
      <c r="B32086" s="6" t="s">
        <v>136</v>
      </c>
      <c r="C32086" s="6" t="s">
        <v>0</v>
      </c>
      <c r="D32086" s="6" t="s">
        <v>0</v>
      </c>
      <c r="E32086" s="6" t="s">
        <v>120</v>
      </c>
    </row>
  </sheetData>
  <sheetProtection password="C71F" sheet="1" objects="1" scenarios="1"/>
  <mergeCells count="51">
    <mergeCell ref="B89:I89"/>
    <mergeCell ref="B85:I85"/>
    <mergeCell ref="B83:G83"/>
    <mergeCell ref="B81:G81"/>
    <mergeCell ref="B79:G79"/>
    <mergeCell ref="B77:G77"/>
    <mergeCell ref="B75:G75"/>
    <mergeCell ref="B73:G73"/>
    <mergeCell ref="B71:G71"/>
    <mergeCell ref="B69:G69"/>
    <mergeCell ref="B67:G67"/>
    <mergeCell ref="B65:G65"/>
    <mergeCell ref="B63:G63"/>
    <mergeCell ref="B61:G61"/>
    <mergeCell ref="B59:G59"/>
    <mergeCell ref="B57:G57"/>
    <mergeCell ref="B55:G55"/>
    <mergeCell ref="B53:G53"/>
    <mergeCell ref="B47:G47"/>
    <mergeCell ref="B49:G49"/>
    <mergeCell ref="B51:G51"/>
    <mergeCell ref="B45:G45"/>
    <mergeCell ref="B43:G43"/>
    <mergeCell ref="B41:G41"/>
    <mergeCell ref="B39:G39"/>
    <mergeCell ref="B37:G37"/>
    <mergeCell ref="B35:G35"/>
    <mergeCell ref="B33:G33"/>
    <mergeCell ref="B31:G31"/>
    <mergeCell ref="B29:G29"/>
    <mergeCell ref="B27:G27"/>
    <mergeCell ref="F24:H24"/>
    <mergeCell ref="F22:H22"/>
    <mergeCell ref="B25:I25"/>
    <mergeCell ref="F20:H20"/>
    <mergeCell ref="F18:H18"/>
    <mergeCell ref="B23:I23"/>
    <mergeCell ref="F16:H16"/>
    <mergeCell ref="B21:I21"/>
    <mergeCell ref="B19:I19"/>
    <mergeCell ref="B17:I17"/>
    <mergeCell ref="B15:I15"/>
    <mergeCell ref="B6:I6"/>
    <mergeCell ref="B5:I5"/>
    <mergeCell ref="B2:I4"/>
    <mergeCell ref="B1:I1"/>
    <mergeCell ref="B13:I13"/>
    <mergeCell ref="B11:I11"/>
    <mergeCell ref="B9:I9"/>
    <mergeCell ref="B8:I8"/>
    <mergeCell ref="B7:I7"/>
  </mergeCells>
  <conditionalFormatting sqref="H27 H29 H31 H33 H35 H37 H39 H45 H47 H49 H51 H53 H57 H65 H67 H69 H71 H73 H75 H77 H79 H81 H83">
    <cfRule type="cellIs" dxfId="65" priority="1" operator="notEqual">
      <formula>""</formula>
    </cfRule>
  </conditionalFormatting>
  <conditionalFormatting sqref="H28">
    <cfRule type="expression" dxfId="64" priority="2">
      <formula>$M$27="2"</formula>
    </cfRule>
    <cfRule type="expression" dxfId="63" priority="3">
      <formula>$M$27="1"</formula>
    </cfRule>
  </conditionalFormatting>
  <conditionalFormatting sqref="J28">
    <cfRule type="expression" dxfId="62" priority="4">
      <formula>$J$28&lt;&gt;""</formula>
    </cfRule>
  </conditionalFormatting>
  <conditionalFormatting sqref="H30">
    <cfRule type="expression" dxfId="61" priority="5">
      <formula>$M$29="2"</formula>
    </cfRule>
    <cfRule type="expression" dxfId="60" priority="6">
      <formula>$M$29="1"</formula>
    </cfRule>
  </conditionalFormatting>
  <conditionalFormatting sqref="J30">
    <cfRule type="expression" dxfId="59" priority="7">
      <formula>$J$30&lt;&gt;""</formula>
    </cfRule>
  </conditionalFormatting>
  <conditionalFormatting sqref="H32">
    <cfRule type="expression" dxfId="58" priority="8">
      <formula>$M$31="2"</formula>
    </cfRule>
    <cfRule type="expression" dxfId="57" priority="9">
      <formula>$M$31="1"</formula>
    </cfRule>
  </conditionalFormatting>
  <conditionalFormatting sqref="H34">
    <cfRule type="expression" dxfId="56" priority="10">
      <formula>$M$33="2"</formula>
    </cfRule>
    <cfRule type="expression" dxfId="55" priority="11">
      <formula>$M$33="1"</formula>
    </cfRule>
  </conditionalFormatting>
  <conditionalFormatting sqref="J34">
    <cfRule type="expression" dxfId="54" priority="12">
      <formula>$J$34&lt;&gt;""</formula>
    </cfRule>
  </conditionalFormatting>
  <conditionalFormatting sqref="H36">
    <cfRule type="expression" dxfId="53" priority="13">
      <formula>$M$35="2"</formula>
    </cfRule>
    <cfRule type="expression" dxfId="52" priority="14">
      <formula>$M$35="1"</formula>
    </cfRule>
  </conditionalFormatting>
  <conditionalFormatting sqref="H38">
    <cfRule type="expression" dxfId="51" priority="15">
      <formula>$M$37="2"</formula>
    </cfRule>
    <cfRule type="expression" dxfId="50" priority="16">
      <formula>$M$37="1"</formula>
    </cfRule>
  </conditionalFormatting>
  <conditionalFormatting sqref="J38">
    <cfRule type="expression" dxfId="49" priority="17">
      <formula>$J$38&lt;&gt;""</formula>
    </cfRule>
  </conditionalFormatting>
  <conditionalFormatting sqref="H40">
    <cfRule type="expression" dxfId="48" priority="18">
      <formula>$M$39="2"</formula>
    </cfRule>
    <cfRule type="expression" dxfId="47" priority="19">
      <formula>$M$39="1"</formula>
    </cfRule>
  </conditionalFormatting>
  <conditionalFormatting sqref="H46">
    <cfRule type="expression" dxfId="46" priority="20">
      <formula>$M$45="2"</formula>
    </cfRule>
    <cfRule type="expression" dxfId="45" priority="21">
      <formula>$M$45="1"</formula>
    </cfRule>
  </conditionalFormatting>
  <conditionalFormatting sqref="H48">
    <cfRule type="expression" dxfId="44" priority="22">
      <formula>$M$47="2"</formula>
    </cfRule>
    <cfRule type="expression" dxfId="43" priority="23">
      <formula>$M$47="1"</formula>
    </cfRule>
  </conditionalFormatting>
  <conditionalFormatting sqref="J48">
    <cfRule type="expression" dxfId="42" priority="24">
      <formula>$J$48&lt;&gt;""</formula>
    </cfRule>
  </conditionalFormatting>
  <conditionalFormatting sqref="H50">
    <cfRule type="expression" dxfId="41" priority="25">
      <formula>$M$49="2"</formula>
    </cfRule>
    <cfRule type="expression" dxfId="40" priority="26">
      <formula>$M$49="1"</formula>
    </cfRule>
  </conditionalFormatting>
  <conditionalFormatting sqref="H52">
    <cfRule type="expression" dxfId="39" priority="27">
      <formula>$M$51="2"</formula>
    </cfRule>
    <cfRule type="expression" dxfId="38" priority="28">
      <formula>$M$51="1"</formula>
    </cfRule>
  </conditionalFormatting>
  <conditionalFormatting sqref="H54">
    <cfRule type="expression" dxfId="37" priority="29">
      <formula>$M$53="2"</formula>
    </cfRule>
    <cfRule type="expression" dxfId="36" priority="30">
      <formula>$M$53="1"</formula>
    </cfRule>
  </conditionalFormatting>
  <conditionalFormatting sqref="H58">
    <cfRule type="expression" dxfId="35" priority="31">
      <formula>$M$57="2"</formula>
    </cfRule>
    <cfRule type="expression" dxfId="34" priority="32">
      <formula>$M$57="1"</formula>
    </cfRule>
  </conditionalFormatting>
  <conditionalFormatting sqref="H66">
    <cfRule type="expression" dxfId="33" priority="33">
      <formula>$M$65="2"</formula>
    </cfRule>
    <cfRule type="expression" dxfId="32" priority="34">
      <formula>$M$65="1"</formula>
    </cfRule>
  </conditionalFormatting>
  <conditionalFormatting sqref="H68">
    <cfRule type="expression" dxfId="31" priority="35">
      <formula>$M$67="2"</formula>
    </cfRule>
    <cfRule type="expression" dxfId="30" priority="36">
      <formula>$M$67="1"</formula>
    </cfRule>
  </conditionalFormatting>
  <conditionalFormatting sqref="H70">
    <cfRule type="expression" dxfId="29" priority="37">
      <formula>$M$69="2"</formula>
    </cfRule>
    <cfRule type="expression" dxfId="28" priority="38">
      <formula>$M$69="1"</formula>
    </cfRule>
  </conditionalFormatting>
  <conditionalFormatting sqref="H72">
    <cfRule type="expression" dxfId="27" priority="39">
      <formula>$M$71="2"</formula>
    </cfRule>
    <cfRule type="expression" dxfId="26" priority="40">
      <formula>$M$71="1"</formula>
    </cfRule>
  </conditionalFormatting>
  <conditionalFormatting sqref="H74">
    <cfRule type="expression" dxfId="25" priority="41">
      <formula>$M$73="2"</formula>
    </cfRule>
    <cfRule type="expression" dxfId="24" priority="42">
      <formula>$M$73="1"</formula>
    </cfRule>
  </conditionalFormatting>
  <conditionalFormatting sqref="H76">
    <cfRule type="expression" dxfId="23" priority="43">
      <formula>$M$75="2"</formula>
    </cfRule>
    <cfRule type="expression" dxfId="22" priority="44">
      <formula>$M$75="1"</formula>
    </cfRule>
  </conditionalFormatting>
  <conditionalFormatting sqref="H78">
    <cfRule type="expression" dxfId="21" priority="45">
      <formula>$M$77="2"</formula>
    </cfRule>
    <cfRule type="expression" dxfId="20" priority="46">
      <formula>$M$77="1"</formula>
    </cfRule>
  </conditionalFormatting>
  <conditionalFormatting sqref="H80">
    <cfRule type="expression" dxfId="19" priority="47">
      <formula>$M$79="2"</formula>
    </cfRule>
    <cfRule type="expression" dxfId="18" priority="48">
      <formula>$M$79="1"</formula>
    </cfRule>
  </conditionalFormatting>
  <conditionalFormatting sqref="H82">
    <cfRule type="expression" dxfId="17" priority="49">
      <formula>$M$81="2"</formula>
    </cfRule>
    <cfRule type="expression" dxfId="16" priority="50">
      <formula>$M$81="1"</formula>
    </cfRule>
  </conditionalFormatting>
  <conditionalFormatting sqref="H84">
    <cfRule type="expression" dxfId="15" priority="51">
      <formula>$M$83="2"</formula>
    </cfRule>
    <cfRule type="expression" dxfId="14" priority="52">
      <formula>$M$83="1"</formula>
    </cfRule>
  </conditionalFormatting>
  <dataValidations count="31">
    <dataValidation type="textLength" showInputMessage="1" showErrorMessage="1" errorTitle="RSAM" error="Maximum number of characters cannot exceed {0}" sqref="F16:H16 F18:H18 F20:H20 F22:H22 F24:H24" xr:uid="{00000000-0002-0000-0100-000000000000}">
      <formula1>0</formula1>
      <formula2>3900</formula2>
    </dataValidation>
    <dataValidation type="custom" showInputMessage="1" showErrorMessage="1" errorTitle="RSAM" error="You cannot enter Name having '%' character." sqref="F10" xr:uid="{00000000-0002-0000-0100-000001000000}">
      <formula1>IF(ISERROR(FIND("%",$F$10,1)),FALSE,TRUE)=FALSE</formula1>
    </dataValidation>
    <dataValidation type="list" showInputMessage="1" showErrorMessage="1" errorTitle="RSAM" error="Select an appropriate value from the list." sqref="F28" xr:uid="{00000000-0002-0000-0100-000002000000}">
      <formula1>$B$32000:$B$32003</formula1>
    </dataValidation>
    <dataValidation type="list" showInputMessage="1" showErrorMessage="1" errorTitle="RSAM" error="Select an appropriate value from the list." sqref="F30" xr:uid="{00000000-0002-0000-0100-000003000000}">
      <formula1>$B$32004:$B$32006</formula1>
    </dataValidation>
    <dataValidation type="list" showInputMessage="1" showErrorMessage="1" errorTitle="RSAM" error="Select an appropriate value from the list." sqref="F32" xr:uid="{00000000-0002-0000-0100-000004000000}">
      <formula1>$B$32007:$B$32008</formula1>
    </dataValidation>
    <dataValidation type="list" showInputMessage="1" showErrorMessage="1" errorTitle="RSAM" error="Select an appropriate value from the list." sqref="F34" xr:uid="{00000000-0002-0000-0100-000005000000}">
      <formula1>$B$32009:$B$32014</formula1>
    </dataValidation>
    <dataValidation type="list" showInputMessage="1" showErrorMessage="1" errorTitle="RSAM" error="Select an appropriate value from the list." sqref="F36" xr:uid="{00000000-0002-0000-0100-000006000000}">
      <formula1>$B$32015:$B$32016</formula1>
    </dataValidation>
    <dataValidation type="list" showInputMessage="1" showErrorMessage="1" errorTitle="RSAM" error="Select an appropriate value from the list." sqref="F38" xr:uid="{00000000-0002-0000-0100-000007000000}">
      <formula1>$B$32017:$B$32021</formula1>
    </dataValidation>
    <dataValidation type="list" showInputMessage="1" showErrorMessage="1" errorTitle="RSAM" error="Select an appropriate value from the list." sqref="F40" xr:uid="{00000000-0002-0000-0100-000008000000}">
      <formula1>$B$32022:$B$32025</formula1>
    </dataValidation>
    <dataValidation type="list" showInputMessage="1" showErrorMessage="1" errorTitle="RSAM" error="Select an appropriate value from the list." sqref="F42" xr:uid="{00000000-0002-0000-0100-000009000000}">
      <formula1>$B$32026:$B$32027</formula1>
    </dataValidation>
    <dataValidation type="list" showInputMessage="1" showErrorMessage="1" errorTitle="RSAM" error="Select an appropriate value from the list." sqref="F44" xr:uid="{00000000-0002-0000-0100-00000A000000}">
      <formula1>$B$32028:$B$32030</formula1>
    </dataValidation>
    <dataValidation type="list" showInputMessage="1" showErrorMessage="1" errorTitle="RSAM" error="Select an appropriate value from the list." sqref="F46" xr:uid="{00000000-0002-0000-0100-00000B000000}">
      <formula1>$B$32031:$B$32034</formula1>
    </dataValidation>
    <dataValidation type="list" showInputMessage="1" showErrorMessage="1" errorTitle="RSAM" error="Select an appropriate value from the list." sqref="F48" xr:uid="{00000000-0002-0000-0100-00000C000000}">
      <formula1>$B$32035:$B$32037</formula1>
    </dataValidation>
    <dataValidation type="list" showInputMessage="1" showErrorMessage="1" errorTitle="RSAM" error="Select an appropriate value from the list." sqref="F50" xr:uid="{00000000-0002-0000-0100-00000D000000}">
      <formula1>$B$32038:$B$32039</formula1>
    </dataValidation>
    <dataValidation type="list" showInputMessage="1" showErrorMessage="1" errorTitle="RSAM" error="Select an appropriate value from the list." sqref="F52" xr:uid="{00000000-0002-0000-0100-00000E000000}">
      <formula1>$B$32040:$B$32042</formula1>
    </dataValidation>
    <dataValidation type="list" showInputMessage="1" showErrorMessage="1" errorTitle="RSAM" error="Select an appropriate value from the list." sqref="F54" xr:uid="{00000000-0002-0000-0100-00000F000000}">
      <formula1>$B$32043:$B$32044</formula1>
    </dataValidation>
    <dataValidation type="list" showInputMessage="1" showErrorMessage="1" errorTitle="RSAM" error="Select an appropriate value from the list." sqref="F56" xr:uid="{00000000-0002-0000-0100-000010000000}">
      <formula1>$B$32045:$B$32047</formula1>
    </dataValidation>
    <dataValidation type="list" showInputMessage="1" showErrorMessage="1" errorTitle="RSAM" error="Select an appropriate value from the list." sqref="F58" xr:uid="{00000000-0002-0000-0100-000011000000}">
      <formula1>$B$32048:$B$32049</formula1>
    </dataValidation>
    <dataValidation type="list" showInputMessage="1" showErrorMessage="1" errorTitle="RSAM" error="Select an appropriate value from the list." sqref="F60" xr:uid="{00000000-0002-0000-0100-000012000000}">
      <formula1>$B$32050:$B$32052</formula1>
    </dataValidation>
    <dataValidation type="list" showInputMessage="1" showErrorMessage="1" errorTitle="RSAM" error="Select an appropriate value from the list." sqref="F62" xr:uid="{00000000-0002-0000-0100-000013000000}">
      <formula1>$B$32053:$B$32054</formula1>
    </dataValidation>
    <dataValidation type="list" showInputMessage="1" showErrorMessage="1" errorTitle="RSAM" error="Select an appropriate value from the list." sqref="F64" xr:uid="{00000000-0002-0000-0100-000014000000}">
      <formula1>$B$32055:$B$32057</formula1>
    </dataValidation>
    <dataValidation type="list" showInputMessage="1" showErrorMessage="1" errorTitle="RSAM" error="Select an appropriate value from the list." sqref="F66" xr:uid="{00000000-0002-0000-0100-000015000000}">
      <formula1>$B$32058:$B$32059</formula1>
    </dataValidation>
    <dataValidation type="list" showInputMessage="1" showErrorMessage="1" errorTitle="RSAM" error="Select an appropriate value from the list." sqref="F68" xr:uid="{00000000-0002-0000-0100-000016000000}">
      <formula1>$B$32060:$B$32061</formula1>
    </dataValidation>
    <dataValidation type="list" showInputMessage="1" showErrorMessage="1" errorTitle="RSAM" error="Select an appropriate value from the list." sqref="F70" xr:uid="{00000000-0002-0000-0100-000017000000}">
      <formula1>$B$32062:$B$32064</formula1>
    </dataValidation>
    <dataValidation type="list" showInputMessage="1" showErrorMessage="1" errorTitle="RSAM" error="Select an appropriate value from the list." sqref="F72" xr:uid="{00000000-0002-0000-0100-000018000000}">
      <formula1>$B$32065:$B$32067</formula1>
    </dataValidation>
    <dataValidation type="list" showInputMessage="1" showErrorMessage="1" errorTitle="RSAM" error="Select an appropriate value from the list." sqref="F74" xr:uid="{00000000-0002-0000-0100-000019000000}">
      <formula1>$B$32068:$B$32070</formula1>
    </dataValidation>
    <dataValidation type="list" showInputMessage="1" showErrorMessage="1" errorTitle="RSAM" error="Select an appropriate value from the list." sqref="F76" xr:uid="{00000000-0002-0000-0100-00001A000000}">
      <formula1>$B$32071:$B$32074</formula1>
    </dataValidation>
    <dataValidation type="list" showInputMessage="1" showErrorMessage="1" errorTitle="RSAM" error="Select an appropriate value from the list." sqref="F78" xr:uid="{00000000-0002-0000-0100-00001B000000}">
      <formula1>$B$32075:$B$32077</formula1>
    </dataValidation>
    <dataValidation type="list" showInputMessage="1" showErrorMessage="1" errorTitle="RSAM" error="Select an appropriate value from the list." sqref="F80" xr:uid="{00000000-0002-0000-0100-00001C000000}">
      <formula1>$B$32078:$B$32080</formula1>
    </dataValidation>
    <dataValidation type="list" showInputMessage="1" showErrorMessage="1" errorTitle="RSAM" error="Select an appropriate value from the list." sqref="F82" xr:uid="{00000000-0002-0000-0100-00001D000000}">
      <formula1>$B$32081:$B$32083</formula1>
    </dataValidation>
    <dataValidation type="list" showInputMessage="1" showErrorMessage="1" errorTitle="RSAM" error="Select an appropriate value from the list." sqref="F84" xr:uid="{00000000-0002-0000-0100-00001E000000}">
      <formula1>$B$32084:$B$32086</formula1>
    </dataValidation>
  </dataValidation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700EFB-2BB0-400B-B5F3-724A14452B33}"/>
</file>

<file path=customXml/itemProps2.xml><?xml version="1.0" encoding="utf-8"?>
<ds:datastoreItem xmlns:ds="http://schemas.openxmlformats.org/officeDocument/2006/customXml" ds:itemID="{D56C75D7-F4B1-4750-B206-A76DE5397FF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6AC13D0B-5D6F-409A-A737-F8BAFAB5AF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B21C100-D53B-4481-B632-8EC30A83D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Controls - Standard</vt:lpstr>
      <vt:lpstr>System Level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Rasmussen, Sandra C</dc:creator>
  <cp:lastModifiedBy>Bruno Bendavid</cp:lastModifiedBy>
  <dcterms:created xsi:type="dcterms:W3CDTF">2020-08-21T15:36:52Z</dcterms:created>
  <dcterms:modified xsi:type="dcterms:W3CDTF">2020-08-25T22:08:18Z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ced2fd1d-94fe-4760-88b7-ed646126afb7</vt:lpwstr>
  </property>
  <property fmtid="{D5CDD505-2E9C-101B-9397-08002B2CF9AE}" pid="4" name="Order">
    <vt:r8>62200</vt:r8>
  </property>
  <property fmtid="{D5CDD505-2E9C-101B-9397-08002B2CF9AE}" pid="5" name="_ExtendedDescription">
    <vt:lpwstr/>
  </property>
</Properties>
</file>