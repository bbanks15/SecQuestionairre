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tables/table1.xml" ContentType="application/vnd.openxmlformats-officedocument.spreadsheetml.table+xml"/>
  <Override PartName="/xl/calcChain.xml" ContentType="application/vnd.openxmlformats-officedocument.spreadsheetml.calcChain+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23"/>
  <workbookPr/>
  <mc:AlternateContent xmlns:mc="http://schemas.openxmlformats.org/markup-compatibility/2006">
    <mc:Choice Requires="x15">
      <x15ac:absPath xmlns:x15ac="http://schemas.microsoft.com/office/spreadsheetml/2010/11/ac" url="https://perigenlive-portal1.sharepoint.com/RFPs/Security and Privacy Surveys/Cleveland Clinic/"/>
    </mc:Choice>
  </mc:AlternateContent>
  <xr:revisionPtr revIDLastSave="70" documentId="11_5A323AB935252C45104F459C4A5C591206066988" xr6:coauthVersionLast="47" xr6:coauthVersionMax="47" xr10:uidLastSave="{50628288-4401-4017-AC14-43ACF70E0BB1}"/>
  <bookViews>
    <workbookView xWindow="-110" yWindow="-110" windowWidth="19420" windowHeight="11500" xr2:uid="{00000000-000D-0000-FFFF-FFFF00000000}"/>
  </bookViews>
  <sheets>
    <sheet name="Questionnaire" sheetId="1" r:id="rId1"/>
    <sheet name="_answers" sheetId="2" state="hidden" r:id="rId2"/>
    <sheet name="_tblResponses" sheetId="6" state="hidden" r:id="rId3"/>
  </sheets>
  <definedNames>
    <definedName name="_xlnm.Print_Area" localSheetId="0">Questionnaire!$A$1:$F$116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7" i="6" l="1"/>
  <c r="E46" i="6"/>
  <c r="D47" i="6"/>
  <c r="C47" i="6" s="1"/>
  <c r="D46" i="6"/>
  <c r="C46" i="6" s="1"/>
  <c r="B46" i="6"/>
  <c r="B47" i="6"/>
  <c r="A46" i="6"/>
  <c r="A47" i="6"/>
  <c r="A17" i="6" l="1"/>
  <c r="B17" i="6"/>
  <c r="D17" i="6"/>
  <c r="E17" i="6"/>
  <c r="A18" i="6"/>
  <c r="B18" i="6"/>
  <c r="D18" i="6"/>
  <c r="E18" i="6"/>
  <c r="E3" i="6" l="1"/>
  <c r="E16" i="6"/>
  <c r="D16" i="6"/>
  <c r="B16" i="6"/>
  <c r="A16" i="6"/>
  <c r="E15" i="6"/>
  <c r="D15" i="6"/>
  <c r="B15" i="6"/>
  <c r="A15" i="6"/>
  <c r="E14" i="6"/>
  <c r="D14" i="6"/>
  <c r="B14" i="6"/>
  <c r="A14" i="6"/>
  <c r="E13" i="6"/>
  <c r="D13" i="6"/>
  <c r="B13" i="6"/>
  <c r="A13" i="6"/>
  <c r="E12" i="6"/>
  <c r="D12" i="6"/>
  <c r="B12" i="6"/>
  <c r="A12" i="6"/>
  <c r="E11" i="6"/>
  <c r="D11" i="6"/>
  <c r="B11" i="6"/>
  <c r="A11" i="6"/>
  <c r="E10" i="6"/>
  <c r="D10" i="6"/>
  <c r="B10" i="6"/>
  <c r="A10" i="6"/>
  <c r="E9" i="6"/>
  <c r="D9" i="6"/>
  <c r="B9" i="6"/>
  <c r="A9" i="6"/>
  <c r="E8" i="6"/>
  <c r="D8" i="6"/>
  <c r="B8" i="6"/>
  <c r="A8" i="6"/>
  <c r="E7" i="6"/>
  <c r="D7" i="6"/>
  <c r="B7" i="6"/>
  <c r="A7" i="6"/>
  <c r="E6" i="6"/>
  <c r="D6" i="6"/>
  <c r="B6" i="6"/>
  <c r="A6" i="6"/>
  <c r="E5" i="6"/>
  <c r="D5" i="6"/>
  <c r="B5" i="6"/>
  <c r="A5" i="6"/>
  <c r="E4" i="6"/>
  <c r="D4" i="6"/>
  <c r="B4" i="6"/>
  <c r="A4" i="6"/>
  <c r="E2" i="6"/>
  <c r="D2" i="6"/>
  <c r="B45" i="6" l="1"/>
  <c r="B44" i="6"/>
  <c r="B43" i="6"/>
  <c r="B42" i="6"/>
  <c r="B41" i="6"/>
  <c r="B40" i="6"/>
  <c r="B39" i="6"/>
  <c r="B38" i="6"/>
  <c r="B37" i="6"/>
  <c r="B36" i="6"/>
  <c r="B35" i="6"/>
  <c r="B34" i="6"/>
  <c r="B33" i="6"/>
  <c r="B32" i="6"/>
  <c r="B31" i="6"/>
  <c r="B30" i="6"/>
  <c r="B29" i="6"/>
  <c r="B28" i="6"/>
  <c r="B27" i="6"/>
  <c r="B26" i="6"/>
  <c r="B25" i="6"/>
  <c r="B24" i="6"/>
  <c r="B23" i="6"/>
  <c r="B22" i="6"/>
  <c r="B21" i="6"/>
  <c r="B20" i="6"/>
  <c r="B19" i="6"/>
  <c r="E43" i="6" l="1"/>
  <c r="E42" i="6"/>
  <c r="E45" i="6"/>
  <c r="E44" i="6"/>
  <c r="E41" i="6"/>
  <c r="E40" i="6"/>
  <c r="E39" i="6"/>
  <c r="E38" i="6"/>
  <c r="E37" i="6"/>
  <c r="E36" i="6"/>
  <c r="E34" i="6"/>
  <c r="E33" i="6"/>
  <c r="E32" i="6"/>
  <c r="E31" i="6"/>
  <c r="D45" i="6"/>
  <c r="C45" i="6" s="1"/>
  <c r="A45" i="6"/>
  <c r="D44" i="6"/>
  <c r="C44" i="6" s="1"/>
  <c r="A44" i="6"/>
  <c r="D43" i="6"/>
  <c r="C43" i="6" s="1"/>
  <c r="A43" i="6"/>
  <c r="D42" i="6"/>
  <c r="C42" i="6" s="1"/>
  <c r="A42" i="6"/>
  <c r="D41" i="6"/>
  <c r="A41" i="6"/>
  <c r="D40" i="6"/>
  <c r="A40" i="6"/>
  <c r="D39" i="6"/>
  <c r="A39" i="6"/>
  <c r="D38" i="6"/>
  <c r="A38" i="6"/>
  <c r="D37" i="6"/>
  <c r="A37" i="6"/>
  <c r="D36" i="6"/>
  <c r="A36" i="6"/>
  <c r="E35" i="6"/>
  <c r="D35" i="6"/>
  <c r="A35" i="6"/>
  <c r="D34" i="6"/>
  <c r="A34" i="6"/>
  <c r="D33" i="6"/>
  <c r="A33" i="6"/>
  <c r="D32" i="6"/>
  <c r="D31" i="6"/>
  <c r="A32" i="6"/>
  <c r="A31" i="6"/>
  <c r="E30" i="6"/>
  <c r="D30" i="6"/>
  <c r="A30" i="6"/>
  <c r="E29" i="6" l="1"/>
  <c r="D29" i="6"/>
  <c r="A29" i="6"/>
  <c r="E28" i="6"/>
  <c r="E27" i="6"/>
  <c r="E26" i="6"/>
  <c r="E24" i="6"/>
  <c r="E23" i="6"/>
  <c r="E22" i="6"/>
  <c r="E21" i="6"/>
  <c r="D28" i="6"/>
  <c r="D27" i="6"/>
  <c r="A28" i="6"/>
  <c r="A27" i="6"/>
  <c r="A24" i="6"/>
  <c r="A23" i="6"/>
  <c r="A22" i="6"/>
  <c r="A21" i="6"/>
  <c r="A26" i="6"/>
  <c r="D26" i="6"/>
  <c r="D24" i="6"/>
  <c r="C24" i="6" s="1"/>
  <c r="D23" i="6"/>
  <c r="C23" i="6" s="1"/>
  <c r="D21" i="6"/>
  <c r="D22" i="6"/>
  <c r="C22" i="6" s="1"/>
  <c r="C41" i="6" l="1"/>
  <c r="C40" i="6"/>
  <c r="C39" i="6"/>
  <c r="C38" i="6"/>
  <c r="C37" i="6"/>
  <c r="C36" i="6"/>
  <c r="C35" i="6"/>
  <c r="C34" i="6"/>
  <c r="C33" i="6"/>
  <c r="C32" i="6"/>
  <c r="C31" i="6"/>
  <c r="C30" i="6"/>
  <c r="C29" i="6"/>
  <c r="C28" i="6"/>
  <c r="C27" i="6"/>
  <c r="C26" i="6"/>
  <c r="E25" i="6"/>
  <c r="D25" i="6"/>
  <c r="C25" i="6" s="1"/>
  <c r="A25" i="6"/>
  <c r="C21" i="6"/>
  <c r="E20" i="6"/>
  <c r="D20" i="6"/>
  <c r="C20" i="6" s="1"/>
  <c r="A20" i="6"/>
  <c r="E19" i="6"/>
  <c r="D19" i="6"/>
  <c r="C19" i="6" s="1"/>
  <c r="A19" i="6"/>
</calcChain>
</file>

<file path=xl/sharedStrings.xml><?xml version="1.0" encoding="utf-8"?>
<sst xmlns="http://schemas.openxmlformats.org/spreadsheetml/2006/main" count="417" uniqueCount="326">
  <si>
    <t>L2-2.0.8</t>
  </si>
  <si>
    <t>Cleveland Clinic Product Cybersecurity
Level-2 Preliminary Risk Assessment Form</t>
  </si>
  <si>
    <t>Date Submitted</t>
  </si>
  <si>
    <r>
      <t xml:space="preserve">Please fill out </t>
    </r>
    <r>
      <rPr>
        <b/>
        <i/>
        <u/>
        <sz val="11"/>
        <color theme="1"/>
        <rFont val="Calibri"/>
        <family val="2"/>
        <scheme val="minor"/>
      </rPr>
      <t>all</t>
    </r>
    <r>
      <rPr>
        <i/>
        <sz val="11"/>
        <color theme="1"/>
        <rFont val="Calibri"/>
        <family val="2"/>
        <scheme val="minor"/>
      </rPr>
      <t xml:space="preserve"> boxes that are shaded in green, if not known, indicate NA or unknown</t>
    </r>
  </si>
  <si>
    <t>Contact Information:</t>
  </si>
  <si>
    <t>Number</t>
  </si>
  <si>
    <t>CC ATID</t>
  </si>
  <si>
    <t>CC BRM Contact</t>
  </si>
  <si>
    <t>CC Engineering Contact</t>
  </si>
  <si>
    <t>CC Business Owner</t>
  </si>
  <si>
    <t>CC Business Contact</t>
  </si>
  <si>
    <t>Vendor Business Contact</t>
  </si>
  <si>
    <t>Michelle Flowers: michelle.flowers@perigen.com</t>
  </si>
  <si>
    <t>Vendor Technical Contact</t>
  </si>
  <si>
    <t>Bruno Bendavid: bruno.bendavid@perigen.com</t>
  </si>
  <si>
    <t>Product Information:</t>
  </si>
  <si>
    <t>Manufacturer Name</t>
  </si>
  <si>
    <t>PeriGen</t>
  </si>
  <si>
    <t>Model Name - Number</t>
  </si>
  <si>
    <t>PeriWatch Surveillance &amp; Vigilance</t>
  </si>
  <si>
    <t>Product Website</t>
  </si>
  <si>
    <t>www.perigen.com</t>
  </si>
  <si>
    <t>Product Description</t>
  </si>
  <si>
    <t>Fetal/Maternal suiveillance and early warning system for obstetrics - Software Only. Product already live and if only being upgraded</t>
  </si>
  <si>
    <t>Hardware and Software Versions</t>
  </si>
  <si>
    <t>2021.1</t>
  </si>
  <si>
    <t>US FDA NLM DI Number</t>
  </si>
  <si>
    <t>[Surveillance] 00860003483510
[Vigilance HUB] B087HUB21011/$$72101001
[Vigilance Cues] B087PATT21011/$$7210100
[Vigilance Curve] B087CURV21011/$$72101000</t>
  </si>
  <si>
    <t>MDS2 attached?</t>
  </si>
  <si>
    <t>Yes</t>
  </si>
  <si>
    <t>UK NHS DSPT</t>
  </si>
  <si>
    <t>NA</t>
  </si>
  <si>
    <t>UK Cyber Essential/Plus</t>
  </si>
  <si>
    <r>
      <t xml:space="preserve">Please answer </t>
    </r>
    <r>
      <rPr>
        <b/>
        <u/>
        <sz val="14"/>
        <color rgb="FFFF0000"/>
        <rFont val="Calibri"/>
        <family val="2"/>
        <scheme val="minor"/>
      </rPr>
      <t>all</t>
    </r>
    <r>
      <rPr>
        <sz val="14"/>
        <color rgb="FFFF0000"/>
        <rFont val="Calibri"/>
        <family val="2"/>
        <scheme val="minor"/>
      </rPr>
      <t xml:space="preserve"> </t>
    </r>
    <r>
      <rPr>
        <b/>
        <sz val="14"/>
        <color rgb="FFFF0000"/>
        <rFont val="Calibri"/>
        <family val="2"/>
        <scheme val="minor"/>
      </rPr>
      <t>green</t>
    </r>
    <r>
      <rPr>
        <sz val="14"/>
        <color rgb="FFFF0000"/>
        <rFont val="Calibri"/>
        <family val="2"/>
        <scheme val="minor"/>
      </rPr>
      <t>-box questions. If selecting Other, or Multiple for an answer enter the reason or explanation below the dropdown.</t>
    </r>
  </si>
  <si>
    <t>Question</t>
  </si>
  <si>
    <t>Answer</t>
  </si>
  <si>
    <r>
      <t xml:space="preserve">Is the product connected to an </t>
    </r>
    <r>
      <rPr>
        <u/>
        <sz val="11"/>
        <color theme="1"/>
        <rFont val="Calibri"/>
        <family val="2"/>
        <scheme val="minor"/>
      </rPr>
      <t>wired</t>
    </r>
    <r>
      <rPr>
        <sz val="11"/>
        <color theme="1"/>
        <rFont val="Calibri"/>
        <family val="2"/>
        <scheme val="minor"/>
      </rPr>
      <t xml:space="preserve"> Ethernet network?</t>
    </r>
  </si>
  <si>
    <t>Yes - wired Ethernet 100MB</t>
  </si>
  <si>
    <t>6420</t>
  </si>
  <si>
    <t>Explain / Other:</t>
  </si>
  <si>
    <t>software only</t>
  </si>
  <si>
    <r>
      <t xml:space="preserve">Is the product connected to an </t>
    </r>
    <r>
      <rPr>
        <u/>
        <sz val="11"/>
        <color theme="1"/>
        <rFont val="Calibri"/>
        <family val="2"/>
        <scheme val="minor"/>
      </rPr>
      <t>wireless</t>
    </r>
    <r>
      <rPr>
        <sz val="11"/>
        <color theme="1"/>
        <rFont val="Calibri"/>
        <family val="2"/>
        <scheme val="minor"/>
      </rPr>
      <t xml:space="preserve"> Ethernet network?</t>
    </r>
  </si>
  <si>
    <t>Other - explain below</t>
  </si>
  <si>
    <t>6421</t>
  </si>
  <si>
    <t>Could be if mobile workstations/laptop used</t>
  </si>
  <si>
    <t>If the product uses Wifi for communication, what authentication methods are supported?</t>
  </si>
  <si>
    <t>6424</t>
  </si>
  <si>
    <t>CC standard</t>
  </si>
  <si>
    <r>
      <t xml:space="preserve">Does this product use any </t>
    </r>
    <r>
      <rPr>
        <u/>
        <sz val="11"/>
        <color theme="1"/>
        <rFont val="Calibri"/>
        <family val="2"/>
        <scheme val="minor"/>
      </rPr>
      <t xml:space="preserve">wired </t>
    </r>
    <r>
      <rPr>
        <sz val="11"/>
        <color theme="1"/>
        <rFont val="Calibri"/>
        <family val="2"/>
        <scheme val="minor"/>
      </rPr>
      <t>communications protocols besides Ethernet?</t>
    </r>
  </si>
  <si>
    <t>None</t>
  </si>
  <si>
    <t>6422</t>
  </si>
  <si>
    <r>
      <t xml:space="preserve">Does this product use any </t>
    </r>
    <r>
      <rPr>
        <u/>
        <sz val="11"/>
        <color theme="1"/>
        <rFont val="Calibri"/>
        <family val="2"/>
        <scheme val="minor"/>
      </rPr>
      <t xml:space="preserve">wireless </t>
    </r>
    <r>
      <rPr>
        <sz val="11"/>
        <color theme="1"/>
        <rFont val="Calibri"/>
        <family val="2"/>
        <scheme val="minor"/>
      </rPr>
      <t>communications protocols besides Ethernet?</t>
    </r>
  </si>
  <si>
    <t>6423</t>
  </si>
  <si>
    <t>For mobile products, what type of MDM (Mobile product Mangement) is supported?</t>
  </si>
  <si>
    <t>None - Not a mobile device (NA)</t>
  </si>
  <si>
    <t>6450</t>
  </si>
  <si>
    <t>What operating system(s) does this product use?</t>
  </si>
  <si>
    <t>Microsoft Windows 10 (specify version details below)</t>
  </si>
  <si>
    <t>6509</t>
  </si>
  <si>
    <t>CC supported and provided</t>
  </si>
  <si>
    <r>
      <t xml:space="preserve">Does this product </t>
    </r>
    <r>
      <rPr>
        <u/>
        <sz val="11"/>
        <color theme="1"/>
        <rFont val="Calibri"/>
        <family val="2"/>
        <scheme val="minor"/>
      </rPr>
      <t>store</t>
    </r>
    <r>
      <rPr>
        <sz val="11"/>
        <color theme="1"/>
        <rFont val="Calibri"/>
        <family val="2"/>
        <scheme val="minor"/>
      </rPr>
      <t xml:space="preserve"> PHI, or PII or other proprietary/confidential information (including credit-card type data)?</t>
    </r>
  </si>
  <si>
    <t>PHI is stored raw (without encryption)</t>
  </si>
  <si>
    <t>6641</t>
  </si>
  <si>
    <t xml:space="preserve">Stored on MS SQL provided/hosted by CC. MS TDE supposted for encryption at rest.  </t>
  </si>
  <si>
    <r>
      <t xml:space="preserve">Does this product </t>
    </r>
    <r>
      <rPr>
        <u/>
        <sz val="11"/>
        <color theme="1"/>
        <rFont val="Calibri"/>
        <family val="2"/>
        <scheme val="minor"/>
      </rPr>
      <t>transmit or receive</t>
    </r>
    <r>
      <rPr>
        <sz val="11"/>
        <color theme="1"/>
        <rFont val="Calibri"/>
        <family val="2"/>
        <scheme val="minor"/>
      </rPr>
      <t xml:space="preserve"> PHI, or PII or other proprietary/confidential information (including credit-card type data)?</t>
    </r>
  </si>
  <si>
    <t>PHI is transmitted or received raw (without encryption)</t>
  </si>
  <si>
    <t>6640</t>
  </si>
  <si>
    <t>Presently received over HL7 from the EMR</t>
  </si>
  <si>
    <t>Does the product log data about its operations?</t>
  </si>
  <si>
    <t>All of the above</t>
  </si>
  <si>
    <t>6476</t>
  </si>
  <si>
    <t>All logs are stored in the SQL DB</t>
  </si>
  <si>
    <t>Does this product share any data with vendor- or cloud-hosted servers?</t>
  </si>
  <si>
    <t>No, there is not any data transmitted off-site</t>
  </si>
  <si>
    <t>6647</t>
  </si>
  <si>
    <r>
      <t xml:space="preserve">Are </t>
    </r>
    <r>
      <rPr>
        <u/>
        <sz val="11"/>
        <color theme="1"/>
        <rFont val="Calibri"/>
        <family val="2"/>
        <scheme val="minor"/>
      </rPr>
      <t>industry-standard</t>
    </r>
    <r>
      <rPr>
        <sz val="11"/>
        <color theme="1"/>
        <rFont val="Calibri"/>
        <family val="2"/>
        <scheme val="minor"/>
      </rPr>
      <t xml:space="preserve"> encryption protocols used in the storage and transport of the data the product uses?</t>
    </r>
  </si>
  <si>
    <t>Yes, encryption handled only through secure communications channel (i.e. HTTPS, TLS, SSH, etc..) (explain below)</t>
  </si>
  <si>
    <t>6637</t>
  </si>
  <si>
    <r>
      <t xml:space="preserve">How are </t>
    </r>
    <r>
      <rPr>
        <u/>
        <sz val="11"/>
        <color theme="1"/>
        <rFont val="Calibri"/>
        <family val="2"/>
        <scheme val="minor"/>
      </rPr>
      <t>OS</t>
    </r>
    <r>
      <rPr>
        <sz val="11"/>
        <color theme="1"/>
        <rFont val="Calibri"/>
        <family val="2"/>
        <scheme val="minor"/>
      </rPr>
      <t xml:space="preserve"> patches delivered and deployed?</t>
    </r>
  </si>
  <si>
    <t>CC CAN install OS patches without vendor approval</t>
  </si>
  <si>
    <t>6616</t>
  </si>
  <si>
    <r>
      <t xml:space="preserve">How are </t>
    </r>
    <r>
      <rPr>
        <u/>
        <sz val="11"/>
        <color theme="1"/>
        <rFont val="Calibri"/>
        <family val="2"/>
        <scheme val="minor"/>
      </rPr>
      <t>Application</t>
    </r>
    <r>
      <rPr>
        <sz val="11"/>
        <color theme="1"/>
        <rFont val="Calibri"/>
        <family val="2"/>
        <scheme val="minor"/>
      </rPr>
      <t xml:space="preserve"> patches delivered and deployed?</t>
    </r>
  </si>
  <si>
    <t>Vendor will install approved app. patches on-site only (local maintenance)</t>
  </si>
  <si>
    <t>6651</t>
  </si>
  <si>
    <t>Coordinated with the customer</t>
  </si>
  <si>
    <t>Will the product need to connect to any CC data repository or management applications (i.e. EHR/EMR, PACS, etc.) ?</t>
  </si>
  <si>
    <t>Yes, required read-write to/from Epic EMR</t>
  </si>
  <si>
    <t>6590</t>
  </si>
  <si>
    <t>Only using HL7 interface</t>
  </si>
  <si>
    <t>How is this product supported after being deployed for use?</t>
  </si>
  <si>
    <t>Remote monitoring and patching (push and pull)</t>
  </si>
  <si>
    <t>6558</t>
  </si>
  <si>
    <t>Already present</t>
  </si>
  <si>
    <t>Does this product support integration into a user database for user-access (i.e. Active Directory)?</t>
  </si>
  <si>
    <t>Support for Active Directory-integrated users</t>
  </si>
  <si>
    <t>6513</t>
  </si>
  <si>
    <r>
      <t xml:space="preserve">Does the product require </t>
    </r>
    <r>
      <rPr>
        <u/>
        <sz val="11"/>
        <color theme="1"/>
        <rFont val="Calibri"/>
        <family val="2"/>
        <scheme val="minor"/>
      </rPr>
      <t>outbound</t>
    </r>
    <r>
      <rPr>
        <sz val="11"/>
        <color theme="1"/>
        <rFont val="Calibri"/>
        <family val="2"/>
        <scheme val="minor"/>
      </rPr>
      <t xml:space="preserve"> internet access and does it support secure proxy connections with TLS monitoring?</t>
    </r>
  </si>
  <si>
    <t>No, outbound access is not needed</t>
  </si>
  <si>
    <t>6563</t>
  </si>
  <si>
    <r>
      <t xml:space="preserve">Does this product require </t>
    </r>
    <r>
      <rPr>
        <u/>
        <sz val="11"/>
        <color theme="1"/>
        <rFont val="Calibri"/>
        <family val="2"/>
        <scheme val="minor"/>
      </rPr>
      <t>inbound</t>
    </r>
    <r>
      <rPr>
        <sz val="11"/>
        <color theme="1"/>
        <rFont val="Calibri"/>
        <family val="2"/>
        <scheme val="minor"/>
      </rPr>
      <t xml:space="preserve"> internet accessibility?</t>
    </r>
  </si>
  <si>
    <t>No, inbound access is not needed</t>
  </si>
  <si>
    <t>6565</t>
  </si>
  <si>
    <t>Other than secure remote access</t>
  </si>
  <si>
    <t>Does the product have software to verify operations for confidentiality, integrity and availability?</t>
  </si>
  <si>
    <t>Mechanisms in place to verify multiple parts of CIAS (explain below)</t>
  </si>
  <si>
    <t>6389</t>
  </si>
  <si>
    <t>Controls are built-into the system to address some of the above including, accessc control, authorization and relying on transactional systems like MS SQL for ensure data integrity. Availability is leveraged by utilizing technologies like MS-SQL clustering, VMWare.</t>
  </si>
  <si>
    <t>Does the product provide direct patient-care?</t>
  </si>
  <si>
    <t>Yes - Point of Care</t>
  </si>
  <si>
    <t>6576</t>
  </si>
  <si>
    <t>What methods can CC use to further protect this product after being integrated into the CC network?</t>
  </si>
  <si>
    <t>Yes, Multiple above (explain below)</t>
  </si>
  <si>
    <t>6506</t>
  </si>
  <si>
    <t>Workstation using the PeriGen product are CC workstations with all standard CC security methods.</t>
  </si>
  <si>
    <t>Please select all applicable industry standards and regulations this product is certified with. (i.e. ISO, NIST, GDPR, etc..)</t>
  </si>
  <si>
    <t>Multiple - explain below</t>
  </si>
  <si>
    <t>6654</t>
  </si>
  <si>
    <t>Does the product support automated security control enforcement?</t>
  </si>
  <si>
    <t>No, none</t>
  </si>
  <si>
    <t>Note that authentication is goverened by CC AD, therefore, the mechnisms mentioned here could be integrated into CC AD architecture</t>
  </si>
  <si>
    <t>Does the product OS support whitelisting / disabling of all non-approved software?</t>
  </si>
  <si>
    <t>6499</t>
  </si>
  <si>
    <t>the CC provided server is configured only with the PeriGen software</t>
  </si>
  <si>
    <t>Does the product hardware support whitelisting / disabling unused hardware and ports (i.e. dsabling unused USB ports)</t>
  </si>
  <si>
    <t>6656</t>
  </si>
  <si>
    <t>How will data-disposal be handled once the product leaves the CC environment?</t>
  </si>
  <si>
    <t>CC is responsible to manually sanitize sensitive data (is process documented?)</t>
  </si>
  <si>
    <t>6620</t>
  </si>
  <si>
    <t>Does the product support SSO?</t>
  </si>
  <si>
    <t>Yes, other - explain below</t>
  </si>
  <si>
    <t>6515</t>
  </si>
  <si>
    <t>SSO is supported with Epic using their propriatary integation</t>
  </si>
  <si>
    <t>Does the device support 802.1x network level authentication? (If so, please specify EAP, PEAP, TLS, etc. in note)</t>
  </si>
  <si>
    <t>Yes CCF can install and use a certificate on the device (explain process below)</t>
  </si>
  <si>
    <t>6427</t>
  </si>
  <si>
    <t>According to CC standards for machine level access. There is no software support for NLA.</t>
  </si>
  <si>
    <t>NA, device does not use wireless</t>
  </si>
  <si>
    <t>NA - the device does not have an operating system</t>
  </si>
  <si>
    <t>There is not any PHI or PII stored</t>
  </si>
  <si>
    <t>There is not any PHI or PII transmitted or received</t>
  </si>
  <si>
    <t>No, the devices does not log any data</t>
  </si>
  <si>
    <t>No, encryption is not used for data transmission</t>
  </si>
  <si>
    <t>OS Patching is not supported</t>
  </si>
  <si>
    <t>Application software does not support patching</t>
  </si>
  <si>
    <t>There is not any support after integration</t>
  </si>
  <si>
    <t>No user or group support available</t>
  </si>
  <si>
    <t>No or NA</t>
  </si>
  <si>
    <t>No, none - because the product does not support them</t>
  </si>
  <si>
    <t>There is no PHI, PII, PBI, or customer sensitive configuration or data stored</t>
  </si>
  <si>
    <t>No, SSO is NOT supported</t>
  </si>
  <si>
    <t>No, there is not any support for 802.1x (device network authentication)</t>
  </si>
  <si>
    <t>Yes - wired Ethernet 10MB</t>
  </si>
  <si>
    <t>Yes - Wifi - 801.11b</t>
  </si>
  <si>
    <t>Parallel port communication</t>
  </si>
  <si>
    <t>IR-DA communication</t>
  </si>
  <si>
    <t>None - Using an MDM is not supported</t>
  </si>
  <si>
    <t>Microsoft Windows 9x (specify version details below)</t>
  </si>
  <si>
    <t>Yes, the device logs basic operations  (indicate below)</t>
  </si>
  <si>
    <t>Yes, the device shares PHI with a vendor server (indicate below)</t>
  </si>
  <si>
    <t>Yes, ALL data encrypted in compliance with industry standard (explain below)</t>
  </si>
  <si>
    <t>CC CAN install mfg.-issued app. patches without vendor approval</t>
  </si>
  <si>
    <t>Remote monitoring (push from client to server only)</t>
  </si>
  <si>
    <t>There is a single, local shared user account</t>
  </si>
  <si>
    <t>Yes, Outbound un-proxied(direct) traffic is needed (explain below)</t>
  </si>
  <si>
    <t>Yes, VPN  - always connected bridged network (explain below)</t>
  </si>
  <si>
    <t>Mechanisms to verify Confidentiality are in place (explain below)</t>
  </si>
  <si>
    <t>No, none - because the product already comes with them (explain them, how they are updated)</t>
  </si>
  <si>
    <t>ISO 27001</t>
  </si>
  <si>
    <t>Yes, automated data-retention policy enforcement (explain policy)</t>
  </si>
  <si>
    <t>The device is configured to use OS software white-listing to only allow approved apps to run</t>
  </si>
  <si>
    <t>The device supports hardware change detection (explain below)</t>
  </si>
  <si>
    <t>Yes, SAML supported (Ping Federate) - Preferred</t>
  </si>
  <si>
    <t>Yes - Wifi - 801.11g</t>
  </si>
  <si>
    <t>Wireless Preshared Key (PSK)</t>
  </si>
  <si>
    <t>Serial/PS2 port communication</t>
  </si>
  <si>
    <t>Bluetooth communication</t>
  </si>
  <si>
    <t>The device can be managed by the CC MDM</t>
  </si>
  <si>
    <t>Microsoft Windows XP (specify version details below)</t>
  </si>
  <si>
    <t>PHI is stored using standard encryption (specify standard below)</t>
  </si>
  <si>
    <t>PHI is transmitted or received using standard encryption (specify standard below)</t>
  </si>
  <si>
    <t>Yes, the device logs detailed diagnostics</t>
  </si>
  <si>
    <t>Yes, the device shares PHI with a cloud server (specify provider below)</t>
  </si>
  <si>
    <t>Yes, configuration/secure data is encrypted in compliance with industry standard (explain below)</t>
  </si>
  <si>
    <t>CC CAN'T install OS patches without vendor review/approval</t>
  </si>
  <si>
    <t>CC CAN'T install mfg.-issued app. patches without vendor approval</t>
  </si>
  <si>
    <t>Yes, required read from Epic EMR</t>
  </si>
  <si>
    <t>There are multiple local user accounts</t>
  </si>
  <si>
    <t>Yes, Outbound proxied, inspected traffic is supported</t>
  </si>
  <si>
    <t>Yes, VPN - always connected tunnel between device+server (explain below)</t>
  </si>
  <si>
    <t>Mechanisms to verify Integrity are in place (explain below)</t>
  </si>
  <si>
    <t>Yes - Robotic</t>
  </si>
  <si>
    <t>Yes, CC can install AV / anti-malware monitoring and protection</t>
  </si>
  <si>
    <t>ISO 27002</t>
  </si>
  <si>
    <t>Yes, automated failed-authentication lockdowns (explain policy)</t>
  </si>
  <si>
    <t>The device OS only allows a single specific app to be run, but needs to be configured by CC</t>
  </si>
  <si>
    <t>The device supports disabling unused ports</t>
  </si>
  <si>
    <t>CC will use device functions to sanitize sensitive data</t>
  </si>
  <si>
    <t>Yes, Oauth supported</t>
  </si>
  <si>
    <t>Yes, via supplicant software installed on the device (windows only) (explain updates in the notes)</t>
  </si>
  <si>
    <t>Yes - wired Ethernet 1GB</t>
  </si>
  <si>
    <t>Yes - Wifi - 801.11n</t>
  </si>
  <si>
    <t>WPA2 Enterprise/Certificate Security</t>
  </si>
  <si>
    <t>USB port communication</t>
  </si>
  <si>
    <t>NFC communication</t>
  </si>
  <si>
    <t>The device requires a vendor-hosted MDM (explain below)</t>
  </si>
  <si>
    <t>Microsoft Windows NT (specify version details below)</t>
  </si>
  <si>
    <t>PHI is stored using proprietary encryption (explain below)</t>
  </si>
  <si>
    <t>PHI is transmitted or received using proprietary encryption (explain below)</t>
  </si>
  <si>
    <t>Yes, the device logs login and logout events</t>
  </si>
  <si>
    <t>Yes, the device shares PII with a vendor server</t>
  </si>
  <si>
    <t>Vendor will install OS patches (remote-push)</t>
  </si>
  <si>
    <t>Vendor will install approved app. patches automatically  (remote-push) (app-store)</t>
  </si>
  <si>
    <t>Yes, optional read-write to/from Epic EMR</t>
  </si>
  <si>
    <t>Remote desktop required</t>
  </si>
  <si>
    <t>There are multiple local user and group/role accounts</t>
  </si>
  <si>
    <t>Yes, Outbound access is only needed for TLS (443) 'pings'</t>
  </si>
  <si>
    <t>Yes, VPN - connect on demand, CC pre-approved instance (explain below)</t>
  </si>
  <si>
    <t>Mechanisms to verify Availability are in place (explain below)</t>
  </si>
  <si>
    <t>Yes - Vitals Monitor</t>
  </si>
  <si>
    <t>Yes, CC can install Application monitoring</t>
  </si>
  <si>
    <t>ISO 9001 Quality Management</t>
  </si>
  <si>
    <t>Yes, automated event escalation to logging-alerting (SIEM) (explain)</t>
  </si>
  <si>
    <t>The device supports disabling unused expansions or storage connections</t>
  </si>
  <si>
    <t>CC should use a Third-party sanitization service</t>
  </si>
  <si>
    <t>Yes, OpenID Connect supported</t>
  </si>
  <si>
    <t>Yes, the device is wireless and should use WPA2-Enterprise/RADIUS authentication</t>
  </si>
  <si>
    <t>Yes - Wifi - 801.11af</t>
  </si>
  <si>
    <t>WPA3 Enterprise/Certificate Security</t>
  </si>
  <si>
    <t>4-20ma</t>
  </si>
  <si>
    <t>3G/4G non-ethernet</t>
  </si>
  <si>
    <t>Microsoft Windows 2000 (specify version details below)</t>
  </si>
  <si>
    <t>PII is stored raw (without encryption)</t>
  </si>
  <si>
    <t>PII is transmitted or received raw (without encryption)</t>
  </si>
  <si>
    <t>Yes, the device logs everything</t>
  </si>
  <si>
    <t>Yes, the device shared PII with a cloud server (specify provider below)</t>
  </si>
  <si>
    <t>Vendor will install OS patches (local maintenance)</t>
  </si>
  <si>
    <t>Yes, optional read from Epic EMR</t>
  </si>
  <si>
    <t>On-site contract support</t>
  </si>
  <si>
    <t>There is a local administrative account only</t>
  </si>
  <si>
    <t>Yes, Email sending outbound only (explain SMTP requirements below)</t>
  </si>
  <si>
    <t>Yes, VPN - connect on demand (explain below)</t>
  </si>
  <si>
    <t>Mechanisms to verify Safety are in place (explain below)</t>
  </si>
  <si>
    <t>Yes - Implanted</t>
  </si>
  <si>
    <t>Yes, CC can install other endpoint protection</t>
  </si>
  <si>
    <t>ISO 80001 Risk Management Documentation</t>
  </si>
  <si>
    <t>Yes, automated safe-shutdown triggered (explain)</t>
  </si>
  <si>
    <t>Multiple are supported (explain below)</t>
  </si>
  <si>
    <t>Sensitive data remains and is not removed when leaving CC</t>
  </si>
  <si>
    <t>Yes, the device supports passive mac authentication and can use RADIUS (explain below)</t>
  </si>
  <si>
    <t>Yes - Wifi - 801.11ac</t>
  </si>
  <si>
    <t>Industrial Control (BAC, ProfiBus, etc.)</t>
  </si>
  <si>
    <t>LiFi</t>
  </si>
  <si>
    <t>Microsoft Windows CE (specify version details below)</t>
  </si>
  <si>
    <t>PII is stored using standard encryption (specify standard below)</t>
  </si>
  <si>
    <t>PII is transmitted or received using standard encryption (specify standard below)</t>
  </si>
  <si>
    <t>Yes, the device shares diagnostic data with vendor server</t>
  </si>
  <si>
    <t>Yes, required read-write to/from PACS</t>
  </si>
  <si>
    <t>On-site mfg. support</t>
  </si>
  <si>
    <t>Yes, Other - explain below</t>
  </si>
  <si>
    <t>Yes, Internally-initiated bi-directional secure session - CC pre-approved (explain below)</t>
  </si>
  <si>
    <t>Yes - Interventional</t>
  </si>
  <si>
    <t>GDPR</t>
  </si>
  <si>
    <t>Yes, automated safe-mode transition of the application (explain)</t>
  </si>
  <si>
    <t>Yes - 4G or LTE Cellular</t>
  </si>
  <si>
    <t>Firewire</t>
  </si>
  <si>
    <t>General Audio-Signal</t>
  </si>
  <si>
    <t>Microsoft Windows 7 (specify version details below)</t>
  </si>
  <si>
    <t>PII is stored using proprietary encryption (explain below)</t>
  </si>
  <si>
    <t>PII is transmitted or received using proprietary encryption (explain below)</t>
  </si>
  <si>
    <t>Yes, the device shares diagnostic data with cloud server (specify provider below)</t>
  </si>
  <si>
    <t>Yes, optional read-write to/from PACS</t>
  </si>
  <si>
    <t>Remote chat/phone support</t>
  </si>
  <si>
    <t>Support for above + Active Directory groups or roles</t>
  </si>
  <si>
    <t>Yes, Internally-initiated bi-directional secure session (explain below)</t>
  </si>
  <si>
    <t>Yes - Direct Imagery</t>
  </si>
  <si>
    <t>NIST  SP 800-53</t>
  </si>
  <si>
    <t>Yes, multiple - explain below</t>
  </si>
  <si>
    <t>Yes - 5G Cellular</t>
  </si>
  <si>
    <t>Proprietary over new or existing cable</t>
  </si>
  <si>
    <t>General Light-Signal</t>
  </si>
  <si>
    <t>Microsoft Windows 7 Embedded (specify version details below)</t>
  </si>
  <si>
    <t>Protected business information is stored without encryption</t>
  </si>
  <si>
    <t>Protected business information is transmitted/received without encryption</t>
  </si>
  <si>
    <t>Yes, both of the above (explain below)</t>
  </si>
  <si>
    <t>Support for above + Active Directory policies and roles</t>
  </si>
  <si>
    <t>Yes, Externally-initiated bi-directional secure session - CC pre-approved (explain below)</t>
  </si>
  <si>
    <t>NIST Framework for Improving Critical Infrastructure</t>
  </si>
  <si>
    <t>Wired AND Wireless (Failover, explain below)</t>
  </si>
  <si>
    <t>Signal modulation on existing infrastructure</t>
  </si>
  <si>
    <t>900/1400MHz</t>
  </si>
  <si>
    <t>Microsoft Windows Server 2008+ (specify version details below)</t>
  </si>
  <si>
    <t>Protected business information is stored encrypted (explain method below)</t>
  </si>
  <si>
    <t>Protected business information is transmitted/received encrypted</t>
  </si>
  <si>
    <t>Support for LDAP-compliant users</t>
  </si>
  <si>
    <t>Yes, Externally-initiated bi-directional secure session (explain below)</t>
  </si>
  <si>
    <t>HIPAA Security Rule</t>
  </si>
  <si>
    <t>More than one</t>
  </si>
  <si>
    <t>Support for LDAP-compliant groups or roles</t>
  </si>
  <si>
    <t>HIPAA Privacy Rule</t>
  </si>
  <si>
    <t>Microsoft Windows 10 IoT or Embedded (specify version details below)</t>
  </si>
  <si>
    <t>Yes, support for other federation (explain below)</t>
  </si>
  <si>
    <t>Hi-Trust Deidentificiation</t>
  </si>
  <si>
    <t>Microsoft Windows (Other) (specify version details below)</t>
  </si>
  <si>
    <t>Linux - Redhat (specify version details below)</t>
  </si>
  <si>
    <t>IMPORTANT NOTE!!!</t>
  </si>
  <si>
    <t>Linux - Debian/Ubuntu LTS (specify version details below)</t>
  </si>
  <si>
    <t>DO NOT CHANGE THE CONTENT IN THIS SHEET WITHOUT PERMISSION FROM THE RISK MANAGEMENT SERVICE OWNER. RE: Synced to the Taxonomy: February 2021</t>
  </si>
  <si>
    <t>Linux - BSD (specify version details below)</t>
  </si>
  <si>
    <t>Linux - Arch, Gentoo, etc. (specify version details below)</t>
  </si>
  <si>
    <t>Linux - other (specify distro and version details below)</t>
  </si>
  <si>
    <t>medical</t>
  </si>
  <si>
    <t>Unix (specify version details below)</t>
  </si>
  <si>
    <t>industrial</t>
  </si>
  <si>
    <t>Apple OSX (specify version details below)</t>
  </si>
  <si>
    <t>iot</t>
  </si>
  <si>
    <t>RTOS (Real-time Operating System) (specify OS and version details below)</t>
  </si>
  <si>
    <t>enterprise</t>
  </si>
  <si>
    <t>Apple iOS (specify version details below)</t>
  </si>
  <si>
    <t>other</t>
  </si>
  <si>
    <t>Android OS (specify version details below)</t>
  </si>
  <si>
    <t>AttributeUID</t>
  </si>
  <si>
    <t>Q</t>
  </si>
  <si>
    <t>RelativeID</t>
  </si>
  <si>
    <t>AttributeResponse</t>
  </si>
  <si>
    <t>FreeText</t>
  </si>
  <si>
    <t>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</si>
</sst>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5">
    <font>
      <sz val="11"/>
      <color theme="1"/>
      <name val="Calibri"/>
      <family val="2"/>
      <scheme val="minor"/>
    </font>
    <font>
      <b/>
      <sz val="11"/>
      <color theme="1"/>
      <name val="Calibri"/>
      <family val="2"/>
      <scheme val="minor"/>
    </font>
    <font>
      <sz val="11"/>
      <color rgb="FFFF0000"/>
      <name val="Calibri"/>
      <family val="2"/>
      <scheme val="minor"/>
    </font>
    <font>
      <b/>
      <sz val="12"/>
      <color theme="1"/>
      <name val="Calibri"/>
      <family val="2"/>
      <scheme val="minor"/>
    </font>
    <font>
      <b/>
      <sz val="16"/>
      <color theme="1"/>
      <name val="Calibri"/>
      <family val="2"/>
      <scheme val="minor"/>
    </font>
    <font>
      <i/>
      <sz val="11"/>
      <color theme="1"/>
      <name val="Calibri"/>
      <family val="2"/>
      <scheme val="minor"/>
    </font>
    <font>
      <sz val="8"/>
      <color theme="1"/>
      <name val="Calibri"/>
      <family val="2"/>
      <scheme val="minor"/>
    </font>
    <font>
      <sz val="11"/>
      <color theme="1"/>
      <name val="Calibri"/>
      <family val="2"/>
      <scheme val="minor"/>
    </font>
    <font>
      <sz val="14"/>
      <color rgb="FFFF0000"/>
      <name val="Calibri"/>
      <family val="2"/>
      <scheme val="minor"/>
    </font>
    <font>
      <b/>
      <sz val="11"/>
      <color theme="0"/>
      <name val="Calibri"/>
      <family val="2"/>
      <scheme val="minor"/>
    </font>
    <font>
      <u/>
      <sz val="11"/>
      <color theme="1"/>
      <name val="Calibri"/>
      <family val="2"/>
      <scheme val="minor"/>
    </font>
    <font>
      <b/>
      <sz val="12"/>
      <color rgb="FFFF0000"/>
      <name val="Calibri"/>
      <family val="2"/>
      <scheme val="minor"/>
    </font>
    <font>
      <b/>
      <u/>
      <sz val="14"/>
      <color rgb="FFFF0000"/>
      <name val="Calibri"/>
      <family val="2"/>
      <scheme val="minor"/>
    </font>
    <font>
      <b/>
      <sz val="14"/>
      <color rgb="FFFF0000"/>
      <name val="Calibri"/>
      <family val="2"/>
      <scheme val="minor"/>
    </font>
    <font>
      <b/>
      <i/>
      <u/>
      <sz val="11"/>
      <color theme="1"/>
      <name val="Calibri"/>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rgb="FF0070C0"/>
        <bgColor indexed="64"/>
      </patternFill>
    </fill>
    <fill>
      <patternFill patternType="solid">
        <fgColor theme="0" tint="-9.9978637043366805E-2"/>
        <bgColor indexed="64"/>
      </patternFill>
    </fill>
    <fill>
      <patternFill patternType="solid">
        <fgColor theme="9"/>
        <bgColor theme="9"/>
      </patternFill>
    </fill>
    <fill>
      <patternFill patternType="solid">
        <fgColor theme="4" tint="0.59999389629810485"/>
        <bgColor indexed="64"/>
      </patternFill>
    </fill>
    <fill>
      <patternFill patternType="solid">
        <fgColor rgb="FFFFFF00"/>
        <bgColor indexed="64"/>
      </patternFill>
    </fill>
    <fill>
      <patternFill patternType="solid">
        <fgColor theme="8" tint="0.79998168889431442"/>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44" fontId="7" fillId="0" borderId="0" applyFont="0" applyFill="0" applyBorder="0" applyAlignment="0" applyProtection="0"/>
  </cellStyleXfs>
  <cellXfs count="58">
    <xf numFmtId="0" fontId="0" fillId="0" borderId="0" xfId="0"/>
    <xf numFmtId="0" fontId="0" fillId="0" borderId="0" xfId="0" applyAlignment="1">
      <alignment wrapText="1"/>
    </xf>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horizontal="left" indent="1"/>
    </xf>
    <xf numFmtId="0" fontId="0" fillId="0" borderId="0" xfId="0" applyAlignment="1">
      <alignment horizontal="left"/>
    </xf>
    <xf numFmtId="0" fontId="0" fillId="0" borderId="0" xfId="0" applyAlignment="1">
      <alignment horizontal="left" wrapText="1" indent="1"/>
    </xf>
    <xf numFmtId="0" fontId="0" fillId="0" borderId="0" xfId="0" applyAlignment="1">
      <alignment horizontal="center" wrapText="1"/>
    </xf>
    <xf numFmtId="0" fontId="2" fillId="0" borderId="0" xfId="0" applyFont="1"/>
    <xf numFmtId="0" fontId="2" fillId="3" borderId="0" xfId="0" applyFont="1" applyFill="1"/>
    <xf numFmtId="0" fontId="2" fillId="3" borderId="0" xfId="0" applyFont="1" applyFill="1" applyAlignment="1">
      <alignment wrapText="1"/>
    </xf>
    <xf numFmtId="0" fontId="0" fillId="3" borderId="0" xfId="0" applyFill="1"/>
    <xf numFmtId="0" fontId="0" fillId="3" borderId="0" xfId="0" applyFill="1" applyAlignment="1">
      <alignment wrapText="1"/>
    </xf>
    <xf numFmtId="0" fontId="0" fillId="0" borderId="0" xfId="0" applyAlignment="1">
      <alignment horizontal="right" wrapText="1"/>
    </xf>
    <xf numFmtId="0" fontId="1" fillId="0" borderId="0" xfId="0" applyFont="1" applyAlignment="1">
      <alignment horizontal="center" wrapText="1"/>
    </xf>
    <xf numFmtId="0" fontId="0" fillId="4" borderId="0" xfId="0" applyFill="1" applyAlignment="1">
      <alignment wrapText="1"/>
    </xf>
    <xf numFmtId="0" fontId="0" fillId="4" borderId="0" xfId="0" applyFill="1" applyAlignment="1">
      <alignment vertical="center" wrapText="1"/>
    </xf>
    <xf numFmtId="0" fontId="3" fillId="0" borderId="0" xfId="0" applyFont="1"/>
    <xf numFmtId="0" fontId="3" fillId="4" borderId="0" xfId="0" applyFont="1" applyFill="1" applyAlignment="1">
      <alignment horizontal="right" vertical="center" indent="1"/>
    </xf>
    <xf numFmtId="0" fontId="3" fillId="0" borderId="0" xfId="0" applyFont="1" applyAlignment="1">
      <alignment horizontal="right" indent="1"/>
    </xf>
    <xf numFmtId="0" fontId="5" fillId="0" borderId="0" xfId="0" applyFont="1" applyAlignment="1">
      <alignment wrapText="1"/>
    </xf>
    <xf numFmtId="0" fontId="6" fillId="0" borderId="0" xfId="0" applyFont="1" applyAlignment="1">
      <alignment horizontal="right"/>
    </xf>
    <xf numFmtId="0" fontId="0" fillId="2" borderId="2" xfId="0" applyFill="1" applyBorder="1" applyAlignment="1" applyProtection="1">
      <alignment wrapText="1"/>
      <protection locked="0"/>
    </xf>
    <xf numFmtId="49" fontId="0" fillId="4" borderId="0" xfId="0" applyNumberFormat="1" applyFill="1" applyAlignment="1">
      <alignment horizontal="center" wrapText="1"/>
    </xf>
    <xf numFmtId="0" fontId="0" fillId="0" borderId="0" xfId="0" applyAlignment="1">
      <alignment vertical="center" wrapText="1"/>
    </xf>
    <xf numFmtId="0" fontId="0" fillId="6" borderId="0" xfId="0" applyFill="1"/>
    <xf numFmtId="0" fontId="0" fillId="6" borderId="0" xfId="0" applyFill="1" applyAlignment="1">
      <alignment horizontal="right"/>
    </xf>
    <xf numFmtId="0" fontId="9" fillId="5" borderId="0" xfId="1" applyNumberFormat="1" applyFont="1" applyFill="1" applyBorder="1" applyAlignment="1">
      <alignment horizontal="center"/>
    </xf>
    <xf numFmtId="0" fontId="1" fillId="0" borderId="0" xfId="0" applyFont="1" applyAlignment="1">
      <alignment horizontal="center"/>
    </xf>
    <xf numFmtId="0" fontId="0" fillId="7" borderId="0" xfId="0" applyFill="1" applyAlignment="1">
      <alignment horizontal="left"/>
    </xf>
    <xf numFmtId="0" fontId="0" fillId="7" borderId="0" xfId="0" applyFill="1"/>
    <xf numFmtId="0" fontId="1" fillId="4" borderId="0" xfId="0" applyFont="1" applyFill="1" applyAlignment="1">
      <alignment horizontal="left" wrapText="1" indent="1"/>
    </xf>
    <xf numFmtId="0" fontId="1" fillId="4" borderId="0" xfId="0" applyFont="1" applyFill="1" applyAlignment="1">
      <alignment horizontal="center"/>
    </xf>
    <xf numFmtId="0" fontId="0" fillId="4" borderId="0" xfId="0" applyFill="1" applyAlignment="1">
      <alignment horizontal="center"/>
    </xf>
    <xf numFmtId="0" fontId="0" fillId="0" borderId="0" xfId="0" applyAlignment="1">
      <alignment horizontal="center"/>
    </xf>
    <xf numFmtId="0" fontId="9" fillId="5" borderId="0" xfId="1" applyNumberFormat="1" applyFont="1" applyFill="1" applyBorder="1" applyAlignment="1">
      <alignment horizontal="left"/>
    </xf>
    <xf numFmtId="49" fontId="0" fillId="0" borderId="0" xfId="0" applyNumberFormat="1" applyAlignment="1">
      <alignment horizontal="left"/>
    </xf>
    <xf numFmtId="1" fontId="0" fillId="2" borderId="0" xfId="0" applyNumberFormat="1" applyFill="1" applyAlignment="1">
      <alignment horizontal="center"/>
    </xf>
    <xf numFmtId="0" fontId="1" fillId="2" borderId="0" xfId="0" applyFont="1" applyFill="1" applyAlignment="1">
      <alignment horizontal="center"/>
    </xf>
    <xf numFmtId="0" fontId="0" fillId="2" borderId="0" xfId="0" applyFill="1" applyAlignment="1">
      <alignment horizontal="left"/>
    </xf>
    <xf numFmtId="0" fontId="0" fillId="8" borderId="0" xfId="1" applyNumberFormat="1" applyFont="1" applyFill="1" applyBorder="1" applyAlignment="1">
      <alignment horizontal="center"/>
    </xf>
    <xf numFmtId="0" fontId="1" fillId="8" borderId="0" xfId="1" applyNumberFormat="1" applyFont="1" applyFill="1" applyBorder="1" applyAlignment="1">
      <alignment horizontal="center"/>
    </xf>
    <xf numFmtId="0" fontId="0" fillId="8" borderId="0" xfId="1" applyNumberFormat="1" applyFont="1" applyFill="1" applyBorder="1" applyAlignment="1">
      <alignment horizontal="left"/>
    </xf>
    <xf numFmtId="0" fontId="11" fillId="7" borderId="0" xfId="0" applyFont="1" applyFill="1"/>
    <xf numFmtId="0" fontId="0" fillId="0" borderId="3" xfId="0" applyBorder="1"/>
    <xf numFmtId="0" fontId="0" fillId="0" borderId="4" xfId="0" applyBorder="1"/>
    <xf numFmtId="0" fontId="0" fillId="0" borderId="5" xfId="0" applyBorder="1"/>
    <xf numFmtId="49" fontId="0" fillId="2" borderId="2" xfId="0" applyNumberFormat="1" applyFill="1" applyBorder="1" applyProtection="1">
      <protection locked="0"/>
    </xf>
    <xf numFmtId="49" fontId="0" fillId="2" borderId="2" xfId="0" applyNumberFormat="1" applyFill="1" applyBorder="1" applyAlignment="1" applyProtection="1">
      <alignment wrapText="1"/>
      <protection locked="0"/>
    </xf>
    <xf numFmtId="0" fontId="0" fillId="2" borderId="0" xfId="0" applyFill="1" applyAlignment="1">
      <alignment horizontal="center"/>
    </xf>
    <xf numFmtId="0" fontId="0" fillId="0" borderId="0" xfId="0" applyAlignment="1">
      <alignment horizontal="left" vertical="top" indent="1"/>
    </xf>
    <xf numFmtId="0" fontId="0" fillId="0" borderId="0" xfId="0" applyAlignment="1">
      <alignment vertical="center"/>
    </xf>
    <xf numFmtId="0" fontId="0" fillId="0" borderId="0" xfId="0" applyAlignment="1">
      <alignment horizontal="left" vertical="center"/>
    </xf>
    <xf numFmtId="49" fontId="0" fillId="8" borderId="0" xfId="1" applyNumberFormat="1" applyFont="1" applyFill="1" applyBorder="1" applyAlignment="1">
      <alignment horizontal="center"/>
    </xf>
    <xf numFmtId="49" fontId="0" fillId="8" borderId="0" xfId="1" applyNumberFormat="1" applyFont="1" applyFill="1" applyBorder="1" applyAlignment="1">
      <alignment horizontal="left"/>
    </xf>
    <xf numFmtId="0" fontId="0" fillId="0" borderId="0" xfId="0" applyAlignment="1" applyProtection="1">
      <alignment wrapText="1"/>
      <protection locked="0"/>
    </xf>
    <xf numFmtId="0" fontId="8" fillId="0" borderId="0" xfId="0" applyFont="1" applyAlignment="1">
      <alignment horizontal="center" vertical="top" wrapText="1"/>
    </xf>
    <xf numFmtId="0" fontId="4" fillId="0" borderId="0" xfId="0" applyFont="1" applyAlignment="1">
      <alignment horizontal="left" wrapText="1"/>
    </xf>
  </cellXfs>
  <cellStyles count="2">
    <cellStyle name="Currency" xfId="1" builtinId="4"/>
    <cellStyle name="Normal" xfId="0" builtinId="0"/>
  </cellStyles>
  <dxfs count="8">
    <dxf>
      <font>
        <b val="0"/>
        <i val="0"/>
        <strike val="0"/>
        <condense val="0"/>
        <extend val="0"/>
        <outline val="0"/>
        <shadow val="0"/>
        <u val="none"/>
        <vertAlign val="baseline"/>
        <sz val="11"/>
        <color theme="1"/>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border outline="0">
        <left style="thin">
          <color theme="9"/>
        </left>
        <right style="thin">
          <color theme="9"/>
        </right>
        <top style="thin">
          <color theme="9"/>
        </top>
      </border>
    </dxf>
    <dxf>
      <font>
        <b val="0"/>
        <i val="0"/>
        <strike val="0"/>
        <condense val="0"/>
        <extend val="0"/>
        <outline val="0"/>
        <shadow val="0"/>
        <u val="none"/>
        <vertAlign val="baseline"/>
        <sz val="11"/>
        <color theme="1"/>
        <name val="Calibri"/>
        <scheme val="minor"/>
      </font>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266700</xdr:colOff>
      <xdr:row>2</xdr:row>
      <xdr:rowOff>66675</xdr:rowOff>
    </xdr:from>
    <xdr:to>
      <xdr:col>1</xdr:col>
      <xdr:colOff>1314449</xdr:colOff>
      <xdr:row>3</xdr:row>
      <xdr:rowOff>499250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 y="285750"/>
          <a:ext cx="1047749" cy="9850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47" totalsRowShown="0" headerRowDxfId="7" dataDxfId="6" tableBorderDxfId="5" dataCellStyle="Currency">
  <autoFilter ref="A1:E47" xr:uid="{00000000-0009-0000-0100-000001000000}"/>
  <tableColumns count="5">
    <tableColumn id="1" xr3:uid="{00000000-0010-0000-0000-000001000000}" name="AttributeUID" dataDxfId="4" dataCellStyle="Currency"/>
    <tableColumn id="5" xr3:uid="{00000000-0010-0000-0000-000005000000}" name="Q" dataDxfId="3" dataCellStyle="Currency"/>
    <tableColumn id="4" xr3:uid="{00000000-0010-0000-0000-000004000000}" name="RelativeID" dataDxfId="2" dataCellStyle="Currency">
      <calculatedColumnFormula>MATCH($D2,_answers!A$2:A$24,0)-1</calculatedColumnFormula>
    </tableColumn>
    <tableColumn id="2" xr3:uid="{00000000-0010-0000-0000-000002000000}" name="AttributeResponse" dataDxfId="1" dataCellStyle="Currency"/>
    <tableColumn id="3" xr3:uid="{00000000-0010-0000-0000-000003000000}" name="FreeText" dataDxfId="0" dataCellStyle="Currency"/>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16"/>
  <sheetViews>
    <sheetView showGridLines="0" tabSelected="1" topLeftCell="A4" zoomScaleNormal="100" workbookViewId="0">
      <selection activeCell="C15" sqref="C15"/>
    </sheetView>
  </sheetViews>
  <sheetFormatPr defaultRowHeight="14.45"/>
  <cols>
    <col min="1" max="1" width="0.5703125" customWidth="1"/>
    <col min="2" max="2" width="25" customWidth="1"/>
    <col min="3" max="3" width="54.28515625" style="1" customWidth="1"/>
    <col min="4" max="4" width="67.28515625" style="1" customWidth="1"/>
    <col min="5" max="5" width="11.7109375" customWidth="1"/>
    <col min="6" max="6" width="0.5703125" customWidth="1"/>
  </cols>
  <sheetData>
    <row r="1" spans="1:6" ht="2.25" customHeight="1">
      <c r="B1" s="11"/>
      <c r="C1" s="12"/>
      <c r="D1" s="12"/>
      <c r="E1" s="11"/>
      <c r="F1" s="11"/>
    </row>
    <row r="2" spans="1:6">
      <c r="A2" s="11"/>
      <c r="E2" s="21" t="s">
        <v>0</v>
      </c>
      <c r="F2" s="11"/>
    </row>
    <row r="3" spans="1:6" ht="43.5" customHeight="1">
      <c r="A3" s="11"/>
      <c r="C3" s="57" t="s">
        <v>1</v>
      </c>
      <c r="D3" s="57"/>
      <c r="E3" s="7" t="s">
        <v>2</v>
      </c>
      <c r="F3" s="11"/>
    </row>
    <row r="4" spans="1:6" ht="49.5" customHeight="1">
      <c r="A4" s="11"/>
      <c r="C4" s="20" t="s">
        <v>3</v>
      </c>
      <c r="D4" s="20"/>
      <c r="E4" s="47"/>
      <c r="F4" s="11"/>
    </row>
    <row r="5" spans="1:6" ht="2.25" customHeight="1">
      <c r="A5" s="11"/>
      <c r="B5" s="11"/>
      <c r="C5" s="12"/>
      <c r="D5" s="12"/>
      <c r="E5" s="11"/>
      <c r="F5" s="11"/>
    </row>
    <row r="6" spans="1:6">
      <c r="A6" s="11"/>
      <c r="B6" t="s">
        <v>4</v>
      </c>
      <c r="C6" s="15"/>
      <c r="D6" s="31" t="s">
        <v>5</v>
      </c>
      <c r="E6" s="32" t="s">
        <v>6</v>
      </c>
      <c r="F6" s="11"/>
    </row>
    <row r="7" spans="1:6">
      <c r="A7" s="11"/>
      <c r="B7" s="4" t="s">
        <v>7</v>
      </c>
      <c r="C7" s="48"/>
      <c r="D7" s="31">
        <v>50</v>
      </c>
      <c r="E7" s="33">
        <v>6658</v>
      </c>
      <c r="F7" s="11"/>
    </row>
    <row r="8" spans="1:6">
      <c r="A8" s="11"/>
      <c r="B8" s="4" t="s">
        <v>8</v>
      </c>
      <c r="C8" s="48"/>
      <c r="D8" s="31">
        <v>51</v>
      </c>
      <c r="E8" s="33">
        <v>6597</v>
      </c>
      <c r="F8" s="11"/>
    </row>
    <row r="9" spans="1:6">
      <c r="A9" s="11"/>
      <c r="B9" s="4" t="s">
        <v>9</v>
      </c>
      <c r="C9" s="48"/>
      <c r="D9" s="31">
        <v>52</v>
      </c>
      <c r="E9" s="33">
        <v>6399</v>
      </c>
      <c r="F9" s="11"/>
    </row>
    <row r="10" spans="1:6">
      <c r="A10" s="11"/>
      <c r="B10" s="4" t="s">
        <v>10</v>
      </c>
      <c r="C10" s="48"/>
      <c r="D10" s="31">
        <v>53</v>
      </c>
      <c r="E10" s="33">
        <v>6386</v>
      </c>
      <c r="F10" s="11"/>
    </row>
    <row r="11" spans="1:6">
      <c r="A11" s="11"/>
      <c r="B11" s="4" t="s">
        <v>11</v>
      </c>
      <c r="C11" s="48" t="s">
        <v>12</v>
      </c>
      <c r="D11" s="31">
        <v>54</v>
      </c>
      <c r="E11" s="33">
        <v>6659</v>
      </c>
      <c r="F11" s="11"/>
    </row>
    <row r="12" spans="1:6">
      <c r="A12" s="11"/>
      <c r="B12" s="4" t="s">
        <v>13</v>
      </c>
      <c r="C12" s="48" t="s">
        <v>14</v>
      </c>
      <c r="D12" s="31">
        <v>55</v>
      </c>
      <c r="E12" s="33">
        <v>6660</v>
      </c>
      <c r="F12" s="11"/>
    </row>
    <row r="13" spans="1:6">
      <c r="A13" s="11"/>
      <c r="C13" s="15"/>
      <c r="D13" s="31"/>
      <c r="E13" s="33"/>
      <c r="F13" s="11"/>
    </row>
    <row r="14" spans="1:6">
      <c r="A14" s="11"/>
      <c r="B14" s="5" t="s">
        <v>15</v>
      </c>
      <c r="C14" s="15"/>
      <c r="D14" s="31"/>
      <c r="E14" s="33"/>
      <c r="F14" s="11"/>
    </row>
    <row r="15" spans="1:6">
      <c r="A15" s="11"/>
      <c r="B15" s="4" t="s">
        <v>16</v>
      </c>
      <c r="C15" s="48" t="s">
        <v>17</v>
      </c>
      <c r="D15" s="31">
        <v>56</v>
      </c>
      <c r="E15" s="33">
        <v>6661</v>
      </c>
      <c r="F15" s="11"/>
    </row>
    <row r="16" spans="1:6">
      <c r="A16" s="11"/>
      <c r="B16" s="4" t="s">
        <v>18</v>
      </c>
      <c r="C16" s="48" t="s">
        <v>19</v>
      </c>
      <c r="D16" s="31">
        <v>57</v>
      </c>
      <c r="E16" s="33">
        <v>6381</v>
      </c>
      <c r="F16" s="11"/>
    </row>
    <row r="17" spans="1:6">
      <c r="A17" s="11"/>
      <c r="B17" s="4" t="s">
        <v>20</v>
      </c>
      <c r="C17" s="48" t="s">
        <v>21</v>
      </c>
      <c r="D17" s="31">
        <v>58</v>
      </c>
      <c r="E17" s="33">
        <v>6662</v>
      </c>
      <c r="F17" s="11"/>
    </row>
    <row r="18" spans="1:6" ht="28.9" customHeight="1">
      <c r="A18" s="11"/>
      <c r="B18" s="50" t="s">
        <v>22</v>
      </c>
      <c r="C18" s="48" t="s">
        <v>23</v>
      </c>
      <c r="D18" s="31">
        <v>59</v>
      </c>
      <c r="E18" s="33">
        <v>6387</v>
      </c>
      <c r="F18" s="11"/>
    </row>
    <row r="19" spans="1:6" ht="29.1">
      <c r="A19" s="11"/>
      <c r="B19" s="6" t="s">
        <v>24</v>
      </c>
      <c r="C19" s="48" t="s">
        <v>25</v>
      </c>
      <c r="D19" s="31">
        <v>61</v>
      </c>
      <c r="E19" s="33">
        <v>6664</v>
      </c>
      <c r="F19" s="11"/>
    </row>
    <row r="20" spans="1:6" ht="57.95">
      <c r="A20" s="11"/>
      <c r="B20" s="4" t="s">
        <v>26</v>
      </c>
      <c r="C20" s="48" t="s">
        <v>27</v>
      </c>
      <c r="D20" s="31">
        <v>62</v>
      </c>
      <c r="E20" s="33">
        <v>6392</v>
      </c>
      <c r="F20" s="11"/>
    </row>
    <row r="21" spans="1:6">
      <c r="A21" s="11"/>
      <c r="B21" s="4" t="s">
        <v>28</v>
      </c>
      <c r="C21" s="48" t="s">
        <v>29</v>
      </c>
      <c r="D21" s="31">
        <v>63</v>
      </c>
      <c r="E21" s="33">
        <v>6665</v>
      </c>
      <c r="F21" s="11"/>
    </row>
    <row r="22" spans="1:6">
      <c r="A22" s="11"/>
      <c r="B22" s="4" t="s">
        <v>30</v>
      </c>
      <c r="C22" s="48" t="s">
        <v>31</v>
      </c>
      <c r="D22" s="31">
        <v>64</v>
      </c>
      <c r="E22" s="33">
        <v>6667</v>
      </c>
      <c r="F22" s="11"/>
    </row>
    <row r="23" spans="1:6">
      <c r="A23" s="11"/>
      <c r="B23" s="4" t="s">
        <v>32</v>
      </c>
      <c r="C23" s="48" t="s">
        <v>31</v>
      </c>
      <c r="D23" s="31">
        <v>65</v>
      </c>
      <c r="E23" s="33">
        <v>6668</v>
      </c>
      <c r="F23" s="11"/>
    </row>
    <row r="24" spans="1:6">
      <c r="A24" s="11"/>
      <c r="B24" s="6"/>
      <c r="C24" s="15"/>
      <c r="D24" s="15"/>
      <c r="E24" s="33"/>
      <c r="F24" s="11"/>
    </row>
    <row r="25" spans="1:6" s="8" customFormat="1" ht="3" customHeight="1">
      <c r="A25" s="9"/>
      <c r="B25" s="9"/>
      <c r="C25" s="10"/>
      <c r="D25" s="10"/>
      <c r="E25" s="9"/>
      <c r="F25" s="9"/>
    </row>
    <row r="26" spans="1:6" ht="21.75" customHeight="1">
      <c r="A26" s="11"/>
      <c r="B26" s="56" t="s">
        <v>33</v>
      </c>
      <c r="C26" s="56"/>
      <c r="D26" s="56"/>
      <c r="E26" s="56"/>
      <c r="F26" s="11"/>
    </row>
    <row r="27" spans="1:6" ht="2.25" customHeight="1">
      <c r="A27" s="11"/>
      <c r="B27" s="11"/>
      <c r="C27" s="12"/>
      <c r="D27" s="12"/>
      <c r="E27" s="11"/>
      <c r="F27" s="11"/>
    </row>
    <row r="28" spans="1:6">
      <c r="A28" s="11"/>
      <c r="F28" s="11"/>
    </row>
    <row r="29" spans="1:6">
      <c r="A29" s="11"/>
      <c r="B29" s="2" t="s">
        <v>5</v>
      </c>
      <c r="C29" s="3" t="s">
        <v>34</v>
      </c>
      <c r="D29" s="14" t="s">
        <v>35</v>
      </c>
      <c r="E29" s="3" t="s">
        <v>6</v>
      </c>
      <c r="F29" s="11"/>
    </row>
    <row r="30" spans="1:6" ht="15.6">
      <c r="A30" s="11"/>
      <c r="B30" s="18">
        <v>1</v>
      </c>
      <c r="C30" s="16" t="s">
        <v>36</v>
      </c>
      <c r="D30" s="22" t="s">
        <v>37</v>
      </c>
      <c r="E30" s="23" t="s">
        <v>38</v>
      </c>
      <c r="F30" s="11"/>
    </row>
    <row r="31" spans="1:6" ht="15.6">
      <c r="A31" s="11"/>
      <c r="B31" s="19"/>
      <c r="C31" s="13" t="s">
        <v>39</v>
      </c>
      <c r="D31" s="48" t="s">
        <v>40</v>
      </c>
      <c r="E31" s="23"/>
      <c r="F31" s="11"/>
    </row>
    <row r="32" spans="1:6" ht="15.6">
      <c r="A32" s="11"/>
      <c r="B32" s="19"/>
      <c r="C32" s="13"/>
      <c r="E32" s="23"/>
      <c r="F32" s="11"/>
    </row>
    <row r="33" spans="1:6" ht="15.6">
      <c r="A33" s="11"/>
      <c r="B33" s="18">
        <v>2</v>
      </c>
      <c r="C33" s="16" t="s">
        <v>41</v>
      </c>
      <c r="D33" s="22" t="s">
        <v>42</v>
      </c>
      <c r="E33" s="23" t="s">
        <v>43</v>
      </c>
      <c r="F33" s="11"/>
    </row>
    <row r="34" spans="1:6" ht="15.6">
      <c r="A34" s="11"/>
      <c r="B34" s="19"/>
      <c r="C34" s="13" t="s">
        <v>39</v>
      </c>
      <c r="D34" s="48" t="s">
        <v>44</v>
      </c>
      <c r="E34" s="23"/>
      <c r="F34" s="11"/>
    </row>
    <row r="35" spans="1:6" ht="15.6">
      <c r="A35" s="11"/>
      <c r="B35" s="19"/>
      <c r="E35" s="23"/>
      <c r="F35" s="11"/>
    </row>
    <row r="36" spans="1:6" ht="29.1">
      <c r="A36" s="11"/>
      <c r="B36" s="18">
        <v>3</v>
      </c>
      <c r="C36" s="16" t="s">
        <v>45</v>
      </c>
      <c r="D36" s="22" t="s">
        <v>42</v>
      </c>
      <c r="E36" s="23" t="s">
        <v>46</v>
      </c>
      <c r="F36" s="11"/>
    </row>
    <row r="37" spans="1:6" ht="15.6">
      <c r="A37" s="11"/>
      <c r="B37" s="17"/>
      <c r="C37" s="13" t="s">
        <v>39</v>
      </c>
      <c r="D37" s="48" t="s">
        <v>47</v>
      </c>
      <c r="E37" s="23"/>
      <c r="F37" s="11"/>
    </row>
    <row r="38" spans="1:6" ht="15.6">
      <c r="A38" s="11"/>
      <c r="B38" s="19"/>
      <c r="E38" s="23"/>
      <c r="F38" s="11"/>
    </row>
    <row r="39" spans="1:6" ht="29.1">
      <c r="A39" s="11"/>
      <c r="B39" s="18">
        <v>4</v>
      </c>
      <c r="C39" s="16" t="s">
        <v>48</v>
      </c>
      <c r="D39" s="22" t="s">
        <v>49</v>
      </c>
      <c r="E39" s="23" t="s">
        <v>50</v>
      </c>
      <c r="F39" s="11"/>
    </row>
    <row r="40" spans="1:6" ht="15.6">
      <c r="A40" s="11"/>
      <c r="B40" s="19"/>
      <c r="C40" s="13" t="s">
        <v>39</v>
      </c>
      <c r="D40" s="48"/>
      <c r="E40" s="23"/>
      <c r="F40" s="11"/>
    </row>
    <row r="41" spans="1:6" ht="15.6">
      <c r="A41" s="11"/>
      <c r="B41" s="19"/>
      <c r="E41" s="23"/>
      <c r="F41" s="11"/>
    </row>
    <row r="42" spans="1:6" ht="29.1">
      <c r="A42" s="11"/>
      <c r="B42" s="18">
        <v>5</v>
      </c>
      <c r="C42" s="16" t="s">
        <v>51</v>
      </c>
      <c r="D42" s="22" t="s">
        <v>49</v>
      </c>
      <c r="E42" s="23" t="s">
        <v>52</v>
      </c>
      <c r="F42" s="11"/>
    </row>
    <row r="43" spans="1:6" ht="15.6">
      <c r="A43" s="11"/>
      <c r="B43" s="19"/>
      <c r="C43" s="13" t="s">
        <v>39</v>
      </c>
      <c r="D43" s="48"/>
      <c r="E43" s="23"/>
      <c r="F43" s="11"/>
    </row>
    <row r="44" spans="1:6" ht="15.6">
      <c r="A44" s="11"/>
      <c r="B44" s="19"/>
      <c r="E44" s="23"/>
      <c r="F44" s="11"/>
    </row>
    <row r="45" spans="1:6" ht="29.1">
      <c r="A45" s="11"/>
      <c r="B45" s="18">
        <v>6</v>
      </c>
      <c r="C45" s="16" t="s">
        <v>53</v>
      </c>
      <c r="D45" s="22" t="s">
        <v>54</v>
      </c>
      <c r="E45" s="23" t="s">
        <v>55</v>
      </c>
      <c r="F45" s="11"/>
    </row>
    <row r="46" spans="1:6" ht="15.6">
      <c r="A46" s="11"/>
      <c r="B46" s="19"/>
      <c r="C46" s="13" t="s">
        <v>39</v>
      </c>
      <c r="D46" s="48"/>
      <c r="E46" s="23"/>
      <c r="F46" s="11"/>
    </row>
    <row r="47" spans="1:6" ht="15.6">
      <c r="A47" s="11"/>
      <c r="B47" s="19"/>
      <c r="E47" s="23"/>
      <c r="F47" s="11"/>
    </row>
    <row r="48" spans="1:6" ht="15.6">
      <c r="A48" s="11"/>
      <c r="B48" s="18">
        <v>7</v>
      </c>
      <c r="C48" s="16" t="s">
        <v>56</v>
      </c>
      <c r="D48" s="22" t="s">
        <v>57</v>
      </c>
      <c r="E48" s="23" t="s">
        <v>58</v>
      </c>
      <c r="F48" s="11"/>
    </row>
    <row r="49" spans="1:6" ht="15.6">
      <c r="A49" s="11"/>
      <c r="B49" s="19"/>
      <c r="C49" s="13" t="s">
        <v>39</v>
      </c>
      <c r="D49" s="48" t="s">
        <v>59</v>
      </c>
      <c r="E49" s="23"/>
      <c r="F49" s="11"/>
    </row>
    <row r="50" spans="1:6" ht="15.6">
      <c r="A50" s="11"/>
      <c r="B50" s="19"/>
      <c r="E50" s="23"/>
      <c r="F50" s="11"/>
    </row>
    <row r="51" spans="1:6" ht="43.5">
      <c r="A51" s="11"/>
      <c r="B51" s="18">
        <v>8</v>
      </c>
      <c r="C51" s="16" t="s">
        <v>60</v>
      </c>
      <c r="D51" s="22" t="s">
        <v>61</v>
      </c>
      <c r="E51" s="23" t="s">
        <v>62</v>
      </c>
      <c r="F51" s="11"/>
    </row>
    <row r="52" spans="1:6" ht="29.1">
      <c r="A52" s="11"/>
      <c r="B52" s="19"/>
      <c r="C52" s="13" t="s">
        <v>39</v>
      </c>
      <c r="D52" s="48" t="s">
        <v>63</v>
      </c>
      <c r="E52" s="23"/>
      <c r="F52" s="11"/>
    </row>
    <row r="53" spans="1:6" ht="15.6">
      <c r="A53" s="11"/>
      <c r="B53" s="19"/>
      <c r="E53" s="23"/>
      <c r="F53" s="11"/>
    </row>
    <row r="54" spans="1:6" ht="43.5">
      <c r="A54" s="11"/>
      <c r="B54" s="18">
        <v>9</v>
      </c>
      <c r="C54" s="16" t="s">
        <v>64</v>
      </c>
      <c r="D54" s="22" t="s">
        <v>65</v>
      </c>
      <c r="E54" s="23" t="s">
        <v>66</v>
      </c>
      <c r="F54" s="11"/>
    </row>
    <row r="55" spans="1:6" ht="15.6">
      <c r="A55" s="11"/>
      <c r="B55" s="19"/>
      <c r="C55" s="13" t="s">
        <v>39</v>
      </c>
      <c r="D55" s="48" t="s">
        <v>67</v>
      </c>
      <c r="E55" s="23"/>
      <c r="F55" s="11"/>
    </row>
    <row r="56" spans="1:6" ht="15.6">
      <c r="A56" s="11"/>
      <c r="B56" s="19"/>
      <c r="E56" s="23"/>
      <c r="F56" s="11"/>
    </row>
    <row r="57" spans="1:6" ht="15.6">
      <c r="A57" s="11"/>
      <c r="B57" s="18">
        <v>10</v>
      </c>
      <c r="C57" s="16" t="s">
        <v>68</v>
      </c>
      <c r="D57" s="22" t="s">
        <v>69</v>
      </c>
      <c r="E57" s="23" t="s">
        <v>70</v>
      </c>
      <c r="F57" s="11"/>
    </row>
    <row r="58" spans="1:6" ht="15.6">
      <c r="A58" s="11"/>
      <c r="B58" s="19"/>
      <c r="C58" s="13" t="s">
        <v>39</v>
      </c>
      <c r="D58" s="48" t="s">
        <v>71</v>
      </c>
      <c r="E58" s="23"/>
      <c r="F58" s="11"/>
    </row>
    <row r="59" spans="1:6" ht="15.6">
      <c r="A59" s="11"/>
      <c r="B59" s="19"/>
      <c r="E59" s="23"/>
      <c r="F59" s="11"/>
    </row>
    <row r="60" spans="1:6" ht="29.1">
      <c r="A60" s="11"/>
      <c r="B60" s="18">
        <v>11</v>
      </c>
      <c r="C60" s="16" t="s">
        <v>72</v>
      </c>
      <c r="D60" s="22" t="s">
        <v>73</v>
      </c>
      <c r="E60" s="23" t="s">
        <v>74</v>
      </c>
      <c r="F60" s="11"/>
    </row>
    <row r="61" spans="1:6" ht="15.6">
      <c r="A61" s="11"/>
      <c r="B61" s="19"/>
      <c r="C61" s="13" t="s">
        <v>39</v>
      </c>
      <c r="D61" s="48"/>
      <c r="E61" s="23"/>
      <c r="F61" s="11"/>
    </row>
    <row r="62" spans="1:6" ht="15.6">
      <c r="A62" s="11"/>
      <c r="B62" s="19"/>
      <c r="E62" s="23"/>
      <c r="F62" s="11"/>
    </row>
    <row r="63" spans="1:6" ht="29.1">
      <c r="A63" s="11"/>
      <c r="B63" s="18">
        <v>12</v>
      </c>
      <c r="C63" s="16" t="s">
        <v>75</v>
      </c>
      <c r="D63" s="22" t="s">
        <v>76</v>
      </c>
      <c r="E63" s="23" t="s">
        <v>77</v>
      </c>
      <c r="F63" s="11"/>
    </row>
    <row r="64" spans="1:6" ht="15.6">
      <c r="A64" s="11"/>
      <c r="B64" s="19"/>
      <c r="C64" s="13" t="s">
        <v>39</v>
      </c>
      <c r="D64" s="48"/>
      <c r="E64" s="23"/>
      <c r="F64" s="11"/>
    </row>
    <row r="65" spans="1:6" ht="15.6">
      <c r="A65" s="11"/>
      <c r="B65" s="19"/>
      <c r="E65" s="23"/>
      <c r="F65" s="11"/>
    </row>
    <row r="66" spans="1:6" ht="15.6">
      <c r="A66" s="11"/>
      <c r="B66" s="18">
        <v>13</v>
      </c>
      <c r="C66" s="16" t="s">
        <v>78</v>
      </c>
      <c r="D66" s="22" t="s">
        <v>79</v>
      </c>
      <c r="E66" s="23" t="s">
        <v>80</v>
      </c>
      <c r="F66" s="11"/>
    </row>
    <row r="67" spans="1:6" ht="15.6">
      <c r="A67" s="11"/>
      <c r="B67" s="19"/>
      <c r="C67" s="13" t="s">
        <v>39</v>
      </c>
      <c r="D67" s="48"/>
      <c r="E67" s="23"/>
      <c r="F67" s="11"/>
    </row>
    <row r="68" spans="1:6" ht="15.6">
      <c r="A68" s="11"/>
      <c r="B68" s="19"/>
      <c r="E68" s="23"/>
      <c r="F68" s="11"/>
    </row>
    <row r="69" spans="1:6" ht="15.6">
      <c r="A69" s="11"/>
      <c r="B69" s="18">
        <v>14</v>
      </c>
      <c r="C69" s="16" t="s">
        <v>81</v>
      </c>
      <c r="D69" s="22" t="s">
        <v>82</v>
      </c>
      <c r="E69" s="23" t="s">
        <v>83</v>
      </c>
      <c r="F69" s="11"/>
    </row>
    <row r="70" spans="1:6" ht="15.6">
      <c r="A70" s="11"/>
      <c r="B70" s="19"/>
      <c r="C70" s="13" t="s">
        <v>39</v>
      </c>
      <c r="D70" s="48" t="s">
        <v>84</v>
      </c>
      <c r="E70" s="23"/>
      <c r="F70" s="11"/>
    </row>
    <row r="71" spans="1:6" ht="15.6">
      <c r="A71" s="11"/>
      <c r="B71" s="19"/>
      <c r="E71" s="23"/>
      <c r="F71" s="11"/>
    </row>
    <row r="72" spans="1:6" ht="29.1">
      <c r="A72" s="11"/>
      <c r="B72" s="18">
        <v>15</v>
      </c>
      <c r="C72" s="16" t="s">
        <v>85</v>
      </c>
      <c r="D72" s="22" t="s">
        <v>86</v>
      </c>
      <c r="E72" s="23" t="s">
        <v>87</v>
      </c>
      <c r="F72" s="11"/>
    </row>
    <row r="73" spans="1:6" ht="15.6">
      <c r="A73" s="11"/>
      <c r="B73" s="19"/>
      <c r="C73" s="13" t="s">
        <v>39</v>
      </c>
      <c r="D73" s="48" t="s">
        <v>88</v>
      </c>
      <c r="E73" s="23"/>
      <c r="F73" s="11"/>
    </row>
    <row r="74" spans="1:6" ht="15.6">
      <c r="A74" s="11"/>
      <c r="B74" s="19"/>
      <c r="E74" s="23"/>
      <c r="F74" s="11"/>
    </row>
    <row r="75" spans="1:6" ht="15.6">
      <c r="A75" s="11"/>
      <c r="B75" s="18">
        <v>16</v>
      </c>
      <c r="C75" s="16" t="s">
        <v>89</v>
      </c>
      <c r="D75" s="22" t="s">
        <v>90</v>
      </c>
      <c r="E75" s="23" t="s">
        <v>91</v>
      </c>
      <c r="F75" s="11"/>
    </row>
    <row r="76" spans="1:6" ht="15.6">
      <c r="A76" s="11"/>
      <c r="B76" s="19"/>
      <c r="C76" s="13" t="s">
        <v>39</v>
      </c>
      <c r="D76" s="48" t="s">
        <v>92</v>
      </c>
      <c r="E76" s="23"/>
      <c r="F76" s="11"/>
    </row>
    <row r="77" spans="1:6" ht="15.6">
      <c r="A77" s="11"/>
      <c r="B77" s="19"/>
      <c r="E77" s="23"/>
      <c r="F77" s="11"/>
    </row>
    <row r="78" spans="1:6" ht="29.1">
      <c r="A78" s="11"/>
      <c r="B78" s="18">
        <v>17</v>
      </c>
      <c r="C78" s="16" t="s">
        <v>93</v>
      </c>
      <c r="D78" s="22" t="s">
        <v>94</v>
      </c>
      <c r="E78" s="23" t="s">
        <v>95</v>
      </c>
      <c r="F78" s="11"/>
    </row>
    <row r="79" spans="1:6" ht="15.6">
      <c r="A79" s="11"/>
      <c r="B79" s="19"/>
      <c r="C79" s="13" t="s">
        <v>39</v>
      </c>
      <c r="D79" s="48"/>
      <c r="E79" s="23"/>
      <c r="F79" s="11"/>
    </row>
    <row r="80" spans="1:6" ht="15.6">
      <c r="A80" s="11"/>
      <c r="B80" s="19"/>
      <c r="E80" s="23"/>
      <c r="F80" s="11"/>
    </row>
    <row r="81" spans="1:6" ht="29.1">
      <c r="A81" s="11"/>
      <c r="B81" s="18">
        <v>18</v>
      </c>
      <c r="C81" s="16" t="s">
        <v>96</v>
      </c>
      <c r="D81" s="22" t="s">
        <v>97</v>
      </c>
      <c r="E81" s="23" t="s">
        <v>98</v>
      </c>
      <c r="F81" s="11"/>
    </row>
    <row r="82" spans="1:6" ht="15.6">
      <c r="A82" s="11"/>
      <c r="B82" s="19"/>
      <c r="C82" s="13" t="s">
        <v>39</v>
      </c>
      <c r="D82" s="55"/>
      <c r="E82" s="23"/>
      <c r="F82" s="11"/>
    </row>
    <row r="83" spans="1:6" ht="15.6">
      <c r="A83" s="11"/>
      <c r="B83" s="19"/>
      <c r="E83" s="23"/>
      <c r="F83" s="11"/>
    </row>
    <row r="84" spans="1:6" ht="15.6">
      <c r="A84" s="11"/>
      <c r="B84" s="18">
        <v>19</v>
      </c>
      <c r="C84" s="16" t="s">
        <v>99</v>
      </c>
      <c r="D84" s="22" t="s">
        <v>100</v>
      </c>
      <c r="E84" s="23" t="s">
        <v>101</v>
      </c>
      <c r="F84" s="11"/>
    </row>
    <row r="85" spans="1:6" ht="15.6">
      <c r="A85" s="11"/>
      <c r="B85" s="19"/>
      <c r="C85" s="13" t="s">
        <v>39</v>
      </c>
      <c r="D85" s="48" t="s">
        <v>102</v>
      </c>
      <c r="E85" s="23"/>
      <c r="F85" s="11"/>
    </row>
    <row r="86" spans="1:6" ht="15.6">
      <c r="A86" s="11"/>
      <c r="B86" s="19"/>
      <c r="E86" s="23"/>
      <c r="F86" s="11"/>
    </row>
    <row r="87" spans="1:6" ht="29.1">
      <c r="A87" s="11"/>
      <c r="B87" s="18">
        <v>20</v>
      </c>
      <c r="C87" s="16" t="s">
        <v>103</v>
      </c>
      <c r="D87" s="22" t="s">
        <v>104</v>
      </c>
      <c r="E87" s="23" t="s">
        <v>105</v>
      </c>
      <c r="F87" s="11"/>
    </row>
    <row r="88" spans="1:6" ht="57.95">
      <c r="A88" s="11"/>
      <c r="B88" s="19"/>
      <c r="C88" s="13" t="s">
        <v>39</v>
      </c>
      <c r="D88" s="48" t="s">
        <v>106</v>
      </c>
      <c r="E88" s="23"/>
      <c r="F88" s="11"/>
    </row>
    <row r="89" spans="1:6" ht="15.6">
      <c r="A89" s="11"/>
      <c r="B89" s="19"/>
      <c r="E89" s="23"/>
      <c r="F89" s="11"/>
    </row>
    <row r="90" spans="1:6" ht="15.6">
      <c r="A90" s="11"/>
      <c r="B90" s="18">
        <v>21</v>
      </c>
      <c r="C90" s="16" t="s">
        <v>107</v>
      </c>
      <c r="D90" s="22" t="s">
        <v>108</v>
      </c>
      <c r="E90" s="23" t="s">
        <v>109</v>
      </c>
      <c r="F90" s="11"/>
    </row>
    <row r="91" spans="1:6" ht="15.6">
      <c r="A91" s="11"/>
      <c r="B91" s="19"/>
      <c r="C91" s="13" t="s">
        <v>39</v>
      </c>
      <c r="D91" s="48"/>
      <c r="E91" s="23"/>
      <c r="F91" s="11"/>
    </row>
    <row r="92" spans="1:6" ht="15.6">
      <c r="A92" s="11"/>
      <c r="B92" s="19"/>
      <c r="E92" s="23"/>
      <c r="F92" s="11"/>
    </row>
    <row r="93" spans="1:6" ht="29.1">
      <c r="A93" s="11"/>
      <c r="B93" s="18">
        <v>22</v>
      </c>
      <c r="C93" s="16" t="s">
        <v>110</v>
      </c>
      <c r="D93" s="22" t="s">
        <v>111</v>
      </c>
      <c r="E93" s="23" t="s">
        <v>112</v>
      </c>
      <c r="F93" s="11"/>
    </row>
    <row r="94" spans="1:6" ht="29.1">
      <c r="A94" s="11"/>
      <c r="B94" s="19"/>
      <c r="C94" s="13" t="s">
        <v>39</v>
      </c>
      <c r="D94" s="48" t="s">
        <v>113</v>
      </c>
      <c r="E94" s="23"/>
      <c r="F94" s="11"/>
    </row>
    <row r="95" spans="1:6" ht="15.6">
      <c r="A95" s="11"/>
      <c r="B95" s="19"/>
      <c r="E95" s="23"/>
      <c r="F95" s="11"/>
    </row>
    <row r="96" spans="1:6" ht="29.1">
      <c r="A96" s="11"/>
      <c r="B96" s="18">
        <v>23</v>
      </c>
      <c r="C96" s="16" t="s">
        <v>114</v>
      </c>
      <c r="D96" s="22" t="s">
        <v>115</v>
      </c>
      <c r="E96" s="23" t="s">
        <v>116</v>
      </c>
      <c r="F96" s="11"/>
    </row>
    <row r="97" spans="1:6" ht="15.6">
      <c r="A97" s="11"/>
      <c r="B97" s="19"/>
      <c r="C97" s="13" t="s">
        <v>39</v>
      </c>
      <c r="D97" s="48"/>
      <c r="E97" s="23"/>
      <c r="F97" s="11"/>
    </row>
    <row r="98" spans="1:6" ht="15.6">
      <c r="A98" s="11"/>
      <c r="B98" s="19"/>
      <c r="E98" s="23"/>
      <c r="F98" s="11"/>
    </row>
    <row r="99" spans="1:6" ht="29.1">
      <c r="A99" s="11"/>
      <c r="B99" s="18">
        <v>24</v>
      </c>
      <c r="C99" s="16" t="s">
        <v>117</v>
      </c>
      <c r="D99" s="22" t="s">
        <v>118</v>
      </c>
      <c r="E99" s="23">
        <v>6655</v>
      </c>
      <c r="F99" s="11"/>
    </row>
    <row r="100" spans="1:6" ht="29.1">
      <c r="A100" s="11"/>
      <c r="B100" s="19"/>
      <c r="C100" s="13" t="s">
        <v>39</v>
      </c>
      <c r="D100" s="48" t="s">
        <v>119</v>
      </c>
      <c r="E100" s="23"/>
      <c r="F100" s="11"/>
    </row>
    <row r="101" spans="1:6" ht="15.6">
      <c r="A101" s="11"/>
      <c r="B101" s="17"/>
      <c r="E101" s="23"/>
      <c r="F101" s="11"/>
    </row>
    <row r="102" spans="1:6" ht="29.1">
      <c r="A102" s="11"/>
      <c r="B102" s="18">
        <v>25</v>
      </c>
      <c r="C102" s="16" t="s">
        <v>120</v>
      </c>
      <c r="D102" s="22" t="s">
        <v>42</v>
      </c>
      <c r="E102" s="23" t="s">
        <v>121</v>
      </c>
      <c r="F102" s="11"/>
    </row>
    <row r="103" spans="1:6" ht="15.6">
      <c r="A103" s="11"/>
      <c r="B103" s="17"/>
      <c r="C103" s="13" t="s">
        <v>39</v>
      </c>
      <c r="D103" s="48" t="s">
        <v>122</v>
      </c>
      <c r="E103" s="23"/>
      <c r="F103" s="11"/>
    </row>
    <row r="104" spans="1:6" ht="15.6">
      <c r="A104" s="11"/>
      <c r="B104" s="19"/>
      <c r="E104" s="23"/>
      <c r="F104" s="11"/>
    </row>
    <row r="105" spans="1:6" ht="29.1">
      <c r="A105" s="11"/>
      <c r="B105" s="18">
        <v>26</v>
      </c>
      <c r="C105" s="16" t="s">
        <v>123</v>
      </c>
      <c r="D105" s="22" t="s">
        <v>49</v>
      </c>
      <c r="E105" s="23" t="s">
        <v>124</v>
      </c>
      <c r="F105" s="11"/>
    </row>
    <row r="106" spans="1:6" ht="15.6">
      <c r="A106" s="11"/>
      <c r="B106" s="17"/>
      <c r="C106" s="13" t="s">
        <v>39</v>
      </c>
      <c r="D106" s="48"/>
      <c r="E106" s="23"/>
      <c r="F106" s="11"/>
    </row>
    <row r="107" spans="1:6" ht="15.6">
      <c r="A107" s="11"/>
      <c r="B107" s="19"/>
      <c r="E107" s="23"/>
      <c r="F107" s="11"/>
    </row>
    <row r="108" spans="1:6" ht="29.1">
      <c r="A108" s="11"/>
      <c r="B108" s="18">
        <v>27</v>
      </c>
      <c r="C108" s="16" t="s">
        <v>125</v>
      </c>
      <c r="D108" s="22" t="s">
        <v>126</v>
      </c>
      <c r="E108" s="23" t="s">
        <v>127</v>
      </c>
      <c r="F108" s="11"/>
    </row>
    <row r="109" spans="1:6" ht="15.6">
      <c r="A109" s="11"/>
      <c r="B109" s="17"/>
      <c r="C109" s="13" t="s">
        <v>39</v>
      </c>
      <c r="D109" s="48"/>
      <c r="E109" s="23"/>
      <c r="F109" s="11"/>
    </row>
    <row r="110" spans="1:6" ht="15.6">
      <c r="A110" s="11"/>
      <c r="B110" s="17"/>
      <c r="E110" s="23"/>
      <c r="F110" s="11"/>
    </row>
    <row r="111" spans="1:6" ht="15.6">
      <c r="A111" s="11"/>
      <c r="B111" s="18">
        <v>28</v>
      </c>
      <c r="C111" s="16" t="s">
        <v>128</v>
      </c>
      <c r="D111" s="22" t="s">
        <v>129</v>
      </c>
      <c r="E111" s="23" t="s">
        <v>130</v>
      </c>
      <c r="F111" s="11"/>
    </row>
    <row r="112" spans="1:6" ht="15.6">
      <c r="A112" s="11"/>
      <c r="B112" s="17"/>
      <c r="C112" s="13" t="s">
        <v>39</v>
      </c>
      <c r="D112" s="48" t="s">
        <v>131</v>
      </c>
      <c r="E112" s="23"/>
      <c r="F112" s="11"/>
    </row>
    <row r="113" spans="1:6" ht="15.6">
      <c r="A113" s="11"/>
      <c r="B113" s="17"/>
      <c r="E113" s="23"/>
      <c r="F113" s="11"/>
    </row>
    <row r="114" spans="1:6" ht="32.450000000000003" customHeight="1">
      <c r="A114" s="11"/>
      <c r="B114" s="18">
        <v>29</v>
      </c>
      <c r="C114" s="16" t="s">
        <v>132</v>
      </c>
      <c r="D114" s="22" t="s">
        <v>133</v>
      </c>
      <c r="E114" s="23" t="s">
        <v>134</v>
      </c>
      <c r="F114" s="11"/>
    </row>
    <row r="115" spans="1:6" ht="29.1">
      <c r="A115" s="11"/>
      <c r="B115" s="17"/>
      <c r="C115" s="13" t="s">
        <v>39</v>
      </c>
      <c r="D115" s="48" t="s">
        <v>135</v>
      </c>
      <c r="E115" s="23"/>
      <c r="F115" s="11"/>
    </row>
    <row r="116" spans="1:6" ht="2.25" customHeight="1">
      <c r="B116" s="11"/>
      <c r="C116" s="12"/>
      <c r="D116" s="12"/>
      <c r="E116" s="11"/>
      <c r="F116" s="11"/>
    </row>
  </sheetData>
  <sheetProtection algorithmName="SHA-512" hashValue="KrfRCSRMyjd+VWkIga0Vzyd7e9W6NyfLSp9S3181IKyeHF1T/P3reYmsdVQ0qdw582mMnFH3pdzCxr2vushbBw==" saltValue="4PnFpM1WsdGNa86uwzYZmA==" spinCount="100000" sheet="1" objects="1" scenarios="1"/>
  <mergeCells count="2">
    <mergeCell ref="B26:E26"/>
    <mergeCell ref="C3:D3"/>
  </mergeCells>
  <dataValidations count="3">
    <dataValidation type="textLength" allowBlank="1" showInputMessage="1" showErrorMessage="1" sqref="D31 D34 D37 D40 D43 D46 D49 D52 D55 D58 D61 D64 D67 D70 D73 D76 D79 D85 D88 D91 D94 D97 D100 D103 D106 D115 D109 D112" xr:uid="{00000000-0002-0000-0000-000000000000}">
      <formula1>0</formula1>
      <formula2>511</formula2>
    </dataValidation>
    <dataValidation type="textLength" operator="lessThanOrEqual" allowBlank="1" showInputMessage="1" showErrorMessage="1" sqref="C7:C12 C15:C16" xr:uid="{00000000-0002-0000-0000-000001000000}">
      <formula1>256</formula1>
    </dataValidation>
    <dataValidation type="textLength" operator="lessThanOrEqual" allowBlank="1" showInputMessage="1" showErrorMessage="1" sqref="C17:D23" xr:uid="{00000000-0002-0000-0000-000002000000}">
      <formula1>510</formula1>
    </dataValidation>
  </dataValidations>
  <pageMargins left="0.25" right="0.25" top="0.75" bottom="0.75" header="0.3" footer="0.3"/>
  <pageSetup scale="64" fitToHeight="0" orientation="portrait" horizontalDpi="200" verticalDpi="200" r:id="rId1"/>
  <drawing r:id="rId2"/>
  <extLst>
    <ext xmlns:x14="http://schemas.microsoft.com/office/spreadsheetml/2009/9/main" uri="{CCE6A557-97BC-4b89-ADB6-D9C93CAAB3DF}">
      <x14:dataValidations xmlns:xm="http://schemas.microsoft.com/office/excel/2006/main" count="29">
        <x14:dataValidation type="list" allowBlank="1" showInputMessage="1" showErrorMessage="1" xr:uid="{00000000-0002-0000-0000-000003000000}">
          <x14:formula1>
            <xm:f>_answers!$E$2:$E$11</xm:f>
          </x14:formula1>
          <xm:sqref>D42</xm:sqref>
        </x14:dataValidation>
        <x14:dataValidation type="list" allowBlank="1" showInputMessage="1" showErrorMessage="1" xr:uid="{00000000-0002-0000-0000-000004000000}">
          <x14:formula1>
            <xm:f>_answers!$A$2:$A$6</xm:f>
          </x14:formula1>
          <xm:sqref>D30</xm:sqref>
        </x14:dataValidation>
        <x14:dataValidation type="list" allowBlank="1" showInputMessage="1" showErrorMessage="1" xr:uid="{00000000-0002-0000-0000-000005000000}">
          <x14:formula1>
            <xm:f>_answers!$D$2:$D$11</xm:f>
          </x14:formula1>
          <xm:sqref>D39</xm:sqref>
        </x14:dataValidation>
        <x14:dataValidation type="list" allowBlank="1" showInputMessage="1" showErrorMessage="1" xr:uid="{00000000-0002-0000-0000-000006000000}">
          <x14:formula1>
            <xm:f>_answers!$J$2:$J$8</xm:f>
          </x14:formula1>
          <xm:sqref>D57</xm:sqref>
        </x14:dataValidation>
        <x14:dataValidation type="list" allowBlank="1" showInputMessage="1" showErrorMessage="1" xr:uid="{00000000-0002-0000-0000-000007000000}">
          <x14:formula1>
            <xm:f>_answers!$K$2:$K$9</xm:f>
          </x14:formula1>
          <xm:sqref>D60</xm:sqref>
        </x14:dataValidation>
        <x14:dataValidation type="list" allowBlank="1" showInputMessage="1" showErrorMessage="1" xr:uid="{00000000-0002-0000-0000-000008000000}">
          <x14:formula1>
            <xm:f>_answers!$L$2:$L$6</xm:f>
          </x14:formula1>
          <xm:sqref>D63</xm:sqref>
        </x14:dataValidation>
        <x14:dataValidation type="list" allowBlank="1" showInputMessage="1" showErrorMessage="1" xr:uid="{00000000-0002-0000-0000-000009000000}">
          <x14:formula1>
            <xm:f>_answers!$O$2:$O$10</xm:f>
          </x14:formula1>
          <xm:sqref>D72</xm:sqref>
        </x14:dataValidation>
        <x14:dataValidation type="list" allowBlank="1" showInputMessage="1" showErrorMessage="1" xr:uid="{00000000-0002-0000-0000-00000A000000}">
          <x14:formula1>
            <xm:f>_answers!$P$2:$P$9</xm:f>
          </x14:formula1>
          <xm:sqref>D75</xm:sqref>
        </x14:dataValidation>
        <x14:dataValidation type="list" allowBlank="1" showInputMessage="1" showErrorMessage="1" xr:uid="{00000000-0002-0000-0000-00000B000000}">
          <x14:formula1>
            <xm:f>_answers!$Q$2:$Q$12</xm:f>
          </x14:formula1>
          <xm:sqref>D78</xm:sqref>
        </x14:dataValidation>
        <x14:dataValidation type="list" allowBlank="1" showInputMessage="1" showErrorMessage="1" xr:uid="{00000000-0002-0000-0000-00000C000000}">
          <x14:formula1>
            <xm:f>_answers!$R$2:$R$7</xm:f>
          </x14:formula1>
          <xm:sqref>D81</xm:sqref>
        </x14:dataValidation>
        <x14:dataValidation type="list" allowBlank="1" showInputMessage="1" showErrorMessage="1" xr:uid="{00000000-0002-0000-0000-00000D000000}">
          <x14:formula1>
            <xm:f>_answers!$S$2:$S$11</xm:f>
          </x14:formula1>
          <xm:sqref>D84</xm:sqref>
        </x14:dataValidation>
        <x14:dataValidation type="list" allowBlank="1" showInputMessage="1" showErrorMessage="1" xr:uid="{00000000-0002-0000-0000-00000E000000}">
          <x14:formula1>
            <xm:f>_answers!$T$2:$T$7</xm:f>
          </x14:formula1>
          <xm:sqref>D87</xm:sqref>
        </x14:dataValidation>
        <x14:dataValidation type="list" allowBlank="1" showInputMessage="1" showErrorMessage="1" xr:uid="{00000000-0002-0000-0000-00000F000000}">
          <x14:formula1>
            <xm:f>_answers!$W$2:$W$14</xm:f>
          </x14:formula1>
          <xm:sqref>D96</xm:sqref>
        </x14:dataValidation>
        <x14:dataValidation type="list" allowBlank="1" showInputMessage="1" showErrorMessage="1" xr:uid="{00000000-0002-0000-0000-000010000000}">
          <x14:formula1>
            <xm:f>_answers!$X$2:$X$9</xm:f>
          </x14:formula1>
          <xm:sqref>D99</xm:sqref>
        </x14:dataValidation>
        <x14:dataValidation type="list" allowBlank="1" showInputMessage="1" showErrorMessage="1" xr:uid="{00000000-0002-0000-0000-000011000000}">
          <x14:formula1>
            <xm:f>_answers!$Z$2:$Z$7</xm:f>
          </x14:formula1>
          <xm:sqref>D105</xm:sqref>
        </x14:dataValidation>
        <x14:dataValidation type="list" allowBlank="1" showInputMessage="1" showErrorMessage="1" xr:uid="{00000000-0002-0000-0000-000012000000}">
          <x14:formula1>
            <xm:f>_answers!$AA$2:$AA$7</xm:f>
          </x14:formula1>
          <xm:sqref>D108</xm:sqref>
        </x14:dataValidation>
        <x14:dataValidation type="list" allowBlank="1" showInputMessage="1" showErrorMessage="1" xr:uid="{00000000-0002-0000-0000-000013000000}">
          <x14:formula1>
            <xm:f>_answers!$AB$2:$AB$6</xm:f>
          </x14:formula1>
          <xm:sqref>D111</xm:sqref>
        </x14:dataValidation>
        <x14:dataValidation type="list" allowBlank="1" showInputMessage="1" showErrorMessage="1" xr:uid="{00000000-0002-0000-0000-000014000000}">
          <x14:formula1>
            <xm:f>_answers!$V$2:$V$8</xm:f>
          </x14:formula1>
          <xm:sqref>D93</xm:sqref>
        </x14:dataValidation>
        <x14:dataValidation type="list" allowBlank="1" showInputMessage="1" showErrorMessage="1" xr:uid="{00000000-0002-0000-0000-000015000000}">
          <x14:formula1>
            <xm:f>_answers!$G$2:$G$24</xm:f>
          </x14:formula1>
          <xm:sqref>D48</xm:sqref>
        </x14:dataValidation>
        <x14:dataValidation type="list" allowBlank="1" showInputMessage="1" showErrorMessage="1" xr:uid="{00000000-0002-0000-0000-000016000000}">
          <x14:formula1>
            <xm:f>_answers!$M$2:$M$7</xm:f>
          </x14:formula1>
          <xm:sqref>D66</xm:sqref>
        </x14:dataValidation>
        <x14:dataValidation type="list" allowBlank="1" showInputMessage="1" showErrorMessage="1" xr:uid="{00000000-0002-0000-0000-000017000000}">
          <x14:formula1>
            <xm:f>_answers!$U$2:$U$8</xm:f>
          </x14:formula1>
          <xm:sqref>D90</xm:sqref>
        </x14:dataValidation>
        <x14:dataValidation type="list" allowBlank="1" showInputMessage="1" showErrorMessage="1" xr:uid="{00000000-0002-0000-0000-000018000000}">
          <x14:formula1>
            <xm:f>_answers!$C$2:$C$7</xm:f>
          </x14:formula1>
          <xm:sqref>D36</xm:sqref>
        </x14:dataValidation>
        <x14:dataValidation type="list" allowBlank="1" showInputMessage="1" showErrorMessage="1" xr:uid="{00000000-0002-0000-0000-000019000000}">
          <x14:formula1>
            <xm:f>_answers!$B$2:$B$12</xm:f>
          </x14:formula1>
          <xm:sqref>D33</xm:sqref>
        </x14:dataValidation>
        <x14:dataValidation type="list" allowBlank="1" showInputMessage="1" showErrorMessage="1" xr:uid="{00000000-0002-0000-0000-00001A000000}">
          <x14:formula1>
            <xm:f>_answers!$F$2:$F$5</xm:f>
          </x14:formula1>
          <xm:sqref>D45</xm:sqref>
        </x14:dataValidation>
        <x14:dataValidation type="list" allowBlank="1" showInputMessage="1" showErrorMessage="1" xr:uid="{00000000-0002-0000-0000-00001B000000}">
          <x14:formula1>
            <xm:f>_answers!$N$2:$N$7</xm:f>
          </x14:formula1>
          <xm:sqref>D69</xm:sqref>
        </x14:dataValidation>
        <x14:dataValidation type="list" allowBlank="1" showInputMessage="1" showErrorMessage="1" xr:uid="{00000000-0002-0000-0000-00001C000000}">
          <x14:formula1>
            <xm:f>_answers!$Y$2:$Y$5</xm:f>
          </x14:formula1>
          <xm:sqref>D102</xm:sqref>
        </x14:dataValidation>
        <x14:dataValidation type="list" allowBlank="1" showInputMessage="1" showErrorMessage="1" xr:uid="{00000000-0002-0000-0000-00001D000000}">
          <x14:formula1>
            <xm:f>_answers!$H$2:$H$11</xm:f>
          </x14:formula1>
          <xm:sqref>D51</xm:sqref>
        </x14:dataValidation>
        <x14:dataValidation type="list" allowBlank="1" showInputMessage="1" showErrorMessage="1" xr:uid="{00000000-0002-0000-0000-00001E000000}">
          <x14:formula1>
            <xm:f>_answers!$I$2:$I$11</xm:f>
          </x14:formula1>
          <xm:sqref>D54</xm:sqref>
        </x14:dataValidation>
        <x14:dataValidation type="list" allowBlank="1" showInputMessage="1" showErrorMessage="1" xr:uid="{00000000-0002-0000-0000-00001F000000}">
          <x14:formula1>
            <xm:f>_answers!$AC$2:$AC$7</xm:f>
          </x14:formula1>
          <xm:sqref>D114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4"/>
  <sheetViews>
    <sheetView topLeftCell="Y1" workbookViewId="0">
      <selection activeCell="Z6" sqref="Z6"/>
    </sheetView>
  </sheetViews>
  <sheetFormatPr defaultRowHeight="14.45"/>
  <cols>
    <col min="1" max="1" width="24.5703125" customWidth="1"/>
    <col min="2" max="2" width="32.140625" style="5" customWidth="1"/>
    <col min="3" max="3" width="32.7109375" customWidth="1"/>
    <col min="4" max="4" width="36" customWidth="1"/>
    <col min="5" max="5" width="31.85546875" customWidth="1"/>
    <col min="6" max="7" width="42.28515625" customWidth="1"/>
    <col min="8" max="34" width="34" customWidth="1"/>
  </cols>
  <sheetData>
    <row r="1" spans="1:30">
      <c r="A1" s="25">
        <v>1</v>
      </c>
      <c r="B1" s="26">
        <v>2</v>
      </c>
      <c r="C1" s="25">
        <v>3</v>
      </c>
      <c r="D1" s="25">
        <v>4</v>
      </c>
      <c r="E1" s="25">
        <v>5</v>
      </c>
      <c r="F1" s="25">
        <v>6</v>
      </c>
      <c r="G1" s="25">
        <v>7</v>
      </c>
      <c r="H1" s="25">
        <v>8</v>
      </c>
      <c r="I1" s="25">
        <v>9</v>
      </c>
      <c r="J1" s="25">
        <v>10</v>
      </c>
      <c r="K1" s="25">
        <v>11</v>
      </c>
      <c r="L1" s="25">
        <v>12</v>
      </c>
      <c r="M1" s="25">
        <v>13</v>
      </c>
      <c r="N1" s="25">
        <v>14</v>
      </c>
      <c r="O1" s="25">
        <v>15</v>
      </c>
      <c r="P1" s="25">
        <v>16</v>
      </c>
      <c r="Q1" s="25">
        <v>17</v>
      </c>
      <c r="R1" s="25">
        <v>18</v>
      </c>
      <c r="S1" s="25">
        <v>19</v>
      </c>
      <c r="T1" s="25">
        <v>20</v>
      </c>
      <c r="U1" s="25">
        <v>21</v>
      </c>
      <c r="V1" s="25">
        <v>22</v>
      </c>
      <c r="W1" s="25">
        <v>23</v>
      </c>
      <c r="X1" s="25">
        <v>24</v>
      </c>
      <c r="Y1" s="25">
        <v>25</v>
      </c>
      <c r="Z1" s="25">
        <v>26</v>
      </c>
      <c r="AA1" s="25">
        <v>27</v>
      </c>
      <c r="AB1" s="25">
        <v>28</v>
      </c>
      <c r="AC1" s="25">
        <v>29</v>
      </c>
    </row>
    <row r="2" spans="1:30" ht="29.1">
      <c r="A2" s="24" t="s">
        <v>49</v>
      </c>
      <c r="B2" s="51" t="s">
        <v>49</v>
      </c>
      <c r="C2" s="51" t="s">
        <v>136</v>
      </c>
      <c r="D2" s="24" t="s">
        <v>49</v>
      </c>
      <c r="E2" s="24" t="s">
        <v>49</v>
      </c>
      <c r="F2" s="24" t="s">
        <v>54</v>
      </c>
      <c r="G2" s="24" t="s">
        <v>137</v>
      </c>
      <c r="H2" s="24" t="s">
        <v>138</v>
      </c>
      <c r="I2" s="24" t="s">
        <v>139</v>
      </c>
      <c r="J2" s="24" t="s">
        <v>140</v>
      </c>
      <c r="K2" s="24" t="s">
        <v>73</v>
      </c>
      <c r="L2" s="24" t="s">
        <v>141</v>
      </c>
      <c r="M2" s="24" t="s">
        <v>142</v>
      </c>
      <c r="N2" s="24" t="s">
        <v>143</v>
      </c>
      <c r="O2" s="24" t="s">
        <v>49</v>
      </c>
      <c r="P2" s="24" t="s">
        <v>144</v>
      </c>
      <c r="Q2" s="24" t="s">
        <v>145</v>
      </c>
      <c r="R2" s="24" t="s">
        <v>97</v>
      </c>
      <c r="S2" s="24" t="s">
        <v>100</v>
      </c>
      <c r="T2" s="24" t="s">
        <v>49</v>
      </c>
      <c r="U2" s="24" t="s">
        <v>146</v>
      </c>
      <c r="V2" s="24" t="s">
        <v>147</v>
      </c>
      <c r="W2" s="24" t="s">
        <v>49</v>
      </c>
      <c r="X2" s="24" t="s">
        <v>118</v>
      </c>
      <c r="Y2" s="24" t="s">
        <v>49</v>
      </c>
      <c r="Z2" s="24" t="s">
        <v>49</v>
      </c>
      <c r="AA2" s="24" t="s">
        <v>148</v>
      </c>
      <c r="AB2" s="24" t="s">
        <v>149</v>
      </c>
      <c r="AC2" s="1" t="s">
        <v>150</v>
      </c>
    </row>
    <row r="3" spans="1:30" ht="43.5">
      <c r="A3" s="24" t="s">
        <v>151</v>
      </c>
      <c r="B3" s="51" t="s">
        <v>152</v>
      </c>
      <c r="C3" s="51" t="s">
        <v>49</v>
      </c>
      <c r="D3" s="24" t="s">
        <v>153</v>
      </c>
      <c r="E3" s="24" t="s">
        <v>154</v>
      </c>
      <c r="F3" s="24" t="s">
        <v>155</v>
      </c>
      <c r="G3" s="24" t="s">
        <v>156</v>
      </c>
      <c r="H3" s="24" t="s">
        <v>61</v>
      </c>
      <c r="I3" s="24" t="s">
        <v>65</v>
      </c>
      <c r="J3" s="24" t="s">
        <v>157</v>
      </c>
      <c r="K3" s="24" t="s">
        <v>158</v>
      </c>
      <c r="L3" s="24" t="s">
        <v>159</v>
      </c>
      <c r="M3" s="24" t="s">
        <v>79</v>
      </c>
      <c r="N3" s="24" t="s">
        <v>160</v>
      </c>
      <c r="O3" s="24" t="s">
        <v>86</v>
      </c>
      <c r="P3" s="24" t="s">
        <v>161</v>
      </c>
      <c r="Q3" s="24" t="s">
        <v>162</v>
      </c>
      <c r="R3" s="24" t="s">
        <v>163</v>
      </c>
      <c r="S3" s="24" t="s">
        <v>164</v>
      </c>
      <c r="T3" s="24" t="s">
        <v>165</v>
      </c>
      <c r="U3" s="24" t="s">
        <v>108</v>
      </c>
      <c r="V3" s="24" t="s">
        <v>166</v>
      </c>
      <c r="W3" s="24" t="s">
        <v>167</v>
      </c>
      <c r="X3" s="24" t="s">
        <v>168</v>
      </c>
      <c r="Y3" s="24" t="s">
        <v>169</v>
      </c>
      <c r="Z3" s="24" t="s">
        <v>170</v>
      </c>
      <c r="AA3" s="24" t="s">
        <v>126</v>
      </c>
      <c r="AB3" s="24" t="s">
        <v>171</v>
      </c>
      <c r="AC3" s="1" t="s">
        <v>133</v>
      </c>
    </row>
    <row r="4" spans="1:30" ht="43.5">
      <c r="A4" s="24" t="s">
        <v>37</v>
      </c>
      <c r="B4" s="51" t="s">
        <v>172</v>
      </c>
      <c r="C4" s="51" t="s">
        <v>173</v>
      </c>
      <c r="D4" s="24" t="s">
        <v>174</v>
      </c>
      <c r="E4" s="24" t="s">
        <v>175</v>
      </c>
      <c r="F4" s="24" t="s">
        <v>176</v>
      </c>
      <c r="G4" s="24" t="s">
        <v>177</v>
      </c>
      <c r="H4" s="24" t="s">
        <v>178</v>
      </c>
      <c r="I4" s="24" t="s">
        <v>179</v>
      </c>
      <c r="J4" s="24" t="s">
        <v>180</v>
      </c>
      <c r="K4" s="24" t="s">
        <v>181</v>
      </c>
      <c r="L4" s="24" t="s">
        <v>182</v>
      </c>
      <c r="M4" s="24" t="s">
        <v>183</v>
      </c>
      <c r="N4" s="24" t="s">
        <v>184</v>
      </c>
      <c r="O4" s="24" t="s">
        <v>185</v>
      </c>
      <c r="P4" s="24" t="s">
        <v>90</v>
      </c>
      <c r="Q4" s="24" t="s">
        <v>186</v>
      </c>
      <c r="R4" s="24" t="s">
        <v>187</v>
      </c>
      <c r="S4" s="24" t="s">
        <v>188</v>
      </c>
      <c r="T4" s="24" t="s">
        <v>189</v>
      </c>
      <c r="U4" s="24" t="s">
        <v>190</v>
      </c>
      <c r="V4" s="24" t="s">
        <v>191</v>
      </c>
      <c r="W4" s="24" t="s">
        <v>192</v>
      </c>
      <c r="X4" s="24" t="s">
        <v>193</v>
      </c>
      <c r="Y4" s="24" t="s">
        <v>194</v>
      </c>
      <c r="Z4" s="24" t="s">
        <v>195</v>
      </c>
      <c r="AA4" s="24" t="s">
        <v>196</v>
      </c>
      <c r="AB4" s="24" t="s">
        <v>197</v>
      </c>
      <c r="AC4" s="1" t="s">
        <v>198</v>
      </c>
    </row>
    <row r="5" spans="1:30" ht="43.5">
      <c r="A5" s="24" t="s">
        <v>199</v>
      </c>
      <c r="B5" s="51" t="s">
        <v>200</v>
      </c>
      <c r="C5" s="51" t="s">
        <v>201</v>
      </c>
      <c r="D5" s="24" t="s">
        <v>202</v>
      </c>
      <c r="E5" s="24" t="s">
        <v>203</v>
      </c>
      <c r="F5" s="24" t="s">
        <v>204</v>
      </c>
      <c r="G5" s="24" t="s">
        <v>205</v>
      </c>
      <c r="H5" s="24" t="s">
        <v>206</v>
      </c>
      <c r="I5" s="24" t="s">
        <v>207</v>
      </c>
      <c r="J5" s="24" t="s">
        <v>208</v>
      </c>
      <c r="K5" s="24" t="s">
        <v>209</v>
      </c>
      <c r="L5" s="24" t="s">
        <v>76</v>
      </c>
      <c r="M5" s="24" t="s">
        <v>210</v>
      </c>
      <c r="N5" s="24" t="s">
        <v>211</v>
      </c>
      <c r="O5" s="24" t="s">
        <v>212</v>
      </c>
      <c r="P5" s="24" t="s">
        <v>213</v>
      </c>
      <c r="Q5" s="24" t="s">
        <v>214</v>
      </c>
      <c r="R5" s="24" t="s">
        <v>215</v>
      </c>
      <c r="S5" s="24" t="s">
        <v>216</v>
      </c>
      <c r="T5" s="24" t="s">
        <v>217</v>
      </c>
      <c r="U5" s="24" t="s">
        <v>218</v>
      </c>
      <c r="V5" s="24" t="s">
        <v>219</v>
      </c>
      <c r="W5" s="24" t="s">
        <v>220</v>
      </c>
      <c r="X5" s="24" t="s">
        <v>221</v>
      </c>
      <c r="Y5" s="24" t="s">
        <v>42</v>
      </c>
      <c r="Z5" s="24" t="s">
        <v>222</v>
      </c>
      <c r="AA5" s="24" t="s">
        <v>223</v>
      </c>
      <c r="AB5" s="24" t="s">
        <v>224</v>
      </c>
      <c r="AC5" s="1" t="s">
        <v>225</v>
      </c>
    </row>
    <row r="6" spans="1:30" ht="43.5">
      <c r="A6" s="24" t="s">
        <v>42</v>
      </c>
      <c r="B6" s="51" t="s">
        <v>226</v>
      </c>
      <c r="C6" s="51" t="s">
        <v>227</v>
      </c>
      <c r="D6" s="24" t="s">
        <v>228</v>
      </c>
      <c r="E6" s="24" t="s">
        <v>229</v>
      </c>
      <c r="F6" s="24"/>
      <c r="G6" s="24" t="s">
        <v>230</v>
      </c>
      <c r="H6" s="24" t="s">
        <v>231</v>
      </c>
      <c r="I6" s="24" t="s">
        <v>232</v>
      </c>
      <c r="J6" s="24" t="s">
        <v>233</v>
      </c>
      <c r="K6" s="24" t="s">
        <v>234</v>
      </c>
      <c r="L6" s="24" t="s">
        <v>129</v>
      </c>
      <c r="M6" s="24" t="s">
        <v>235</v>
      </c>
      <c r="N6" s="24" t="s">
        <v>82</v>
      </c>
      <c r="O6" s="24" t="s">
        <v>236</v>
      </c>
      <c r="P6" s="24" t="s">
        <v>237</v>
      </c>
      <c r="Q6" s="24" t="s">
        <v>238</v>
      </c>
      <c r="R6" s="24" t="s">
        <v>239</v>
      </c>
      <c r="S6" s="24" t="s">
        <v>240</v>
      </c>
      <c r="T6" s="24" t="s">
        <v>241</v>
      </c>
      <c r="U6" s="24" t="s">
        <v>242</v>
      </c>
      <c r="V6" s="24" t="s">
        <v>243</v>
      </c>
      <c r="W6" s="24" t="s">
        <v>244</v>
      </c>
      <c r="X6" s="24" t="s">
        <v>245</v>
      </c>
      <c r="Z6" s="24" t="s">
        <v>246</v>
      </c>
      <c r="AA6" s="24" t="s">
        <v>247</v>
      </c>
      <c r="AB6" s="24" t="s">
        <v>129</v>
      </c>
      <c r="AC6" s="1" t="s">
        <v>248</v>
      </c>
    </row>
    <row r="7" spans="1:30" ht="43.5">
      <c r="A7" s="51"/>
      <c r="B7" s="51" t="s">
        <v>249</v>
      </c>
      <c r="C7" s="51" t="s">
        <v>42</v>
      </c>
      <c r="D7" s="24" t="s">
        <v>250</v>
      </c>
      <c r="E7" s="24" t="s">
        <v>251</v>
      </c>
      <c r="F7" s="24"/>
      <c r="G7" s="24" t="s">
        <v>252</v>
      </c>
      <c r="H7" s="24" t="s">
        <v>253</v>
      </c>
      <c r="I7" s="24" t="s">
        <v>254</v>
      </c>
      <c r="J7" s="24" t="s">
        <v>69</v>
      </c>
      <c r="K7" s="24" t="s">
        <v>255</v>
      </c>
      <c r="M7" s="24" t="s">
        <v>42</v>
      </c>
      <c r="N7" s="24" t="s">
        <v>42</v>
      </c>
      <c r="O7" s="24" t="s">
        <v>256</v>
      </c>
      <c r="P7" s="24" t="s">
        <v>257</v>
      </c>
      <c r="Q7" s="24" t="s">
        <v>94</v>
      </c>
      <c r="R7" s="24" t="s">
        <v>258</v>
      </c>
      <c r="S7" s="24" t="s">
        <v>259</v>
      </c>
      <c r="T7" s="24" t="s">
        <v>104</v>
      </c>
      <c r="U7" s="24" t="s">
        <v>260</v>
      </c>
      <c r="V7" s="24" t="s">
        <v>111</v>
      </c>
      <c r="W7" s="24" t="s">
        <v>261</v>
      </c>
      <c r="X7" s="24" t="s">
        <v>262</v>
      </c>
      <c r="Z7" s="24" t="s">
        <v>42</v>
      </c>
      <c r="AA7" s="24" t="s">
        <v>42</v>
      </c>
      <c r="AC7" s="1" t="s">
        <v>129</v>
      </c>
      <c r="AD7" s="1"/>
    </row>
    <row r="8" spans="1:30" ht="43.5">
      <c r="A8" s="51"/>
      <c r="B8" s="51" t="s">
        <v>263</v>
      </c>
      <c r="C8" s="51"/>
      <c r="D8" s="24" t="s">
        <v>264</v>
      </c>
      <c r="E8" s="24" t="s">
        <v>265</v>
      </c>
      <c r="F8" s="24"/>
      <c r="G8" s="24" t="s">
        <v>266</v>
      </c>
      <c r="H8" s="24" t="s">
        <v>267</v>
      </c>
      <c r="I8" s="24" t="s">
        <v>268</v>
      </c>
      <c r="J8" s="24" t="s">
        <v>129</v>
      </c>
      <c r="K8" s="24" t="s">
        <v>269</v>
      </c>
      <c r="O8" s="24" t="s">
        <v>270</v>
      </c>
      <c r="P8" s="24" t="s">
        <v>271</v>
      </c>
      <c r="Q8" s="24" t="s">
        <v>272</v>
      </c>
      <c r="S8" s="24" t="s">
        <v>273</v>
      </c>
      <c r="U8" s="24" t="s">
        <v>274</v>
      </c>
      <c r="V8" s="24" t="s">
        <v>258</v>
      </c>
      <c r="W8" s="24" t="s">
        <v>275</v>
      </c>
      <c r="X8" s="24" t="s">
        <v>276</v>
      </c>
      <c r="AA8" s="24"/>
    </row>
    <row r="9" spans="1:30" ht="43.5">
      <c r="A9" s="51"/>
      <c r="B9" s="51" t="s">
        <v>277</v>
      </c>
      <c r="C9" s="51"/>
      <c r="D9" s="24" t="s">
        <v>278</v>
      </c>
      <c r="E9" s="24" t="s">
        <v>279</v>
      </c>
      <c r="F9" s="24"/>
      <c r="G9" s="24" t="s">
        <v>280</v>
      </c>
      <c r="H9" s="24" t="s">
        <v>281</v>
      </c>
      <c r="I9" s="24" t="s">
        <v>282</v>
      </c>
      <c r="K9" s="24" t="s">
        <v>129</v>
      </c>
      <c r="O9" s="24" t="s">
        <v>283</v>
      </c>
      <c r="P9" s="24" t="s">
        <v>42</v>
      </c>
      <c r="Q9" s="24" t="s">
        <v>284</v>
      </c>
      <c r="S9" s="24" t="s">
        <v>285</v>
      </c>
      <c r="W9" s="24" t="s">
        <v>286</v>
      </c>
      <c r="X9" s="24" t="s">
        <v>129</v>
      </c>
      <c r="AA9" s="24"/>
    </row>
    <row r="10" spans="1:30" ht="43.5">
      <c r="A10" s="51"/>
      <c r="B10" s="51" t="s">
        <v>287</v>
      </c>
      <c r="C10" s="51"/>
      <c r="D10" s="24" t="s">
        <v>288</v>
      </c>
      <c r="E10" s="24" t="s">
        <v>289</v>
      </c>
      <c r="F10" s="24"/>
      <c r="G10" s="24" t="s">
        <v>290</v>
      </c>
      <c r="H10" s="24" t="s">
        <v>291</v>
      </c>
      <c r="I10" s="24" t="s">
        <v>292</v>
      </c>
      <c r="O10" s="24" t="s">
        <v>129</v>
      </c>
      <c r="Q10" s="24" t="s">
        <v>293</v>
      </c>
      <c r="S10" s="24" t="s">
        <v>294</v>
      </c>
      <c r="W10" s="24" t="s">
        <v>295</v>
      </c>
      <c r="AA10" s="24"/>
    </row>
    <row r="11" spans="1:30" ht="29.1">
      <c r="A11" s="51"/>
      <c r="B11" s="51" t="s">
        <v>296</v>
      </c>
      <c r="C11" s="51"/>
      <c r="D11" s="24" t="s">
        <v>42</v>
      </c>
      <c r="E11" s="24" t="s">
        <v>42</v>
      </c>
      <c r="F11" s="24"/>
      <c r="G11" s="24" t="s">
        <v>57</v>
      </c>
      <c r="H11" s="24" t="s">
        <v>42</v>
      </c>
      <c r="I11" s="24" t="s">
        <v>42</v>
      </c>
      <c r="Q11" s="24" t="s">
        <v>297</v>
      </c>
      <c r="S11" s="24" t="s">
        <v>258</v>
      </c>
      <c r="W11" s="24" t="s">
        <v>298</v>
      </c>
    </row>
    <row r="12" spans="1:30" ht="29.1">
      <c r="A12" s="51"/>
      <c r="B12" s="51" t="s">
        <v>42</v>
      </c>
      <c r="C12" s="51"/>
      <c r="D12" s="51"/>
      <c r="E12" s="51"/>
      <c r="F12" s="51"/>
      <c r="G12" s="24" t="s">
        <v>299</v>
      </c>
      <c r="Q12" s="24" t="s">
        <v>300</v>
      </c>
      <c r="W12" s="24" t="s">
        <v>301</v>
      </c>
    </row>
    <row r="13" spans="1:30" ht="29.1">
      <c r="A13" s="51"/>
      <c r="B13" s="52"/>
      <c r="C13" s="51"/>
      <c r="D13" s="51"/>
      <c r="E13" s="51"/>
      <c r="F13" s="51"/>
      <c r="G13" s="24" t="s">
        <v>302</v>
      </c>
      <c r="W13" s="24" t="s">
        <v>115</v>
      </c>
    </row>
    <row r="14" spans="1:30">
      <c r="G14" s="24" t="s">
        <v>303</v>
      </c>
      <c r="W14" s="24" t="s">
        <v>42</v>
      </c>
    </row>
    <row r="15" spans="1:30" ht="29.1">
      <c r="A15" s="43" t="s">
        <v>304</v>
      </c>
      <c r="B15" s="29"/>
      <c r="C15" s="30"/>
      <c r="D15" s="30"/>
      <c r="E15" s="30"/>
      <c r="G15" s="24" t="s">
        <v>305</v>
      </c>
    </row>
    <row r="16" spans="1:30" ht="15.6">
      <c r="A16" s="43" t="s">
        <v>306</v>
      </c>
      <c r="B16" s="29"/>
      <c r="C16" s="30"/>
      <c r="D16" s="30"/>
      <c r="E16" s="30"/>
      <c r="G16" s="24" t="s">
        <v>307</v>
      </c>
    </row>
    <row r="17" spans="1:7" ht="29.1">
      <c r="G17" s="24" t="s">
        <v>308</v>
      </c>
    </row>
    <row r="18" spans="1:7" ht="29.1">
      <c r="G18" s="24" t="s">
        <v>309</v>
      </c>
    </row>
    <row r="19" spans="1:7">
      <c r="A19" s="44" t="s">
        <v>310</v>
      </c>
      <c r="G19" s="24" t="s">
        <v>311</v>
      </c>
    </row>
    <row r="20" spans="1:7">
      <c r="A20" s="45" t="s">
        <v>312</v>
      </c>
      <c r="G20" s="24" t="s">
        <v>313</v>
      </c>
    </row>
    <row r="21" spans="1:7" ht="29.1">
      <c r="A21" s="45" t="s">
        <v>314</v>
      </c>
      <c r="G21" s="24" t="s">
        <v>315</v>
      </c>
    </row>
    <row r="22" spans="1:7">
      <c r="A22" s="45" t="s">
        <v>316</v>
      </c>
      <c r="G22" s="24" t="s">
        <v>317</v>
      </c>
    </row>
    <row r="23" spans="1:7">
      <c r="A23" s="46" t="s">
        <v>318</v>
      </c>
      <c r="G23" s="24" t="s">
        <v>319</v>
      </c>
    </row>
    <row r="24" spans="1:7">
      <c r="G24" s="24" t="s">
        <v>42</v>
      </c>
    </row>
  </sheetData>
  <sheetProtection algorithmName="SHA-512" hashValue="c/fajdi8n9THP69uhmlF3ejx/IzdC/fyHZf1zwtQqGh2YUI4q3u4iOP/FI+ZbT0Qpzk5+dGsVMQX3EVjfPUZJQ==" saltValue="XYH7uUikiaHKNtWXVxGxOA==" spinCount="100000" sheet="1" objects="1" scenarios="1" selectLockedCells="1" selectUnlockedCells="1"/>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0"/>
  <sheetViews>
    <sheetView topLeftCell="A16" workbookViewId="0">
      <selection activeCell="E48" sqref="E48"/>
    </sheetView>
  </sheetViews>
  <sheetFormatPr defaultRowHeight="14.45"/>
  <cols>
    <col min="1" max="1" width="7.42578125" style="34" customWidth="1"/>
    <col min="2" max="2" width="4.42578125" style="28" customWidth="1"/>
    <col min="3" max="3" width="8.85546875" style="34" customWidth="1"/>
    <col min="4" max="4" width="38.140625" style="5" customWidth="1"/>
    <col min="5" max="5" width="91.42578125" style="5" customWidth="1"/>
  </cols>
  <sheetData>
    <row r="1" spans="1:5">
      <c r="A1" s="27" t="s">
        <v>320</v>
      </c>
      <c r="B1" s="27" t="s">
        <v>321</v>
      </c>
      <c r="C1" s="27" t="s">
        <v>322</v>
      </c>
      <c r="D1" s="35" t="s">
        <v>323</v>
      </c>
      <c r="E1" s="35" t="s">
        <v>324</v>
      </c>
    </row>
    <row r="2" spans="1:5">
      <c r="A2" s="49">
        <v>6657</v>
      </c>
      <c r="B2" s="38">
        <v>40</v>
      </c>
      <c r="C2" s="37">
        <v>0</v>
      </c>
      <c r="D2" s="39" t="str">
        <f>Questionnaire!E3</f>
        <v>Date Submitted</v>
      </c>
      <c r="E2" s="39">
        <f>Questionnaire!E4</f>
        <v>0</v>
      </c>
    </row>
    <row r="3" spans="1:5">
      <c r="A3" s="49">
        <v>6666</v>
      </c>
      <c r="B3" s="38">
        <v>41</v>
      </c>
      <c r="C3" s="37">
        <v>0</v>
      </c>
      <c r="D3" s="39" t="s">
        <v>325</v>
      </c>
      <c r="E3" s="39" t="str">
        <f>Questionnaire!E2</f>
        <v>L2-2.0.8</v>
      </c>
    </row>
    <row r="4" spans="1:5">
      <c r="A4" s="49">
        <f>Questionnaire!E7</f>
        <v>6658</v>
      </c>
      <c r="B4" s="38">
        <f>Questionnaire!D7</f>
        <v>50</v>
      </c>
      <c r="C4" s="37">
        <v>0</v>
      </c>
      <c r="D4" s="39" t="str">
        <f>Questionnaire!B7</f>
        <v>CC BRM Contact</v>
      </c>
      <c r="E4" s="39">
        <f>Questionnaire!C7</f>
        <v>0</v>
      </c>
    </row>
    <row r="5" spans="1:5">
      <c r="A5" s="49">
        <f>Questionnaire!E8</f>
        <v>6597</v>
      </c>
      <c r="B5" s="38">
        <f>Questionnaire!D8</f>
        <v>51</v>
      </c>
      <c r="C5" s="37">
        <v>0</v>
      </c>
      <c r="D5" s="39" t="str">
        <f>Questionnaire!B8</f>
        <v>CC Engineering Contact</v>
      </c>
      <c r="E5" s="39">
        <f>Questionnaire!C8</f>
        <v>0</v>
      </c>
    </row>
    <row r="6" spans="1:5">
      <c r="A6" s="49">
        <f>Questionnaire!E9</f>
        <v>6399</v>
      </c>
      <c r="B6" s="38">
        <f>Questionnaire!D9</f>
        <v>52</v>
      </c>
      <c r="C6" s="37">
        <v>0</v>
      </c>
      <c r="D6" s="39" t="str">
        <f>Questionnaire!B9</f>
        <v>CC Business Owner</v>
      </c>
      <c r="E6" s="39">
        <f>Questionnaire!C9</f>
        <v>0</v>
      </c>
    </row>
    <row r="7" spans="1:5">
      <c r="A7" s="49">
        <f>Questionnaire!E10</f>
        <v>6386</v>
      </c>
      <c r="B7" s="38">
        <f>Questionnaire!D10</f>
        <v>53</v>
      </c>
      <c r="C7" s="37">
        <v>0</v>
      </c>
      <c r="D7" s="39" t="str">
        <f>Questionnaire!B10</f>
        <v>CC Business Contact</v>
      </c>
      <c r="E7" s="39">
        <f>Questionnaire!C10</f>
        <v>0</v>
      </c>
    </row>
    <row r="8" spans="1:5">
      <c r="A8" s="49">
        <f>Questionnaire!E11</f>
        <v>6659</v>
      </c>
      <c r="B8" s="38">
        <f>Questionnaire!D11</f>
        <v>54</v>
      </c>
      <c r="C8" s="37">
        <v>0</v>
      </c>
      <c r="D8" s="39" t="str">
        <f>Questionnaire!B11</f>
        <v>Vendor Business Contact</v>
      </c>
      <c r="E8" s="39" t="str">
        <f>Questionnaire!C11</f>
        <v>Michelle Flowers: michelle.flowers@perigen.com</v>
      </c>
    </row>
    <row r="9" spans="1:5">
      <c r="A9" s="49">
        <f>Questionnaire!E12</f>
        <v>6660</v>
      </c>
      <c r="B9" s="38">
        <f>Questionnaire!D12</f>
        <v>55</v>
      </c>
      <c r="C9" s="37">
        <v>0</v>
      </c>
      <c r="D9" s="39" t="str">
        <f>Questionnaire!B12</f>
        <v>Vendor Technical Contact</v>
      </c>
      <c r="E9" s="39" t="str">
        <f>Questionnaire!C12</f>
        <v>Bruno Bendavid: bruno.bendavid@perigen.com</v>
      </c>
    </row>
    <row r="10" spans="1:5">
      <c r="A10" s="49">
        <f>Questionnaire!E15</f>
        <v>6661</v>
      </c>
      <c r="B10" s="38">
        <f>Questionnaire!D15</f>
        <v>56</v>
      </c>
      <c r="C10" s="37">
        <v>0</v>
      </c>
      <c r="D10" s="39" t="str">
        <f>Questionnaire!B15</f>
        <v>Manufacturer Name</v>
      </c>
      <c r="E10" s="39" t="str">
        <f>Questionnaire!C15</f>
        <v>PeriGen</v>
      </c>
    </row>
    <row r="11" spans="1:5">
      <c r="A11" s="49">
        <f>Questionnaire!E16</f>
        <v>6381</v>
      </c>
      <c r="B11" s="38">
        <f>Questionnaire!D16</f>
        <v>57</v>
      </c>
      <c r="C11" s="37">
        <v>0</v>
      </c>
      <c r="D11" s="39" t="str">
        <f>Questionnaire!B16</f>
        <v>Model Name - Number</v>
      </c>
      <c r="E11" s="39" t="str">
        <f>Questionnaire!C16</f>
        <v>PeriWatch Surveillance &amp; Vigilance</v>
      </c>
    </row>
    <row r="12" spans="1:5">
      <c r="A12" s="49">
        <f>Questionnaire!E17</f>
        <v>6662</v>
      </c>
      <c r="B12" s="38">
        <f>Questionnaire!D17</f>
        <v>58</v>
      </c>
      <c r="C12" s="37">
        <v>0</v>
      </c>
      <c r="D12" s="39" t="str">
        <f>Questionnaire!B17</f>
        <v>Product Website</v>
      </c>
      <c r="E12" s="39" t="str">
        <f>Questionnaire!C17</f>
        <v>www.perigen.com</v>
      </c>
    </row>
    <row r="13" spans="1:5">
      <c r="A13" s="49">
        <f>Questionnaire!E18</f>
        <v>6387</v>
      </c>
      <c r="B13" s="38">
        <f>Questionnaire!D18</f>
        <v>59</v>
      </c>
      <c r="C13" s="37">
        <v>0</v>
      </c>
      <c r="D13" s="39" t="str">
        <f>Questionnaire!B18</f>
        <v>Product Description</v>
      </c>
      <c r="E13" s="39" t="str">
        <f>Questionnaire!C18</f>
        <v>Fetal/Maternal suiveillance and early warning system for obstetrics - Software Only. Product already live and if only being upgraded</v>
      </c>
    </row>
    <row r="14" spans="1:5">
      <c r="A14" s="49">
        <f>Questionnaire!E19</f>
        <v>6664</v>
      </c>
      <c r="B14" s="38">
        <f>Questionnaire!D19</f>
        <v>61</v>
      </c>
      <c r="C14" s="37">
        <v>0</v>
      </c>
      <c r="D14" s="39" t="str">
        <f>Questionnaire!B19</f>
        <v>Hardware and Software Versions</v>
      </c>
      <c r="E14" s="39" t="str">
        <f>Questionnaire!C19</f>
        <v>2021.1</v>
      </c>
    </row>
    <row r="15" spans="1:5">
      <c r="A15" s="49">
        <f>Questionnaire!E20</f>
        <v>6392</v>
      </c>
      <c r="B15" s="38">
        <f>Questionnaire!D20</f>
        <v>62</v>
      </c>
      <c r="C15" s="37">
        <v>0</v>
      </c>
      <c r="D15" s="39" t="str">
        <f>Questionnaire!B20</f>
        <v>US FDA NLM DI Number</v>
      </c>
      <c r="E15" s="39" t="str">
        <f>Questionnaire!C20</f>
        <v>[Surveillance] 00860003483510
[Vigilance HUB] B087HUB21011/$$72101001
[Vigilance Cues] B087PATT21011/$$7210100
[Vigilance Curve] B087CURV21011/$$72101000</v>
      </c>
    </row>
    <row r="16" spans="1:5">
      <c r="A16" s="49">
        <f>Questionnaire!E21</f>
        <v>6665</v>
      </c>
      <c r="B16" s="38">
        <f>Questionnaire!D21</f>
        <v>63</v>
      </c>
      <c r="C16" s="37">
        <v>0</v>
      </c>
      <c r="D16" s="39" t="str">
        <f>Questionnaire!B21</f>
        <v>MDS2 attached?</v>
      </c>
      <c r="E16" s="39" t="str">
        <f>Questionnaire!C21</f>
        <v>Yes</v>
      </c>
    </row>
    <row r="17" spans="1:5">
      <c r="A17" s="49">
        <f>Questionnaire!E22</f>
        <v>6667</v>
      </c>
      <c r="B17" s="38">
        <f>Questionnaire!D22</f>
        <v>64</v>
      </c>
      <c r="C17" s="37">
        <v>0</v>
      </c>
      <c r="D17" s="39" t="str">
        <f>Questionnaire!B22</f>
        <v>UK NHS DSPT</v>
      </c>
      <c r="E17" s="39" t="str">
        <f>Questionnaire!C22</f>
        <v>NA</v>
      </c>
    </row>
    <row r="18" spans="1:5">
      <c r="A18" s="49">
        <f>Questionnaire!E23</f>
        <v>6668</v>
      </c>
      <c r="B18" s="38">
        <f>Questionnaire!D23</f>
        <v>65</v>
      </c>
      <c r="C18" s="37">
        <v>0</v>
      </c>
      <c r="D18" s="39" t="str">
        <f>Questionnaire!B23</f>
        <v>UK Cyber Essential/Plus</v>
      </c>
      <c r="E18" s="39" t="str">
        <f>Questionnaire!C23</f>
        <v>NA</v>
      </c>
    </row>
    <row r="19" spans="1:5">
      <c r="A19" s="40" t="str">
        <f>Questionnaire!E30</f>
        <v>6420</v>
      </c>
      <c r="B19" s="41">
        <f>Questionnaire!B30</f>
        <v>1</v>
      </c>
      <c r="C19" s="40">
        <f>MATCH($D19,_answers!A$2:A$24,0)-1</f>
        <v>2</v>
      </c>
      <c r="D19" s="42" t="str">
        <f>Questionnaire!D30</f>
        <v>Yes - wired Ethernet 100MB</v>
      </c>
      <c r="E19" s="42" t="str">
        <f>Questionnaire!D31</f>
        <v>software only</v>
      </c>
    </row>
    <row r="20" spans="1:5">
      <c r="A20" s="40" t="str">
        <f>Questionnaire!E33</f>
        <v>6421</v>
      </c>
      <c r="B20" s="41">
        <f>Questionnaire!B33</f>
        <v>2</v>
      </c>
      <c r="C20" s="40">
        <f>MATCH($D20,_answers!B$2:B$24,0)-1</f>
        <v>10</v>
      </c>
      <c r="D20" s="42" t="str">
        <f>Questionnaire!D33</f>
        <v>Other - explain below</v>
      </c>
      <c r="E20" s="42" t="str">
        <f>Questionnaire!D34</f>
        <v>Could be if mobile workstations/laptop used</v>
      </c>
    </row>
    <row r="21" spans="1:5">
      <c r="A21" s="40" t="str">
        <f>Questionnaire!E36</f>
        <v>6424</v>
      </c>
      <c r="B21" s="41">
        <f>Questionnaire!B36</f>
        <v>3</v>
      </c>
      <c r="C21" s="40">
        <f>MATCH($D21,_answers!C$2:C$24,0)-1</f>
        <v>5</v>
      </c>
      <c r="D21" s="42" t="str">
        <f>Questionnaire!D36</f>
        <v>Other - explain below</v>
      </c>
      <c r="E21" s="42" t="str">
        <f>Questionnaire!D37</f>
        <v>CC standard</v>
      </c>
    </row>
    <row r="22" spans="1:5">
      <c r="A22" s="40" t="str">
        <f>Questionnaire!E39</f>
        <v>6422</v>
      </c>
      <c r="B22" s="41">
        <f>Questionnaire!B39</f>
        <v>4</v>
      </c>
      <c r="C22" s="40">
        <f>MATCH($D22,_answers!D$2:D$24,0)-1</f>
        <v>0</v>
      </c>
      <c r="D22" s="42" t="str">
        <f>Questionnaire!D39</f>
        <v>None</v>
      </c>
      <c r="E22" s="42">
        <f>Questionnaire!D40</f>
        <v>0</v>
      </c>
    </row>
    <row r="23" spans="1:5">
      <c r="A23" s="40" t="str">
        <f>Questionnaire!E42</f>
        <v>6423</v>
      </c>
      <c r="B23" s="41">
        <f>Questionnaire!B42</f>
        <v>5</v>
      </c>
      <c r="C23" s="40">
        <f>MATCH($D23,_answers!E$2:E$24,0)-1</f>
        <v>0</v>
      </c>
      <c r="D23" s="42" t="str">
        <f>Questionnaire!D42</f>
        <v>None</v>
      </c>
      <c r="E23" s="42">
        <f>Questionnaire!D43</f>
        <v>0</v>
      </c>
    </row>
    <row r="24" spans="1:5">
      <c r="A24" s="40" t="str">
        <f>Questionnaire!E45</f>
        <v>6450</v>
      </c>
      <c r="B24" s="41">
        <f>Questionnaire!B45</f>
        <v>6</v>
      </c>
      <c r="C24" s="40">
        <f>MATCH($D24,_answers!F$2:F$24,0)-1</f>
        <v>0</v>
      </c>
      <c r="D24" s="42" t="str">
        <f>Questionnaire!D45</f>
        <v>None - Not a mobile device (NA)</v>
      </c>
      <c r="E24" s="42">
        <f>Questionnaire!D46</f>
        <v>0</v>
      </c>
    </row>
    <row r="25" spans="1:5">
      <c r="A25" s="40" t="str">
        <f>Questionnaire!E48</f>
        <v>6509</v>
      </c>
      <c r="B25" s="41">
        <f>Questionnaire!B48</f>
        <v>7</v>
      </c>
      <c r="C25" s="40">
        <f>MATCH($D25,_answers!G$2:G$24,0)-1</f>
        <v>9</v>
      </c>
      <c r="D25" s="42" t="str">
        <f>Questionnaire!D48</f>
        <v>Microsoft Windows 10 (specify version details below)</v>
      </c>
      <c r="E25" s="42" t="str">
        <f>Questionnaire!D49</f>
        <v>CC supported and provided</v>
      </c>
    </row>
    <row r="26" spans="1:5">
      <c r="A26" s="40" t="str">
        <f>Questionnaire!E51</f>
        <v>6641</v>
      </c>
      <c r="B26" s="41">
        <f>Questionnaire!B51</f>
        <v>8</v>
      </c>
      <c r="C26" s="40">
        <f>MATCH($D26,_answers!H$2:H$24,0)-1</f>
        <v>1</v>
      </c>
      <c r="D26" s="42" t="str">
        <f>Questionnaire!D51</f>
        <v>PHI is stored raw (without encryption)</v>
      </c>
      <c r="E26" s="42" t="str">
        <f>Questionnaire!D52</f>
        <v xml:space="preserve">Stored on MS SQL provided/hosted by CC. MS TDE supposted for encryption at rest.  </v>
      </c>
    </row>
    <row r="27" spans="1:5">
      <c r="A27" s="40" t="str">
        <f>Questionnaire!E54</f>
        <v>6640</v>
      </c>
      <c r="B27" s="41">
        <f>Questionnaire!B54</f>
        <v>9</v>
      </c>
      <c r="C27" s="40">
        <f>MATCH($D27,_answers!I$2:I$24,0)-1</f>
        <v>1</v>
      </c>
      <c r="D27" s="42" t="str">
        <f>Questionnaire!D54</f>
        <v>PHI is transmitted or received raw (without encryption)</v>
      </c>
      <c r="E27" s="42" t="str">
        <f>Questionnaire!D55</f>
        <v>Presently received over HL7 from the EMR</v>
      </c>
    </row>
    <row r="28" spans="1:5">
      <c r="A28" s="40" t="str">
        <f>Questionnaire!E57</f>
        <v>6476</v>
      </c>
      <c r="B28" s="41">
        <f>Questionnaire!B57</f>
        <v>10</v>
      </c>
      <c r="C28" s="40">
        <f>MATCH($D28,_answers!J$2:J$24,0)-1</f>
        <v>5</v>
      </c>
      <c r="D28" s="42" t="str">
        <f>Questionnaire!D57</f>
        <v>All of the above</v>
      </c>
      <c r="E28" s="42" t="str">
        <f>Questionnaire!D58</f>
        <v>All logs are stored in the SQL DB</v>
      </c>
    </row>
    <row r="29" spans="1:5">
      <c r="A29" s="40" t="str">
        <f>Questionnaire!E60</f>
        <v>6647</v>
      </c>
      <c r="B29" s="41">
        <f>Questionnaire!B60</f>
        <v>11</v>
      </c>
      <c r="C29" s="40">
        <f>MATCH($D29,_answers!K$2:K$24,0)-1</f>
        <v>0</v>
      </c>
      <c r="D29" s="42" t="str">
        <f>Questionnaire!D60</f>
        <v>No, there is not any data transmitted off-site</v>
      </c>
      <c r="E29" s="42">
        <f>Questionnaire!D61</f>
        <v>0</v>
      </c>
    </row>
    <row r="30" spans="1:5">
      <c r="A30" s="40" t="str">
        <f>Questionnaire!E63</f>
        <v>6637</v>
      </c>
      <c r="B30" s="41">
        <f>Questionnaire!B63</f>
        <v>12</v>
      </c>
      <c r="C30" s="40">
        <f>MATCH($D30,_answers!L$2:L$24,0)-1</f>
        <v>3</v>
      </c>
      <c r="D30" s="42" t="str">
        <f>Questionnaire!D63</f>
        <v>Yes, encryption handled only through secure communications channel (i.e. HTTPS, TLS, SSH, etc..) (explain below)</v>
      </c>
      <c r="E30" s="42">
        <f>Questionnaire!D64</f>
        <v>0</v>
      </c>
    </row>
    <row r="31" spans="1:5">
      <c r="A31" s="40" t="str">
        <f>Questionnaire!E66</f>
        <v>6616</v>
      </c>
      <c r="B31" s="41">
        <f>Questionnaire!B66</f>
        <v>13</v>
      </c>
      <c r="C31" s="40">
        <f>MATCH($D31,_answers!M$2:M$24,0)-1</f>
        <v>1</v>
      </c>
      <c r="D31" s="42" t="str">
        <f>Questionnaire!D66</f>
        <v>CC CAN install OS patches without vendor approval</v>
      </c>
      <c r="E31" s="42">
        <f>Questionnaire!D67</f>
        <v>0</v>
      </c>
    </row>
    <row r="32" spans="1:5">
      <c r="A32" s="40" t="str">
        <f>Questionnaire!E69</f>
        <v>6651</v>
      </c>
      <c r="B32" s="41">
        <f>Questionnaire!B69</f>
        <v>14</v>
      </c>
      <c r="C32" s="40">
        <f>MATCH($D32,_answers!N$2:N$24,0)-1</f>
        <v>4</v>
      </c>
      <c r="D32" s="42" t="str">
        <f>Questionnaire!D69</f>
        <v>Vendor will install approved app. patches on-site only (local maintenance)</v>
      </c>
      <c r="E32" s="42" t="str">
        <f>Questionnaire!D70</f>
        <v>Coordinated with the customer</v>
      </c>
    </row>
    <row r="33" spans="1:5">
      <c r="A33" s="40" t="str">
        <f>Questionnaire!E72</f>
        <v>6590</v>
      </c>
      <c r="B33" s="41">
        <f>Questionnaire!B72</f>
        <v>15</v>
      </c>
      <c r="C33" s="40">
        <f>MATCH($D33,_answers!O$2:O$24,0)-1</f>
        <v>1</v>
      </c>
      <c r="D33" s="42" t="str">
        <f>Questionnaire!D72</f>
        <v>Yes, required read-write to/from Epic EMR</v>
      </c>
      <c r="E33" s="42" t="str">
        <f>Questionnaire!D73</f>
        <v>Only using HL7 interface</v>
      </c>
    </row>
    <row r="34" spans="1:5">
      <c r="A34" s="40" t="str">
        <f>Questionnaire!E75</f>
        <v>6558</v>
      </c>
      <c r="B34" s="41">
        <f>Questionnaire!B75</f>
        <v>16</v>
      </c>
      <c r="C34" s="40">
        <f>MATCH($D34,_answers!P$2:P$24,0)-1</f>
        <v>2</v>
      </c>
      <c r="D34" s="42" t="str">
        <f>Questionnaire!D75</f>
        <v>Remote monitoring and patching (push and pull)</v>
      </c>
      <c r="E34" s="42" t="str">
        <f>Questionnaire!D76</f>
        <v>Already present</v>
      </c>
    </row>
    <row r="35" spans="1:5">
      <c r="A35" s="40" t="str">
        <f>Questionnaire!E78</f>
        <v>6513</v>
      </c>
      <c r="B35" s="41">
        <f>Questionnaire!B78</f>
        <v>17</v>
      </c>
      <c r="C35" s="40">
        <f>MATCH($D35,_answers!Q$2:Q$24,0)-1</f>
        <v>5</v>
      </c>
      <c r="D35" s="42" t="str">
        <f>Questionnaire!D78</f>
        <v>Support for Active Directory-integrated users</v>
      </c>
      <c r="E35" s="42">
        <f>Questionnaire!D79</f>
        <v>0</v>
      </c>
    </row>
    <row r="36" spans="1:5">
      <c r="A36" s="40" t="str">
        <f>Questionnaire!E81</f>
        <v>6563</v>
      </c>
      <c r="B36" s="41">
        <f>Questionnaire!B81</f>
        <v>18</v>
      </c>
      <c r="C36" s="40">
        <f>MATCH($D36,_answers!R$2:R$24,0)-1</f>
        <v>0</v>
      </c>
      <c r="D36" s="42" t="str">
        <f>Questionnaire!D81</f>
        <v>No, outbound access is not needed</v>
      </c>
      <c r="E36" s="42" t="str">
        <f>Questionnaire!D85</f>
        <v>Other than secure remote access</v>
      </c>
    </row>
    <row r="37" spans="1:5">
      <c r="A37" s="40" t="str">
        <f>Questionnaire!E84</f>
        <v>6565</v>
      </c>
      <c r="B37" s="41">
        <f>Questionnaire!B84</f>
        <v>19</v>
      </c>
      <c r="C37" s="40">
        <f>MATCH($D37,_answers!S$2:S$24,0)-1</f>
        <v>0</v>
      </c>
      <c r="D37" s="42" t="str">
        <f>Questionnaire!D84</f>
        <v>No, inbound access is not needed</v>
      </c>
      <c r="E37" s="42" t="e">
        <f>Questionnaire!#REF!</f>
        <v>#REF!</v>
      </c>
    </row>
    <row r="38" spans="1:5">
      <c r="A38" s="40" t="str">
        <f>Questionnaire!E87</f>
        <v>6389</v>
      </c>
      <c r="B38" s="41">
        <f>Questionnaire!B87</f>
        <v>20</v>
      </c>
      <c r="C38" s="40">
        <f>MATCH($D38,_answers!T$2:T$24,0)-1</f>
        <v>5</v>
      </c>
      <c r="D38" s="42" t="str">
        <f>Questionnaire!D87</f>
        <v>Mechanisms in place to verify multiple parts of CIAS (explain below)</v>
      </c>
      <c r="E38" s="42" t="str">
        <f>Questionnaire!D88</f>
        <v>Controls are built-into the system to address some of the above including, accessc control, authorization and relying on transactional systems like MS SQL for ensure data integrity. Availability is leveraged by utilizing technologies like MS-SQL clustering, VMWare.</v>
      </c>
    </row>
    <row r="39" spans="1:5">
      <c r="A39" s="40" t="str">
        <f>Questionnaire!E90</f>
        <v>6576</v>
      </c>
      <c r="B39" s="41">
        <f>Questionnaire!B90</f>
        <v>21</v>
      </c>
      <c r="C39" s="40">
        <f>MATCH($D39,_answers!U$2:U$24,0)-1</f>
        <v>1</v>
      </c>
      <c r="D39" s="42" t="str">
        <f>Questionnaire!D90</f>
        <v>Yes - Point of Care</v>
      </c>
      <c r="E39" s="42">
        <f>Questionnaire!D91</f>
        <v>0</v>
      </c>
    </row>
    <row r="40" spans="1:5">
      <c r="A40" s="40" t="str">
        <f>Questionnaire!E93</f>
        <v>6506</v>
      </c>
      <c r="B40" s="41">
        <f>Questionnaire!B93</f>
        <v>22</v>
      </c>
      <c r="C40" s="40">
        <f>MATCH($D40,_answers!V$2:V$24,0)-1</f>
        <v>5</v>
      </c>
      <c r="D40" s="42" t="str">
        <f>Questionnaire!D93</f>
        <v>Yes, Multiple above (explain below)</v>
      </c>
      <c r="E40" s="42" t="str">
        <f>Questionnaire!D94</f>
        <v>Workstation using the PeriGen product are CC workstations with all standard CC security methods.</v>
      </c>
    </row>
    <row r="41" spans="1:5">
      <c r="A41" s="40" t="str">
        <f>Questionnaire!E96</f>
        <v>6654</v>
      </c>
      <c r="B41" s="41">
        <f>Questionnaire!B96</f>
        <v>23</v>
      </c>
      <c r="C41" s="40">
        <f>MATCH($D41,_answers!W$2:W$24,0)-1</f>
        <v>11</v>
      </c>
      <c r="D41" s="42" t="str">
        <f>Questionnaire!D96</f>
        <v>Multiple - explain below</v>
      </c>
      <c r="E41" s="42">
        <f>Questionnaire!D97</f>
        <v>0</v>
      </c>
    </row>
    <row r="42" spans="1:5">
      <c r="A42" s="40">
        <f>Questionnaire!E99</f>
        <v>6655</v>
      </c>
      <c r="B42" s="41">
        <f>Questionnaire!B99</f>
        <v>24</v>
      </c>
      <c r="C42" s="40">
        <f>MATCH($D42,_answers!X$2:X$24,0)-1</f>
        <v>0</v>
      </c>
      <c r="D42" s="42" t="str">
        <f>Questionnaire!D99</f>
        <v>No, none</v>
      </c>
      <c r="E42" s="42" t="str">
        <f>Questionnaire!D100</f>
        <v>Note that authentication is goverened by CC AD, therefore, the mechnisms mentioned here could be integrated into CC AD architecture</v>
      </c>
    </row>
    <row r="43" spans="1:5">
      <c r="A43" s="40" t="str">
        <f>Questionnaire!E102</f>
        <v>6499</v>
      </c>
      <c r="B43" s="41">
        <f>Questionnaire!B102</f>
        <v>25</v>
      </c>
      <c r="C43" s="40">
        <f>MATCH($D43,_answers!Y$2:Y$24,0)-1</f>
        <v>3</v>
      </c>
      <c r="D43" s="42" t="str">
        <f>Questionnaire!D102</f>
        <v>Other - explain below</v>
      </c>
      <c r="E43" s="42" t="str">
        <f>Questionnaire!D103</f>
        <v>the CC provided server is configured only with the PeriGen software</v>
      </c>
    </row>
    <row r="44" spans="1:5">
      <c r="A44" s="40" t="str">
        <f>Questionnaire!E105</f>
        <v>6656</v>
      </c>
      <c r="B44" s="41">
        <f>Questionnaire!B105</f>
        <v>26</v>
      </c>
      <c r="C44" s="40">
        <f>MATCH($D44,_answers!Z$2:Z$24,0)-1</f>
        <v>0</v>
      </c>
      <c r="D44" s="42" t="str">
        <f>Questionnaire!D105</f>
        <v>None</v>
      </c>
      <c r="E44" s="42">
        <f>Questionnaire!D106</f>
        <v>0</v>
      </c>
    </row>
    <row r="45" spans="1:5">
      <c r="A45" s="40" t="str">
        <f>Questionnaire!E108</f>
        <v>6620</v>
      </c>
      <c r="B45" s="41">
        <f>Questionnaire!B108</f>
        <v>27</v>
      </c>
      <c r="C45" s="40">
        <f>MATCH($D45,_answers!AA$2:AA$24,0)-1</f>
        <v>1</v>
      </c>
      <c r="D45" s="42" t="str">
        <f>Questionnaire!D108</f>
        <v>CC is responsible to manually sanitize sensitive data (is process documented?)</v>
      </c>
      <c r="E45" s="42">
        <f>Questionnaire!D109</f>
        <v>0</v>
      </c>
    </row>
    <row r="46" spans="1:5">
      <c r="A46" s="53" t="str">
        <f>Questionnaire!E111</f>
        <v>6515</v>
      </c>
      <c r="B46" s="41">
        <f>Questionnaire!B111</f>
        <v>28</v>
      </c>
      <c r="C46" s="40">
        <f>MATCH($D46,_answers!AB$2:AB$24,0)-1</f>
        <v>4</v>
      </c>
      <c r="D46" s="42" t="str">
        <f>Questionnaire!D111</f>
        <v>Yes, other - explain below</v>
      </c>
      <c r="E46" s="54" t="str">
        <f>Questionnaire!D112</f>
        <v>SSO is supported with Epic using their propriatary integation</v>
      </c>
    </row>
    <row r="47" spans="1:5">
      <c r="A47" s="53" t="str">
        <f>Questionnaire!E114</f>
        <v>6427</v>
      </c>
      <c r="B47" s="41">
        <f>Questionnaire!B114</f>
        <v>29</v>
      </c>
      <c r="C47" s="40">
        <f>MATCH($D47,_answers!AC$2:AC$24,0)-1</f>
        <v>1</v>
      </c>
      <c r="D47" s="42" t="str">
        <f>Questionnaire!D114</f>
        <v>Yes CCF can install and use a certificate on the device (explain process below)</v>
      </c>
      <c r="E47" s="54" t="str">
        <f>Questionnaire!D115</f>
        <v>According to CC standards for machine level access. There is no software support for NLA.</v>
      </c>
    </row>
    <row r="50" spans="4:4">
      <c r="D50" s="36"/>
    </row>
  </sheetData>
  <sheetProtection algorithmName="SHA-512" hashValue="+lmF1UmeVPFFdEI/zZOZc0rf1A09iRTjcgRSS/TydBuRegTw4lX35nNflGHD/QJ5J+CnR6HSM3AZmEL70gPK3w==" saltValue="QvpfL+mU1usD4dQbM5kLrw==" spinCount="100000" sheet="1" objects="1" scenarios="1" selectLockedCells="1" selectUnlockedCells="1"/>
  <pageMargins left="0.7" right="0.7" top="0.75" bottom="0.75" header="0.3" footer="0.3"/>
  <pageSetup orientation="portrait" horizontalDpi="200" verticalDpi="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CDAC35-6053-4A4F-950C-53C3732DDF0A}"/>
</file>

<file path=customXml/itemProps2.xml><?xml version="1.0" encoding="utf-8"?>
<ds:datastoreItem xmlns:ds="http://schemas.openxmlformats.org/officeDocument/2006/customXml" ds:itemID="{A1B44AB0-6738-4662-BB89-0A62C9D3A4A1}"/>
</file>

<file path=customXml/itemProps3.xml><?xml version="1.0" encoding="utf-8"?>
<ds:datastoreItem xmlns:ds="http://schemas.openxmlformats.org/officeDocument/2006/customXml" ds:itemID="{5871E1C0-A3F9-4414-A772-C72BCD82148D}"/>
</file>

<file path=customXml/itemProps4.xml><?xml version="1.0" encoding="utf-8"?>
<ds:datastoreItem xmlns:ds="http://schemas.openxmlformats.org/officeDocument/2006/customXml" ds:itemID="{F5C7D652-8F16-4340-88B2-2B560E831987}"/>
</file>

<file path=docProps/app.xml><?xml version="1.0" encoding="utf-8"?>
<Properties xmlns="http://schemas.openxmlformats.org/officeDocument/2006/extended-properties" xmlns:vt="http://schemas.openxmlformats.org/officeDocument/2006/docPropsVTypes">
  <Application>Microsoft Excel Online</Application>
  <Manager/>
  <Company>Cleveland Clinic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Cleveland Clinic - OT Cybersecurity L2 Device Assessment Questionnaire</dc:title>
  <dc:subject/>
  <dc:creator>Kass, Joshua</dc:creator>
  <cp:keywords>OT, Risk, L2</cp:keywords>
  <dc:description/>
  <cp:lastModifiedBy>Roman Lavrov</cp:lastModifiedBy>
  <cp:revision/>
  <dcterms:created xsi:type="dcterms:W3CDTF">2019-12-17T17:44:59Z</dcterms:created>
  <dcterms:modified xsi:type="dcterms:W3CDTF">2022-01-31T21:31:59Z</dcterms:modified>
  <cp:category>Cybersecurity</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Offisync_ServerID">
    <vt:lpwstr>94ff3ca2-daf8-4129-9cc9-1304a8c91b48</vt:lpwstr>
  </property>
  <property fmtid="{D5CDD505-2E9C-101B-9397-08002B2CF9AE}" pid="4" name="Jive_VersionGuid">
    <vt:lpwstr>728d4e3a-8fac-4c2a-930c-b1f06067287c</vt:lpwstr>
  </property>
  <property fmtid="{D5CDD505-2E9C-101B-9397-08002B2CF9AE}" pid="5" name="Jive_LatestUserAccountName">
    <vt:lpwstr>918922</vt:lpwstr>
  </property>
  <property fmtid="{D5CDD505-2E9C-101B-9397-08002B2CF9AE}" pid="6" name="Offisync_UpdateToken">
    <vt:lpwstr>9</vt:lpwstr>
  </property>
  <property fmtid="{D5CDD505-2E9C-101B-9397-08002B2CF9AE}" pid="7" name="Offisync_UniqueId">
    <vt:lpwstr>23106</vt:lpwstr>
  </property>
  <property fmtid="{D5CDD505-2E9C-101B-9397-08002B2CF9AE}" pid="8" name="Offisync_ProviderInitializationData">
    <vt:lpwstr>https://ccf.jiveon.com</vt:lpwstr>
  </property>
  <property fmtid="{D5CDD505-2E9C-101B-9397-08002B2CF9AE}" pid="9" name="_dlc_DocIdItemGuid">
    <vt:lpwstr>bd1ac092-1e1d-447c-afd2-3a7b2c10a945</vt:lpwstr>
  </property>
  <property fmtid="{D5CDD505-2E9C-101B-9397-08002B2CF9AE}" pid="10" name="Order">
    <vt:r8>90200</vt:r8>
  </property>
  <property fmtid="{D5CDD505-2E9C-101B-9397-08002B2CF9AE}" pid="11" name="_ExtendedDescription">
    <vt:lpwstr/>
  </property>
</Properties>
</file>