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5.xml" ContentType="application/vnd.openxmlformats-officedocument.spreadsheetml.worksheet+xml"/>
  <Override PartName="/xl/ctrlProps/ctrlProp223.xml" ContentType="application/vnd.ms-excel.controlproperties+xml"/>
  <Override PartName="/xl/ctrlProps/ctrlProp222.xml" ContentType="application/vnd.ms-excel.controlproperties+xml"/>
  <Override PartName="/xl/ctrlProps/ctrlProp2.xml" ContentType="application/vnd.ms-excel.controlproperties+xml"/>
  <Override PartName="/xl/ctrlProps/ctrlProp221.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4.xml" ContentType="application/vnd.ms-excel.controlproperties+xml"/>
  <Override PartName="/xl/ctrlProps/ctrlProp216.xml" ContentType="application/vnd.ms-excel.controlproperties+xml"/>
  <Override PartName="/xl/ctrlProps/ctrlProp219.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28.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20.xml" ContentType="application/vnd.ms-excel.controlproperties+xml"/>
  <Override PartName="/xl/ctrlProps/ctrlProp234.xml" ContentType="application/vnd.ms-excel.controlproperties+xml"/>
  <Override PartName="/xl/ctrlProps/ctrlProp230.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39.xml" ContentType="application/vnd.ms-excel.controlproperties+xml"/>
  <Override PartName="/xl/ctrlProps/ctrlProp238.xml" ContentType="application/vnd.ms-excel.controlproperties+xml"/>
  <Override PartName="/xl/ctrlProps/ctrlProp237.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10.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29.xml" ContentType="application/vnd.ms-excel.controlproperties+xml"/>
  <Override PartName="/xl/ctrlProps/ctrlProp202.xml" ContentType="application/vnd.ms-excel.controlproperties+xml"/>
  <Override PartName="/xl/ctrlProps/ctrlProp208.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1.xml" ContentType="application/vnd.ms-excel.controlproperties+xml"/>
  <Override PartName="/xl/ctrlProps/ctrlProp180.xml" ContentType="application/vnd.ms-excel.controlproperties+xml"/>
  <Override PartName="/xl/ctrlProps/ctrlProp179.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201.xml" ContentType="application/vnd.ms-excel.controlproperties+xml"/>
  <Override PartName="/xl/ctrlProps/ctrlProp247.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0.xml" ContentType="application/vnd.ms-excel.controlproperties+xml"/>
  <Override PartName="/xl/ctrlProps/ctrlProp199.xml" ContentType="application/vnd.ms-excel.controlproperties+xml"/>
  <Override PartName="/xl/ctrlProps/ctrlProp198.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209.xml" ContentType="application/vnd.ms-excel.controlproperties+xml"/>
  <Override PartName="/xl/ctrlProps/ctrlProp255.xml" ContentType="application/vnd.ms-excel.controlproperties+xml"/>
  <Override PartName="/xl/ctrlProps/ctrlProp249.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297.xml" ContentType="application/vnd.ms-excel.controlproperties+xml"/>
  <Override PartName="/xl/ctrlProps/ctrlProp296.xml" ContentType="application/vnd.ms-excel.controlproperties+xml"/>
  <Override PartName="/xl/ctrlProps/ctrlProp295.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305.xml" ContentType="application/vnd.ms-excel.controlproperties+xml"/>
  <Override PartName="/xl/ctrlProps/ctrlProp306.xml" ContentType="application/vnd.ms-excel.controlproperties+xml"/>
  <Override PartName="/xl/comments2.xml" ContentType="application/vnd.openxmlformats-officedocument.spreadsheetml.comment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customXml/itemProps3.xml" ContentType="application/vnd.openxmlformats-officedocument.customXm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xl/ctrlProps/ctrlProp287.xml" ContentType="application/vnd.ms-excel.controlproperties+xml"/>
  <Override PartName="/xl/ctrlProps/ctrlProp286.xml" ContentType="application/vnd.ms-excel.controlproperties+xml"/>
  <Override PartName="/xl/ctrlProps/ctrlProp285.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58.xml" ContentType="application/vnd.ms-excel.controlproperties+xml"/>
  <Override PartName="/xl/ctrlProps/ctrlProp257.xml" ContentType="application/vnd.ms-excel.controlproperties+xml"/>
  <Override PartName="/xl/ctrlProps/ctrlProp256.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171.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77.xml" ContentType="application/vnd.ms-excel.controlproperties+xml"/>
  <Override PartName="/xl/ctrlProps/ctrlProp276.xml" ContentType="application/vnd.ms-excel.controlproperties+xml"/>
  <Override PartName="/xl/ctrlProps/ctrlProp275.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48.xml" ContentType="application/vnd.ms-excel.controlproperties+xml"/>
  <Override PartName="/xl/ctrlProps/ctrlProp170.xml" ContentType="application/vnd.ms-excel.controlproperties+xml"/>
  <Override PartName="/xl/ctrlProps/ctrlProp169.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55.xml" ContentType="application/vnd.ms-excel.controlproperties+xml"/>
  <Override PartName="/xl/ctrlProps/ctrlProp54.xml" ContentType="application/vnd.ms-excel.controlproperties+xml"/>
  <Override PartName="/xl/ctrlProps/ctrlProp53.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76.xml" ContentType="application/vnd.ms-excel.controlproperties+xml"/>
  <Override PartName="/xl/ctrlProps/ctrlProp75.xml" ContentType="application/vnd.ms-excel.controlproperties+xml"/>
  <Override PartName="/xl/ctrlProps/ctrlProp74.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44.xml" ContentType="application/vnd.ms-excel.controlproperties+xml"/>
  <Override PartName="/xl/ctrlProps/ctrlProp43.xml" ContentType="application/vnd.ms-excel.controlproperties+xml"/>
  <Override PartName="/xl/ctrlProps/ctrlProp4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12.xml" ContentType="application/vnd.ms-excel.controlproperties+xml"/>
  <Override PartName="/xl/ctrlProps/ctrlProp11.xml" ContentType="application/vnd.ms-excel.controlproperties+xml"/>
  <Override PartName="/xl/ctrlProps/ctrlProp10.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33.xml" ContentType="application/vnd.ms-excel.controlproperties+xml"/>
  <Override PartName="/xl/ctrlProps/ctrlProp32.xml" ContentType="application/vnd.ms-excel.controlproperties+xml"/>
  <Override PartName="/xl/ctrlProps/ctrlProp31.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39.xml" ContentType="application/vnd.ms-excel.controlproperties+xml"/>
  <Override PartName="/xl/ctrlProps/ctrlProp138.xml" ContentType="application/vnd.ms-excel.controlproperties+xml"/>
  <Override PartName="/xl/ctrlProps/ctrlProp137.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0.xml" ContentType="application/vnd.ms-excel.controlproperties+xml"/>
  <Override PartName="/xl/ctrlProps/ctrlProp159.xml" ContentType="application/vnd.ms-excel.controlproperties+xml"/>
  <Override PartName="/xl/ctrlProps/ctrlProp158.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29.xml" ContentType="application/vnd.ms-excel.controlproperties+xml"/>
  <Override PartName="/xl/ctrlProps/ctrlProp128.xml" ContentType="application/vnd.ms-excel.controlproperties+xml"/>
  <Override PartName="/xl/ctrlProps/ctrlProp12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97.xml" ContentType="application/vnd.ms-excel.controlproperties+xml"/>
  <Override PartName="/xl/ctrlProps/ctrlProp96.xml" ContentType="application/vnd.ms-excel.controlproperties+xml"/>
  <Override PartName="/xl/ctrlProps/ctrlProp95.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18.xml" ContentType="application/vnd.ms-excel.controlproperties+xml"/>
  <Override PartName="/xl/ctrlProps/ctrlProp117.xml" ContentType="application/vnd.ms-excel.controlproperties+xml"/>
  <Override PartName="/xl/ctrlProps/ctrlProp116.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xml" ContentType="application/vnd.ms-excel.contro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updateLinks="never" autoCompressPictures="0"/>
  <mc:AlternateContent xmlns:mc="http://schemas.openxmlformats.org/markup-compatibility/2006">
    <mc:Choice Requires="x15">
      <x15ac:absPath xmlns:x15ac="http://schemas.microsoft.com/office/spreadsheetml/2010/11/ac" url="\\sharepoint.mc.rochester.edu\DavWWWRoot\sites\ISDSecurity\Vendor Questionnaires\1. Blanks\"/>
    </mc:Choice>
  </mc:AlternateContent>
  <bookViews>
    <workbookView xWindow="31215" yWindow="675" windowWidth="25605" windowHeight="16065" tabRatio="500"/>
  </bookViews>
  <sheets>
    <sheet name="Introduction" sheetId="3" r:id="rId1"/>
    <sheet name="Company Information" sheetId="2" r:id="rId2"/>
    <sheet name="Project Information" sheetId="4" r:id="rId3"/>
    <sheet name="Security Questionnaire" sheetId="1" r:id="rId4"/>
    <sheet name="Attestation" sheetId="5" r:id="rId5"/>
  </sheets>
  <externalReferences>
    <externalReference r:id="rId6"/>
  </externalReferences>
  <definedNames>
    <definedName name="_xlnm._FilterDatabase" localSheetId="3" hidden="1">'Security Questionnaire'!$A$7:$A$549</definedName>
    <definedName name="Level_1" comment="A VLOOKUP is performed to match the CSF Control Reference of a cell to the reference in the Level Determination sheet. If the Level of the CSF Control in the LD sheet is equal to or greater than the level noted in Column A, return Col. A, else return &quot;&quot;.">IF(OR(VLOOKUP('[1]CHIP Q'!A1048575,'[1]CHIP Q'!$B$6:$E$140,4,FALSE)='[1]CHIP Q'!$A1,VLOOKUP('[1]CHIP Q'!A1048575,'[1]CHIP Q'!$B$6:$E$140,4,FALSE)&gt;'[1]CHIP Q'!$A1),'[1]CHIP Q'!$A1,"")</definedName>
    <definedName name="Level_2" comment="A VLOOKUP is performed to match the CSF Control Reference of a cell to the reference in the Level Determination sheet. If the Level of the CSF Control in the LD sheet is equal to or greater than the level noted in Column A, return Col. A, else return &quot;&quot;.">IF(OR(VLOOKUP('[1]CHIP Q'!A1048572,'[1]CHIP Q'!$B$6:$E$140,4,FALSE)='[1]CHIP Q'!$A1,VLOOKUP('[1]CHIP Q'!A1048572,'[1]CHIP Q'!$B$6:$E$140,4,FALSE)&gt;'[1]CHIP Q'!$A1),'[1]CHIP Q'!$A1,"")</definedName>
    <definedName name="Level_3" comment="A VLOOKUP is performed to match the CSF Control Reference of a cell to the reference in the Level Determination sheet. If the Level of the CSF Control in the LD sheet is equal to or greater than the level noted in Column A, return Col. A, else return &quot;&quot;.">IF(OR(VLOOKUP('[1]CHIP Q'!A1048569,'[1]CHIP Q'!$B$6:$E$140,4,FALSE)='[1]CHIP Q'!$A1,VLOOKUP('[1]CHIP Q'!A1048569,'[1]CHIP Q'!$B$6:$E$140,4,FALSE)&gt;'[1]CHIP Q'!$A1),'[1]CHIP Q'!$A1,"")</definedName>
    <definedName name="_xlnm.Print_Area" localSheetId="1">'Company Information'!$A$1:$X$59</definedName>
    <definedName name="_xlnm.Print_Area" localSheetId="3">'Security Questionnaire'!$A$2:$P$1048576</definedName>
    <definedName name="RegMap_Bottom_1">IF(OR(VLOOKUP('[1]CHIP Q'!A1048574,'[1]CHIP Q'!$B$6:$BW$140,74,FALSE)='[1]CHIP Q'!$A1048576,VLOOKUP('[1]CHIP Q'!A1048574,'[1]CHIP Q'!$B$6:$BW$140,74,FALSE)&gt;'[1]CHIP Q'!$A1048576),'[1]CHIP Q'!$A1048576,"")</definedName>
    <definedName name="RegMap_Bottom_2">IF(OR(VLOOKUP('[1]CHIP Q'!A1048571,'[1]CHIP Q'!$B$6:$BW$140,74,FALSE)='[1]CHIP Q'!$A1048576,VLOOKUP('[1]CHIP Q'!A1048571,'[1]CHIP Q'!$B$6:$BW$140,74,FALSE)&gt;'[1]CHIP Q'!$A1048576),'[1]CHIP Q'!$A1048576,"")</definedName>
    <definedName name="RegMap_Bottom_3">IF(OR(VLOOKUP('[1]CHIP Q'!A1048568,'[1]CHIP Q'!$B$6:$BW$140,74,FALSE)='[1]CHIP Q'!$A1048576,VLOOKUP('[1]CHIP Q'!A1048568,'[1]CHIP Q'!$B$6:$BW$140,74,FALSE)&gt;'[1]CHIP Q'!$A1048576),'[1]CHIP Q'!$A1048576,"")</definedName>
    <definedName name="RegMap_Left_1">IF(OR(VLOOKUP('[1]CHIP Q'!B1048575,'[1]CHIP Q'!$B$6:$BW$140,74,FALSE)='[1]CHIP Q'!$A1,VLOOKUP('[1]CHIP Q'!B1048575,'[1]CHIP Q'!$B$6:$BW$140,74,FALSE)&gt;'[1]CHIP Q'!$A1),'[1]CHIP Q'!$A1,"")</definedName>
    <definedName name="RegMap_Left_2">IF(OR(VLOOKUP('[1]CHIP Q'!B1048572,'[1]CHIP Q'!$B$6:$BW$140,74,FALSE)='[1]CHIP Q'!$A1,VLOOKUP('[1]CHIP Q'!B1048572,'[1]CHIP Q'!$B$6:$BW$140,74,FALSE)&gt;'[1]CHIP Q'!$A1),'[1]CHIP Q'!$A1,"")</definedName>
    <definedName name="RegMap_Left_3">IF(OR(VLOOKUP('[1]CHIP Q'!B1048569,'[1]CHIP Q'!$B$6:$BW$140,74,FALSE)='[1]CHIP Q'!$A1,VLOOKUP('[1]CHIP Q'!B1048569,'[1]CHIP Q'!$B$6:$BW$140,74,FALSE)&gt;'[1]CHIP Q'!$A1),'[1]CHIP Q'!$A1,"")</definedName>
    <definedName name="RegMap_Right_1">IF(OR(VLOOKUP('[1]CHIP Q'!XFD1048575,'[1]CHIP Q'!$B$6:$BW$140,74,FALSE)='[1]CHIP Q'!$A1,VLOOKUP('[1]CHIP Q'!XFD1048575,'[1]CHIP Q'!$B$6:$BW$140,74,FALSE)&gt;'[1]CHIP Q'!$A1),'[1]CHIP Q'!$A1,"")</definedName>
    <definedName name="RegMap_Right_2">IF(OR(VLOOKUP('[1]CHIP Q'!XFD1048572,'[1]CHIP Q'!$B$6:$BW$140,74,FALSE)='[1]CHIP Q'!$A1,VLOOKUP('[1]CHIP Q'!XFD1048572,'[1]CHIP Q'!$B$6:$BW$140,74,FALSE)&gt;'[1]CHIP Q'!$A1),'[1]CHIP Q'!$A1,"")</definedName>
    <definedName name="RegMap_Right_3">IF(OR(VLOOKUP('[1]CHIP Q'!XFD1048569,'[1]CHIP Q'!$B$6:$BW$140,74,FALSE)='[1]CHIP Q'!$A1,VLOOKUP('[1]CHIP Q'!XFD1048569,'[1]CHIP Q'!$B$6:$BW$140,74,FALSE)&gt;'[1]CHIP Q'!$A1),'[1]CHIP Q'!$A1,"")</definedName>
    <definedName name="RegMap_Top_1">IF(OR(VLOOKUP('[1]CHIP Q'!A1048576,'[1]CHIP Q'!$B$6:$BW$140,74,FALSE)='[1]CHIP Q'!$A2,VLOOKUP('[1]CHIP Q'!A1048576,'[1]CHIP Q'!$B$6:$BW$140,74,FALSE)&gt;'[1]CHIP Q'!$A2),'[1]CHIP Q'!$A2,"")</definedName>
    <definedName name="RegMap_Top_2">IF(OR(VLOOKUP('[1]CHIP Q'!A1048573,'[1]CHIP Q'!$B$6:$BW$140,74,FALSE)='[1]CHIP Q'!$A2,VLOOKUP('[1]CHIP Q'!A1048573,'[1]CHIP Q'!$B$6:$BW$140,74,FALSE)&gt;'[1]CHIP Q'!$A2),'[1]CHIP Q'!$A2,"")</definedName>
    <definedName name="RegMap_Top_3">IF(OR(VLOOKUP('[1]CHIP Q'!A1048570,'[1]CHIP Q'!$B$6:$BW$140,74,FALSE)='[1]CHIP Q'!$A2,VLOOKUP('[1]CHIP Q'!A1048570,'[1]CHIP Q'!$B$6:$BW$140,74,FALSE)&gt;'[1]CHIP Q'!$A2),'[1]CHIP Q'!$A2,"")</definedName>
    <definedName name="Regulatory_Mapping">IF('[1]CHIP Q'!$BW$4,'[1]CHIP Q'!$BW1,IF('[1]CHIP Q'!$BW$5,MAXA('[1]CHIP Q'!B1:AW1,'[1]CHIP Q'!$BW1),0))</definedName>
    <definedName name="Single_Level">IF('[1]CHIP Q'!$B$47,IF(MAXA('[1]CHIP Q'!$BY1:$ED1)&lt;'[1]CHIP Q'!$B$46,MAXA('[1]CHIP Q'!$BY1:$ED1),'[1]CHIP Q'!$B$46),0)</definedName>
    <definedName name="Z_84114131_0B46_417A_8167_8F7858C7D37A_.wvu.Rows" localSheetId="3" hidden="1">'Security Questionnaire'!#REF!</definedName>
  </definedNames>
  <calcPr calcId="152511"/>
  <extLst>
    <ext xmlns:mx="http://schemas.microsoft.com/office/mac/excel/2008/main" uri="{7523E5D3-25F3-A5E0-1632-64F254C22452}">
      <mx:ArchID Flags="2"/>
    </ext>
  </extLst>
</workbook>
</file>

<file path=xl/calcChain.xml><?xml version="1.0" encoding="utf-8"?>
<calcChain xmlns="http://schemas.openxmlformats.org/spreadsheetml/2006/main">
  <c r="A50" i="1" l="1"/>
  <c r="A51" i="1"/>
  <c r="A52" i="1"/>
  <c r="A53" i="1"/>
  <c r="A84" i="1"/>
  <c r="A85" i="1"/>
  <c r="A86" i="1"/>
  <c r="A87" i="1"/>
  <c r="A31" i="1"/>
  <c r="A32" i="1"/>
  <c r="A12" i="1"/>
  <c r="A13" i="1"/>
  <c r="A14" i="1"/>
  <c r="A15" i="1"/>
  <c r="A16" i="1"/>
  <c r="A17" i="1"/>
  <c r="A18" i="1"/>
  <c r="A19" i="1"/>
  <c r="A20" i="1"/>
  <c r="A21" i="1"/>
  <c r="A22" i="1"/>
  <c r="A23" i="1"/>
  <c r="A24" i="1"/>
  <c r="A25" i="1"/>
  <c r="A26" i="1"/>
  <c r="A27" i="1"/>
  <c r="A28" i="1"/>
  <c r="A29" i="1"/>
  <c r="A30" i="1"/>
  <c r="A36" i="1"/>
  <c r="A69" i="1"/>
  <c r="A70" i="1"/>
  <c r="A74" i="1"/>
  <c r="A75" i="1"/>
  <c r="A76" i="1" s="1"/>
  <c r="A97" i="1"/>
  <c r="A99" i="1"/>
  <c r="A101" i="1"/>
  <c r="A103" i="1"/>
  <c r="A113" i="1"/>
  <c r="A114" i="1"/>
  <c r="A115" i="1"/>
  <c r="A135" i="1"/>
  <c r="A136" i="1"/>
  <c r="A137" i="1"/>
  <c r="A142" i="1"/>
  <c r="A143" i="1" s="1"/>
  <c r="A146" i="1"/>
  <c r="A147" i="1"/>
  <c r="A148" i="1"/>
  <c r="A149" i="1" s="1"/>
  <c r="A159" i="1"/>
  <c r="A160" i="1"/>
  <c r="A163" i="1"/>
  <c r="A164" i="1" s="1"/>
  <c r="A168" i="1"/>
  <c r="A170" i="1"/>
  <c r="A172" i="1"/>
  <c r="A174" i="1"/>
  <c r="A176" i="1"/>
  <c r="A180" i="1"/>
  <c r="A181" i="1"/>
  <c r="A182" i="1"/>
  <c r="A196" i="1"/>
  <c r="A197" i="1"/>
  <c r="A201" i="1"/>
  <c r="A203" i="1"/>
  <c r="A213" i="1"/>
  <c r="A214" i="1"/>
  <c r="A215" i="1"/>
  <c r="A216" i="1"/>
  <c r="A217" i="1"/>
  <c r="Q221" i="1"/>
  <c r="A223" i="1"/>
  <c r="A225" i="1"/>
  <c r="A227" i="1"/>
  <c r="A229" i="1"/>
  <c r="A231" i="1"/>
  <c r="A233" i="1"/>
  <c r="A245" i="1"/>
  <c r="A246" i="1"/>
  <c r="A247" i="1"/>
  <c r="A248" i="1"/>
  <c r="A249" i="1"/>
  <c r="A250" i="1"/>
  <c r="A260" i="1"/>
  <c r="A270" i="1"/>
  <c r="A271" i="1"/>
  <c r="A272" i="1"/>
  <c r="A289" i="1"/>
  <c r="A290" i="1"/>
  <c r="A291" i="1"/>
  <c r="A303" i="1"/>
  <c r="A304" i="1"/>
  <c r="A305" i="1"/>
  <c r="A306" i="1"/>
  <c r="A307" i="1"/>
  <c r="A308" i="1"/>
  <c r="A309" i="1"/>
  <c r="A310" i="1"/>
  <c r="A311" i="1"/>
  <c r="A312" i="1"/>
  <c r="A313" i="1"/>
  <c r="A327" i="1"/>
  <c r="A329" i="1"/>
  <c r="A349" i="1"/>
  <c r="A350" i="1"/>
  <c r="A351" i="1"/>
  <c r="A352" i="1"/>
  <c r="A353" i="1"/>
  <c r="A354" i="1"/>
  <c r="A355" i="1"/>
  <c r="A363" i="1"/>
  <c r="A365" i="1"/>
  <c r="A367" i="1"/>
  <c r="A377" i="1"/>
  <c r="A378" i="1"/>
  <c r="A379" i="1"/>
  <c r="A380" i="1"/>
  <c r="A381" i="1"/>
  <c r="A382" i="1"/>
  <c r="A383" i="1"/>
  <c r="A384" i="1"/>
  <c r="A387" i="1"/>
  <c r="A388" i="1" s="1"/>
  <c r="A390" i="1"/>
  <c r="A404" i="1"/>
  <c r="A416" i="1"/>
  <c r="A417" i="1"/>
  <c r="A418" i="1"/>
  <c r="A419" i="1"/>
  <c r="A420" i="1"/>
  <c r="A421" i="1"/>
  <c r="A440" i="1"/>
  <c r="A442" i="1"/>
  <c r="A443" i="1"/>
  <c r="A444" i="1"/>
  <c r="Q454" i="1"/>
  <c r="A455" i="1"/>
  <c r="A456" i="1"/>
  <c r="A460" i="1"/>
  <c r="A472" i="1"/>
  <c r="A477" i="1"/>
  <c r="A478" i="1" s="1"/>
  <c r="A480" i="1"/>
  <c r="A486" i="1"/>
  <c r="Q486" i="1"/>
  <c r="A488" i="1"/>
  <c r="A498" i="1"/>
  <c r="A499" i="1"/>
  <c r="A500" i="1"/>
  <c r="A501" i="1"/>
  <c r="A502" i="1"/>
  <c r="A513" i="1"/>
  <c r="A514" i="1"/>
  <c r="A515" i="1"/>
  <c r="A516" i="1" s="1"/>
  <c r="A526" i="1"/>
  <c r="A527" i="1"/>
  <c r="K521" i="1"/>
  <c r="G521" i="1"/>
  <c r="Q505" i="1"/>
  <c r="K493" i="1"/>
  <c r="G493" i="1"/>
  <c r="K467" i="1"/>
  <c r="G467" i="1"/>
  <c r="K436" i="1"/>
  <c r="G436" i="1"/>
  <c r="K411" i="1"/>
  <c r="G411" i="1"/>
  <c r="K372" i="1"/>
  <c r="G372" i="1"/>
  <c r="O344" i="1"/>
  <c r="K344" i="1"/>
  <c r="G344" i="1"/>
  <c r="K298" i="1"/>
  <c r="G298" i="1"/>
  <c r="K265" i="1"/>
  <c r="G265" i="1"/>
  <c r="K240" i="1"/>
  <c r="G240" i="1"/>
  <c r="K208" i="1"/>
  <c r="G208" i="1"/>
  <c r="K191" i="1"/>
  <c r="G191" i="1"/>
  <c r="K154" i="1"/>
  <c r="G154" i="1"/>
  <c r="K130" i="1"/>
  <c r="G130" i="1"/>
  <c r="K108" i="1"/>
  <c r="G108" i="1"/>
  <c r="K79" i="1"/>
  <c r="G79" i="1"/>
  <c r="K64" i="1"/>
  <c r="G64" i="1"/>
  <c r="K45" i="1"/>
  <c r="G45" i="1"/>
  <c r="A166" i="1" l="1"/>
  <c r="A165" i="1"/>
</calcChain>
</file>

<file path=xl/comments1.xml><?xml version="1.0" encoding="utf-8"?>
<comments xmlns="http://schemas.openxmlformats.org/spreadsheetml/2006/main">
  <authors>
    <author>Chris Hourihan</author>
  </authors>
  <commentList>
    <comment ref="C15" authorId="0" shapeId="0">
      <text>
        <r>
          <rPr>
            <sz val="11"/>
            <color indexed="81"/>
            <rFont val="Calibri"/>
            <family val="2"/>
            <scheme val="minor"/>
          </rPr>
          <t>List where the organization does business and has operations.</t>
        </r>
      </text>
    </comment>
  </commentList>
</comments>
</file>

<file path=xl/comments2.xml><?xml version="1.0" encoding="utf-8"?>
<comments xmlns="http://schemas.openxmlformats.org/spreadsheetml/2006/main">
  <authors>
    <author>CHRIS HOURIHAN</author>
  </authors>
  <commentList>
    <comment ref="E59" authorId="0" shapeId="0">
      <text>
        <r>
          <rPr>
            <sz val="11"/>
            <color indexed="81"/>
            <rFont val="Calibri"/>
            <family val="2"/>
            <scheme val="minor"/>
          </rPr>
          <t xml:space="preserve">Any of the following approaches shall be used:
- Full disk encryption
- Virtual disk encryption
- Volume disk encryption
- File and folder encryption
The encryption approach shall be implemented using one or a combination of the following:
- One-way hashes based on strong cryptography
- Truncation
- Strong cryptography with associated key-management processes and procedures
The system shall implement one of the following encryption algorithms:
- AES-CBC (AES in Cipher Block Chaining mode) with a 128-bit key minimum
- Triple DES (3DES-CBC)
For more information, access the CSF online at https://www.hitrustcentral.net/ </t>
        </r>
      </text>
    </comment>
    <comment ref="E199" authorId="0" shapeId="0">
      <text>
        <r>
          <rPr>
            <sz val="11"/>
            <color indexed="81"/>
            <rFont val="Calibri"/>
            <family val="2"/>
          </rPr>
          <t>The following are appropriate techniques to securely remove information:
  i. disk wiping
  ii. degaussing
The following are appropriate techniques to securely destroy electronic and hard copy media:
  i. shredding disk platters
  ii. disintegration
  iii. grinding surfaces
  iv. incineration
  v. pulverization
  vi. melting
For more information, access the CSF online at https://www.hitrustcentral.net/</t>
        </r>
      </text>
    </comment>
    <comment ref="E274" authorId="0" shapeId="0">
      <text>
        <r>
          <rPr>
            <sz val="11"/>
            <color indexed="81"/>
            <rFont val="Calibri"/>
            <family val="2"/>
          </rPr>
          <t>Strong Password Requirements:
  i. Eight (8) character minimum;
  ii. Non-dictionary words;
  iii. Free of consecutive identical characters;
  iv. A combination of alphabetic, upper and lower case characters, numbers, and special characters (combination of any three [3] of the above four [4] listed is acceptable)
  vi. force users to change passwords every 90 days or based on the number of accesses;
  vii. passwords for privileged accounts shall be changed every 60 days;
  viii. prevent users from re-using or cycling the last six (6) passwords;
  ix. force users to change temporary passwords at the first log-on;
  x. lock out a user ID after no more than six repeated failed attempts;
  xi. require a lockout duration of 30 minutes or until an administrator enables the user ID; and
  xii. not include passwords in any automated log-on process (e.g. stored in a macro or function key).
For more information, access the CSF online at https://www.hitrustcentral.net/</t>
        </r>
      </text>
    </comment>
    <comment ref="E276" authorId="0" shapeId="0">
      <text>
        <r>
          <rPr>
            <sz val="11"/>
            <color indexed="81"/>
            <rFont val="Calibri"/>
            <family val="2"/>
          </rPr>
          <t>Strong Password Requirements:
  i. Eight (8) character minimum;
  ii. Non-dictionary words;
  iii. Free of consecutive identical characters;
  iv. A combination of alphabetic, upper and lower case characters, numbers, and special characters (combination of any three [3] of the above four [4] listed is acceptable)
  vi. force users to change passwords every 90 days or based on the number of accesses;
  vii. passwords for privileged accounts shall be changed every 60 days;
  viii. prevent users from re-using or cycling the last six (6) passwords;
  ix. force users to change temporary passwords at the first log-on;
  x. lock out a user ID after no more than six repeated failed attempts;
  xi. require a lockout duration of 30 minutes or until an administrator enables the user ID; and
  xii. not include passwords in any automated log-on process (e.g. stored in a macro or function key).
For more information, access the CSF online at https://www.hitrustcentral.net/</t>
        </r>
      </text>
    </comment>
    <comment ref="E278" authorId="0" shapeId="0">
      <text>
        <r>
          <rPr>
            <sz val="11"/>
            <color indexed="81"/>
            <rFont val="Calibri"/>
            <family val="2"/>
          </rPr>
          <t>Strong Password Requirements:
  i. Eight (8) character minimum;
  ii. Non-dictionary words;
  iii. Free of consecutive identical characters;
  iv. A combination of alphabetic, upper and lower case characters, numbers, and special characters (combination of any three [3] of the above four [4] listed is acceptable)
  vi. force users to change passwords every 90 days or based on the number of accesses;
  vii. passwords for privileged accounts shall be changed every 60 days;
  viii. prevent users from re-using or cycling the last six (6) passwords;
  ix. force users to change temporary passwords at the first log-on;
  x. lock out a user ID after no more than six repeated failed attempts;
  xi. require a lockout duration of 30 minutes or until an administrator enables the user ID; and
  xii. not include passwords in any automated log-on process (e.g. stored in a macro or function key).
For more information, access the CSF online at https://www.hitrustcentral.net/</t>
        </r>
      </text>
    </comment>
    <comment ref="E280" authorId="0" shapeId="0">
      <text>
        <r>
          <rPr>
            <sz val="11"/>
            <color indexed="81"/>
            <rFont val="Calibri"/>
            <family val="2"/>
          </rPr>
          <t xml:space="preserve">Strong Password Requirements:
  i. Eight (8) character minimum;
  ii. Non-dictionary words;
  iii. Free of consecutive identical characters;
  iv. A combination of alphabetic, upper and lower case characters, numbers, and special characters (combination of any three [3] of the above four [4] listed is acceptable)
  vi. force users to change passwords every 90 days or based on the number of accesses;
  vii. passwords for privileged accounts shall be changed every 60 days;
  viii. prevent users from re-using or cycling the last six (6) passwords;
  ix. force users to change temporary passwords at the first log-on;
  x. lock out a user ID after no more than six repeated failed attempts;
  xi. require a lockout duration of 30 minutes or until an administrator enables the user ID; and
  xii. not include passwords in any automated log-on process (e.g. stored in a macro or function key).
For more information, access the CSF online at https://www.hitrustcentral.net/
</t>
        </r>
      </text>
    </comment>
    <comment ref="E337" authorId="0" shapeId="0">
      <text>
        <r>
          <rPr>
            <sz val="11"/>
            <color indexed="81"/>
            <rFont val="Calibri"/>
            <family val="2"/>
          </rPr>
          <t>Session Time-out:
  i. pause the session screen after 15 minutes of inactivity (2 minutes for publicly accessible workstations);
  ii. close both application and network sessions (logical link used for communication) after 30 minutes of inactivity;
  iii. require the user to reestablish access using authentication.
For more information, access the CSF online at https://www.hitrustcentral.net/</t>
        </r>
      </text>
    </comment>
    <comment ref="E402" authorId="0" shapeId="0">
      <text>
        <r>
          <rPr>
            <sz val="11"/>
            <color indexed="81"/>
            <rFont val="Calibri"/>
            <family val="2"/>
          </rPr>
          <t>At a minimum, the screening shall include verification checks of the following:
i. availability of satisfactory character references (e.g. one business and one personal);
ii. a check (for completeness and accuracy) of the applicant's curriculum vitae;
iii. confirmation of claimed academic and professional qualifications; and
iv. independent identity check (passport or similar document).
For more information, access the CSF online at https://www.hitrustcentral.net/</t>
        </r>
      </text>
    </comment>
  </commentList>
</comments>
</file>

<file path=xl/sharedStrings.xml><?xml version="1.0" encoding="utf-8"?>
<sst xmlns="http://schemas.openxmlformats.org/spreadsheetml/2006/main" count="485" uniqueCount="365">
  <si>
    <t>This column contains the information security control categories and associated metrics for measuring and managing the security control category.</t>
  </si>
  <si>
    <t>The metric itself or for certain questions "Yes / No". If no metric exists, enter "Unknown."</t>
  </si>
  <si>
    <r>
      <t xml:space="preserve">Describe how the response to the control is validated or confirmed. For example, is it based on reports that can be easily provided if requested, best estimate, or other?
</t>
    </r>
    <r>
      <rPr>
        <sz val="10"/>
        <color rgb="FFFF0000"/>
        <rFont val="Calibri"/>
        <family val="2"/>
        <scheme val="minor"/>
      </rPr>
      <t>(NOTE: This response is as important as the actual answer. Leaving this blank will result in a request for more information by HITRUST or the assumption that there is no basis for the answer).</t>
    </r>
  </si>
  <si>
    <t>Provide any additional information relevant to the question or metric such as references to supporting documentation.</t>
  </si>
  <si>
    <t>1.</t>
  </si>
  <si>
    <t>Information Security Policies</t>
  </si>
  <si>
    <t>Answer</t>
  </si>
  <si>
    <t>Control Validation</t>
  </si>
  <si>
    <t>General Comments</t>
  </si>
  <si>
    <t>Prior Assessments</t>
  </si>
  <si>
    <t>01.a Access Control Policy</t>
  </si>
  <si>
    <t>01.b User Registration</t>
  </si>
  <si>
    <t>01.h Clear Desk and Clear Screen Policy</t>
  </si>
  <si>
    <t>01.i Policy on the Use of Network Services</t>
  </si>
  <si>
    <t>01.x Mobile Computing and Communications</t>
  </si>
  <si>
    <t>01.y Teleworking</t>
  </si>
  <si>
    <t>02.d Management Responsibilities</t>
  </si>
  <si>
    <t>03.a Risk Management Program Development</t>
  </si>
  <si>
    <t>04.a Information Security Policy Document</t>
  </si>
  <si>
    <t>04.b Review of the Information Security Policy</t>
  </si>
  <si>
    <t>05.a Management Commitment to Information Security</t>
  </si>
  <si>
    <t>06.d Data Protection and Privacy of Covered Information</t>
  </si>
  <si>
    <t>07.c Acceptable Use of Assets</t>
  </si>
  <si>
    <t>08.d Protecting Against External and Environmental Threats</t>
  </si>
  <si>
    <t>08.j Equipment Maintenance</t>
  </si>
  <si>
    <t>09.j Controls Against Malicious Code</t>
  </si>
  <si>
    <t>09.o Management of Removable Media</t>
  </si>
  <si>
    <t>09.s Information Exchange Policies and Procedures</t>
  </si>
  <si>
    <t>10.b Input Data Validation</t>
  </si>
  <si>
    <t>10.f Policy on the Use of Cryptographic Controls</t>
  </si>
  <si>
    <t>11.a Reporting Information Security Events</t>
  </si>
  <si>
    <t>11.c Responsibilities and Procedures</t>
  </si>
  <si>
    <t>1.1.A</t>
  </si>
  <si>
    <t xml:space="preserve">Are any of your policies or standards less restrictive than the base standard? </t>
  </si>
  <si>
    <t>Have you reviewed your information security policies and standards within the past 12 months against compliance-related requirements?</t>
  </si>
  <si>
    <t>Who approves the information security policies and standards for the organization?</t>
  </si>
  <si>
    <t>What resources (function and headcount) in your organization  are responsible for maintaining the policies?</t>
  </si>
  <si>
    <t>2.</t>
  </si>
  <si>
    <t>Laptop Security</t>
  </si>
  <si>
    <t>09.m Network Controls</t>
  </si>
  <si>
    <t>09.q Information Handling Procedures</t>
  </si>
  <si>
    <t>10.g Key Management</t>
  </si>
  <si>
    <t>What percentage of laptops have a desktop firewall installed and operating?</t>
  </si>
  <si>
    <t xml:space="preserve">What percentage of laptops are operating with a minimum cryptographic module? </t>
  </si>
  <si>
    <t>What tools are used to deploy and/or maintain the firewalls and minimum cryptographic modules?</t>
  </si>
  <si>
    <t>3.</t>
  </si>
  <si>
    <t>Mobile Media Security</t>
  </si>
  <si>
    <t>Do you use technical solutions to restrict the use of unencrypted portable media?</t>
  </si>
  <si>
    <t>What tools are used to restrict the use of unencrypted portable media?</t>
  </si>
  <si>
    <t>4.</t>
  </si>
  <si>
    <t>Wireless Security</t>
  </si>
  <si>
    <t>01.j User Authentication for External Connections</t>
  </si>
  <si>
    <t>01.m Segregation in Networks</t>
  </si>
  <si>
    <r>
      <t xml:space="preserve">What percentage of wireless access points are in compliance with the organization's configuration standards?
</t>
    </r>
    <r>
      <rPr>
        <b/>
        <i/>
        <sz val="11"/>
        <color rgb="FFC00000"/>
        <rFont val="Calibri"/>
        <family val="2"/>
        <scheme val="minor"/>
      </rPr>
      <t xml:space="preserve">No configuration standard: </t>
    </r>
  </si>
  <si>
    <t>4.1.A</t>
  </si>
  <si>
    <t>Does the organization disable default passwords, encryption keys, and SSIDs on new wireless access points and enable strong encryption?</t>
  </si>
  <si>
    <t>What is the approximate number of wireless access points on the organization's internal network that have encryption or authentication enabled (WPA at a minimum)?</t>
  </si>
  <si>
    <t>Is user authentication required in order to receive wireless access to the internal network?</t>
  </si>
  <si>
    <r>
      <t xml:space="preserve">When was the last wireless vulnerability assessment performed?
</t>
    </r>
    <r>
      <rPr>
        <b/>
        <i/>
        <sz val="11"/>
        <color rgb="FFC00000"/>
        <rFont val="Calibri"/>
        <family val="2"/>
        <scheme val="minor"/>
      </rPr>
      <t xml:space="preserve">None performed: </t>
    </r>
  </si>
  <si>
    <t>4.4.A</t>
  </si>
  <si>
    <t>What was the average time to close high risk findings (e.g., SANS) identified in the vulnerability assessment?</t>
  </si>
  <si>
    <t>4.4.B</t>
  </si>
  <si>
    <t>Does the organization implement firewalls between wireless networks and the covered information environment to control the flow of traffic between the two networks?</t>
  </si>
  <si>
    <r>
      <t xml:space="preserve">When was the last wireless assessment for rogue access points performed?
</t>
    </r>
    <r>
      <rPr>
        <b/>
        <i/>
        <sz val="11"/>
        <color rgb="FFC00000"/>
        <rFont val="Calibri"/>
        <family val="2"/>
        <scheme val="minor"/>
      </rPr>
      <t xml:space="preserve">None performed: </t>
    </r>
  </si>
  <si>
    <t>What tools are used to secure and maintain the security of wireless access points?</t>
  </si>
  <si>
    <t>5.</t>
  </si>
  <si>
    <t>Malware Protection</t>
  </si>
  <si>
    <t>01.v Information Access Restriction</t>
  </si>
  <si>
    <t>What percentage of systems (e.g., servers) have anti-malware installed?</t>
  </si>
  <si>
    <t>5.1.A</t>
  </si>
  <si>
    <t>What percentage of systems (e.g., servers) have anti-malware with up-to-date virus definitions (less than 14 days)?</t>
  </si>
  <si>
    <t>What percentage of devices (e.g., laptops) have anti-malware installed?</t>
  </si>
  <si>
    <t>5.2.A</t>
  </si>
  <si>
    <t>What percentage of devices (e.g., laptops) have anti-malware with up-to-date virus definitions (less than 14 days)?</t>
  </si>
  <si>
    <t>What percentage of devices (e.g., laptops) have anti-spyware installed?</t>
  </si>
  <si>
    <t>What tools are used to deploy and maintain these anti-malware and anti-spyware technologies?</t>
  </si>
  <si>
    <t>6.</t>
  </si>
  <si>
    <t>Configuration Management</t>
  </si>
  <si>
    <t>01.w Sensitive System Isolation</t>
  </si>
  <si>
    <t>09.af Clock Synchronization</t>
  </si>
  <si>
    <t>10.h Control of Operational Software</t>
  </si>
  <si>
    <t>10.l Outsourced Software Development</t>
  </si>
  <si>
    <t>What percentage of systems have their clocks synchronized with an accurate time source?</t>
  </si>
  <si>
    <r>
      <t xml:space="preserve">What percentage of devices (e.g., laptops) are in compliance with the organization's configuration standards? 
</t>
    </r>
    <r>
      <rPr>
        <b/>
        <i/>
        <sz val="11"/>
        <color rgb="FFC00000"/>
        <rFont val="Calibri"/>
        <family val="2"/>
        <scheme val="minor"/>
      </rPr>
      <t xml:space="preserve">No configuration standards: </t>
    </r>
  </si>
  <si>
    <t>6.2.A</t>
  </si>
  <si>
    <r>
      <t xml:space="preserve">How often are device configurations (e.g., laptops) reviewed?
</t>
    </r>
    <r>
      <rPr>
        <b/>
        <i/>
        <sz val="11"/>
        <color rgb="FFC00000"/>
        <rFont val="Calibri"/>
        <family val="2"/>
        <scheme val="minor"/>
      </rPr>
      <t>No configuration reviews:</t>
    </r>
  </si>
  <si>
    <r>
      <t xml:space="preserve">What percentage of systems (e.g., servers, network devices) are in compliance with the organization's configuration standards?  
</t>
    </r>
    <r>
      <rPr>
        <b/>
        <i/>
        <sz val="11"/>
        <color rgb="FFC00000"/>
        <rFont val="Calibri"/>
        <family val="2"/>
        <scheme val="minor"/>
      </rPr>
      <t>No configuration standards:</t>
    </r>
  </si>
  <si>
    <t>6.3.A</t>
  </si>
  <si>
    <r>
      <t xml:space="preserve">How often are system configurations (e.g., servers) reviewed?
</t>
    </r>
    <r>
      <rPr>
        <b/>
        <i/>
        <sz val="11"/>
        <color rgb="FFC00000"/>
        <rFont val="Calibri"/>
        <family val="2"/>
        <scheme val="minor"/>
      </rPr>
      <t>No configuration reviews:</t>
    </r>
  </si>
  <si>
    <t>Do you have security configuration standards for your devices and systems?</t>
  </si>
  <si>
    <t>What tools and methods (e.g., published hardening standards) are used to deploy and maintain synchronization and the configuration of systems and devices?</t>
  </si>
  <si>
    <t>7.</t>
  </si>
  <si>
    <t>Vulnerability Management</t>
  </si>
  <si>
    <t>07.a Inventory of Assets</t>
  </si>
  <si>
    <t>10.m Control of Technical Vulnerabilities</t>
  </si>
  <si>
    <r>
      <t xml:space="preserve">When was the last asset inventory scan/update performed?
</t>
    </r>
    <r>
      <rPr>
        <b/>
        <i/>
        <sz val="11"/>
        <color rgb="FFC00000"/>
        <rFont val="Calibri"/>
        <family val="2"/>
        <scheme val="minor"/>
      </rPr>
      <t xml:space="preserve">None performed: </t>
    </r>
  </si>
  <si>
    <t>7.1.A</t>
  </si>
  <si>
    <t>Select the components of the environment that were included in the scan/assessment:</t>
  </si>
  <si>
    <t>7.1.B</t>
  </si>
  <si>
    <t>What percentage of the environment was scanned?</t>
  </si>
  <si>
    <r>
      <t xml:space="preserve">When was the last vulnerability scan/assessment performed?
</t>
    </r>
    <r>
      <rPr>
        <b/>
        <i/>
        <sz val="11"/>
        <color rgb="FFC00000"/>
        <rFont val="Calibri"/>
        <family val="2"/>
        <scheme val="minor"/>
      </rPr>
      <t xml:space="preserve">None performed: </t>
    </r>
  </si>
  <si>
    <t>7.2.A</t>
  </si>
  <si>
    <t>7.2.B</t>
  </si>
  <si>
    <t>Select the scope of the scan/assessment:</t>
  </si>
  <si>
    <t>7.2.C</t>
  </si>
  <si>
    <t>Is the scan/assessment performed by a qualified, independent third party?</t>
  </si>
  <si>
    <t>7.2.D</t>
  </si>
  <si>
    <t>What is the average time to close high risk findings (e.g., SANS) identified in the scan/assessment?</t>
  </si>
  <si>
    <r>
      <t xml:space="preserve">When was the last web application vulnerability scan/assessment performed?
</t>
    </r>
    <r>
      <rPr>
        <b/>
        <i/>
        <sz val="11"/>
        <color rgb="FFC00000"/>
        <rFont val="Calibri"/>
        <family val="2"/>
        <scheme val="minor"/>
      </rPr>
      <t xml:space="preserve">None performed: </t>
    </r>
  </si>
  <si>
    <t>7.3.A</t>
  </si>
  <si>
    <t>7.3.B</t>
  </si>
  <si>
    <t>What is the average time to close high risk findings (e.g., OWASP) identified in the scan/assessment?</t>
  </si>
  <si>
    <t>What is the average time to apply critical patches?</t>
  </si>
  <si>
    <t>What tools are used to perform vulnerability management and deploy software patches?</t>
  </si>
  <si>
    <t>What resources (function and headcount) in your organization are responsible for your vulnerability management program?</t>
  </si>
  <si>
    <t>8.</t>
  </si>
  <si>
    <t>Secure Disposal</t>
  </si>
  <si>
    <t>08.l Secure Disposal or Re-Use of Equipment</t>
  </si>
  <si>
    <t>09.p Disposal of Media</t>
  </si>
  <si>
    <t>Do your media sanitization procedures include requirements for the secure destruction of electronic and hardcopy media?</t>
  </si>
  <si>
    <r>
      <t xml:space="preserve">When was the last test of the operating effectiveness of your media sanitization procedures? 
</t>
    </r>
    <r>
      <rPr>
        <b/>
        <i/>
        <sz val="11"/>
        <color rgb="FFC00000"/>
        <rFont val="Calibri"/>
        <family val="2"/>
        <scheme val="minor"/>
      </rPr>
      <t>None performed:</t>
    </r>
  </si>
  <si>
    <t>8.2.A</t>
  </si>
  <si>
    <t>Are logs maintained of disposals for electronic and hardcopy media?</t>
  </si>
  <si>
    <t>What tools and/or services are used to support or conduct media sanitization?</t>
  </si>
  <si>
    <t>9.</t>
  </si>
  <si>
    <t>External Breach Protection</t>
  </si>
  <si>
    <t>01.n Network Connection Control</t>
  </si>
  <si>
    <t>01.o Network Routing Control</t>
  </si>
  <si>
    <t>How often is the network diagram identifying all network segments, points of entry, and border gateways (e.g., firewalls) updated?</t>
  </si>
  <si>
    <t>Are firewalls implemented on the network perimeter as a gateway between the trusted (e.g., internal) and untrusted network (e.g., the Internet)?</t>
  </si>
  <si>
    <t>What percentage of firewall and perimeter security technology rules have a documented justification/business-need?</t>
  </si>
  <si>
    <t>Are changes to firewalls and perimeter security technologies reviewed and authorized through a formal change control process?</t>
  </si>
  <si>
    <r>
      <t>How often are the configurations for perimeter security technologies (e.g., firewalls, IPS, IDS) reviewed and approved?</t>
    </r>
    <r>
      <rPr>
        <b/>
        <i/>
        <sz val="11"/>
        <color rgb="FFC00000"/>
        <rFont val="Calibri"/>
        <family val="2"/>
        <scheme val="minor"/>
      </rPr>
      <t/>
    </r>
  </si>
  <si>
    <t>Does the organization use threat detection technologies such as an Intrusion Detection System (IDS) or Intrusion Prevention System (IPS)?</t>
  </si>
  <si>
    <r>
      <t xml:space="preserve">When was the last comprehensive attack and penetration test of your environment (systems and network) performed?
</t>
    </r>
    <r>
      <rPr>
        <b/>
        <i/>
        <sz val="11"/>
        <color rgb="FFC00000"/>
        <rFont val="Calibri"/>
        <family val="2"/>
        <scheme val="minor"/>
      </rPr>
      <t xml:space="preserve">None performed: </t>
    </r>
  </si>
  <si>
    <t>9.7.A</t>
  </si>
  <si>
    <t>How many high risk findings (e.g., SANS) identified in the last comprehensive attack and penetration test are still open (i.e., not remediated)?</t>
  </si>
  <si>
    <t>What tools are used to manage the configuration of perimeter security technologies and perform attack and penetration testing?</t>
  </si>
  <si>
    <t>What resources (function and headcount) in your organization are responsible for managing external breach notification?</t>
  </si>
  <si>
    <t>10.</t>
  </si>
  <si>
    <t>PHI Transmission Protection</t>
  </si>
  <si>
    <t>05.i Identification of Risks Related to External Parties</t>
  </si>
  <si>
    <t>09.v Electronic Messaging</t>
  </si>
  <si>
    <t>How many third party connections are not using a secure VPN or dedicated connection to access systems on your network?</t>
  </si>
  <si>
    <t>What percentage of third party connections have a valid contract and active business relationship?</t>
  </si>
  <si>
    <t>What percentage of web application connections are not using SSL for transmission of PHI over an untrusted network (e.g., the Internet)?</t>
  </si>
  <si>
    <t>Do you use an email encryption product?</t>
  </si>
  <si>
    <t>Do you use a product to identify and, if necessary, stop an outbound transmission with unencrypted PHI (e.g., email, FTP)?</t>
  </si>
  <si>
    <t>What tools are used to deploy and maintain controls supporting the secure transmission of PHI?</t>
  </si>
  <si>
    <t>11.</t>
  </si>
  <si>
    <t>Password Management</t>
  </si>
  <si>
    <t>01.d User Password Management</t>
  </si>
  <si>
    <t>01.f Password Use</t>
  </si>
  <si>
    <t>01.r Password Management System</t>
  </si>
  <si>
    <r>
      <t xml:space="preserve">What percentage of operating systems are configured for strong passwords?
</t>
    </r>
    <r>
      <rPr>
        <b/>
        <i/>
        <sz val="11"/>
        <color rgb="FFC00000"/>
        <rFont val="Calibri"/>
        <family val="2"/>
        <scheme val="minor"/>
      </rPr>
      <t>No configuration standard:</t>
    </r>
  </si>
  <si>
    <r>
      <t xml:space="preserve">What percentage of applications are configured for strong passwords?
</t>
    </r>
    <r>
      <rPr>
        <b/>
        <i/>
        <sz val="11"/>
        <color rgb="FFC00000"/>
        <rFont val="Calibri"/>
        <family val="2"/>
        <scheme val="minor"/>
      </rPr>
      <t>No configuration standard:</t>
    </r>
  </si>
  <si>
    <r>
      <t xml:space="preserve">What percentage of databases are configured for strong passwords?
</t>
    </r>
    <r>
      <rPr>
        <b/>
        <i/>
        <sz val="11"/>
        <color rgb="FFC00000"/>
        <rFont val="Calibri"/>
        <family val="2"/>
        <scheme val="minor"/>
      </rPr>
      <t>No configuration standard:</t>
    </r>
  </si>
  <si>
    <r>
      <rPr>
        <sz val="11"/>
        <rFont val="Calibri"/>
        <family val="2"/>
        <scheme val="minor"/>
      </rPr>
      <t>What percentage of network components are configured for strong passwords?</t>
    </r>
    <r>
      <rPr>
        <sz val="11"/>
        <color theme="1"/>
        <rFont val="Calibri"/>
        <family val="2"/>
        <scheme val="minor"/>
      </rPr>
      <t xml:space="preserve">
</t>
    </r>
    <r>
      <rPr>
        <b/>
        <i/>
        <sz val="11"/>
        <color rgb="FFC00000"/>
        <rFont val="Calibri"/>
        <family val="2"/>
        <scheme val="minor"/>
      </rPr>
      <t>No configuration standard:</t>
    </r>
  </si>
  <si>
    <t>Percentage of admins' password with strong password configurations?</t>
  </si>
  <si>
    <t>What percentage of systems have default passwords?</t>
  </si>
  <si>
    <t>What percentage of users are aware of their responsibilities to secure passwords (e.g., not sharing or writing down passwords, changing passwords when suspected of compromise)?</t>
  </si>
  <si>
    <t>Are all passwords protected (i.e., encrypted) when stored or transmitted?</t>
  </si>
  <si>
    <t>Does your password policy specify the requirements for strong password management?</t>
  </si>
  <si>
    <t>What tools are used to manage passwords?</t>
  </si>
  <si>
    <t>What resources (function and headcount) in your organization are responsible for password configuration management?</t>
  </si>
  <si>
    <t>12.</t>
  </si>
  <si>
    <t>Access Control and Monitoring</t>
  </si>
  <si>
    <t>01.q User Identification and Authentication</t>
  </si>
  <si>
    <t>01.t Session Time-out</t>
  </si>
  <si>
    <t>02.i Removal of Access Rights</t>
  </si>
  <si>
    <t>06.e Prevention of Misuse of Information Assets</t>
  </si>
  <si>
    <t>09.c Segregation of Duties</t>
  </si>
  <si>
    <t>09.aa Audit Logging</t>
  </si>
  <si>
    <t>09.ab Monitoring System Use</t>
  </si>
  <si>
    <t>09.ac Protection of Log Information</t>
  </si>
  <si>
    <r>
      <t xml:space="preserve">What is the average frequency of review of user permissions and accounts?
</t>
    </r>
    <r>
      <rPr>
        <b/>
        <i/>
        <sz val="11"/>
        <color rgb="FFC00000"/>
        <rFont val="Calibri"/>
        <family val="2"/>
        <scheme val="minor"/>
      </rPr>
      <t>None performed:</t>
    </r>
  </si>
  <si>
    <t>12.1.A</t>
  </si>
  <si>
    <t>How many users (number and percentage) are assigned to group membership (e.g., a defined role)?</t>
  </si>
  <si>
    <t>12.1.B</t>
  </si>
  <si>
    <t>How many users (number and percentage) have access to shared accounts?</t>
  </si>
  <si>
    <t>12.1.C</t>
  </si>
  <si>
    <t>How many accounts (number and percentage) identified are inactive?</t>
  </si>
  <si>
    <t>12.1.D</t>
  </si>
  <si>
    <t>How many terminated employees (number and percentage) have active accounts?</t>
  </si>
  <si>
    <t>12.1.E</t>
  </si>
  <si>
    <t>How many default vendor accounts (number and percentage) are identified as active?</t>
  </si>
  <si>
    <t>12.1.F</t>
  </si>
  <si>
    <t>Are access control roles (request, authorization, administration) segregated across multiple individuals?</t>
  </si>
  <si>
    <t>Are computer login banners displayed to all users when accessing the organization's workstations (e.g., laptop, desktop) or network (e.g., remote access via a personal device)?</t>
  </si>
  <si>
    <t>What is the average time to change a user's permissions due to a termination or change in employment?</t>
  </si>
  <si>
    <t>How often are audit records reviewed and analyzed for inappropriate and suspicious activity?</t>
  </si>
  <si>
    <t>How many users have access to audit log and system files and what are their respective roles?</t>
  </si>
  <si>
    <t>What percentage of systems and devices automatically pause (screen saver) and shut down sessions (communication link broken) after a defined period of inactivity?</t>
  </si>
  <si>
    <t>What tools are used to deploy these controls?</t>
  </si>
  <si>
    <t>What resources (function and headcount) in your organization  are responsible for managing access control and monitoring system usage?</t>
  </si>
  <si>
    <t>13.</t>
  </si>
  <si>
    <t>Remote Access and Authentication Control</t>
  </si>
  <si>
    <t>When was the network diagram identifying all remote access points last updated and how often is it updated?</t>
  </si>
  <si>
    <t>13.1.A</t>
  </si>
  <si>
    <t>How many remote access points exist in the organization's network?</t>
  </si>
  <si>
    <t>What percentage of remote access points use multi-factor authentication?</t>
  </si>
  <si>
    <t>Is all remote access implemented through a secure VPN?</t>
  </si>
  <si>
    <t>Are system commands (copy, move, print, print screen, local save) restricted for all users and accounts during a remote access session?</t>
  </si>
  <si>
    <t>How often are audit logs associated with all remote access points reviewed?</t>
  </si>
  <si>
    <t>What tools are used to deploy and maintain remote access and authentication?</t>
  </si>
  <si>
    <t>14.</t>
  </si>
  <si>
    <t>Training and Awareness</t>
  </si>
  <si>
    <t>02.a Roles and Responsibilities</t>
  </si>
  <si>
    <t>02.e Information Security Awareness, Education, and Training</t>
  </si>
  <si>
    <r>
      <t xml:space="preserve">What percentage of security roles have documented responsibilities?
</t>
    </r>
    <r>
      <rPr>
        <b/>
        <i/>
        <sz val="11"/>
        <color rgb="FFC00000"/>
        <rFont val="Calibri"/>
        <family val="2"/>
        <scheme val="minor"/>
      </rPr>
      <t>None documented:</t>
    </r>
  </si>
  <si>
    <t>14.1.A</t>
  </si>
  <si>
    <t>Does the organization have a current organization chart for the security organization?</t>
  </si>
  <si>
    <t>14.1.B</t>
  </si>
  <si>
    <t>When were the security roles and responsibilities last reviewed and updated?</t>
  </si>
  <si>
    <t>What percentage of information system security personnel received training in the past 12 months?</t>
  </si>
  <si>
    <t>What percentage of employees are aware of their roles and responsibilities with respect to information security (e.g., acceptable use)?</t>
  </si>
  <si>
    <t>How often does the organization provide/deliver material to employees, contractors and third parties as part of an ongoing information security training and awareness program?</t>
  </si>
  <si>
    <t>What percentage of employees, contractors, and third parties received training and awareness on the organization's security policies and procedures in the past year?</t>
  </si>
  <si>
    <t>What percentage of employees are authorized access to information systems only after they sign an acknowledgement that they have read and understood applicable rules of behavior?</t>
  </si>
  <si>
    <t>What percentage of individuals are screened before being granted access to organizational information and information systems with PHI?</t>
  </si>
  <si>
    <t>When was the last training program update?</t>
  </si>
  <si>
    <t>What tools are used to deploy and maintain the information security training and awareness program?</t>
  </si>
  <si>
    <t>What resources (function and headcount) in your organization are responsible for managing the information security training and awareness program?</t>
  </si>
  <si>
    <t>15.</t>
  </si>
  <si>
    <t>Third Party Security Management</t>
  </si>
  <si>
    <t>05.k Addressing Security in Third Party Agreements</t>
  </si>
  <si>
    <t>09.e Service Delivery</t>
  </si>
  <si>
    <t>09.f Monitoring and Review of Third Party Services</t>
  </si>
  <si>
    <t>09.g Managing Changes to Third Party Services</t>
  </si>
  <si>
    <t>What percentage of third party contracts (e.g., service providers, business associates) include security requirements and/or specifications aligned with your policies and standards?</t>
  </si>
  <si>
    <t>What percentage of third parties have valid contracts?</t>
  </si>
  <si>
    <t>How often are security and compliance requirements (e.g., SLAs) of third party contracts and agreements reviewed and updated?</t>
  </si>
  <si>
    <t>What percentage of business associates have undergone an independent security assessment of their environment? (Internal Audit is a valid option)</t>
  </si>
  <si>
    <t>What percentage of business associates provide the results of an independent  security assessment of their environment? (provided by Internal Audit is a valid option)</t>
  </si>
  <si>
    <t>What resources (function and headcount) in your organization are responsible for managing compliance of business associates?</t>
  </si>
  <si>
    <t>16.</t>
  </si>
  <si>
    <t>Incident and Breach Response</t>
  </si>
  <si>
    <t>02.f Disciplinary Process</t>
  </si>
  <si>
    <t>05.b Information Security Coordination</t>
  </si>
  <si>
    <t>Incident Detection</t>
  </si>
  <si>
    <r>
      <t xml:space="preserve">What percentage of breaches in the past year were discovered by internal controls? 
</t>
    </r>
    <r>
      <rPr>
        <b/>
        <i/>
        <sz val="11"/>
        <color rgb="FFC00000"/>
        <rFont val="Calibri"/>
        <family val="2"/>
        <scheme val="minor"/>
      </rPr>
      <t>N/A (no breaches occurred):</t>
    </r>
    <r>
      <rPr>
        <sz val="11"/>
        <color rgb="FFC00000"/>
        <rFont val="Calibri"/>
        <family val="2"/>
        <scheme val="minor"/>
      </rPr>
      <t xml:space="preserve"> </t>
    </r>
  </si>
  <si>
    <r>
      <t xml:space="preserve">What percentage of breaches in the past year were discovered by third parties? 
</t>
    </r>
    <r>
      <rPr>
        <b/>
        <i/>
        <sz val="11"/>
        <color rgb="FFC00000"/>
        <rFont val="Calibri"/>
        <family val="2"/>
        <scheme val="minor"/>
      </rPr>
      <t xml:space="preserve">N/A (no breaches occurred): </t>
    </r>
  </si>
  <si>
    <t>Incident Reporting</t>
  </si>
  <si>
    <t>Do you have a documented incident/breach response plan?</t>
  </si>
  <si>
    <t>16.3.A</t>
  </si>
  <si>
    <t>Is there a designated point of contact to report all known or suspected breaches/incidents to?</t>
  </si>
  <si>
    <t>What is the documented time frame for reporting breaches to customers and other third party stakeholders?</t>
  </si>
  <si>
    <t>What is the total number of incidents reported to HHS this year (please provide a link or related information about any public notifications)?</t>
  </si>
  <si>
    <t>What tools are used to deploy and maintain the incident response program?</t>
  </si>
  <si>
    <t>What resources (function and headcount) in your organization are responsible for managing the incident response capability?</t>
  </si>
  <si>
    <t>17.</t>
  </si>
  <si>
    <t>Business Continuity Management</t>
  </si>
  <si>
    <t>12.c Developing and Implementing Continuity Plans Including Information Security</t>
  </si>
  <si>
    <t>What percentage of critical systems have an approved contingency plan?</t>
  </si>
  <si>
    <r>
      <t xml:space="preserve">What percentage of critical systems have conducted contingency plan testing in the past year?
</t>
    </r>
    <r>
      <rPr>
        <b/>
        <i/>
        <sz val="11"/>
        <color rgb="FFC00000"/>
        <rFont val="Calibri"/>
        <family val="2"/>
        <scheme val="minor"/>
      </rPr>
      <t xml:space="preserve">None performed: </t>
    </r>
  </si>
  <si>
    <t>17.2.A</t>
  </si>
  <si>
    <t>How many high risk issues are still open (not yet remediated)?</t>
  </si>
  <si>
    <t>17.2.B</t>
  </si>
  <si>
    <t>What types of tests are conducted?</t>
  </si>
  <si>
    <t>How often are enterprise system contingency plans reviewed and updated?</t>
  </si>
  <si>
    <t>What is the average time for critical information systems to become operational after an outage?</t>
  </si>
  <si>
    <t>Is there an alternate temporary location or locations for the organization to continue operations?</t>
  </si>
  <si>
    <t>17.5.A</t>
  </si>
  <si>
    <t>What resources (function and headcount) in your organization  are responsible for managing the business continuity program?</t>
  </si>
  <si>
    <t>18.</t>
  </si>
  <si>
    <t>Risk Management</t>
  </si>
  <si>
    <t>03.b Performing Risk Assessments</t>
  </si>
  <si>
    <t>03.c Risk Mitigation</t>
  </si>
  <si>
    <t>06.g Compliance with Security Policies and Standards</t>
  </si>
  <si>
    <t>Is there a designated representative (individual or committee) responsible for security risk within the organization?</t>
  </si>
  <si>
    <t>How is the information security program and its effectiveness monitored (measured) and managed by the organization?</t>
  </si>
  <si>
    <t>What is the security program's budget as a percentage of IT?</t>
  </si>
  <si>
    <r>
      <t xml:space="preserve">When was the most recent comprehensive independent security assessment of your control environment?
</t>
    </r>
    <r>
      <rPr>
        <b/>
        <i/>
        <sz val="11"/>
        <color rgb="FFC00000"/>
        <rFont val="Calibri"/>
        <family val="2"/>
        <scheme val="minor"/>
      </rPr>
      <t xml:space="preserve">None performed: </t>
    </r>
  </si>
  <si>
    <t>18.4.A</t>
  </si>
  <si>
    <t>What is the name of the assessment firm that performed the review?  (Internal Audit is a valid option)</t>
  </si>
  <si>
    <t>18.4.B</t>
  </si>
  <si>
    <t>Did management prepare a documented response to the findings noted in the assessment report?</t>
  </si>
  <si>
    <t>What resources (function and headcount) in your organization are responsible for managing information security risk?</t>
  </si>
  <si>
    <t>19.</t>
  </si>
  <si>
    <t>Physical and Environmental Security</t>
  </si>
  <si>
    <t>08.b Physical Entry Controls</t>
  </si>
  <si>
    <t>Are areas with sensitive information or equipment protected from unauthorized access?</t>
  </si>
  <si>
    <t>Are visitors to areas with sensitive information or equipment escorted or otherwise monitored?</t>
  </si>
  <si>
    <t>Are access logs reviewed and retained and, if so, how frequently and how long?</t>
  </si>
  <si>
    <t>Are combinations and keys changed when keys are lost, combinations are compromised, or individuals are transferred or terminated?</t>
  </si>
  <si>
    <t>Are environmental protection systems (e.g., fire and water detection, suppression, and alerting) installed and maintained to protect critical information processing facilities and equipment?</t>
  </si>
  <si>
    <t>Is equipment processing or storing sensitive information maintained according to manufacturer/supplier-recommended service intervals and specifications?</t>
  </si>
  <si>
    <t xml:space="preserve">Is equipment cleared of sensitive information (sanitized) before maintenance is performed or otherwise protected at the level of the information processed or stored? </t>
  </si>
  <si>
    <t>Is sensitive equipment evaluated after a maintenance action to ensure no malicious software was installed, security features were not disabled, or that other potentially impacted security controls are still functioning properly?</t>
  </si>
  <si>
    <t>Are information system maintenance tools (e.g., hardware and software) approved, controlled, monitored and maintained to ensure proper function and use?</t>
  </si>
  <si>
    <t>URMC Review</t>
  </si>
  <si>
    <t>URMC Conclusion</t>
  </si>
  <si>
    <t>Leave this column Blank</t>
  </si>
  <si>
    <t>Leave this column blank</t>
  </si>
  <si>
    <r>
      <rPr>
        <b/>
        <sz val="11"/>
        <rFont val="Calibri"/>
        <family val="2"/>
        <scheme val="minor"/>
      </rPr>
      <t xml:space="preserve">1. </t>
    </r>
    <r>
      <rPr>
        <b/>
        <u/>
        <sz val="11"/>
        <rFont val="Calibri"/>
        <family val="2"/>
        <scheme val="minor"/>
      </rPr>
      <t>C</t>
    </r>
    <r>
      <rPr>
        <b/>
        <u/>
        <sz val="11"/>
        <color theme="1"/>
        <rFont val="Calibri"/>
        <family val="2"/>
        <scheme val="minor"/>
      </rPr>
      <t>ontact information</t>
    </r>
  </si>
  <si>
    <t>Name:</t>
  </si>
  <si>
    <t>Title:</t>
  </si>
  <si>
    <t>Email:</t>
  </si>
  <si>
    <t>Phone (1):</t>
  </si>
  <si>
    <t>Phone (2):</t>
  </si>
  <si>
    <r>
      <rPr>
        <b/>
        <sz val="11"/>
        <color theme="1"/>
        <rFont val="Calibri"/>
        <family val="2"/>
        <scheme val="minor"/>
      </rPr>
      <t xml:space="preserve">2. </t>
    </r>
    <r>
      <rPr>
        <b/>
        <u/>
        <sz val="11"/>
        <color theme="1"/>
        <rFont val="Calibri"/>
        <family val="2"/>
        <scheme val="minor"/>
      </rPr>
      <t>Organization Profile</t>
    </r>
  </si>
  <si>
    <t>Name of the organization:</t>
  </si>
  <si>
    <t>Location(s) of the organization:</t>
  </si>
  <si>
    <t>Primary mailing address:</t>
  </si>
  <si>
    <t>Summary description of the organization:</t>
  </si>
  <si>
    <r>
      <rPr>
        <b/>
        <sz val="11"/>
        <color theme="1"/>
        <rFont val="Calibri"/>
        <family val="2"/>
        <scheme val="minor"/>
      </rPr>
      <t xml:space="preserve">3. </t>
    </r>
    <r>
      <rPr>
        <b/>
        <u/>
        <sz val="11"/>
        <color theme="1"/>
        <rFont val="Calibri"/>
        <family val="2"/>
        <scheme val="minor"/>
      </rPr>
      <t>Facilities</t>
    </r>
  </si>
  <si>
    <t>Name</t>
  </si>
  <si>
    <t>Street Address</t>
  </si>
  <si>
    <t>Address 2</t>
  </si>
  <si>
    <t>City</t>
  </si>
  <si>
    <t>State</t>
  </si>
  <si>
    <t>Zip</t>
  </si>
  <si>
    <t>Type</t>
  </si>
  <si>
    <t>Description</t>
  </si>
  <si>
    <t>Comments</t>
  </si>
  <si>
    <t>Name/ID</t>
  </si>
  <si>
    <t>Application</t>
  </si>
  <si>
    <t>Platform</t>
  </si>
  <si>
    <t>Location</t>
  </si>
  <si>
    <t>O/S</t>
  </si>
  <si>
    <t>Database</t>
  </si>
  <si>
    <t>Prior Assessment</t>
  </si>
  <si>
    <t>Please provide a description of the security organization including key functions and related headcount:</t>
  </si>
  <si>
    <t xml:space="preserve">List any systems explicitly excluded from this assessment:  </t>
  </si>
  <si>
    <t>List any IT or security services outsourced and the third party(ies) involved:</t>
  </si>
  <si>
    <t>Please add as many rows as appropriate</t>
  </si>
  <si>
    <t>What is the approximate number of laptops with PHI or other legally restricted information in your organization?</t>
  </si>
  <si>
    <t>Describe the operations of the organization considering each system in scope (i.e., how does PHI or other legally restricted info flow through the organization):</t>
  </si>
  <si>
    <t>Business Function for Project</t>
  </si>
  <si>
    <t>Type of data involved</t>
  </si>
  <si>
    <r>
      <rPr>
        <b/>
        <sz val="11"/>
        <color theme="1"/>
        <rFont val="Calibri"/>
        <family val="2"/>
        <scheme val="minor"/>
      </rPr>
      <t xml:space="preserve">4. </t>
    </r>
    <r>
      <rPr>
        <b/>
        <u/>
        <sz val="11"/>
        <color theme="1"/>
        <rFont val="Calibri"/>
        <family val="2"/>
        <scheme val="minor"/>
      </rPr>
      <t>Environment</t>
    </r>
  </si>
  <si>
    <t>Date of last HIPAA Risk Assessment</t>
  </si>
  <si>
    <t>If yes, please attach report</t>
  </si>
  <si>
    <t>Do you have SSAE 16 or other third-party audit reports for these parties?</t>
  </si>
  <si>
    <t>1. Project Purpose</t>
  </si>
  <si>
    <t>Number of records stored in first year</t>
  </si>
  <si>
    <t>Number of records expected each subsequent year</t>
  </si>
  <si>
    <t>ePHI</t>
  </si>
  <si>
    <t>PII</t>
  </si>
  <si>
    <t>Credit Card Data</t>
  </si>
  <si>
    <t>Other Sensitive</t>
  </si>
  <si>
    <t>Non-sensitive Data</t>
  </si>
  <si>
    <t>Yes ☐    No ☐</t>
  </si>
  <si>
    <t>Company Information</t>
  </si>
  <si>
    <t>The Project Information tab provides an overview of the systems, data volume, and data type directly related to the project being proposed with URMC.</t>
  </si>
  <si>
    <t>Security Questionnaire</t>
  </si>
  <si>
    <t>Please add comments for clarity on any items that require it.  Upon completion, please return to your URMC contact and they will ensure follow up through the URMC information Security Office.</t>
  </si>
  <si>
    <t>This section requests specific information regarding the information security controls in use at your organization and the methods of validating the effectiveness of those controls.</t>
  </si>
  <si>
    <t xml:space="preserve">The Company Information tab reviews your organization's overall information security structure and contacts.  Any recent third party assessments for your organization or outsourcing arrangements are included here as well. </t>
  </si>
  <si>
    <t>HITRUST Certification Attached?</t>
  </si>
  <si>
    <t>☐</t>
  </si>
  <si>
    <t>1</t>
  </si>
  <si>
    <t>3. Data volume/classification</t>
  </si>
  <si>
    <r>
      <rPr>
        <b/>
        <sz val="11"/>
        <color theme="1"/>
        <rFont val="Calibri"/>
        <family val="2"/>
        <scheme val="minor"/>
      </rPr>
      <t xml:space="preserve">4. </t>
    </r>
    <r>
      <rPr>
        <b/>
        <u/>
        <sz val="11"/>
        <color theme="1"/>
        <rFont val="Calibri"/>
        <family val="2"/>
        <scheme val="minor"/>
      </rPr>
      <t>Systems</t>
    </r>
  </si>
  <si>
    <r>
      <rPr>
        <b/>
        <u/>
        <sz val="11"/>
        <rFont val="Calibri"/>
        <family val="2"/>
        <scheme val="minor"/>
      </rPr>
      <t>2. URMC Project Contact</t>
    </r>
  </si>
  <si>
    <t>Please complete all questions on the "Company Information" and "Project Information" tabs.</t>
  </si>
  <si>
    <t>The University of Rochester Medical Center has chosen to implement the Health Information Trust Alliance's (HITRUST) Common Security Framework (CSF).  The HITRUST CSF provides a single standard for health care organizations which incorporates applicable standards, industry best practices, and regulations including HIPAA/HITECH, PCI, ISO, COBIT, and NIST.  The 19 groups of questions found in this document provide coverage of the 13 security control categories covered by the HITRUST CSF.</t>
  </si>
  <si>
    <t xml:space="preserve">Project Information </t>
  </si>
  <si>
    <r>
      <t xml:space="preserve">I, </t>
    </r>
    <r>
      <rPr>
        <sz val="12"/>
        <color theme="1"/>
        <rFont val="Calibri"/>
        <family val="2"/>
        <scheme val="minor"/>
      </rPr>
      <t>___________________________________________</t>
    </r>
    <r>
      <rPr>
        <sz val="11"/>
        <color theme="1"/>
        <rFont val="Calibri"/>
        <family val="2"/>
        <scheme val="minor"/>
      </rPr>
      <t xml:space="preserve"> representing </t>
    </r>
    <r>
      <rPr>
        <sz val="12"/>
        <color theme="1"/>
        <rFont val="Calibri"/>
        <family val="2"/>
        <scheme val="minor"/>
      </rPr>
      <t xml:space="preserve"> _______________________________________________</t>
    </r>
    <r>
      <rPr>
        <sz val="11"/>
        <color theme="1"/>
        <rFont val="Calibri"/>
        <family val="2"/>
        <scheme val="minor"/>
      </rPr>
      <t xml:space="preserve"> in the role of </t>
    </r>
    <r>
      <rPr>
        <sz val="12"/>
        <color theme="1"/>
        <rFont val="Calibri"/>
        <family val="2"/>
        <scheme val="minor"/>
      </rPr>
      <t>____________________________________________,</t>
    </r>
    <r>
      <rPr>
        <sz val="11"/>
        <color theme="1"/>
        <rFont val="Calibri"/>
        <family val="2"/>
        <scheme val="minor"/>
      </rPr>
      <t xml:space="preserve"> do hereby certify that the answers given in this questionnaire are complete and true to the best of my knowledge.  Date _________________________ 
</t>
    </r>
  </si>
  <si>
    <t>If you have a current HITRUST certification, please check the box below and attach the certification report.  If you do not have a current HITRUST Certification, please complete all questions on the Security Questionnaire tab, leaving columns "URMC Review" and "URMC Conclusions" blank.</t>
  </si>
  <si>
    <t>What external standard(s) were used as the basis for your information security policies and standards?  If you have any certification documentation (i.e., ISO 27001 Certification in combination of the ISO 27002 standard), please attach.</t>
  </si>
  <si>
    <t>Do you allow the use of unencrypted portable media (e.g., USB drives, CDs, etc.)?</t>
  </si>
  <si>
    <t>Average distance of the alternate location(s) from the primary facility?</t>
  </si>
  <si>
    <t xml:space="preserve">The following questionnaire is being sent to you as a potential or current third party for the University of Rochester Medical Center (URMC) in order to evaluate your organization's information security program.  This questionnaire is required at the onset of all new contracts, and will need to be updated on a periodic basis, no less frequently than every three years.
</t>
  </si>
  <si>
    <t xml:space="preserve">URMC Risk Assessment Questionnaire based on HITRUST CHIP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</si>
</sst>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m/d/yyyy;@"/>
    <numFmt numFmtId="165" formatCode="[&lt;=9999999]###\-####;\(###\)\ ###\-####"/>
    <numFmt numFmtId="166" formatCode="00000"/>
  </numFmts>
  <fonts count="37">
    <font>
      <sz val="11"/>
      <color theme="1"/>
      <name val="Calibri"/>
      <family val="2"/>
      <scheme val="minor"/>
    </font>
    <font>
      <sz val="12"/>
      <color theme="1"/>
      <name val="Calibri"/>
      <family val="2"/>
      <scheme val="minor"/>
    </font>
    <font>
      <sz val="11"/>
      <color theme="1"/>
      <name val="Calibri"/>
      <family val="2"/>
      <scheme val="minor"/>
    </font>
    <font>
      <sz val="11"/>
      <name val="Calibri"/>
      <family val="2"/>
      <scheme val="minor"/>
    </font>
    <font>
      <b/>
      <sz val="14"/>
      <color theme="0"/>
      <name val="Calibri"/>
      <family val="2"/>
      <scheme val="minor"/>
    </font>
    <font>
      <b/>
      <sz val="11"/>
      <color theme="0"/>
      <name val="Calibri"/>
      <family val="2"/>
      <scheme val="minor"/>
    </font>
    <font>
      <sz val="11"/>
      <color theme="0"/>
      <name val="Calibri"/>
      <family val="2"/>
      <scheme val="minor"/>
    </font>
    <font>
      <sz val="11"/>
      <color rgb="FF3F3F76"/>
      <name val="Calibri"/>
      <family val="2"/>
      <scheme val="minor"/>
    </font>
    <font>
      <sz val="10"/>
      <color theme="1"/>
      <name val="Calibri"/>
      <family val="2"/>
      <scheme val="minor"/>
    </font>
    <font>
      <sz val="10"/>
      <color rgb="FFFF0000"/>
      <name val="Calibri"/>
      <family val="2"/>
      <scheme val="minor"/>
    </font>
    <font>
      <u/>
      <sz val="11"/>
      <color theme="10"/>
      <name val="Calibri"/>
      <family val="2"/>
    </font>
    <font>
      <sz val="11"/>
      <name val="Calibri"/>
      <family val="2"/>
    </font>
    <font>
      <b/>
      <sz val="11"/>
      <color theme="4" tint="0.79998168889431442"/>
      <name val="Calibri"/>
      <family val="2"/>
      <scheme val="minor"/>
    </font>
    <font>
      <b/>
      <sz val="11"/>
      <name val="Calibri"/>
      <family val="2"/>
      <scheme val="minor"/>
    </font>
    <font>
      <b/>
      <sz val="11"/>
      <color rgb="FF3F3F3F"/>
      <name val="Calibri"/>
      <family val="2"/>
      <scheme val="minor"/>
    </font>
    <font>
      <b/>
      <i/>
      <sz val="11"/>
      <color rgb="FFC00000"/>
      <name val="Calibri"/>
      <family val="2"/>
      <scheme val="minor"/>
    </font>
    <font>
      <b/>
      <sz val="11"/>
      <color rgb="FFFF0000"/>
      <name val="Calibri"/>
      <family val="2"/>
      <scheme val="minor"/>
    </font>
    <font>
      <u/>
      <sz val="11"/>
      <color theme="0"/>
      <name val="Calibri"/>
      <family val="2"/>
    </font>
    <font>
      <b/>
      <sz val="11"/>
      <color theme="1"/>
      <name val="Calibri"/>
      <family val="2"/>
      <scheme val="minor"/>
    </font>
    <font>
      <u/>
      <sz val="11"/>
      <color rgb="FFFF0000"/>
      <name val="Calibri"/>
      <family val="2"/>
    </font>
    <font>
      <sz val="11"/>
      <color rgb="FFFF0000"/>
      <name val="Calibri"/>
      <family val="2"/>
      <scheme val="minor"/>
    </font>
    <font>
      <u/>
      <sz val="11"/>
      <color rgb="FF009900"/>
      <name val="Calibri"/>
      <family val="2"/>
    </font>
    <font>
      <sz val="11"/>
      <color rgb="FF009900"/>
      <name val="Calibri"/>
      <family val="2"/>
      <scheme val="minor"/>
    </font>
    <font>
      <strike/>
      <sz val="11"/>
      <color rgb="FFFF0000"/>
      <name val="Calibri"/>
      <family val="2"/>
      <scheme val="minor"/>
    </font>
    <font>
      <sz val="11"/>
      <color theme="1"/>
      <name val="Calibri"/>
      <family val="2"/>
    </font>
    <font>
      <sz val="11"/>
      <color rgb="FFC00000"/>
      <name val="Calibri"/>
      <family val="2"/>
      <scheme val="minor"/>
    </font>
    <font>
      <b/>
      <sz val="11"/>
      <color rgb="FF009900"/>
      <name val="Calibri"/>
      <family val="2"/>
      <scheme val="minor"/>
    </font>
    <font>
      <sz val="11"/>
      <color indexed="81"/>
      <name val="Calibri"/>
      <family val="2"/>
      <scheme val="minor"/>
    </font>
    <font>
      <sz val="11"/>
      <color indexed="81"/>
      <name val="Calibri"/>
      <family val="2"/>
    </font>
    <font>
      <sz val="11"/>
      <color rgb="FF9E1C20"/>
      <name val="Calibri"/>
      <family val="2"/>
      <scheme val="minor"/>
    </font>
    <font>
      <sz val="8"/>
      <name val="Calibri"/>
      <family val="2"/>
      <scheme val="minor"/>
    </font>
    <font>
      <u/>
      <sz val="11"/>
      <color theme="10"/>
      <name val="Calibri"/>
      <family val="2"/>
      <scheme val="minor"/>
    </font>
    <font>
      <u/>
      <sz val="11"/>
      <color theme="11"/>
      <name val="Calibri"/>
      <family val="2"/>
      <scheme val="minor"/>
    </font>
    <font>
      <b/>
      <u/>
      <sz val="11"/>
      <color theme="1"/>
      <name val="Calibri"/>
      <family val="2"/>
      <scheme val="minor"/>
    </font>
    <font>
      <b/>
      <u/>
      <sz val="11"/>
      <name val="Calibri"/>
      <family val="2"/>
      <scheme val="minor"/>
    </font>
    <font>
      <sz val="12"/>
      <color rgb="FF9C6500"/>
      <name val="Calibri"/>
      <family val="2"/>
      <scheme val="minor"/>
    </font>
    <font>
      <sz val="11"/>
      <color theme="1"/>
      <name val="ＭＳ ゴシック"/>
      <family val="2"/>
    </font>
  </fonts>
  <fills count="15">
    <fill>
      <patternFill patternType="none"/>
    </fill>
    <fill>
      <patternFill patternType="gray125"/>
    </fill>
    <fill>
      <patternFill patternType="solid">
        <fgColor rgb="FFFFCC99"/>
      </patternFill>
    </fill>
    <fill>
      <patternFill patternType="solid">
        <fgColor rgb="FFF2F2F2"/>
      </patternFill>
    </fill>
    <fill>
      <patternFill patternType="solid">
        <fgColor theme="0"/>
        <bgColor indexed="64"/>
      </patternFill>
    </fill>
    <fill>
      <patternFill patternType="solid">
        <fgColor rgb="FF0E1536"/>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B3AF72"/>
        <bgColor indexed="64"/>
      </patternFill>
    </fill>
    <fill>
      <patternFill patternType="solid">
        <fgColor rgb="FFFCF09A"/>
        <bgColor indexed="64"/>
      </patternFill>
    </fill>
    <fill>
      <patternFill patternType="solid">
        <fgColor theme="0" tint="-0.34998626667073579"/>
        <bgColor indexed="64"/>
      </patternFill>
    </fill>
    <fill>
      <patternFill patternType="solid">
        <fgColor rgb="FFFCF08E"/>
        <bgColor indexed="64"/>
      </patternFill>
    </fill>
    <fill>
      <patternFill patternType="solid">
        <fgColor rgb="FF006600"/>
        <bgColor indexed="64"/>
      </patternFill>
    </fill>
    <fill>
      <patternFill patternType="solid">
        <fgColor rgb="FF60497A"/>
        <bgColor indexed="64"/>
      </patternFill>
    </fill>
    <fill>
      <patternFill patternType="solid">
        <fgColor rgb="FFFFEB9C"/>
      </patternFill>
    </fill>
  </fills>
  <borders count="49">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thin">
        <color auto="1"/>
      </bottom>
      <diagonal/>
    </border>
    <border>
      <left style="medium">
        <color rgb="FF0E1536"/>
      </left>
      <right style="medium">
        <color rgb="FF0E1536"/>
      </right>
      <top style="medium">
        <color rgb="FF0E1536"/>
      </top>
      <bottom style="medium">
        <color rgb="FF0E1536"/>
      </bottom>
      <diagonal/>
    </border>
    <border>
      <left/>
      <right/>
      <top/>
      <bottom style="thin">
        <color theme="0"/>
      </bottom>
      <diagonal/>
    </border>
    <border>
      <left/>
      <right style="thin">
        <color theme="0"/>
      </right>
      <top/>
      <bottom/>
      <diagonal/>
    </border>
    <border>
      <left/>
      <right style="thin">
        <color theme="0"/>
      </right>
      <top/>
      <bottom style="thin">
        <color theme="0"/>
      </bottom>
      <diagonal/>
    </border>
    <border>
      <left/>
      <right style="thin">
        <color theme="3" tint="0.79998168889431442"/>
      </right>
      <top/>
      <bottom style="thin">
        <color theme="3" tint="0.79998168889431442"/>
      </bottom>
      <diagonal/>
    </border>
    <border>
      <left style="thin">
        <color auto="1"/>
      </left>
      <right style="thin">
        <color auto="1"/>
      </right>
      <top style="thin">
        <color auto="1"/>
      </top>
      <bottom style="thin">
        <color auto="1"/>
      </bottom>
      <diagonal/>
    </border>
    <border>
      <left/>
      <right/>
      <top style="medium">
        <color rgb="FFB3AF72"/>
      </top>
      <bottom/>
      <diagonal/>
    </border>
    <border>
      <left style="thin">
        <color theme="3" tint="0.79998168889431442"/>
      </left>
      <right style="thin">
        <color auto="1"/>
      </right>
      <top/>
      <bottom/>
      <diagonal/>
    </border>
    <border>
      <left/>
      <right style="thin">
        <color theme="3" tint="0.79998168889431442"/>
      </right>
      <top/>
      <bottom style="thin">
        <color theme="3" tint="0.79995117038483843"/>
      </bottom>
      <diagonal/>
    </border>
    <border>
      <left/>
      <right/>
      <top style="thin">
        <color theme="0"/>
      </top>
      <bottom/>
      <diagonal/>
    </border>
    <border>
      <left/>
      <right style="thin">
        <color theme="3" tint="0.79998168889431442"/>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dotted">
        <color theme="0" tint="-0.14993743705557422"/>
      </left>
      <right style="dotted">
        <color theme="0" tint="-0.14993743705557422"/>
      </right>
      <top style="dotted">
        <color theme="0" tint="-0.14993743705557422"/>
      </top>
      <bottom style="dotted">
        <color theme="0" tint="-0.14993743705557422"/>
      </bottom>
      <diagonal/>
    </border>
    <border>
      <left style="dotted">
        <color theme="4" tint="0.79998168889431442"/>
      </left>
      <right style="dotted">
        <color theme="4" tint="0.79998168889431442"/>
      </right>
      <top style="dotted">
        <color theme="4" tint="0.79998168889431442"/>
      </top>
      <bottom style="dotted">
        <color theme="4" tint="0.79998168889431442"/>
      </bottom>
      <diagonal/>
    </border>
    <border>
      <left style="medium">
        <color rgb="FF0E1536"/>
      </left>
      <right/>
      <top style="medium">
        <color rgb="FF0E1536"/>
      </top>
      <bottom/>
      <diagonal/>
    </border>
    <border>
      <left/>
      <right/>
      <top style="medium">
        <color rgb="FF0E1536"/>
      </top>
      <bottom/>
      <diagonal/>
    </border>
    <border>
      <left/>
      <right style="medium">
        <color rgb="FF0E1536"/>
      </right>
      <top style="medium">
        <color rgb="FF0E1536"/>
      </top>
      <bottom/>
      <diagonal/>
    </border>
    <border>
      <left style="medium">
        <color rgb="FF0E1536"/>
      </left>
      <right/>
      <top/>
      <bottom/>
      <diagonal/>
    </border>
    <border>
      <left/>
      <right style="medium">
        <color rgb="FF0E1536"/>
      </right>
      <top/>
      <bottom/>
      <diagonal/>
    </border>
    <border>
      <left/>
      <right/>
      <top/>
      <bottom style="hair">
        <color theme="1" tint="0.34998626667073579"/>
      </bottom>
      <diagonal/>
    </border>
    <border>
      <left style="medium">
        <color rgb="FF0E1536"/>
      </left>
      <right/>
      <top/>
      <bottom style="medium">
        <color rgb="FF0E1536"/>
      </bottom>
      <diagonal/>
    </border>
    <border>
      <left/>
      <right/>
      <top/>
      <bottom style="medium">
        <color rgb="FF0E1536"/>
      </bottom>
      <diagonal/>
    </border>
    <border>
      <left/>
      <right style="medium">
        <color rgb="FF0E1536"/>
      </right>
      <top/>
      <bottom style="medium">
        <color rgb="FF0E1536"/>
      </bottom>
      <diagonal/>
    </border>
    <border>
      <left/>
      <right/>
      <top style="hair">
        <color theme="1" tint="0.34998626667073579"/>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rgb="FF0E1536"/>
      </left>
      <right/>
      <top/>
      <bottom style="hair">
        <color rgb="FF0E1536"/>
      </bottom>
      <diagonal/>
    </border>
    <border>
      <left/>
      <right/>
      <top/>
      <bottom style="hair">
        <color rgb="FF0E1536"/>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51">
    <xf numFmtId="0" fontId="0" fillId="0" borderId="0"/>
    <xf numFmtId="0" fontId="7" fillId="2" borderId="1" applyNumberFormat="0" applyAlignment="0" applyProtection="0"/>
    <xf numFmtId="0" fontId="14" fillId="3" borderId="2" applyNumberFormat="0" applyAlignment="0" applyProtection="0"/>
    <xf numFmtId="0" fontId="8" fillId="7" borderId="4">
      <alignment horizontal="left" vertical="top" wrapText="1"/>
    </xf>
    <xf numFmtId="0" fontId="6" fillId="8" borderId="0">
      <alignment horizontal="left" vertical="top" wrapText="1"/>
    </xf>
    <xf numFmtId="0" fontId="2" fillId="4" borderId="8">
      <alignment horizontal="left" vertical="top" wrapText="1"/>
    </xf>
    <xf numFmtId="0" fontId="7" fillId="9" borderId="9">
      <alignment vertical="top" wrapText="1" shrinkToFit="1"/>
      <protection locked="0"/>
    </xf>
    <xf numFmtId="0" fontId="7" fillId="9" borderId="9">
      <alignment horizontal="left" vertical="top" wrapText="1" shrinkToFit="1"/>
      <protection locked="0"/>
    </xf>
    <xf numFmtId="0" fontId="10" fillId="0" borderId="0" applyNumberFormat="0" applyFill="0" applyBorder="0" applyAlignment="0" applyProtection="0">
      <alignment vertical="top"/>
      <protection locked="0"/>
    </xf>
    <xf numFmtId="9" fontId="7" fillId="9" borderId="9">
      <alignment horizontal="left" vertical="top" wrapText="1" shrinkToFit="1"/>
      <protection locked="0"/>
    </xf>
    <xf numFmtId="1" fontId="7" fillId="9" borderId="9">
      <alignment horizontal="left" vertical="top" wrapText="1" shrinkToFit="1"/>
      <protection locked="0"/>
    </xf>
    <xf numFmtId="164" fontId="7" fillId="9" borderId="9">
      <alignment horizontal="left" vertical="top"/>
      <protection locked="0"/>
    </xf>
    <xf numFmtId="49" fontId="5" fillId="5" borderId="0">
      <alignment horizontal="left" vertical="top"/>
    </xf>
    <xf numFmtId="164" fontId="7" fillId="9" borderId="9">
      <alignment horizontal="left" vertical="top" wrapText="1" shrinkToFit="1"/>
      <protection locked="0"/>
    </xf>
    <xf numFmtId="0" fontId="7" fillId="4" borderId="18">
      <alignment horizontal="left" vertical="top" wrapText="1"/>
      <protection locked="0"/>
    </xf>
    <xf numFmtId="0" fontId="29" fillId="4" borderId="8" applyBorder="0">
      <alignment horizontal="left" wrapText="1"/>
      <protection locked="0"/>
    </xf>
    <xf numFmtId="0" fontId="8" fillId="0" borderId="19">
      <alignment horizontal="center" vertical="top"/>
    </xf>
    <xf numFmtId="0" fontId="31" fillId="0" borderId="0" applyNumberFormat="0" applyFill="0" applyBorder="0" applyAlignment="0" applyProtection="0"/>
    <xf numFmtId="0" fontId="32"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5" fillId="14" borderId="0" applyNumberFormat="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cellStyleXfs>
  <cellXfs count="287">
    <xf numFmtId="0" fontId="0" fillId="0" borderId="0" xfId="0"/>
    <xf numFmtId="0" fontId="3" fillId="4" borderId="0" xfId="0" applyFont="1" applyFill="1" applyBorder="1" applyProtection="1"/>
    <xf numFmtId="0" fontId="0" fillId="0" borderId="0" xfId="0" applyFill="1" applyBorder="1" applyProtection="1"/>
    <xf numFmtId="0" fontId="4" fillId="5" borderId="0" xfId="0" applyFont="1" applyFill="1" applyBorder="1" applyProtection="1"/>
    <xf numFmtId="0" fontId="0" fillId="5" borderId="0" xfId="0" applyFill="1" applyBorder="1" applyProtection="1"/>
    <xf numFmtId="0" fontId="0" fillId="5" borderId="3" xfId="0" applyFill="1" applyBorder="1" applyProtection="1"/>
    <xf numFmtId="0" fontId="3" fillId="6" borderId="0" xfId="0" applyFont="1" applyFill="1" applyBorder="1" applyProtection="1"/>
    <xf numFmtId="0" fontId="0" fillId="6" borderId="0" xfId="0" applyFill="1" applyBorder="1" applyProtection="1"/>
    <xf numFmtId="0" fontId="0" fillId="4" borderId="0" xfId="0" applyFill="1" applyBorder="1" applyProtection="1"/>
    <xf numFmtId="0" fontId="6" fillId="4" borderId="0" xfId="0" applyFont="1" applyFill="1" applyBorder="1" applyAlignment="1" applyProtection="1">
      <alignment vertical="top"/>
    </xf>
    <xf numFmtId="0" fontId="5" fillId="4" borderId="0" xfId="0" applyFont="1" applyFill="1" applyBorder="1" applyAlignment="1" applyProtection="1">
      <alignment horizontal="left" vertical="top"/>
    </xf>
    <xf numFmtId="0" fontId="7" fillId="4" borderId="0" xfId="1" applyFill="1" applyBorder="1" applyAlignment="1" applyProtection="1">
      <alignment horizontal="left" wrapText="1"/>
    </xf>
    <xf numFmtId="0" fontId="8" fillId="7" borderId="4" xfId="3" applyProtection="1">
      <alignment horizontal="left" vertical="top" wrapText="1"/>
    </xf>
    <xf numFmtId="0" fontId="2" fillId="4" borderId="0" xfId="0" applyFont="1" applyFill="1" applyBorder="1" applyProtection="1"/>
    <xf numFmtId="0" fontId="3" fillId="4" borderId="0" xfId="0" applyFont="1" applyFill="1" applyBorder="1" applyProtection="1">
      <protection locked="0"/>
    </xf>
    <xf numFmtId="49" fontId="5" fillId="5" borderId="0" xfId="0" applyNumberFormat="1" applyFont="1" applyFill="1" applyBorder="1" applyAlignment="1" applyProtection="1">
      <alignment horizontal="center"/>
    </xf>
    <xf numFmtId="0" fontId="5" fillId="5" borderId="0" xfId="0" applyFont="1" applyFill="1" applyBorder="1" applyAlignment="1" applyProtection="1">
      <alignment horizontal="center"/>
    </xf>
    <xf numFmtId="0" fontId="5" fillId="5" borderId="0" xfId="0" applyFont="1" applyFill="1" applyBorder="1" applyAlignment="1" applyProtection="1"/>
    <xf numFmtId="0" fontId="5" fillId="4" borderId="0" xfId="0" applyFont="1" applyFill="1" applyBorder="1" applyAlignment="1" applyProtection="1"/>
    <xf numFmtId="0" fontId="5" fillId="5" borderId="5" xfId="0" applyFont="1" applyFill="1" applyBorder="1" applyAlignment="1" applyProtection="1">
      <alignment horizontal="center"/>
    </xf>
    <xf numFmtId="0" fontId="0" fillId="0" borderId="0" xfId="0" applyProtection="1"/>
    <xf numFmtId="0" fontId="5" fillId="4" borderId="0" xfId="0" applyFont="1" applyFill="1" applyBorder="1" applyAlignment="1" applyProtection="1">
      <alignment horizontal="left"/>
    </xf>
    <xf numFmtId="0" fontId="5" fillId="4" borderId="0" xfId="0" applyFont="1" applyFill="1" applyBorder="1" applyAlignment="1" applyProtection="1">
      <alignment horizontal="center"/>
    </xf>
    <xf numFmtId="0" fontId="6" fillId="8" borderId="0" xfId="4" applyProtection="1">
      <alignment horizontal="left" vertical="top" wrapText="1"/>
    </xf>
    <xf numFmtId="0" fontId="5" fillId="8" borderId="5" xfId="4" applyFont="1" applyBorder="1" applyAlignment="1" applyProtection="1">
      <alignment horizontal="left" vertical="top" wrapText="1"/>
    </xf>
    <xf numFmtId="0" fontId="6" fillId="8" borderId="6" xfId="4" applyBorder="1" applyProtection="1">
      <alignment horizontal="left" vertical="top" wrapText="1"/>
    </xf>
    <xf numFmtId="0" fontId="0" fillId="4" borderId="0" xfId="4" applyFont="1" applyFill="1" applyProtection="1">
      <alignment horizontal="left" vertical="top" wrapText="1"/>
    </xf>
    <xf numFmtId="0" fontId="0" fillId="0" borderId="0" xfId="0" applyBorder="1" applyAlignment="1" applyProtection="1">
      <alignment vertical="top" wrapText="1"/>
    </xf>
    <xf numFmtId="0" fontId="5" fillId="5" borderId="6" xfId="0" applyFont="1" applyFill="1" applyBorder="1" applyAlignment="1" applyProtection="1">
      <alignment horizontal="center"/>
    </xf>
    <xf numFmtId="0" fontId="5" fillId="5" borderId="7" xfId="0" applyFont="1" applyFill="1" applyBorder="1" applyAlignment="1" applyProtection="1">
      <alignment horizontal="center"/>
    </xf>
    <xf numFmtId="0" fontId="0" fillId="4" borderId="8" xfId="5" applyFont="1" applyProtection="1">
      <alignment horizontal="left" vertical="top" wrapText="1"/>
    </xf>
    <xf numFmtId="0" fontId="7" fillId="9" borderId="9" xfId="6" applyProtection="1">
      <alignment vertical="top" wrapText="1" shrinkToFit="1"/>
    </xf>
    <xf numFmtId="0" fontId="7" fillId="9" borderId="9" xfId="7" applyProtection="1">
      <alignment horizontal="left" vertical="top" wrapText="1" shrinkToFit="1"/>
      <protection locked="0"/>
    </xf>
    <xf numFmtId="0" fontId="6" fillId="4" borderId="0" xfId="0" applyFont="1" applyFill="1" applyBorder="1" applyProtection="1"/>
    <xf numFmtId="0" fontId="3" fillId="6" borderId="0" xfId="0" applyFont="1" applyFill="1" applyBorder="1" applyProtection="1">
      <protection locked="0"/>
    </xf>
    <xf numFmtId="0" fontId="0" fillId="6" borderId="0" xfId="0" applyFill="1" applyBorder="1" applyProtection="1">
      <protection locked="0"/>
    </xf>
    <xf numFmtId="0" fontId="11" fillId="4" borderId="0" xfId="8" applyFont="1" applyFill="1" applyBorder="1" applyAlignment="1" applyProtection="1">
      <alignment horizontal="left"/>
    </xf>
    <xf numFmtId="0" fontId="0" fillId="4" borderId="8" xfId="5" applyFont="1" applyAlignment="1" applyProtection="1">
      <alignment horizontal="left" vertical="top" wrapText="1" indent="2"/>
    </xf>
    <xf numFmtId="9" fontId="7" fillId="9" borderId="9" xfId="9" applyAlignment="1" applyProtection="1">
      <alignment horizontal="left" vertical="top" wrapText="1" shrinkToFit="1"/>
    </xf>
    <xf numFmtId="0" fontId="7" fillId="9" borderId="9" xfId="7" applyAlignment="1" applyProtection="1">
      <alignment horizontal="left" vertical="top" wrapText="1"/>
      <protection locked="0"/>
    </xf>
    <xf numFmtId="0" fontId="7" fillId="9" borderId="9" xfId="7">
      <alignment horizontal="left" vertical="top" wrapText="1" shrinkToFit="1"/>
      <protection locked="0"/>
    </xf>
    <xf numFmtId="0" fontId="0" fillId="4" borderId="0" xfId="0" applyFill="1" applyBorder="1" applyAlignment="1" applyProtection="1"/>
    <xf numFmtId="0" fontId="0" fillId="4" borderId="10" xfId="0" applyFill="1" applyBorder="1" applyAlignment="1" applyProtection="1"/>
    <xf numFmtId="0" fontId="5" fillId="4" borderId="10" xfId="0" applyFont="1" applyFill="1" applyBorder="1" applyAlignment="1" applyProtection="1"/>
    <xf numFmtId="0" fontId="5" fillId="4" borderId="10" xfId="0" applyFont="1" applyFill="1" applyBorder="1" applyAlignment="1" applyProtection="1">
      <alignment horizontal="left"/>
    </xf>
    <xf numFmtId="0" fontId="5" fillId="4" borderId="10" xfId="0" applyFont="1" applyFill="1" applyBorder="1" applyAlignment="1" applyProtection="1">
      <alignment horizontal="center"/>
    </xf>
    <xf numFmtId="0" fontId="0" fillId="4" borderId="10" xfId="0" applyFill="1" applyBorder="1" applyProtection="1"/>
    <xf numFmtId="0" fontId="0" fillId="4" borderId="0" xfId="0" applyFont="1" applyFill="1" applyBorder="1" applyProtection="1"/>
    <xf numFmtId="0" fontId="6" fillId="8" borderId="0" xfId="4" applyFont="1" applyProtection="1">
      <alignment horizontal="left" vertical="top" wrapText="1"/>
    </xf>
    <xf numFmtId="0" fontId="2" fillId="4" borderId="0" xfId="4" applyFont="1" applyFill="1" applyProtection="1">
      <alignment horizontal="left" vertical="top" wrapText="1"/>
    </xf>
    <xf numFmtId="1" fontId="7" fillId="9" borderId="9" xfId="10" applyProtection="1">
      <alignment horizontal="left" vertical="top" wrapText="1" shrinkToFit="1"/>
      <protection locked="0"/>
    </xf>
    <xf numFmtId="0" fontId="7" fillId="9" borderId="9" xfId="7" applyFont="1" applyProtection="1">
      <alignment horizontal="left" vertical="top" wrapText="1" shrinkToFit="1"/>
      <protection locked="0"/>
    </xf>
    <xf numFmtId="9" fontId="7" fillId="9" borderId="9" xfId="9" applyProtection="1">
      <alignment horizontal="left" vertical="top" wrapText="1" shrinkToFit="1"/>
      <protection locked="0"/>
    </xf>
    <xf numFmtId="0" fontId="12" fillId="4" borderId="0" xfId="0" applyFont="1" applyFill="1" applyBorder="1" applyAlignment="1" applyProtection="1">
      <alignment horizontal="center"/>
    </xf>
    <xf numFmtId="0" fontId="13" fillId="4" borderId="0" xfId="0" applyFont="1" applyFill="1" applyBorder="1" applyAlignment="1" applyProtection="1">
      <alignment horizontal="center"/>
      <protection locked="0"/>
    </xf>
    <xf numFmtId="0" fontId="13" fillId="4" borderId="0" xfId="0" applyFont="1" applyFill="1" applyBorder="1" applyAlignment="1" applyProtection="1">
      <protection locked="0"/>
    </xf>
    <xf numFmtId="0" fontId="13" fillId="6" borderId="0" xfId="0" applyFont="1" applyFill="1" applyBorder="1" applyAlignment="1" applyProtection="1">
      <alignment horizontal="center"/>
    </xf>
    <xf numFmtId="0" fontId="5" fillId="6" borderId="0" xfId="0" applyFont="1" applyFill="1" applyBorder="1" applyAlignment="1" applyProtection="1">
      <alignment horizontal="center"/>
    </xf>
    <xf numFmtId="0" fontId="10" fillId="4" borderId="0" xfId="8" applyFill="1" applyBorder="1" applyAlignment="1" applyProtection="1">
      <alignment horizontal="center"/>
    </xf>
    <xf numFmtId="0" fontId="13" fillId="6" borderId="0" xfId="0" applyFont="1" applyFill="1" applyBorder="1" applyAlignment="1" applyProtection="1"/>
    <xf numFmtId="0" fontId="10" fillId="4" borderId="10" xfId="8" applyFill="1" applyBorder="1" applyAlignment="1" applyProtection="1">
      <alignment horizontal="center"/>
    </xf>
    <xf numFmtId="0" fontId="0" fillId="4" borderId="10" xfId="0" applyFont="1" applyFill="1" applyBorder="1" applyProtection="1"/>
    <xf numFmtId="0" fontId="10" fillId="4" borderId="0" xfId="8" applyFill="1" applyBorder="1" applyAlignment="1" applyProtection="1"/>
    <xf numFmtId="0" fontId="13" fillId="6" borderId="0" xfId="0" applyFont="1" applyFill="1" applyBorder="1" applyAlignment="1" applyProtection="1">
      <alignment wrapText="1"/>
    </xf>
    <xf numFmtId="0" fontId="13" fillId="4" borderId="0" xfId="2" applyFont="1" applyFill="1" applyBorder="1" applyAlignment="1" applyProtection="1">
      <alignment horizontal="center" wrapText="1"/>
      <protection locked="0"/>
    </xf>
    <xf numFmtId="0" fontId="14" fillId="6" borderId="0" xfId="2" applyFill="1" applyBorder="1" applyAlignment="1" applyProtection="1">
      <alignment horizontal="center" wrapText="1"/>
    </xf>
    <xf numFmtId="0" fontId="3" fillId="4" borderId="0" xfId="0" applyFont="1" applyFill="1" applyBorder="1" applyAlignment="1" applyProtection="1">
      <alignment horizontal="left" wrapText="1"/>
      <protection locked="0"/>
    </xf>
    <xf numFmtId="0" fontId="13" fillId="6" borderId="0" xfId="0" applyFont="1" applyFill="1" applyBorder="1" applyAlignment="1" applyProtection="1">
      <alignment horizontal="left" wrapText="1"/>
    </xf>
    <xf numFmtId="0" fontId="5" fillId="6" borderId="0" xfId="0" applyFont="1" applyFill="1" applyBorder="1" applyAlignment="1" applyProtection="1">
      <alignment horizontal="left" wrapText="1"/>
    </xf>
    <xf numFmtId="0" fontId="5" fillId="6" borderId="0" xfId="0" applyFont="1" applyFill="1" applyBorder="1" applyAlignment="1" applyProtection="1">
      <alignment horizontal="center" wrapText="1"/>
    </xf>
    <xf numFmtId="0" fontId="10" fillId="4" borderId="0" xfId="8" applyFill="1" applyBorder="1" applyAlignment="1" applyProtection="1">
      <alignment horizontal="left"/>
    </xf>
    <xf numFmtId="0" fontId="2" fillId="4" borderId="8" xfId="5" applyProtection="1">
      <alignment horizontal="left" vertical="top" wrapText="1"/>
    </xf>
    <xf numFmtId="0" fontId="10" fillId="4" borderId="11" xfId="8" applyFill="1" applyBorder="1" applyAlignment="1" applyProtection="1">
      <alignment horizontal="left"/>
    </xf>
    <xf numFmtId="0" fontId="10" fillId="4" borderId="10" xfId="8" applyFill="1" applyBorder="1" applyAlignment="1" applyProtection="1">
      <alignment horizontal="left"/>
    </xf>
    <xf numFmtId="0" fontId="2" fillId="4" borderId="8" xfId="5" applyFont="1" applyAlignment="1" applyProtection="1">
      <alignment horizontal="left" vertical="top" wrapText="1" indent="2"/>
    </xf>
    <xf numFmtId="0" fontId="3" fillId="4" borderId="8" xfId="5" applyFont="1" applyAlignment="1" applyProtection="1">
      <alignment horizontal="left" vertical="top" wrapText="1" indent="1"/>
    </xf>
    <xf numFmtId="1" fontId="3" fillId="4" borderId="0" xfId="0" applyNumberFormat="1" applyFont="1" applyFill="1" applyBorder="1" applyProtection="1">
      <protection locked="0"/>
    </xf>
    <xf numFmtId="0" fontId="16" fillId="5" borderId="0" xfId="0" applyFont="1" applyFill="1" applyBorder="1" applyAlignment="1" applyProtection="1">
      <alignment horizontal="center"/>
    </xf>
    <xf numFmtId="164" fontId="7" fillId="9" borderId="9" xfId="11" applyProtection="1">
      <alignment horizontal="left" vertical="top"/>
      <protection locked="0"/>
    </xf>
    <xf numFmtId="0" fontId="7" fillId="9" borderId="9" xfId="6">
      <alignment vertical="top" wrapText="1" shrinkToFit="1"/>
      <protection locked="0"/>
    </xf>
    <xf numFmtId="0" fontId="17" fillId="4" borderId="0" xfId="8" applyFont="1" applyFill="1" applyBorder="1" applyAlignment="1" applyProtection="1">
      <alignment horizontal="left"/>
    </xf>
    <xf numFmtId="0" fontId="3" fillId="4" borderId="8" xfId="5" applyFont="1" applyProtection="1">
      <alignment horizontal="left" vertical="top" wrapText="1"/>
    </xf>
    <xf numFmtId="0" fontId="18" fillId="4" borderId="10" xfId="0" applyFont="1" applyFill="1" applyBorder="1" applyProtection="1"/>
    <xf numFmtId="0" fontId="7" fillId="9" borderId="9" xfId="6" applyProtection="1">
      <alignment vertical="top" wrapText="1" shrinkToFit="1"/>
      <protection locked="0"/>
    </xf>
    <xf numFmtId="0" fontId="0" fillId="4" borderId="12" xfId="5" applyFont="1" applyBorder="1" applyProtection="1">
      <alignment horizontal="left" vertical="top" wrapText="1"/>
    </xf>
    <xf numFmtId="0" fontId="3" fillId="4" borderId="12" xfId="5" applyFont="1" applyBorder="1" applyAlignment="1" applyProtection="1">
      <alignment horizontal="left" vertical="top" wrapText="1" indent="2"/>
    </xf>
    <xf numFmtId="0" fontId="19" fillId="4" borderId="0" xfId="8" applyFont="1" applyFill="1" applyBorder="1" applyAlignment="1" applyProtection="1">
      <alignment horizontal="left"/>
    </xf>
    <xf numFmtId="164" fontId="20" fillId="9" borderId="9" xfId="11" applyFont="1" applyAlignment="1" applyProtection="1">
      <alignment horizontal="left" vertical="top" wrapText="1"/>
    </xf>
    <xf numFmtId="0" fontId="0" fillId="4" borderId="8" xfId="5" applyFont="1" applyAlignment="1" applyProtection="1">
      <alignment horizontal="left" vertical="top" wrapText="1"/>
    </xf>
    <xf numFmtId="0" fontId="5" fillId="5" borderId="13" xfId="0" applyFont="1" applyFill="1" applyBorder="1" applyAlignment="1" applyProtection="1">
      <alignment horizontal="center"/>
    </xf>
    <xf numFmtId="0" fontId="21" fillId="4" borderId="0" xfId="8" applyFont="1" applyFill="1" applyBorder="1" applyAlignment="1" applyProtection="1"/>
    <xf numFmtId="0" fontId="2" fillId="4" borderId="12" xfId="5" applyFont="1" applyBorder="1" applyProtection="1">
      <alignment horizontal="left" vertical="top" wrapText="1"/>
    </xf>
    <xf numFmtId="0" fontId="7" fillId="4" borderId="0" xfId="1" applyFill="1" applyBorder="1" applyAlignment="1" applyProtection="1">
      <alignment horizontal="left"/>
    </xf>
    <xf numFmtId="0" fontId="0" fillId="4" borderId="0" xfId="0" applyFill="1" applyBorder="1" applyAlignment="1" applyProtection="1">
      <alignment horizontal="left"/>
    </xf>
    <xf numFmtId="0" fontId="0" fillId="0" borderId="0" xfId="0" applyBorder="1" applyAlignment="1" applyProtection="1"/>
    <xf numFmtId="0" fontId="22" fillId="4" borderId="0" xfId="1" applyFont="1" applyFill="1" applyBorder="1" applyAlignment="1" applyProtection="1">
      <alignment horizontal="left"/>
    </xf>
    <xf numFmtId="0" fontId="2" fillId="4" borderId="0" xfId="0" applyFont="1" applyFill="1" applyBorder="1" applyAlignment="1" applyProtection="1">
      <alignment horizontal="left"/>
    </xf>
    <xf numFmtId="0" fontId="2" fillId="4" borderId="8" xfId="5" applyFont="1" applyAlignment="1" applyProtection="1">
      <alignment horizontal="left" vertical="top" wrapText="1"/>
    </xf>
    <xf numFmtId="0" fontId="0" fillId="0" borderId="13" xfId="0" applyBorder="1" applyAlignment="1" applyProtection="1"/>
    <xf numFmtId="0" fontId="2" fillId="4" borderId="8" xfId="5" applyFont="1" applyProtection="1">
      <alignment horizontal="left" vertical="top" wrapText="1"/>
    </xf>
    <xf numFmtId="164" fontId="7" fillId="9" borderId="9" xfId="11" applyAlignment="1" applyProtection="1">
      <alignment horizontal="left" vertical="top" wrapText="1"/>
      <protection locked="0"/>
    </xf>
    <xf numFmtId="0" fontId="21" fillId="4" borderId="0" xfId="8" applyFont="1" applyFill="1" applyBorder="1" applyAlignment="1" applyProtection="1">
      <alignment horizontal="left"/>
    </xf>
    <xf numFmtId="0" fontId="11" fillId="4" borderId="0" xfId="8" applyFont="1" applyFill="1" applyBorder="1" applyAlignment="1" applyProtection="1">
      <alignment horizontal="center"/>
    </xf>
    <xf numFmtId="0" fontId="10" fillId="4" borderId="10" xfId="8" applyFill="1" applyBorder="1" applyAlignment="1" applyProtection="1"/>
    <xf numFmtId="0" fontId="11" fillId="4" borderId="10" xfId="8" applyFont="1" applyFill="1" applyBorder="1" applyAlignment="1" applyProtection="1">
      <alignment horizontal="left"/>
    </xf>
    <xf numFmtId="0" fontId="16" fillId="5" borderId="5" xfId="0" applyFont="1" applyFill="1" applyBorder="1" applyAlignment="1" applyProtection="1">
      <alignment horizontal="center"/>
    </xf>
    <xf numFmtId="0" fontId="19" fillId="4" borderId="0" xfId="8" applyFont="1" applyFill="1" applyBorder="1" applyAlignment="1" applyProtection="1"/>
    <xf numFmtId="0" fontId="23" fillId="4" borderId="8" xfId="5" applyFont="1" applyProtection="1">
      <alignment horizontal="left" vertical="top" wrapText="1"/>
    </xf>
    <xf numFmtId="0" fontId="0" fillId="4" borderId="14" xfId="5" applyFont="1" applyBorder="1" applyProtection="1">
      <alignment horizontal="left" vertical="top" wrapText="1"/>
    </xf>
    <xf numFmtId="9" fontId="7" fillId="9" borderId="9" xfId="9" applyBorder="1" applyAlignment="1" applyProtection="1">
      <alignment horizontal="left" vertical="top" wrapText="1" shrinkToFit="1"/>
    </xf>
    <xf numFmtId="0" fontId="7" fillId="9" borderId="9" xfId="7" applyBorder="1" applyProtection="1">
      <alignment horizontal="left" vertical="top" wrapText="1" shrinkToFit="1"/>
      <protection locked="0"/>
    </xf>
    <xf numFmtId="0" fontId="0" fillId="4" borderId="0" xfId="5" applyFont="1" applyFill="1" applyBorder="1" applyProtection="1">
      <alignment horizontal="left" vertical="top" wrapText="1"/>
    </xf>
    <xf numFmtId="9" fontId="7" fillId="4" borderId="0" xfId="9" applyFill="1" applyBorder="1" applyAlignment="1" applyProtection="1">
      <alignment horizontal="left" vertical="top" wrapText="1" shrinkToFit="1"/>
    </xf>
    <xf numFmtId="0" fontId="7" fillId="4" borderId="0" xfId="7" applyFill="1" applyBorder="1" applyProtection="1">
      <alignment horizontal="left" vertical="top" wrapText="1" shrinkToFit="1"/>
      <protection locked="0"/>
    </xf>
    <xf numFmtId="0" fontId="0" fillId="4" borderId="13" xfId="0" applyFill="1" applyBorder="1" applyProtection="1"/>
    <xf numFmtId="0" fontId="5" fillId="4" borderId="13" xfId="0" applyFont="1" applyFill="1" applyBorder="1" applyAlignment="1" applyProtection="1"/>
    <xf numFmtId="0" fontId="5" fillId="4" borderId="13" xfId="0" applyFont="1" applyFill="1" applyBorder="1" applyAlignment="1" applyProtection="1">
      <alignment horizontal="left"/>
    </xf>
    <xf numFmtId="0" fontId="5" fillId="4" borderId="13" xfId="0" applyFont="1" applyFill="1" applyBorder="1" applyAlignment="1" applyProtection="1">
      <alignment horizontal="center"/>
    </xf>
    <xf numFmtId="0" fontId="0" fillId="4" borderId="13" xfId="0" applyFont="1" applyFill="1" applyBorder="1" applyProtection="1"/>
    <xf numFmtId="2" fontId="5" fillId="5" borderId="0" xfId="0" applyNumberFormat="1" applyFont="1" applyFill="1" applyBorder="1" applyAlignment="1" applyProtection="1">
      <alignment horizontal="center"/>
    </xf>
    <xf numFmtId="0" fontId="3" fillId="4" borderId="0" xfId="0" applyFont="1" applyFill="1" applyBorder="1" applyAlignment="1" applyProtection="1">
      <alignment horizontal="left" vertical="top"/>
    </xf>
    <xf numFmtId="0" fontId="11" fillId="4" borderId="0" xfId="8" applyFont="1" applyFill="1" applyBorder="1" applyAlignment="1" applyProtection="1">
      <alignment horizontal="left" vertical="top"/>
    </xf>
    <xf numFmtId="0" fontId="3" fillId="4" borderId="8" xfId="5" applyFont="1" applyAlignment="1" applyProtection="1">
      <alignment horizontal="left" vertical="top" wrapText="1" indent="2"/>
    </xf>
    <xf numFmtId="0" fontId="14" fillId="4" borderId="0" xfId="2" applyFill="1" applyBorder="1" applyAlignment="1" applyProtection="1">
      <alignment horizontal="center"/>
    </xf>
    <xf numFmtId="0" fontId="14" fillId="4" borderId="10" xfId="2" applyFill="1" applyBorder="1" applyAlignment="1" applyProtection="1">
      <alignment horizontal="center"/>
    </xf>
    <xf numFmtId="0" fontId="0" fillId="0" borderId="0" xfId="0" applyBorder="1" applyProtection="1"/>
    <xf numFmtId="0" fontId="24" fillId="4" borderId="0" xfId="8" applyFont="1" applyFill="1" applyBorder="1" applyAlignment="1" applyProtection="1">
      <alignment horizontal="left"/>
    </xf>
    <xf numFmtId="0" fontId="0" fillId="4" borderId="0" xfId="0" applyFont="1" applyFill="1" applyBorder="1" applyAlignment="1" applyProtection="1">
      <alignment horizontal="left"/>
    </xf>
    <xf numFmtId="0" fontId="10" fillId="10" borderId="0" xfId="8" applyFill="1" applyBorder="1" applyAlignment="1" applyProtection="1"/>
    <xf numFmtId="0" fontId="5" fillId="10" borderId="0" xfId="0" applyFont="1" applyFill="1" applyBorder="1" applyAlignment="1" applyProtection="1"/>
    <xf numFmtId="0" fontId="0" fillId="10" borderId="0" xfId="0" applyFill="1" applyBorder="1" applyProtection="1"/>
    <xf numFmtId="0" fontId="0" fillId="10" borderId="0" xfId="0" applyFont="1" applyFill="1" applyBorder="1" applyProtection="1"/>
    <xf numFmtId="0" fontId="26" fillId="5" borderId="0" xfId="0" applyFont="1" applyFill="1" applyBorder="1" applyAlignment="1" applyProtection="1">
      <alignment horizontal="center"/>
    </xf>
    <xf numFmtId="0" fontId="22" fillId="4" borderId="0" xfId="0" applyFont="1" applyFill="1" applyBorder="1" applyAlignment="1" applyProtection="1">
      <alignment horizontal="left"/>
    </xf>
    <xf numFmtId="0" fontId="7" fillId="4" borderId="10" xfId="1" applyFill="1" applyBorder="1" applyAlignment="1" applyProtection="1">
      <alignment horizontal="left"/>
    </xf>
    <xf numFmtId="0" fontId="0" fillId="4" borderId="10" xfId="0" applyFill="1" applyBorder="1" applyAlignment="1" applyProtection="1">
      <alignment horizontal="left"/>
    </xf>
    <xf numFmtId="0" fontId="0" fillId="0" borderId="10" xfId="0" applyBorder="1" applyAlignment="1" applyProtection="1"/>
    <xf numFmtId="0" fontId="7" fillId="9" borderId="9" xfId="7" applyProtection="1">
      <alignment horizontal="left" vertical="top" wrapText="1" shrinkToFit="1"/>
      <protection locked="0"/>
    </xf>
    <xf numFmtId="0" fontId="0" fillId="0" borderId="24" xfId="0" applyBorder="1" applyAlignment="1">
      <alignment vertical="top" wrapText="1"/>
    </xf>
    <xf numFmtId="0" fontId="0" fillId="0" borderId="26" xfId="0" applyBorder="1" applyAlignment="1">
      <alignment horizontal="right" vertical="top" wrapText="1" indent="1"/>
    </xf>
    <xf numFmtId="0" fontId="0" fillId="0" borderId="27" xfId="0" applyBorder="1" applyAlignment="1">
      <alignment horizontal="right" vertical="top" wrapText="1" inden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11" borderId="3" xfId="0" applyFill="1" applyBorder="1" applyAlignment="1" applyProtection="1">
      <alignment horizontal="left" vertical="top" wrapText="1"/>
      <protection locked="0"/>
    </xf>
    <xf numFmtId="166" fontId="0" fillId="11" borderId="3" xfId="0" applyNumberFormat="1" applyFill="1" applyBorder="1" applyAlignment="1" applyProtection="1">
      <alignment horizontal="left" vertical="top" wrapText="1"/>
      <protection locked="0"/>
    </xf>
    <xf numFmtId="0" fontId="0" fillId="0" borderId="0" xfId="0" applyAlignment="1">
      <alignment vertical="top" wrapText="1"/>
    </xf>
    <xf numFmtId="0" fontId="0" fillId="0" borderId="23" xfId="0" applyBorder="1" applyAlignment="1">
      <alignment vertical="top" wrapText="1"/>
    </xf>
    <xf numFmtId="0" fontId="0" fillId="0" borderId="26" xfId="0" applyBorder="1" applyAlignment="1">
      <alignment vertical="top" wrapText="1"/>
    </xf>
    <xf numFmtId="0" fontId="33" fillId="0" borderId="20" xfId="0" applyFont="1"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0" xfId="0" applyBorder="1" applyAlignment="1">
      <alignment vertical="top" wrapText="1"/>
    </xf>
    <xf numFmtId="0" fontId="0" fillId="0" borderId="25" xfId="0" applyFill="1" applyBorder="1" applyAlignment="1">
      <alignment horizontal="right" vertical="top" wrapText="1" indent="1"/>
    </xf>
    <xf numFmtId="0" fontId="0" fillId="11" borderId="9" xfId="0" applyFill="1" applyBorder="1" applyAlignment="1" applyProtection="1">
      <alignment vertical="top" wrapText="1"/>
      <protection locked="0"/>
    </xf>
    <xf numFmtId="0" fontId="31" fillId="11" borderId="9" xfId="25" applyFill="1" applyBorder="1" applyAlignment="1" applyProtection="1">
      <alignment vertical="top" wrapText="1"/>
      <protection locked="0"/>
    </xf>
    <xf numFmtId="165" fontId="0" fillId="11" borderId="9" xfId="0" applyNumberFormat="1" applyFill="1" applyBorder="1" applyAlignment="1" applyProtection="1">
      <alignment horizontal="left" vertical="top" wrapText="1"/>
      <protection locked="0"/>
    </xf>
    <xf numFmtId="165" fontId="0" fillId="0" borderId="24" xfId="0" applyNumberFormat="1" applyBorder="1" applyAlignment="1">
      <alignment vertical="top" wrapText="1"/>
    </xf>
    <xf numFmtId="0" fontId="0" fillId="0" borderId="27" xfId="0" applyBorder="1" applyAlignment="1">
      <alignment vertical="top" wrapText="1"/>
    </xf>
    <xf numFmtId="165" fontId="0" fillId="0" borderId="27" xfId="0" applyNumberFormat="1" applyBorder="1" applyAlignment="1">
      <alignment vertical="top" wrapText="1"/>
    </xf>
    <xf numFmtId="165" fontId="0" fillId="0" borderId="28" xfId="0" applyNumberFormat="1" applyBorder="1" applyAlignment="1">
      <alignment vertical="top" wrapText="1"/>
    </xf>
    <xf numFmtId="0" fontId="33" fillId="0" borderId="23" xfId="0" applyFont="1" applyBorder="1" applyAlignment="1">
      <alignment vertical="top" wrapText="1"/>
    </xf>
    <xf numFmtId="0" fontId="0" fillId="0" borderId="23" xfId="0" applyFill="1" applyBorder="1" applyAlignment="1">
      <alignment horizontal="right" vertical="top" wrapText="1" indent="1"/>
    </xf>
    <xf numFmtId="0" fontId="5" fillId="12" borderId="0" xfId="0" applyFont="1" applyFill="1" applyBorder="1" applyAlignment="1">
      <alignment vertical="top" wrapText="1"/>
    </xf>
    <xf numFmtId="0" fontId="18" fillId="0" borderId="0" xfId="0" applyFont="1" applyBorder="1" applyAlignment="1">
      <alignment vertical="top" wrapText="1"/>
    </xf>
    <xf numFmtId="0" fontId="0" fillId="0" borderId="0" xfId="0" applyFill="1" applyBorder="1" applyAlignment="1">
      <alignment vertical="top" wrapText="1"/>
    </xf>
    <xf numFmtId="0" fontId="0" fillId="0" borderId="16" xfId="0" applyBorder="1" applyAlignment="1">
      <alignment vertical="top" wrapText="1"/>
    </xf>
    <xf numFmtId="0" fontId="0" fillId="0" borderId="3" xfId="0" applyBorder="1" applyAlignment="1">
      <alignment vertical="top" wrapText="1"/>
    </xf>
    <xf numFmtId="0" fontId="0" fillId="0" borderId="28" xfId="0" applyBorder="1" applyAlignment="1">
      <alignment vertical="top" wrapText="1"/>
    </xf>
    <xf numFmtId="0" fontId="5" fillId="13" borderId="0" xfId="0" applyFont="1" applyFill="1" applyBorder="1" applyAlignment="1">
      <alignment vertical="top" wrapText="1"/>
    </xf>
    <xf numFmtId="0" fontId="18" fillId="0" borderId="0" xfId="0" applyFont="1" applyBorder="1" applyAlignment="1">
      <alignment horizontal="left" vertical="top" wrapText="1"/>
    </xf>
    <xf numFmtId="0" fontId="0" fillId="0" borderId="21" xfId="0" applyBorder="1" applyAlignment="1">
      <alignment horizontal="right" vertical="top" wrapText="1"/>
    </xf>
    <xf numFmtId="0" fontId="0" fillId="0" borderId="0" xfId="0" applyBorder="1" applyAlignment="1">
      <alignment horizontal="right" vertical="top" wrapText="1"/>
    </xf>
    <xf numFmtId="0" fontId="0" fillId="0" borderId="0" xfId="0" applyAlignment="1">
      <alignment horizontal="right" vertical="top" wrapText="1"/>
    </xf>
    <xf numFmtId="0" fontId="0" fillId="0" borderId="0" xfId="0" applyBorder="1" applyAlignment="1">
      <alignment vertical="top" wrapText="1"/>
    </xf>
    <xf numFmtId="0" fontId="0" fillId="0" borderId="0" xfId="0" applyBorder="1" applyAlignment="1">
      <alignment vertical="top" wrapText="1"/>
    </xf>
    <xf numFmtId="0" fontId="33" fillId="0" borderId="0" xfId="0" applyFont="1" applyBorder="1"/>
    <xf numFmtId="0" fontId="0" fillId="0" borderId="0" xfId="0" applyBorder="1"/>
    <xf numFmtId="0" fontId="0" fillId="0" borderId="41" xfId="0" applyBorder="1"/>
    <xf numFmtId="0" fontId="0" fillId="0" borderId="42" xfId="0" applyBorder="1"/>
    <xf numFmtId="0" fontId="0" fillId="0" borderId="43" xfId="0" applyBorder="1"/>
    <xf numFmtId="0" fontId="0" fillId="0" borderId="44" xfId="0" applyBorder="1"/>
    <xf numFmtId="0" fontId="0" fillId="0" borderId="45" xfId="0" applyBorder="1"/>
    <xf numFmtId="0" fontId="0" fillId="0" borderId="46" xfId="0" applyBorder="1"/>
    <xf numFmtId="0" fontId="0" fillId="0" borderId="47" xfId="0" applyBorder="1"/>
    <xf numFmtId="0" fontId="0" fillId="0" borderId="48" xfId="0" applyBorder="1"/>
    <xf numFmtId="0" fontId="0" fillId="0" borderId="45" xfId="0" applyBorder="1" applyAlignment="1">
      <alignment horizontal="left" vertical="top" wrapText="1"/>
    </xf>
    <xf numFmtId="0" fontId="0" fillId="0" borderId="45" xfId="0" applyBorder="1" applyAlignment="1">
      <alignment vertical="top" wrapText="1"/>
    </xf>
    <xf numFmtId="0" fontId="33" fillId="0" borderId="0" xfId="0" applyFont="1" applyBorder="1" applyAlignment="1">
      <alignment vertical="top" wrapText="1"/>
    </xf>
    <xf numFmtId="0" fontId="0" fillId="11" borderId="0" xfId="0" applyFill="1" applyBorder="1" applyAlignment="1" applyProtection="1">
      <alignment horizontal="left" vertical="top" wrapText="1"/>
      <protection locked="0"/>
    </xf>
    <xf numFmtId="0" fontId="0" fillId="0" borderId="0" xfId="0" applyBorder="1" applyAlignment="1">
      <alignment vertical="top" wrapText="1"/>
    </xf>
    <xf numFmtId="0" fontId="0" fillId="0" borderId="0" xfId="0" applyBorder="1" applyAlignment="1">
      <alignment horizontal="center" vertical="top" wrapText="1"/>
    </xf>
    <xf numFmtId="0" fontId="0" fillId="0" borderId="23" xfId="0" applyBorder="1" applyAlignment="1">
      <alignment horizontal="left" vertical="top" wrapText="1"/>
    </xf>
    <xf numFmtId="0" fontId="0" fillId="0" borderId="0" xfId="0" applyBorder="1" applyAlignment="1">
      <alignment horizontal="left" vertical="top" wrapText="1"/>
    </xf>
    <xf numFmtId="0" fontId="35" fillId="14" borderId="9" xfId="28" applyBorder="1"/>
    <xf numFmtId="0" fontId="0" fillId="11" borderId="9" xfId="0" applyFill="1" applyBorder="1" applyAlignment="1" applyProtection="1">
      <alignment horizontal="center" vertical="top" wrapText="1"/>
      <protection locked="0"/>
    </xf>
    <xf numFmtId="0" fontId="0" fillId="0" borderId="0" xfId="0" applyBorder="1" applyAlignment="1">
      <alignment horizontal="left"/>
    </xf>
    <xf numFmtId="0" fontId="0" fillId="0" borderId="0" xfId="0" applyAlignment="1">
      <alignment horizontal="left" wrapText="1"/>
    </xf>
    <xf numFmtId="0" fontId="33" fillId="0" borderId="20" xfId="0" applyFont="1" applyBorder="1" applyAlignment="1">
      <alignment vertical="top"/>
    </xf>
    <xf numFmtId="0" fontId="0" fillId="0" borderId="0" xfId="0" applyFont="1" applyBorder="1"/>
    <xf numFmtId="0" fontId="0" fillId="0" borderId="0" xfId="0" applyAlignment="1">
      <alignment horizontal="right" indent="2"/>
    </xf>
    <xf numFmtId="0" fontId="36" fillId="0" borderId="0" xfId="0" applyFont="1" applyBorder="1" applyAlignment="1">
      <alignment horizontal="center" vertical="center" wrapText="1"/>
    </xf>
    <xf numFmtId="0" fontId="33" fillId="0" borderId="0" xfId="0" applyFont="1" applyBorder="1" applyAlignment="1">
      <alignment vertical="top"/>
    </xf>
    <xf numFmtId="0" fontId="0" fillId="0" borderId="0" xfId="0" applyFill="1" applyBorder="1" applyAlignment="1">
      <alignment horizontal="right" vertical="top" wrapText="1" indent="1"/>
    </xf>
    <xf numFmtId="165" fontId="0" fillId="0" borderId="0" xfId="0" applyNumberFormat="1" applyBorder="1" applyAlignment="1">
      <alignment vertical="top" wrapText="1"/>
    </xf>
    <xf numFmtId="0" fontId="0" fillId="0" borderId="47" xfId="0" applyBorder="1" applyAlignment="1">
      <alignment vertical="top" wrapText="1"/>
    </xf>
    <xf numFmtId="0" fontId="0" fillId="0" borderId="47" xfId="0" applyBorder="1" applyAlignment="1">
      <alignment horizontal="right" vertical="top" wrapText="1" indent="1"/>
    </xf>
    <xf numFmtId="0" fontId="0" fillId="0" borderId="48" xfId="0" applyBorder="1" applyAlignment="1">
      <alignment vertical="top" wrapText="1"/>
    </xf>
    <xf numFmtId="0" fontId="35" fillId="14" borderId="3" xfId="28" applyBorder="1"/>
    <xf numFmtId="0" fontId="35" fillId="14" borderId="16" xfId="28" applyBorder="1"/>
    <xf numFmtId="0" fontId="0" fillId="11" borderId="3" xfId="0" applyFill="1" applyBorder="1" applyAlignment="1" applyProtection="1">
      <alignment vertical="top" wrapText="1"/>
      <protection locked="0"/>
    </xf>
    <xf numFmtId="0" fontId="0" fillId="11" borderId="16" xfId="0" applyFill="1" applyBorder="1" applyAlignment="1" applyProtection="1">
      <alignment vertical="top" wrapText="1"/>
      <protection locked="0"/>
    </xf>
    <xf numFmtId="0" fontId="31" fillId="11" borderId="16" xfId="25" applyFill="1" applyBorder="1" applyAlignment="1" applyProtection="1">
      <alignment vertical="top" wrapText="1"/>
      <protection locked="0"/>
    </xf>
    <xf numFmtId="165" fontId="0" fillId="11" borderId="16" xfId="0" applyNumberFormat="1" applyFill="1" applyBorder="1" applyAlignment="1" applyProtection="1">
      <alignment horizontal="left" vertical="top" wrapText="1"/>
      <protection locked="0"/>
    </xf>
    <xf numFmtId="49" fontId="0" fillId="0" borderId="0" xfId="0" applyNumberFormat="1" applyBorder="1" applyAlignment="1">
      <alignment horizontal="right" vertical="top" wrapText="1"/>
    </xf>
    <xf numFmtId="0" fontId="0" fillId="0" borderId="0" xfId="0" applyAlignment="1">
      <alignment horizontal="right"/>
    </xf>
    <xf numFmtId="0" fontId="0" fillId="0" borderId="41" xfId="0" applyBorder="1" applyAlignment="1">
      <alignment horizontal="left" vertical="center" wrapText="1" indent="1"/>
    </xf>
    <xf numFmtId="0" fontId="0" fillId="0" borderId="42" xfId="0" applyBorder="1" applyAlignment="1">
      <alignment horizontal="left" vertical="center" wrapText="1" indent="1"/>
    </xf>
    <xf numFmtId="0" fontId="0" fillId="0" borderId="43" xfId="0" applyBorder="1" applyAlignment="1">
      <alignment horizontal="left" vertical="center" wrapText="1" indent="1"/>
    </xf>
    <xf numFmtId="0" fontId="0" fillId="0" borderId="44" xfId="0" applyBorder="1" applyAlignment="1">
      <alignment horizontal="left" vertical="center" wrapText="1" indent="1"/>
    </xf>
    <xf numFmtId="0" fontId="0" fillId="0" borderId="0" xfId="0" applyBorder="1" applyAlignment="1">
      <alignment horizontal="left" vertical="center" wrapText="1" indent="1"/>
    </xf>
    <xf numFmtId="0" fontId="0" fillId="0" borderId="45" xfId="0" applyBorder="1" applyAlignment="1">
      <alignment horizontal="left" vertical="center" wrapText="1" indent="1"/>
    </xf>
    <xf numFmtId="0" fontId="0" fillId="0" borderId="46" xfId="0" applyBorder="1" applyAlignment="1">
      <alignment horizontal="left" vertical="center" wrapText="1" indent="1"/>
    </xf>
    <xf numFmtId="0" fontId="0" fillId="0" borderId="47" xfId="0" applyBorder="1" applyAlignment="1">
      <alignment horizontal="left" vertical="center" wrapText="1" indent="1"/>
    </xf>
    <xf numFmtId="0" fontId="0" fillId="0" borderId="48" xfId="0" applyBorder="1" applyAlignment="1">
      <alignment horizontal="left" vertical="center" wrapText="1" indent="1"/>
    </xf>
    <xf numFmtId="0" fontId="0" fillId="0" borderId="0" xfId="0" applyBorder="1" applyAlignment="1">
      <alignment horizontal="left" vertical="top" wrapText="1"/>
    </xf>
    <xf numFmtId="0" fontId="0" fillId="0" borderId="45" xfId="0" applyBorder="1" applyAlignment="1">
      <alignment horizontal="left" vertical="top" wrapText="1"/>
    </xf>
    <xf numFmtId="0" fontId="31" fillId="0" borderId="44" xfId="25" applyBorder="1" applyAlignment="1">
      <alignment horizontal="left" vertical="center" wrapText="1" indent="7"/>
    </xf>
    <xf numFmtId="0" fontId="31" fillId="0" borderId="0" xfId="25" applyBorder="1" applyAlignment="1">
      <alignment horizontal="left" vertical="center" wrapText="1" indent="7"/>
    </xf>
    <xf numFmtId="0" fontId="31" fillId="0" borderId="44" xfId="25" applyBorder="1" applyAlignment="1">
      <alignment horizontal="left" vertical="center" indent="7"/>
    </xf>
    <xf numFmtId="0" fontId="31" fillId="0" borderId="0" xfId="25" applyBorder="1" applyAlignment="1">
      <alignment horizontal="left" vertical="center" indent="7"/>
    </xf>
    <xf numFmtId="0" fontId="31" fillId="0" borderId="46" xfId="25" applyBorder="1" applyAlignment="1">
      <alignment horizontal="left" vertical="center" indent="7"/>
    </xf>
    <xf numFmtId="0" fontId="31" fillId="0" borderId="47" xfId="25" applyBorder="1" applyAlignment="1">
      <alignment horizontal="left" vertical="center" indent="7"/>
    </xf>
    <xf numFmtId="0" fontId="0" fillId="0" borderId="44" xfId="0" applyBorder="1" applyAlignment="1">
      <alignment horizontal="center"/>
    </xf>
    <xf numFmtId="0" fontId="0" fillId="0" borderId="0" xfId="0" applyBorder="1" applyAlignment="1">
      <alignment horizontal="center"/>
    </xf>
    <xf numFmtId="0" fontId="0" fillId="0" borderId="41" xfId="0" applyBorder="1" applyAlignment="1">
      <alignment horizontal="center" vertical="top" wrapText="1"/>
    </xf>
    <xf numFmtId="0" fontId="0" fillId="0" borderId="42" xfId="0" applyBorder="1" applyAlignment="1">
      <alignment horizontal="center" vertical="top" wrapText="1"/>
    </xf>
    <xf numFmtId="0" fontId="0" fillId="0" borderId="43" xfId="0" applyBorder="1" applyAlignment="1">
      <alignment horizontal="center" vertical="top" wrapText="1"/>
    </xf>
    <xf numFmtId="0" fontId="0" fillId="0" borderId="47" xfId="0" applyBorder="1" applyAlignment="1">
      <alignment horizontal="left" vertical="top" wrapText="1"/>
    </xf>
    <xf numFmtId="0" fontId="0" fillId="0" borderId="48" xfId="0" applyBorder="1" applyAlignment="1">
      <alignment horizontal="left" vertical="top" wrapText="1"/>
    </xf>
    <xf numFmtId="0" fontId="0" fillId="0" borderId="0" xfId="0" applyBorder="1" applyAlignment="1">
      <alignment horizontal="left" vertical="center" wrapText="1"/>
    </xf>
    <xf numFmtId="0" fontId="0" fillId="0" borderId="45" xfId="0" applyBorder="1" applyAlignment="1">
      <alignment horizontal="left" vertical="center" wrapText="1"/>
    </xf>
    <xf numFmtId="0" fontId="0" fillId="0" borderId="44" xfId="0" applyBorder="1" applyAlignment="1">
      <alignment horizontal="left" vertical="top" wrapText="1"/>
    </xf>
    <xf numFmtId="0" fontId="0" fillId="0" borderId="45" xfId="0" applyBorder="1" applyAlignment="1">
      <alignment horizontal="center"/>
    </xf>
    <xf numFmtId="0" fontId="0" fillId="0" borderId="44" xfId="0" applyBorder="1" applyAlignment="1">
      <alignment horizontal="center" vertical="top" wrapText="1"/>
    </xf>
    <xf numFmtId="0" fontId="0" fillId="0" borderId="0" xfId="0" applyBorder="1" applyAlignment="1">
      <alignment horizontal="center" vertical="top" wrapText="1"/>
    </xf>
    <xf numFmtId="0" fontId="0" fillId="0" borderId="45" xfId="0" applyBorder="1" applyAlignment="1">
      <alignment horizontal="center" vertical="top" wrapText="1"/>
    </xf>
    <xf numFmtId="0" fontId="0" fillId="0" borderId="23" xfId="0" applyBorder="1" applyAlignment="1">
      <alignment horizontal="right" vertical="top" wrapText="1" indent="1"/>
    </xf>
    <xf numFmtId="0" fontId="0" fillId="0" borderId="0" xfId="0" applyBorder="1" applyAlignment="1">
      <alignment horizontal="right" vertical="top" wrapText="1" indent="1"/>
    </xf>
    <xf numFmtId="0" fontId="0" fillId="0" borderId="23" xfId="0" applyBorder="1" applyAlignment="1">
      <alignment horizontal="left" vertical="top" wrapText="1"/>
    </xf>
    <xf numFmtId="0" fontId="0" fillId="0" borderId="29" xfId="0" applyFill="1" applyBorder="1" applyAlignment="1">
      <alignment horizontal="right" vertical="top" wrapText="1" indent="1"/>
    </xf>
    <xf numFmtId="0" fontId="0" fillId="0" borderId="25" xfId="0" applyFill="1" applyBorder="1" applyAlignment="1">
      <alignment horizontal="right" vertical="top" wrapText="1" indent="1"/>
    </xf>
    <xf numFmtId="0" fontId="0" fillId="11" borderId="30" xfId="0" applyFill="1" applyBorder="1" applyAlignment="1" applyProtection="1">
      <alignment horizontal="left" vertical="top" wrapText="1"/>
      <protection locked="0"/>
    </xf>
    <xf numFmtId="0" fontId="0" fillId="11" borderId="31" xfId="0" applyFill="1" applyBorder="1" applyAlignment="1" applyProtection="1">
      <alignment horizontal="left" vertical="top" wrapText="1"/>
      <protection locked="0"/>
    </xf>
    <xf numFmtId="0" fontId="0" fillId="0" borderId="32" xfId="0" applyBorder="1" applyAlignment="1">
      <alignment horizontal="left" vertical="top" wrapText="1"/>
    </xf>
    <xf numFmtId="0" fontId="0" fillId="0" borderId="33" xfId="0" applyBorder="1" applyAlignment="1">
      <alignment horizontal="left" vertical="top" wrapText="1"/>
    </xf>
    <xf numFmtId="0" fontId="0" fillId="11" borderId="15" xfId="0" applyFill="1" applyBorder="1" applyAlignment="1" applyProtection="1">
      <alignment horizontal="left" vertical="top" wrapText="1"/>
      <protection locked="0"/>
    </xf>
    <xf numFmtId="0" fontId="0" fillId="11" borderId="16" xfId="0" applyFill="1" applyBorder="1" applyAlignment="1" applyProtection="1">
      <alignment horizontal="left" vertical="top" wrapText="1"/>
      <protection locked="0"/>
    </xf>
    <xf numFmtId="0" fontId="0" fillId="11" borderId="17" xfId="0" applyFill="1" applyBorder="1" applyAlignment="1" applyProtection="1">
      <alignment horizontal="left" vertical="top" wrapText="1"/>
      <protection locked="0"/>
    </xf>
    <xf numFmtId="0" fontId="0" fillId="11" borderId="15" xfId="0" applyFill="1" applyBorder="1" applyAlignment="1" applyProtection="1">
      <alignment horizontal="center" vertical="top" wrapText="1"/>
      <protection locked="0"/>
    </xf>
    <xf numFmtId="0" fontId="0" fillId="11" borderId="16" xfId="0" applyFill="1" applyBorder="1" applyAlignment="1" applyProtection="1">
      <alignment horizontal="center" vertical="top" wrapText="1"/>
      <protection locked="0"/>
    </xf>
    <xf numFmtId="0" fontId="0" fillId="11" borderId="17" xfId="0" applyFill="1" applyBorder="1" applyAlignment="1" applyProtection="1">
      <alignment horizontal="center" vertical="top" wrapText="1"/>
      <protection locked="0"/>
    </xf>
    <xf numFmtId="0" fontId="0" fillId="11" borderId="34" xfId="0" applyFill="1" applyBorder="1" applyAlignment="1" applyProtection="1">
      <alignment horizontal="center" vertical="top" wrapText="1"/>
      <protection locked="0"/>
    </xf>
    <xf numFmtId="0" fontId="0" fillId="11" borderId="35" xfId="0" applyFill="1" applyBorder="1" applyAlignment="1" applyProtection="1">
      <alignment horizontal="center" vertical="top" wrapText="1"/>
      <protection locked="0"/>
    </xf>
    <xf numFmtId="0" fontId="0" fillId="11" borderId="36" xfId="0" applyFill="1" applyBorder="1" applyAlignment="1" applyProtection="1">
      <alignment horizontal="center" vertical="top" wrapText="1"/>
      <protection locked="0"/>
    </xf>
    <xf numFmtId="0" fontId="0" fillId="11" borderId="37" xfId="0" applyFill="1" applyBorder="1" applyAlignment="1" applyProtection="1">
      <alignment horizontal="center" vertical="top" wrapText="1"/>
      <protection locked="0"/>
    </xf>
    <xf numFmtId="0" fontId="0" fillId="11" borderId="0" xfId="0" applyFill="1" applyBorder="1" applyAlignment="1" applyProtection="1">
      <alignment horizontal="center" vertical="top" wrapText="1"/>
      <protection locked="0"/>
    </xf>
    <xf numFmtId="0" fontId="0" fillId="11" borderId="38" xfId="0" applyFill="1" applyBorder="1" applyAlignment="1" applyProtection="1">
      <alignment horizontal="center" vertical="top" wrapText="1"/>
      <protection locked="0"/>
    </xf>
    <xf numFmtId="0" fontId="0" fillId="11" borderId="39" xfId="0" applyFill="1" applyBorder="1" applyAlignment="1" applyProtection="1">
      <alignment horizontal="center" vertical="top" wrapText="1"/>
      <protection locked="0"/>
    </xf>
    <xf numFmtId="0" fontId="0" fillId="11" borderId="3" xfId="0" applyFill="1" applyBorder="1" applyAlignment="1" applyProtection="1">
      <alignment horizontal="center" vertical="top" wrapText="1"/>
      <protection locked="0"/>
    </xf>
    <xf numFmtId="0" fontId="0" fillId="11" borderId="40" xfId="0" applyFill="1" applyBorder="1" applyAlignment="1" applyProtection="1">
      <alignment horizontal="center" vertical="top" wrapText="1"/>
      <protection locked="0"/>
    </xf>
    <xf numFmtId="0" fontId="0" fillId="0" borderId="38" xfId="0" applyBorder="1" applyAlignment="1">
      <alignment horizontal="center" vertical="top" wrapText="1"/>
    </xf>
    <xf numFmtId="0" fontId="5" fillId="0" borderId="0" xfId="0" applyFont="1" applyFill="1" applyBorder="1" applyAlignment="1" applyProtection="1">
      <alignment horizontal="left" vertical="top"/>
    </xf>
    <xf numFmtId="0" fontId="8" fillId="7" borderId="4" xfId="3">
      <alignment horizontal="left" vertical="top" wrapText="1"/>
    </xf>
    <xf numFmtId="0" fontId="5" fillId="5" borderId="0" xfId="0" applyFont="1" applyFill="1" applyBorder="1" applyAlignment="1" applyProtection="1">
      <alignment horizontal="left" vertical="top"/>
    </xf>
    <xf numFmtId="0" fontId="5" fillId="5" borderId="0" xfId="0" applyFont="1" applyFill="1" applyBorder="1" applyAlignment="1" applyProtection="1">
      <alignment horizontal="left" vertical="top" wrapText="1"/>
    </xf>
    <xf numFmtId="0" fontId="7" fillId="9" borderId="15" xfId="7" applyBorder="1" applyProtection="1">
      <alignment horizontal="left" vertical="top" wrapText="1" shrinkToFit="1"/>
      <protection locked="0"/>
    </xf>
    <xf numFmtId="0" fontId="7" fillId="9" borderId="16" xfId="7" applyBorder="1" applyProtection="1">
      <alignment horizontal="left" vertical="top" wrapText="1" shrinkToFit="1"/>
      <protection locked="0"/>
    </xf>
    <xf numFmtId="0" fontId="7" fillId="9" borderId="17" xfId="7" applyBorder="1" applyProtection="1">
      <alignment horizontal="left" vertical="top" wrapText="1" shrinkToFit="1"/>
      <protection locked="0"/>
    </xf>
    <xf numFmtId="0" fontId="7" fillId="9" borderId="9" xfId="7" applyProtection="1">
      <alignment horizontal="left" vertical="top" wrapText="1" shrinkToFit="1"/>
      <protection locked="0"/>
    </xf>
    <xf numFmtId="0" fontId="14" fillId="6" borderId="0" xfId="2" applyFill="1" applyBorder="1" applyAlignment="1" applyProtection="1">
      <alignment horizontal="center" wrapText="1"/>
    </xf>
    <xf numFmtId="0" fontId="13" fillId="4" borderId="0" xfId="2" applyFont="1" applyFill="1" applyBorder="1" applyAlignment="1" applyProtection="1">
      <alignment horizontal="center" wrapText="1"/>
      <protection locked="0"/>
    </xf>
    <xf numFmtId="0" fontId="7" fillId="9" borderId="9" xfId="7">
      <alignment horizontal="left" vertical="top" wrapText="1" shrinkToFit="1"/>
      <protection locked="0"/>
    </xf>
    <xf numFmtId="0" fontId="7" fillId="9" borderId="15" xfId="7" applyBorder="1" applyAlignment="1" applyProtection="1">
      <alignment horizontal="left" vertical="top" wrapText="1" shrinkToFit="1"/>
      <protection locked="0"/>
    </xf>
    <xf numFmtId="0" fontId="7" fillId="9" borderId="16" xfId="7" applyBorder="1" applyAlignment="1" applyProtection="1">
      <alignment horizontal="left" vertical="top" wrapText="1" shrinkToFit="1"/>
      <protection locked="0"/>
    </xf>
    <xf numFmtId="0" fontId="7" fillId="9" borderId="17" xfId="7" applyBorder="1" applyAlignment="1" applyProtection="1">
      <alignment horizontal="left" vertical="top" wrapText="1" shrinkToFit="1"/>
      <protection locked="0"/>
    </xf>
    <xf numFmtId="0" fontId="35" fillId="14" borderId="3" xfId="28" applyBorder="1"/>
    <xf numFmtId="0" fontId="35" fillId="14" borderId="0" xfId="28" applyBorder="1"/>
  </cellXfs>
  <cellStyles count="5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7"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Heading" xfId="12"/>
    <cellStyle name="Hyperlink" xfId="17" builtinId="8" hidden="1"/>
    <cellStyle name="Hyperlink" xfId="19" builtinId="8" hidden="1"/>
    <cellStyle name="Hyperlink" xfId="21" builtinId="8" hidden="1"/>
    <cellStyle name="Hyperlink" xfId="23" builtinId="8" hidden="1"/>
    <cellStyle name="Hyperlink" xfId="25" builtinId="8"/>
    <cellStyle name="Hyperlink 2" xfId="8"/>
    <cellStyle name="Input" xfId="1" builtinId="20"/>
    <cellStyle name="Input - Date" xfId="11"/>
    <cellStyle name="Input - Date 2" xfId="13"/>
    <cellStyle name="Input - General" xfId="6"/>
    <cellStyle name="Input - Number" xfId="10"/>
    <cellStyle name="Input - Percentage" xfId="9"/>
    <cellStyle name="Input - Text" xfId="14"/>
    <cellStyle name="Input - Text 2" xfId="7"/>
    <cellStyle name="Instructions" xfId="4"/>
    <cellStyle name="Instructions 2" xfId="3"/>
    <cellStyle name="Neutral" xfId="28" builtinId="28"/>
    <cellStyle name="Normal" xfId="0" builtinId="0"/>
    <cellStyle name="Other Metric - Question" xfId="15"/>
    <cellStyle name="Output" xfId="2" builtinId="21"/>
    <cellStyle name="Question" xfId="5"/>
    <cellStyle name="Subhead" xfId="16"/>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fmlaLink="$Q$512" lockText="1"/>
</file>

<file path=xl/ctrlProps/ctrlProp2.xml><?xml version="1.0" encoding="utf-8"?>
<formControlPr xmlns="http://schemas.microsoft.com/office/spreadsheetml/2009/9/main" objectType="CheckBox" fmlaLink="$Q$274"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fmlaLink="$Q$276" lockText="1"/>
</file>

<file path=xl/ctrlProps/ctrlProp6.xml><?xml version="1.0" encoding="utf-8"?>
<formControlPr xmlns="http://schemas.microsoft.com/office/spreadsheetml/2009/9/main" objectType="CheckBox" fmlaLink="$Q$278"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fmlaLink="$Q$141" lockText="1"/>
</file>

<file path=xl/ctrlProps/ctrlProp10.xml><?xml version="1.0" encoding="utf-8"?>
<formControlPr xmlns="http://schemas.microsoft.com/office/spreadsheetml/2009/9/main" objectType="CheckBox" fmlaLink="$Q$145" lockText="1"/>
</file>

<file path=xl/ctrlProps/ctrlProp11.xml><?xml version="1.0" encoding="utf-8"?>
<formControlPr xmlns="http://schemas.microsoft.com/office/spreadsheetml/2009/9/main" objectType="CheckBox" fmlaLink="$Q$162" lockText="1"/>
</file>

<file path=xl/ctrlProps/ctrlProp12.xml><?xml version="1.0" encoding="utf-8"?>
<formControlPr xmlns="http://schemas.microsoft.com/office/spreadsheetml/2009/9/main" objectType="CheckBox" fmlaLink="$Q$168" lockText="1"/>
</file>

<file path=xl/ctrlProps/ctrlProp13.xml><?xml version="1.0" encoding="utf-8"?>
<formControlPr xmlns="http://schemas.microsoft.com/office/spreadsheetml/2009/9/main" objectType="CheckBox" fmlaLink="$Q$178"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fmlaLink="'Security Questionnaire'!$Q$34" lockText="1"/>
</file>

<file path=xl/ctrlProps/ctrlProp17.xml><?xml version="1.0" encoding="utf-8"?>
<formControlPr xmlns="http://schemas.microsoft.com/office/spreadsheetml/2009/9/main" objectType="CheckBox" fmlaLink="'Security Questionnaire'!$R$34" lockText="1"/>
</file>

<file path=xl/ctrlProps/ctrlProp18.xml><?xml version="1.0" encoding="utf-8"?>
<formControlPr xmlns="http://schemas.microsoft.com/office/spreadsheetml/2009/9/main" objectType="CheckBox" fmlaLink="'Security Questionnaire'!$S$34" lockText="1"/>
</file>

<file path=xl/ctrlProps/ctrlProp19.xml><?xml version="1.0" encoding="utf-8"?>
<formControlPr xmlns="http://schemas.microsoft.com/office/spreadsheetml/2009/9/main" objectType="CheckBox" fmlaLink="'Security Questionnaire'!$T$34" lockText="1"/>
</file>

<file path=xl/ctrlProps/ctrlProp20.xml><?xml version="1.0" encoding="utf-8"?>
<formControlPr xmlns="http://schemas.microsoft.com/office/spreadsheetml/2009/9/main" objectType="CheckBox" fmlaLink="'Security Questionnaire'!$U$34" lockText="1"/>
</file>

<file path=xl/ctrlProps/ctrlProp21.xml><?xml version="1.0" encoding="utf-8"?>
<formControlPr xmlns="http://schemas.microsoft.com/office/spreadsheetml/2009/9/main" objectType="CheckBox" fmlaLink="$Q$280"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fmlaLink="$Q$97" lockText="1"/>
</file>

<file path=xl/ctrlProps/ctrlProp33.xml><?xml version="1.0" encoding="utf-8"?>
<formControlPr xmlns="http://schemas.microsoft.com/office/spreadsheetml/2009/9/main" objectType="CheckBox" fmlaLink="#REF!" lockText="1"/>
</file>

<file path=xl/ctrlProps/ctrlProp34.xml><?xml version="1.0" encoding="utf-8"?>
<formControlPr xmlns="http://schemas.microsoft.com/office/spreadsheetml/2009/9/main" objectType="CheckBox" fmlaLink="$Q$476" lockText="1"/>
</file>

<file path=xl/ctrlProps/ctrlProp35.xml><?xml version="1.0" encoding="utf-8"?>
<formControlPr xmlns="http://schemas.microsoft.com/office/spreadsheetml/2009/9/main" objectType="CheckBox" fmlaLink="$Q$89" lockText="1"/>
</file>

<file path=xl/ctrlProps/ctrlProp36.xml><?xml version="1.0" encoding="utf-8"?>
<formControlPr xmlns="http://schemas.microsoft.com/office/spreadsheetml/2009/9/main" objectType="CheckBox" fmlaLink="$Q$201" lockText="1"/>
</file>

<file path=xl/ctrlProps/ctrlProp37.xml><?xml version="1.0" encoding="utf-8"?>
<formControlPr xmlns="http://schemas.microsoft.com/office/spreadsheetml/2009/9/main" objectType="CheckBox" fmlaLink="$Q$221"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fmlaLink="$Q$386" lockText="1"/>
</file>

<file path=xl/ctrlProps/ctrlProp40.xml><?xml version="1.0" encoding="utf-8"?>
<formControlPr xmlns="http://schemas.microsoft.com/office/spreadsheetml/2009/9/main" objectType="CheckBox" fmlaLink="$Q$315" lockText="1"/>
</file>

<file path=xl/ctrlProps/ctrlProp41.xml><?xml version="1.0" encoding="utf-8"?>
<formControlPr xmlns="http://schemas.microsoft.com/office/spreadsheetml/2009/9/main" objectType="CheckBox" fmlaLink="$Q$231"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lockText="1"/>
</file>

<file path=xl/ctrlProps/ctrlProp69.xml><?xml version="1.0" encoding="utf-8"?>
<formControlPr xmlns="http://schemas.microsoft.com/office/spreadsheetml/2009/9/main" objectType="CheckBox"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lockText="1"/>
</file>

<file path=xl/ctrlProps/ctrlProp83.xml><?xml version="1.0" encoding="utf-8"?>
<formControlPr xmlns="http://schemas.microsoft.com/office/spreadsheetml/2009/9/main" objectType="CheckBox" lockText="1"/>
</file>

<file path=xl/ctrlProps/ctrlProp84.xml><?xml version="1.0" encoding="utf-8"?>
<formControlPr xmlns="http://schemas.microsoft.com/office/spreadsheetml/2009/9/main" objectType="CheckBox" lockText="1"/>
</file>

<file path=xl/ctrlProps/ctrlProp85.xml><?xml version="1.0" encoding="utf-8"?>
<formControlPr xmlns="http://schemas.microsoft.com/office/spreadsheetml/2009/9/main" objectType="CheckBox" lockText="1"/>
</file>

<file path=xl/ctrlProps/ctrlProp86.xml><?xml version="1.0" encoding="utf-8"?>
<formControlPr xmlns="http://schemas.microsoft.com/office/spreadsheetml/2009/9/main" objectType="CheckBox" lockText="1"/>
</file>

<file path=xl/ctrlProps/ctrlProp87.xml><?xml version="1.0" encoding="utf-8"?>
<formControlPr xmlns="http://schemas.microsoft.com/office/spreadsheetml/2009/9/main" objectType="CheckBox" lockText="1"/>
</file>

<file path=xl/ctrlProps/ctrlProp88.xml><?xml version="1.0" encoding="utf-8"?>
<formControlPr xmlns="http://schemas.microsoft.com/office/spreadsheetml/2009/9/main" objectType="CheckBox" lockText="1"/>
</file>

<file path=xl/ctrlProps/ctrlProp89.xml><?xml version="1.0" encoding="utf-8"?>
<formControlPr xmlns="http://schemas.microsoft.com/office/spreadsheetml/2009/9/main" objectType="CheckBox" lockText="1"/>
</file>

<file path=xl/ctrlProps/ctrlProp90.xml><?xml version="1.0" encoding="utf-8"?>
<formControlPr xmlns="http://schemas.microsoft.com/office/spreadsheetml/2009/9/main" objectType="CheckBox" lockText="1"/>
</file>

<file path=xl/ctrlProps/ctrlProp91.xml><?xml version="1.0" encoding="utf-8"?>
<formControlPr xmlns="http://schemas.microsoft.com/office/spreadsheetml/2009/9/main" objectType="CheckBox" lockText="1"/>
</file>

<file path=xl/ctrlProps/ctrlProp92.xml><?xml version="1.0" encoding="utf-8"?>
<formControlPr xmlns="http://schemas.microsoft.com/office/spreadsheetml/2009/9/main" objectType="CheckBox" lockText="1"/>
</file>

<file path=xl/ctrlProps/ctrlProp93.xml><?xml version="1.0" encoding="utf-8"?>
<formControlPr xmlns="http://schemas.microsoft.com/office/spreadsheetml/2009/9/main" objectType="CheckBox" lockText="1"/>
</file>

<file path=xl/ctrlProps/ctrlProp94.xml><?xml version="1.0" encoding="utf-8"?>
<formControlPr xmlns="http://schemas.microsoft.com/office/spreadsheetml/2009/9/main" objectType="CheckBox" lockText="1"/>
</file>

<file path=xl/ctrlProps/ctrlProp95.xml><?xml version="1.0" encoding="utf-8"?>
<formControlPr xmlns="http://schemas.microsoft.com/office/spreadsheetml/2009/9/main" objectType="CheckBox" lockText="1"/>
</file>

<file path=xl/ctrlProps/ctrlProp96.xml><?xml version="1.0" encoding="utf-8"?>
<formControlPr xmlns="http://schemas.microsoft.com/office/spreadsheetml/2009/9/main" objectType="CheckBox" lockText="1"/>
</file>

<file path=xl/ctrlProps/ctrlProp97.xml><?xml version="1.0" encoding="utf-8"?>
<formControlPr xmlns="http://schemas.microsoft.com/office/spreadsheetml/2009/9/main" objectType="CheckBox" lockText="1"/>
</file>

<file path=xl/ctrlProps/ctrlProp98.xml><?xml version="1.0" encoding="utf-8"?>
<formControlPr xmlns="http://schemas.microsoft.com/office/spreadsheetml/2009/9/main" objectType="CheckBox" lockText="1"/>
</file>

<file path=xl/ctrlProps/ctrlProp99.xml><?xml version="1.0" encoding="utf-8"?>
<formControlPr xmlns="http://schemas.microsoft.com/office/spreadsheetml/2009/9/main" objectType="CheckBox" lockText="1"/>
</file>

<file path=xl/ctrlProps/ctrlProp100.xml><?xml version="1.0" encoding="utf-8"?>
<formControlPr xmlns="http://schemas.microsoft.com/office/spreadsheetml/2009/9/main" objectType="CheckBox" lockText="1"/>
</file>

<file path=xl/ctrlProps/ctrlProp101.xml><?xml version="1.0" encoding="utf-8"?>
<formControlPr xmlns="http://schemas.microsoft.com/office/spreadsheetml/2009/9/main" objectType="CheckBox" lockText="1"/>
</file>

<file path=xl/ctrlProps/ctrlProp102.xml><?xml version="1.0" encoding="utf-8"?>
<formControlPr xmlns="http://schemas.microsoft.com/office/spreadsheetml/2009/9/main" objectType="CheckBox" lockText="1"/>
</file>

<file path=xl/ctrlProps/ctrlProp103.xml><?xml version="1.0" encoding="utf-8"?>
<formControlPr xmlns="http://schemas.microsoft.com/office/spreadsheetml/2009/9/main" objectType="CheckBox" lockText="1"/>
</file>

<file path=xl/ctrlProps/ctrlProp104.xml><?xml version="1.0" encoding="utf-8"?>
<formControlPr xmlns="http://schemas.microsoft.com/office/spreadsheetml/2009/9/main" objectType="CheckBox" lockText="1"/>
</file>

<file path=xl/ctrlProps/ctrlProp105.xml><?xml version="1.0" encoding="utf-8"?>
<formControlPr xmlns="http://schemas.microsoft.com/office/spreadsheetml/2009/9/main" objectType="CheckBox" lockText="1"/>
</file>

<file path=xl/ctrlProps/ctrlProp106.xml><?xml version="1.0" encoding="utf-8"?>
<formControlPr xmlns="http://schemas.microsoft.com/office/spreadsheetml/2009/9/main" objectType="CheckBox" lockText="1"/>
</file>

<file path=xl/ctrlProps/ctrlProp107.xml><?xml version="1.0" encoding="utf-8"?>
<formControlPr xmlns="http://schemas.microsoft.com/office/spreadsheetml/2009/9/main" objectType="CheckBox" lockText="1"/>
</file>

<file path=xl/ctrlProps/ctrlProp108.xml><?xml version="1.0" encoding="utf-8"?>
<formControlPr xmlns="http://schemas.microsoft.com/office/spreadsheetml/2009/9/main" objectType="CheckBox" lockText="1"/>
</file>

<file path=xl/ctrlProps/ctrlProp109.xml><?xml version="1.0" encoding="utf-8"?>
<formControlPr xmlns="http://schemas.microsoft.com/office/spreadsheetml/2009/9/main" objectType="CheckBox" lockText="1"/>
</file>

<file path=xl/ctrlProps/ctrlProp110.xml><?xml version="1.0" encoding="utf-8"?>
<formControlPr xmlns="http://schemas.microsoft.com/office/spreadsheetml/2009/9/main" objectType="CheckBox" lockText="1"/>
</file>

<file path=xl/ctrlProps/ctrlProp111.xml><?xml version="1.0" encoding="utf-8"?>
<formControlPr xmlns="http://schemas.microsoft.com/office/spreadsheetml/2009/9/main" objectType="CheckBox" lockText="1"/>
</file>

<file path=xl/ctrlProps/ctrlProp112.xml><?xml version="1.0" encoding="utf-8"?>
<formControlPr xmlns="http://schemas.microsoft.com/office/spreadsheetml/2009/9/main" objectType="CheckBox" lockText="1"/>
</file>

<file path=xl/ctrlProps/ctrlProp113.xml><?xml version="1.0" encoding="utf-8"?>
<formControlPr xmlns="http://schemas.microsoft.com/office/spreadsheetml/2009/9/main" objectType="CheckBox" lockText="1"/>
</file>

<file path=xl/ctrlProps/ctrlProp114.xml><?xml version="1.0" encoding="utf-8"?>
<formControlPr xmlns="http://schemas.microsoft.com/office/spreadsheetml/2009/9/main" objectType="CheckBox" lockText="1"/>
</file>

<file path=xl/ctrlProps/ctrlProp115.xml><?xml version="1.0" encoding="utf-8"?>
<formControlPr xmlns="http://schemas.microsoft.com/office/spreadsheetml/2009/9/main" objectType="CheckBox" lockText="1"/>
</file>

<file path=xl/ctrlProps/ctrlProp116.xml><?xml version="1.0" encoding="utf-8"?>
<formControlPr xmlns="http://schemas.microsoft.com/office/spreadsheetml/2009/9/main" objectType="CheckBox" lockText="1"/>
</file>

<file path=xl/ctrlProps/ctrlProp117.xml><?xml version="1.0" encoding="utf-8"?>
<formControlPr xmlns="http://schemas.microsoft.com/office/spreadsheetml/2009/9/main" objectType="CheckBox" lockText="1"/>
</file>

<file path=xl/ctrlProps/ctrlProp118.xml><?xml version="1.0" encoding="utf-8"?>
<formControlPr xmlns="http://schemas.microsoft.com/office/spreadsheetml/2009/9/main" objectType="CheckBox" lockText="1"/>
</file>

<file path=xl/ctrlProps/ctrlProp119.xml><?xml version="1.0" encoding="utf-8"?>
<formControlPr xmlns="http://schemas.microsoft.com/office/spreadsheetml/2009/9/main" objectType="CheckBox" lockText="1"/>
</file>

<file path=xl/ctrlProps/ctrlProp120.xml><?xml version="1.0" encoding="utf-8"?>
<formControlPr xmlns="http://schemas.microsoft.com/office/spreadsheetml/2009/9/main" objectType="CheckBox" lockText="1"/>
</file>

<file path=xl/ctrlProps/ctrlProp121.xml><?xml version="1.0" encoding="utf-8"?>
<formControlPr xmlns="http://schemas.microsoft.com/office/spreadsheetml/2009/9/main" objectType="CheckBox" lockText="1"/>
</file>

<file path=xl/ctrlProps/ctrlProp122.xml><?xml version="1.0" encoding="utf-8"?>
<formControlPr xmlns="http://schemas.microsoft.com/office/spreadsheetml/2009/9/main" objectType="CheckBox" lockText="1"/>
</file>

<file path=xl/ctrlProps/ctrlProp123.xml><?xml version="1.0" encoding="utf-8"?>
<formControlPr xmlns="http://schemas.microsoft.com/office/spreadsheetml/2009/9/main" objectType="CheckBox" lockText="1"/>
</file>

<file path=xl/ctrlProps/ctrlProp124.xml><?xml version="1.0" encoding="utf-8"?>
<formControlPr xmlns="http://schemas.microsoft.com/office/spreadsheetml/2009/9/main" objectType="CheckBox" lockText="1"/>
</file>

<file path=xl/ctrlProps/ctrlProp125.xml><?xml version="1.0" encoding="utf-8"?>
<formControlPr xmlns="http://schemas.microsoft.com/office/spreadsheetml/2009/9/main" objectType="CheckBox" lockText="1"/>
</file>

<file path=xl/ctrlProps/ctrlProp126.xml><?xml version="1.0" encoding="utf-8"?>
<formControlPr xmlns="http://schemas.microsoft.com/office/spreadsheetml/2009/9/main" objectType="CheckBox" lockText="1"/>
</file>

<file path=xl/ctrlProps/ctrlProp127.xml><?xml version="1.0" encoding="utf-8"?>
<formControlPr xmlns="http://schemas.microsoft.com/office/spreadsheetml/2009/9/main" objectType="CheckBox" lockText="1"/>
</file>

<file path=xl/ctrlProps/ctrlProp128.xml><?xml version="1.0" encoding="utf-8"?>
<formControlPr xmlns="http://schemas.microsoft.com/office/spreadsheetml/2009/9/main" objectType="CheckBox" lockText="1"/>
</file>

<file path=xl/ctrlProps/ctrlProp129.xml><?xml version="1.0" encoding="utf-8"?>
<formControlPr xmlns="http://schemas.microsoft.com/office/spreadsheetml/2009/9/main" objectType="CheckBox" lockText="1"/>
</file>

<file path=xl/ctrlProps/ctrlProp130.xml><?xml version="1.0" encoding="utf-8"?>
<formControlPr xmlns="http://schemas.microsoft.com/office/spreadsheetml/2009/9/main" objectType="CheckBox" lockText="1"/>
</file>

<file path=xl/ctrlProps/ctrlProp131.xml><?xml version="1.0" encoding="utf-8"?>
<formControlPr xmlns="http://schemas.microsoft.com/office/spreadsheetml/2009/9/main" objectType="CheckBox" lockText="1"/>
</file>

<file path=xl/ctrlProps/ctrlProp132.xml><?xml version="1.0" encoding="utf-8"?>
<formControlPr xmlns="http://schemas.microsoft.com/office/spreadsheetml/2009/9/main" objectType="CheckBox" lockText="1"/>
</file>

<file path=xl/ctrlProps/ctrlProp133.xml><?xml version="1.0" encoding="utf-8"?>
<formControlPr xmlns="http://schemas.microsoft.com/office/spreadsheetml/2009/9/main" objectType="CheckBox" lockText="1"/>
</file>

<file path=xl/ctrlProps/ctrlProp134.xml><?xml version="1.0" encoding="utf-8"?>
<formControlPr xmlns="http://schemas.microsoft.com/office/spreadsheetml/2009/9/main" objectType="CheckBox" lockText="1"/>
</file>

<file path=xl/ctrlProps/ctrlProp135.xml><?xml version="1.0" encoding="utf-8"?>
<formControlPr xmlns="http://schemas.microsoft.com/office/spreadsheetml/2009/9/main" objectType="CheckBox" lockText="1"/>
</file>

<file path=xl/ctrlProps/ctrlProp136.xml><?xml version="1.0" encoding="utf-8"?>
<formControlPr xmlns="http://schemas.microsoft.com/office/spreadsheetml/2009/9/main" objectType="CheckBox" lockText="1"/>
</file>

<file path=xl/ctrlProps/ctrlProp137.xml><?xml version="1.0" encoding="utf-8"?>
<formControlPr xmlns="http://schemas.microsoft.com/office/spreadsheetml/2009/9/main" objectType="CheckBox" lockText="1"/>
</file>

<file path=xl/ctrlProps/ctrlProp138.xml><?xml version="1.0" encoding="utf-8"?>
<formControlPr xmlns="http://schemas.microsoft.com/office/spreadsheetml/2009/9/main" objectType="CheckBox" lockText="1"/>
</file>

<file path=xl/ctrlProps/ctrlProp139.xml><?xml version="1.0" encoding="utf-8"?>
<formControlPr xmlns="http://schemas.microsoft.com/office/spreadsheetml/2009/9/main" objectType="CheckBox" lockText="1"/>
</file>

<file path=xl/ctrlProps/ctrlProp140.xml><?xml version="1.0" encoding="utf-8"?>
<formControlPr xmlns="http://schemas.microsoft.com/office/spreadsheetml/2009/9/main" objectType="CheckBox" lockText="1"/>
</file>

<file path=xl/ctrlProps/ctrlProp141.xml><?xml version="1.0" encoding="utf-8"?>
<formControlPr xmlns="http://schemas.microsoft.com/office/spreadsheetml/2009/9/main" objectType="CheckBox" lockText="1"/>
</file>

<file path=xl/ctrlProps/ctrlProp142.xml><?xml version="1.0" encoding="utf-8"?>
<formControlPr xmlns="http://schemas.microsoft.com/office/spreadsheetml/2009/9/main" objectType="CheckBox" lockText="1"/>
</file>

<file path=xl/ctrlProps/ctrlProp143.xml><?xml version="1.0" encoding="utf-8"?>
<formControlPr xmlns="http://schemas.microsoft.com/office/spreadsheetml/2009/9/main" objectType="CheckBox" lockText="1"/>
</file>

<file path=xl/ctrlProps/ctrlProp144.xml><?xml version="1.0" encoding="utf-8"?>
<formControlPr xmlns="http://schemas.microsoft.com/office/spreadsheetml/2009/9/main" objectType="CheckBox" lockText="1"/>
</file>

<file path=xl/ctrlProps/ctrlProp145.xml><?xml version="1.0" encoding="utf-8"?>
<formControlPr xmlns="http://schemas.microsoft.com/office/spreadsheetml/2009/9/main" objectType="CheckBox" lockText="1"/>
</file>

<file path=xl/ctrlProps/ctrlProp146.xml><?xml version="1.0" encoding="utf-8"?>
<formControlPr xmlns="http://schemas.microsoft.com/office/spreadsheetml/2009/9/main" objectType="CheckBox" lockText="1"/>
</file>

<file path=xl/ctrlProps/ctrlProp147.xml><?xml version="1.0" encoding="utf-8"?>
<formControlPr xmlns="http://schemas.microsoft.com/office/spreadsheetml/2009/9/main" objectType="CheckBox" lockText="1"/>
</file>

<file path=xl/ctrlProps/ctrlProp148.xml><?xml version="1.0" encoding="utf-8"?>
<formControlPr xmlns="http://schemas.microsoft.com/office/spreadsheetml/2009/9/main" objectType="CheckBox" lockText="1"/>
</file>

<file path=xl/ctrlProps/ctrlProp149.xml><?xml version="1.0" encoding="utf-8"?>
<formControlPr xmlns="http://schemas.microsoft.com/office/spreadsheetml/2009/9/main" objectType="CheckBox"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CheckBox" lockText="1"/>
</file>

<file path=xl/ctrlProps/ctrlProp163.xml><?xml version="1.0" encoding="utf-8"?>
<formControlPr xmlns="http://schemas.microsoft.com/office/spreadsheetml/2009/9/main" objectType="CheckBox" lockText="1"/>
</file>

<file path=xl/ctrlProps/ctrlProp164.xml><?xml version="1.0" encoding="utf-8"?>
<formControlPr xmlns="http://schemas.microsoft.com/office/spreadsheetml/2009/9/main" objectType="CheckBox" lockText="1"/>
</file>

<file path=xl/ctrlProps/ctrlProp165.xml><?xml version="1.0" encoding="utf-8"?>
<formControlPr xmlns="http://schemas.microsoft.com/office/spreadsheetml/2009/9/main" objectType="CheckBox" lockText="1"/>
</file>

<file path=xl/ctrlProps/ctrlProp166.xml><?xml version="1.0" encoding="utf-8"?>
<formControlPr xmlns="http://schemas.microsoft.com/office/spreadsheetml/2009/9/main" objectType="CheckBox" lockText="1"/>
</file>

<file path=xl/ctrlProps/ctrlProp167.xml><?xml version="1.0" encoding="utf-8"?>
<formControlPr xmlns="http://schemas.microsoft.com/office/spreadsheetml/2009/9/main" objectType="CheckBox" lockText="1"/>
</file>

<file path=xl/ctrlProps/ctrlProp168.xml><?xml version="1.0" encoding="utf-8"?>
<formControlPr xmlns="http://schemas.microsoft.com/office/spreadsheetml/2009/9/main" objectType="CheckBox" lockText="1"/>
</file>

<file path=xl/ctrlProps/ctrlProp169.xml><?xml version="1.0" encoding="utf-8"?>
<formControlPr xmlns="http://schemas.microsoft.com/office/spreadsheetml/2009/9/main" objectType="CheckBox" lockText="1"/>
</file>

<file path=xl/ctrlProps/ctrlProp170.xml><?xml version="1.0" encoding="utf-8"?>
<formControlPr xmlns="http://schemas.microsoft.com/office/spreadsheetml/2009/9/main" objectType="CheckBox" lockText="1"/>
</file>

<file path=xl/ctrlProps/ctrlProp171.xml><?xml version="1.0" encoding="utf-8"?>
<formControlPr xmlns="http://schemas.microsoft.com/office/spreadsheetml/2009/9/main" objectType="CheckBox" lockText="1"/>
</file>

<file path=xl/ctrlProps/ctrlProp172.xml><?xml version="1.0" encoding="utf-8"?>
<formControlPr xmlns="http://schemas.microsoft.com/office/spreadsheetml/2009/9/main" objectType="CheckBox" lockText="1"/>
</file>

<file path=xl/ctrlProps/ctrlProp173.xml><?xml version="1.0" encoding="utf-8"?>
<formControlPr xmlns="http://schemas.microsoft.com/office/spreadsheetml/2009/9/main" objectType="CheckBox"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lockText="1"/>
</file>

<file path=xl/ctrlProps/ctrlProp239.xml><?xml version="1.0" encoding="utf-8"?>
<formControlPr xmlns="http://schemas.microsoft.com/office/spreadsheetml/2009/9/main" objectType="CheckBox"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lockText="1"/>
</file>

<file path=xl/ctrlProps/ctrlProp260.xml><?xml version="1.0" encoding="utf-8"?>
<formControlPr xmlns="http://schemas.microsoft.com/office/spreadsheetml/2009/9/main" objectType="CheckBox" lockText="1"/>
</file>

<file path=xl/ctrlProps/ctrlProp261.xml><?xml version="1.0" encoding="utf-8"?>
<formControlPr xmlns="http://schemas.microsoft.com/office/spreadsheetml/2009/9/main" objectType="CheckBox"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lockText="1"/>
</file>

<file path=xl/ctrlProps/ctrlProp279.xml><?xml version="1.0" encoding="utf-8"?>
<formControlPr xmlns="http://schemas.microsoft.com/office/spreadsheetml/2009/9/main" objectType="CheckBox"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lockText="1"/>
</file>

<file path=xl/ctrlProps/ctrlProp287.xml><?xml version="1.0" encoding="utf-8"?>
<formControlPr xmlns="http://schemas.microsoft.com/office/spreadsheetml/2009/9/main" objectType="CheckBox"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lockText="1"/>
</file>

<file path=xl/ctrlProps/ctrlProp299.xml><?xml version="1.0" encoding="utf-8"?>
<formControlPr xmlns="http://schemas.microsoft.com/office/spreadsheetml/2009/9/main" objectType="CheckBox"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254000</xdr:colOff>
      <xdr:row>0</xdr:row>
      <xdr:rowOff>0</xdr:rowOff>
    </xdr:from>
    <xdr:to>
      <xdr:col>4</xdr:col>
      <xdr:colOff>51852</xdr:colOff>
      <xdr:row>8</xdr:row>
      <xdr:rowOff>165100</xdr:rowOff>
    </xdr:to>
    <xdr:pic>
      <xdr:nvPicPr>
        <xdr:cNvPr id="2" name="Picture 1"/>
        <xdr:cNvPicPr>
          <a:picLocks noChangeAspect="1"/>
        </xdr:cNvPicPr>
      </xdr:nvPicPr>
      <xdr:blipFill>
        <a:blip xmlns:r="http://schemas.openxmlformats.org/officeDocument/2006/relationships" r:embed="rId1"/>
        <a:stretch>
          <a:fillRect/>
        </a:stretch>
      </xdr:blipFill>
      <xdr:spPr>
        <a:xfrm>
          <a:off x="254000" y="0"/>
          <a:ext cx="3099852" cy="1587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57151</xdr:colOff>
      <xdr:row>142</xdr:row>
      <xdr:rowOff>371475</xdr:rowOff>
    </xdr:from>
    <xdr:to>
      <xdr:col>4</xdr:col>
      <xdr:colOff>2076451</xdr:colOff>
      <xdr:row>142</xdr:row>
      <xdr:rowOff>704850</xdr:rowOff>
    </xdr:to>
    <xdr:sp macro="" textlink="">
      <xdr:nvSpPr>
        <xdr:cNvPr id="2" name="TextBox 1"/>
        <xdr:cNvSpPr txBox="1"/>
      </xdr:nvSpPr>
      <xdr:spPr>
        <a:xfrm>
          <a:off x="908051" y="30089475"/>
          <a:ext cx="20193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19050</xdr:colOff>
      <xdr:row>230</xdr:row>
      <xdr:rowOff>371475</xdr:rowOff>
    </xdr:from>
    <xdr:to>
      <xdr:col>4</xdr:col>
      <xdr:colOff>1381125</xdr:colOff>
      <xdr:row>230</xdr:row>
      <xdr:rowOff>704850</xdr:rowOff>
    </xdr:to>
    <xdr:sp macro="" textlink="">
      <xdr:nvSpPr>
        <xdr:cNvPr id="3" name="TextBox 2"/>
        <xdr:cNvSpPr txBox="1"/>
      </xdr:nvSpPr>
      <xdr:spPr>
        <a:xfrm>
          <a:off x="869950" y="47320200"/>
          <a:ext cx="136207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xdr:col>
      <xdr:colOff>142875</xdr:colOff>
      <xdr:row>200</xdr:row>
      <xdr:rowOff>371475</xdr:rowOff>
    </xdr:from>
    <xdr:to>
      <xdr:col>4</xdr:col>
      <xdr:colOff>1352550</xdr:colOff>
      <xdr:row>200</xdr:row>
      <xdr:rowOff>704850</xdr:rowOff>
    </xdr:to>
    <xdr:sp macro="" textlink="">
      <xdr:nvSpPr>
        <xdr:cNvPr id="4" name="TextBox 3"/>
        <xdr:cNvSpPr txBox="1"/>
      </xdr:nvSpPr>
      <xdr:spPr>
        <a:xfrm>
          <a:off x="815975" y="43624500"/>
          <a:ext cx="138747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0</xdr:colOff>
      <xdr:row>167</xdr:row>
      <xdr:rowOff>180975</xdr:rowOff>
    </xdr:from>
    <xdr:to>
      <xdr:col>4</xdr:col>
      <xdr:colOff>1362075</xdr:colOff>
      <xdr:row>167</xdr:row>
      <xdr:rowOff>514350</xdr:rowOff>
    </xdr:to>
    <xdr:sp macro="" textlink="">
      <xdr:nvSpPr>
        <xdr:cNvPr id="5" name="TextBox 4"/>
        <xdr:cNvSpPr txBox="1"/>
      </xdr:nvSpPr>
      <xdr:spPr>
        <a:xfrm>
          <a:off x="850900" y="37414200"/>
          <a:ext cx="136207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9524</xdr:colOff>
      <xdr:row>96</xdr:row>
      <xdr:rowOff>371469</xdr:rowOff>
    </xdr:from>
    <xdr:to>
      <xdr:col>4</xdr:col>
      <xdr:colOff>1371599</xdr:colOff>
      <xdr:row>96</xdr:row>
      <xdr:rowOff>704844</xdr:rowOff>
    </xdr:to>
    <xdr:sp macro="" textlink="">
      <xdr:nvSpPr>
        <xdr:cNvPr id="6" name="TextBox 5"/>
        <xdr:cNvSpPr txBox="1"/>
      </xdr:nvSpPr>
      <xdr:spPr>
        <a:xfrm>
          <a:off x="860424" y="19735800"/>
          <a:ext cx="136207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4813</xdr:colOff>
      <xdr:row>33</xdr:row>
      <xdr:rowOff>24846</xdr:rowOff>
    </xdr:from>
    <xdr:to>
      <xdr:col>6</xdr:col>
      <xdr:colOff>1234966</xdr:colOff>
      <xdr:row>33</xdr:row>
      <xdr:rowOff>1359776</xdr:rowOff>
    </xdr:to>
    <xdr:grpSp>
      <xdr:nvGrpSpPr>
        <xdr:cNvPr id="7" name="Group 6"/>
        <xdr:cNvGrpSpPr/>
      </xdr:nvGrpSpPr>
      <xdr:grpSpPr>
        <a:xfrm>
          <a:off x="4405363" y="3530046"/>
          <a:ext cx="1230153" cy="1334930"/>
          <a:chOff x="2967088" y="910671"/>
          <a:chExt cx="1230153" cy="1334930"/>
        </a:xfrm>
      </xdr:grpSpPr>
      <xdr:sp macro="" textlink="">
        <xdr:nvSpPr>
          <xdr:cNvPr id="8" name="TextBox 7"/>
          <xdr:cNvSpPr txBox="1"/>
        </xdr:nvSpPr>
        <xdr:spPr>
          <a:xfrm>
            <a:off x="2980417" y="910671"/>
            <a:ext cx="1172627"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HITRUST CSF</a:t>
            </a:r>
            <a:r>
              <a:rPr lang="en-US" sz="1100" baseline="0"/>
              <a:t> </a:t>
            </a:r>
            <a:r>
              <a:rPr lang="en-US" sz="1100" baseline="0">
                <a:latin typeface="Arial"/>
                <a:cs typeface="Arial"/>
              </a:rPr>
              <a:t>►</a:t>
            </a:r>
            <a:endParaRPr lang="en-US" sz="1100"/>
          </a:p>
        </xdr:txBody>
      </xdr:sp>
      <xdr:sp macro="" textlink="">
        <xdr:nvSpPr>
          <xdr:cNvPr id="9" name="TextBox 8"/>
          <xdr:cNvSpPr txBox="1"/>
        </xdr:nvSpPr>
        <xdr:spPr>
          <a:xfrm>
            <a:off x="2967088" y="1137615"/>
            <a:ext cx="1167848"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           </a:t>
            </a:r>
            <a:r>
              <a:rPr lang="en-US" sz="1100" baseline="0"/>
              <a:t> </a:t>
            </a:r>
            <a:r>
              <a:rPr lang="en-US" sz="1100"/>
              <a:t>HIPAA </a:t>
            </a:r>
            <a:r>
              <a:rPr lang="en-US" sz="1100" baseline="0">
                <a:latin typeface="Arial"/>
                <a:cs typeface="Arial"/>
              </a:rPr>
              <a:t>►</a:t>
            </a:r>
            <a:endParaRPr lang="en-US" sz="1100"/>
          </a:p>
        </xdr:txBody>
      </xdr:sp>
      <xdr:sp macro="" textlink="">
        <xdr:nvSpPr>
          <xdr:cNvPr id="10" name="TextBox 9"/>
          <xdr:cNvSpPr txBox="1"/>
        </xdr:nvSpPr>
        <xdr:spPr>
          <a:xfrm>
            <a:off x="2970549" y="1341369"/>
            <a:ext cx="1167848"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     ISO 27002 </a:t>
            </a:r>
            <a:r>
              <a:rPr lang="en-US" sz="1100" baseline="0">
                <a:latin typeface="Arial"/>
                <a:cs typeface="Arial"/>
              </a:rPr>
              <a:t>►</a:t>
            </a:r>
            <a:endParaRPr lang="en-US" sz="1100"/>
          </a:p>
        </xdr:txBody>
      </xdr:sp>
      <xdr:sp macro="" textlink="">
        <xdr:nvSpPr>
          <xdr:cNvPr id="11" name="TextBox 10"/>
          <xdr:cNvSpPr txBox="1"/>
        </xdr:nvSpPr>
        <xdr:spPr>
          <a:xfrm>
            <a:off x="2970557" y="1564996"/>
            <a:ext cx="1167848"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              </a:t>
            </a:r>
            <a:r>
              <a:rPr lang="en-US" sz="1100" baseline="0"/>
              <a:t> </a:t>
            </a:r>
            <a:r>
              <a:rPr lang="en-US" sz="1100"/>
              <a:t>NIST </a:t>
            </a:r>
            <a:r>
              <a:rPr lang="en-US" sz="1100" baseline="0">
                <a:latin typeface="Arial"/>
                <a:cs typeface="Arial"/>
              </a:rPr>
              <a:t>►</a:t>
            </a:r>
            <a:endParaRPr lang="en-US" sz="1100"/>
          </a:p>
        </xdr:txBody>
      </xdr:sp>
      <xdr:sp macro="" textlink="">
        <xdr:nvSpPr>
          <xdr:cNvPr id="12" name="TextBox 11"/>
          <xdr:cNvSpPr txBox="1"/>
        </xdr:nvSpPr>
        <xdr:spPr>
          <a:xfrm>
            <a:off x="3369553" y="1788065"/>
            <a:ext cx="827688" cy="457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aseline="0"/>
              <a:t>Other </a:t>
            </a:r>
            <a:r>
              <a:rPr lang="en-US" sz="1100" baseline="0">
                <a:latin typeface="Arial"/>
                <a:cs typeface="Arial"/>
              </a:rPr>
              <a:t>► </a:t>
            </a:r>
          </a:p>
          <a:p>
            <a:r>
              <a:rPr lang="en-US" sz="1100" baseline="0">
                <a:latin typeface="+mn-lt"/>
                <a:cs typeface="Arial"/>
              </a:rPr>
              <a:t>(comment)</a:t>
            </a:r>
            <a:endParaRPr lang="en-US" sz="1100">
              <a:latin typeface="+mn-lt"/>
            </a:endParaRPr>
          </a:p>
        </xdr:txBody>
      </xdr:sp>
    </xdr:grpSp>
    <xdr:clientData/>
  </xdr:twoCellAnchor>
  <xdr:twoCellAnchor>
    <xdr:from>
      <xdr:col>6</xdr:col>
      <xdr:colOff>514350</xdr:colOff>
      <xdr:row>182</xdr:row>
      <xdr:rowOff>0</xdr:rowOff>
    </xdr:from>
    <xdr:to>
      <xdr:col>6</xdr:col>
      <xdr:colOff>1229777</xdr:colOff>
      <xdr:row>182</xdr:row>
      <xdr:rowOff>0</xdr:rowOff>
    </xdr:to>
    <xdr:sp macro="" textlink="">
      <xdr:nvSpPr>
        <xdr:cNvPr id="13" name="TextBox 12"/>
        <xdr:cNvSpPr txBox="1"/>
      </xdr:nvSpPr>
      <xdr:spPr>
        <a:xfrm>
          <a:off x="5734050" y="39090600"/>
          <a:ext cx="715427"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 No </a:t>
          </a:r>
          <a:r>
            <a:rPr lang="en-US" sz="1100" baseline="0">
              <a:latin typeface="Arial"/>
              <a:cs typeface="Arial"/>
            </a:rPr>
            <a:t>►</a:t>
          </a:r>
          <a:endParaRPr lang="en-US" sz="1100"/>
        </a:p>
      </xdr:txBody>
    </xdr:sp>
    <xdr:clientData/>
  </xdr:twoCellAnchor>
  <xdr:twoCellAnchor>
    <xdr:from>
      <xdr:col>6</xdr:col>
      <xdr:colOff>514350</xdr:colOff>
      <xdr:row>184</xdr:row>
      <xdr:rowOff>0</xdr:rowOff>
    </xdr:from>
    <xdr:to>
      <xdr:col>6</xdr:col>
      <xdr:colOff>1229777</xdr:colOff>
      <xdr:row>184</xdr:row>
      <xdr:rowOff>0</xdr:rowOff>
    </xdr:to>
    <xdr:sp macro="" textlink="">
      <xdr:nvSpPr>
        <xdr:cNvPr id="14" name="TextBox 13"/>
        <xdr:cNvSpPr txBox="1"/>
      </xdr:nvSpPr>
      <xdr:spPr>
        <a:xfrm>
          <a:off x="5734050" y="39928800"/>
          <a:ext cx="715427"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 No </a:t>
          </a:r>
          <a:r>
            <a:rPr lang="en-US" sz="1100" baseline="0">
              <a:latin typeface="Arial"/>
              <a:cs typeface="Arial"/>
            </a:rPr>
            <a:t>►</a:t>
          </a:r>
          <a:endParaRPr lang="en-US" sz="1100"/>
        </a:p>
      </xdr:txBody>
    </xdr:sp>
    <xdr:clientData/>
  </xdr:twoCellAnchor>
  <xdr:twoCellAnchor>
    <xdr:from>
      <xdr:col>5</xdr:col>
      <xdr:colOff>107158</xdr:colOff>
      <xdr:row>168</xdr:row>
      <xdr:rowOff>71437</xdr:rowOff>
    </xdr:from>
    <xdr:to>
      <xdr:col>7</xdr:col>
      <xdr:colOff>0</xdr:colOff>
      <xdr:row>169</xdr:row>
      <xdr:rowOff>262163</xdr:rowOff>
    </xdr:to>
    <xdr:sp macro="" textlink="">
      <xdr:nvSpPr>
        <xdr:cNvPr id="15" name="TextBox 14"/>
        <xdr:cNvSpPr txBox="1"/>
      </xdr:nvSpPr>
      <xdr:spPr>
        <a:xfrm>
          <a:off x="5149058" y="37414200"/>
          <a:ext cx="155654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100"/>
            <a:t>Op.</a:t>
          </a:r>
          <a:r>
            <a:rPr lang="en-US" sz="1100" baseline="0"/>
            <a:t> Systems   </a:t>
          </a:r>
          <a:r>
            <a:rPr lang="en-US" sz="1100" baseline="0">
              <a:latin typeface="Arial"/>
              <a:cs typeface="Arial"/>
            </a:rPr>
            <a:t>►</a:t>
          </a:r>
          <a:endParaRPr lang="en-US" sz="1100"/>
        </a:p>
      </xdr:txBody>
    </xdr:sp>
    <xdr:clientData/>
  </xdr:twoCellAnchor>
  <xdr:twoCellAnchor>
    <xdr:from>
      <xdr:col>5</xdr:col>
      <xdr:colOff>107159</xdr:colOff>
      <xdr:row>169</xdr:row>
      <xdr:rowOff>293176</xdr:rowOff>
    </xdr:from>
    <xdr:to>
      <xdr:col>6</xdr:col>
      <xdr:colOff>1280583</xdr:colOff>
      <xdr:row>169</xdr:row>
      <xdr:rowOff>557985</xdr:rowOff>
    </xdr:to>
    <xdr:sp macro="" textlink="">
      <xdr:nvSpPr>
        <xdr:cNvPr id="16" name="TextBox 15"/>
        <xdr:cNvSpPr txBox="1"/>
      </xdr:nvSpPr>
      <xdr:spPr>
        <a:xfrm>
          <a:off x="5149059" y="37414200"/>
          <a:ext cx="1351224"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100"/>
            <a:t>    Databases</a:t>
          </a:r>
          <a:r>
            <a:rPr lang="en-US" sz="1100" baseline="0"/>
            <a:t>  </a:t>
          </a:r>
          <a:r>
            <a:rPr lang="en-US" sz="1100" baseline="0">
              <a:latin typeface="Arial"/>
              <a:cs typeface="Arial"/>
            </a:rPr>
            <a:t>►</a:t>
          </a:r>
          <a:endParaRPr lang="en-US" sz="1100"/>
        </a:p>
      </xdr:txBody>
    </xdr:sp>
    <xdr:clientData/>
  </xdr:twoCellAnchor>
  <xdr:twoCellAnchor>
    <xdr:from>
      <xdr:col>5</xdr:col>
      <xdr:colOff>107159</xdr:colOff>
      <xdr:row>169</xdr:row>
      <xdr:rowOff>579455</xdr:rowOff>
    </xdr:from>
    <xdr:to>
      <xdr:col>7</xdr:col>
      <xdr:colOff>0</xdr:colOff>
      <xdr:row>169</xdr:row>
      <xdr:rowOff>844264</xdr:rowOff>
    </xdr:to>
    <xdr:sp macro="" textlink="">
      <xdr:nvSpPr>
        <xdr:cNvPr id="17" name="TextBox 16"/>
        <xdr:cNvSpPr txBox="1"/>
      </xdr:nvSpPr>
      <xdr:spPr>
        <a:xfrm>
          <a:off x="5149059" y="37414200"/>
          <a:ext cx="1556541"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100"/>
            <a:t>Applications   </a:t>
          </a:r>
          <a:r>
            <a:rPr lang="en-US" sz="1100" baseline="0">
              <a:latin typeface="Arial"/>
              <a:cs typeface="Arial"/>
            </a:rPr>
            <a:t>►</a:t>
          </a:r>
          <a:endParaRPr lang="en-US" sz="1100"/>
        </a:p>
      </xdr:txBody>
    </xdr:sp>
    <xdr:clientData/>
  </xdr:twoCellAnchor>
  <xdr:twoCellAnchor>
    <xdr:from>
      <xdr:col>5</xdr:col>
      <xdr:colOff>81445</xdr:colOff>
      <xdr:row>169</xdr:row>
      <xdr:rowOff>875276</xdr:rowOff>
    </xdr:from>
    <xdr:to>
      <xdr:col>6</xdr:col>
      <xdr:colOff>1280583</xdr:colOff>
      <xdr:row>170</xdr:row>
      <xdr:rowOff>0</xdr:rowOff>
    </xdr:to>
    <xdr:sp macro="" textlink="">
      <xdr:nvSpPr>
        <xdr:cNvPr id="18" name="TextBox 17"/>
        <xdr:cNvSpPr txBox="1"/>
      </xdr:nvSpPr>
      <xdr:spPr>
        <a:xfrm>
          <a:off x="5123345" y="37414200"/>
          <a:ext cx="1376938"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100"/>
            <a:t>Infrastructure </a:t>
          </a:r>
          <a:r>
            <a:rPr lang="en-US" sz="1100" baseline="0">
              <a:latin typeface="Arial"/>
              <a:cs typeface="Arial"/>
            </a:rPr>
            <a:t>►</a:t>
          </a:r>
        </a:p>
        <a:p>
          <a:r>
            <a:rPr lang="en-US" sz="1100" baseline="0">
              <a:latin typeface="+mn-lt"/>
              <a:cs typeface="Arial"/>
            </a:rPr>
            <a:t>Components</a:t>
          </a:r>
          <a:endParaRPr lang="en-US" sz="1100">
            <a:latin typeface="+mn-lt"/>
          </a:endParaRPr>
        </a:p>
      </xdr:txBody>
    </xdr:sp>
    <xdr:clientData/>
  </xdr:twoCellAnchor>
  <xdr:twoCellAnchor>
    <xdr:from>
      <xdr:col>6</xdr:col>
      <xdr:colOff>35718</xdr:colOff>
      <xdr:row>171</xdr:row>
      <xdr:rowOff>31749</xdr:rowOff>
    </xdr:from>
    <xdr:to>
      <xdr:col>7</xdr:col>
      <xdr:colOff>0</xdr:colOff>
      <xdr:row>171</xdr:row>
      <xdr:rowOff>264581</xdr:rowOff>
    </xdr:to>
    <xdr:sp macro="" textlink="">
      <xdr:nvSpPr>
        <xdr:cNvPr id="19" name="TextBox 18"/>
        <xdr:cNvSpPr txBox="1"/>
      </xdr:nvSpPr>
      <xdr:spPr>
        <a:xfrm>
          <a:off x="5255418" y="37414200"/>
          <a:ext cx="145018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100"/>
            <a:t>      Internal   </a:t>
          </a:r>
          <a:r>
            <a:rPr lang="en-US" sz="1100" baseline="0">
              <a:latin typeface="Arial"/>
              <a:cs typeface="Arial"/>
            </a:rPr>
            <a:t>►</a:t>
          </a:r>
          <a:endParaRPr lang="en-US" sz="1100"/>
        </a:p>
      </xdr:txBody>
    </xdr:sp>
    <xdr:clientData/>
  </xdr:twoCellAnchor>
  <xdr:twoCellAnchor>
    <xdr:from>
      <xdr:col>6</xdr:col>
      <xdr:colOff>35718</xdr:colOff>
      <xdr:row>171</xdr:row>
      <xdr:rowOff>315120</xdr:rowOff>
    </xdr:from>
    <xdr:to>
      <xdr:col>6</xdr:col>
      <xdr:colOff>1280583</xdr:colOff>
      <xdr:row>171</xdr:row>
      <xdr:rowOff>539749</xdr:rowOff>
    </xdr:to>
    <xdr:sp macro="" textlink="">
      <xdr:nvSpPr>
        <xdr:cNvPr id="20" name="TextBox 19"/>
        <xdr:cNvSpPr txBox="1"/>
      </xdr:nvSpPr>
      <xdr:spPr>
        <a:xfrm>
          <a:off x="5255418" y="37414200"/>
          <a:ext cx="124486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100"/>
            <a:t>      External  </a:t>
          </a:r>
          <a:r>
            <a:rPr lang="en-US" sz="1100" baseline="0">
              <a:latin typeface="Arial"/>
              <a:cs typeface="Arial"/>
            </a:rPr>
            <a:t>►</a:t>
          </a:r>
          <a:endParaRPr lang="en-US" sz="1100"/>
        </a:p>
      </xdr:txBody>
    </xdr:sp>
    <xdr:clientData/>
  </xdr:twoCellAnchor>
  <xdr:twoCellAnchor>
    <xdr:from>
      <xdr:col>5</xdr:col>
      <xdr:colOff>107156</xdr:colOff>
      <xdr:row>163</xdr:row>
      <xdr:rowOff>6613</xdr:rowOff>
    </xdr:from>
    <xdr:to>
      <xdr:col>6</xdr:col>
      <xdr:colOff>1320800</xdr:colOff>
      <xdr:row>163</xdr:row>
      <xdr:rowOff>266700</xdr:rowOff>
    </xdr:to>
    <xdr:sp macro="" textlink="">
      <xdr:nvSpPr>
        <xdr:cNvPr id="21" name="TextBox 20"/>
        <xdr:cNvSpPr txBox="1"/>
      </xdr:nvSpPr>
      <xdr:spPr>
        <a:xfrm>
          <a:off x="4971256" y="35934913"/>
          <a:ext cx="1391444" cy="26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100"/>
            <a:t>Op.</a:t>
          </a:r>
          <a:r>
            <a:rPr lang="en-US" sz="1100" baseline="0"/>
            <a:t> Systems   </a:t>
          </a:r>
          <a:r>
            <a:rPr lang="en-US" sz="1100" baseline="0">
              <a:latin typeface="Arial"/>
              <a:cs typeface="Arial"/>
            </a:rPr>
            <a:t>►      </a:t>
          </a:r>
          <a:endParaRPr lang="en-US" sz="1100"/>
        </a:p>
      </xdr:txBody>
    </xdr:sp>
    <xdr:clientData/>
  </xdr:twoCellAnchor>
  <xdr:twoCellAnchor>
    <xdr:from>
      <xdr:col>5</xdr:col>
      <xdr:colOff>107156</xdr:colOff>
      <xdr:row>163</xdr:row>
      <xdr:rowOff>281270</xdr:rowOff>
    </xdr:from>
    <xdr:to>
      <xdr:col>6</xdr:col>
      <xdr:colOff>1280583</xdr:colOff>
      <xdr:row>163</xdr:row>
      <xdr:rowOff>546080</xdr:rowOff>
    </xdr:to>
    <xdr:sp macro="" textlink="">
      <xdr:nvSpPr>
        <xdr:cNvPr id="22" name="TextBox 21"/>
        <xdr:cNvSpPr txBox="1"/>
      </xdr:nvSpPr>
      <xdr:spPr>
        <a:xfrm>
          <a:off x="5149056" y="35434870"/>
          <a:ext cx="1351227" cy="264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100"/>
            <a:t>    Databases</a:t>
          </a:r>
          <a:r>
            <a:rPr lang="en-US" sz="1100" baseline="0"/>
            <a:t>  </a:t>
          </a:r>
          <a:r>
            <a:rPr lang="en-US" sz="1100" baseline="0">
              <a:latin typeface="Arial"/>
              <a:cs typeface="Arial"/>
            </a:rPr>
            <a:t>►</a:t>
          </a:r>
          <a:endParaRPr lang="en-US" sz="1100"/>
        </a:p>
      </xdr:txBody>
    </xdr:sp>
    <xdr:clientData/>
  </xdr:twoCellAnchor>
  <xdr:twoCellAnchor>
    <xdr:from>
      <xdr:col>5</xdr:col>
      <xdr:colOff>107157</xdr:colOff>
      <xdr:row>163</xdr:row>
      <xdr:rowOff>567549</xdr:rowOff>
    </xdr:from>
    <xdr:to>
      <xdr:col>6</xdr:col>
      <xdr:colOff>1280583</xdr:colOff>
      <xdr:row>163</xdr:row>
      <xdr:rowOff>832359</xdr:rowOff>
    </xdr:to>
    <xdr:sp macro="" textlink="">
      <xdr:nvSpPr>
        <xdr:cNvPr id="23" name="TextBox 22"/>
        <xdr:cNvSpPr txBox="1"/>
      </xdr:nvSpPr>
      <xdr:spPr>
        <a:xfrm>
          <a:off x="5149057" y="35721149"/>
          <a:ext cx="1351226" cy="264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100"/>
            <a:t>Applications   </a:t>
          </a:r>
          <a:r>
            <a:rPr lang="en-US" sz="1100" baseline="0">
              <a:latin typeface="Arial"/>
              <a:cs typeface="Arial"/>
            </a:rPr>
            <a:t>►</a:t>
          </a:r>
          <a:endParaRPr lang="en-US" sz="1100"/>
        </a:p>
      </xdr:txBody>
    </xdr:sp>
    <xdr:clientData/>
  </xdr:twoCellAnchor>
  <xdr:twoCellAnchor>
    <xdr:from>
      <xdr:col>5</xdr:col>
      <xdr:colOff>81443</xdr:colOff>
      <xdr:row>163</xdr:row>
      <xdr:rowOff>863371</xdr:rowOff>
    </xdr:from>
    <xdr:to>
      <xdr:col>7</xdr:col>
      <xdr:colOff>0</xdr:colOff>
      <xdr:row>163</xdr:row>
      <xdr:rowOff>1416845</xdr:rowOff>
    </xdr:to>
    <xdr:sp macro="" textlink="">
      <xdr:nvSpPr>
        <xdr:cNvPr id="24" name="TextBox 23"/>
        <xdr:cNvSpPr txBox="1"/>
      </xdr:nvSpPr>
      <xdr:spPr>
        <a:xfrm>
          <a:off x="5123343" y="36016971"/>
          <a:ext cx="1582257" cy="55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Infrastructure </a:t>
          </a:r>
          <a:r>
            <a:rPr lang="en-US" sz="1100" baseline="0">
              <a:latin typeface="Arial"/>
              <a:cs typeface="Arial"/>
            </a:rPr>
            <a:t>►</a:t>
          </a:r>
        </a:p>
        <a:p>
          <a:r>
            <a:rPr lang="en-US" sz="1100" baseline="0">
              <a:latin typeface="+mn-lt"/>
              <a:cs typeface="Arial"/>
            </a:rPr>
            <a:t>Components</a:t>
          </a:r>
          <a:endParaRPr lang="en-US" sz="1100">
            <a:latin typeface="+mn-lt"/>
          </a:endParaRPr>
        </a:p>
      </xdr:txBody>
    </xdr:sp>
    <xdr:clientData/>
  </xdr:twoCellAnchor>
  <xdr:oneCellAnchor>
    <xdr:from>
      <xdr:col>4</xdr:col>
      <xdr:colOff>381000</xdr:colOff>
      <xdr:row>286</xdr:row>
      <xdr:rowOff>349249</xdr:rowOff>
    </xdr:from>
    <xdr:ext cx="184731" cy="264560"/>
    <xdr:sp macro="" textlink="">
      <xdr:nvSpPr>
        <xdr:cNvPr id="26" name="TextBox 25"/>
        <xdr:cNvSpPr txBox="1"/>
      </xdr:nvSpPr>
      <xdr:spPr>
        <a:xfrm>
          <a:off x="1231900" y="60166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381000</xdr:colOff>
      <xdr:row>288</xdr:row>
      <xdr:rowOff>349249</xdr:rowOff>
    </xdr:from>
    <xdr:ext cx="184731" cy="264560"/>
    <xdr:sp macro="" textlink="">
      <xdr:nvSpPr>
        <xdr:cNvPr id="27" name="TextBox 26"/>
        <xdr:cNvSpPr txBox="1"/>
      </xdr:nvSpPr>
      <xdr:spPr>
        <a:xfrm>
          <a:off x="1231900" y="60579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404863</xdr:colOff>
      <xdr:row>33</xdr:row>
      <xdr:rowOff>1282146</xdr:rowOff>
    </xdr:from>
    <xdr:to>
      <xdr:col>6</xdr:col>
      <xdr:colOff>1232551</xdr:colOff>
      <xdr:row>33</xdr:row>
      <xdr:rowOff>1552575</xdr:rowOff>
    </xdr:to>
    <xdr:sp macro="" textlink="">
      <xdr:nvSpPr>
        <xdr:cNvPr id="28" name="TextBox 27"/>
        <xdr:cNvSpPr txBox="1"/>
      </xdr:nvSpPr>
      <xdr:spPr>
        <a:xfrm>
          <a:off x="5446763" y="4965146"/>
          <a:ext cx="827688" cy="270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aseline="0"/>
            <a:t>None  </a:t>
          </a:r>
          <a:r>
            <a:rPr lang="en-US" sz="1100" baseline="0">
              <a:latin typeface="Arial"/>
              <a:cs typeface="Arial"/>
            </a:rPr>
            <a:t>► </a:t>
          </a:r>
        </a:p>
      </xdr:txBody>
    </xdr:sp>
    <xdr:clientData/>
  </xdr:twoCellAnchor>
  <xdr:twoCellAnchor>
    <xdr:from>
      <xdr:col>4</xdr:col>
      <xdr:colOff>0</xdr:colOff>
      <xdr:row>102</xdr:row>
      <xdr:rowOff>381000</xdr:rowOff>
    </xdr:from>
    <xdr:to>
      <xdr:col>4</xdr:col>
      <xdr:colOff>1362075</xdr:colOff>
      <xdr:row>102</xdr:row>
      <xdr:rowOff>714375</xdr:rowOff>
    </xdr:to>
    <xdr:sp macro="" textlink="">
      <xdr:nvSpPr>
        <xdr:cNvPr id="29" name="TextBox 28"/>
        <xdr:cNvSpPr txBox="1"/>
      </xdr:nvSpPr>
      <xdr:spPr>
        <a:xfrm>
          <a:off x="850900" y="19735800"/>
          <a:ext cx="136207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19050</xdr:colOff>
      <xdr:row>146</xdr:row>
      <xdr:rowOff>371475</xdr:rowOff>
    </xdr:from>
    <xdr:to>
      <xdr:col>4</xdr:col>
      <xdr:colOff>2066925</xdr:colOff>
      <xdr:row>146</xdr:row>
      <xdr:rowOff>704850</xdr:rowOff>
    </xdr:to>
    <xdr:sp macro="" textlink="">
      <xdr:nvSpPr>
        <xdr:cNvPr id="30" name="TextBox 29"/>
        <xdr:cNvSpPr txBox="1"/>
      </xdr:nvSpPr>
      <xdr:spPr>
        <a:xfrm>
          <a:off x="869950" y="31829375"/>
          <a:ext cx="20478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mc:AlternateContent xmlns:mc="http://schemas.openxmlformats.org/markup-compatibility/2006">
    <mc:Choice xmlns:a14="http://schemas.microsoft.com/office/drawing/2010/main" Requires="a14">
      <xdr:twoCellAnchor>
        <xdr:from>
          <xdr:col>4</xdr:col>
          <xdr:colOff>1495425</xdr:colOff>
          <xdr:row>511</xdr:row>
          <xdr:rowOff>495300</xdr:rowOff>
        </xdr:from>
        <xdr:to>
          <xdr:col>4</xdr:col>
          <xdr:colOff>1905000</xdr:colOff>
          <xdr:row>512</xdr:row>
          <xdr:rowOff>0</xdr:rowOff>
        </xdr:to>
        <xdr:sp macro="" textlink="">
          <xdr:nvSpPr>
            <xdr:cNvPr id="1025" name="Check Box 1" hidden="1">
              <a:extLst>
                <a:ext uri="{63B3BB69-23CF-44E3-9099-C40C66FF867C}">
                  <a14:compatExt spid="_x0000_s102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2200275</xdr:colOff>
          <xdr:row>273</xdr:row>
          <xdr:rowOff>485775</xdr:rowOff>
        </xdr:from>
        <xdr:to>
          <xdr:col>4</xdr:col>
          <xdr:colOff>2600325</xdr:colOff>
          <xdr:row>274</xdr:row>
          <xdr:rowOff>0</xdr:rowOff>
        </xdr:to>
        <xdr:sp macro="" textlink="">
          <xdr:nvSpPr>
            <xdr:cNvPr id="1026" name="Check Box 2" hidden="1">
              <a:extLst>
                <a:ext uri="{63B3BB69-23CF-44E3-9099-C40C66FF867C}">
                  <a14:compatExt spid="_x0000_s102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1304925</xdr:colOff>
          <xdr:row>287</xdr:row>
          <xdr:rowOff>0</xdr:rowOff>
        </xdr:from>
        <xdr:to>
          <xdr:col>6</xdr:col>
          <xdr:colOff>1704975</xdr:colOff>
          <xdr:row>314</xdr:row>
          <xdr:rowOff>466725</xdr:rowOff>
        </xdr:to>
        <xdr:sp macro="" textlink="">
          <xdr:nvSpPr>
            <xdr:cNvPr id="1027" name="Check Box 3" hidden="1">
              <a:extLst>
                <a:ext uri="{63B3BB69-23CF-44E3-9099-C40C66FF867C}">
                  <a14:compatExt spid="_x0000_s102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1304925</xdr:colOff>
          <xdr:row>287</xdr:row>
          <xdr:rowOff>0</xdr:rowOff>
        </xdr:from>
        <xdr:to>
          <xdr:col>6</xdr:col>
          <xdr:colOff>1704975</xdr:colOff>
          <xdr:row>314</xdr:row>
          <xdr:rowOff>466725</xdr:rowOff>
        </xdr:to>
        <xdr:sp macro="" textlink="">
          <xdr:nvSpPr>
            <xdr:cNvPr id="1028" name="Check Box 4" hidden="1">
              <a:extLst>
                <a:ext uri="{63B3BB69-23CF-44E3-9099-C40C66FF867C}">
                  <a14:compatExt spid="_x0000_s102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2200275</xdr:colOff>
          <xdr:row>275</xdr:row>
          <xdr:rowOff>485775</xdr:rowOff>
        </xdr:from>
        <xdr:to>
          <xdr:col>4</xdr:col>
          <xdr:colOff>2600325</xdr:colOff>
          <xdr:row>276</xdr:row>
          <xdr:rowOff>0</xdr:rowOff>
        </xdr:to>
        <xdr:sp macro="" textlink="">
          <xdr:nvSpPr>
            <xdr:cNvPr id="1029" name="Check Box 5" hidden="1">
              <a:extLst>
                <a:ext uri="{63B3BB69-23CF-44E3-9099-C40C66FF867C}">
                  <a14:compatExt spid="_x0000_s102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2200275</xdr:colOff>
          <xdr:row>277</xdr:row>
          <xdr:rowOff>495300</xdr:rowOff>
        </xdr:from>
        <xdr:to>
          <xdr:col>4</xdr:col>
          <xdr:colOff>2600325</xdr:colOff>
          <xdr:row>278</xdr:row>
          <xdr:rowOff>0</xdr:rowOff>
        </xdr:to>
        <xdr:sp macro="" textlink="">
          <xdr:nvSpPr>
            <xdr:cNvPr id="1030" name="Check Box 6" hidden="1">
              <a:extLst>
                <a:ext uri="{63B3BB69-23CF-44E3-9099-C40C66FF867C}">
                  <a14:compatExt spid="_x0000_s103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6</xdr:col>
          <xdr:colOff>1752600</xdr:colOff>
          <xdr:row>37</xdr:row>
          <xdr:rowOff>390525</xdr:rowOff>
        </xdr:to>
        <xdr:sp macro="" textlink="">
          <xdr:nvSpPr>
            <xdr:cNvPr id="1031" name="Check Box 7"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6</xdr:col>
          <xdr:colOff>1752600</xdr:colOff>
          <xdr:row>37</xdr:row>
          <xdr:rowOff>390525</xdr:rowOff>
        </xdr:to>
        <xdr:sp macro="" textlink="">
          <xdr:nvSpPr>
            <xdr:cNvPr id="1032" name="Check Box 8" hidden="1">
              <a:extLst>
                <a:ext uri="{63B3BB69-23CF-44E3-9099-C40C66FF867C}">
                  <a14:compatExt spid="_x0000_s103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2314575</xdr:colOff>
          <xdr:row>140</xdr:row>
          <xdr:rowOff>504825</xdr:rowOff>
        </xdr:from>
        <xdr:to>
          <xdr:col>4</xdr:col>
          <xdr:colOff>2714625</xdr:colOff>
          <xdr:row>141</xdr:row>
          <xdr:rowOff>0</xdr:rowOff>
        </xdr:to>
        <xdr:sp macro="" textlink="">
          <xdr:nvSpPr>
            <xdr:cNvPr id="1033" name="Check Box 9" hidden="1">
              <a:extLst>
                <a:ext uri="{63B3BB69-23CF-44E3-9099-C40C66FF867C}">
                  <a14:compatExt spid="_x0000_s103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2314575</xdr:colOff>
          <xdr:row>144</xdr:row>
          <xdr:rowOff>752475</xdr:rowOff>
        </xdr:from>
        <xdr:to>
          <xdr:col>4</xdr:col>
          <xdr:colOff>2714625</xdr:colOff>
          <xdr:row>145</xdr:row>
          <xdr:rowOff>0</xdr:rowOff>
        </xdr:to>
        <xdr:sp macro="" textlink="">
          <xdr:nvSpPr>
            <xdr:cNvPr id="1034" name="Check Box 10" hidden="1">
              <a:extLst>
                <a:ext uri="{63B3BB69-23CF-44E3-9099-C40C66FF867C}">
                  <a14:compatExt spid="_x0000_s103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1495425</xdr:colOff>
          <xdr:row>161</xdr:row>
          <xdr:rowOff>257175</xdr:rowOff>
        </xdr:from>
        <xdr:to>
          <xdr:col>4</xdr:col>
          <xdr:colOff>1905000</xdr:colOff>
          <xdr:row>161</xdr:row>
          <xdr:rowOff>542925</xdr:rowOff>
        </xdr:to>
        <xdr:sp macro="" textlink="">
          <xdr:nvSpPr>
            <xdr:cNvPr id="1035" name="Check Box 11" hidden="1">
              <a:extLst>
                <a:ext uri="{63B3BB69-23CF-44E3-9099-C40C66FF867C}">
                  <a14:compatExt spid="_x0000_s103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1476375</xdr:colOff>
          <xdr:row>166</xdr:row>
          <xdr:rowOff>0</xdr:rowOff>
        </xdr:from>
        <xdr:to>
          <xdr:col>4</xdr:col>
          <xdr:colOff>1866900</xdr:colOff>
          <xdr:row>177</xdr:row>
          <xdr:rowOff>190500</xdr:rowOff>
        </xdr:to>
        <xdr:sp macro="" textlink="">
          <xdr:nvSpPr>
            <xdr:cNvPr id="1036" name="Check Box 12" hidden="1">
              <a:extLst>
                <a:ext uri="{63B3BB69-23CF-44E3-9099-C40C66FF867C}">
                  <a14:compatExt spid="_x0000_s103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1495425</xdr:colOff>
          <xdr:row>177</xdr:row>
          <xdr:rowOff>485775</xdr:rowOff>
        </xdr:from>
        <xdr:to>
          <xdr:col>4</xdr:col>
          <xdr:colOff>1905000</xdr:colOff>
          <xdr:row>178</xdr:row>
          <xdr:rowOff>0</xdr:rowOff>
        </xdr:to>
        <xdr:sp macro="" textlink="">
          <xdr:nvSpPr>
            <xdr:cNvPr id="1037" name="Check Box 13" hidden="1">
              <a:extLst>
                <a:ext uri="{63B3BB69-23CF-44E3-9099-C40C66FF867C}">
                  <a14:compatExt spid="_x0000_s103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2352675</xdr:colOff>
          <xdr:row>447</xdr:row>
          <xdr:rowOff>504825</xdr:rowOff>
        </xdr:from>
        <xdr:to>
          <xdr:col>4</xdr:col>
          <xdr:colOff>2752725</xdr:colOff>
          <xdr:row>448</xdr:row>
          <xdr:rowOff>0</xdr:rowOff>
        </xdr:to>
        <xdr:sp macro="" textlink="">
          <xdr:nvSpPr>
            <xdr:cNvPr id="1038" name="Check Box 14" hidden="1">
              <a:extLst>
                <a:ext uri="{63B3BB69-23CF-44E3-9099-C40C66FF867C}">
                  <a14:compatExt spid="_x0000_s103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2352675</xdr:colOff>
          <xdr:row>449</xdr:row>
          <xdr:rowOff>495300</xdr:rowOff>
        </xdr:from>
        <xdr:to>
          <xdr:col>4</xdr:col>
          <xdr:colOff>2752725</xdr:colOff>
          <xdr:row>450</xdr:row>
          <xdr:rowOff>0</xdr:rowOff>
        </xdr:to>
        <xdr:sp macro="" textlink="">
          <xdr:nvSpPr>
            <xdr:cNvPr id="1039" name="Check Box 15" hidden="1">
              <a:extLst>
                <a:ext uri="{63B3BB69-23CF-44E3-9099-C40C66FF867C}">
                  <a14:compatExt spid="_x0000_s103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1362075</xdr:colOff>
          <xdr:row>33</xdr:row>
          <xdr:rowOff>47625</xdr:rowOff>
        </xdr:from>
        <xdr:to>
          <xdr:col>7</xdr:col>
          <xdr:colOff>38100</xdr:colOff>
          <xdr:row>33</xdr:row>
          <xdr:rowOff>342900</xdr:rowOff>
        </xdr:to>
        <xdr:sp macro="" textlink="">
          <xdr:nvSpPr>
            <xdr:cNvPr id="1040" name="Check Box 16" hidden="1">
              <a:extLst>
                <a:ext uri="{63B3BB69-23CF-44E3-9099-C40C66FF867C}">
                  <a14:compatExt spid="_x0000_s104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1362075</xdr:colOff>
          <xdr:row>33</xdr:row>
          <xdr:rowOff>342900</xdr:rowOff>
        </xdr:from>
        <xdr:to>
          <xdr:col>7</xdr:col>
          <xdr:colOff>38100</xdr:colOff>
          <xdr:row>33</xdr:row>
          <xdr:rowOff>638175</xdr:rowOff>
        </xdr:to>
        <xdr:sp macro="" textlink="">
          <xdr:nvSpPr>
            <xdr:cNvPr id="1041" name="Check Box 17" hidden="1">
              <a:extLst>
                <a:ext uri="{63B3BB69-23CF-44E3-9099-C40C66FF867C}">
                  <a14:compatExt spid="_x0000_s104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1362075</xdr:colOff>
          <xdr:row>33</xdr:row>
          <xdr:rowOff>638175</xdr:rowOff>
        </xdr:from>
        <xdr:to>
          <xdr:col>7</xdr:col>
          <xdr:colOff>38100</xdr:colOff>
          <xdr:row>33</xdr:row>
          <xdr:rowOff>923925</xdr:rowOff>
        </xdr:to>
        <xdr:sp macro="" textlink="">
          <xdr:nvSpPr>
            <xdr:cNvPr id="1042" name="Check Box 18" hidden="1">
              <a:extLst>
                <a:ext uri="{63B3BB69-23CF-44E3-9099-C40C66FF867C}">
                  <a14:compatExt spid="_x0000_s104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1362075</xdr:colOff>
          <xdr:row>33</xdr:row>
          <xdr:rowOff>923925</xdr:rowOff>
        </xdr:from>
        <xdr:to>
          <xdr:col>7</xdr:col>
          <xdr:colOff>38100</xdr:colOff>
          <xdr:row>33</xdr:row>
          <xdr:rowOff>1219200</xdr:rowOff>
        </xdr:to>
        <xdr:sp macro="" textlink="">
          <xdr:nvSpPr>
            <xdr:cNvPr id="1043" name="Check Box 19" hidden="1">
              <a:extLst>
                <a:ext uri="{63B3BB69-23CF-44E3-9099-C40C66FF867C}">
                  <a14:compatExt spid="_x0000_s104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1362075</xdr:colOff>
          <xdr:row>33</xdr:row>
          <xdr:rowOff>1219200</xdr:rowOff>
        </xdr:from>
        <xdr:to>
          <xdr:col>7</xdr:col>
          <xdr:colOff>38100</xdr:colOff>
          <xdr:row>33</xdr:row>
          <xdr:rowOff>1514475</xdr:rowOff>
        </xdr:to>
        <xdr:sp macro="" textlink="">
          <xdr:nvSpPr>
            <xdr:cNvPr id="1044" name="Check Box 20" hidden="1">
              <a:extLst>
                <a:ext uri="{63B3BB69-23CF-44E3-9099-C40C66FF867C}">
                  <a14:compatExt spid="_x0000_s104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2200275</xdr:colOff>
          <xdr:row>279</xdr:row>
          <xdr:rowOff>495300</xdr:rowOff>
        </xdr:from>
        <xdr:to>
          <xdr:col>4</xdr:col>
          <xdr:colOff>2600325</xdr:colOff>
          <xdr:row>280</xdr:row>
          <xdr:rowOff>0</xdr:rowOff>
        </xdr:to>
        <xdr:sp macro="" textlink="">
          <xdr:nvSpPr>
            <xdr:cNvPr id="1045" name="Check Box 21" hidden="1">
              <a:extLst>
                <a:ext uri="{63B3BB69-23CF-44E3-9099-C40C66FF867C}">
                  <a14:compatExt spid="_x0000_s104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1381125</xdr:colOff>
          <xdr:row>163</xdr:row>
          <xdr:rowOff>9525</xdr:rowOff>
        </xdr:from>
        <xdr:to>
          <xdr:col>6</xdr:col>
          <xdr:colOff>1781175</xdr:colOff>
          <xdr:row>163</xdr:row>
          <xdr:rowOff>333375</xdr:rowOff>
        </xdr:to>
        <xdr:sp macro="" textlink="">
          <xdr:nvSpPr>
            <xdr:cNvPr id="1046" name="Check Box 22" hidden="1">
              <a:extLst>
                <a:ext uri="{63B3BB69-23CF-44E3-9099-C40C66FF867C}">
                  <a14:compatExt spid="_x0000_s104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1381125</xdr:colOff>
          <xdr:row>163</xdr:row>
          <xdr:rowOff>304800</xdr:rowOff>
        </xdr:from>
        <xdr:to>
          <xdr:col>6</xdr:col>
          <xdr:colOff>1781175</xdr:colOff>
          <xdr:row>163</xdr:row>
          <xdr:rowOff>571500</xdr:rowOff>
        </xdr:to>
        <xdr:sp macro="" textlink="">
          <xdr:nvSpPr>
            <xdr:cNvPr id="1047" name="Check Box 23" hidden="1">
              <a:extLst>
                <a:ext uri="{63B3BB69-23CF-44E3-9099-C40C66FF867C}">
                  <a14:compatExt spid="_x0000_s104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1381125</xdr:colOff>
          <xdr:row>163</xdr:row>
          <xdr:rowOff>609600</xdr:rowOff>
        </xdr:from>
        <xdr:to>
          <xdr:col>6</xdr:col>
          <xdr:colOff>1781175</xdr:colOff>
          <xdr:row>163</xdr:row>
          <xdr:rowOff>847725</xdr:rowOff>
        </xdr:to>
        <xdr:sp macro="" textlink="">
          <xdr:nvSpPr>
            <xdr:cNvPr id="1048" name="Check Box 24" hidden="1">
              <a:extLst>
                <a:ext uri="{63B3BB69-23CF-44E3-9099-C40C66FF867C}">
                  <a14:compatExt spid="_x0000_s104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1381125</xdr:colOff>
          <xdr:row>163</xdr:row>
          <xdr:rowOff>914400</xdr:rowOff>
        </xdr:from>
        <xdr:to>
          <xdr:col>6</xdr:col>
          <xdr:colOff>1781175</xdr:colOff>
          <xdr:row>163</xdr:row>
          <xdr:rowOff>1143000</xdr:rowOff>
        </xdr:to>
        <xdr:sp macro="" textlink="">
          <xdr:nvSpPr>
            <xdr:cNvPr id="1049" name="Check Box 25" hidden="1">
              <a:extLst>
                <a:ext uri="{63B3BB69-23CF-44E3-9099-C40C66FF867C}">
                  <a14:compatExt spid="_x0000_s104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1371600</xdr:colOff>
          <xdr:row>166</xdr:row>
          <xdr:rowOff>0</xdr:rowOff>
        </xdr:from>
        <xdr:to>
          <xdr:col>6</xdr:col>
          <xdr:colOff>1762125</xdr:colOff>
          <xdr:row>177</xdr:row>
          <xdr:rowOff>238125</xdr:rowOff>
        </xdr:to>
        <xdr:sp macro="" textlink="">
          <xdr:nvSpPr>
            <xdr:cNvPr id="1050" name="Check Box 26" hidden="1">
              <a:extLst>
                <a:ext uri="{63B3BB69-23CF-44E3-9099-C40C66FF867C}">
                  <a14:compatExt spid="_x0000_s105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1371600</xdr:colOff>
          <xdr:row>166</xdr:row>
          <xdr:rowOff>0</xdr:rowOff>
        </xdr:from>
        <xdr:to>
          <xdr:col>6</xdr:col>
          <xdr:colOff>1762125</xdr:colOff>
          <xdr:row>177</xdr:row>
          <xdr:rowOff>238125</xdr:rowOff>
        </xdr:to>
        <xdr:sp macro="" textlink="">
          <xdr:nvSpPr>
            <xdr:cNvPr id="1051" name="Check Box 27" hidden="1">
              <a:extLst>
                <a:ext uri="{63B3BB69-23CF-44E3-9099-C40C66FF867C}">
                  <a14:compatExt spid="_x0000_s105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1371600</xdr:colOff>
          <xdr:row>166</xdr:row>
          <xdr:rowOff>0</xdr:rowOff>
        </xdr:from>
        <xdr:to>
          <xdr:col>6</xdr:col>
          <xdr:colOff>1762125</xdr:colOff>
          <xdr:row>177</xdr:row>
          <xdr:rowOff>238125</xdr:rowOff>
        </xdr:to>
        <xdr:sp macro="" textlink="">
          <xdr:nvSpPr>
            <xdr:cNvPr id="1052" name="Check Box 28" hidden="1">
              <a:extLst>
                <a:ext uri="{63B3BB69-23CF-44E3-9099-C40C66FF867C}">
                  <a14:compatExt spid="_x0000_s105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1371600</xdr:colOff>
          <xdr:row>166</xdr:row>
          <xdr:rowOff>0</xdr:rowOff>
        </xdr:from>
        <xdr:to>
          <xdr:col>6</xdr:col>
          <xdr:colOff>1762125</xdr:colOff>
          <xdr:row>177</xdr:row>
          <xdr:rowOff>295275</xdr:rowOff>
        </xdr:to>
        <xdr:sp macro="" textlink="">
          <xdr:nvSpPr>
            <xdr:cNvPr id="1053" name="Check Box 29" hidden="1">
              <a:extLst>
                <a:ext uri="{63B3BB69-23CF-44E3-9099-C40C66FF867C}">
                  <a14:compatExt spid="_x0000_s105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1381125</xdr:colOff>
          <xdr:row>166</xdr:row>
          <xdr:rowOff>0</xdr:rowOff>
        </xdr:from>
        <xdr:to>
          <xdr:col>6</xdr:col>
          <xdr:colOff>1781175</xdr:colOff>
          <xdr:row>177</xdr:row>
          <xdr:rowOff>180975</xdr:rowOff>
        </xdr:to>
        <xdr:sp macro="" textlink="">
          <xdr:nvSpPr>
            <xdr:cNvPr id="1054" name="Check Box 30" hidden="1">
              <a:extLst>
                <a:ext uri="{63B3BB69-23CF-44E3-9099-C40C66FF867C}">
                  <a14:compatExt spid="_x0000_s105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1381125</xdr:colOff>
          <xdr:row>166</xdr:row>
          <xdr:rowOff>0</xdr:rowOff>
        </xdr:from>
        <xdr:to>
          <xdr:col>6</xdr:col>
          <xdr:colOff>1781175</xdr:colOff>
          <xdr:row>177</xdr:row>
          <xdr:rowOff>200025</xdr:rowOff>
        </xdr:to>
        <xdr:sp macro="" textlink="">
          <xdr:nvSpPr>
            <xdr:cNvPr id="1055" name="Check Box 31" hidden="1">
              <a:extLst>
                <a:ext uri="{63B3BB69-23CF-44E3-9099-C40C66FF867C}">
                  <a14:compatExt spid="_x0000_s105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1485900</xdr:colOff>
          <xdr:row>95</xdr:row>
          <xdr:rowOff>0</xdr:rowOff>
        </xdr:from>
        <xdr:to>
          <xdr:col>4</xdr:col>
          <xdr:colOff>1876425</xdr:colOff>
          <xdr:row>104</xdr:row>
          <xdr:rowOff>190500</xdr:rowOff>
        </xdr:to>
        <xdr:sp macro="" textlink="">
          <xdr:nvSpPr>
            <xdr:cNvPr id="1071" name="Check Box 47" hidden="1">
              <a:extLst>
                <a:ext uri="{63B3BB69-23CF-44E3-9099-C40C66FF867C}">
                  <a14:compatExt spid="_x0000_s107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287</xdr:row>
          <xdr:rowOff>0</xdr:rowOff>
        </xdr:from>
        <xdr:to>
          <xdr:col>4</xdr:col>
          <xdr:colOff>409575</xdr:colOff>
          <xdr:row>314</xdr:row>
          <xdr:rowOff>457200</xdr:rowOff>
        </xdr:to>
        <xdr:sp macro="" textlink="">
          <xdr:nvSpPr>
            <xdr:cNvPr id="1072" name="Check Box 48" hidden="1">
              <a:extLst>
                <a:ext uri="{63B3BB69-23CF-44E3-9099-C40C66FF867C}">
                  <a14:compatExt spid="_x0000_s107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1476375</xdr:colOff>
          <xdr:row>475</xdr:row>
          <xdr:rowOff>504825</xdr:rowOff>
        </xdr:from>
        <xdr:to>
          <xdr:col>4</xdr:col>
          <xdr:colOff>1876425</xdr:colOff>
          <xdr:row>476</xdr:row>
          <xdr:rowOff>0</xdr:rowOff>
        </xdr:to>
        <xdr:sp macro="" textlink="">
          <xdr:nvSpPr>
            <xdr:cNvPr id="1076" name="Check Box 52" hidden="1">
              <a:extLst>
                <a:ext uri="{63B3BB69-23CF-44E3-9099-C40C66FF867C}">
                  <a14:compatExt spid="_x0000_s107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2276475</xdr:colOff>
          <xdr:row>88</xdr:row>
          <xdr:rowOff>495300</xdr:rowOff>
        </xdr:from>
        <xdr:to>
          <xdr:col>4</xdr:col>
          <xdr:colOff>2667000</xdr:colOff>
          <xdr:row>89</xdr:row>
          <xdr:rowOff>0</xdr:rowOff>
        </xdr:to>
        <xdr:sp macro="" textlink="">
          <xdr:nvSpPr>
            <xdr:cNvPr id="1077" name="Check Box 53" hidden="1">
              <a:extLst>
                <a:ext uri="{63B3BB69-23CF-44E3-9099-C40C66FF867C}">
                  <a14:compatExt spid="_x0000_s107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1485900</xdr:colOff>
          <xdr:row>199</xdr:row>
          <xdr:rowOff>0</xdr:rowOff>
        </xdr:from>
        <xdr:to>
          <xdr:col>4</xdr:col>
          <xdr:colOff>1876425</xdr:colOff>
          <xdr:row>204</xdr:row>
          <xdr:rowOff>200025</xdr:rowOff>
        </xdr:to>
        <xdr:sp macro="" textlink="">
          <xdr:nvSpPr>
            <xdr:cNvPr id="1078" name="Check Box 54" hidden="1">
              <a:extLst>
                <a:ext uri="{63B3BB69-23CF-44E3-9099-C40C66FF867C}">
                  <a14:compatExt spid="_x0000_s107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1400175</xdr:colOff>
          <xdr:row>221</xdr:row>
          <xdr:rowOff>0</xdr:rowOff>
        </xdr:from>
        <xdr:to>
          <xdr:col>6</xdr:col>
          <xdr:colOff>1790700</xdr:colOff>
          <xdr:row>241</xdr:row>
          <xdr:rowOff>47625</xdr:rowOff>
        </xdr:to>
        <xdr:sp macro="" textlink="">
          <xdr:nvSpPr>
            <xdr:cNvPr id="1079" name="Check Box 55" hidden="1">
              <a:extLst>
                <a:ext uri="{63B3BB69-23CF-44E3-9099-C40C66FF867C}">
                  <a14:compatExt spid="_x0000_s107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1400175</xdr:colOff>
          <xdr:row>221</xdr:row>
          <xdr:rowOff>0</xdr:rowOff>
        </xdr:from>
        <xdr:to>
          <xdr:col>6</xdr:col>
          <xdr:colOff>1790700</xdr:colOff>
          <xdr:row>241</xdr:row>
          <xdr:rowOff>47625</xdr:rowOff>
        </xdr:to>
        <xdr:sp macro="" textlink="">
          <xdr:nvSpPr>
            <xdr:cNvPr id="1080" name="Check Box 56" hidden="1">
              <a:extLst>
                <a:ext uri="{63B3BB69-23CF-44E3-9099-C40C66FF867C}">
                  <a14:compatExt spid="_x0000_s108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1590675</xdr:colOff>
          <xdr:row>385</xdr:row>
          <xdr:rowOff>495300</xdr:rowOff>
        </xdr:from>
        <xdr:to>
          <xdr:col>4</xdr:col>
          <xdr:colOff>1981200</xdr:colOff>
          <xdr:row>386</xdr:row>
          <xdr:rowOff>0</xdr:rowOff>
        </xdr:to>
        <xdr:sp macro="" textlink="">
          <xdr:nvSpPr>
            <xdr:cNvPr id="1081" name="Check Box 57" hidden="1">
              <a:extLst>
                <a:ext uri="{63B3BB69-23CF-44E3-9099-C40C66FF867C}">
                  <a14:compatExt spid="_x0000_s108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1438275</xdr:colOff>
          <xdr:row>314</xdr:row>
          <xdr:rowOff>495300</xdr:rowOff>
        </xdr:from>
        <xdr:to>
          <xdr:col>4</xdr:col>
          <xdr:colOff>1828800</xdr:colOff>
          <xdr:row>315</xdr:row>
          <xdr:rowOff>0</xdr:rowOff>
        </xdr:to>
        <xdr:sp macro="" textlink="">
          <xdr:nvSpPr>
            <xdr:cNvPr id="1082" name="Check Box 58" hidden="1">
              <a:extLst>
                <a:ext uri="{63B3BB69-23CF-44E3-9099-C40C66FF867C}">
                  <a14:compatExt spid="_x0000_s108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1438275</xdr:colOff>
          <xdr:row>221</xdr:row>
          <xdr:rowOff>0</xdr:rowOff>
        </xdr:from>
        <xdr:to>
          <xdr:col>4</xdr:col>
          <xdr:colOff>1838325</xdr:colOff>
          <xdr:row>234</xdr:row>
          <xdr:rowOff>219075</xdr:rowOff>
        </xdr:to>
        <xdr:sp macro="" textlink="">
          <xdr:nvSpPr>
            <xdr:cNvPr id="1083" name="Check Box 59" hidden="1">
              <a:extLst>
                <a:ext uri="{63B3BB69-23CF-44E3-9099-C40C66FF867C}">
                  <a14:compatExt spid="_x0000_s108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6</xdr:col>
          <xdr:colOff>1752600</xdr:colOff>
          <xdr:row>37</xdr:row>
          <xdr:rowOff>390525</xdr:rowOff>
        </xdr:to>
        <xdr:sp macro="" textlink="">
          <xdr:nvSpPr>
            <xdr:cNvPr id="1084" name="Check Box 60" hidden="1">
              <a:extLst>
                <a:ext uri="{63B3BB69-23CF-44E3-9099-C40C66FF867C}">
                  <a14:compatExt spid="_x0000_s108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6</xdr:col>
          <xdr:colOff>1752600</xdr:colOff>
          <xdr:row>37</xdr:row>
          <xdr:rowOff>390525</xdr:rowOff>
        </xdr:to>
        <xdr:sp macro="" textlink="">
          <xdr:nvSpPr>
            <xdr:cNvPr id="1085" name="Check Box 61" hidden="1">
              <a:extLst>
                <a:ext uri="{63B3BB69-23CF-44E3-9099-C40C66FF867C}">
                  <a14:compatExt spid="_x0000_s108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67</xdr:row>
          <xdr:rowOff>0</xdr:rowOff>
        </xdr:from>
        <xdr:to>
          <xdr:col>6</xdr:col>
          <xdr:colOff>1752600</xdr:colOff>
          <xdr:row>71</xdr:row>
          <xdr:rowOff>228600</xdr:rowOff>
        </xdr:to>
        <xdr:sp macro="" textlink="">
          <xdr:nvSpPr>
            <xdr:cNvPr id="1086" name="Check Box 62" hidden="1">
              <a:extLst>
                <a:ext uri="{63B3BB69-23CF-44E3-9099-C40C66FF867C}">
                  <a14:compatExt spid="_x0000_s108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67</xdr:row>
          <xdr:rowOff>0</xdr:rowOff>
        </xdr:from>
        <xdr:to>
          <xdr:col>6</xdr:col>
          <xdr:colOff>1752600</xdr:colOff>
          <xdr:row>71</xdr:row>
          <xdr:rowOff>228600</xdr:rowOff>
        </xdr:to>
        <xdr:sp macro="" textlink="">
          <xdr:nvSpPr>
            <xdr:cNvPr id="1087" name="Check Box 63" hidden="1">
              <a:extLst>
                <a:ext uri="{63B3BB69-23CF-44E3-9099-C40C66FF867C}">
                  <a14:compatExt spid="_x0000_s108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72</xdr:row>
          <xdr:rowOff>0</xdr:rowOff>
        </xdr:from>
        <xdr:to>
          <xdr:col>6</xdr:col>
          <xdr:colOff>1752600</xdr:colOff>
          <xdr:row>75</xdr:row>
          <xdr:rowOff>390525</xdr:rowOff>
        </xdr:to>
        <xdr:sp macro="" textlink="">
          <xdr:nvSpPr>
            <xdr:cNvPr id="1088" name="Check Box 64" hidden="1">
              <a:extLst>
                <a:ext uri="{63B3BB69-23CF-44E3-9099-C40C66FF867C}">
                  <a14:compatExt spid="_x0000_s108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72</xdr:row>
          <xdr:rowOff>0</xdr:rowOff>
        </xdr:from>
        <xdr:to>
          <xdr:col>6</xdr:col>
          <xdr:colOff>1752600</xdr:colOff>
          <xdr:row>75</xdr:row>
          <xdr:rowOff>390525</xdr:rowOff>
        </xdr:to>
        <xdr:sp macro="" textlink="">
          <xdr:nvSpPr>
            <xdr:cNvPr id="1089" name="Check Box 65" hidden="1">
              <a:extLst>
                <a:ext uri="{63B3BB69-23CF-44E3-9099-C40C66FF867C}">
                  <a14:compatExt spid="_x0000_s108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93</xdr:row>
          <xdr:rowOff>0</xdr:rowOff>
        </xdr:from>
        <xdr:to>
          <xdr:col>6</xdr:col>
          <xdr:colOff>1752600</xdr:colOff>
          <xdr:row>94</xdr:row>
          <xdr:rowOff>390525</xdr:rowOff>
        </xdr:to>
        <xdr:sp macro="" textlink="">
          <xdr:nvSpPr>
            <xdr:cNvPr id="1090" name="Check Box 66" hidden="1">
              <a:extLst>
                <a:ext uri="{63B3BB69-23CF-44E3-9099-C40C66FF867C}">
                  <a14:compatExt spid="_x0000_s109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93</xdr:row>
          <xdr:rowOff>0</xdr:rowOff>
        </xdr:from>
        <xdr:to>
          <xdr:col>6</xdr:col>
          <xdr:colOff>1752600</xdr:colOff>
          <xdr:row>94</xdr:row>
          <xdr:rowOff>390525</xdr:rowOff>
        </xdr:to>
        <xdr:sp macro="" textlink="">
          <xdr:nvSpPr>
            <xdr:cNvPr id="1091" name="Check Box 67" hidden="1">
              <a:extLst>
                <a:ext uri="{63B3BB69-23CF-44E3-9099-C40C66FF867C}">
                  <a14:compatExt spid="_x0000_s109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147</xdr:row>
          <xdr:rowOff>0</xdr:rowOff>
        </xdr:from>
        <xdr:to>
          <xdr:col>6</xdr:col>
          <xdr:colOff>1752600</xdr:colOff>
          <xdr:row>150</xdr:row>
          <xdr:rowOff>390525</xdr:rowOff>
        </xdr:to>
        <xdr:sp macro="" textlink="">
          <xdr:nvSpPr>
            <xdr:cNvPr id="1092" name="Check Box 68" hidden="1">
              <a:extLst>
                <a:ext uri="{63B3BB69-23CF-44E3-9099-C40C66FF867C}">
                  <a14:compatExt spid="_x0000_s109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147</xdr:row>
          <xdr:rowOff>0</xdr:rowOff>
        </xdr:from>
        <xdr:to>
          <xdr:col>6</xdr:col>
          <xdr:colOff>1752600</xdr:colOff>
          <xdr:row>150</xdr:row>
          <xdr:rowOff>390525</xdr:rowOff>
        </xdr:to>
        <xdr:sp macro="" textlink="">
          <xdr:nvSpPr>
            <xdr:cNvPr id="1093" name="Check Box 69" hidden="1">
              <a:extLst>
                <a:ext uri="{63B3BB69-23CF-44E3-9099-C40C66FF867C}">
                  <a14:compatExt spid="_x0000_s109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166</xdr:row>
          <xdr:rowOff>0</xdr:rowOff>
        </xdr:from>
        <xdr:to>
          <xdr:col>6</xdr:col>
          <xdr:colOff>1752600</xdr:colOff>
          <xdr:row>177</xdr:row>
          <xdr:rowOff>390525</xdr:rowOff>
        </xdr:to>
        <xdr:sp macro="" textlink="">
          <xdr:nvSpPr>
            <xdr:cNvPr id="1094" name="Check Box 70" hidden="1">
              <a:extLst>
                <a:ext uri="{63B3BB69-23CF-44E3-9099-C40C66FF867C}">
                  <a14:compatExt spid="_x0000_s109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166</xdr:row>
          <xdr:rowOff>0</xdr:rowOff>
        </xdr:from>
        <xdr:to>
          <xdr:col>6</xdr:col>
          <xdr:colOff>1752600</xdr:colOff>
          <xdr:row>177</xdr:row>
          <xdr:rowOff>390525</xdr:rowOff>
        </xdr:to>
        <xdr:sp macro="" textlink="">
          <xdr:nvSpPr>
            <xdr:cNvPr id="1095" name="Check Box 71" hidden="1">
              <a:extLst>
                <a:ext uri="{63B3BB69-23CF-44E3-9099-C40C66FF867C}">
                  <a14:compatExt spid="_x0000_s109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178</xdr:row>
          <xdr:rowOff>0</xdr:rowOff>
        </xdr:from>
        <xdr:to>
          <xdr:col>6</xdr:col>
          <xdr:colOff>1752600</xdr:colOff>
          <xdr:row>181</xdr:row>
          <xdr:rowOff>390525</xdr:rowOff>
        </xdr:to>
        <xdr:sp macro="" textlink="">
          <xdr:nvSpPr>
            <xdr:cNvPr id="1096" name="Check Box 72" hidden="1">
              <a:extLst>
                <a:ext uri="{63B3BB69-23CF-44E3-9099-C40C66FF867C}">
                  <a14:compatExt spid="_x0000_s109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178</xdr:row>
          <xdr:rowOff>0</xdr:rowOff>
        </xdr:from>
        <xdr:to>
          <xdr:col>6</xdr:col>
          <xdr:colOff>1752600</xdr:colOff>
          <xdr:row>181</xdr:row>
          <xdr:rowOff>390525</xdr:rowOff>
        </xdr:to>
        <xdr:sp macro="" textlink="">
          <xdr:nvSpPr>
            <xdr:cNvPr id="1097" name="Check Box 73" hidden="1">
              <a:extLst>
                <a:ext uri="{63B3BB69-23CF-44E3-9099-C40C66FF867C}">
                  <a14:compatExt spid="_x0000_s109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194</xdr:row>
          <xdr:rowOff>0</xdr:rowOff>
        </xdr:from>
        <xdr:to>
          <xdr:col>6</xdr:col>
          <xdr:colOff>1752600</xdr:colOff>
          <xdr:row>198</xdr:row>
          <xdr:rowOff>238125</xdr:rowOff>
        </xdr:to>
        <xdr:sp macro="" textlink="">
          <xdr:nvSpPr>
            <xdr:cNvPr id="1098" name="Check Box 74" hidden="1">
              <a:extLst>
                <a:ext uri="{63B3BB69-23CF-44E3-9099-C40C66FF867C}">
                  <a14:compatExt spid="_x0000_s109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194</xdr:row>
          <xdr:rowOff>0</xdr:rowOff>
        </xdr:from>
        <xdr:to>
          <xdr:col>6</xdr:col>
          <xdr:colOff>1752600</xdr:colOff>
          <xdr:row>198</xdr:row>
          <xdr:rowOff>238125</xdr:rowOff>
        </xdr:to>
        <xdr:sp macro="" textlink="">
          <xdr:nvSpPr>
            <xdr:cNvPr id="1099" name="Check Box 75" hidden="1">
              <a:extLst>
                <a:ext uri="{63B3BB69-23CF-44E3-9099-C40C66FF867C}">
                  <a14:compatExt spid="_x0000_s109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199</xdr:row>
          <xdr:rowOff>0</xdr:rowOff>
        </xdr:from>
        <xdr:to>
          <xdr:col>6</xdr:col>
          <xdr:colOff>1752600</xdr:colOff>
          <xdr:row>204</xdr:row>
          <xdr:rowOff>390525</xdr:rowOff>
        </xdr:to>
        <xdr:sp macro="" textlink="">
          <xdr:nvSpPr>
            <xdr:cNvPr id="1100" name="Check Box 76" hidden="1">
              <a:extLst>
                <a:ext uri="{63B3BB69-23CF-44E3-9099-C40C66FF867C}">
                  <a14:compatExt spid="_x0000_s1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199</xdr:row>
          <xdr:rowOff>0</xdr:rowOff>
        </xdr:from>
        <xdr:to>
          <xdr:col>6</xdr:col>
          <xdr:colOff>1752600</xdr:colOff>
          <xdr:row>204</xdr:row>
          <xdr:rowOff>390525</xdr:rowOff>
        </xdr:to>
        <xdr:sp macro="" textlink="">
          <xdr:nvSpPr>
            <xdr:cNvPr id="1101" name="Check Box 77" hidden="1">
              <a:extLst>
                <a:ext uri="{63B3BB69-23CF-44E3-9099-C40C66FF867C}">
                  <a14:compatExt spid="_x0000_s110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219</xdr:row>
          <xdr:rowOff>0</xdr:rowOff>
        </xdr:from>
        <xdr:to>
          <xdr:col>6</xdr:col>
          <xdr:colOff>1752600</xdr:colOff>
          <xdr:row>220</xdr:row>
          <xdr:rowOff>390525</xdr:rowOff>
        </xdr:to>
        <xdr:sp macro="" textlink="">
          <xdr:nvSpPr>
            <xdr:cNvPr id="1102" name="Check Box 78" hidden="1">
              <a:extLst>
                <a:ext uri="{63B3BB69-23CF-44E3-9099-C40C66FF867C}">
                  <a14:compatExt spid="_x0000_s110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219</xdr:row>
          <xdr:rowOff>0</xdr:rowOff>
        </xdr:from>
        <xdr:to>
          <xdr:col>6</xdr:col>
          <xdr:colOff>1752600</xdr:colOff>
          <xdr:row>220</xdr:row>
          <xdr:rowOff>390525</xdr:rowOff>
        </xdr:to>
        <xdr:sp macro="" textlink="">
          <xdr:nvSpPr>
            <xdr:cNvPr id="1103" name="Check Box 79" hidden="1">
              <a:extLst>
                <a:ext uri="{63B3BB69-23CF-44E3-9099-C40C66FF867C}">
                  <a14:compatExt spid="_x0000_s110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6</xdr:col>
          <xdr:colOff>1752600</xdr:colOff>
          <xdr:row>234</xdr:row>
          <xdr:rowOff>390525</xdr:rowOff>
        </xdr:to>
        <xdr:sp macro="" textlink="">
          <xdr:nvSpPr>
            <xdr:cNvPr id="1104" name="Check Box 80" hidden="1">
              <a:extLst>
                <a:ext uri="{63B3BB69-23CF-44E3-9099-C40C66FF867C}">
                  <a14:compatExt spid="_x0000_s110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6</xdr:col>
          <xdr:colOff>1752600</xdr:colOff>
          <xdr:row>234</xdr:row>
          <xdr:rowOff>390525</xdr:rowOff>
        </xdr:to>
        <xdr:sp macro="" textlink="">
          <xdr:nvSpPr>
            <xdr:cNvPr id="1105" name="Check Box 81" hidden="1">
              <a:extLst>
                <a:ext uri="{63B3BB69-23CF-44E3-9099-C40C66FF867C}">
                  <a14:compatExt spid="_x0000_s110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6</xdr:col>
          <xdr:colOff>1752600</xdr:colOff>
          <xdr:row>234</xdr:row>
          <xdr:rowOff>390525</xdr:rowOff>
        </xdr:to>
        <xdr:sp macro="" textlink="">
          <xdr:nvSpPr>
            <xdr:cNvPr id="1106" name="Check Box 82" hidden="1">
              <a:extLst>
                <a:ext uri="{63B3BB69-23CF-44E3-9099-C40C66FF867C}">
                  <a14:compatExt spid="_x0000_s110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6</xdr:col>
          <xdr:colOff>1752600</xdr:colOff>
          <xdr:row>234</xdr:row>
          <xdr:rowOff>390525</xdr:rowOff>
        </xdr:to>
        <xdr:sp macro="" textlink="">
          <xdr:nvSpPr>
            <xdr:cNvPr id="1107" name="Check Box 83" hidden="1">
              <a:extLst>
                <a:ext uri="{63B3BB69-23CF-44E3-9099-C40C66FF867C}">
                  <a14:compatExt spid="_x0000_s110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256</xdr:row>
          <xdr:rowOff>0</xdr:rowOff>
        </xdr:from>
        <xdr:to>
          <xdr:col>6</xdr:col>
          <xdr:colOff>1752600</xdr:colOff>
          <xdr:row>257</xdr:row>
          <xdr:rowOff>390525</xdr:rowOff>
        </xdr:to>
        <xdr:sp macro="" textlink="">
          <xdr:nvSpPr>
            <xdr:cNvPr id="1108" name="Check Box 84" hidden="1">
              <a:extLst>
                <a:ext uri="{63B3BB69-23CF-44E3-9099-C40C66FF867C}">
                  <a14:compatExt spid="_x0000_s110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256</xdr:row>
          <xdr:rowOff>0</xdr:rowOff>
        </xdr:from>
        <xdr:to>
          <xdr:col>6</xdr:col>
          <xdr:colOff>1752600</xdr:colOff>
          <xdr:row>257</xdr:row>
          <xdr:rowOff>390525</xdr:rowOff>
        </xdr:to>
        <xdr:sp macro="" textlink="">
          <xdr:nvSpPr>
            <xdr:cNvPr id="1109" name="Check Box 85" hidden="1">
              <a:extLst>
                <a:ext uri="{63B3BB69-23CF-44E3-9099-C40C66FF867C}">
                  <a14:compatExt spid="_x0000_s110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258</xdr:row>
          <xdr:rowOff>0</xdr:rowOff>
        </xdr:from>
        <xdr:to>
          <xdr:col>6</xdr:col>
          <xdr:colOff>1752600</xdr:colOff>
          <xdr:row>261</xdr:row>
          <xdr:rowOff>390525</xdr:rowOff>
        </xdr:to>
        <xdr:sp macro="" textlink="">
          <xdr:nvSpPr>
            <xdr:cNvPr id="1110" name="Check Box 86" hidden="1">
              <a:extLst>
                <a:ext uri="{63B3BB69-23CF-44E3-9099-C40C66FF867C}">
                  <a14:compatExt spid="_x0000_s111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258</xdr:row>
          <xdr:rowOff>0</xdr:rowOff>
        </xdr:from>
        <xdr:to>
          <xdr:col>6</xdr:col>
          <xdr:colOff>1752600</xdr:colOff>
          <xdr:row>261</xdr:row>
          <xdr:rowOff>390525</xdr:rowOff>
        </xdr:to>
        <xdr:sp macro="" textlink="">
          <xdr:nvSpPr>
            <xdr:cNvPr id="1111" name="Check Box 87" hidden="1">
              <a:extLst>
                <a:ext uri="{63B3BB69-23CF-44E3-9099-C40C66FF867C}">
                  <a14:compatExt spid="_x0000_s111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258</xdr:row>
          <xdr:rowOff>0</xdr:rowOff>
        </xdr:from>
        <xdr:to>
          <xdr:col>6</xdr:col>
          <xdr:colOff>1752600</xdr:colOff>
          <xdr:row>261</xdr:row>
          <xdr:rowOff>390525</xdr:rowOff>
        </xdr:to>
        <xdr:sp macro="" textlink="">
          <xdr:nvSpPr>
            <xdr:cNvPr id="1112" name="Check Box 88" hidden="1">
              <a:extLst>
                <a:ext uri="{63B3BB69-23CF-44E3-9099-C40C66FF867C}">
                  <a14:compatExt spid="_x0000_s111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258</xdr:row>
          <xdr:rowOff>0</xdr:rowOff>
        </xdr:from>
        <xdr:to>
          <xdr:col>6</xdr:col>
          <xdr:colOff>1752600</xdr:colOff>
          <xdr:row>261</xdr:row>
          <xdr:rowOff>390525</xdr:rowOff>
        </xdr:to>
        <xdr:sp macro="" textlink="">
          <xdr:nvSpPr>
            <xdr:cNvPr id="1113" name="Check Box 89" hidden="1">
              <a:extLst>
                <a:ext uri="{63B3BB69-23CF-44E3-9099-C40C66FF867C}">
                  <a14:compatExt spid="_x0000_s111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285</xdr:row>
          <xdr:rowOff>0</xdr:rowOff>
        </xdr:from>
        <xdr:to>
          <xdr:col>6</xdr:col>
          <xdr:colOff>1752600</xdr:colOff>
          <xdr:row>286</xdr:row>
          <xdr:rowOff>390525</xdr:rowOff>
        </xdr:to>
        <xdr:sp macro="" textlink="">
          <xdr:nvSpPr>
            <xdr:cNvPr id="1114" name="Check Box 90" hidden="1">
              <a:extLst>
                <a:ext uri="{63B3BB69-23CF-44E3-9099-C40C66FF867C}">
                  <a14:compatExt spid="_x0000_s111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285</xdr:row>
          <xdr:rowOff>0</xdr:rowOff>
        </xdr:from>
        <xdr:to>
          <xdr:col>6</xdr:col>
          <xdr:colOff>1752600</xdr:colOff>
          <xdr:row>286</xdr:row>
          <xdr:rowOff>390525</xdr:rowOff>
        </xdr:to>
        <xdr:sp macro="" textlink="">
          <xdr:nvSpPr>
            <xdr:cNvPr id="1115" name="Check Box 91" hidden="1">
              <a:extLst>
                <a:ext uri="{63B3BB69-23CF-44E3-9099-C40C66FF867C}">
                  <a14:compatExt spid="_x0000_s111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6</xdr:col>
          <xdr:colOff>1752600</xdr:colOff>
          <xdr:row>292</xdr:row>
          <xdr:rowOff>390525</xdr:rowOff>
        </xdr:to>
        <xdr:sp macro="" textlink="">
          <xdr:nvSpPr>
            <xdr:cNvPr id="1116" name="Check Box 92" hidden="1">
              <a:extLst>
                <a:ext uri="{63B3BB69-23CF-44E3-9099-C40C66FF867C}">
                  <a14:compatExt spid="_x0000_s111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6</xdr:col>
          <xdr:colOff>1752600</xdr:colOff>
          <xdr:row>292</xdr:row>
          <xdr:rowOff>390525</xdr:rowOff>
        </xdr:to>
        <xdr:sp macro="" textlink="">
          <xdr:nvSpPr>
            <xdr:cNvPr id="1117" name="Check Box 93" hidden="1">
              <a:extLst>
                <a:ext uri="{63B3BB69-23CF-44E3-9099-C40C66FF867C}">
                  <a14:compatExt spid="_x0000_s111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6</xdr:col>
          <xdr:colOff>1752600</xdr:colOff>
          <xdr:row>292</xdr:row>
          <xdr:rowOff>390525</xdr:rowOff>
        </xdr:to>
        <xdr:sp macro="" textlink="">
          <xdr:nvSpPr>
            <xdr:cNvPr id="1118" name="Check Box 94" hidden="1">
              <a:extLst>
                <a:ext uri="{63B3BB69-23CF-44E3-9099-C40C66FF867C}">
                  <a14:compatExt spid="_x0000_s111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6</xdr:col>
          <xdr:colOff>1752600</xdr:colOff>
          <xdr:row>292</xdr:row>
          <xdr:rowOff>390525</xdr:rowOff>
        </xdr:to>
        <xdr:sp macro="" textlink="">
          <xdr:nvSpPr>
            <xdr:cNvPr id="1119" name="Check Box 95" hidden="1">
              <a:extLst>
                <a:ext uri="{63B3BB69-23CF-44E3-9099-C40C66FF867C}">
                  <a14:compatExt spid="_x0000_s111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6</xdr:col>
          <xdr:colOff>1752600</xdr:colOff>
          <xdr:row>330</xdr:row>
          <xdr:rowOff>390525</xdr:rowOff>
        </xdr:to>
        <xdr:sp macro="" textlink="">
          <xdr:nvSpPr>
            <xdr:cNvPr id="1120" name="Check Box 96" hidden="1">
              <a:extLst>
                <a:ext uri="{63B3BB69-23CF-44E3-9099-C40C66FF867C}">
                  <a14:compatExt spid="_x0000_s112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6</xdr:col>
          <xdr:colOff>1752600</xdr:colOff>
          <xdr:row>330</xdr:row>
          <xdr:rowOff>390525</xdr:rowOff>
        </xdr:to>
        <xdr:sp macro="" textlink="">
          <xdr:nvSpPr>
            <xdr:cNvPr id="1121" name="Check Box 97" hidden="1">
              <a:extLst>
                <a:ext uri="{63B3BB69-23CF-44E3-9099-C40C66FF867C}">
                  <a14:compatExt spid="_x0000_s112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6</xdr:col>
          <xdr:colOff>1752600</xdr:colOff>
          <xdr:row>330</xdr:row>
          <xdr:rowOff>390525</xdr:rowOff>
        </xdr:to>
        <xdr:sp macro="" textlink="">
          <xdr:nvSpPr>
            <xdr:cNvPr id="1122" name="Check Box 98" hidden="1">
              <a:extLst>
                <a:ext uri="{63B3BB69-23CF-44E3-9099-C40C66FF867C}">
                  <a14:compatExt spid="_x0000_s112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6</xdr:col>
          <xdr:colOff>1752600</xdr:colOff>
          <xdr:row>330</xdr:row>
          <xdr:rowOff>390525</xdr:rowOff>
        </xdr:to>
        <xdr:sp macro="" textlink="">
          <xdr:nvSpPr>
            <xdr:cNvPr id="1123" name="Check Box 99" hidden="1">
              <a:extLst>
                <a:ext uri="{63B3BB69-23CF-44E3-9099-C40C66FF867C}">
                  <a14:compatExt spid="_x0000_s112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6</xdr:col>
          <xdr:colOff>1752600</xdr:colOff>
          <xdr:row>368</xdr:row>
          <xdr:rowOff>390525</xdr:rowOff>
        </xdr:to>
        <xdr:sp macro="" textlink="">
          <xdr:nvSpPr>
            <xdr:cNvPr id="1124" name="Check Box 100" hidden="1">
              <a:extLst>
                <a:ext uri="{63B3BB69-23CF-44E3-9099-C40C66FF867C}">
                  <a14:compatExt spid="_x0000_s112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6</xdr:col>
          <xdr:colOff>1752600</xdr:colOff>
          <xdr:row>368</xdr:row>
          <xdr:rowOff>390525</xdr:rowOff>
        </xdr:to>
        <xdr:sp macro="" textlink="">
          <xdr:nvSpPr>
            <xdr:cNvPr id="1125" name="Check Box 101" hidden="1">
              <a:extLst>
                <a:ext uri="{63B3BB69-23CF-44E3-9099-C40C66FF867C}">
                  <a14:compatExt spid="_x0000_s112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6</xdr:col>
          <xdr:colOff>1752600</xdr:colOff>
          <xdr:row>368</xdr:row>
          <xdr:rowOff>390525</xdr:rowOff>
        </xdr:to>
        <xdr:sp macro="" textlink="">
          <xdr:nvSpPr>
            <xdr:cNvPr id="1126" name="Check Box 102" hidden="1">
              <a:extLst>
                <a:ext uri="{63B3BB69-23CF-44E3-9099-C40C66FF867C}">
                  <a14:compatExt spid="_x0000_s112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6</xdr:col>
          <xdr:colOff>1752600</xdr:colOff>
          <xdr:row>368</xdr:row>
          <xdr:rowOff>390525</xdr:rowOff>
        </xdr:to>
        <xdr:sp macro="" textlink="">
          <xdr:nvSpPr>
            <xdr:cNvPr id="1127" name="Check Box 103" hidden="1">
              <a:extLst>
                <a:ext uri="{63B3BB69-23CF-44E3-9099-C40C66FF867C}">
                  <a14:compatExt spid="_x0000_s112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386</xdr:row>
          <xdr:rowOff>0</xdr:rowOff>
        </xdr:from>
        <xdr:to>
          <xdr:col>6</xdr:col>
          <xdr:colOff>1752600</xdr:colOff>
          <xdr:row>391</xdr:row>
          <xdr:rowOff>390525</xdr:rowOff>
        </xdr:to>
        <xdr:sp macro="" textlink="">
          <xdr:nvSpPr>
            <xdr:cNvPr id="1128" name="Check Box 104" hidden="1">
              <a:extLst>
                <a:ext uri="{63B3BB69-23CF-44E3-9099-C40C66FF867C}">
                  <a14:compatExt spid="_x0000_s112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386</xdr:row>
          <xdr:rowOff>0</xdr:rowOff>
        </xdr:from>
        <xdr:to>
          <xdr:col>6</xdr:col>
          <xdr:colOff>1752600</xdr:colOff>
          <xdr:row>391</xdr:row>
          <xdr:rowOff>390525</xdr:rowOff>
        </xdr:to>
        <xdr:sp macro="" textlink="">
          <xdr:nvSpPr>
            <xdr:cNvPr id="1129" name="Check Box 105" hidden="1">
              <a:extLst>
                <a:ext uri="{63B3BB69-23CF-44E3-9099-C40C66FF867C}">
                  <a14:compatExt spid="_x0000_s112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452</xdr:row>
          <xdr:rowOff>0</xdr:rowOff>
        </xdr:from>
        <xdr:to>
          <xdr:col>6</xdr:col>
          <xdr:colOff>1752600</xdr:colOff>
          <xdr:row>453</xdr:row>
          <xdr:rowOff>390525</xdr:rowOff>
        </xdr:to>
        <xdr:sp macro="" textlink="">
          <xdr:nvSpPr>
            <xdr:cNvPr id="1130" name="Check Box 106" hidden="1">
              <a:extLst>
                <a:ext uri="{63B3BB69-23CF-44E3-9099-C40C66FF867C}">
                  <a14:compatExt spid="_x0000_s113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452</xdr:row>
          <xdr:rowOff>0</xdr:rowOff>
        </xdr:from>
        <xdr:to>
          <xdr:col>6</xdr:col>
          <xdr:colOff>1752600</xdr:colOff>
          <xdr:row>453</xdr:row>
          <xdr:rowOff>390525</xdr:rowOff>
        </xdr:to>
        <xdr:sp macro="" textlink="">
          <xdr:nvSpPr>
            <xdr:cNvPr id="1131" name="Check Box 107" hidden="1">
              <a:extLst>
                <a:ext uri="{63B3BB69-23CF-44E3-9099-C40C66FF867C}">
                  <a14:compatExt spid="_x0000_s113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454</xdr:row>
          <xdr:rowOff>0</xdr:rowOff>
        </xdr:from>
        <xdr:to>
          <xdr:col>6</xdr:col>
          <xdr:colOff>1752600</xdr:colOff>
          <xdr:row>457</xdr:row>
          <xdr:rowOff>390525</xdr:rowOff>
        </xdr:to>
        <xdr:sp macro="" textlink="">
          <xdr:nvSpPr>
            <xdr:cNvPr id="1132" name="Check Box 108" hidden="1">
              <a:extLst>
                <a:ext uri="{63B3BB69-23CF-44E3-9099-C40C66FF867C}">
                  <a14:compatExt spid="_x0000_s113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454</xdr:row>
          <xdr:rowOff>0</xdr:rowOff>
        </xdr:from>
        <xdr:to>
          <xdr:col>6</xdr:col>
          <xdr:colOff>1752600</xdr:colOff>
          <xdr:row>457</xdr:row>
          <xdr:rowOff>390525</xdr:rowOff>
        </xdr:to>
        <xdr:sp macro="" textlink="">
          <xdr:nvSpPr>
            <xdr:cNvPr id="1133" name="Check Box 109" hidden="1">
              <a:extLst>
                <a:ext uri="{63B3BB69-23CF-44E3-9099-C40C66FF867C}">
                  <a14:compatExt spid="_x0000_s113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484</xdr:row>
          <xdr:rowOff>0</xdr:rowOff>
        </xdr:from>
        <xdr:to>
          <xdr:col>6</xdr:col>
          <xdr:colOff>1752600</xdr:colOff>
          <xdr:row>489</xdr:row>
          <xdr:rowOff>390525</xdr:rowOff>
        </xdr:to>
        <xdr:sp macro="" textlink="">
          <xdr:nvSpPr>
            <xdr:cNvPr id="1134" name="Check Box 110" hidden="1">
              <a:extLst>
                <a:ext uri="{63B3BB69-23CF-44E3-9099-C40C66FF867C}">
                  <a14:compatExt spid="_x0000_s113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484</xdr:row>
          <xdr:rowOff>0</xdr:rowOff>
        </xdr:from>
        <xdr:to>
          <xdr:col>6</xdr:col>
          <xdr:colOff>1752600</xdr:colOff>
          <xdr:row>489</xdr:row>
          <xdr:rowOff>390525</xdr:rowOff>
        </xdr:to>
        <xdr:sp macro="" textlink="">
          <xdr:nvSpPr>
            <xdr:cNvPr id="1135" name="Check Box 111" hidden="1">
              <a:extLst>
                <a:ext uri="{63B3BB69-23CF-44E3-9099-C40C66FF867C}">
                  <a14:compatExt spid="_x0000_s113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514</xdr:row>
          <xdr:rowOff>0</xdr:rowOff>
        </xdr:from>
        <xdr:to>
          <xdr:col>6</xdr:col>
          <xdr:colOff>1752600</xdr:colOff>
          <xdr:row>515</xdr:row>
          <xdr:rowOff>390525</xdr:rowOff>
        </xdr:to>
        <xdr:sp macro="" textlink="">
          <xdr:nvSpPr>
            <xdr:cNvPr id="1136" name="Check Box 112" hidden="1">
              <a:extLst>
                <a:ext uri="{63B3BB69-23CF-44E3-9099-C40C66FF867C}">
                  <a14:compatExt spid="_x0000_s113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514</xdr:row>
          <xdr:rowOff>0</xdr:rowOff>
        </xdr:from>
        <xdr:to>
          <xdr:col>6</xdr:col>
          <xdr:colOff>1752600</xdr:colOff>
          <xdr:row>515</xdr:row>
          <xdr:rowOff>390525</xdr:rowOff>
        </xdr:to>
        <xdr:sp macro="" textlink="">
          <xdr:nvSpPr>
            <xdr:cNvPr id="1137" name="Check Box 113" hidden="1">
              <a:extLst>
                <a:ext uri="{63B3BB69-23CF-44E3-9099-C40C66FF867C}">
                  <a14:compatExt spid="_x0000_s113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503</xdr:row>
          <xdr:rowOff>0</xdr:rowOff>
        </xdr:from>
        <xdr:to>
          <xdr:col>6</xdr:col>
          <xdr:colOff>1752600</xdr:colOff>
          <xdr:row>504</xdr:row>
          <xdr:rowOff>390525</xdr:rowOff>
        </xdr:to>
        <xdr:sp macro="" textlink="">
          <xdr:nvSpPr>
            <xdr:cNvPr id="1138" name="Check Box 114" hidden="1">
              <a:extLst>
                <a:ext uri="{63B3BB69-23CF-44E3-9099-C40C66FF867C}">
                  <a14:compatExt spid="_x0000_s113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503</xdr:row>
          <xdr:rowOff>0</xdr:rowOff>
        </xdr:from>
        <xdr:to>
          <xdr:col>6</xdr:col>
          <xdr:colOff>1752600</xdr:colOff>
          <xdr:row>504</xdr:row>
          <xdr:rowOff>390525</xdr:rowOff>
        </xdr:to>
        <xdr:sp macro="" textlink="">
          <xdr:nvSpPr>
            <xdr:cNvPr id="1139" name="Check Box 115" hidden="1">
              <a:extLst>
                <a:ext uri="{63B3BB69-23CF-44E3-9099-C40C66FF867C}">
                  <a14:compatExt spid="_x0000_s113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528</xdr:row>
          <xdr:rowOff>0</xdr:rowOff>
        </xdr:from>
        <xdr:to>
          <xdr:col>6</xdr:col>
          <xdr:colOff>1752600</xdr:colOff>
          <xdr:row>529</xdr:row>
          <xdr:rowOff>390525</xdr:rowOff>
        </xdr:to>
        <xdr:sp macro="" textlink="">
          <xdr:nvSpPr>
            <xdr:cNvPr id="1141" name="Check Box 117" hidden="1">
              <a:extLst>
                <a:ext uri="{63B3BB69-23CF-44E3-9099-C40C66FF867C}">
                  <a14:compatExt spid="_x0000_s114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528</xdr:row>
          <xdr:rowOff>0</xdr:rowOff>
        </xdr:from>
        <xdr:to>
          <xdr:col>6</xdr:col>
          <xdr:colOff>1752600</xdr:colOff>
          <xdr:row>529</xdr:row>
          <xdr:rowOff>390525</xdr:rowOff>
        </xdr:to>
        <xdr:sp macro="" textlink="">
          <xdr:nvSpPr>
            <xdr:cNvPr id="1142" name="Check Box 118" hidden="1">
              <a:extLst>
                <a:ext uri="{63B3BB69-23CF-44E3-9099-C40C66FF867C}">
                  <a14:compatExt spid="_x0000_s114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6</xdr:col>
          <xdr:colOff>1752600</xdr:colOff>
          <xdr:row>531</xdr:row>
          <xdr:rowOff>390525</xdr:rowOff>
        </xdr:to>
        <xdr:sp macro="" textlink="">
          <xdr:nvSpPr>
            <xdr:cNvPr id="1143" name="Check Box 119" hidden="1">
              <a:extLst>
                <a:ext uri="{63B3BB69-23CF-44E3-9099-C40C66FF867C}">
                  <a14:compatExt spid="_x0000_s114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6</xdr:col>
          <xdr:colOff>1752600</xdr:colOff>
          <xdr:row>531</xdr:row>
          <xdr:rowOff>390525</xdr:rowOff>
        </xdr:to>
        <xdr:sp macro="" textlink="">
          <xdr:nvSpPr>
            <xdr:cNvPr id="1144" name="Check Box 120" hidden="1">
              <a:extLst>
                <a:ext uri="{63B3BB69-23CF-44E3-9099-C40C66FF867C}">
                  <a14:compatExt spid="_x0000_s114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6</xdr:col>
          <xdr:colOff>1752600</xdr:colOff>
          <xdr:row>531</xdr:row>
          <xdr:rowOff>390525</xdr:rowOff>
        </xdr:to>
        <xdr:sp macro="" textlink="">
          <xdr:nvSpPr>
            <xdr:cNvPr id="1145" name="Check Box 121" hidden="1">
              <a:extLst>
                <a:ext uri="{63B3BB69-23CF-44E3-9099-C40C66FF867C}">
                  <a14:compatExt spid="_x0000_s114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6</xdr:col>
          <xdr:colOff>1752600</xdr:colOff>
          <xdr:row>531</xdr:row>
          <xdr:rowOff>390525</xdr:rowOff>
        </xdr:to>
        <xdr:sp macro="" textlink="">
          <xdr:nvSpPr>
            <xdr:cNvPr id="1146" name="Check Box 122" hidden="1">
              <a:extLst>
                <a:ext uri="{63B3BB69-23CF-44E3-9099-C40C66FF867C}">
                  <a14:compatExt spid="_x0000_s114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532</xdr:row>
          <xdr:rowOff>0</xdr:rowOff>
        </xdr:from>
        <xdr:to>
          <xdr:col>6</xdr:col>
          <xdr:colOff>1752600</xdr:colOff>
          <xdr:row>533</xdr:row>
          <xdr:rowOff>390525</xdr:rowOff>
        </xdr:to>
        <xdr:sp macro="" textlink="">
          <xdr:nvSpPr>
            <xdr:cNvPr id="1147" name="Check Box 123" hidden="1">
              <a:extLst>
                <a:ext uri="{63B3BB69-23CF-44E3-9099-C40C66FF867C}">
                  <a14:compatExt spid="_x0000_s114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532</xdr:row>
          <xdr:rowOff>0</xdr:rowOff>
        </xdr:from>
        <xdr:to>
          <xdr:col>6</xdr:col>
          <xdr:colOff>1752600</xdr:colOff>
          <xdr:row>533</xdr:row>
          <xdr:rowOff>390525</xdr:rowOff>
        </xdr:to>
        <xdr:sp macro="" textlink="">
          <xdr:nvSpPr>
            <xdr:cNvPr id="1148" name="Check Box 124" hidden="1">
              <a:extLst>
                <a:ext uri="{63B3BB69-23CF-44E3-9099-C40C66FF867C}">
                  <a14:compatExt spid="_x0000_s114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534</xdr:row>
          <xdr:rowOff>0</xdr:rowOff>
        </xdr:from>
        <xdr:to>
          <xdr:col>6</xdr:col>
          <xdr:colOff>1752600</xdr:colOff>
          <xdr:row>535</xdr:row>
          <xdr:rowOff>390525</xdr:rowOff>
        </xdr:to>
        <xdr:sp macro="" textlink="">
          <xdr:nvSpPr>
            <xdr:cNvPr id="1149" name="Check Box 125" hidden="1">
              <a:extLst>
                <a:ext uri="{63B3BB69-23CF-44E3-9099-C40C66FF867C}">
                  <a14:compatExt spid="_x0000_s114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534</xdr:row>
          <xdr:rowOff>0</xdr:rowOff>
        </xdr:from>
        <xdr:to>
          <xdr:col>6</xdr:col>
          <xdr:colOff>1752600</xdr:colOff>
          <xdr:row>535</xdr:row>
          <xdr:rowOff>390525</xdr:rowOff>
        </xdr:to>
        <xdr:sp macro="" textlink="">
          <xdr:nvSpPr>
            <xdr:cNvPr id="1150" name="Check Box 126" hidden="1">
              <a:extLst>
                <a:ext uri="{63B3BB69-23CF-44E3-9099-C40C66FF867C}">
                  <a14:compatExt spid="_x0000_s115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534</xdr:row>
          <xdr:rowOff>0</xdr:rowOff>
        </xdr:from>
        <xdr:to>
          <xdr:col>6</xdr:col>
          <xdr:colOff>1752600</xdr:colOff>
          <xdr:row>535</xdr:row>
          <xdr:rowOff>390525</xdr:rowOff>
        </xdr:to>
        <xdr:sp macro="" textlink="">
          <xdr:nvSpPr>
            <xdr:cNvPr id="1151" name="Check Box 127" hidden="1">
              <a:extLst>
                <a:ext uri="{63B3BB69-23CF-44E3-9099-C40C66FF867C}">
                  <a14:compatExt spid="_x0000_s115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534</xdr:row>
          <xdr:rowOff>0</xdr:rowOff>
        </xdr:from>
        <xdr:to>
          <xdr:col>6</xdr:col>
          <xdr:colOff>1752600</xdr:colOff>
          <xdr:row>535</xdr:row>
          <xdr:rowOff>390525</xdr:rowOff>
        </xdr:to>
        <xdr:sp macro="" textlink="">
          <xdr:nvSpPr>
            <xdr:cNvPr id="1152" name="Check Box 128" hidden="1">
              <a:extLst>
                <a:ext uri="{63B3BB69-23CF-44E3-9099-C40C66FF867C}">
                  <a14:compatExt spid="_x0000_s115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534</xdr:row>
          <xdr:rowOff>0</xdr:rowOff>
        </xdr:from>
        <xdr:to>
          <xdr:col>6</xdr:col>
          <xdr:colOff>1752600</xdr:colOff>
          <xdr:row>535</xdr:row>
          <xdr:rowOff>390525</xdr:rowOff>
        </xdr:to>
        <xdr:sp macro="" textlink="">
          <xdr:nvSpPr>
            <xdr:cNvPr id="1153" name="Check Box 129" hidden="1">
              <a:extLst>
                <a:ext uri="{63B3BB69-23CF-44E3-9099-C40C66FF867C}">
                  <a14:compatExt spid="_x0000_s115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534</xdr:row>
          <xdr:rowOff>0</xdr:rowOff>
        </xdr:from>
        <xdr:to>
          <xdr:col>6</xdr:col>
          <xdr:colOff>1752600</xdr:colOff>
          <xdr:row>535</xdr:row>
          <xdr:rowOff>390525</xdr:rowOff>
        </xdr:to>
        <xdr:sp macro="" textlink="">
          <xdr:nvSpPr>
            <xdr:cNvPr id="1154" name="Check Box 130" hidden="1">
              <a:extLst>
                <a:ext uri="{63B3BB69-23CF-44E3-9099-C40C66FF867C}">
                  <a14:compatExt spid="_x0000_s115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536</xdr:row>
          <xdr:rowOff>0</xdr:rowOff>
        </xdr:from>
        <xdr:to>
          <xdr:col>6</xdr:col>
          <xdr:colOff>1752600</xdr:colOff>
          <xdr:row>537</xdr:row>
          <xdr:rowOff>390525</xdr:rowOff>
        </xdr:to>
        <xdr:sp macro="" textlink="">
          <xdr:nvSpPr>
            <xdr:cNvPr id="1155" name="Check Box 131" hidden="1">
              <a:extLst>
                <a:ext uri="{63B3BB69-23CF-44E3-9099-C40C66FF867C}">
                  <a14:compatExt spid="_x0000_s115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536</xdr:row>
          <xdr:rowOff>0</xdr:rowOff>
        </xdr:from>
        <xdr:to>
          <xdr:col>6</xdr:col>
          <xdr:colOff>1752600</xdr:colOff>
          <xdr:row>537</xdr:row>
          <xdr:rowOff>390525</xdr:rowOff>
        </xdr:to>
        <xdr:sp macro="" textlink="">
          <xdr:nvSpPr>
            <xdr:cNvPr id="1156" name="Check Box 132" hidden="1">
              <a:extLst>
                <a:ext uri="{63B3BB69-23CF-44E3-9099-C40C66FF867C}">
                  <a14:compatExt spid="_x0000_s115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536</xdr:row>
          <xdr:rowOff>0</xdr:rowOff>
        </xdr:from>
        <xdr:to>
          <xdr:col>6</xdr:col>
          <xdr:colOff>1752600</xdr:colOff>
          <xdr:row>537</xdr:row>
          <xdr:rowOff>390525</xdr:rowOff>
        </xdr:to>
        <xdr:sp macro="" textlink="">
          <xdr:nvSpPr>
            <xdr:cNvPr id="1157" name="Check Box 133" hidden="1">
              <a:extLst>
                <a:ext uri="{63B3BB69-23CF-44E3-9099-C40C66FF867C}">
                  <a14:compatExt spid="_x0000_s115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536</xdr:row>
          <xdr:rowOff>0</xdr:rowOff>
        </xdr:from>
        <xdr:to>
          <xdr:col>6</xdr:col>
          <xdr:colOff>1752600</xdr:colOff>
          <xdr:row>537</xdr:row>
          <xdr:rowOff>390525</xdr:rowOff>
        </xdr:to>
        <xdr:sp macro="" textlink="">
          <xdr:nvSpPr>
            <xdr:cNvPr id="1158" name="Check Box 134" hidden="1">
              <a:extLst>
                <a:ext uri="{63B3BB69-23CF-44E3-9099-C40C66FF867C}">
                  <a14:compatExt spid="_x0000_s115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536</xdr:row>
          <xdr:rowOff>0</xdr:rowOff>
        </xdr:from>
        <xdr:to>
          <xdr:col>6</xdr:col>
          <xdr:colOff>1752600</xdr:colOff>
          <xdr:row>537</xdr:row>
          <xdr:rowOff>390525</xdr:rowOff>
        </xdr:to>
        <xdr:sp macro="" textlink="">
          <xdr:nvSpPr>
            <xdr:cNvPr id="1159" name="Check Box 135" hidden="1">
              <a:extLst>
                <a:ext uri="{63B3BB69-23CF-44E3-9099-C40C66FF867C}">
                  <a14:compatExt spid="_x0000_s115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536</xdr:row>
          <xdr:rowOff>0</xdr:rowOff>
        </xdr:from>
        <xdr:to>
          <xdr:col>6</xdr:col>
          <xdr:colOff>1752600</xdr:colOff>
          <xdr:row>537</xdr:row>
          <xdr:rowOff>390525</xdr:rowOff>
        </xdr:to>
        <xdr:sp macro="" textlink="">
          <xdr:nvSpPr>
            <xdr:cNvPr id="1160" name="Check Box 136" hidden="1">
              <a:extLst>
                <a:ext uri="{63B3BB69-23CF-44E3-9099-C40C66FF867C}">
                  <a14:compatExt spid="_x0000_s116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6</xdr:col>
          <xdr:colOff>1752600</xdr:colOff>
          <xdr:row>539</xdr:row>
          <xdr:rowOff>390525</xdr:rowOff>
        </xdr:to>
        <xdr:sp macro="" textlink="">
          <xdr:nvSpPr>
            <xdr:cNvPr id="1161" name="Check Box 137" hidden="1">
              <a:extLst>
                <a:ext uri="{63B3BB69-23CF-44E3-9099-C40C66FF867C}">
                  <a14:compatExt spid="_x0000_s116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6</xdr:col>
          <xdr:colOff>1752600</xdr:colOff>
          <xdr:row>539</xdr:row>
          <xdr:rowOff>390525</xdr:rowOff>
        </xdr:to>
        <xdr:sp macro="" textlink="">
          <xdr:nvSpPr>
            <xdr:cNvPr id="1162" name="Check Box 138" hidden="1">
              <a:extLst>
                <a:ext uri="{63B3BB69-23CF-44E3-9099-C40C66FF867C}">
                  <a14:compatExt spid="_x0000_s116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6</xdr:col>
          <xdr:colOff>1752600</xdr:colOff>
          <xdr:row>539</xdr:row>
          <xdr:rowOff>390525</xdr:rowOff>
        </xdr:to>
        <xdr:sp macro="" textlink="">
          <xdr:nvSpPr>
            <xdr:cNvPr id="1163" name="Check Box 139" hidden="1">
              <a:extLst>
                <a:ext uri="{63B3BB69-23CF-44E3-9099-C40C66FF867C}">
                  <a14:compatExt spid="_x0000_s116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6</xdr:col>
          <xdr:colOff>1752600</xdr:colOff>
          <xdr:row>539</xdr:row>
          <xdr:rowOff>390525</xdr:rowOff>
        </xdr:to>
        <xdr:sp macro="" textlink="">
          <xdr:nvSpPr>
            <xdr:cNvPr id="1164" name="Check Box 140" hidden="1">
              <a:extLst>
                <a:ext uri="{63B3BB69-23CF-44E3-9099-C40C66FF867C}">
                  <a14:compatExt spid="_x0000_s116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6</xdr:col>
          <xdr:colOff>1752600</xdr:colOff>
          <xdr:row>539</xdr:row>
          <xdr:rowOff>390525</xdr:rowOff>
        </xdr:to>
        <xdr:sp macro="" textlink="">
          <xdr:nvSpPr>
            <xdr:cNvPr id="1165" name="Check Box 141" hidden="1">
              <a:extLst>
                <a:ext uri="{63B3BB69-23CF-44E3-9099-C40C66FF867C}">
                  <a14:compatExt spid="_x0000_s116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6</xdr:col>
          <xdr:colOff>1752600</xdr:colOff>
          <xdr:row>539</xdr:row>
          <xdr:rowOff>390525</xdr:rowOff>
        </xdr:to>
        <xdr:sp macro="" textlink="">
          <xdr:nvSpPr>
            <xdr:cNvPr id="1166" name="Check Box 142" hidden="1">
              <a:extLst>
                <a:ext uri="{63B3BB69-23CF-44E3-9099-C40C66FF867C}">
                  <a14:compatExt spid="_x0000_s116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6</xdr:col>
          <xdr:colOff>1752600</xdr:colOff>
          <xdr:row>541</xdr:row>
          <xdr:rowOff>390525</xdr:rowOff>
        </xdr:to>
        <xdr:sp macro="" textlink="">
          <xdr:nvSpPr>
            <xdr:cNvPr id="1167" name="Check Box 143" hidden="1">
              <a:extLst>
                <a:ext uri="{63B3BB69-23CF-44E3-9099-C40C66FF867C}">
                  <a14:compatExt spid="_x0000_s116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6</xdr:col>
          <xdr:colOff>1752600</xdr:colOff>
          <xdr:row>541</xdr:row>
          <xdr:rowOff>390525</xdr:rowOff>
        </xdr:to>
        <xdr:sp macro="" textlink="">
          <xdr:nvSpPr>
            <xdr:cNvPr id="1168" name="Check Box 144" hidden="1">
              <a:extLst>
                <a:ext uri="{63B3BB69-23CF-44E3-9099-C40C66FF867C}">
                  <a14:compatExt spid="_x0000_s116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6</xdr:col>
          <xdr:colOff>1752600</xdr:colOff>
          <xdr:row>541</xdr:row>
          <xdr:rowOff>390525</xdr:rowOff>
        </xdr:to>
        <xdr:sp macro="" textlink="">
          <xdr:nvSpPr>
            <xdr:cNvPr id="1169" name="Check Box 145" hidden="1">
              <a:extLst>
                <a:ext uri="{63B3BB69-23CF-44E3-9099-C40C66FF867C}">
                  <a14:compatExt spid="_x0000_s116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6</xdr:col>
          <xdr:colOff>1752600</xdr:colOff>
          <xdr:row>541</xdr:row>
          <xdr:rowOff>390525</xdr:rowOff>
        </xdr:to>
        <xdr:sp macro="" textlink="">
          <xdr:nvSpPr>
            <xdr:cNvPr id="1170" name="Check Box 146" hidden="1">
              <a:extLst>
                <a:ext uri="{63B3BB69-23CF-44E3-9099-C40C66FF867C}">
                  <a14:compatExt spid="_x0000_s117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6</xdr:col>
          <xdr:colOff>1752600</xdr:colOff>
          <xdr:row>541</xdr:row>
          <xdr:rowOff>390525</xdr:rowOff>
        </xdr:to>
        <xdr:sp macro="" textlink="">
          <xdr:nvSpPr>
            <xdr:cNvPr id="1171" name="Check Box 147" hidden="1">
              <a:extLst>
                <a:ext uri="{63B3BB69-23CF-44E3-9099-C40C66FF867C}">
                  <a14:compatExt spid="_x0000_s117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6</xdr:col>
          <xdr:colOff>1752600</xdr:colOff>
          <xdr:row>541</xdr:row>
          <xdr:rowOff>390525</xdr:rowOff>
        </xdr:to>
        <xdr:sp macro="" textlink="">
          <xdr:nvSpPr>
            <xdr:cNvPr id="1172" name="Check Box 148" hidden="1">
              <a:extLst>
                <a:ext uri="{63B3BB69-23CF-44E3-9099-C40C66FF867C}">
                  <a14:compatExt spid="_x0000_s117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6</xdr:col>
          <xdr:colOff>1752600</xdr:colOff>
          <xdr:row>543</xdr:row>
          <xdr:rowOff>390525</xdr:rowOff>
        </xdr:to>
        <xdr:sp macro="" textlink="">
          <xdr:nvSpPr>
            <xdr:cNvPr id="1173" name="Check Box 149" hidden="1">
              <a:extLst>
                <a:ext uri="{63B3BB69-23CF-44E3-9099-C40C66FF867C}">
                  <a14:compatExt spid="_x0000_s117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6</xdr:col>
          <xdr:colOff>1752600</xdr:colOff>
          <xdr:row>543</xdr:row>
          <xdr:rowOff>390525</xdr:rowOff>
        </xdr:to>
        <xdr:sp macro="" textlink="">
          <xdr:nvSpPr>
            <xdr:cNvPr id="1174" name="Check Box 150" hidden="1">
              <a:extLst>
                <a:ext uri="{63B3BB69-23CF-44E3-9099-C40C66FF867C}">
                  <a14:compatExt spid="_x0000_s117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6</xdr:col>
          <xdr:colOff>1752600</xdr:colOff>
          <xdr:row>543</xdr:row>
          <xdr:rowOff>390525</xdr:rowOff>
        </xdr:to>
        <xdr:sp macro="" textlink="">
          <xdr:nvSpPr>
            <xdr:cNvPr id="1175" name="Check Box 151" hidden="1">
              <a:extLst>
                <a:ext uri="{63B3BB69-23CF-44E3-9099-C40C66FF867C}">
                  <a14:compatExt spid="_x0000_s117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6</xdr:col>
          <xdr:colOff>1752600</xdr:colOff>
          <xdr:row>543</xdr:row>
          <xdr:rowOff>390525</xdr:rowOff>
        </xdr:to>
        <xdr:sp macro="" textlink="">
          <xdr:nvSpPr>
            <xdr:cNvPr id="1176" name="Check Box 152" hidden="1">
              <a:extLst>
                <a:ext uri="{63B3BB69-23CF-44E3-9099-C40C66FF867C}">
                  <a14:compatExt spid="_x0000_s117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6</xdr:col>
          <xdr:colOff>1752600</xdr:colOff>
          <xdr:row>543</xdr:row>
          <xdr:rowOff>390525</xdr:rowOff>
        </xdr:to>
        <xdr:sp macro="" textlink="">
          <xdr:nvSpPr>
            <xdr:cNvPr id="1177" name="Check Box 153" hidden="1">
              <a:extLst>
                <a:ext uri="{63B3BB69-23CF-44E3-9099-C40C66FF867C}">
                  <a14:compatExt spid="_x0000_s117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6</xdr:col>
          <xdr:colOff>1752600</xdr:colOff>
          <xdr:row>543</xdr:row>
          <xdr:rowOff>390525</xdr:rowOff>
        </xdr:to>
        <xdr:sp macro="" textlink="">
          <xdr:nvSpPr>
            <xdr:cNvPr id="1178" name="Check Box 154" hidden="1">
              <a:extLst>
                <a:ext uri="{63B3BB69-23CF-44E3-9099-C40C66FF867C}">
                  <a14:compatExt spid="_x0000_s117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528</xdr:row>
          <xdr:rowOff>0</xdr:rowOff>
        </xdr:from>
        <xdr:to>
          <xdr:col>6</xdr:col>
          <xdr:colOff>1752600</xdr:colOff>
          <xdr:row>529</xdr:row>
          <xdr:rowOff>390525</xdr:rowOff>
        </xdr:to>
        <xdr:sp macro="" textlink="">
          <xdr:nvSpPr>
            <xdr:cNvPr id="1180" name="Check Box 156" hidden="1">
              <a:extLst>
                <a:ext uri="{63B3BB69-23CF-44E3-9099-C40C66FF867C}">
                  <a14:compatExt spid="_x0000_s118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528</xdr:row>
          <xdr:rowOff>0</xdr:rowOff>
        </xdr:from>
        <xdr:to>
          <xdr:col>6</xdr:col>
          <xdr:colOff>1752600</xdr:colOff>
          <xdr:row>529</xdr:row>
          <xdr:rowOff>390525</xdr:rowOff>
        </xdr:to>
        <xdr:sp macro="" textlink="">
          <xdr:nvSpPr>
            <xdr:cNvPr id="1181" name="Check Box 157" hidden="1">
              <a:extLst>
                <a:ext uri="{63B3BB69-23CF-44E3-9099-C40C66FF867C}">
                  <a14:compatExt spid="_x0000_s118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6</xdr:col>
          <xdr:colOff>1752600</xdr:colOff>
          <xdr:row>545</xdr:row>
          <xdr:rowOff>390525</xdr:rowOff>
        </xdr:to>
        <xdr:sp macro="" textlink="">
          <xdr:nvSpPr>
            <xdr:cNvPr id="1182" name="Check Box 158" hidden="1">
              <a:extLst>
                <a:ext uri="{63B3BB69-23CF-44E3-9099-C40C66FF867C}">
                  <a14:compatExt spid="_x0000_s118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6</xdr:col>
          <xdr:colOff>1752600</xdr:colOff>
          <xdr:row>545</xdr:row>
          <xdr:rowOff>390525</xdr:rowOff>
        </xdr:to>
        <xdr:sp macro="" textlink="">
          <xdr:nvSpPr>
            <xdr:cNvPr id="1183" name="Check Box 159" hidden="1">
              <a:extLst>
                <a:ext uri="{63B3BB69-23CF-44E3-9099-C40C66FF867C}">
                  <a14:compatExt spid="_x0000_s118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6</xdr:col>
          <xdr:colOff>1752600</xdr:colOff>
          <xdr:row>545</xdr:row>
          <xdr:rowOff>390525</xdr:rowOff>
        </xdr:to>
        <xdr:sp macro="" textlink="">
          <xdr:nvSpPr>
            <xdr:cNvPr id="1184" name="Check Box 160" hidden="1">
              <a:extLst>
                <a:ext uri="{63B3BB69-23CF-44E3-9099-C40C66FF867C}">
                  <a14:compatExt spid="_x0000_s118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6</xdr:col>
          <xdr:colOff>1752600</xdr:colOff>
          <xdr:row>545</xdr:row>
          <xdr:rowOff>390525</xdr:rowOff>
        </xdr:to>
        <xdr:sp macro="" textlink="">
          <xdr:nvSpPr>
            <xdr:cNvPr id="1185" name="Check Box 161" hidden="1">
              <a:extLst>
                <a:ext uri="{63B3BB69-23CF-44E3-9099-C40C66FF867C}">
                  <a14:compatExt spid="_x0000_s118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6</xdr:col>
          <xdr:colOff>1752600</xdr:colOff>
          <xdr:row>545</xdr:row>
          <xdr:rowOff>390525</xdr:rowOff>
        </xdr:to>
        <xdr:sp macro="" textlink="">
          <xdr:nvSpPr>
            <xdr:cNvPr id="1186" name="Check Box 162" hidden="1">
              <a:extLst>
                <a:ext uri="{63B3BB69-23CF-44E3-9099-C40C66FF867C}">
                  <a14:compatExt spid="_x0000_s118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6</xdr:col>
          <xdr:colOff>1752600</xdr:colOff>
          <xdr:row>545</xdr:row>
          <xdr:rowOff>390525</xdr:rowOff>
        </xdr:to>
        <xdr:sp macro="" textlink="">
          <xdr:nvSpPr>
            <xdr:cNvPr id="1187" name="Check Box 163" hidden="1">
              <a:extLst>
                <a:ext uri="{63B3BB69-23CF-44E3-9099-C40C66FF867C}">
                  <a14:compatExt spid="_x0000_s118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6</xdr:col>
          <xdr:colOff>1752600</xdr:colOff>
          <xdr:row>531</xdr:row>
          <xdr:rowOff>390525</xdr:rowOff>
        </xdr:to>
        <xdr:sp macro="" textlink="">
          <xdr:nvSpPr>
            <xdr:cNvPr id="1188" name="Check Box 164" hidden="1">
              <a:extLst>
                <a:ext uri="{63B3BB69-23CF-44E3-9099-C40C66FF867C}">
                  <a14:compatExt spid="_x0000_s118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6</xdr:col>
          <xdr:colOff>1752600</xdr:colOff>
          <xdr:row>531</xdr:row>
          <xdr:rowOff>390525</xdr:rowOff>
        </xdr:to>
        <xdr:sp macro="" textlink="">
          <xdr:nvSpPr>
            <xdr:cNvPr id="1189" name="Check Box 165" hidden="1">
              <a:extLst>
                <a:ext uri="{63B3BB69-23CF-44E3-9099-C40C66FF867C}">
                  <a14:compatExt spid="_x0000_s118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6</xdr:col>
          <xdr:colOff>1752600</xdr:colOff>
          <xdr:row>531</xdr:row>
          <xdr:rowOff>390525</xdr:rowOff>
        </xdr:to>
        <xdr:sp macro="" textlink="">
          <xdr:nvSpPr>
            <xdr:cNvPr id="1190" name="Check Box 166" hidden="1">
              <a:extLst>
                <a:ext uri="{63B3BB69-23CF-44E3-9099-C40C66FF867C}">
                  <a14:compatExt spid="_x0000_s119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6</xdr:col>
          <xdr:colOff>1752600</xdr:colOff>
          <xdr:row>531</xdr:row>
          <xdr:rowOff>390525</xdr:rowOff>
        </xdr:to>
        <xdr:sp macro="" textlink="">
          <xdr:nvSpPr>
            <xdr:cNvPr id="1191" name="Check Box 167" hidden="1">
              <a:extLst>
                <a:ext uri="{63B3BB69-23CF-44E3-9099-C40C66FF867C}">
                  <a14:compatExt spid="_x0000_s119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532</xdr:row>
          <xdr:rowOff>0</xdr:rowOff>
        </xdr:from>
        <xdr:to>
          <xdr:col>6</xdr:col>
          <xdr:colOff>1752600</xdr:colOff>
          <xdr:row>533</xdr:row>
          <xdr:rowOff>390525</xdr:rowOff>
        </xdr:to>
        <xdr:sp macro="" textlink="">
          <xdr:nvSpPr>
            <xdr:cNvPr id="1192" name="Check Box 168" hidden="1">
              <a:extLst>
                <a:ext uri="{63B3BB69-23CF-44E3-9099-C40C66FF867C}">
                  <a14:compatExt spid="_x0000_s119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532</xdr:row>
          <xdr:rowOff>0</xdr:rowOff>
        </xdr:from>
        <xdr:to>
          <xdr:col>6</xdr:col>
          <xdr:colOff>1752600</xdr:colOff>
          <xdr:row>533</xdr:row>
          <xdr:rowOff>390525</xdr:rowOff>
        </xdr:to>
        <xdr:sp macro="" textlink="">
          <xdr:nvSpPr>
            <xdr:cNvPr id="1193" name="Check Box 169" hidden="1">
              <a:extLst>
                <a:ext uri="{63B3BB69-23CF-44E3-9099-C40C66FF867C}">
                  <a14:compatExt spid="_x0000_s119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532</xdr:row>
          <xdr:rowOff>0</xdr:rowOff>
        </xdr:from>
        <xdr:to>
          <xdr:col>6</xdr:col>
          <xdr:colOff>1752600</xdr:colOff>
          <xdr:row>533</xdr:row>
          <xdr:rowOff>390525</xdr:rowOff>
        </xdr:to>
        <xdr:sp macro="" textlink="">
          <xdr:nvSpPr>
            <xdr:cNvPr id="1194" name="Check Box 170" hidden="1">
              <a:extLst>
                <a:ext uri="{63B3BB69-23CF-44E3-9099-C40C66FF867C}">
                  <a14:compatExt spid="_x0000_s119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532</xdr:row>
          <xdr:rowOff>0</xdr:rowOff>
        </xdr:from>
        <xdr:to>
          <xdr:col>6</xdr:col>
          <xdr:colOff>1752600</xdr:colOff>
          <xdr:row>533</xdr:row>
          <xdr:rowOff>390525</xdr:rowOff>
        </xdr:to>
        <xdr:sp macro="" textlink="">
          <xdr:nvSpPr>
            <xdr:cNvPr id="1195" name="Check Box 171" hidden="1">
              <a:extLst>
                <a:ext uri="{63B3BB69-23CF-44E3-9099-C40C66FF867C}">
                  <a14:compatExt spid="_x0000_s119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6</xdr:col>
          <xdr:colOff>1752600</xdr:colOff>
          <xdr:row>539</xdr:row>
          <xdr:rowOff>390525</xdr:rowOff>
        </xdr:to>
        <xdr:sp macro="" textlink="">
          <xdr:nvSpPr>
            <xdr:cNvPr id="1196" name="Check Box 172" hidden="1">
              <a:extLst>
                <a:ext uri="{63B3BB69-23CF-44E3-9099-C40C66FF867C}">
                  <a14:compatExt spid="_x0000_s119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6</xdr:col>
          <xdr:colOff>1752600</xdr:colOff>
          <xdr:row>539</xdr:row>
          <xdr:rowOff>390525</xdr:rowOff>
        </xdr:to>
        <xdr:sp macro="" textlink="">
          <xdr:nvSpPr>
            <xdr:cNvPr id="1197" name="Check Box 173" hidden="1">
              <a:extLst>
                <a:ext uri="{63B3BB69-23CF-44E3-9099-C40C66FF867C}">
                  <a14:compatExt spid="_x0000_s119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6</xdr:col>
          <xdr:colOff>1752600</xdr:colOff>
          <xdr:row>539</xdr:row>
          <xdr:rowOff>390525</xdr:rowOff>
        </xdr:to>
        <xdr:sp macro="" textlink="">
          <xdr:nvSpPr>
            <xdr:cNvPr id="1198" name="Check Box 174" hidden="1">
              <a:extLst>
                <a:ext uri="{63B3BB69-23CF-44E3-9099-C40C66FF867C}">
                  <a14:compatExt spid="_x0000_s119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6</xdr:col>
          <xdr:colOff>1752600</xdr:colOff>
          <xdr:row>539</xdr:row>
          <xdr:rowOff>390525</xdr:rowOff>
        </xdr:to>
        <xdr:sp macro="" textlink="">
          <xdr:nvSpPr>
            <xdr:cNvPr id="1199" name="Check Box 175" hidden="1">
              <a:extLst>
                <a:ext uri="{63B3BB69-23CF-44E3-9099-C40C66FF867C}">
                  <a14:compatExt spid="_x0000_s119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6</xdr:col>
          <xdr:colOff>1752600</xdr:colOff>
          <xdr:row>541</xdr:row>
          <xdr:rowOff>390525</xdr:rowOff>
        </xdr:to>
        <xdr:sp macro="" textlink="">
          <xdr:nvSpPr>
            <xdr:cNvPr id="1200" name="Check Box 176" hidden="1">
              <a:extLst>
                <a:ext uri="{63B3BB69-23CF-44E3-9099-C40C66FF867C}">
                  <a14:compatExt spid="_x0000_s12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6</xdr:col>
          <xdr:colOff>1752600</xdr:colOff>
          <xdr:row>541</xdr:row>
          <xdr:rowOff>390525</xdr:rowOff>
        </xdr:to>
        <xdr:sp macro="" textlink="">
          <xdr:nvSpPr>
            <xdr:cNvPr id="1201" name="Check Box 177" hidden="1">
              <a:extLst>
                <a:ext uri="{63B3BB69-23CF-44E3-9099-C40C66FF867C}">
                  <a14:compatExt spid="_x0000_s120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6</xdr:col>
          <xdr:colOff>1752600</xdr:colOff>
          <xdr:row>541</xdr:row>
          <xdr:rowOff>390525</xdr:rowOff>
        </xdr:to>
        <xdr:sp macro="" textlink="">
          <xdr:nvSpPr>
            <xdr:cNvPr id="1202" name="Check Box 178" hidden="1">
              <a:extLst>
                <a:ext uri="{63B3BB69-23CF-44E3-9099-C40C66FF867C}">
                  <a14:compatExt spid="_x0000_s120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6</xdr:col>
          <xdr:colOff>1752600</xdr:colOff>
          <xdr:row>541</xdr:row>
          <xdr:rowOff>390525</xdr:rowOff>
        </xdr:to>
        <xdr:sp macro="" textlink="">
          <xdr:nvSpPr>
            <xdr:cNvPr id="1203" name="Check Box 179" hidden="1">
              <a:extLst>
                <a:ext uri="{63B3BB69-23CF-44E3-9099-C40C66FF867C}">
                  <a14:compatExt spid="_x0000_s120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6</xdr:col>
          <xdr:colOff>1752600</xdr:colOff>
          <xdr:row>543</xdr:row>
          <xdr:rowOff>390525</xdr:rowOff>
        </xdr:to>
        <xdr:sp macro="" textlink="">
          <xdr:nvSpPr>
            <xdr:cNvPr id="1204" name="Check Box 180" hidden="1">
              <a:extLst>
                <a:ext uri="{63B3BB69-23CF-44E3-9099-C40C66FF867C}">
                  <a14:compatExt spid="_x0000_s120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6</xdr:col>
          <xdr:colOff>1752600</xdr:colOff>
          <xdr:row>543</xdr:row>
          <xdr:rowOff>390525</xdr:rowOff>
        </xdr:to>
        <xdr:sp macro="" textlink="">
          <xdr:nvSpPr>
            <xdr:cNvPr id="1205" name="Check Box 181" hidden="1">
              <a:extLst>
                <a:ext uri="{63B3BB69-23CF-44E3-9099-C40C66FF867C}">
                  <a14:compatExt spid="_x0000_s120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6</xdr:col>
          <xdr:colOff>1752600</xdr:colOff>
          <xdr:row>543</xdr:row>
          <xdr:rowOff>390525</xdr:rowOff>
        </xdr:to>
        <xdr:sp macro="" textlink="">
          <xdr:nvSpPr>
            <xdr:cNvPr id="1206" name="Check Box 182" hidden="1">
              <a:extLst>
                <a:ext uri="{63B3BB69-23CF-44E3-9099-C40C66FF867C}">
                  <a14:compatExt spid="_x0000_s120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6</xdr:col>
          <xdr:colOff>1752600</xdr:colOff>
          <xdr:row>543</xdr:row>
          <xdr:rowOff>390525</xdr:rowOff>
        </xdr:to>
        <xdr:sp macro="" textlink="">
          <xdr:nvSpPr>
            <xdr:cNvPr id="1207" name="Check Box 183" hidden="1">
              <a:extLst>
                <a:ext uri="{63B3BB69-23CF-44E3-9099-C40C66FF867C}">
                  <a14:compatExt spid="_x0000_s120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6</xdr:col>
          <xdr:colOff>1752600</xdr:colOff>
          <xdr:row>545</xdr:row>
          <xdr:rowOff>390525</xdr:rowOff>
        </xdr:to>
        <xdr:sp macro="" textlink="">
          <xdr:nvSpPr>
            <xdr:cNvPr id="1208" name="Check Box 184" hidden="1">
              <a:extLst>
                <a:ext uri="{63B3BB69-23CF-44E3-9099-C40C66FF867C}">
                  <a14:compatExt spid="_x0000_s120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6</xdr:col>
          <xdr:colOff>1752600</xdr:colOff>
          <xdr:row>545</xdr:row>
          <xdr:rowOff>390525</xdr:rowOff>
        </xdr:to>
        <xdr:sp macro="" textlink="">
          <xdr:nvSpPr>
            <xdr:cNvPr id="1209" name="Check Box 185" hidden="1">
              <a:extLst>
                <a:ext uri="{63B3BB69-23CF-44E3-9099-C40C66FF867C}">
                  <a14:compatExt spid="_x0000_s120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6</xdr:col>
          <xdr:colOff>1752600</xdr:colOff>
          <xdr:row>545</xdr:row>
          <xdr:rowOff>390525</xdr:rowOff>
        </xdr:to>
        <xdr:sp macro="" textlink="">
          <xdr:nvSpPr>
            <xdr:cNvPr id="1210" name="Check Box 186" hidden="1">
              <a:extLst>
                <a:ext uri="{63B3BB69-23CF-44E3-9099-C40C66FF867C}">
                  <a14:compatExt spid="_x0000_s121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6</xdr:col>
          <xdr:colOff>1752600</xdr:colOff>
          <xdr:row>545</xdr:row>
          <xdr:rowOff>390525</xdr:rowOff>
        </xdr:to>
        <xdr:sp macro="" textlink="">
          <xdr:nvSpPr>
            <xdr:cNvPr id="1211" name="Check Box 187" hidden="1">
              <a:extLst>
                <a:ext uri="{63B3BB69-23CF-44E3-9099-C40C66FF867C}">
                  <a14:compatExt spid="_x0000_s121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6</xdr:col>
          <xdr:colOff>1752600</xdr:colOff>
          <xdr:row>531</xdr:row>
          <xdr:rowOff>390525</xdr:rowOff>
        </xdr:to>
        <xdr:sp macro="" textlink="">
          <xdr:nvSpPr>
            <xdr:cNvPr id="1212" name="Check Box 188" hidden="1">
              <a:extLst>
                <a:ext uri="{63B3BB69-23CF-44E3-9099-C40C66FF867C}">
                  <a14:compatExt spid="_x0000_s121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6</xdr:col>
          <xdr:colOff>1752600</xdr:colOff>
          <xdr:row>531</xdr:row>
          <xdr:rowOff>390525</xdr:rowOff>
        </xdr:to>
        <xdr:sp macro="" textlink="">
          <xdr:nvSpPr>
            <xdr:cNvPr id="1213" name="Check Box 189" hidden="1">
              <a:extLst>
                <a:ext uri="{63B3BB69-23CF-44E3-9099-C40C66FF867C}">
                  <a14:compatExt spid="_x0000_s121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6</xdr:col>
          <xdr:colOff>1752600</xdr:colOff>
          <xdr:row>531</xdr:row>
          <xdr:rowOff>390525</xdr:rowOff>
        </xdr:to>
        <xdr:sp macro="" textlink="">
          <xdr:nvSpPr>
            <xdr:cNvPr id="1214" name="Check Box 190" hidden="1">
              <a:extLst>
                <a:ext uri="{63B3BB69-23CF-44E3-9099-C40C66FF867C}">
                  <a14:compatExt spid="_x0000_s121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6</xdr:col>
          <xdr:colOff>1752600</xdr:colOff>
          <xdr:row>531</xdr:row>
          <xdr:rowOff>390525</xdr:rowOff>
        </xdr:to>
        <xdr:sp macro="" textlink="">
          <xdr:nvSpPr>
            <xdr:cNvPr id="1215" name="Check Box 191" hidden="1">
              <a:extLst>
                <a:ext uri="{63B3BB69-23CF-44E3-9099-C40C66FF867C}">
                  <a14:compatExt spid="_x0000_s121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532</xdr:row>
          <xdr:rowOff>0</xdr:rowOff>
        </xdr:from>
        <xdr:to>
          <xdr:col>6</xdr:col>
          <xdr:colOff>1752600</xdr:colOff>
          <xdr:row>533</xdr:row>
          <xdr:rowOff>390525</xdr:rowOff>
        </xdr:to>
        <xdr:sp macro="" textlink="">
          <xdr:nvSpPr>
            <xdr:cNvPr id="1216" name="Check Box 192" hidden="1">
              <a:extLst>
                <a:ext uri="{63B3BB69-23CF-44E3-9099-C40C66FF867C}">
                  <a14:compatExt spid="_x0000_s121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532</xdr:row>
          <xdr:rowOff>0</xdr:rowOff>
        </xdr:from>
        <xdr:to>
          <xdr:col>6</xdr:col>
          <xdr:colOff>1752600</xdr:colOff>
          <xdr:row>533</xdr:row>
          <xdr:rowOff>390525</xdr:rowOff>
        </xdr:to>
        <xdr:sp macro="" textlink="">
          <xdr:nvSpPr>
            <xdr:cNvPr id="1217" name="Check Box 193" hidden="1">
              <a:extLst>
                <a:ext uri="{63B3BB69-23CF-44E3-9099-C40C66FF867C}">
                  <a14:compatExt spid="_x0000_s121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532</xdr:row>
          <xdr:rowOff>0</xdr:rowOff>
        </xdr:from>
        <xdr:to>
          <xdr:col>6</xdr:col>
          <xdr:colOff>1752600</xdr:colOff>
          <xdr:row>533</xdr:row>
          <xdr:rowOff>390525</xdr:rowOff>
        </xdr:to>
        <xdr:sp macro="" textlink="">
          <xdr:nvSpPr>
            <xdr:cNvPr id="1218" name="Check Box 194" hidden="1">
              <a:extLst>
                <a:ext uri="{63B3BB69-23CF-44E3-9099-C40C66FF867C}">
                  <a14:compatExt spid="_x0000_s121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532</xdr:row>
          <xdr:rowOff>0</xdr:rowOff>
        </xdr:from>
        <xdr:to>
          <xdr:col>6</xdr:col>
          <xdr:colOff>1752600</xdr:colOff>
          <xdr:row>533</xdr:row>
          <xdr:rowOff>390525</xdr:rowOff>
        </xdr:to>
        <xdr:sp macro="" textlink="">
          <xdr:nvSpPr>
            <xdr:cNvPr id="1219" name="Check Box 195" hidden="1">
              <a:extLst>
                <a:ext uri="{63B3BB69-23CF-44E3-9099-C40C66FF867C}">
                  <a14:compatExt spid="_x0000_s121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534</xdr:row>
          <xdr:rowOff>0</xdr:rowOff>
        </xdr:from>
        <xdr:to>
          <xdr:col>6</xdr:col>
          <xdr:colOff>1752600</xdr:colOff>
          <xdr:row>535</xdr:row>
          <xdr:rowOff>390525</xdr:rowOff>
        </xdr:to>
        <xdr:sp macro="" textlink="">
          <xdr:nvSpPr>
            <xdr:cNvPr id="1220" name="Check Box 196" hidden="1">
              <a:extLst>
                <a:ext uri="{63B3BB69-23CF-44E3-9099-C40C66FF867C}">
                  <a14:compatExt spid="_x0000_s122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534</xdr:row>
          <xdr:rowOff>0</xdr:rowOff>
        </xdr:from>
        <xdr:to>
          <xdr:col>6</xdr:col>
          <xdr:colOff>1752600</xdr:colOff>
          <xdr:row>535</xdr:row>
          <xdr:rowOff>390525</xdr:rowOff>
        </xdr:to>
        <xdr:sp macro="" textlink="">
          <xdr:nvSpPr>
            <xdr:cNvPr id="1221" name="Check Box 197" hidden="1">
              <a:extLst>
                <a:ext uri="{63B3BB69-23CF-44E3-9099-C40C66FF867C}">
                  <a14:compatExt spid="_x0000_s122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534</xdr:row>
          <xdr:rowOff>0</xdr:rowOff>
        </xdr:from>
        <xdr:to>
          <xdr:col>6</xdr:col>
          <xdr:colOff>1752600</xdr:colOff>
          <xdr:row>535</xdr:row>
          <xdr:rowOff>390525</xdr:rowOff>
        </xdr:to>
        <xdr:sp macro="" textlink="">
          <xdr:nvSpPr>
            <xdr:cNvPr id="1222" name="Check Box 198" hidden="1">
              <a:extLst>
                <a:ext uri="{63B3BB69-23CF-44E3-9099-C40C66FF867C}">
                  <a14:compatExt spid="_x0000_s122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534</xdr:row>
          <xdr:rowOff>0</xdr:rowOff>
        </xdr:from>
        <xdr:to>
          <xdr:col>6</xdr:col>
          <xdr:colOff>1752600</xdr:colOff>
          <xdr:row>535</xdr:row>
          <xdr:rowOff>390525</xdr:rowOff>
        </xdr:to>
        <xdr:sp macro="" textlink="">
          <xdr:nvSpPr>
            <xdr:cNvPr id="1223" name="Check Box 199" hidden="1">
              <a:extLst>
                <a:ext uri="{63B3BB69-23CF-44E3-9099-C40C66FF867C}">
                  <a14:compatExt spid="_x0000_s122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536</xdr:row>
          <xdr:rowOff>0</xdr:rowOff>
        </xdr:from>
        <xdr:to>
          <xdr:col>6</xdr:col>
          <xdr:colOff>1752600</xdr:colOff>
          <xdr:row>537</xdr:row>
          <xdr:rowOff>390525</xdr:rowOff>
        </xdr:to>
        <xdr:sp macro="" textlink="">
          <xdr:nvSpPr>
            <xdr:cNvPr id="1224" name="Check Box 200" hidden="1">
              <a:extLst>
                <a:ext uri="{63B3BB69-23CF-44E3-9099-C40C66FF867C}">
                  <a14:compatExt spid="_x0000_s122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536</xdr:row>
          <xdr:rowOff>0</xdr:rowOff>
        </xdr:from>
        <xdr:to>
          <xdr:col>6</xdr:col>
          <xdr:colOff>1752600</xdr:colOff>
          <xdr:row>537</xdr:row>
          <xdr:rowOff>390525</xdr:rowOff>
        </xdr:to>
        <xdr:sp macro="" textlink="">
          <xdr:nvSpPr>
            <xdr:cNvPr id="1225" name="Check Box 201" hidden="1">
              <a:extLst>
                <a:ext uri="{63B3BB69-23CF-44E3-9099-C40C66FF867C}">
                  <a14:compatExt spid="_x0000_s122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536</xdr:row>
          <xdr:rowOff>0</xdr:rowOff>
        </xdr:from>
        <xdr:to>
          <xdr:col>6</xdr:col>
          <xdr:colOff>1752600</xdr:colOff>
          <xdr:row>537</xdr:row>
          <xdr:rowOff>390525</xdr:rowOff>
        </xdr:to>
        <xdr:sp macro="" textlink="">
          <xdr:nvSpPr>
            <xdr:cNvPr id="1226" name="Check Box 202" hidden="1">
              <a:extLst>
                <a:ext uri="{63B3BB69-23CF-44E3-9099-C40C66FF867C}">
                  <a14:compatExt spid="_x0000_s122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536</xdr:row>
          <xdr:rowOff>0</xdr:rowOff>
        </xdr:from>
        <xdr:to>
          <xdr:col>6</xdr:col>
          <xdr:colOff>1752600</xdr:colOff>
          <xdr:row>537</xdr:row>
          <xdr:rowOff>390525</xdr:rowOff>
        </xdr:to>
        <xdr:sp macro="" textlink="">
          <xdr:nvSpPr>
            <xdr:cNvPr id="1227" name="Check Box 203" hidden="1">
              <a:extLst>
                <a:ext uri="{63B3BB69-23CF-44E3-9099-C40C66FF867C}">
                  <a14:compatExt spid="_x0000_s122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6</xdr:col>
          <xdr:colOff>1752600</xdr:colOff>
          <xdr:row>539</xdr:row>
          <xdr:rowOff>390525</xdr:rowOff>
        </xdr:to>
        <xdr:sp macro="" textlink="">
          <xdr:nvSpPr>
            <xdr:cNvPr id="1228" name="Check Box 204" hidden="1">
              <a:extLst>
                <a:ext uri="{63B3BB69-23CF-44E3-9099-C40C66FF867C}">
                  <a14:compatExt spid="_x0000_s122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6</xdr:col>
          <xdr:colOff>1752600</xdr:colOff>
          <xdr:row>539</xdr:row>
          <xdr:rowOff>390525</xdr:rowOff>
        </xdr:to>
        <xdr:sp macro="" textlink="">
          <xdr:nvSpPr>
            <xdr:cNvPr id="1229" name="Check Box 205" hidden="1">
              <a:extLst>
                <a:ext uri="{63B3BB69-23CF-44E3-9099-C40C66FF867C}">
                  <a14:compatExt spid="_x0000_s122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6</xdr:col>
          <xdr:colOff>1752600</xdr:colOff>
          <xdr:row>539</xdr:row>
          <xdr:rowOff>390525</xdr:rowOff>
        </xdr:to>
        <xdr:sp macro="" textlink="">
          <xdr:nvSpPr>
            <xdr:cNvPr id="1230" name="Check Box 206" hidden="1">
              <a:extLst>
                <a:ext uri="{63B3BB69-23CF-44E3-9099-C40C66FF867C}">
                  <a14:compatExt spid="_x0000_s123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6</xdr:col>
          <xdr:colOff>1752600</xdr:colOff>
          <xdr:row>539</xdr:row>
          <xdr:rowOff>390525</xdr:rowOff>
        </xdr:to>
        <xdr:sp macro="" textlink="">
          <xdr:nvSpPr>
            <xdr:cNvPr id="1231" name="Check Box 207" hidden="1">
              <a:extLst>
                <a:ext uri="{63B3BB69-23CF-44E3-9099-C40C66FF867C}">
                  <a14:compatExt spid="_x0000_s123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6</xdr:col>
          <xdr:colOff>1752600</xdr:colOff>
          <xdr:row>541</xdr:row>
          <xdr:rowOff>390525</xdr:rowOff>
        </xdr:to>
        <xdr:sp macro="" textlink="">
          <xdr:nvSpPr>
            <xdr:cNvPr id="1232" name="Check Box 208" hidden="1">
              <a:extLst>
                <a:ext uri="{63B3BB69-23CF-44E3-9099-C40C66FF867C}">
                  <a14:compatExt spid="_x0000_s123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6</xdr:col>
          <xdr:colOff>1752600</xdr:colOff>
          <xdr:row>541</xdr:row>
          <xdr:rowOff>390525</xdr:rowOff>
        </xdr:to>
        <xdr:sp macro="" textlink="">
          <xdr:nvSpPr>
            <xdr:cNvPr id="1233" name="Check Box 209" hidden="1">
              <a:extLst>
                <a:ext uri="{63B3BB69-23CF-44E3-9099-C40C66FF867C}">
                  <a14:compatExt spid="_x0000_s123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6</xdr:col>
          <xdr:colOff>1752600</xdr:colOff>
          <xdr:row>541</xdr:row>
          <xdr:rowOff>390525</xdr:rowOff>
        </xdr:to>
        <xdr:sp macro="" textlink="">
          <xdr:nvSpPr>
            <xdr:cNvPr id="1234" name="Check Box 210" hidden="1">
              <a:extLst>
                <a:ext uri="{63B3BB69-23CF-44E3-9099-C40C66FF867C}">
                  <a14:compatExt spid="_x0000_s123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6</xdr:col>
          <xdr:colOff>1752600</xdr:colOff>
          <xdr:row>541</xdr:row>
          <xdr:rowOff>390525</xdr:rowOff>
        </xdr:to>
        <xdr:sp macro="" textlink="">
          <xdr:nvSpPr>
            <xdr:cNvPr id="1235" name="Check Box 211" hidden="1">
              <a:extLst>
                <a:ext uri="{63B3BB69-23CF-44E3-9099-C40C66FF867C}">
                  <a14:compatExt spid="_x0000_s123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6</xdr:col>
          <xdr:colOff>1752600</xdr:colOff>
          <xdr:row>543</xdr:row>
          <xdr:rowOff>390525</xdr:rowOff>
        </xdr:to>
        <xdr:sp macro="" textlink="">
          <xdr:nvSpPr>
            <xdr:cNvPr id="1236" name="Check Box 212" hidden="1">
              <a:extLst>
                <a:ext uri="{63B3BB69-23CF-44E3-9099-C40C66FF867C}">
                  <a14:compatExt spid="_x0000_s123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6</xdr:col>
          <xdr:colOff>1752600</xdr:colOff>
          <xdr:row>543</xdr:row>
          <xdr:rowOff>390525</xdr:rowOff>
        </xdr:to>
        <xdr:sp macro="" textlink="">
          <xdr:nvSpPr>
            <xdr:cNvPr id="1237" name="Check Box 213" hidden="1">
              <a:extLst>
                <a:ext uri="{63B3BB69-23CF-44E3-9099-C40C66FF867C}">
                  <a14:compatExt spid="_x0000_s123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6</xdr:col>
          <xdr:colOff>1752600</xdr:colOff>
          <xdr:row>543</xdr:row>
          <xdr:rowOff>390525</xdr:rowOff>
        </xdr:to>
        <xdr:sp macro="" textlink="">
          <xdr:nvSpPr>
            <xdr:cNvPr id="1238" name="Check Box 214" hidden="1">
              <a:extLst>
                <a:ext uri="{63B3BB69-23CF-44E3-9099-C40C66FF867C}">
                  <a14:compatExt spid="_x0000_s123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6</xdr:col>
          <xdr:colOff>1752600</xdr:colOff>
          <xdr:row>543</xdr:row>
          <xdr:rowOff>390525</xdr:rowOff>
        </xdr:to>
        <xdr:sp macro="" textlink="">
          <xdr:nvSpPr>
            <xdr:cNvPr id="1239" name="Check Box 215" hidden="1">
              <a:extLst>
                <a:ext uri="{63B3BB69-23CF-44E3-9099-C40C66FF867C}">
                  <a14:compatExt spid="_x0000_s123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6</xdr:col>
          <xdr:colOff>1752600</xdr:colOff>
          <xdr:row>545</xdr:row>
          <xdr:rowOff>390525</xdr:rowOff>
        </xdr:to>
        <xdr:sp macro="" textlink="">
          <xdr:nvSpPr>
            <xdr:cNvPr id="1240" name="Check Box 216" hidden="1">
              <a:extLst>
                <a:ext uri="{63B3BB69-23CF-44E3-9099-C40C66FF867C}">
                  <a14:compatExt spid="_x0000_s124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6</xdr:col>
          <xdr:colOff>1752600</xdr:colOff>
          <xdr:row>545</xdr:row>
          <xdr:rowOff>390525</xdr:rowOff>
        </xdr:to>
        <xdr:sp macro="" textlink="">
          <xdr:nvSpPr>
            <xdr:cNvPr id="1241" name="Check Box 217" hidden="1">
              <a:extLst>
                <a:ext uri="{63B3BB69-23CF-44E3-9099-C40C66FF867C}">
                  <a14:compatExt spid="_x0000_s124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6</xdr:col>
          <xdr:colOff>1752600</xdr:colOff>
          <xdr:row>545</xdr:row>
          <xdr:rowOff>390525</xdr:rowOff>
        </xdr:to>
        <xdr:sp macro="" textlink="">
          <xdr:nvSpPr>
            <xdr:cNvPr id="1242" name="Check Box 218" hidden="1">
              <a:extLst>
                <a:ext uri="{63B3BB69-23CF-44E3-9099-C40C66FF867C}">
                  <a14:compatExt spid="_x0000_s124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6</xdr:col>
          <xdr:colOff>1752600</xdr:colOff>
          <xdr:row>545</xdr:row>
          <xdr:rowOff>390525</xdr:rowOff>
        </xdr:to>
        <xdr:sp macro="" textlink="">
          <xdr:nvSpPr>
            <xdr:cNvPr id="1243" name="Check Box 219" hidden="1">
              <a:extLst>
                <a:ext uri="{63B3BB69-23CF-44E3-9099-C40C66FF867C}">
                  <a14:compatExt spid="_x0000_s124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514</xdr:row>
          <xdr:rowOff>0</xdr:rowOff>
        </xdr:from>
        <xdr:to>
          <xdr:col>6</xdr:col>
          <xdr:colOff>1752600</xdr:colOff>
          <xdr:row>515</xdr:row>
          <xdr:rowOff>390525</xdr:rowOff>
        </xdr:to>
        <xdr:sp macro="" textlink="">
          <xdr:nvSpPr>
            <xdr:cNvPr id="1244" name="Check Box 220" hidden="1">
              <a:extLst>
                <a:ext uri="{63B3BB69-23CF-44E3-9099-C40C66FF867C}">
                  <a14:compatExt spid="_x0000_s124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514</xdr:row>
          <xdr:rowOff>0</xdr:rowOff>
        </xdr:from>
        <xdr:to>
          <xdr:col>6</xdr:col>
          <xdr:colOff>1752600</xdr:colOff>
          <xdr:row>515</xdr:row>
          <xdr:rowOff>390525</xdr:rowOff>
        </xdr:to>
        <xdr:sp macro="" textlink="">
          <xdr:nvSpPr>
            <xdr:cNvPr id="1245" name="Check Box 221" hidden="1">
              <a:extLst>
                <a:ext uri="{63B3BB69-23CF-44E3-9099-C40C66FF867C}">
                  <a14:compatExt spid="_x0000_s124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514</xdr:row>
          <xdr:rowOff>0</xdr:rowOff>
        </xdr:from>
        <xdr:to>
          <xdr:col>6</xdr:col>
          <xdr:colOff>1752600</xdr:colOff>
          <xdr:row>515</xdr:row>
          <xdr:rowOff>390525</xdr:rowOff>
        </xdr:to>
        <xdr:sp macro="" textlink="">
          <xdr:nvSpPr>
            <xdr:cNvPr id="1246" name="Check Box 222" hidden="1">
              <a:extLst>
                <a:ext uri="{63B3BB69-23CF-44E3-9099-C40C66FF867C}">
                  <a14:compatExt spid="_x0000_s124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514</xdr:row>
          <xdr:rowOff>0</xdr:rowOff>
        </xdr:from>
        <xdr:to>
          <xdr:col>6</xdr:col>
          <xdr:colOff>1752600</xdr:colOff>
          <xdr:row>515</xdr:row>
          <xdr:rowOff>390525</xdr:rowOff>
        </xdr:to>
        <xdr:sp macro="" textlink="">
          <xdr:nvSpPr>
            <xdr:cNvPr id="1247" name="Check Box 223" hidden="1">
              <a:extLst>
                <a:ext uri="{63B3BB69-23CF-44E3-9099-C40C66FF867C}">
                  <a14:compatExt spid="_x0000_s124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503</xdr:row>
          <xdr:rowOff>0</xdr:rowOff>
        </xdr:from>
        <xdr:to>
          <xdr:col>6</xdr:col>
          <xdr:colOff>1752600</xdr:colOff>
          <xdr:row>504</xdr:row>
          <xdr:rowOff>390525</xdr:rowOff>
        </xdr:to>
        <xdr:sp macro="" textlink="">
          <xdr:nvSpPr>
            <xdr:cNvPr id="1248" name="Check Box 224" hidden="1">
              <a:extLst>
                <a:ext uri="{63B3BB69-23CF-44E3-9099-C40C66FF867C}">
                  <a14:compatExt spid="_x0000_s124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503</xdr:row>
          <xdr:rowOff>0</xdr:rowOff>
        </xdr:from>
        <xdr:to>
          <xdr:col>6</xdr:col>
          <xdr:colOff>1752600</xdr:colOff>
          <xdr:row>504</xdr:row>
          <xdr:rowOff>390525</xdr:rowOff>
        </xdr:to>
        <xdr:sp macro="" textlink="">
          <xdr:nvSpPr>
            <xdr:cNvPr id="1249" name="Check Box 225" hidden="1">
              <a:extLst>
                <a:ext uri="{63B3BB69-23CF-44E3-9099-C40C66FF867C}">
                  <a14:compatExt spid="_x0000_s124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503</xdr:row>
          <xdr:rowOff>0</xdr:rowOff>
        </xdr:from>
        <xdr:to>
          <xdr:col>6</xdr:col>
          <xdr:colOff>1752600</xdr:colOff>
          <xdr:row>504</xdr:row>
          <xdr:rowOff>390525</xdr:rowOff>
        </xdr:to>
        <xdr:sp macro="" textlink="">
          <xdr:nvSpPr>
            <xdr:cNvPr id="1250" name="Check Box 226" hidden="1">
              <a:extLst>
                <a:ext uri="{63B3BB69-23CF-44E3-9099-C40C66FF867C}">
                  <a14:compatExt spid="_x0000_s125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503</xdr:row>
          <xdr:rowOff>0</xdr:rowOff>
        </xdr:from>
        <xdr:to>
          <xdr:col>6</xdr:col>
          <xdr:colOff>1752600</xdr:colOff>
          <xdr:row>504</xdr:row>
          <xdr:rowOff>390525</xdr:rowOff>
        </xdr:to>
        <xdr:sp macro="" textlink="">
          <xdr:nvSpPr>
            <xdr:cNvPr id="1251" name="Check Box 227" hidden="1">
              <a:extLst>
                <a:ext uri="{63B3BB69-23CF-44E3-9099-C40C66FF867C}">
                  <a14:compatExt spid="_x0000_s125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484</xdr:row>
          <xdr:rowOff>0</xdr:rowOff>
        </xdr:from>
        <xdr:to>
          <xdr:col>6</xdr:col>
          <xdr:colOff>1752600</xdr:colOff>
          <xdr:row>489</xdr:row>
          <xdr:rowOff>390525</xdr:rowOff>
        </xdr:to>
        <xdr:sp macro="" textlink="">
          <xdr:nvSpPr>
            <xdr:cNvPr id="1252" name="Check Box 228" hidden="1">
              <a:extLst>
                <a:ext uri="{63B3BB69-23CF-44E3-9099-C40C66FF867C}">
                  <a14:compatExt spid="_x0000_s125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484</xdr:row>
          <xdr:rowOff>0</xdr:rowOff>
        </xdr:from>
        <xdr:to>
          <xdr:col>6</xdr:col>
          <xdr:colOff>1752600</xdr:colOff>
          <xdr:row>489</xdr:row>
          <xdr:rowOff>390525</xdr:rowOff>
        </xdr:to>
        <xdr:sp macro="" textlink="">
          <xdr:nvSpPr>
            <xdr:cNvPr id="1253" name="Check Box 229" hidden="1">
              <a:extLst>
                <a:ext uri="{63B3BB69-23CF-44E3-9099-C40C66FF867C}">
                  <a14:compatExt spid="_x0000_s125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484</xdr:row>
          <xdr:rowOff>0</xdr:rowOff>
        </xdr:from>
        <xdr:to>
          <xdr:col>6</xdr:col>
          <xdr:colOff>1752600</xdr:colOff>
          <xdr:row>489</xdr:row>
          <xdr:rowOff>390525</xdr:rowOff>
        </xdr:to>
        <xdr:sp macro="" textlink="">
          <xdr:nvSpPr>
            <xdr:cNvPr id="1254" name="Check Box 230" hidden="1">
              <a:extLst>
                <a:ext uri="{63B3BB69-23CF-44E3-9099-C40C66FF867C}">
                  <a14:compatExt spid="_x0000_s125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484</xdr:row>
          <xdr:rowOff>0</xdr:rowOff>
        </xdr:from>
        <xdr:to>
          <xdr:col>6</xdr:col>
          <xdr:colOff>1752600</xdr:colOff>
          <xdr:row>489</xdr:row>
          <xdr:rowOff>390525</xdr:rowOff>
        </xdr:to>
        <xdr:sp macro="" textlink="">
          <xdr:nvSpPr>
            <xdr:cNvPr id="1255" name="Check Box 231" hidden="1">
              <a:extLst>
                <a:ext uri="{63B3BB69-23CF-44E3-9099-C40C66FF867C}">
                  <a14:compatExt spid="_x0000_s125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454</xdr:row>
          <xdr:rowOff>0</xdr:rowOff>
        </xdr:from>
        <xdr:to>
          <xdr:col>6</xdr:col>
          <xdr:colOff>1752600</xdr:colOff>
          <xdr:row>457</xdr:row>
          <xdr:rowOff>390525</xdr:rowOff>
        </xdr:to>
        <xdr:sp macro="" textlink="">
          <xdr:nvSpPr>
            <xdr:cNvPr id="1256" name="Check Box 232" hidden="1">
              <a:extLst>
                <a:ext uri="{63B3BB69-23CF-44E3-9099-C40C66FF867C}">
                  <a14:compatExt spid="_x0000_s125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454</xdr:row>
          <xdr:rowOff>0</xdr:rowOff>
        </xdr:from>
        <xdr:to>
          <xdr:col>6</xdr:col>
          <xdr:colOff>1752600</xdr:colOff>
          <xdr:row>457</xdr:row>
          <xdr:rowOff>390525</xdr:rowOff>
        </xdr:to>
        <xdr:sp macro="" textlink="">
          <xdr:nvSpPr>
            <xdr:cNvPr id="1257" name="Check Box 233" hidden="1">
              <a:extLst>
                <a:ext uri="{63B3BB69-23CF-44E3-9099-C40C66FF867C}">
                  <a14:compatExt spid="_x0000_s125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454</xdr:row>
          <xdr:rowOff>0</xdr:rowOff>
        </xdr:from>
        <xdr:to>
          <xdr:col>6</xdr:col>
          <xdr:colOff>1752600</xdr:colOff>
          <xdr:row>457</xdr:row>
          <xdr:rowOff>390525</xdr:rowOff>
        </xdr:to>
        <xdr:sp macro="" textlink="">
          <xdr:nvSpPr>
            <xdr:cNvPr id="1258" name="Check Box 234" hidden="1">
              <a:extLst>
                <a:ext uri="{63B3BB69-23CF-44E3-9099-C40C66FF867C}">
                  <a14:compatExt spid="_x0000_s125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454</xdr:row>
          <xdr:rowOff>0</xdr:rowOff>
        </xdr:from>
        <xdr:to>
          <xdr:col>6</xdr:col>
          <xdr:colOff>1752600</xdr:colOff>
          <xdr:row>457</xdr:row>
          <xdr:rowOff>390525</xdr:rowOff>
        </xdr:to>
        <xdr:sp macro="" textlink="">
          <xdr:nvSpPr>
            <xdr:cNvPr id="1259" name="Check Box 235" hidden="1">
              <a:extLst>
                <a:ext uri="{63B3BB69-23CF-44E3-9099-C40C66FF867C}">
                  <a14:compatExt spid="_x0000_s125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386</xdr:row>
          <xdr:rowOff>0</xdr:rowOff>
        </xdr:from>
        <xdr:to>
          <xdr:col>6</xdr:col>
          <xdr:colOff>1752600</xdr:colOff>
          <xdr:row>391</xdr:row>
          <xdr:rowOff>390525</xdr:rowOff>
        </xdr:to>
        <xdr:sp macro="" textlink="">
          <xdr:nvSpPr>
            <xdr:cNvPr id="1260" name="Check Box 236" hidden="1">
              <a:extLst>
                <a:ext uri="{63B3BB69-23CF-44E3-9099-C40C66FF867C}">
                  <a14:compatExt spid="_x0000_s126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386</xdr:row>
          <xdr:rowOff>0</xdr:rowOff>
        </xdr:from>
        <xdr:to>
          <xdr:col>6</xdr:col>
          <xdr:colOff>1752600</xdr:colOff>
          <xdr:row>391</xdr:row>
          <xdr:rowOff>390525</xdr:rowOff>
        </xdr:to>
        <xdr:sp macro="" textlink="">
          <xdr:nvSpPr>
            <xdr:cNvPr id="1261" name="Check Box 237" hidden="1">
              <a:extLst>
                <a:ext uri="{63B3BB69-23CF-44E3-9099-C40C66FF867C}">
                  <a14:compatExt spid="_x0000_s126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386</xdr:row>
          <xdr:rowOff>0</xdr:rowOff>
        </xdr:from>
        <xdr:to>
          <xdr:col>6</xdr:col>
          <xdr:colOff>1752600</xdr:colOff>
          <xdr:row>391</xdr:row>
          <xdr:rowOff>390525</xdr:rowOff>
        </xdr:to>
        <xdr:sp macro="" textlink="">
          <xdr:nvSpPr>
            <xdr:cNvPr id="1262" name="Check Box 238" hidden="1">
              <a:extLst>
                <a:ext uri="{63B3BB69-23CF-44E3-9099-C40C66FF867C}">
                  <a14:compatExt spid="_x0000_s126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386</xdr:row>
          <xdr:rowOff>0</xdr:rowOff>
        </xdr:from>
        <xdr:to>
          <xdr:col>6</xdr:col>
          <xdr:colOff>1752600</xdr:colOff>
          <xdr:row>391</xdr:row>
          <xdr:rowOff>390525</xdr:rowOff>
        </xdr:to>
        <xdr:sp macro="" textlink="">
          <xdr:nvSpPr>
            <xdr:cNvPr id="1263" name="Check Box 239" hidden="1">
              <a:extLst>
                <a:ext uri="{63B3BB69-23CF-44E3-9099-C40C66FF867C}">
                  <a14:compatExt spid="_x0000_s126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6</xdr:col>
          <xdr:colOff>1752600</xdr:colOff>
          <xdr:row>368</xdr:row>
          <xdr:rowOff>390525</xdr:rowOff>
        </xdr:to>
        <xdr:sp macro="" textlink="">
          <xdr:nvSpPr>
            <xdr:cNvPr id="1264" name="Check Box 240" hidden="1">
              <a:extLst>
                <a:ext uri="{63B3BB69-23CF-44E3-9099-C40C66FF867C}">
                  <a14:compatExt spid="_x0000_s126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6</xdr:col>
          <xdr:colOff>1752600</xdr:colOff>
          <xdr:row>368</xdr:row>
          <xdr:rowOff>390525</xdr:rowOff>
        </xdr:to>
        <xdr:sp macro="" textlink="">
          <xdr:nvSpPr>
            <xdr:cNvPr id="1265" name="Check Box 241" hidden="1">
              <a:extLst>
                <a:ext uri="{63B3BB69-23CF-44E3-9099-C40C66FF867C}">
                  <a14:compatExt spid="_x0000_s126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6</xdr:col>
          <xdr:colOff>1752600</xdr:colOff>
          <xdr:row>368</xdr:row>
          <xdr:rowOff>390525</xdr:rowOff>
        </xdr:to>
        <xdr:sp macro="" textlink="">
          <xdr:nvSpPr>
            <xdr:cNvPr id="1266" name="Check Box 242" hidden="1">
              <a:extLst>
                <a:ext uri="{63B3BB69-23CF-44E3-9099-C40C66FF867C}">
                  <a14:compatExt spid="_x0000_s126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6</xdr:col>
          <xdr:colOff>1752600</xdr:colOff>
          <xdr:row>368</xdr:row>
          <xdr:rowOff>390525</xdr:rowOff>
        </xdr:to>
        <xdr:sp macro="" textlink="">
          <xdr:nvSpPr>
            <xdr:cNvPr id="1267" name="Check Box 243" hidden="1">
              <a:extLst>
                <a:ext uri="{63B3BB69-23CF-44E3-9099-C40C66FF867C}">
                  <a14:compatExt spid="_x0000_s126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6</xdr:col>
          <xdr:colOff>1752600</xdr:colOff>
          <xdr:row>368</xdr:row>
          <xdr:rowOff>390525</xdr:rowOff>
        </xdr:to>
        <xdr:sp macro="" textlink="">
          <xdr:nvSpPr>
            <xdr:cNvPr id="1268" name="Check Box 244" hidden="1">
              <a:extLst>
                <a:ext uri="{63B3BB69-23CF-44E3-9099-C40C66FF867C}">
                  <a14:compatExt spid="_x0000_s126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6</xdr:col>
          <xdr:colOff>1752600</xdr:colOff>
          <xdr:row>368</xdr:row>
          <xdr:rowOff>390525</xdr:rowOff>
        </xdr:to>
        <xdr:sp macro="" textlink="">
          <xdr:nvSpPr>
            <xdr:cNvPr id="1269" name="Check Box 245" hidden="1">
              <a:extLst>
                <a:ext uri="{63B3BB69-23CF-44E3-9099-C40C66FF867C}">
                  <a14:compatExt spid="_x0000_s126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6</xdr:col>
          <xdr:colOff>1752600</xdr:colOff>
          <xdr:row>368</xdr:row>
          <xdr:rowOff>390525</xdr:rowOff>
        </xdr:to>
        <xdr:sp macro="" textlink="">
          <xdr:nvSpPr>
            <xdr:cNvPr id="1270" name="Check Box 246" hidden="1">
              <a:extLst>
                <a:ext uri="{63B3BB69-23CF-44E3-9099-C40C66FF867C}">
                  <a14:compatExt spid="_x0000_s127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6</xdr:col>
          <xdr:colOff>1752600</xdr:colOff>
          <xdr:row>368</xdr:row>
          <xdr:rowOff>390525</xdr:rowOff>
        </xdr:to>
        <xdr:sp macro="" textlink="">
          <xdr:nvSpPr>
            <xdr:cNvPr id="1271" name="Check Box 247" hidden="1">
              <a:extLst>
                <a:ext uri="{63B3BB69-23CF-44E3-9099-C40C66FF867C}">
                  <a14:compatExt spid="_x0000_s127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6</xdr:col>
          <xdr:colOff>1752600</xdr:colOff>
          <xdr:row>330</xdr:row>
          <xdr:rowOff>390525</xdr:rowOff>
        </xdr:to>
        <xdr:sp macro="" textlink="">
          <xdr:nvSpPr>
            <xdr:cNvPr id="1272" name="Check Box 248" hidden="1">
              <a:extLst>
                <a:ext uri="{63B3BB69-23CF-44E3-9099-C40C66FF867C}">
                  <a14:compatExt spid="_x0000_s127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6</xdr:col>
          <xdr:colOff>1752600</xdr:colOff>
          <xdr:row>330</xdr:row>
          <xdr:rowOff>390525</xdr:rowOff>
        </xdr:to>
        <xdr:sp macro="" textlink="">
          <xdr:nvSpPr>
            <xdr:cNvPr id="1273" name="Check Box 249" hidden="1">
              <a:extLst>
                <a:ext uri="{63B3BB69-23CF-44E3-9099-C40C66FF867C}">
                  <a14:compatExt spid="_x0000_s127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6</xdr:col>
          <xdr:colOff>1752600</xdr:colOff>
          <xdr:row>330</xdr:row>
          <xdr:rowOff>390525</xdr:rowOff>
        </xdr:to>
        <xdr:sp macro="" textlink="">
          <xdr:nvSpPr>
            <xdr:cNvPr id="1274" name="Check Box 250" hidden="1">
              <a:extLst>
                <a:ext uri="{63B3BB69-23CF-44E3-9099-C40C66FF867C}">
                  <a14:compatExt spid="_x0000_s127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6</xdr:col>
          <xdr:colOff>1752600</xdr:colOff>
          <xdr:row>330</xdr:row>
          <xdr:rowOff>390525</xdr:rowOff>
        </xdr:to>
        <xdr:sp macro="" textlink="">
          <xdr:nvSpPr>
            <xdr:cNvPr id="1275" name="Check Box 251" hidden="1">
              <a:extLst>
                <a:ext uri="{63B3BB69-23CF-44E3-9099-C40C66FF867C}">
                  <a14:compatExt spid="_x0000_s127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6</xdr:col>
          <xdr:colOff>1752600</xdr:colOff>
          <xdr:row>330</xdr:row>
          <xdr:rowOff>390525</xdr:rowOff>
        </xdr:to>
        <xdr:sp macro="" textlink="">
          <xdr:nvSpPr>
            <xdr:cNvPr id="1276" name="Check Box 252" hidden="1">
              <a:extLst>
                <a:ext uri="{63B3BB69-23CF-44E3-9099-C40C66FF867C}">
                  <a14:compatExt spid="_x0000_s127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6</xdr:col>
          <xdr:colOff>1752600</xdr:colOff>
          <xdr:row>330</xdr:row>
          <xdr:rowOff>390525</xdr:rowOff>
        </xdr:to>
        <xdr:sp macro="" textlink="">
          <xdr:nvSpPr>
            <xdr:cNvPr id="1277" name="Check Box 253" hidden="1">
              <a:extLst>
                <a:ext uri="{63B3BB69-23CF-44E3-9099-C40C66FF867C}">
                  <a14:compatExt spid="_x0000_s127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6</xdr:col>
          <xdr:colOff>1752600</xdr:colOff>
          <xdr:row>330</xdr:row>
          <xdr:rowOff>390525</xdr:rowOff>
        </xdr:to>
        <xdr:sp macro="" textlink="">
          <xdr:nvSpPr>
            <xdr:cNvPr id="1278" name="Check Box 254" hidden="1">
              <a:extLst>
                <a:ext uri="{63B3BB69-23CF-44E3-9099-C40C66FF867C}">
                  <a14:compatExt spid="_x0000_s127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6</xdr:col>
          <xdr:colOff>1752600</xdr:colOff>
          <xdr:row>330</xdr:row>
          <xdr:rowOff>390525</xdr:rowOff>
        </xdr:to>
        <xdr:sp macro="" textlink="">
          <xdr:nvSpPr>
            <xdr:cNvPr id="1279" name="Check Box 255" hidden="1">
              <a:extLst>
                <a:ext uri="{63B3BB69-23CF-44E3-9099-C40C66FF867C}">
                  <a14:compatExt spid="_x0000_s127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6</xdr:col>
          <xdr:colOff>1752600</xdr:colOff>
          <xdr:row>292</xdr:row>
          <xdr:rowOff>390525</xdr:rowOff>
        </xdr:to>
        <xdr:sp macro="" textlink="">
          <xdr:nvSpPr>
            <xdr:cNvPr id="1280" name="Check Box 256" hidden="1">
              <a:extLst>
                <a:ext uri="{63B3BB69-23CF-44E3-9099-C40C66FF867C}">
                  <a14:compatExt spid="_x0000_s128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6</xdr:col>
          <xdr:colOff>1752600</xdr:colOff>
          <xdr:row>292</xdr:row>
          <xdr:rowOff>390525</xdr:rowOff>
        </xdr:to>
        <xdr:sp macro="" textlink="">
          <xdr:nvSpPr>
            <xdr:cNvPr id="1281" name="Check Box 257" hidden="1">
              <a:extLst>
                <a:ext uri="{63B3BB69-23CF-44E3-9099-C40C66FF867C}">
                  <a14:compatExt spid="_x0000_s128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6</xdr:col>
          <xdr:colOff>1752600</xdr:colOff>
          <xdr:row>292</xdr:row>
          <xdr:rowOff>390525</xdr:rowOff>
        </xdr:to>
        <xdr:sp macro="" textlink="">
          <xdr:nvSpPr>
            <xdr:cNvPr id="1282" name="Check Box 258" hidden="1">
              <a:extLst>
                <a:ext uri="{63B3BB69-23CF-44E3-9099-C40C66FF867C}">
                  <a14:compatExt spid="_x0000_s128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6</xdr:col>
          <xdr:colOff>1752600</xdr:colOff>
          <xdr:row>292</xdr:row>
          <xdr:rowOff>390525</xdr:rowOff>
        </xdr:to>
        <xdr:sp macro="" textlink="">
          <xdr:nvSpPr>
            <xdr:cNvPr id="1283" name="Check Box 259" hidden="1">
              <a:extLst>
                <a:ext uri="{63B3BB69-23CF-44E3-9099-C40C66FF867C}">
                  <a14:compatExt spid="_x0000_s128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6</xdr:col>
          <xdr:colOff>1752600</xdr:colOff>
          <xdr:row>292</xdr:row>
          <xdr:rowOff>390525</xdr:rowOff>
        </xdr:to>
        <xdr:sp macro="" textlink="">
          <xdr:nvSpPr>
            <xdr:cNvPr id="1284" name="Check Box 260" hidden="1">
              <a:extLst>
                <a:ext uri="{63B3BB69-23CF-44E3-9099-C40C66FF867C}">
                  <a14:compatExt spid="_x0000_s128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6</xdr:col>
          <xdr:colOff>1752600</xdr:colOff>
          <xdr:row>292</xdr:row>
          <xdr:rowOff>390525</xdr:rowOff>
        </xdr:to>
        <xdr:sp macro="" textlink="">
          <xdr:nvSpPr>
            <xdr:cNvPr id="1285" name="Check Box 261" hidden="1">
              <a:extLst>
                <a:ext uri="{63B3BB69-23CF-44E3-9099-C40C66FF867C}">
                  <a14:compatExt spid="_x0000_s128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6</xdr:col>
          <xdr:colOff>1752600</xdr:colOff>
          <xdr:row>292</xdr:row>
          <xdr:rowOff>390525</xdr:rowOff>
        </xdr:to>
        <xdr:sp macro="" textlink="">
          <xdr:nvSpPr>
            <xdr:cNvPr id="1286" name="Check Box 262" hidden="1">
              <a:extLst>
                <a:ext uri="{63B3BB69-23CF-44E3-9099-C40C66FF867C}">
                  <a14:compatExt spid="_x0000_s128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6</xdr:col>
          <xdr:colOff>1752600</xdr:colOff>
          <xdr:row>292</xdr:row>
          <xdr:rowOff>390525</xdr:rowOff>
        </xdr:to>
        <xdr:sp macro="" textlink="">
          <xdr:nvSpPr>
            <xdr:cNvPr id="1287" name="Check Box 263" hidden="1">
              <a:extLst>
                <a:ext uri="{63B3BB69-23CF-44E3-9099-C40C66FF867C}">
                  <a14:compatExt spid="_x0000_s128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256</xdr:row>
          <xdr:rowOff>0</xdr:rowOff>
        </xdr:from>
        <xdr:to>
          <xdr:col>6</xdr:col>
          <xdr:colOff>1752600</xdr:colOff>
          <xdr:row>257</xdr:row>
          <xdr:rowOff>390525</xdr:rowOff>
        </xdr:to>
        <xdr:sp macro="" textlink="">
          <xdr:nvSpPr>
            <xdr:cNvPr id="1288" name="Check Box 264" hidden="1">
              <a:extLst>
                <a:ext uri="{63B3BB69-23CF-44E3-9099-C40C66FF867C}">
                  <a14:compatExt spid="_x0000_s128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256</xdr:row>
          <xdr:rowOff>0</xdr:rowOff>
        </xdr:from>
        <xdr:to>
          <xdr:col>6</xdr:col>
          <xdr:colOff>1752600</xdr:colOff>
          <xdr:row>257</xdr:row>
          <xdr:rowOff>390525</xdr:rowOff>
        </xdr:to>
        <xdr:sp macro="" textlink="">
          <xdr:nvSpPr>
            <xdr:cNvPr id="1289" name="Check Box 265" hidden="1">
              <a:extLst>
                <a:ext uri="{63B3BB69-23CF-44E3-9099-C40C66FF867C}">
                  <a14:compatExt spid="_x0000_s128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256</xdr:row>
          <xdr:rowOff>0</xdr:rowOff>
        </xdr:from>
        <xdr:to>
          <xdr:col>6</xdr:col>
          <xdr:colOff>1752600</xdr:colOff>
          <xdr:row>257</xdr:row>
          <xdr:rowOff>390525</xdr:rowOff>
        </xdr:to>
        <xdr:sp macro="" textlink="">
          <xdr:nvSpPr>
            <xdr:cNvPr id="1290" name="Check Box 266" hidden="1">
              <a:extLst>
                <a:ext uri="{63B3BB69-23CF-44E3-9099-C40C66FF867C}">
                  <a14:compatExt spid="_x0000_s129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256</xdr:row>
          <xdr:rowOff>0</xdr:rowOff>
        </xdr:from>
        <xdr:to>
          <xdr:col>6</xdr:col>
          <xdr:colOff>1752600</xdr:colOff>
          <xdr:row>257</xdr:row>
          <xdr:rowOff>390525</xdr:rowOff>
        </xdr:to>
        <xdr:sp macro="" textlink="">
          <xdr:nvSpPr>
            <xdr:cNvPr id="1291" name="Check Box 267" hidden="1">
              <a:extLst>
                <a:ext uri="{63B3BB69-23CF-44E3-9099-C40C66FF867C}">
                  <a14:compatExt spid="_x0000_s129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258</xdr:row>
          <xdr:rowOff>0</xdr:rowOff>
        </xdr:from>
        <xdr:to>
          <xdr:col>6</xdr:col>
          <xdr:colOff>1752600</xdr:colOff>
          <xdr:row>261</xdr:row>
          <xdr:rowOff>390525</xdr:rowOff>
        </xdr:to>
        <xdr:sp macro="" textlink="">
          <xdr:nvSpPr>
            <xdr:cNvPr id="1292" name="Check Box 268" hidden="1">
              <a:extLst>
                <a:ext uri="{63B3BB69-23CF-44E3-9099-C40C66FF867C}">
                  <a14:compatExt spid="_x0000_s129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258</xdr:row>
          <xdr:rowOff>0</xdr:rowOff>
        </xdr:from>
        <xdr:to>
          <xdr:col>6</xdr:col>
          <xdr:colOff>1752600</xdr:colOff>
          <xdr:row>261</xdr:row>
          <xdr:rowOff>390525</xdr:rowOff>
        </xdr:to>
        <xdr:sp macro="" textlink="">
          <xdr:nvSpPr>
            <xdr:cNvPr id="1293" name="Check Box 269" hidden="1">
              <a:extLst>
                <a:ext uri="{63B3BB69-23CF-44E3-9099-C40C66FF867C}">
                  <a14:compatExt spid="_x0000_s129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258</xdr:row>
          <xdr:rowOff>0</xdr:rowOff>
        </xdr:from>
        <xdr:to>
          <xdr:col>6</xdr:col>
          <xdr:colOff>1752600</xdr:colOff>
          <xdr:row>261</xdr:row>
          <xdr:rowOff>390525</xdr:rowOff>
        </xdr:to>
        <xdr:sp macro="" textlink="">
          <xdr:nvSpPr>
            <xdr:cNvPr id="1294" name="Check Box 270" hidden="1">
              <a:extLst>
                <a:ext uri="{63B3BB69-23CF-44E3-9099-C40C66FF867C}">
                  <a14:compatExt spid="_x0000_s129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258</xdr:row>
          <xdr:rowOff>0</xdr:rowOff>
        </xdr:from>
        <xdr:to>
          <xdr:col>6</xdr:col>
          <xdr:colOff>1752600</xdr:colOff>
          <xdr:row>261</xdr:row>
          <xdr:rowOff>390525</xdr:rowOff>
        </xdr:to>
        <xdr:sp macro="" textlink="">
          <xdr:nvSpPr>
            <xdr:cNvPr id="1295" name="Check Box 271" hidden="1">
              <a:extLst>
                <a:ext uri="{63B3BB69-23CF-44E3-9099-C40C66FF867C}">
                  <a14:compatExt spid="_x0000_s129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6</xdr:col>
          <xdr:colOff>1752600</xdr:colOff>
          <xdr:row>234</xdr:row>
          <xdr:rowOff>390525</xdr:rowOff>
        </xdr:to>
        <xdr:sp macro="" textlink="">
          <xdr:nvSpPr>
            <xdr:cNvPr id="1296" name="Check Box 272" hidden="1">
              <a:extLst>
                <a:ext uri="{63B3BB69-23CF-44E3-9099-C40C66FF867C}">
                  <a14:compatExt spid="_x0000_s129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6</xdr:col>
          <xdr:colOff>1752600</xdr:colOff>
          <xdr:row>234</xdr:row>
          <xdr:rowOff>390525</xdr:rowOff>
        </xdr:to>
        <xdr:sp macro="" textlink="">
          <xdr:nvSpPr>
            <xdr:cNvPr id="1297" name="Check Box 273" hidden="1">
              <a:extLst>
                <a:ext uri="{63B3BB69-23CF-44E3-9099-C40C66FF867C}">
                  <a14:compatExt spid="_x0000_s129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6</xdr:col>
          <xdr:colOff>1752600</xdr:colOff>
          <xdr:row>234</xdr:row>
          <xdr:rowOff>390525</xdr:rowOff>
        </xdr:to>
        <xdr:sp macro="" textlink="">
          <xdr:nvSpPr>
            <xdr:cNvPr id="1298" name="Check Box 274" hidden="1">
              <a:extLst>
                <a:ext uri="{63B3BB69-23CF-44E3-9099-C40C66FF867C}">
                  <a14:compatExt spid="_x0000_s129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6</xdr:col>
          <xdr:colOff>1752600</xdr:colOff>
          <xdr:row>234</xdr:row>
          <xdr:rowOff>390525</xdr:rowOff>
        </xdr:to>
        <xdr:sp macro="" textlink="">
          <xdr:nvSpPr>
            <xdr:cNvPr id="1299" name="Check Box 275" hidden="1">
              <a:extLst>
                <a:ext uri="{63B3BB69-23CF-44E3-9099-C40C66FF867C}">
                  <a14:compatExt spid="_x0000_s129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6</xdr:col>
          <xdr:colOff>1752600</xdr:colOff>
          <xdr:row>234</xdr:row>
          <xdr:rowOff>390525</xdr:rowOff>
        </xdr:to>
        <xdr:sp macro="" textlink="">
          <xdr:nvSpPr>
            <xdr:cNvPr id="1300" name="Check Box 276" hidden="1">
              <a:extLst>
                <a:ext uri="{63B3BB69-23CF-44E3-9099-C40C66FF867C}">
                  <a14:compatExt spid="_x0000_s1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6</xdr:col>
          <xdr:colOff>1752600</xdr:colOff>
          <xdr:row>234</xdr:row>
          <xdr:rowOff>390525</xdr:rowOff>
        </xdr:to>
        <xdr:sp macro="" textlink="">
          <xdr:nvSpPr>
            <xdr:cNvPr id="1301" name="Check Box 277" hidden="1">
              <a:extLst>
                <a:ext uri="{63B3BB69-23CF-44E3-9099-C40C66FF867C}">
                  <a14:compatExt spid="_x0000_s130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6</xdr:col>
          <xdr:colOff>1752600</xdr:colOff>
          <xdr:row>234</xdr:row>
          <xdr:rowOff>390525</xdr:rowOff>
        </xdr:to>
        <xdr:sp macro="" textlink="">
          <xdr:nvSpPr>
            <xdr:cNvPr id="1302" name="Check Box 278" hidden="1">
              <a:extLst>
                <a:ext uri="{63B3BB69-23CF-44E3-9099-C40C66FF867C}">
                  <a14:compatExt spid="_x0000_s130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6</xdr:col>
          <xdr:colOff>1752600</xdr:colOff>
          <xdr:row>234</xdr:row>
          <xdr:rowOff>390525</xdr:rowOff>
        </xdr:to>
        <xdr:sp macro="" textlink="">
          <xdr:nvSpPr>
            <xdr:cNvPr id="1303" name="Check Box 279" hidden="1">
              <a:extLst>
                <a:ext uri="{63B3BB69-23CF-44E3-9099-C40C66FF867C}">
                  <a14:compatExt spid="_x0000_s130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219</xdr:row>
          <xdr:rowOff>0</xdr:rowOff>
        </xdr:from>
        <xdr:to>
          <xdr:col>6</xdr:col>
          <xdr:colOff>1752600</xdr:colOff>
          <xdr:row>220</xdr:row>
          <xdr:rowOff>390525</xdr:rowOff>
        </xdr:to>
        <xdr:sp macro="" textlink="">
          <xdr:nvSpPr>
            <xdr:cNvPr id="1304" name="Check Box 280" hidden="1">
              <a:extLst>
                <a:ext uri="{63B3BB69-23CF-44E3-9099-C40C66FF867C}">
                  <a14:compatExt spid="_x0000_s130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219</xdr:row>
          <xdr:rowOff>0</xdr:rowOff>
        </xdr:from>
        <xdr:to>
          <xdr:col>6</xdr:col>
          <xdr:colOff>1752600</xdr:colOff>
          <xdr:row>220</xdr:row>
          <xdr:rowOff>390525</xdr:rowOff>
        </xdr:to>
        <xdr:sp macro="" textlink="">
          <xdr:nvSpPr>
            <xdr:cNvPr id="1305" name="Check Box 281" hidden="1">
              <a:extLst>
                <a:ext uri="{63B3BB69-23CF-44E3-9099-C40C66FF867C}">
                  <a14:compatExt spid="_x0000_s130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219</xdr:row>
          <xdr:rowOff>0</xdr:rowOff>
        </xdr:from>
        <xdr:to>
          <xdr:col>6</xdr:col>
          <xdr:colOff>1752600</xdr:colOff>
          <xdr:row>220</xdr:row>
          <xdr:rowOff>390525</xdr:rowOff>
        </xdr:to>
        <xdr:sp macro="" textlink="">
          <xdr:nvSpPr>
            <xdr:cNvPr id="1306" name="Check Box 282" hidden="1">
              <a:extLst>
                <a:ext uri="{63B3BB69-23CF-44E3-9099-C40C66FF867C}">
                  <a14:compatExt spid="_x0000_s130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219</xdr:row>
          <xdr:rowOff>0</xdr:rowOff>
        </xdr:from>
        <xdr:to>
          <xdr:col>6</xdr:col>
          <xdr:colOff>1752600</xdr:colOff>
          <xdr:row>220</xdr:row>
          <xdr:rowOff>390525</xdr:rowOff>
        </xdr:to>
        <xdr:sp macro="" textlink="">
          <xdr:nvSpPr>
            <xdr:cNvPr id="1307" name="Check Box 283" hidden="1">
              <a:extLst>
                <a:ext uri="{63B3BB69-23CF-44E3-9099-C40C66FF867C}">
                  <a14:compatExt spid="_x0000_s130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199</xdr:row>
          <xdr:rowOff>0</xdr:rowOff>
        </xdr:from>
        <xdr:to>
          <xdr:col>6</xdr:col>
          <xdr:colOff>1752600</xdr:colOff>
          <xdr:row>204</xdr:row>
          <xdr:rowOff>390525</xdr:rowOff>
        </xdr:to>
        <xdr:sp macro="" textlink="">
          <xdr:nvSpPr>
            <xdr:cNvPr id="1308" name="Check Box 284" hidden="1">
              <a:extLst>
                <a:ext uri="{63B3BB69-23CF-44E3-9099-C40C66FF867C}">
                  <a14:compatExt spid="_x0000_s130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199</xdr:row>
          <xdr:rowOff>0</xdr:rowOff>
        </xdr:from>
        <xdr:to>
          <xdr:col>6</xdr:col>
          <xdr:colOff>1752600</xdr:colOff>
          <xdr:row>204</xdr:row>
          <xdr:rowOff>390525</xdr:rowOff>
        </xdr:to>
        <xdr:sp macro="" textlink="">
          <xdr:nvSpPr>
            <xdr:cNvPr id="1309" name="Check Box 285" hidden="1">
              <a:extLst>
                <a:ext uri="{63B3BB69-23CF-44E3-9099-C40C66FF867C}">
                  <a14:compatExt spid="_x0000_s130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199</xdr:row>
          <xdr:rowOff>0</xdr:rowOff>
        </xdr:from>
        <xdr:to>
          <xdr:col>6</xdr:col>
          <xdr:colOff>1752600</xdr:colOff>
          <xdr:row>204</xdr:row>
          <xdr:rowOff>390525</xdr:rowOff>
        </xdr:to>
        <xdr:sp macro="" textlink="">
          <xdr:nvSpPr>
            <xdr:cNvPr id="1310" name="Check Box 286" hidden="1">
              <a:extLst>
                <a:ext uri="{63B3BB69-23CF-44E3-9099-C40C66FF867C}">
                  <a14:compatExt spid="_x0000_s131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199</xdr:row>
          <xdr:rowOff>0</xdr:rowOff>
        </xdr:from>
        <xdr:to>
          <xdr:col>6</xdr:col>
          <xdr:colOff>1752600</xdr:colOff>
          <xdr:row>204</xdr:row>
          <xdr:rowOff>390525</xdr:rowOff>
        </xdr:to>
        <xdr:sp macro="" textlink="">
          <xdr:nvSpPr>
            <xdr:cNvPr id="1311" name="Check Box 287" hidden="1">
              <a:extLst>
                <a:ext uri="{63B3BB69-23CF-44E3-9099-C40C66FF867C}">
                  <a14:compatExt spid="_x0000_s131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194</xdr:row>
          <xdr:rowOff>0</xdr:rowOff>
        </xdr:from>
        <xdr:to>
          <xdr:col>6</xdr:col>
          <xdr:colOff>1752600</xdr:colOff>
          <xdr:row>198</xdr:row>
          <xdr:rowOff>238125</xdr:rowOff>
        </xdr:to>
        <xdr:sp macro="" textlink="">
          <xdr:nvSpPr>
            <xdr:cNvPr id="1312" name="Check Box 288" hidden="1">
              <a:extLst>
                <a:ext uri="{63B3BB69-23CF-44E3-9099-C40C66FF867C}">
                  <a14:compatExt spid="_x0000_s131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194</xdr:row>
          <xdr:rowOff>0</xdr:rowOff>
        </xdr:from>
        <xdr:to>
          <xdr:col>6</xdr:col>
          <xdr:colOff>1752600</xdr:colOff>
          <xdr:row>198</xdr:row>
          <xdr:rowOff>238125</xdr:rowOff>
        </xdr:to>
        <xdr:sp macro="" textlink="">
          <xdr:nvSpPr>
            <xdr:cNvPr id="1313" name="Check Box 289" hidden="1">
              <a:extLst>
                <a:ext uri="{63B3BB69-23CF-44E3-9099-C40C66FF867C}">
                  <a14:compatExt spid="_x0000_s131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194</xdr:row>
          <xdr:rowOff>0</xdr:rowOff>
        </xdr:from>
        <xdr:to>
          <xdr:col>6</xdr:col>
          <xdr:colOff>1752600</xdr:colOff>
          <xdr:row>198</xdr:row>
          <xdr:rowOff>238125</xdr:rowOff>
        </xdr:to>
        <xdr:sp macro="" textlink="">
          <xdr:nvSpPr>
            <xdr:cNvPr id="1314" name="Check Box 290" hidden="1">
              <a:extLst>
                <a:ext uri="{63B3BB69-23CF-44E3-9099-C40C66FF867C}">
                  <a14:compatExt spid="_x0000_s131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194</xdr:row>
          <xdr:rowOff>0</xdr:rowOff>
        </xdr:from>
        <xdr:to>
          <xdr:col>6</xdr:col>
          <xdr:colOff>1752600</xdr:colOff>
          <xdr:row>198</xdr:row>
          <xdr:rowOff>238125</xdr:rowOff>
        </xdr:to>
        <xdr:sp macro="" textlink="">
          <xdr:nvSpPr>
            <xdr:cNvPr id="1315" name="Check Box 291" hidden="1">
              <a:extLst>
                <a:ext uri="{63B3BB69-23CF-44E3-9099-C40C66FF867C}">
                  <a14:compatExt spid="_x0000_s131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178</xdr:row>
          <xdr:rowOff>0</xdr:rowOff>
        </xdr:from>
        <xdr:to>
          <xdr:col>6</xdr:col>
          <xdr:colOff>1752600</xdr:colOff>
          <xdr:row>181</xdr:row>
          <xdr:rowOff>390525</xdr:rowOff>
        </xdr:to>
        <xdr:sp macro="" textlink="">
          <xdr:nvSpPr>
            <xdr:cNvPr id="1316" name="Check Box 292" hidden="1">
              <a:extLst>
                <a:ext uri="{63B3BB69-23CF-44E3-9099-C40C66FF867C}">
                  <a14:compatExt spid="_x0000_s131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178</xdr:row>
          <xdr:rowOff>0</xdr:rowOff>
        </xdr:from>
        <xdr:to>
          <xdr:col>6</xdr:col>
          <xdr:colOff>1752600</xdr:colOff>
          <xdr:row>181</xdr:row>
          <xdr:rowOff>390525</xdr:rowOff>
        </xdr:to>
        <xdr:sp macro="" textlink="">
          <xdr:nvSpPr>
            <xdr:cNvPr id="1317" name="Check Box 293" hidden="1">
              <a:extLst>
                <a:ext uri="{63B3BB69-23CF-44E3-9099-C40C66FF867C}">
                  <a14:compatExt spid="_x0000_s131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178</xdr:row>
          <xdr:rowOff>0</xdr:rowOff>
        </xdr:from>
        <xdr:to>
          <xdr:col>6</xdr:col>
          <xdr:colOff>1752600</xdr:colOff>
          <xdr:row>181</xdr:row>
          <xdr:rowOff>390525</xdr:rowOff>
        </xdr:to>
        <xdr:sp macro="" textlink="">
          <xdr:nvSpPr>
            <xdr:cNvPr id="1318" name="Check Box 294" hidden="1">
              <a:extLst>
                <a:ext uri="{63B3BB69-23CF-44E3-9099-C40C66FF867C}">
                  <a14:compatExt spid="_x0000_s131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178</xdr:row>
          <xdr:rowOff>0</xdr:rowOff>
        </xdr:from>
        <xdr:to>
          <xdr:col>6</xdr:col>
          <xdr:colOff>1752600</xdr:colOff>
          <xdr:row>181</xdr:row>
          <xdr:rowOff>390525</xdr:rowOff>
        </xdr:to>
        <xdr:sp macro="" textlink="">
          <xdr:nvSpPr>
            <xdr:cNvPr id="1319" name="Check Box 295" hidden="1">
              <a:extLst>
                <a:ext uri="{63B3BB69-23CF-44E3-9099-C40C66FF867C}">
                  <a14:compatExt spid="_x0000_s131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166</xdr:row>
          <xdr:rowOff>0</xdr:rowOff>
        </xdr:from>
        <xdr:to>
          <xdr:col>6</xdr:col>
          <xdr:colOff>1752600</xdr:colOff>
          <xdr:row>177</xdr:row>
          <xdr:rowOff>390525</xdr:rowOff>
        </xdr:to>
        <xdr:sp macro="" textlink="">
          <xdr:nvSpPr>
            <xdr:cNvPr id="1320" name="Check Box 296" hidden="1">
              <a:extLst>
                <a:ext uri="{63B3BB69-23CF-44E3-9099-C40C66FF867C}">
                  <a14:compatExt spid="_x0000_s132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166</xdr:row>
          <xdr:rowOff>0</xdr:rowOff>
        </xdr:from>
        <xdr:to>
          <xdr:col>6</xdr:col>
          <xdr:colOff>1752600</xdr:colOff>
          <xdr:row>177</xdr:row>
          <xdr:rowOff>390525</xdr:rowOff>
        </xdr:to>
        <xdr:sp macro="" textlink="">
          <xdr:nvSpPr>
            <xdr:cNvPr id="1321" name="Check Box 297" hidden="1">
              <a:extLst>
                <a:ext uri="{63B3BB69-23CF-44E3-9099-C40C66FF867C}">
                  <a14:compatExt spid="_x0000_s132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166</xdr:row>
          <xdr:rowOff>0</xdr:rowOff>
        </xdr:from>
        <xdr:to>
          <xdr:col>6</xdr:col>
          <xdr:colOff>1752600</xdr:colOff>
          <xdr:row>177</xdr:row>
          <xdr:rowOff>390525</xdr:rowOff>
        </xdr:to>
        <xdr:sp macro="" textlink="">
          <xdr:nvSpPr>
            <xdr:cNvPr id="1322" name="Check Box 298" hidden="1">
              <a:extLst>
                <a:ext uri="{63B3BB69-23CF-44E3-9099-C40C66FF867C}">
                  <a14:compatExt spid="_x0000_s132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166</xdr:row>
          <xdr:rowOff>0</xdr:rowOff>
        </xdr:from>
        <xdr:to>
          <xdr:col>6</xdr:col>
          <xdr:colOff>1752600</xdr:colOff>
          <xdr:row>177</xdr:row>
          <xdr:rowOff>390525</xdr:rowOff>
        </xdr:to>
        <xdr:sp macro="" textlink="">
          <xdr:nvSpPr>
            <xdr:cNvPr id="1323" name="Check Box 299" hidden="1">
              <a:extLst>
                <a:ext uri="{63B3BB69-23CF-44E3-9099-C40C66FF867C}">
                  <a14:compatExt spid="_x0000_s132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147</xdr:row>
          <xdr:rowOff>0</xdr:rowOff>
        </xdr:from>
        <xdr:to>
          <xdr:col>6</xdr:col>
          <xdr:colOff>1752600</xdr:colOff>
          <xdr:row>150</xdr:row>
          <xdr:rowOff>390525</xdr:rowOff>
        </xdr:to>
        <xdr:sp macro="" textlink="">
          <xdr:nvSpPr>
            <xdr:cNvPr id="1324" name="Check Box 300" hidden="1">
              <a:extLst>
                <a:ext uri="{63B3BB69-23CF-44E3-9099-C40C66FF867C}">
                  <a14:compatExt spid="_x0000_s132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147</xdr:row>
          <xdr:rowOff>0</xdr:rowOff>
        </xdr:from>
        <xdr:to>
          <xdr:col>6</xdr:col>
          <xdr:colOff>1752600</xdr:colOff>
          <xdr:row>150</xdr:row>
          <xdr:rowOff>390525</xdr:rowOff>
        </xdr:to>
        <xdr:sp macro="" textlink="">
          <xdr:nvSpPr>
            <xdr:cNvPr id="1325" name="Check Box 301" hidden="1">
              <a:extLst>
                <a:ext uri="{63B3BB69-23CF-44E3-9099-C40C66FF867C}">
                  <a14:compatExt spid="_x0000_s132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147</xdr:row>
          <xdr:rowOff>0</xdr:rowOff>
        </xdr:from>
        <xdr:to>
          <xdr:col>6</xdr:col>
          <xdr:colOff>1752600</xdr:colOff>
          <xdr:row>150</xdr:row>
          <xdr:rowOff>390525</xdr:rowOff>
        </xdr:to>
        <xdr:sp macro="" textlink="">
          <xdr:nvSpPr>
            <xdr:cNvPr id="1326" name="Check Box 302" hidden="1">
              <a:extLst>
                <a:ext uri="{63B3BB69-23CF-44E3-9099-C40C66FF867C}">
                  <a14:compatExt spid="_x0000_s132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147</xdr:row>
          <xdr:rowOff>0</xdr:rowOff>
        </xdr:from>
        <xdr:to>
          <xdr:col>6</xdr:col>
          <xdr:colOff>1752600</xdr:colOff>
          <xdr:row>150</xdr:row>
          <xdr:rowOff>390525</xdr:rowOff>
        </xdr:to>
        <xdr:sp macro="" textlink="">
          <xdr:nvSpPr>
            <xdr:cNvPr id="1327" name="Check Box 303" hidden="1">
              <a:extLst>
                <a:ext uri="{63B3BB69-23CF-44E3-9099-C40C66FF867C}">
                  <a14:compatExt spid="_x0000_s132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93</xdr:row>
          <xdr:rowOff>0</xdr:rowOff>
        </xdr:from>
        <xdr:to>
          <xdr:col>6</xdr:col>
          <xdr:colOff>1752600</xdr:colOff>
          <xdr:row>94</xdr:row>
          <xdr:rowOff>390525</xdr:rowOff>
        </xdr:to>
        <xdr:sp macro="" textlink="">
          <xdr:nvSpPr>
            <xdr:cNvPr id="1328" name="Check Box 304" hidden="1">
              <a:extLst>
                <a:ext uri="{63B3BB69-23CF-44E3-9099-C40C66FF867C}">
                  <a14:compatExt spid="_x0000_s132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93</xdr:row>
          <xdr:rowOff>0</xdr:rowOff>
        </xdr:from>
        <xdr:to>
          <xdr:col>6</xdr:col>
          <xdr:colOff>1752600</xdr:colOff>
          <xdr:row>94</xdr:row>
          <xdr:rowOff>390525</xdr:rowOff>
        </xdr:to>
        <xdr:sp macro="" textlink="">
          <xdr:nvSpPr>
            <xdr:cNvPr id="1329" name="Check Box 305" hidden="1">
              <a:extLst>
                <a:ext uri="{63B3BB69-23CF-44E3-9099-C40C66FF867C}">
                  <a14:compatExt spid="_x0000_s132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93</xdr:row>
          <xdr:rowOff>0</xdr:rowOff>
        </xdr:from>
        <xdr:to>
          <xdr:col>6</xdr:col>
          <xdr:colOff>1752600</xdr:colOff>
          <xdr:row>94</xdr:row>
          <xdr:rowOff>390525</xdr:rowOff>
        </xdr:to>
        <xdr:sp macro="" textlink="">
          <xdr:nvSpPr>
            <xdr:cNvPr id="1330" name="Check Box 306" hidden="1">
              <a:extLst>
                <a:ext uri="{63B3BB69-23CF-44E3-9099-C40C66FF867C}">
                  <a14:compatExt spid="_x0000_s133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93</xdr:row>
          <xdr:rowOff>0</xdr:rowOff>
        </xdr:from>
        <xdr:to>
          <xdr:col>6</xdr:col>
          <xdr:colOff>1752600</xdr:colOff>
          <xdr:row>94</xdr:row>
          <xdr:rowOff>390525</xdr:rowOff>
        </xdr:to>
        <xdr:sp macro="" textlink="">
          <xdr:nvSpPr>
            <xdr:cNvPr id="1331" name="Check Box 307" hidden="1">
              <a:extLst>
                <a:ext uri="{63B3BB69-23CF-44E3-9099-C40C66FF867C}">
                  <a14:compatExt spid="_x0000_s133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67</xdr:row>
          <xdr:rowOff>0</xdr:rowOff>
        </xdr:from>
        <xdr:to>
          <xdr:col>6</xdr:col>
          <xdr:colOff>1752600</xdr:colOff>
          <xdr:row>71</xdr:row>
          <xdr:rowOff>228600</xdr:rowOff>
        </xdr:to>
        <xdr:sp macro="" textlink="">
          <xdr:nvSpPr>
            <xdr:cNvPr id="1332" name="Check Box 308" hidden="1">
              <a:extLst>
                <a:ext uri="{63B3BB69-23CF-44E3-9099-C40C66FF867C}">
                  <a14:compatExt spid="_x0000_s133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67</xdr:row>
          <xdr:rowOff>0</xdr:rowOff>
        </xdr:from>
        <xdr:to>
          <xdr:col>6</xdr:col>
          <xdr:colOff>1752600</xdr:colOff>
          <xdr:row>71</xdr:row>
          <xdr:rowOff>228600</xdr:rowOff>
        </xdr:to>
        <xdr:sp macro="" textlink="">
          <xdr:nvSpPr>
            <xdr:cNvPr id="1333" name="Check Box 309" hidden="1">
              <a:extLst>
                <a:ext uri="{63B3BB69-23CF-44E3-9099-C40C66FF867C}">
                  <a14:compatExt spid="_x0000_s133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67</xdr:row>
          <xdr:rowOff>0</xdr:rowOff>
        </xdr:from>
        <xdr:to>
          <xdr:col>6</xdr:col>
          <xdr:colOff>1752600</xdr:colOff>
          <xdr:row>71</xdr:row>
          <xdr:rowOff>228600</xdr:rowOff>
        </xdr:to>
        <xdr:sp macro="" textlink="">
          <xdr:nvSpPr>
            <xdr:cNvPr id="1334" name="Check Box 310" hidden="1">
              <a:extLst>
                <a:ext uri="{63B3BB69-23CF-44E3-9099-C40C66FF867C}">
                  <a14:compatExt spid="_x0000_s133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67</xdr:row>
          <xdr:rowOff>0</xdr:rowOff>
        </xdr:from>
        <xdr:to>
          <xdr:col>6</xdr:col>
          <xdr:colOff>1752600</xdr:colOff>
          <xdr:row>71</xdr:row>
          <xdr:rowOff>228600</xdr:rowOff>
        </xdr:to>
        <xdr:sp macro="" textlink="">
          <xdr:nvSpPr>
            <xdr:cNvPr id="1335" name="Check Box 311" hidden="1">
              <a:extLst>
                <a:ext uri="{63B3BB69-23CF-44E3-9099-C40C66FF867C}">
                  <a14:compatExt spid="_x0000_s133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72</xdr:row>
          <xdr:rowOff>0</xdr:rowOff>
        </xdr:from>
        <xdr:to>
          <xdr:col>6</xdr:col>
          <xdr:colOff>1752600</xdr:colOff>
          <xdr:row>75</xdr:row>
          <xdr:rowOff>390525</xdr:rowOff>
        </xdr:to>
        <xdr:sp macro="" textlink="">
          <xdr:nvSpPr>
            <xdr:cNvPr id="1336" name="Check Box 312" hidden="1">
              <a:extLst>
                <a:ext uri="{63B3BB69-23CF-44E3-9099-C40C66FF867C}">
                  <a14:compatExt spid="_x0000_s133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72</xdr:row>
          <xdr:rowOff>0</xdr:rowOff>
        </xdr:from>
        <xdr:to>
          <xdr:col>6</xdr:col>
          <xdr:colOff>1752600</xdr:colOff>
          <xdr:row>75</xdr:row>
          <xdr:rowOff>390525</xdr:rowOff>
        </xdr:to>
        <xdr:sp macro="" textlink="">
          <xdr:nvSpPr>
            <xdr:cNvPr id="1337" name="Check Box 313" hidden="1">
              <a:extLst>
                <a:ext uri="{63B3BB69-23CF-44E3-9099-C40C66FF867C}">
                  <a14:compatExt spid="_x0000_s133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72</xdr:row>
          <xdr:rowOff>0</xdr:rowOff>
        </xdr:from>
        <xdr:to>
          <xdr:col>6</xdr:col>
          <xdr:colOff>1752600</xdr:colOff>
          <xdr:row>75</xdr:row>
          <xdr:rowOff>390525</xdr:rowOff>
        </xdr:to>
        <xdr:sp macro="" textlink="">
          <xdr:nvSpPr>
            <xdr:cNvPr id="1338" name="Check Box 314" hidden="1">
              <a:extLst>
                <a:ext uri="{63B3BB69-23CF-44E3-9099-C40C66FF867C}">
                  <a14:compatExt spid="_x0000_s133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72</xdr:row>
          <xdr:rowOff>0</xdr:rowOff>
        </xdr:from>
        <xdr:to>
          <xdr:col>6</xdr:col>
          <xdr:colOff>1752600</xdr:colOff>
          <xdr:row>75</xdr:row>
          <xdr:rowOff>390525</xdr:rowOff>
        </xdr:to>
        <xdr:sp macro="" textlink="">
          <xdr:nvSpPr>
            <xdr:cNvPr id="1339" name="Check Box 315" hidden="1">
              <a:extLst>
                <a:ext uri="{63B3BB69-23CF-44E3-9099-C40C66FF867C}">
                  <a14:compatExt spid="_x0000_s133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6</xdr:col>
          <xdr:colOff>1752600</xdr:colOff>
          <xdr:row>37</xdr:row>
          <xdr:rowOff>390525</xdr:rowOff>
        </xdr:to>
        <xdr:sp macro="" textlink="">
          <xdr:nvSpPr>
            <xdr:cNvPr id="1340" name="Check Box 316" hidden="1">
              <a:extLst>
                <a:ext uri="{63B3BB69-23CF-44E3-9099-C40C66FF867C}">
                  <a14:compatExt spid="_x0000_s134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6</xdr:col>
          <xdr:colOff>1752600</xdr:colOff>
          <xdr:row>37</xdr:row>
          <xdr:rowOff>390525</xdr:rowOff>
        </xdr:to>
        <xdr:sp macro="" textlink="">
          <xdr:nvSpPr>
            <xdr:cNvPr id="1341" name="Check Box 317" hidden="1">
              <a:extLst>
                <a:ext uri="{63B3BB69-23CF-44E3-9099-C40C66FF867C}">
                  <a14:compatExt spid="_x0000_s134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6</xdr:col>
          <xdr:colOff>1752600</xdr:colOff>
          <xdr:row>37</xdr:row>
          <xdr:rowOff>390525</xdr:rowOff>
        </xdr:to>
        <xdr:sp macro="" textlink="">
          <xdr:nvSpPr>
            <xdr:cNvPr id="1342" name="Check Box 318" hidden="1">
              <a:extLst>
                <a:ext uri="{63B3BB69-23CF-44E3-9099-C40C66FF867C}">
                  <a14:compatExt spid="_x0000_s134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6</xdr:col>
          <xdr:colOff>1752600</xdr:colOff>
          <xdr:row>37</xdr:row>
          <xdr:rowOff>390525</xdr:rowOff>
        </xdr:to>
        <xdr:sp macro="" textlink="">
          <xdr:nvSpPr>
            <xdr:cNvPr id="1343" name="Check Box 319" hidden="1">
              <a:extLst>
                <a:ext uri="{63B3BB69-23CF-44E3-9099-C40C66FF867C}">
                  <a14:compatExt spid="_x0000_s134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6</xdr:col>
          <xdr:colOff>1752600</xdr:colOff>
          <xdr:row>37</xdr:row>
          <xdr:rowOff>390525</xdr:rowOff>
        </xdr:to>
        <xdr:sp macro="" textlink="">
          <xdr:nvSpPr>
            <xdr:cNvPr id="1344" name="Check Box 320" hidden="1">
              <a:extLst>
                <a:ext uri="{63B3BB69-23CF-44E3-9099-C40C66FF867C}">
                  <a14:compatExt spid="_x0000_s134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6</xdr:col>
          <xdr:colOff>1752600</xdr:colOff>
          <xdr:row>37</xdr:row>
          <xdr:rowOff>390525</xdr:rowOff>
        </xdr:to>
        <xdr:sp macro="" textlink="">
          <xdr:nvSpPr>
            <xdr:cNvPr id="1345" name="Check Box 321" hidden="1">
              <a:extLst>
                <a:ext uri="{63B3BB69-23CF-44E3-9099-C40C66FF867C}">
                  <a14:compatExt spid="_x0000_s134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6</xdr:col>
          <xdr:colOff>1752600</xdr:colOff>
          <xdr:row>37</xdr:row>
          <xdr:rowOff>390525</xdr:rowOff>
        </xdr:to>
        <xdr:sp macro="" textlink="">
          <xdr:nvSpPr>
            <xdr:cNvPr id="1346" name="Check Box 322" hidden="1">
              <a:extLst>
                <a:ext uri="{63B3BB69-23CF-44E3-9099-C40C66FF867C}">
                  <a14:compatExt spid="_x0000_s134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6</xdr:col>
          <xdr:colOff>1752600</xdr:colOff>
          <xdr:row>37</xdr:row>
          <xdr:rowOff>390525</xdr:rowOff>
        </xdr:to>
        <xdr:sp macro="" textlink="">
          <xdr:nvSpPr>
            <xdr:cNvPr id="1347" name="Check Box 323" hidden="1">
              <a:extLst>
                <a:ext uri="{63B3BB69-23CF-44E3-9099-C40C66FF867C}">
                  <a14:compatExt spid="_x0000_s134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1476375</xdr:colOff>
          <xdr:row>95</xdr:row>
          <xdr:rowOff>0</xdr:rowOff>
        </xdr:from>
        <xdr:to>
          <xdr:col>4</xdr:col>
          <xdr:colOff>1866900</xdr:colOff>
          <xdr:row>104</xdr:row>
          <xdr:rowOff>190500</xdr:rowOff>
        </xdr:to>
        <xdr:sp macro="" textlink="">
          <xdr:nvSpPr>
            <xdr:cNvPr id="1348" name="Check Box 324" hidden="1">
              <a:extLst>
                <a:ext uri="{63B3BB69-23CF-44E3-9099-C40C66FF867C}">
                  <a14:compatExt spid="_x0000_s134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2371725</xdr:colOff>
          <xdr:row>142</xdr:row>
          <xdr:rowOff>371475</xdr:rowOff>
        </xdr:from>
        <xdr:to>
          <xdr:col>4</xdr:col>
          <xdr:colOff>2781300</xdr:colOff>
          <xdr:row>142</xdr:row>
          <xdr:rowOff>638175</xdr:rowOff>
        </xdr:to>
        <xdr:sp macro="" textlink="">
          <xdr:nvSpPr>
            <xdr:cNvPr id="1349" name="Check Box 325" hidden="1">
              <a:extLst>
                <a:ext uri="{63B3BB69-23CF-44E3-9099-C40C66FF867C}">
                  <a14:compatExt spid="_x0000_s134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2352675</xdr:colOff>
          <xdr:row>146</xdr:row>
          <xdr:rowOff>371475</xdr:rowOff>
        </xdr:from>
        <xdr:to>
          <xdr:col>4</xdr:col>
          <xdr:colOff>2752725</xdr:colOff>
          <xdr:row>146</xdr:row>
          <xdr:rowOff>638175</xdr:rowOff>
        </xdr:to>
        <xdr:sp macro="" textlink="">
          <xdr:nvSpPr>
            <xdr:cNvPr id="1350" name="Check Box 326" hidden="1">
              <a:extLst>
                <a:ext uri="{63B3BB69-23CF-44E3-9099-C40C66FF867C}">
                  <a14:compatExt spid="_x0000_s135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xdr:twoCellAnchor editAs="oneCell">
    <xdr:from>
      <xdr:col>2</xdr:col>
      <xdr:colOff>203200</xdr:colOff>
      <xdr:row>1</xdr:row>
      <xdr:rowOff>63500</xdr:rowOff>
    </xdr:from>
    <xdr:to>
      <xdr:col>4</xdr:col>
      <xdr:colOff>1975274</xdr:colOff>
      <xdr:row>1</xdr:row>
      <xdr:rowOff>787400</xdr:rowOff>
    </xdr:to>
    <xdr:pic>
      <xdr:nvPicPr>
        <xdr:cNvPr id="1024" name="Picture 1023"/>
        <xdr:cNvPicPr>
          <a:picLocks noChangeAspect="1"/>
        </xdr:cNvPicPr>
      </xdr:nvPicPr>
      <xdr:blipFill>
        <a:blip xmlns:r="http://schemas.openxmlformats.org/officeDocument/2006/relationships" r:embed="rId1"/>
        <a:stretch>
          <a:fillRect/>
        </a:stretch>
      </xdr:blipFill>
      <xdr:spPr>
        <a:xfrm>
          <a:off x="203200" y="292100"/>
          <a:ext cx="2445174" cy="723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254000</xdr:colOff>
      <xdr:row>0</xdr:row>
      <xdr:rowOff>0</xdr:rowOff>
    </xdr:from>
    <xdr:to>
      <xdr:col>4</xdr:col>
      <xdr:colOff>51852</xdr:colOff>
      <xdr:row>8</xdr:row>
      <xdr:rowOff>165100</xdr:rowOff>
    </xdr:to>
    <xdr:pic>
      <xdr:nvPicPr>
        <xdr:cNvPr id="2" name="Picture 1"/>
        <xdr:cNvPicPr>
          <a:picLocks noChangeAspect="1"/>
        </xdr:cNvPicPr>
      </xdr:nvPicPr>
      <xdr:blipFill>
        <a:blip xmlns:r="http://schemas.openxmlformats.org/officeDocument/2006/relationships" r:embed="rId1"/>
        <a:stretch>
          <a:fillRect/>
        </a:stretch>
      </xdr:blipFill>
      <xdr:spPr>
        <a:xfrm>
          <a:off x="254000" y="0"/>
          <a:ext cx="3303052" cy="1587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arepoint.mc.rochester.edu/Users/mpinch/Library/Application%20Support/Microsoft/Office/Office%202011%20AutoRecovery/HiTrust/CSF/CSF%20Assurance%20Kit%202012/HITRUST_CSF%20Assessment%20Tool_TEMPLATE_2012_v1_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Scope"/>
      <sheetName val="CSF Org. and Sys. Profile"/>
      <sheetName val="CHIP Q"/>
      <sheetName val="Compliance Worksheet"/>
      <sheetName val="Heading Names"/>
      <sheetName val="Visual Profile"/>
      <sheetName val="Level Determination"/>
      <sheetName val="Assessment Results"/>
      <sheetName val="HITRUST_CSF Assessment Tool_TEM"/>
      <sheetName val="Introduction"/>
    </sheetNames>
    <sheetDataSet>
      <sheetData sheetId="0"/>
      <sheetData sheetId="1"/>
      <sheetData sheetId="2"/>
      <sheetData sheetId="3">
        <row r="6">
          <cell r="B6">
            <v>0</v>
          </cell>
          <cell r="C6" t="str">
            <v>This column contains the information security control categories and associated metrics for measuring and managing the security control category.</v>
          </cell>
          <cell r="D6">
            <v>0</v>
          </cell>
          <cell r="E6">
            <v>0</v>
          </cell>
          <cell r="F6">
            <v>0</v>
          </cell>
          <cell r="G6" t="str">
            <v>The metric itself or for certain questions "Yes / No". If no metric exists, enter "Unknown."</v>
          </cell>
          <cell r="H6">
            <v>0</v>
          </cell>
          <cell r="I6" t="str">
            <v/>
          </cell>
          <cell r="J6">
            <v>0</v>
          </cell>
          <cell r="K6" t="str">
            <v>Provide any additional information relevant to the question or metric such as references to supporting documentation.</v>
          </cell>
          <cell r="L6">
            <v>0</v>
          </cell>
          <cell r="M6" t="str">
            <v xml:space="preserve">Reference any prior audits or assessments that have been performed in the last 6 months and can be relied upon for validating the control. </v>
          </cell>
          <cell r="N6">
            <v>0</v>
          </cell>
          <cell r="O6" t="str">
            <v>Document references to tests performed as part of the CSF Assurance assessment as noted in the Test Plan.</v>
          </cell>
          <cell r="P6">
            <v>0</v>
          </cell>
          <cell r="Q6">
            <v>0</v>
          </cell>
          <cell r="R6">
            <v>0</v>
          </cell>
        </row>
        <row r="7">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row>
        <row r="8">
          <cell r="B8">
            <v>0</v>
          </cell>
          <cell r="C8" t="str">
            <v>1.</v>
          </cell>
          <cell r="D8">
            <v>0</v>
          </cell>
          <cell r="E8" t="str">
            <v>Information Security Policies</v>
          </cell>
          <cell r="F8">
            <v>0</v>
          </cell>
          <cell r="G8" t="str">
            <v>Answer</v>
          </cell>
          <cell r="H8">
            <v>0</v>
          </cell>
          <cell r="I8" t="str">
            <v>Control Validation</v>
          </cell>
          <cell r="J8">
            <v>0</v>
          </cell>
          <cell r="K8" t="str">
            <v>General Comments</v>
          </cell>
          <cell r="L8">
            <v>0</v>
          </cell>
          <cell r="M8" t="str">
            <v>Prior Assessments</v>
          </cell>
          <cell r="N8">
            <v>0</v>
          </cell>
          <cell r="O8" t="str">
            <v>CSF Assurance Testing Reference(s)</v>
          </cell>
          <cell r="P8">
            <v>0</v>
          </cell>
          <cell r="Q8">
            <v>0</v>
          </cell>
          <cell r="R8">
            <v>0</v>
          </cell>
        </row>
        <row r="9">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row>
        <row r="10">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row>
        <row r="11">
          <cell r="B11">
            <v>0</v>
          </cell>
          <cell r="C11">
            <v>0</v>
          </cell>
          <cell r="D11">
            <v>0</v>
          </cell>
          <cell r="E11" t="str">
            <v xml:space="preserve">     Display CSF Cross References</v>
          </cell>
          <cell r="F11">
            <v>0</v>
          </cell>
          <cell r="G11">
            <v>0</v>
          </cell>
          <cell r="H11">
            <v>0</v>
          </cell>
          <cell r="I11">
            <v>0</v>
          </cell>
          <cell r="J11">
            <v>0</v>
          </cell>
          <cell r="K11">
            <v>0</v>
          </cell>
          <cell r="L11">
            <v>0</v>
          </cell>
          <cell r="M11">
            <v>0</v>
          </cell>
          <cell r="N11">
            <v>0</v>
          </cell>
          <cell r="O11">
            <v>0</v>
          </cell>
          <cell r="P11">
            <v>0</v>
          </cell>
          <cell r="Q11">
            <v>0</v>
          </cell>
          <cell r="R11">
            <v>0</v>
          </cell>
        </row>
        <row r="12">
          <cell r="B12">
            <v>0</v>
          </cell>
          <cell r="C12">
            <v>0</v>
          </cell>
          <cell r="D12">
            <v>0</v>
          </cell>
          <cell r="E12" t="str">
            <v>01.a Access Control Policy</v>
          </cell>
          <cell r="F12">
            <v>0</v>
          </cell>
          <cell r="G12">
            <v>0</v>
          </cell>
          <cell r="H12">
            <v>0</v>
          </cell>
          <cell r="I12">
            <v>0</v>
          </cell>
          <cell r="J12">
            <v>0</v>
          </cell>
          <cell r="K12">
            <v>0</v>
          </cell>
          <cell r="L12">
            <v>0</v>
          </cell>
          <cell r="M12">
            <v>0</v>
          </cell>
          <cell r="N12">
            <v>0</v>
          </cell>
          <cell r="O12">
            <v>0</v>
          </cell>
          <cell r="P12">
            <v>0</v>
          </cell>
          <cell r="Q12">
            <v>0</v>
          </cell>
          <cell r="R12">
            <v>0</v>
          </cell>
          <cell r="S12">
            <v>0</v>
          </cell>
        </row>
        <row r="13">
          <cell r="B13">
            <v>0</v>
          </cell>
          <cell r="C13">
            <v>0</v>
          </cell>
          <cell r="D13">
            <v>0</v>
          </cell>
          <cell r="E13" t="str">
            <v>01.b User Registration</v>
          </cell>
          <cell r="F13">
            <v>0</v>
          </cell>
          <cell r="G13">
            <v>0</v>
          </cell>
          <cell r="H13">
            <v>0</v>
          </cell>
          <cell r="I13">
            <v>0</v>
          </cell>
          <cell r="J13">
            <v>0</v>
          </cell>
          <cell r="K13">
            <v>0</v>
          </cell>
          <cell r="L13">
            <v>0</v>
          </cell>
          <cell r="M13">
            <v>0</v>
          </cell>
          <cell r="N13">
            <v>0</v>
          </cell>
          <cell r="O13">
            <v>0</v>
          </cell>
          <cell r="P13">
            <v>0</v>
          </cell>
          <cell r="Q13">
            <v>0</v>
          </cell>
          <cell r="R13">
            <v>0</v>
          </cell>
          <cell r="S13">
            <v>0</v>
          </cell>
        </row>
        <row r="14">
          <cell r="B14">
            <v>0</v>
          </cell>
          <cell r="C14">
            <v>0</v>
          </cell>
          <cell r="D14">
            <v>0</v>
          </cell>
          <cell r="E14" t="str">
            <v>01.h Clear Desk and Clear Screen Policy</v>
          </cell>
          <cell r="F14">
            <v>0</v>
          </cell>
          <cell r="G14">
            <v>0</v>
          </cell>
          <cell r="H14">
            <v>0</v>
          </cell>
          <cell r="I14">
            <v>0</v>
          </cell>
          <cell r="J14">
            <v>0</v>
          </cell>
          <cell r="K14">
            <v>0</v>
          </cell>
          <cell r="L14">
            <v>0</v>
          </cell>
          <cell r="M14">
            <v>0</v>
          </cell>
          <cell r="N14">
            <v>0</v>
          </cell>
          <cell r="O14">
            <v>0</v>
          </cell>
          <cell r="P14">
            <v>0</v>
          </cell>
          <cell r="Q14">
            <v>0</v>
          </cell>
          <cell r="R14">
            <v>0</v>
          </cell>
          <cell r="S14">
            <v>0</v>
          </cell>
        </row>
        <row r="15">
          <cell r="B15">
            <v>0</v>
          </cell>
          <cell r="C15">
            <v>0</v>
          </cell>
          <cell r="D15">
            <v>0</v>
          </cell>
          <cell r="E15" t="str">
            <v>01.i Policy on the Use of Network Services</v>
          </cell>
          <cell r="F15">
            <v>0</v>
          </cell>
          <cell r="G15">
            <v>0</v>
          </cell>
          <cell r="H15">
            <v>0</v>
          </cell>
          <cell r="I15">
            <v>0</v>
          </cell>
          <cell r="J15">
            <v>0</v>
          </cell>
          <cell r="K15">
            <v>0</v>
          </cell>
          <cell r="L15">
            <v>0</v>
          </cell>
          <cell r="M15">
            <v>0</v>
          </cell>
          <cell r="N15">
            <v>0</v>
          </cell>
          <cell r="O15">
            <v>0</v>
          </cell>
          <cell r="P15">
            <v>0</v>
          </cell>
          <cell r="Q15">
            <v>0</v>
          </cell>
          <cell r="R15">
            <v>0</v>
          </cell>
          <cell r="S15">
            <v>0</v>
          </cell>
        </row>
        <row r="16">
          <cell r="B16">
            <v>0</v>
          </cell>
          <cell r="C16">
            <v>0</v>
          </cell>
          <cell r="D16">
            <v>0</v>
          </cell>
          <cell r="E16" t="str">
            <v>01.x Mobile Computing and Communications</v>
          </cell>
          <cell r="F16">
            <v>0</v>
          </cell>
          <cell r="G16">
            <v>0</v>
          </cell>
          <cell r="H16">
            <v>0</v>
          </cell>
          <cell r="I16">
            <v>0</v>
          </cell>
          <cell r="J16">
            <v>0</v>
          </cell>
          <cell r="K16">
            <v>0</v>
          </cell>
          <cell r="L16">
            <v>0</v>
          </cell>
          <cell r="M16">
            <v>0</v>
          </cell>
          <cell r="N16">
            <v>0</v>
          </cell>
          <cell r="O16">
            <v>0</v>
          </cell>
          <cell r="P16">
            <v>0</v>
          </cell>
          <cell r="Q16">
            <v>0</v>
          </cell>
          <cell r="R16">
            <v>0</v>
          </cell>
          <cell r="S16">
            <v>0</v>
          </cell>
        </row>
        <row r="17">
          <cell r="B17">
            <v>0</v>
          </cell>
          <cell r="C17">
            <v>0</v>
          </cell>
          <cell r="D17">
            <v>0</v>
          </cell>
          <cell r="E17" t="str">
            <v>01.y Teleworking</v>
          </cell>
          <cell r="F17">
            <v>0</v>
          </cell>
          <cell r="G17">
            <v>0</v>
          </cell>
          <cell r="H17">
            <v>0</v>
          </cell>
          <cell r="I17">
            <v>0</v>
          </cell>
          <cell r="J17">
            <v>0</v>
          </cell>
          <cell r="K17">
            <v>0</v>
          </cell>
          <cell r="L17">
            <v>0</v>
          </cell>
          <cell r="M17">
            <v>0</v>
          </cell>
          <cell r="N17">
            <v>0</v>
          </cell>
          <cell r="O17">
            <v>0</v>
          </cell>
          <cell r="P17">
            <v>0</v>
          </cell>
          <cell r="Q17">
            <v>0</v>
          </cell>
          <cell r="R17">
            <v>0</v>
          </cell>
          <cell r="S17">
            <v>0</v>
          </cell>
        </row>
        <row r="18">
          <cell r="B18">
            <v>0</v>
          </cell>
          <cell r="C18">
            <v>0</v>
          </cell>
          <cell r="D18">
            <v>0</v>
          </cell>
          <cell r="E18" t="str">
            <v>02.d Management Responsibilities</v>
          </cell>
          <cell r="F18">
            <v>0</v>
          </cell>
          <cell r="G18">
            <v>0</v>
          </cell>
          <cell r="H18">
            <v>0</v>
          </cell>
          <cell r="I18">
            <v>0</v>
          </cell>
          <cell r="J18">
            <v>0</v>
          </cell>
          <cell r="K18">
            <v>0</v>
          </cell>
          <cell r="L18">
            <v>0</v>
          </cell>
          <cell r="M18">
            <v>0</v>
          </cell>
          <cell r="N18">
            <v>0</v>
          </cell>
          <cell r="O18">
            <v>0</v>
          </cell>
          <cell r="P18">
            <v>0</v>
          </cell>
          <cell r="Q18">
            <v>0</v>
          </cell>
          <cell r="R18">
            <v>0</v>
          </cell>
          <cell r="S18">
            <v>0</v>
          </cell>
        </row>
        <row r="19">
          <cell r="B19">
            <v>0</v>
          </cell>
          <cell r="C19">
            <v>0</v>
          </cell>
          <cell r="D19">
            <v>0</v>
          </cell>
          <cell r="E19" t="str">
            <v>03.a Risk Management Program Development</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v>0</v>
          </cell>
          <cell r="C20">
            <v>0</v>
          </cell>
          <cell r="D20">
            <v>0</v>
          </cell>
          <cell r="E20" t="str">
            <v>04.a Information Security Policy Document</v>
          </cell>
          <cell r="F20">
            <v>0</v>
          </cell>
          <cell r="G20">
            <v>0</v>
          </cell>
          <cell r="H20">
            <v>0</v>
          </cell>
          <cell r="I20">
            <v>0</v>
          </cell>
          <cell r="J20">
            <v>0</v>
          </cell>
          <cell r="K20">
            <v>0</v>
          </cell>
          <cell r="L20">
            <v>0</v>
          </cell>
          <cell r="M20">
            <v>0</v>
          </cell>
          <cell r="N20">
            <v>0</v>
          </cell>
          <cell r="O20">
            <v>0</v>
          </cell>
          <cell r="P20">
            <v>0</v>
          </cell>
          <cell r="Q20">
            <v>0</v>
          </cell>
          <cell r="R20">
            <v>0</v>
          </cell>
          <cell r="S20">
            <v>0</v>
          </cell>
        </row>
        <row r="21">
          <cell r="B21">
            <v>0</v>
          </cell>
          <cell r="C21">
            <v>0</v>
          </cell>
          <cell r="D21">
            <v>0</v>
          </cell>
          <cell r="E21" t="str">
            <v>04.b Review of the Information Security Policy</v>
          </cell>
          <cell r="F21">
            <v>0</v>
          </cell>
          <cell r="G21">
            <v>0</v>
          </cell>
          <cell r="H21">
            <v>0</v>
          </cell>
          <cell r="I21">
            <v>0</v>
          </cell>
          <cell r="J21">
            <v>0</v>
          </cell>
          <cell r="K21">
            <v>0</v>
          </cell>
          <cell r="L21">
            <v>0</v>
          </cell>
          <cell r="M21">
            <v>0</v>
          </cell>
          <cell r="N21">
            <v>0</v>
          </cell>
          <cell r="O21">
            <v>0</v>
          </cell>
          <cell r="P21">
            <v>0</v>
          </cell>
          <cell r="Q21">
            <v>0</v>
          </cell>
          <cell r="R21">
            <v>0</v>
          </cell>
          <cell r="S21">
            <v>0</v>
          </cell>
        </row>
        <row r="22">
          <cell r="B22">
            <v>0</v>
          </cell>
          <cell r="C22">
            <v>0</v>
          </cell>
          <cell r="D22">
            <v>0</v>
          </cell>
          <cell r="E22" t="str">
            <v>05.a Management Commitment to Information Security</v>
          </cell>
          <cell r="F22">
            <v>0</v>
          </cell>
          <cell r="G22">
            <v>0</v>
          </cell>
          <cell r="H22">
            <v>0</v>
          </cell>
          <cell r="I22">
            <v>0</v>
          </cell>
          <cell r="J22">
            <v>0</v>
          </cell>
          <cell r="K22">
            <v>0</v>
          </cell>
          <cell r="L22">
            <v>0</v>
          </cell>
          <cell r="M22">
            <v>0</v>
          </cell>
          <cell r="N22">
            <v>0</v>
          </cell>
          <cell r="O22">
            <v>0</v>
          </cell>
          <cell r="P22">
            <v>0</v>
          </cell>
          <cell r="Q22">
            <v>0</v>
          </cell>
          <cell r="R22">
            <v>0</v>
          </cell>
          <cell r="S22">
            <v>0</v>
          </cell>
        </row>
        <row r="23">
          <cell r="B23">
            <v>0</v>
          </cell>
          <cell r="C23">
            <v>0</v>
          </cell>
          <cell r="D23">
            <v>0</v>
          </cell>
          <cell r="E23" t="str">
            <v>06.d Data Protection and Privacy of Covered Information</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v>0</v>
          </cell>
          <cell r="C24">
            <v>0</v>
          </cell>
          <cell r="D24">
            <v>0</v>
          </cell>
          <cell r="E24" t="str">
            <v>07.c Acceptable Use of Assets</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v>0</v>
          </cell>
          <cell r="C25">
            <v>0</v>
          </cell>
          <cell r="D25">
            <v>0</v>
          </cell>
          <cell r="E25" t="str">
            <v>08.d Protecting Against External and Environmental Threats</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v>0</v>
          </cell>
          <cell r="C26">
            <v>0</v>
          </cell>
          <cell r="D26">
            <v>0</v>
          </cell>
          <cell r="E26" t="str">
            <v>08.j Equipment Maintenance</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v>0</v>
          </cell>
          <cell r="C27">
            <v>0</v>
          </cell>
          <cell r="D27">
            <v>0</v>
          </cell>
          <cell r="E27" t="str">
            <v>09.j Controls Against Malicious Code</v>
          </cell>
          <cell r="F27">
            <v>0</v>
          </cell>
          <cell r="G27">
            <v>0</v>
          </cell>
          <cell r="H27">
            <v>0</v>
          </cell>
          <cell r="I27">
            <v>0</v>
          </cell>
          <cell r="J27">
            <v>0</v>
          </cell>
          <cell r="K27">
            <v>0</v>
          </cell>
          <cell r="L27">
            <v>0</v>
          </cell>
          <cell r="M27">
            <v>0</v>
          </cell>
          <cell r="N27">
            <v>0</v>
          </cell>
          <cell r="O27">
            <v>0</v>
          </cell>
          <cell r="P27">
            <v>0</v>
          </cell>
          <cell r="Q27">
            <v>0</v>
          </cell>
          <cell r="R27">
            <v>0</v>
          </cell>
          <cell r="S27">
            <v>0</v>
          </cell>
        </row>
        <row r="28">
          <cell r="B28">
            <v>0</v>
          </cell>
          <cell r="C28">
            <v>0</v>
          </cell>
          <cell r="D28">
            <v>0</v>
          </cell>
          <cell r="E28" t="str">
            <v>09.o Management of Removable Media</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v>0</v>
          </cell>
          <cell r="C29">
            <v>0</v>
          </cell>
          <cell r="D29">
            <v>0</v>
          </cell>
          <cell r="E29" t="str">
            <v>09.s Information Exchange Policies and Procedures</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v>0</v>
          </cell>
          <cell r="C30">
            <v>0</v>
          </cell>
          <cell r="D30">
            <v>0</v>
          </cell>
          <cell r="E30" t="str">
            <v>10.b Input Data Validation</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v>0</v>
          </cell>
          <cell r="C31">
            <v>0</v>
          </cell>
          <cell r="D31">
            <v>0</v>
          </cell>
          <cell r="E31" t="str">
            <v>10.f Policy on the Use of Cryptographic Controls</v>
          </cell>
          <cell r="F31">
            <v>0</v>
          </cell>
          <cell r="G31">
            <v>0</v>
          </cell>
          <cell r="H31">
            <v>0</v>
          </cell>
          <cell r="I31">
            <v>0</v>
          </cell>
          <cell r="J31">
            <v>0</v>
          </cell>
          <cell r="K31">
            <v>0</v>
          </cell>
          <cell r="L31">
            <v>0</v>
          </cell>
          <cell r="M31">
            <v>0</v>
          </cell>
          <cell r="N31">
            <v>0</v>
          </cell>
          <cell r="O31">
            <v>0</v>
          </cell>
          <cell r="P31">
            <v>0</v>
          </cell>
          <cell r="Q31">
            <v>0</v>
          </cell>
          <cell r="R31">
            <v>0</v>
          </cell>
          <cell r="S31">
            <v>0</v>
          </cell>
        </row>
        <row r="32">
          <cell r="B32">
            <v>0</v>
          </cell>
          <cell r="C32">
            <v>0</v>
          </cell>
          <cell r="D32">
            <v>0</v>
          </cell>
          <cell r="E32" t="str">
            <v>11.a Reporting Information Security Events</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v>0</v>
          </cell>
          <cell r="C33">
            <v>0</v>
          </cell>
          <cell r="D33">
            <v>0</v>
          </cell>
          <cell r="E33" t="str">
            <v>11.c Responsibilities and Procedures</v>
          </cell>
          <cell r="F33">
            <v>0</v>
          </cell>
          <cell r="G33">
            <v>0</v>
          </cell>
          <cell r="H33">
            <v>0</v>
          </cell>
          <cell r="I33">
            <v>0</v>
          </cell>
          <cell r="J33">
            <v>0</v>
          </cell>
          <cell r="K33">
            <v>0</v>
          </cell>
          <cell r="L33">
            <v>0</v>
          </cell>
          <cell r="M33">
            <v>0</v>
          </cell>
          <cell r="N33">
            <v>0</v>
          </cell>
          <cell r="O33">
            <v>0</v>
          </cell>
          <cell r="P33">
            <v>0</v>
          </cell>
          <cell r="Q33">
            <v>0</v>
          </cell>
          <cell r="R33">
            <v>0</v>
          </cell>
          <cell r="S33">
            <v>0</v>
          </cell>
        </row>
        <row r="34">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row>
        <row r="35">
          <cell r="B35">
            <v>0</v>
          </cell>
          <cell r="C35">
            <v>1.1000000000000001</v>
          </cell>
          <cell r="D35">
            <v>0</v>
          </cell>
          <cell r="E35" t="str">
            <v>What external standard(s) were used as the basis for your information security policies and standards?</v>
          </cell>
          <cell r="F35">
            <v>0</v>
          </cell>
          <cell r="G35">
            <v>0</v>
          </cell>
          <cell r="H35">
            <v>0</v>
          </cell>
          <cell r="I35">
            <v>0</v>
          </cell>
          <cell r="J35">
            <v>0</v>
          </cell>
          <cell r="K35">
            <v>0</v>
          </cell>
          <cell r="L35">
            <v>0</v>
          </cell>
          <cell r="M35">
            <v>0</v>
          </cell>
          <cell r="N35" t="b">
            <v>0</v>
          </cell>
          <cell r="O35">
            <v>0</v>
          </cell>
          <cell r="P35">
            <v>0</v>
          </cell>
          <cell r="Q35" t="b">
            <v>0</v>
          </cell>
          <cell r="R35" t="b">
            <v>0</v>
          </cell>
          <cell r="S35" t="b">
            <v>0</v>
          </cell>
          <cell r="T35" t="b">
            <v>0</v>
          </cell>
          <cell r="U35" t="b">
            <v>0</v>
          </cell>
        </row>
        <row r="36">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row>
        <row r="37">
          <cell r="B37">
            <v>0</v>
          </cell>
          <cell r="C37" t="str">
            <v>1.1.A</v>
          </cell>
          <cell r="D37">
            <v>0</v>
          </cell>
          <cell r="E37" t="str">
            <v xml:space="preserve">Are any of your policies or standards less restrictive than the base standard? </v>
          </cell>
          <cell r="F37">
            <v>0</v>
          </cell>
          <cell r="G37">
            <v>0</v>
          </cell>
          <cell r="H37">
            <v>0</v>
          </cell>
          <cell r="I37">
            <v>0</v>
          </cell>
          <cell r="J37">
            <v>0</v>
          </cell>
          <cell r="K37">
            <v>0</v>
          </cell>
          <cell r="L37">
            <v>0</v>
          </cell>
          <cell r="M37">
            <v>0</v>
          </cell>
          <cell r="N37">
            <v>0</v>
          </cell>
          <cell r="O37">
            <v>0</v>
          </cell>
          <cell r="P37">
            <v>0</v>
          </cell>
          <cell r="Q37">
            <v>0</v>
          </cell>
          <cell r="R37">
            <v>0</v>
          </cell>
        </row>
        <row r="38">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row>
        <row r="39">
          <cell r="B39">
            <v>0</v>
          </cell>
          <cell r="C39">
            <v>1.2</v>
          </cell>
          <cell r="D39">
            <v>0</v>
          </cell>
          <cell r="E39" t="str">
            <v>Have you reviewed your information security policies and standards within the past 12 months against compliance-related requirements?</v>
          </cell>
          <cell r="F39">
            <v>0</v>
          </cell>
          <cell r="G39">
            <v>0</v>
          </cell>
          <cell r="H39">
            <v>0</v>
          </cell>
          <cell r="I39">
            <v>0</v>
          </cell>
          <cell r="J39">
            <v>0</v>
          </cell>
          <cell r="K39">
            <v>0</v>
          </cell>
          <cell r="L39">
            <v>0</v>
          </cell>
          <cell r="M39">
            <v>0</v>
          </cell>
          <cell r="N39">
            <v>0</v>
          </cell>
          <cell r="O39">
            <v>0</v>
          </cell>
          <cell r="P39">
            <v>0</v>
          </cell>
          <cell r="Q39">
            <v>0</v>
          </cell>
          <cell r="R39">
            <v>0</v>
          </cell>
        </row>
        <row r="40">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row>
        <row r="41">
          <cell r="B41">
            <v>0</v>
          </cell>
          <cell r="C41">
            <v>1.3</v>
          </cell>
          <cell r="D41">
            <v>0</v>
          </cell>
          <cell r="E41" t="str">
            <v>Who approves the information security policies and standards for the organization?</v>
          </cell>
          <cell r="F41">
            <v>0</v>
          </cell>
          <cell r="G41">
            <v>0</v>
          </cell>
          <cell r="H41">
            <v>0</v>
          </cell>
          <cell r="I41">
            <v>0</v>
          </cell>
          <cell r="J41">
            <v>0</v>
          </cell>
          <cell r="K41">
            <v>0</v>
          </cell>
          <cell r="L41">
            <v>0</v>
          </cell>
          <cell r="M41">
            <v>0</v>
          </cell>
          <cell r="N41">
            <v>0</v>
          </cell>
          <cell r="O41">
            <v>0</v>
          </cell>
          <cell r="P41">
            <v>0</v>
          </cell>
          <cell r="Q41">
            <v>0</v>
          </cell>
          <cell r="R41">
            <v>0</v>
          </cell>
        </row>
        <row r="42">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row>
        <row r="43">
          <cell r="B43">
            <v>0</v>
          </cell>
          <cell r="C43">
            <v>1.4</v>
          </cell>
          <cell r="D43">
            <v>0</v>
          </cell>
          <cell r="E43" t="str">
            <v>What resources (function and headcount) in your organization  are responsible for maintaining the policies?</v>
          </cell>
          <cell r="F43">
            <v>0</v>
          </cell>
          <cell r="G43">
            <v>0</v>
          </cell>
          <cell r="H43">
            <v>0</v>
          </cell>
          <cell r="I43">
            <v>0</v>
          </cell>
          <cell r="J43">
            <v>0</v>
          </cell>
          <cell r="K43">
            <v>0</v>
          </cell>
          <cell r="L43">
            <v>0</v>
          </cell>
          <cell r="M43">
            <v>0</v>
          </cell>
          <cell r="N43">
            <v>0</v>
          </cell>
          <cell r="O43">
            <v>0</v>
          </cell>
          <cell r="P43">
            <v>0</v>
          </cell>
          <cell r="Q43">
            <v>0</v>
          </cell>
          <cell r="R43">
            <v>0</v>
          </cell>
        </row>
        <row r="44">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row>
        <row r="45">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row>
        <row r="46">
          <cell r="B46">
            <v>0</v>
          </cell>
          <cell r="C46" t="str">
            <v>2.</v>
          </cell>
          <cell r="D46">
            <v>0</v>
          </cell>
          <cell r="E46" t="str">
            <v>Laptop Security</v>
          </cell>
          <cell r="F46">
            <v>0</v>
          </cell>
          <cell r="G46" t="str">
            <v>Answer</v>
          </cell>
          <cell r="H46">
            <v>0</v>
          </cell>
          <cell r="I46" t="str">
            <v>Control Validation</v>
          </cell>
          <cell r="J46">
            <v>0</v>
          </cell>
          <cell r="K46" t="str">
            <v>General Comments</v>
          </cell>
          <cell r="L46">
            <v>0</v>
          </cell>
          <cell r="M46" t="str">
            <v>Prior Assessments</v>
          </cell>
          <cell r="N46">
            <v>0</v>
          </cell>
          <cell r="O46" t="str">
            <v>CSF Assurance Testing Reference(s)</v>
          </cell>
          <cell r="P46">
            <v>0</v>
          </cell>
          <cell r="Q46">
            <v>0</v>
          </cell>
          <cell r="R46">
            <v>0</v>
          </cell>
        </row>
        <row r="47">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row>
        <row r="48">
          <cell r="B48">
            <v>0</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row>
        <row r="49">
          <cell r="B49">
            <v>0</v>
          </cell>
          <cell r="C49">
            <v>0</v>
          </cell>
          <cell r="D49">
            <v>0</v>
          </cell>
          <cell r="E49" t="str">
            <v xml:space="preserve">     Display CSF Cross References</v>
          </cell>
          <cell r="F49">
            <v>0</v>
          </cell>
          <cell r="G49">
            <v>0</v>
          </cell>
          <cell r="H49">
            <v>0</v>
          </cell>
          <cell r="I49">
            <v>0</v>
          </cell>
          <cell r="J49">
            <v>0</v>
          </cell>
          <cell r="K49">
            <v>0</v>
          </cell>
          <cell r="L49">
            <v>0</v>
          </cell>
          <cell r="M49">
            <v>0</v>
          </cell>
          <cell r="N49">
            <v>0</v>
          </cell>
          <cell r="O49">
            <v>0</v>
          </cell>
          <cell r="P49">
            <v>0</v>
          </cell>
          <cell r="Q49">
            <v>0</v>
          </cell>
          <cell r="R49">
            <v>0</v>
          </cell>
        </row>
        <row r="50">
          <cell r="B50">
            <v>0</v>
          </cell>
          <cell r="C50">
            <v>0</v>
          </cell>
          <cell r="D50">
            <v>0</v>
          </cell>
          <cell r="E50" t="str">
            <v>01.x Mobile Computing and Communications</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v>0</v>
          </cell>
          <cell r="C51">
            <v>0</v>
          </cell>
          <cell r="D51">
            <v>0</v>
          </cell>
          <cell r="E51" t="str">
            <v>06.d Data Protection and Privacy of Covered Information</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v>0</v>
          </cell>
          <cell r="C52">
            <v>0</v>
          </cell>
          <cell r="D52">
            <v>0</v>
          </cell>
          <cell r="E52" t="str">
            <v>09.m Network Controls</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v>0</v>
          </cell>
          <cell r="C53">
            <v>0</v>
          </cell>
          <cell r="D53">
            <v>0</v>
          </cell>
          <cell r="E53" t="str">
            <v>09.q Information Handling Procedures</v>
          </cell>
          <cell r="F53">
            <v>0</v>
          </cell>
          <cell r="G53">
            <v>0</v>
          </cell>
          <cell r="H53">
            <v>0</v>
          </cell>
          <cell r="I53">
            <v>0</v>
          </cell>
          <cell r="J53">
            <v>0</v>
          </cell>
          <cell r="K53">
            <v>0</v>
          </cell>
          <cell r="L53">
            <v>0</v>
          </cell>
          <cell r="M53">
            <v>0</v>
          </cell>
          <cell r="N53">
            <v>0</v>
          </cell>
          <cell r="O53">
            <v>0</v>
          </cell>
          <cell r="P53">
            <v>0</v>
          </cell>
          <cell r="Q53">
            <v>0</v>
          </cell>
          <cell r="R53">
            <v>0</v>
          </cell>
          <cell r="S53">
            <v>0</v>
          </cell>
        </row>
        <row r="54">
          <cell r="B54">
            <v>0</v>
          </cell>
          <cell r="C54">
            <v>0</v>
          </cell>
          <cell r="D54">
            <v>0</v>
          </cell>
          <cell r="E54" t="str">
            <v>10.g Key Management</v>
          </cell>
          <cell r="F54">
            <v>0</v>
          </cell>
          <cell r="G54">
            <v>0</v>
          </cell>
          <cell r="H54">
            <v>0</v>
          </cell>
          <cell r="I54">
            <v>0</v>
          </cell>
          <cell r="J54">
            <v>0</v>
          </cell>
          <cell r="K54">
            <v>0</v>
          </cell>
          <cell r="L54">
            <v>0</v>
          </cell>
          <cell r="M54">
            <v>0</v>
          </cell>
          <cell r="N54">
            <v>0</v>
          </cell>
          <cell r="O54">
            <v>0</v>
          </cell>
          <cell r="P54">
            <v>0</v>
          </cell>
          <cell r="Q54">
            <v>0</v>
          </cell>
          <cell r="R54">
            <v>0</v>
          </cell>
          <cell r="S54">
            <v>0</v>
          </cell>
        </row>
        <row r="55">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row>
        <row r="56">
          <cell r="B56">
            <v>0</v>
          </cell>
          <cell r="C56">
            <v>2.1</v>
          </cell>
          <cell r="D56">
            <v>0</v>
          </cell>
          <cell r="E56" t="str">
            <v>What is the approximate number of laptops with PHI in your organization?</v>
          </cell>
          <cell r="F56">
            <v>0</v>
          </cell>
          <cell r="G56">
            <v>0</v>
          </cell>
          <cell r="H56">
            <v>0</v>
          </cell>
          <cell r="I56">
            <v>0</v>
          </cell>
          <cell r="J56">
            <v>0</v>
          </cell>
          <cell r="K56">
            <v>0</v>
          </cell>
          <cell r="L56">
            <v>0</v>
          </cell>
          <cell r="M56">
            <v>0</v>
          </cell>
          <cell r="N56">
            <v>0</v>
          </cell>
          <cell r="O56">
            <v>0</v>
          </cell>
          <cell r="P56">
            <v>0</v>
          </cell>
          <cell r="Q56">
            <v>0</v>
          </cell>
          <cell r="R56">
            <v>0</v>
          </cell>
        </row>
        <row r="57">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row>
        <row r="58">
          <cell r="B58">
            <v>0</v>
          </cell>
          <cell r="C58">
            <v>2.2000000000000002</v>
          </cell>
          <cell r="D58">
            <v>0</v>
          </cell>
          <cell r="E58" t="str">
            <v>What percentage of laptops have a desktop firewall installed and operating?</v>
          </cell>
          <cell r="F58">
            <v>0</v>
          </cell>
          <cell r="G58">
            <v>0</v>
          </cell>
          <cell r="H58">
            <v>0</v>
          </cell>
          <cell r="I58">
            <v>0</v>
          </cell>
          <cell r="J58">
            <v>0</v>
          </cell>
          <cell r="K58">
            <v>0</v>
          </cell>
          <cell r="L58">
            <v>0</v>
          </cell>
          <cell r="M58">
            <v>0</v>
          </cell>
          <cell r="N58">
            <v>0</v>
          </cell>
          <cell r="O58">
            <v>0</v>
          </cell>
          <cell r="P58">
            <v>0</v>
          </cell>
          <cell r="Q58">
            <v>0</v>
          </cell>
          <cell r="R58">
            <v>0</v>
          </cell>
        </row>
        <row r="59">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row>
        <row r="60">
          <cell r="B60">
            <v>0</v>
          </cell>
          <cell r="C60">
            <v>2.2999999999999998</v>
          </cell>
          <cell r="D60">
            <v>0</v>
          </cell>
          <cell r="E60" t="str">
            <v xml:space="preserve">What percentage of laptops are operating with a minimum cryptographic module? </v>
          </cell>
          <cell r="F60">
            <v>0</v>
          </cell>
          <cell r="G60">
            <v>0</v>
          </cell>
          <cell r="H60">
            <v>0</v>
          </cell>
          <cell r="I60">
            <v>0</v>
          </cell>
          <cell r="J60">
            <v>0</v>
          </cell>
          <cell r="K60">
            <v>0</v>
          </cell>
          <cell r="L60">
            <v>0</v>
          </cell>
          <cell r="M60">
            <v>0</v>
          </cell>
          <cell r="N60">
            <v>0</v>
          </cell>
          <cell r="O60">
            <v>0</v>
          </cell>
          <cell r="P60">
            <v>0</v>
          </cell>
          <cell r="Q60">
            <v>0</v>
          </cell>
          <cell r="R60">
            <v>0</v>
          </cell>
        </row>
        <row r="61">
          <cell r="B61">
            <v>0</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row>
        <row r="62">
          <cell r="B62">
            <v>0</v>
          </cell>
          <cell r="C62">
            <v>2.4</v>
          </cell>
          <cell r="D62">
            <v>0</v>
          </cell>
          <cell r="E62" t="str">
            <v>What tools are used to deploy and/or maintain the firewalls and minimum cryptographic modules?</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row>
        <row r="63">
          <cell r="B63">
            <v>0</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row>
        <row r="64">
          <cell r="B64">
            <v>0</v>
          </cell>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row>
        <row r="65">
          <cell r="B65">
            <v>0</v>
          </cell>
          <cell r="C65" t="str">
            <v>3.</v>
          </cell>
          <cell r="D65">
            <v>0</v>
          </cell>
          <cell r="E65" t="str">
            <v>Mobile Media Security</v>
          </cell>
          <cell r="F65">
            <v>0</v>
          </cell>
          <cell r="G65" t="str">
            <v>Answer</v>
          </cell>
          <cell r="H65">
            <v>0</v>
          </cell>
          <cell r="I65" t="str">
            <v>Control Validation</v>
          </cell>
          <cell r="J65">
            <v>0</v>
          </cell>
          <cell r="K65" t="str">
            <v>General Comments</v>
          </cell>
          <cell r="L65">
            <v>0</v>
          </cell>
          <cell r="M65" t="str">
            <v>Prior Assessments</v>
          </cell>
          <cell r="N65">
            <v>0</v>
          </cell>
          <cell r="O65" t="str">
            <v>CSF Assurance Testing Reference(s)</v>
          </cell>
          <cell r="P65">
            <v>0</v>
          </cell>
          <cell r="Q65">
            <v>0</v>
          </cell>
          <cell r="R65">
            <v>0</v>
          </cell>
          <cell r="S65">
            <v>0</v>
          </cell>
          <cell r="T65">
            <v>0</v>
          </cell>
          <cell r="U65">
            <v>0</v>
          </cell>
        </row>
        <row r="66">
          <cell r="B66">
            <v>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row>
        <row r="67">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row>
        <row r="68">
          <cell r="B68">
            <v>0</v>
          </cell>
          <cell r="C68">
            <v>0</v>
          </cell>
          <cell r="D68">
            <v>0</v>
          </cell>
          <cell r="E68" t="str">
            <v xml:space="preserve">     Display CSF Cross References</v>
          </cell>
          <cell r="F68">
            <v>0</v>
          </cell>
          <cell r="G68">
            <v>0</v>
          </cell>
          <cell r="H68">
            <v>0</v>
          </cell>
          <cell r="I68">
            <v>0</v>
          </cell>
          <cell r="J68">
            <v>0</v>
          </cell>
          <cell r="K68">
            <v>0</v>
          </cell>
          <cell r="L68">
            <v>0</v>
          </cell>
          <cell r="M68">
            <v>0</v>
          </cell>
          <cell r="N68">
            <v>0</v>
          </cell>
          <cell r="O68">
            <v>0</v>
          </cell>
          <cell r="P68">
            <v>0</v>
          </cell>
          <cell r="Q68">
            <v>0</v>
          </cell>
          <cell r="R68">
            <v>0</v>
          </cell>
        </row>
        <row r="69">
          <cell r="B69">
            <v>0</v>
          </cell>
          <cell r="C69">
            <v>0</v>
          </cell>
          <cell r="D69">
            <v>0</v>
          </cell>
          <cell r="E69" t="str">
            <v>06.d Data Protection and Privacy of Covered Information</v>
          </cell>
          <cell r="F69">
            <v>0</v>
          </cell>
          <cell r="G69">
            <v>0</v>
          </cell>
          <cell r="H69">
            <v>0</v>
          </cell>
          <cell r="I69">
            <v>0</v>
          </cell>
          <cell r="J69">
            <v>0</v>
          </cell>
          <cell r="K69">
            <v>0</v>
          </cell>
          <cell r="L69">
            <v>0</v>
          </cell>
          <cell r="M69">
            <v>0</v>
          </cell>
          <cell r="N69">
            <v>0</v>
          </cell>
          <cell r="O69">
            <v>0</v>
          </cell>
          <cell r="P69">
            <v>0</v>
          </cell>
          <cell r="Q69">
            <v>0</v>
          </cell>
          <cell r="R69">
            <v>0</v>
          </cell>
        </row>
        <row r="70">
          <cell r="B70">
            <v>0</v>
          </cell>
          <cell r="C70">
            <v>0</v>
          </cell>
          <cell r="D70">
            <v>0</v>
          </cell>
          <cell r="E70" t="str">
            <v>09.o Management of Removable Media</v>
          </cell>
          <cell r="F70">
            <v>0</v>
          </cell>
          <cell r="G70">
            <v>0</v>
          </cell>
          <cell r="H70">
            <v>0</v>
          </cell>
          <cell r="I70">
            <v>0</v>
          </cell>
          <cell r="J70">
            <v>0</v>
          </cell>
          <cell r="K70">
            <v>0</v>
          </cell>
          <cell r="L70">
            <v>0</v>
          </cell>
          <cell r="M70">
            <v>0</v>
          </cell>
          <cell r="N70">
            <v>0</v>
          </cell>
          <cell r="O70">
            <v>0</v>
          </cell>
          <cell r="P70">
            <v>0</v>
          </cell>
          <cell r="Q70">
            <v>0</v>
          </cell>
          <cell r="R70">
            <v>0</v>
          </cell>
        </row>
        <row r="71">
          <cell r="B71">
            <v>0</v>
          </cell>
          <cell r="C71">
            <v>0</v>
          </cell>
          <cell r="D71">
            <v>0</v>
          </cell>
          <cell r="E71" t="str">
            <v>09.q Information Handling Procedures</v>
          </cell>
          <cell r="F71">
            <v>0</v>
          </cell>
          <cell r="G71">
            <v>0</v>
          </cell>
          <cell r="H71">
            <v>0</v>
          </cell>
          <cell r="I71">
            <v>0</v>
          </cell>
          <cell r="J71">
            <v>0</v>
          </cell>
          <cell r="K71">
            <v>0</v>
          </cell>
          <cell r="L71">
            <v>0</v>
          </cell>
          <cell r="M71">
            <v>0</v>
          </cell>
          <cell r="N71">
            <v>0</v>
          </cell>
          <cell r="O71">
            <v>0</v>
          </cell>
          <cell r="P71">
            <v>0</v>
          </cell>
          <cell r="Q71">
            <v>0</v>
          </cell>
          <cell r="R71">
            <v>0</v>
          </cell>
        </row>
        <row r="72">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row>
        <row r="73">
          <cell r="B73">
            <v>0</v>
          </cell>
          <cell r="C73">
            <v>3.1</v>
          </cell>
          <cell r="D73">
            <v>0</v>
          </cell>
          <cell r="E73" t="str">
            <v>Do you use technical solutions to restrict the use of unencrypted portable media?</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row>
        <row r="74">
          <cell r="B74">
            <v>0</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row>
        <row r="75">
          <cell r="B75">
            <v>0</v>
          </cell>
          <cell r="C75">
            <v>3.2</v>
          </cell>
          <cell r="D75">
            <v>0</v>
          </cell>
          <cell r="E75" t="str">
            <v>Do you allow the use of unencrypted portable media (e.g., USB drives, CDs, etc)?</v>
          </cell>
          <cell r="F75">
            <v>0</v>
          </cell>
          <cell r="G75">
            <v>0</v>
          </cell>
          <cell r="H75">
            <v>0</v>
          </cell>
          <cell r="I75">
            <v>0</v>
          </cell>
          <cell r="J75">
            <v>0</v>
          </cell>
          <cell r="K75">
            <v>0</v>
          </cell>
          <cell r="L75">
            <v>0</v>
          </cell>
          <cell r="M75">
            <v>0</v>
          </cell>
          <cell r="N75">
            <v>0</v>
          </cell>
          <cell r="O75">
            <v>0</v>
          </cell>
          <cell r="P75">
            <v>0</v>
          </cell>
          <cell r="Q75">
            <v>0</v>
          </cell>
          <cell r="R75">
            <v>0</v>
          </cell>
        </row>
        <row r="76">
          <cell r="B76">
            <v>0</v>
          </cell>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row>
        <row r="77">
          <cell r="B77">
            <v>0</v>
          </cell>
          <cell r="C77">
            <v>3.3</v>
          </cell>
          <cell r="D77">
            <v>0</v>
          </cell>
          <cell r="E77" t="str">
            <v>What tools are used to restrict the use of unencrypted portable media?</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row>
        <row r="78">
          <cell r="B78">
            <v>0</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row>
        <row r="79">
          <cell r="B79">
            <v>0</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row>
        <row r="80">
          <cell r="B80">
            <v>0</v>
          </cell>
          <cell r="C80" t="str">
            <v>4.</v>
          </cell>
          <cell r="D80">
            <v>0</v>
          </cell>
          <cell r="E80" t="str">
            <v>Wireless Security</v>
          </cell>
          <cell r="F80">
            <v>0</v>
          </cell>
          <cell r="G80" t="str">
            <v>Answer</v>
          </cell>
          <cell r="H80">
            <v>0</v>
          </cell>
          <cell r="I80" t="str">
            <v>Control Validation</v>
          </cell>
          <cell r="J80">
            <v>0</v>
          </cell>
          <cell r="K80" t="str">
            <v>General Comments</v>
          </cell>
          <cell r="L80">
            <v>0</v>
          </cell>
          <cell r="M80" t="str">
            <v>Prior Assessments</v>
          </cell>
          <cell r="N80">
            <v>0</v>
          </cell>
          <cell r="O80" t="str">
            <v>CSF Assurance Testing Reference(s)</v>
          </cell>
          <cell r="P80">
            <v>0</v>
          </cell>
          <cell r="Q80">
            <v>0</v>
          </cell>
          <cell r="R80">
            <v>0</v>
          </cell>
        </row>
        <row r="81">
          <cell r="B81">
            <v>0</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row>
        <row r="82">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row>
        <row r="83">
          <cell r="B83">
            <v>0</v>
          </cell>
          <cell r="C83">
            <v>0</v>
          </cell>
          <cell r="D83">
            <v>0</v>
          </cell>
          <cell r="E83" t="str">
            <v xml:space="preserve">     Display CSF Cross References</v>
          </cell>
          <cell r="F83">
            <v>0</v>
          </cell>
          <cell r="G83">
            <v>0</v>
          </cell>
          <cell r="H83">
            <v>0</v>
          </cell>
          <cell r="I83">
            <v>0</v>
          </cell>
          <cell r="J83">
            <v>0</v>
          </cell>
          <cell r="K83">
            <v>0</v>
          </cell>
          <cell r="L83">
            <v>0</v>
          </cell>
          <cell r="M83">
            <v>0</v>
          </cell>
          <cell r="N83">
            <v>0</v>
          </cell>
          <cell r="O83">
            <v>0</v>
          </cell>
          <cell r="P83">
            <v>0</v>
          </cell>
          <cell r="Q83">
            <v>0</v>
          </cell>
          <cell r="R83">
            <v>0</v>
          </cell>
        </row>
        <row r="84">
          <cell r="B84">
            <v>0</v>
          </cell>
          <cell r="C84">
            <v>0</v>
          </cell>
          <cell r="D84">
            <v>0</v>
          </cell>
          <cell r="E84" t="str">
            <v>01.j User Authentication for External Connections</v>
          </cell>
          <cell r="F84">
            <v>0</v>
          </cell>
          <cell r="G84">
            <v>0</v>
          </cell>
          <cell r="H84">
            <v>0</v>
          </cell>
          <cell r="I84">
            <v>0</v>
          </cell>
          <cell r="J84">
            <v>0</v>
          </cell>
          <cell r="K84">
            <v>0</v>
          </cell>
          <cell r="L84">
            <v>0</v>
          </cell>
          <cell r="M84">
            <v>0</v>
          </cell>
          <cell r="N84">
            <v>0</v>
          </cell>
          <cell r="O84">
            <v>0</v>
          </cell>
          <cell r="P84">
            <v>0</v>
          </cell>
          <cell r="Q84">
            <v>0</v>
          </cell>
          <cell r="R84">
            <v>0</v>
          </cell>
        </row>
        <row r="85">
          <cell r="B85">
            <v>0</v>
          </cell>
          <cell r="C85">
            <v>0</v>
          </cell>
          <cell r="D85">
            <v>0</v>
          </cell>
          <cell r="E85" t="str">
            <v>01.m Segregation in Networks</v>
          </cell>
          <cell r="F85">
            <v>0</v>
          </cell>
          <cell r="G85">
            <v>0</v>
          </cell>
          <cell r="H85">
            <v>0</v>
          </cell>
          <cell r="I85">
            <v>0</v>
          </cell>
          <cell r="J85">
            <v>0</v>
          </cell>
          <cell r="K85">
            <v>0</v>
          </cell>
          <cell r="L85">
            <v>0</v>
          </cell>
          <cell r="M85">
            <v>0</v>
          </cell>
          <cell r="N85">
            <v>0</v>
          </cell>
          <cell r="O85">
            <v>0</v>
          </cell>
          <cell r="P85">
            <v>0</v>
          </cell>
          <cell r="Q85">
            <v>0</v>
          </cell>
          <cell r="R85">
            <v>0</v>
          </cell>
        </row>
        <row r="86">
          <cell r="B86">
            <v>0</v>
          </cell>
          <cell r="C86">
            <v>0</v>
          </cell>
          <cell r="D86">
            <v>0</v>
          </cell>
          <cell r="E86" t="str">
            <v>01.y Teleworking</v>
          </cell>
          <cell r="F86">
            <v>0</v>
          </cell>
          <cell r="G86">
            <v>0</v>
          </cell>
          <cell r="H86">
            <v>0</v>
          </cell>
          <cell r="I86">
            <v>0</v>
          </cell>
          <cell r="J86">
            <v>0</v>
          </cell>
          <cell r="K86">
            <v>0</v>
          </cell>
          <cell r="L86">
            <v>0</v>
          </cell>
          <cell r="M86">
            <v>0</v>
          </cell>
          <cell r="N86">
            <v>0</v>
          </cell>
          <cell r="O86">
            <v>0</v>
          </cell>
          <cell r="P86">
            <v>0</v>
          </cell>
          <cell r="Q86">
            <v>0</v>
          </cell>
          <cell r="R86">
            <v>0</v>
          </cell>
        </row>
        <row r="87">
          <cell r="B87">
            <v>0</v>
          </cell>
          <cell r="C87">
            <v>0</v>
          </cell>
          <cell r="D87">
            <v>0</v>
          </cell>
          <cell r="E87" t="str">
            <v>09.m Network Controls</v>
          </cell>
          <cell r="F87">
            <v>0</v>
          </cell>
          <cell r="G87">
            <v>0</v>
          </cell>
          <cell r="H87">
            <v>0</v>
          </cell>
          <cell r="I87">
            <v>0</v>
          </cell>
          <cell r="J87">
            <v>0</v>
          </cell>
          <cell r="K87">
            <v>0</v>
          </cell>
          <cell r="L87">
            <v>0</v>
          </cell>
          <cell r="M87">
            <v>0</v>
          </cell>
          <cell r="N87">
            <v>0</v>
          </cell>
          <cell r="O87">
            <v>0</v>
          </cell>
          <cell r="P87">
            <v>0</v>
          </cell>
          <cell r="Q87">
            <v>0</v>
          </cell>
          <cell r="R87">
            <v>0</v>
          </cell>
        </row>
        <row r="88">
          <cell r="B88">
            <v>0</v>
          </cell>
          <cell r="C88">
            <v>0</v>
          </cell>
          <cell r="D88">
            <v>0</v>
          </cell>
          <cell r="E88" t="str">
            <v>09.s Information Exchange Policies and Procedures</v>
          </cell>
          <cell r="F88">
            <v>0</v>
          </cell>
          <cell r="G88">
            <v>0</v>
          </cell>
          <cell r="H88">
            <v>0</v>
          </cell>
          <cell r="I88">
            <v>0</v>
          </cell>
          <cell r="J88">
            <v>0</v>
          </cell>
          <cell r="K88">
            <v>0</v>
          </cell>
          <cell r="L88">
            <v>0</v>
          </cell>
          <cell r="M88">
            <v>0</v>
          </cell>
          <cell r="N88">
            <v>0</v>
          </cell>
          <cell r="O88">
            <v>0</v>
          </cell>
          <cell r="P88">
            <v>0</v>
          </cell>
          <cell r="Q88">
            <v>0</v>
          </cell>
          <cell r="R88">
            <v>0</v>
          </cell>
        </row>
        <row r="89">
          <cell r="B89">
            <v>0</v>
          </cell>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row>
        <row r="90">
          <cell r="B90">
            <v>0</v>
          </cell>
          <cell r="C90">
            <v>4.0999999999999996</v>
          </cell>
          <cell r="D90">
            <v>0</v>
          </cell>
          <cell r="E90" t="str">
            <v/>
          </cell>
          <cell r="F90">
            <v>0</v>
          </cell>
          <cell r="G90">
            <v>0</v>
          </cell>
          <cell r="H90">
            <v>0</v>
          </cell>
          <cell r="I90">
            <v>0</v>
          </cell>
          <cell r="J90">
            <v>0</v>
          </cell>
          <cell r="K90">
            <v>0</v>
          </cell>
          <cell r="L90">
            <v>0</v>
          </cell>
          <cell r="M90">
            <v>0</v>
          </cell>
          <cell r="N90">
            <v>0</v>
          </cell>
          <cell r="O90">
            <v>0</v>
          </cell>
          <cell r="P90">
            <v>0</v>
          </cell>
          <cell r="Q90" t="b">
            <v>0</v>
          </cell>
          <cell r="R90">
            <v>0</v>
          </cell>
        </row>
        <row r="91">
          <cell r="B91">
            <v>0</v>
          </cell>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row>
        <row r="92">
          <cell r="B92">
            <v>0</v>
          </cell>
          <cell r="C92" t="str">
            <v>4.1.A</v>
          </cell>
          <cell r="D92">
            <v>0</v>
          </cell>
          <cell r="E92" t="str">
            <v>Does the organization disable default passwords, encryption keys, and SSIDs on new wireless access points and enable strong encryption?</v>
          </cell>
          <cell r="F92">
            <v>0</v>
          </cell>
          <cell r="G92">
            <v>0</v>
          </cell>
          <cell r="H92">
            <v>0</v>
          </cell>
          <cell r="I92">
            <v>0</v>
          </cell>
          <cell r="J92">
            <v>0</v>
          </cell>
          <cell r="K92">
            <v>0</v>
          </cell>
          <cell r="L92">
            <v>0</v>
          </cell>
          <cell r="M92">
            <v>0</v>
          </cell>
          <cell r="N92">
            <v>0</v>
          </cell>
          <cell r="O92">
            <v>0</v>
          </cell>
          <cell r="P92">
            <v>0</v>
          </cell>
          <cell r="Q92">
            <v>0</v>
          </cell>
          <cell r="R92">
            <v>0</v>
          </cell>
        </row>
        <row r="93">
          <cell r="B93">
            <v>0</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row>
        <row r="94">
          <cell r="B94">
            <v>0</v>
          </cell>
          <cell r="C94">
            <v>4.2</v>
          </cell>
          <cell r="D94">
            <v>0</v>
          </cell>
          <cell r="E94" t="str">
            <v>What is the approximate number of wireless access points on the organization's internal network that have encryption or authentication enabled (WPA at a minimum)?</v>
          </cell>
          <cell r="F94">
            <v>0</v>
          </cell>
          <cell r="G94">
            <v>0</v>
          </cell>
          <cell r="H94">
            <v>0</v>
          </cell>
          <cell r="I94">
            <v>0</v>
          </cell>
          <cell r="J94">
            <v>0</v>
          </cell>
          <cell r="K94">
            <v>0</v>
          </cell>
          <cell r="L94">
            <v>0</v>
          </cell>
          <cell r="M94">
            <v>0</v>
          </cell>
          <cell r="N94">
            <v>0</v>
          </cell>
          <cell r="O94">
            <v>0</v>
          </cell>
          <cell r="P94">
            <v>0</v>
          </cell>
          <cell r="Q94">
            <v>0</v>
          </cell>
          <cell r="R94">
            <v>0</v>
          </cell>
        </row>
        <row r="95">
          <cell r="B95">
            <v>0</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row>
        <row r="96">
          <cell r="B96">
            <v>0</v>
          </cell>
          <cell r="C96">
            <v>4.3</v>
          </cell>
          <cell r="D96">
            <v>0</v>
          </cell>
          <cell r="E96" t="str">
            <v>Is user authentication required in order to receive wireless access to the internal network?</v>
          </cell>
          <cell r="F96">
            <v>0</v>
          </cell>
          <cell r="G96">
            <v>0</v>
          </cell>
          <cell r="H96">
            <v>0</v>
          </cell>
          <cell r="I96">
            <v>0</v>
          </cell>
          <cell r="J96">
            <v>0</v>
          </cell>
          <cell r="K96">
            <v>0</v>
          </cell>
          <cell r="L96">
            <v>0</v>
          </cell>
          <cell r="M96">
            <v>0</v>
          </cell>
          <cell r="N96">
            <v>0</v>
          </cell>
          <cell r="O96">
            <v>0</v>
          </cell>
          <cell r="P96">
            <v>0</v>
          </cell>
          <cell r="Q96">
            <v>0</v>
          </cell>
          <cell r="R96">
            <v>0</v>
          </cell>
        </row>
        <row r="97">
          <cell r="B97">
            <v>0</v>
          </cell>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row>
        <row r="98">
          <cell r="B98">
            <v>0</v>
          </cell>
          <cell r="C98">
            <v>4.4000000000000004</v>
          </cell>
          <cell r="D98">
            <v>0</v>
          </cell>
          <cell r="E98" t="str">
            <v/>
          </cell>
          <cell r="F98">
            <v>0</v>
          </cell>
          <cell r="G98">
            <v>0</v>
          </cell>
          <cell r="H98">
            <v>0</v>
          </cell>
          <cell r="I98">
            <v>0</v>
          </cell>
          <cell r="J98">
            <v>0</v>
          </cell>
          <cell r="K98">
            <v>0</v>
          </cell>
          <cell r="L98">
            <v>0</v>
          </cell>
          <cell r="M98">
            <v>0</v>
          </cell>
          <cell r="N98">
            <v>0</v>
          </cell>
          <cell r="O98">
            <v>0</v>
          </cell>
          <cell r="P98">
            <v>0</v>
          </cell>
          <cell r="Q98" t="b">
            <v>0</v>
          </cell>
          <cell r="R98">
            <v>0</v>
          </cell>
        </row>
        <row r="99">
          <cell r="B99">
            <v>0</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row>
        <row r="100">
          <cell r="B100">
            <v>0</v>
          </cell>
          <cell r="C100" t="str">
            <v>4.4.A</v>
          </cell>
          <cell r="D100">
            <v>0</v>
          </cell>
          <cell r="E100" t="str">
            <v>What was the average time to close high risk findings (e.g., SANS) identified in the vulnerability assessment?</v>
          </cell>
          <cell r="F100">
            <v>0</v>
          </cell>
          <cell r="G100">
            <v>0</v>
          </cell>
          <cell r="H100">
            <v>0</v>
          </cell>
          <cell r="I100">
            <v>0</v>
          </cell>
          <cell r="J100">
            <v>0</v>
          </cell>
          <cell r="K100">
            <v>0</v>
          </cell>
          <cell r="L100">
            <v>0</v>
          </cell>
          <cell r="M100">
            <v>0</v>
          </cell>
          <cell r="N100">
            <v>0</v>
          </cell>
          <cell r="O100">
            <v>0</v>
          </cell>
          <cell r="P100">
            <v>0</v>
          </cell>
          <cell r="Q100">
            <v>0</v>
          </cell>
          <cell r="R100">
            <v>0</v>
          </cell>
        </row>
        <row r="101">
          <cell r="B101">
            <v>0</v>
          </cell>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row>
        <row r="102">
          <cell r="B102">
            <v>0</v>
          </cell>
          <cell r="C102" t="str">
            <v>4.4.B</v>
          </cell>
          <cell r="D102">
            <v>0</v>
          </cell>
          <cell r="E102" t="str">
            <v>Does the organization implement firewalls between wireless networks and the covered information environment to control the flow of traffic between the two networks?</v>
          </cell>
          <cell r="F102">
            <v>0</v>
          </cell>
          <cell r="G102">
            <v>0</v>
          </cell>
          <cell r="H102">
            <v>0</v>
          </cell>
          <cell r="I102">
            <v>0</v>
          </cell>
          <cell r="J102">
            <v>0</v>
          </cell>
          <cell r="K102">
            <v>0</v>
          </cell>
          <cell r="L102">
            <v>0</v>
          </cell>
          <cell r="M102">
            <v>0</v>
          </cell>
          <cell r="N102">
            <v>0</v>
          </cell>
          <cell r="O102">
            <v>0</v>
          </cell>
          <cell r="P102">
            <v>0</v>
          </cell>
          <cell r="Q102">
            <v>0</v>
          </cell>
          <cell r="R102">
            <v>0</v>
          </cell>
        </row>
        <row r="103">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row>
        <row r="104">
          <cell r="B104">
            <v>0</v>
          </cell>
          <cell r="C104">
            <v>4.5</v>
          </cell>
          <cell r="D104">
            <v>0</v>
          </cell>
          <cell r="E104" t="str">
            <v/>
          </cell>
          <cell r="F104">
            <v>0</v>
          </cell>
          <cell r="G104">
            <v>0</v>
          </cell>
          <cell r="H104">
            <v>0</v>
          </cell>
          <cell r="I104">
            <v>0</v>
          </cell>
          <cell r="J104">
            <v>0</v>
          </cell>
          <cell r="K104">
            <v>0</v>
          </cell>
          <cell r="L104">
            <v>0</v>
          </cell>
          <cell r="M104">
            <v>0</v>
          </cell>
          <cell r="N104">
            <v>0</v>
          </cell>
          <cell r="O104">
            <v>0</v>
          </cell>
          <cell r="P104">
            <v>0</v>
          </cell>
          <cell r="Q104">
            <v>0</v>
          </cell>
          <cell r="R104">
            <v>0</v>
          </cell>
        </row>
        <row r="105">
          <cell r="B105">
            <v>0</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row>
        <row r="106">
          <cell r="B106">
            <v>0</v>
          </cell>
          <cell r="C106">
            <v>4.5999999999999996</v>
          </cell>
          <cell r="D106">
            <v>0</v>
          </cell>
          <cell r="E106" t="str">
            <v>What tools are used to secure and maintain the security of wireless access points?</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row>
        <row r="107">
          <cell r="B107">
            <v>0</v>
          </cell>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row>
        <row r="108">
          <cell r="B108">
            <v>0</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row>
        <row r="109">
          <cell r="B109">
            <v>0</v>
          </cell>
          <cell r="C109" t="str">
            <v>5.</v>
          </cell>
          <cell r="D109">
            <v>0</v>
          </cell>
          <cell r="E109" t="str">
            <v>Malware Protection</v>
          </cell>
          <cell r="F109">
            <v>0</v>
          </cell>
          <cell r="G109" t="str">
            <v>Answer</v>
          </cell>
          <cell r="H109">
            <v>0</v>
          </cell>
          <cell r="I109" t="str">
            <v>Control Validation</v>
          </cell>
          <cell r="J109">
            <v>0</v>
          </cell>
          <cell r="K109" t="str">
            <v>General Comments</v>
          </cell>
          <cell r="L109">
            <v>0</v>
          </cell>
          <cell r="M109" t="str">
            <v>Prior Assessments</v>
          </cell>
          <cell r="N109">
            <v>0</v>
          </cell>
          <cell r="O109" t="str">
            <v>CSF Assurance Testing Reference(s)</v>
          </cell>
          <cell r="P109">
            <v>0</v>
          </cell>
          <cell r="Q109">
            <v>0</v>
          </cell>
          <cell r="R109">
            <v>0</v>
          </cell>
        </row>
        <row r="110">
          <cell r="B110">
            <v>0</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row>
        <row r="111">
          <cell r="B111">
            <v>0</v>
          </cell>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row>
        <row r="112">
          <cell r="B112">
            <v>0</v>
          </cell>
          <cell r="C112">
            <v>0</v>
          </cell>
          <cell r="D112">
            <v>0</v>
          </cell>
          <cell r="E112" t="str">
            <v xml:space="preserve">     Display CSF Cross References</v>
          </cell>
          <cell r="F112">
            <v>0</v>
          </cell>
          <cell r="G112">
            <v>0</v>
          </cell>
          <cell r="H112">
            <v>0</v>
          </cell>
          <cell r="I112">
            <v>0</v>
          </cell>
          <cell r="J112">
            <v>0</v>
          </cell>
          <cell r="K112">
            <v>0</v>
          </cell>
          <cell r="L112">
            <v>0</v>
          </cell>
          <cell r="M112">
            <v>0</v>
          </cell>
          <cell r="N112">
            <v>0</v>
          </cell>
          <cell r="O112">
            <v>0</v>
          </cell>
          <cell r="P112">
            <v>0</v>
          </cell>
          <cell r="Q112">
            <v>0</v>
          </cell>
          <cell r="R112">
            <v>0</v>
          </cell>
        </row>
        <row r="113">
          <cell r="B113">
            <v>0</v>
          </cell>
          <cell r="C113">
            <v>0</v>
          </cell>
          <cell r="D113">
            <v>0</v>
          </cell>
          <cell r="E113" t="str">
            <v>01.v Information Access Restriction</v>
          </cell>
          <cell r="F113">
            <v>0</v>
          </cell>
          <cell r="G113">
            <v>0</v>
          </cell>
          <cell r="H113">
            <v>0</v>
          </cell>
          <cell r="I113">
            <v>0</v>
          </cell>
          <cell r="J113">
            <v>0</v>
          </cell>
          <cell r="K113">
            <v>0</v>
          </cell>
          <cell r="L113">
            <v>0</v>
          </cell>
          <cell r="M113">
            <v>0</v>
          </cell>
          <cell r="N113">
            <v>0</v>
          </cell>
          <cell r="O113">
            <v>0</v>
          </cell>
          <cell r="P113">
            <v>0</v>
          </cell>
          <cell r="Q113">
            <v>0</v>
          </cell>
          <cell r="R113">
            <v>0</v>
          </cell>
        </row>
        <row r="114">
          <cell r="B114">
            <v>0</v>
          </cell>
          <cell r="C114">
            <v>0</v>
          </cell>
          <cell r="D114">
            <v>0</v>
          </cell>
          <cell r="E114" t="str">
            <v>01.x Mobile Computing and Communications</v>
          </cell>
          <cell r="F114">
            <v>0</v>
          </cell>
          <cell r="H114">
            <v>0</v>
          </cell>
          <cell r="I114">
            <v>0</v>
          </cell>
          <cell r="J114">
            <v>0</v>
          </cell>
          <cell r="K114">
            <v>0</v>
          </cell>
          <cell r="L114">
            <v>0</v>
          </cell>
          <cell r="M114">
            <v>0</v>
          </cell>
          <cell r="N114">
            <v>0</v>
          </cell>
          <cell r="O114">
            <v>0</v>
          </cell>
          <cell r="P114">
            <v>0</v>
          </cell>
          <cell r="Q114">
            <v>0</v>
          </cell>
          <cell r="R114">
            <v>0</v>
          </cell>
        </row>
        <row r="115">
          <cell r="B115">
            <v>0</v>
          </cell>
          <cell r="C115">
            <v>0</v>
          </cell>
          <cell r="D115">
            <v>0</v>
          </cell>
          <cell r="E115" t="str">
            <v>09.j Controls Against Malicious Code</v>
          </cell>
          <cell r="F115">
            <v>0</v>
          </cell>
          <cell r="G115">
            <v>0</v>
          </cell>
          <cell r="H115">
            <v>0</v>
          </cell>
          <cell r="I115">
            <v>0</v>
          </cell>
          <cell r="J115">
            <v>0</v>
          </cell>
          <cell r="K115">
            <v>0</v>
          </cell>
          <cell r="L115">
            <v>0</v>
          </cell>
          <cell r="M115">
            <v>0</v>
          </cell>
          <cell r="N115">
            <v>0</v>
          </cell>
          <cell r="O115">
            <v>0</v>
          </cell>
          <cell r="P115">
            <v>0</v>
          </cell>
          <cell r="Q115">
            <v>0</v>
          </cell>
          <cell r="R115">
            <v>0</v>
          </cell>
        </row>
        <row r="116">
          <cell r="B116">
            <v>0</v>
          </cell>
          <cell r="C116">
            <v>0</v>
          </cell>
          <cell r="D116">
            <v>0</v>
          </cell>
          <cell r="E116" t="str">
            <v>09.s Information Exchange Policies and Procedures</v>
          </cell>
          <cell r="F116">
            <v>0</v>
          </cell>
          <cell r="G116">
            <v>0</v>
          </cell>
          <cell r="H116">
            <v>0</v>
          </cell>
          <cell r="I116">
            <v>0</v>
          </cell>
          <cell r="J116">
            <v>0</v>
          </cell>
          <cell r="K116">
            <v>0</v>
          </cell>
          <cell r="L116">
            <v>0</v>
          </cell>
          <cell r="M116">
            <v>0</v>
          </cell>
          <cell r="N116">
            <v>0</v>
          </cell>
          <cell r="O116">
            <v>0</v>
          </cell>
          <cell r="P116">
            <v>0</v>
          </cell>
          <cell r="Q116">
            <v>0</v>
          </cell>
          <cell r="R116">
            <v>0</v>
          </cell>
        </row>
        <row r="117">
          <cell r="B117">
            <v>0</v>
          </cell>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row>
        <row r="118">
          <cell r="B118">
            <v>0</v>
          </cell>
          <cell r="C118">
            <v>5.0999999999999996</v>
          </cell>
          <cell r="D118">
            <v>0</v>
          </cell>
          <cell r="E118" t="str">
            <v>What percentage of systems (e.g., servers) have anti-malware installed?</v>
          </cell>
          <cell r="F118">
            <v>0</v>
          </cell>
          <cell r="G118">
            <v>0</v>
          </cell>
          <cell r="H118">
            <v>0</v>
          </cell>
          <cell r="I118">
            <v>0</v>
          </cell>
          <cell r="J118">
            <v>0</v>
          </cell>
          <cell r="K118">
            <v>0</v>
          </cell>
          <cell r="L118">
            <v>0</v>
          </cell>
          <cell r="M118">
            <v>0</v>
          </cell>
          <cell r="N118">
            <v>0</v>
          </cell>
          <cell r="O118">
            <v>0</v>
          </cell>
          <cell r="P118">
            <v>0</v>
          </cell>
          <cell r="Q118">
            <v>0</v>
          </cell>
          <cell r="R118">
            <v>0</v>
          </cell>
        </row>
        <row r="119">
          <cell r="B119">
            <v>0</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row>
        <row r="120">
          <cell r="B120">
            <v>0</v>
          </cell>
          <cell r="C120" t="str">
            <v>5.1.A</v>
          </cell>
          <cell r="D120">
            <v>0</v>
          </cell>
          <cell r="E120" t="str">
            <v>What percentage of systems (e.g., servers) have anti-malware with up-to-date virus definitions (less than 14 days)?</v>
          </cell>
          <cell r="F120">
            <v>0</v>
          </cell>
          <cell r="G120">
            <v>0</v>
          </cell>
          <cell r="H120">
            <v>0</v>
          </cell>
          <cell r="I120">
            <v>0</v>
          </cell>
          <cell r="J120">
            <v>0</v>
          </cell>
          <cell r="K120">
            <v>0</v>
          </cell>
          <cell r="L120">
            <v>0</v>
          </cell>
          <cell r="M120">
            <v>0</v>
          </cell>
          <cell r="N120">
            <v>0</v>
          </cell>
          <cell r="O120">
            <v>0</v>
          </cell>
          <cell r="P120">
            <v>0</v>
          </cell>
          <cell r="Q120">
            <v>0</v>
          </cell>
          <cell r="R120">
            <v>0</v>
          </cell>
        </row>
        <row r="121">
          <cell r="B121">
            <v>0</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row>
        <row r="122">
          <cell r="B122">
            <v>0</v>
          </cell>
          <cell r="C122">
            <v>5.2</v>
          </cell>
          <cell r="D122">
            <v>0</v>
          </cell>
          <cell r="E122" t="str">
            <v>What percentage of devices (e.g., laptops) have anti-malware installed?</v>
          </cell>
          <cell r="F122">
            <v>0</v>
          </cell>
          <cell r="G122">
            <v>0</v>
          </cell>
          <cell r="H122">
            <v>0</v>
          </cell>
          <cell r="I122">
            <v>0</v>
          </cell>
          <cell r="J122">
            <v>0</v>
          </cell>
          <cell r="K122">
            <v>0</v>
          </cell>
          <cell r="L122">
            <v>0</v>
          </cell>
          <cell r="M122">
            <v>0</v>
          </cell>
          <cell r="N122">
            <v>0</v>
          </cell>
          <cell r="O122">
            <v>0</v>
          </cell>
          <cell r="P122">
            <v>0</v>
          </cell>
          <cell r="Q122">
            <v>0</v>
          </cell>
          <cell r="R122">
            <v>0</v>
          </cell>
        </row>
        <row r="123">
          <cell r="B123">
            <v>0</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row>
        <row r="124">
          <cell r="B124">
            <v>0</v>
          </cell>
          <cell r="C124" t="str">
            <v>5.2.A</v>
          </cell>
          <cell r="D124">
            <v>0</v>
          </cell>
          <cell r="E124" t="str">
            <v>What percentage of devices (e.g., laptops) have anti-malware with up-to-date virus definitions (less than 14 days)?</v>
          </cell>
          <cell r="F124">
            <v>0</v>
          </cell>
          <cell r="G124">
            <v>0</v>
          </cell>
          <cell r="H124">
            <v>0</v>
          </cell>
          <cell r="I124">
            <v>0</v>
          </cell>
          <cell r="J124">
            <v>0</v>
          </cell>
          <cell r="K124">
            <v>0</v>
          </cell>
          <cell r="L124">
            <v>0</v>
          </cell>
          <cell r="M124">
            <v>0</v>
          </cell>
          <cell r="N124">
            <v>0</v>
          </cell>
          <cell r="O124">
            <v>0</v>
          </cell>
          <cell r="P124">
            <v>0</v>
          </cell>
          <cell r="Q124">
            <v>0</v>
          </cell>
          <cell r="R124">
            <v>0</v>
          </cell>
        </row>
        <row r="125">
          <cell r="B125">
            <v>0</v>
          </cell>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row>
        <row r="126">
          <cell r="B126">
            <v>0</v>
          </cell>
          <cell r="C126">
            <v>5.3</v>
          </cell>
          <cell r="D126">
            <v>0</v>
          </cell>
          <cell r="E126" t="str">
            <v>What percentage of devices (e.g., laptops) have anti-spyware installed?</v>
          </cell>
          <cell r="F126">
            <v>0</v>
          </cell>
          <cell r="G126">
            <v>0</v>
          </cell>
          <cell r="H126">
            <v>0</v>
          </cell>
          <cell r="I126">
            <v>0</v>
          </cell>
          <cell r="J126">
            <v>0</v>
          </cell>
          <cell r="K126">
            <v>0</v>
          </cell>
          <cell r="L126">
            <v>0</v>
          </cell>
          <cell r="M126">
            <v>0</v>
          </cell>
          <cell r="N126">
            <v>0</v>
          </cell>
          <cell r="O126">
            <v>0</v>
          </cell>
          <cell r="P126">
            <v>0</v>
          </cell>
          <cell r="Q126">
            <v>0</v>
          </cell>
          <cell r="R126">
            <v>0</v>
          </cell>
        </row>
        <row r="127">
          <cell r="B127">
            <v>0</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row>
        <row r="128">
          <cell r="B128">
            <v>0</v>
          </cell>
          <cell r="C128">
            <v>5.4</v>
          </cell>
          <cell r="D128">
            <v>0</v>
          </cell>
          <cell r="E128" t="str">
            <v>What tools are used to deploy and maintain these anti-malware and anti-spyware technologies?</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row>
        <row r="129">
          <cell r="B129">
            <v>0</v>
          </cell>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row>
        <row r="130">
          <cell r="B130">
            <v>0</v>
          </cell>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row>
        <row r="131">
          <cell r="B131">
            <v>0</v>
          </cell>
          <cell r="C131" t="str">
            <v>6.</v>
          </cell>
          <cell r="D131">
            <v>0</v>
          </cell>
          <cell r="E131" t="str">
            <v>Configuration Management</v>
          </cell>
          <cell r="F131">
            <v>0</v>
          </cell>
          <cell r="G131" t="str">
            <v>Answer</v>
          </cell>
          <cell r="H131">
            <v>0</v>
          </cell>
          <cell r="I131" t="str">
            <v>Control Validation</v>
          </cell>
          <cell r="J131">
            <v>0</v>
          </cell>
          <cell r="K131" t="str">
            <v>General Comments</v>
          </cell>
          <cell r="L131">
            <v>0</v>
          </cell>
          <cell r="M131" t="str">
            <v>Prior Assessments</v>
          </cell>
          <cell r="N131">
            <v>0</v>
          </cell>
          <cell r="O131" t="str">
            <v>CSF Assurance Testing Reference(s)</v>
          </cell>
          <cell r="P131">
            <v>0</v>
          </cell>
          <cell r="Q131">
            <v>0</v>
          </cell>
          <cell r="R131">
            <v>0</v>
          </cell>
        </row>
        <row r="132">
          <cell r="B132">
            <v>0</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row>
        <row r="133">
          <cell r="B133">
            <v>0</v>
          </cell>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row>
        <row r="134">
          <cell r="B134">
            <v>0</v>
          </cell>
          <cell r="C134">
            <v>0</v>
          </cell>
          <cell r="D134">
            <v>0</v>
          </cell>
          <cell r="E134" t="str">
            <v xml:space="preserve">     Display CSF Cross References</v>
          </cell>
          <cell r="F134">
            <v>0</v>
          </cell>
          <cell r="G134">
            <v>0</v>
          </cell>
          <cell r="H134">
            <v>0</v>
          </cell>
          <cell r="I134">
            <v>0</v>
          </cell>
          <cell r="J134">
            <v>0</v>
          </cell>
          <cell r="K134">
            <v>0</v>
          </cell>
          <cell r="L134">
            <v>0</v>
          </cell>
          <cell r="M134">
            <v>0</v>
          </cell>
          <cell r="N134">
            <v>0</v>
          </cell>
          <cell r="O134">
            <v>0</v>
          </cell>
          <cell r="P134">
            <v>0</v>
          </cell>
          <cell r="Q134">
            <v>0</v>
          </cell>
          <cell r="R134">
            <v>0</v>
          </cell>
        </row>
        <row r="135">
          <cell r="B135">
            <v>0</v>
          </cell>
          <cell r="C135">
            <v>0</v>
          </cell>
          <cell r="D135">
            <v>0</v>
          </cell>
          <cell r="E135" t="str">
            <v>01.w Sensitive System Isolation</v>
          </cell>
          <cell r="F135">
            <v>0</v>
          </cell>
          <cell r="G135">
            <v>0</v>
          </cell>
          <cell r="H135">
            <v>0</v>
          </cell>
          <cell r="I135">
            <v>0</v>
          </cell>
          <cell r="J135">
            <v>0</v>
          </cell>
          <cell r="K135">
            <v>0</v>
          </cell>
          <cell r="L135">
            <v>0</v>
          </cell>
          <cell r="M135">
            <v>0</v>
          </cell>
          <cell r="N135">
            <v>0</v>
          </cell>
          <cell r="O135">
            <v>0</v>
          </cell>
          <cell r="P135">
            <v>0</v>
          </cell>
          <cell r="Q135">
            <v>0</v>
          </cell>
          <cell r="R135">
            <v>0</v>
          </cell>
        </row>
        <row r="136">
          <cell r="B136">
            <v>0</v>
          </cell>
          <cell r="C136">
            <v>0</v>
          </cell>
          <cell r="D136">
            <v>0</v>
          </cell>
          <cell r="E136" t="str">
            <v>09.af Clock Synchronization</v>
          </cell>
          <cell r="F136">
            <v>0</v>
          </cell>
          <cell r="G136">
            <v>0</v>
          </cell>
          <cell r="H136">
            <v>0</v>
          </cell>
          <cell r="I136">
            <v>0</v>
          </cell>
          <cell r="J136">
            <v>0</v>
          </cell>
          <cell r="K136">
            <v>0</v>
          </cell>
          <cell r="L136">
            <v>0</v>
          </cell>
          <cell r="M136">
            <v>0</v>
          </cell>
          <cell r="N136">
            <v>0</v>
          </cell>
          <cell r="O136">
            <v>0</v>
          </cell>
          <cell r="P136">
            <v>0</v>
          </cell>
          <cell r="Q136">
            <v>0</v>
          </cell>
          <cell r="R136">
            <v>0</v>
          </cell>
        </row>
        <row r="137">
          <cell r="B137">
            <v>0</v>
          </cell>
          <cell r="C137">
            <v>0</v>
          </cell>
          <cell r="D137">
            <v>0</v>
          </cell>
          <cell r="E137" t="str">
            <v>10.h Control of Operational Software</v>
          </cell>
          <cell r="F137">
            <v>0</v>
          </cell>
          <cell r="G137">
            <v>0</v>
          </cell>
          <cell r="H137">
            <v>0</v>
          </cell>
          <cell r="I137">
            <v>0</v>
          </cell>
          <cell r="J137">
            <v>0</v>
          </cell>
          <cell r="K137">
            <v>0</v>
          </cell>
          <cell r="L137">
            <v>0</v>
          </cell>
          <cell r="M137">
            <v>0</v>
          </cell>
          <cell r="N137">
            <v>0</v>
          </cell>
          <cell r="O137">
            <v>0</v>
          </cell>
          <cell r="P137">
            <v>0</v>
          </cell>
          <cell r="Q137">
            <v>0</v>
          </cell>
          <cell r="R137">
            <v>0</v>
          </cell>
        </row>
        <row r="138">
          <cell r="B138">
            <v>0</v>
          </cell>
          <cell r="C138">
            <v>0</v>
          </cell>
          <cell r="D138">
            <v>0</v>
          </cell>
          <cell r="E138" t="str">
            <v>10.l Outsourced Software Development</v>
          </cell>
          <cell r="F138">
            <v>0</v>
          </cell>
          <cell r="G138">
            <v>0</v>
          </cell>
          <cell r="H138">
            <v>0</v>
          </cell>
          <cell r="I138">
            <v>0</v>
          </cell>
          <cell r="J138">
            <v>0</v>
          </cell>
          <cell r="K138">
            <v>0</v>
          </cell>
          <cell r="L138">
            <v>0</v>
          </cell>
          <cell r="M138">
            <v>0</v>
          </cell>
          <cell r="N138">
            <v>0</v>
          </cell>
          <cell r="O138">
            <v>0</v>
          </cell>
          <cell r="P138">
            <v>0</v>
          </cell>
          <cell r="Q138">
            <v>0</v>
          </cell>
          <cell r="R138">
            <v>0</v>
          </cell>
        </row>
        <row r="139">
          <cell r="B139">
            <v>0</v>
          </cell>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row>
        <row r="140">
          <cell r="B140">
            <v>0</v>
          </cell>
          <cell r="C140">
            <v>6.1</v>
          </cell>
          <cell r="D140">
            <v>0</v>
          </cell>
          <cell r="E140" t="str">
            <v>What percentage of systems have their clocks synchronized with an accurate time source?</v>
          </cell>
          <cell r="F140">
            <v>0</v>
          </cell>
          <cell r="G140">
            <v>0</v>
          </cell>
          <cell r="H140">
            <v>0</v>
          </cell>
          <cell r="I140">
            <v>0</v>
          </cell>
          <cell r="J140">
            <v>0</v>
          </cell>
          <cell r="K140">
            <v>0</v>
          </cell>
          <cell r="L140">
            <v>0</v>
          </cell>
          <cell r="M140">
            <v>0</v>
          </cell>
          <cell r="N140">
            <v>0</v>
          </cell>
          <cell r="O140">
            <v>0</v>
          </cell>
          <cell r="P140">
            <v>0</v>
          </cell>
          <cell r="Q140">
            <v>0</v>
          </cell>
          <cell r="R140">
            <v>0</v>
          </cell>
        </row>
      </sheetData>
      <sheetData sheetId="4"/>
      <sheetData sheetId="5">
        <row r="46">
          <cell r="B46">
            <v>1</v>
          </cell>
        </row>
      </sheetData>
      <sheetData sheetId="6"/>
      <sheetData sheetId="7">
        <row r="4">
          <cell r="BW4" t="b">
            <v>0</v>
          </cell>
        </row>
      </sheetData>
      <sheetData sheetId="8"/>
      <sheetData sheetId="9" refreshError="1"/>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4.xml.rels><?xml version="1.0" encoding="UTF-8" standalone="yes"?>
<Relationships xmlns="http://schemas.openxmlformats.org/package/2006/relationships"><Relationship Id="rId117" Type="http://schemas.openxmlformats.org/officeDocument/2006/relationships/ctrlProp" Target="../ctrlProps/ctrlProp114.xml"/><Relationship Id="rId299" Type="http://schemas.openxmlformats.org/officeDocument/2006/relationships/ctrlProp" Target="../ctrlProps/ctrlProp296.xml"/><Relationship Id="rId303" Type="http://schemas.openxmlformats.org/officeDocument/2006/relationships/ctrlProp" Target="../ctrlProps/ctrlProp300.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289" Type="http://schemas.openxmlformats.org/officeDocument/2006/relationships/ctrlProp" Target="../ctrlProps/ctrlProp286.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290" Type="http://schemas.openxmlformats.org/officeDocument/2006/relationships/ctrlProp" Target="../ctrlProps/ctrlProp287.xml"/><Relationship Id="rId304" Type="http://schemas.openxmlformats.org/officeDocument/2006/relationships/ctrlProp" Target="../ctrlProps/ctrlProp301.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280" Type="http://schemas.openxmlformats.org/officeDocument/2006/relationships/ctrlProp" Target="../ctrlProps/ctrlProp277.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291" Type="http://schemas.openxmlformats.org/officeDocument/2006/relationships/ctrlProp" Target="../ctrlProps/ctrlProp288.xml"/><Relationship Id="rId305" Type="http://schemas.openxmlformats.org/officeDocument/2006/relationships/ctrlProp" Target="../ctrlProps/ctrlProp302.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7" Type="http://schemas.openxmlformats.org/officeDocument/2006/relationships/ctrlProp" Target="../ctrlProps/ctrlProp204.xml"/><Relationship Id="rId228" Type="http://schemas.openxmlformats.org/officeDocument/2006/relationships/ctrlProp" Target="../ctrlProps/ctrlProp225.xml"/><Relationship Id="rId249" Type="http://schemas.openxmlformats.org/officeDocument/2006/relationships/ctrlProp" Target="../ctrlProps/ctrlProp246.xml"/><Relationship Id="rId13" Type="http://schemas.openxmlformats.org/officeDocument/2006/relationships/ctrlProp" Target="../ctrlProps/ctrlProp10.xml"/><Relationship Id="rId109" Type="http://schemas.openxmlformats.org/officeDocument/2006/relationships/ctrlProp" Target="../ctrlProps/ctrlProp106.xml"/><Relationship Id="rId260" Type="http://schemas.openxmlformats.org/officeDocument/2006/relationships/ctrlProp" Target="../ctrlProps/ctrlProp257.xml"/><Relationship Id="rId281" Type="http://schemas.openxmlformats.org/officeDocument/2006/relationships/ctrlProp" Target="../ctrlProps/ctrlProp278.xml"/><Relationship Id="rId34" Type="http://schemas.openxmlformats.org/officeDocument/2006/relationships/ctrlProp" Target="../ctrlProps/ctrlProp31.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20" Type="http://schemas.openxmlformats.org/officeDocument/2006/relationships/ctrlProp" Target="../ctrlProps/ctrlProp117.xml"/><Relationship Id="rId141" Type="http://schemas.openxmlformats.org/officeDocument/2006/relationships/ctrlProp" Target="../ctrlProps/ctrlProp138.xml"/><Relationship Id="rId7" Type="http://schemas.openxmlformats.org/officeDocument/2006/relationships/ctrlProp" Target="../ctrlProps/ctrlProp4.xml"/><Relationship Id="rId162" Type="http://schemas.openxmlformats.org/officeDocument/2006/relationships/ctrlProp" Target="../ctrlProps/ctrlProp159.xml"/><Relationship Id="rId183" Type="http://schemas.openxmlformats.org/officeDocument/2006/relationships/ctrlProp" Target="../ctrlProps/ctrlProp180.xml"/><Relationship Id="rId218" Type="http://schemas.openxmlformats.org/officeDocument/2006/relationships/ctrlProp" Target="../ctrlProps/ctrlProp215.xml"/><Relationship Id="rId239" Type="http://schemas.openxmlformats.org/officeDocument/2006/relationships/ctrlProp" Target="../ctrlProps/ctrlProp236.xml"/><Relationship Id="rId250" Type="http://schemas.openxmlformats.org/officeDocument/2006/relationships/ctrlProp" Target="../ctrlProps/ctrlProp247.xml"/><Relationship Id="rId271" Type="http://schemas.openxmlformats.org/officeDocument/2006/relationships/ctrlProp" Target="../ctrlProps/ctrlProp268.xml"/><Relationship Id="rId292" Type="http://schemas.openxmlformats.org/officeDocument/2006/relationships/ctrlProp" Target="../ctrlProps/ctrlProp289.xml"/><Relationship Id="rId306" Type="http://schemas.openxmlformats.org/officeDocument/2006/relationships/ctrlProp" Target="../ctrlProps/ctrlProp30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301" Type="http://schemas.openxmlformats.org/officeDocument/2006/relationships/ctrlProp" Target="../ctrlProps/ctrlProp298.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287" Type="http://schemas.openxmlformats.org/officeDocument/2006/relationships/ctrlProp" Target="../ctrlProps/ctrlProp284.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282" Type="http://schemas.openxmlformats.org/officeDocument/2006/relationships/ctrlProp" Target="../ctrlProps/ctrlProp279.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6.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98" Type="http://schemas.openxmlformats.org/officeDocument/2006/relationships/ctrlProp" Target="../ctrlProps/ctrlProp295.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93" Type="http://schemas.openxmlformats.org/officeDocument/2006/relationships/ctrlProp" Target="../ctrlProps/ctrlProp290.xml"/><Relationship Id="rId302" Type="http://schemas.openxmlformats.org/officeDocument/2006/relationships/ctrlProp" Target="../ctrlProps/ctrlProp299.xml"/><Relationship Id="rId307" Type="http://schemas.openxmlformats.org/officeDocument/2006/relationships/ctrlProp" Target="../ctrlProps/ctrlProp304.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288" Type="http://schemas.openxmlformats.org/officeDocument/2006/relationships/ctrlProp" Target="../ctrlProps/ctrlProp285.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283" Type="http://schemas.openxmlformats.org/officeDocument/2006/relationships/ctrlProp" Target="../ctrlProps/ctrlProp280.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294" Type="http://schemas.openxmlformats.org/officeDocument/2006/relationships/ctrlProp" Target="../ctrlProps/ctrlProp291.xml"/><Relationship Id="rId308" Type="http://schemas.openxmlformats.org/officeDocument/2006/relationships/ctrlProp" Target="../ctrlProps/ctrlProp305.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284" Type="http://schemas.openxmlformats.org/officeDocument/2006/relationships/ctrlProp" Target="../ctrlProps/ctrlProp281.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95" Type="http://schemas.openxmlformats.org/officeDocument/2006/relationships/ctrlProp" Target="../ctrlProps/ctrlProp292.xml"/><Relationship Id="rId309" Type="http://schemas.openxmlformats.org/officeDocument/2006/relationships/ctrlProp" Target="../ctrlProps/ctrlProp306.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285" Type="http://schemas.openxmlformats.org/officeDocument/2006/relationships/ctrlProp" Target="../ctrlProps/ctrlProp282.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310" Type="http://schemas.openxmlformats.org/officeDocument/2006/relationships/comments" Target="../comments2.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drawing" Target="../drawings/drawing2.xml"/><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296" Type="http://schemas.openxmlformats.org/officeDocument/2006/relationships/ctrlProp" Target="../ctrlProps/ctrlProp293.xml"/><Relationship Id="rId300" Type="http://schemas.openxmlformats.org/officeDocument/2006/relationships/ctrlProp" Target="../ctrlProps/ctrlProp297.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 Id="rId202" Type="http://schemas.openxmlformats.org/officeDocument/2006/relationships/ctrlProp" Target="../ctrlProps/ctrlProp199.xml"/><Relationship Id="rId223" Type="http://schemas.openxmlformats.org/officeDocument/2006/relationships/ctrlProp" Target="../ctrlProps/ctrlProp220.xml"/><Relationship Id="rId244" Type="http://schemas.openxmlformats.org/officeDocument/2006/relationships/ctrlProp" Target="../ctrlProps/ctrlProp241.xml"/><Relationship Id="rId18" Type="http://schemas.openxmlformats.org/officeDocument/2006/relationships/ctrlProp" Target="../ctrlProps/ctrlProp15.xml"/><Relationship Id="rId39" Type="http://schemas.openxmlformats.org/officeDocument/2006/relationships/ctrlProp" Target="../ctrlProps/ctrlProp36.xml"/><Relationship Id="rId265" Type="http://schemas.openxmlformats.org/officeDocument/2006/relationships/ctrlProp" Target="../ctrlProps/ctrlProp262.xml"/><Relationship Id="rId286" Type="http://schemas.openxmlformats.org/officeDocument/2006/relationships/ctrlProp" Target="../ctrlProps/ctrlProp283.xml"/><Relationship Id="rId50" Type="http://schemas.openxmlformats.org/officeDocument/2006/relationships/ctrlProp" Target="../ctrlProps/ctrlProp47.xml"/><Relationship Id="rId104" Type="http://schemas.openxmlformats.org/officeDocument/2006/relationships/ctrlProp" Target="../ctrlProps/ctrlProp101.xml"/><Relationship Id="rId125" Type="http://schemas.openxmlformats.org/officeDocument/2006/relationships/ctrlProp" Target="../ctrlProps/ctrlProp122.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1" Type="http://schemas.openxmlformats.org/officeDocument/2006/relationships/ctrlProp" Target="../ctrlProps/ctrlProp68.xml"/><Relationship Id="rId92" Type="http://schemas.openxmlformats.org/officeDocument/2006/relationships/ctrlProp" Target="../ctrlProps/ctrlProp89.xml"/><Relationship Id="rId213" Type="http://schemas.openxmlformats.org/officeDocument/2006/relationships/ctrlProp" Target="../ctrlProps/ctrlProp210.xml"/><Relationship Id="rId234" Type="http://schemas.openxmlformats.org/officeDocument/2006/relationships/ctrlProp" Target="../ctrlProps/ctrlProp231.xml"/><Relationship Id="rId2" Type="http://schemas.openxmlformats.org/officeDocument/2006/relationships/vmlDrawing" Target="../drawings/vmlDrawing5.vml"/><Relationship Id="rId29" Type="http://schemas.openxmlformats.org/officeDocument/2006/relationships/ctrlProp" Target="../ctrlProps/ctrlProp26.xml"/><Relationship Id="rId255" Type="http://schemas.openxmlformats.org/officeDocument/2006/relationships/ctrlProp" Target="../ctrlProps/ctrlProp252.xml"/><Relationship Id="rId276" Type="http://schemas.openxmlformats.org/officeDocument/2006/relationships/ctrlProp" Target="../ctrlProps/ctrlProp273.xml"/><Relationship Id="rId297" Type="http://schemas.openxmlformats.org/officeDocument/2006/relationships/ctrlProp" Target="../ctrlProps/ctrlProp29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1:K48"/>
  <sheetViews>
    <sheetView tabSelected="1" workbookViewId="0"/>
  </sheetViews>
  <sheetFormatPr defaultColWidth="11.42578125" defaultRowHeight="15"/>
  <sheetData>
    <row r="11" spans="2:11" ht="15.75" thickBot="1"/>
    <row r="12" spans="2:11" ht="14.1" customHeight="1">
      <c r="B12" s="215" t="s">
        <v>363</v>
      </c>
      <c r="C12" s="216"/>
      <c r="D12" s="216"/>
      <c r="E12" s="216"/>
      <c r="F12" s="216"/>
      <c r="G12" s="216"/>
      <c r="H12" s="216"/>
      <c r="I12" s="216"/>
      <c r="J12" s="216"/>
      <c r="K12" s="217"/>
    </row>
    <row r="13" spans="2:11">
      <c r="B13" s="218"/>
      <c r="C13" s="219"/>
      <c r="D13" s="219"/>
      <c r="E13" s="219"/>
      <c r="F13" s="219"/>
      <c r="G13" s="219"/>
      <c r="H13" s="219"/>
      <c r="I13" s="219"/>
      <c r="J13" s="219"/>
      <c r="K13" s="220"/>
    </row>
    <row r="14" spans="2:11">
      <c r="B14" s="218"/>
      <c r="C14" s="219"/>
      <c r="D14" s="219"/>
      <c r="E14" s="219"/>
      <c r="F14" s="219"/>
      <c r="G14" s="219"/>
      <c r="H14" s="219"/>
      <c r="I14" s="219"/>
      <c r="J14" s="219"/>
      <c r="K14" s="220"/>
    </row>
    <row r="15" spans="2:11">
      <c r="B15" s="218"/>
      <c r="C15" s="219"/>
      <c r="D15" s="219"/>
      <c r="E15" s="219"/>
      <c r="F15" s="219"/>
      <c r="G15" s="219"/>
      <c r="H15" s="219"/>
      <c r="I15" s="219"/>
      <c r="J15" s="219"/>
      <c r="K15" s="220"/>
    </row>
    <row r="16" spans="2:11" ht="15.75" thickBot="1">
      <c r="B16" s="221"/>
      <c r="C16" s="222"/>
      <c r="D16" s="222"/>
      <c r="E16" s="222"/>
      <c r="F16" s="222"/>
      <c r="G16" s="222"/>
      <c r="H16" s="222"/>
      <c r="I16" s="222"/>
      <c r="J16" s="222"/>
      <c r="K16" s="223"/>
    </row>
    <row r="17" spans="2:11" ht="15.75" thickBot="1">
      <c r="C17" s="196"/>
      <c r="D17" s="196"/>
      <c r="E17" s="196"/>
      <c r="F17" s="196"/>
      <c r="G17" s="196"/>
      <c r="H17" s="196"/>
      <c r="I17" s="196"/>
      <c r="J17" s="196"/>
      <c r="K17" s="196"/>
    </row>
    <row r="18" spans="2:11" ht="15" customHeight="1">
      <c r="B18" s="215" t="s">
        <v>356</v>
      </c>
      <c r="C18" s="216"/>
      <c r="D18" s="216"/>
      <c r="E18" s="216"/>
      <c r="F18" s="216"/>
      <c r="G18" s="216"/>
      <c r="H18" s="216"/>
      <c r="I18" s="216"/>
      <c r="J18" s="216"/>
      <c r="K18" s="217"/>
    </row>
    <row r="19" spans="2:11">
      <c r="B19" s="218"/>
      <c r="C19" s="219"/>
      <c r="D19" s="219"/>
      <c r="E19" s="219"/>
      <c r="F19" s="219"/>
      <c r="G19" s="219"/>
      <c r="H19" s="219"/>
      <c r="I19" s="219"/>
      <c r="J19" s="219"/>
      <c r="K19" s="220"/>
    </row>
    <row r="20" spans="2:11">
      <c r="B20" s="218"/>
      <c r="C20" s="219"/>
      <c r="D20" s="219"/>
      <c r="E20" s="219"/>
      <c r="F20" s="219"/>
      <c r="G20" s="219"/>
      <c r="H20" s="219"/>
      <c r="I20" s="219"/>
      <c r="J20" s="219"/>
      <c r="K20" s="220"/>
    </row>
    <row r="21" spans="2:11">
      <c r="B21" s="218"/>
      <c r="C21" s="219"/>
      <c r="D21" s="219"/>
      <c r="E21" s="219"/>
      <c r="F21" s="219"/>
      <c r="G21" s="219"/>
      <c r="H21" s="219"/>
      <c r="I21" s="219"/>
      <c r="J21" s="219"/>
      <c r="K21" s="220"/>
    </row>
    <row r="22" spans="2:11">
      <c r="B22" s="218"/>
      <c r="C22" s="219"/>
      <c r="D22" s="219"/>
      <c r="E22" s="219"/>
      <c r="F22" s="219"/>
      <c r="G22" s="219"/>
      <c r="H22" s="219"/>
      <c r="I22" s="219"/>
      <c r="J22" s="219"/>
      <c r="K22" s="220"/>
    </row>
    <row r="23" spans="2:11">
      <c r="B23" s="218"/>
      <c r="C23" s="219"/>
      <c r="D23" s="219"/>
      <c r="E23" s="219"/>
      <c r="F23" s="219"/>
      <c r="G23" s="219"/>
      <c r="H23" s="219"/>
      <c r="I23" s="219"/>
      <c r="J23" s="219"/>
      <c r="K23" s="220"/>
    </row>
    <row r="24" spans="2:11">
      <c r="B24" s="218"/>
      <c r="C24" s="219"/>
      <c r="D24" s="219"/>
      <c r="E24" s="219"/>
      <c r="F24" s="219"/>
      <c r="G24" s="219"/>
      <c r="H24" s="219"/>
      <c r="I24" s="219"/>
      <c r="J24" s="219"/>
      <c r="K24" s="220"/>
    </row>
    <row r="25" spans="2:11" ht="15.75" thickBot="1">
      <c r="B25" s="221"/>
      <c r="C25" s="222"/>
      <c r="D25" s="222"/>
      <c r="E25" s="222"/>
      <c r="F25" s="222"/>
      <c r="G25" s="222"/>
      <c r="H25" s="222"/>
      <c r="I25" s="222"/>
      <c r="J25" s="222"/>
      <c r="K25" s="223"/>
    </row>
    <row r="26" spans="2:11" ht="14.1" customHeight="1" thickBot="1">
      <c r="C26" s="145"/>
      <c r="D26" s="145"/>
      <c r="E26" s="145"/>
      <c r="F26" s="145"/>
      <c r="G26" s="145"/>
      <c r="H26" s="145"/>
      <c r="I26" s="145"/>
      <c r="J26" s="145"/>
      <c r="K26" s="145"/>
    </row>
    <row r="27" spans="2:11" ht="15" customHeight="1">
      <c r="B27" s="234"/>
      <c r="C27" s="235"/>
      <c r="D27" s="235"/>
      <c r="E27" s="235"/>
      <c r="F27" s="235"/>
      <c r="G27" s="235"/>
      <c r="H27" s="235"/>
      <c r="I27" s="235"/>
      <c r="J27" s="235"/>
      <c r="K27" s="236"/>
    </row>
    <row r="28" spans="2:11" ht="15" customHeight="1">
      <c r="B28" s="241" t="s">
        <v>355</v>
      </c>
      <c r="C28" s="224"/>
      <c r="D28" s="224"/>
      <c r="E28" s="224"/>
      <c r="F28" s="224"/>
      <c r="G28" s="224"/>
      <c r="H28" s="224"/>
      <c r="I28" s="224"/>
      <c r="J28" s="224"/>
      <c r="K28" s="225"/>
    </row>
    <row r="29" spans="2:11">
      <c r="B29" s="232"/>
      <c r="C29" s="233"/>
      <c r="D29" s="233"/>
      <c r="E29" s="233"/>
      <c r="F29" s="233"/>
      <c r="G29" s="233"/>
      <c r="H29" s="233"/>
      <c r="I29" s="233"/>
      <c r="J29" s="233"/>
      <c r="K29" s="242"/>
    </row>
    <row r="30" spans="2:11" ht="14.1" customHeight="1">
      <c r="B30" s="226" t="s">
        <v>343</v>
      </c>
      <c r="C30" s="227"/>
      <c r="D30" s="227"/>
      <c r="E30" s="224" t="s">
        <v>348</v>
      </c>
      <c r="F30" s="224"/>
      <c r="G30" s="224"/>
      <c r="H30" s="224"/>
      <c r="I30" s="224"/>
      <c r="J30" s="224"/>
      <c r="K30" s="225"/>
    </row>
    <row r="31" spans="2:11">
      <c r="B31" s="226"/>
      <c r="C31" s="227"/>
      <c r="D31" s="227"/>
      <c r="E31" s="224"/>
      <c r="F31" s="224"/>
      <c r="G31" s="224"/>
      <c r="H31" s="224"/>
      <c r="I31" s="224"/>
      <c r="J31" s="224"/>
      <c r="K31" s="225"/>
    </row>
    <row r="32" spans="2:11">
      <c r="B32" s="226"/>
      <c r="C32" s="227"/>
      <c r="D32" s="227"/>
      <c r="E32" s="224"/>
      <c r="F32" s="224"/>
      <c r="G32" s="224"/>
      <c r="H32" s="224"/>
      <c r="I32" s="224"/>
      <c r="J32" s="224"/>
      <c r="K32" s="225"/>
    </row>
    <row r="33" spans="2:11">
      <c r="B33" s="232"/>
      <c r="C33" s="233"/>
      <c r="D33" s="233"/>
      <c r="E33" s="233"/>
      <c r="F33" s="233"/>
      <c r="G33" s="233"/>
      <c r="H33" s="233"/>
      <c r="I33" s="233"/>
      <c r="J33" s="233"/>
      <c r="K33" s="242"/>
    </row>
    <row r="34" spans="2:11" ht="14.1" customHeight="1">
      <c r="B34" s="226" t="s">
        <v>357</v>
      </c>
      <c r="C34" s="227"/>
      <c r="D34" s="227"/>
      <c r="E34" s="224" t="s">
        <v>344</v>
      </c>
      <c r="F34" s="224"/>
      <c r="G34" s="224"/>
      <c r="H34" s="224"/>
      <c r="I34" s="224"/>
      <c r="J34" s="224"/>
      <c r="K34" s="225"/>
    </row>
    <row r="35" spans="2:11">
      <c r="B35" s="226"/>
      <c r="C35" s="227"/>
      <c r="D35" s="227"/>
      <c r="E35" s="224"/>
      <c r="F35" s="224"/>
      <c r="G35" s="224"/>
      <c r="H35" s="224"/>
      <c r="I35" s="224"/>
      <c r="J35" s="224"/>
      <c r="K35" s="225"/>
    </row>
    <row r="36" spans="2:11">
      <c r="B36" s="232"/>
      <c r="C36" s="233"/>
      <c r="D36" s="233"/>
      <c r="E36" s="233"/>
      <c r="F36" s="233"/>
      <c r="G36" s="233"/>
      <c r="H36" s="233"/>
      <c r="I36" s="233"/>
      <c r="J36" s="233"/>
      <c r="K36" s="242"/>
    </row>
    <row r="37" spans="2:11">
      <c r="B37" s="241" t="s">
        <v>359</v>
      </c>
      <c r="C37" s="224"/>
      <c r="D37" s="224"/>
      <c r="E37" s="224"/>
      <c r="F37" s="224"/>
      <c r="G37" s="224"/>
      <c r="H37" s="224"/>
      <c r="I37" s="224"/>
      <c r="J37" s="224"/>
      <c r="K37" s="225"/>
    </row>
    <row r="38" spans="2:11" ht="34.5" customHeight="1">
      <c r="B38" s="241"/>
      <c r="C38" s="224"/>
      <c r="D38" s="224"/>
      <c r="E38" s="224"/>
      <c r="F38" s="224"/>
      <c r="G38" s="224"/>
      <c r="H38" s="224"/>
      <c r="I38" s="224"/>
      <c r="J38" s="224"/>
      <c r="K38" s="225"/>
    </row>
    <row r="39" spans="2:11">
      <c r="B39" s="243"/>
      <c r="C39" s="244"/>
      <c r="D39" s="244"/>
      <c r="E39" s="244"/>
      <c r="F39" s="244"/>
      <c r="G39" s="244"/>
      <c r="H39" s="244"/>
      <c r="I39" s="244"/>
      <c r="J39" s="244"/>
      <c r="K39" s="245"/>
    </row>
    <row r="40" spans="2:11">
      <c r="B40" s="232"/>
      <c r="C40" s="233"/>
      <c r="D40" s="200" t="s">
        <v>350</v>
      </c>
      <c r="E40" s="239" t="s">
        <v>349</v>
      </c>
      <c r="F40" s="239"/>
      <c r="G40" s="239"/>
      <c r="H40" s="239"/>
      <c r="I40" s="239"/>
      <c r="J40" s="239"/>
      <c r="K40" s="240"/>
    </row>
    <row r="41" spans="2:11">
      <c r="B41" s="232"/>
      <c r="C41" s="233"/>
      <c r="D41" s="233"/>
      <c r="E41" s="233"/>
      <c r="F41" s="233"/>
      <c r="G41" s="233"/>
      <c r="H41" s="233"/>
      <c r="I41" s="233"/>
      <c r="J41" s="233"/>
      <c r="K41" s="242"/>
    </row>
    <row r="42" spans="2:11">
      <c r="B42" s="228" t="s">
        <v>345</v>
      </c>
      <c r="C42" s="229"/>
      <c r="D42" s="229"/>
      <c r="E42" s="224" t="s">
        <v>347</v>
      </c>
      <c r="F42" s="224"/>
      <c r="G42" s="224"/>
      <c r="H42" s="224"/>
      <c r="I42" s="224"/>
      <c r="J42" s="224"/>
      <c r="K42" s="225"/>
    </row>
    <row r="43" spans="2:11">
      <c r="B43" s="228"/>
      <c r="C43" s="229"/>
      <c r="D43" s="229"/>
      <c r="E43" s="224"/>
      <c r="F43" s="224"/>
      <c r="G43" s="224"/>
      <c r="H43" s="224"/>
      <c r="I43" s="224"/>
      <c r="J43" s="224"/>
      <c r="K43" s="225"/>
    </row>
    <row r="44" spans="2:11" ht="15.75" thickBot="1">
      <c r="B44" s="230"/>
      <c r="C44" s="231"/>
      <c r="D44" s="231"/>
      <c r="E44" s="237"/>
      <c r="F44" s="237"/>
      <c r="G44" s="237"/>
      <c r="H44" s="237"/>
      <c r="I44" s="237"/>
      <c r="J44" s="237"/>
      <c r="K44" s="238"/>
    </row>
    <row r="45" spans="2:11" ht="15.75" thickBot="1"/>
    <row r="46" spans="2:11" ht="15" customHeight="1">
      <c r="B46" s="215" t="s">
        <v>346</v>
      </c>
      <c r="C46" s="216"/>
      <c r="D46" s="216"/>
      <c r="E46" s="216"/>
      <c r="F46" s="216"/>
      <c r="G46" s="216"/>
      <c r="H46" s="216"/>
      <c r="I46" s="216"/>
      <c r="J46" s="216"/>
      <c r="K46" s="217"/>
    </row>
    <row r="47" spans="2:11">
      <c r="B47" s="218"/>
      <c r="C47" s="219"/>
      <c r="D47" s="219"/>
      <c r="E47" s="219"/>
      <c r="F47" s="219"/>
      <c r="G47" s="219"/>
      <c r="H47" s="219"/>
      <c r="I47" s="219"/>
      <c r="J47" s="219"/>
      <c r="K47" s="220"/>
    </row>
    <row r="48" spans="2:11" ht="15.75" thickBot="1">
      <c r="B48" s="221"/>
      <c r="C48" s="222"/>
      <c r="D48" s="222"/>
      <c r="E48" s="222"/>
      <c r="F48" s="222"/>
      <c r="G48" s="222"/>
      <c r="H48" s="222"/>
      <c r="I48" s="222"/>
      <c r="J48" s="222"/>
      <c r="K48" s="223"/>
    </row>
  </sheetData>
  <mergeCells count="19">
    <mergeCell ref="B12:K16"/>
    <mergeCell ref="B18:K25"/>
    <mergeCell ref="B27:K27"/>
    <mergeCell ref="E42:K44"/>
    <mergeCell ref="E40:K40"/>
    <mergeCell ref="E34:K35"/>
    <mergeCell ref="B37:K38"/>
    <mergeCell ref="B28:K28"/>
    <mergeCell ref="B41:K41"/>
    <mergeCell ref="B39:K39"/>
    <mergeCell ref="B36:K36"/>
    <mergeCell ref="B33:K33"/>
    <mergeCell ref="B29:K29"/>
    <mergeCell ref="B46:K48"/>
    <mergeCell ref="E30:K32"/>
    <mergeCell ref="B30:D32"/>
    <mergeCell ref="B34:D35"/>
    <mergeCell ref="B42:D44"/>
    <mergeCell ref="B40:C40"/>
  </mergeCells>
  <phoneticPr fontId="30" type="noConversion"/>
  <hyperlinks>
    <hyperlink ref="B30" location="'Company Information'!E5" display="Company Information"/>
    <hyperlink ref="B34" location="'Project Information'!D4" display="Project Information"/>
    <hyperlink ref="B42" location="'Security Questionnaire'!I34" display="Security Questionnaire"/>
  </hyperlinks>
  <pageMargins left="0.25" right="0.25" top="0.75" bottom="0.75" header="0.3" footer="0.3"/>
  <pageSetup orientation="landscape" horizontalDpi="4294967292" verticalDpi="4294967292"/>
  <drawing r:id="rId1"/>
  <legacyDrawingHF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2:V58"/>
  <sheetViews>
    <sheetView showRowColHeaders="0" workbookViewId="0"/>
  </sheetViews>
  <sheetFormatPr defaultColWidth="10.85546875" defaultRowHeight="15"/>
  <cols>
    <col min="1" max="1" width="10.85546875" style="145"/>
    <col min="2" max="2" width="17.28515625" style="145" customWidth="1"/>
    <col min="3" max="3" width="23.42578125" style="145" customWidth="1"/>
    <col min="4" max="4" width="3.28515625" style="145" customWidth="1"/>
    <col min="5" max="5" width="32.140625" style="145" customWidth="1"/>
    <col min="6" max="6" width="2.28515625" style="145" customWidth="1"/>
    <col min="7" max="7" width="23.7109375" style="145" customWidth="1"/>
    <col min="8" max="8" width="2.85546875" style="145" customWidth="1"/>
    <col min="9" max="9" width="21.7109375" style="145" customWidth="1"/>
    <col min="10" max="10" width="3.140625" style="145" customWidth="1"/>
    <col min="11" max="11" width="19.42578125" style="145" customWidth="1"/>
    <col min="12" max="12" width="3.140625" style="145" customWidth="1"/>
    <col min="13" max="13" width="7.85546875" style="145" customWidth="1"/>
    <col min="14" max="14" width="3.140625" style="145" customWidth="1"/>
    <col min="15" max="15" width="15.7109375" style="145" customWidth="1"/>
    <col min="16" max="16" width="3.42578125" style="145" customWidth="1"/>
    <col min="17" max="17" width="17.7109375" style="145" customWidth="1"/>
    <col min="18" max="18" width="3" style="145" customWidth="1"/>
    <col min="19" max="19" width="23.7109375" style="145" customWidth="1"/>
    <col min="20" max="20" width="3.140625" style="145" customWidth="1"/>
    <col min="21" max="21" width="19.85546875" style="145" customWidth="1"/>
    <col min="22" max="16384" width="10.85546875" style="145"/>
  </cols>
  <sheetData>
    <row r="2" spans="2:6" ht="15.75" thickBot="1"/>
    <row r="3" spans="2:6">
      <c r="B3" s="197" t="s">
        <v>294</v>
      </c>
      <c r="C3" s="149"/>
      <c r="D3" s="149"/>
      <c r="E3" s="149"/>
      <c r="F3" s="150"/>
    </row>
    <row r="4" spans="2:6">
      <c r="B4" s="146"/>
      <c r="C4" s="151"/>
      <c r="D4" s="151"/>
      <c r="E4" s="151"/>
      <c r="F4" s="138"/>
    </row>
    <row r="5" spans="2:6">
      <c r="B5" s="146"/>
      <c r="C5" s="152" t="s">
        <v>295</v>
      </c>
      <c r="D5" s="151"/>
      <c r="E5" s="153"/>
      <c r="F5" s="138"/>
    </row>
    <row r="6" spans="2:6">
      <c r="B6" s="146"/>
      <c r="C6" s="152" t="s">
        <v>296</v>
      </c>
      <c r="D6" s="151"/>
      <c r="E6" s="153"/>
      <c r="F6" s="138"/>
    </row>
    <row r="7" spans="2:6">
      <c r="B7" s="146"/>
      <c r="C7" s="152" t="s">
        <v>297</v>
      </c>
      <c r="D7" s="151"/>
      <c r="E7" s="154"/>
      <c r="F7" s="138"/>
    </row>
    <row r="8" spans="2:6">
      <c r="B8" s="146"/>
      <c r="C8" s="152" t="s">
        <v>298</v>
      </c>
      <c r="D8" s="151"/>
      <c r="E8" s="155"/>
      <c r="F8" s="156"/>
    </row>
    <row r="9" spans="2:6">
      <c r="B9" s="146"/>
      <c r="C9" s="152" t="s">
        <v>299</v>
      </c>
      <c r="D9" s="151"/>
      <c r="E9" s="155"/>
      <c r="F9" s="156"/>
    </row>
    <row r="10" spans="2:6" ht="15.75" thickBot="1">
      <c r="B10" s="147"/>
      <c r="C10" s="140"/>
      <c r="D10" s="157"/>
      <c r="E10" s="158"/>
      <c r="F10" s="159"/>
    </row>
    <row r="11" spans="2:6" ht="15.75" thickBot="1"/>
    <row r="12" spans="2:6">
      <c r="B12" s="197" t="s">
        <v>300</v>
      </c>
      <c r="C12" s="149"/>
      <c r="D12" s="149"/>
      <c r="E12" s="149"/>
      <c r="F12" s="150"/>
    </row>
    <row r="13" spans="2:6">
      <c r="B13" s="160"/>
      <c r="C13" s="151"/>
      <c r="D13" s="151"/>
      <c r="E13" s="151"/>
      <c r="F13" s="138"/>
    </row>
    <row r="14" spans="2:6" ht="30">
      <c r="B14" s="161"/>
      <c r="C14" s="152" t="s">
        <v>301</v>
      </c>
      <c r="D14" s="151"/>
      <c r="E14" s="153"/>
      <c r="F14" s="138"/>
    </row>
    <row r="15" spans="2:6" ht="30">
      <c r="B15" s="161"/>
      <c r="C15" s="152" t="s">
        <v>302</v>
      </c>
      <c r="D15" s="151"/>
      <c r="E15" s="153"/>
      <c r="F15" s="138"/>
    </row>
    <row r="16" spans="2:6" ht="30">
      <c r="B16" s="161"/>
      <c r="C16" s="152" t="s">
        <v>303</v>
      </c>
      <c r="D16" s="151"/>
      <c r="E16" s="153"/>
      <c r="F16" s="138"/>
    </row>
    <row r="17" spans="2:22">
      <c r="B17" s="146"/>
      <c r="C17" s="249" t="s">
        <v>304</v>
      </c>
      <c r="D17" s="151"/>
      <c r="E17" s="251"/>
      <c r="F17" s="138"/>
    </row>
    <row r="18" spans="2:22" ht="42" customHeight="1">
      <c r="B18" s="161"/>
      <c r="C18" s="250"/>
      <c r="D18" s="151"/>
      <c r="E18" s="252"/>
      <c r="F18" s="138"/>
    </row>
    <row r="19" spans="2:22" ht="15.75" thickBot="1">
      <c r="B19" s="139"/>
      <c r="C19" s="140"/>
      <c r="D19" s="157"/>
      <c r="E19" s="141"/>
      <c r="F19" s="142"/>
    </row>
    <row r="21" spans="2:22" ht="15.75" thickBot="1"/>
    <row r="22" spans="2:22">
      <c r="B22" s="148" t="s">
        <v>305</v>
      </c>
      <c r="C22" s="149"/>
      <c r="D22" s="149"/>
      <c r="E22" s="149"/>
      <c r="F22" s="149"/>
      <c r="G22" s="149"/>
      <c r="H22" s="149"/>
      <c r="I22" s="149"/>
      <c r="J22" s="149"/>
      <c r="K22" s="149"/>
      <c r="L22" s="149"/>
      <c r="M22" s="149"/>
      <c r="N22" s="149"/>
      <c r="O22" s="149"/>
      <c r="P22" s="149"/>
      <c r="Q22" s="149"/>
      <c r="R22" s="149"/>
      <c r="S22" s="149"/>
      <c r="T22" s="149"/>
      <c r="U22" s="149"/>
      <c r="V22" s="150"/>
    </row>
    <row r="23" spans="2:22" ht="45">
      <c r="B23" s="146" t="s">
        <v>325</v>
      </c>
      <c r="C23" s="151"/>
      <c r="D23" s="151"/>
      <c r="E23" s="162" t="s">
        <v>306</v>
      </c>
      <c r="F23" s="163"/>
      <c r="G23" s="162" t="s">
        <v>307</v>
      </c>
      <c r="H23" s="163"/>
      <c r="I23" s="162" t="s">
        <v>308</v>
      </c>
      <c r="J23" s="163"/>
      <c r="K23" s="162" t="s">
        <v>309</v>
      </c>
      <c r="L23" s="163"/>
      <c r="M23" s="162" t="s">
        <v>310</v>
      </c>
      <c r="N23" s="163"/>
      <c r="O23" s="162" t="s">
        <v>311</v>
      </c>
      <c r="P23" s="163"/>
      <c r="Q23" s="162" t="s">
        <v>312</v>
      </c>
      <c r="R23" s="163"/>
      <c r="S23" s="162" t="s">
        <v>313</v>
      </c>
      <c r="T23" s="163"/>
      <c r="U23" s="162" t="s">
        <v>314</v>
      </c>
      <c r="V23" s="138"/>
    </row>
    <row r="24" spans="2:22" s="151" customFormat="1">
      <c r="B24" s="146"/>
      <c r="C24" s="164">
        <v>1</v>
      </c>
      <c r="E24" s="143"/>
      <c r="G24" s="143"/>
      <c r="I24" s="143"/>
      <c r="K24" s="143"/>
      <c r="M24" s="143"/>
      <c r="O24" s="144"/>
      <c r="Q24" s="143"/>
      <c r="S24" s="143"/>
      <c r="U24" s="143"/>
      <c r="V24" s="138"/>
    </row>
    <row r="25" spans="2:22" s="151" customFormat="1">
      <c r="B25" s="146"/>
      <c r="E25" s="165"/>
      <c r="G25" s="166"/>
      <c r="I25" s="166"/>
      <c r="K25" s="166"/>
      <c r="M25" s="166"/>
      <c r="O25" s="166"/>
      <c r="Q25" s="166"/>
      <c r="S25" s="166"/>
      <c r="U25" s="166"/>
      <c r="V25" s="138"/>
    </row>
    <row r="26" spans="2:22" ht="11.1" customHeight="1" thickBot="1">
      <c r="B26" s="147"/>
      <c r="C26" s="157"/>
      <c r="D26" s="157"/>
      <c r="E26" s="157"/>
      <c r="F26" s="157"/>
      <c r="G26" s="157"/>
      <c r="H26" s="157"/>
      <c r="I26" s="157"/>
      <c r="J26" s="157"/>
      <c r="K26" s="157"/>
      <c r="L26" s="157"/>
      <c r="M26" s="157"/>
      <c r="N26" s="157"/>
      <c r="O26" s="157"/>
      <c r="P26" s="157"/>
      <c r="Q26" s="157"/>
      <c r="R26" s="157"/>
      <c r="S26" s="157"/>
      <c r="T26" s="157"/>
      <c r="U26" s="157"/>
      <c r="V26" s="167"/>
    </row>
    <row r="28" spans="2:22" ht="15.75" thickBot="1"/>
    <row r="29" spans="2:22">
      <c r="B29" s="148" t="s">
        <v>330</v>
      </c>
      <c r="C29" s="170"/>
      <c r="D29" s="149"/>
      <c r="E29" s="149"/>
      <c r="F29" s="149"/>
      <c r="G29" s="149"/>
      <c r="H29" s="149"/>
      <c r="I29" s="149"/>
      <c r="J29" s="149"/>
      <c r="K29" s="149"/>
      <c r="L29" s="149"/>
      <c r="M29" s="149"/>
      <c r="N29" s="149"/>
      <c r="O29" s="149"/>
      <c r="P29" s="149"/>
      <c r="Q29" s="149"/>
      <c r="R29" s="150"/>
    </row>
    <row r="30" spans="2:22">
      <c r="B30" s="146"/>
      <c r="C30" s="171"/>
      <c r="D30" s="174"/>
      <c r="E30" s="174"/>
      <c r="F30" s="174"/>
      <c r="G30" s="174"/>
      <c r="H30" s="174"/>
      <c r="I30" s="174"/>
      <c r="J30" s="174"/>
      <c r="K30" s="174"/>
      <c r="L30" s="174"/>
      <c r="M30" s="174"/>
      <c r="N30" s="174"/>
      <c r="O30" s="174"/>
      <c r="P30" s="174"/>
      <c r="Q30" s="174"/>
      <c r="R30" s="138"/>
    </row>
    <row r="31" spans="2:22" ht="84" customHeight="1">
      <c r="B31" s="253" t="s">
        <v>322</v>
      </c>
      <c r="C31" s="254"/>
      <c r="D31" s="174"/>
      <c r="E31" s="258"/>
      <c r="F31" s="259"/>
      <c r="G31" s="259"/>
      <c r="H31" s="259"/>
      <c r="I31" s="259"/>
      <c r="J31" s="259"/>
      <c r="K31" s="259"/>
      <c r="L31" s="259"/>
      <c r="M31" s="259"/>
      <c r="N31" s="259"/>
      <c r="O31" s="259"/>
      <c r="P31" s="259"/>
      <c r="Q31" s="260"/>
      <c r="R31" s="138"/>
    </row>
    <row r="32" spans="2:22" ht="15.95" customHeight="1">
      <c r="B32" s="146"/>
      <c r="C32" s="174"/>
      <c r="D32" s="174"/>
      <c r="E32" s="174"/>
      <c r="F32" s="174"/>
      <c r="G32" s="174"/>
      <c r="H32" s="174"/>
      <c r="I32" s="174"/>
      <c r="J32" s="174"/>
      <c r="K32" s="174"/>
      <c r="L32" s="174"/>
      <c r="M32" s="174"/>
      <c r="N32" s="174"/>
      <c r="O32" s="174"/>
      <c r="P32" s="174"/>
      <c r="Q32" s="174"/>
      <c r="R32" s="138"/>
    </row>
    <row r="33" spans="2:18" ht="14.1" customHeight="1">
      <c r="B33" s="248" t="s">
        <v>323</v>
      </c>
      <c r="C33" s="224"/>
      <c r="D33" s="270"/>
      <c r="E33" s="261"/>
      <c r="F33" s="262"/>
      <c r="G33" s="262"/>
      <c r="H33" s="262"/>
      <c r="I33" s="262"/>
      <c r="J33" s="262"/>
      <c r="K33" s="262"/>
      <c r="L33" s="262"/>
      <c r="M33" s="262"/>
      <c r="N33" s="262"/>
      <c r="O33" s="262"/>
      <c r="P33" s="262"/>
      <c r="Q33" s="263"/>
      <c r="R33" s="138"/>
    </row>
    <row r="34" spans="2:18">
      <c r="B34" s="248"/>
      <c r="C34" s="224"/>
      <c r="D34" s="270"/>
      <c r="E34" s="264"/>
      <c r="F34" s="265"/>
      <c r="G34" s="265"/>
      <c r="H34" s="265"/>
      <c r="I34" s="265"/>
      <c r="J34" s="265"/>
      <c r="K34" s="265"/>
      <c r="L34" s="265"/>
      <c r="M34" s="265"/>
      <c r="N34" s="265"/>
      <c r="O34" s="265"/>
      <c r="P34" s="265"/>
      <c r="Q34" s="266"/>
      <c r="R34" s="138"/>
    </row>
    <row r="35" spans="2:18">
      <c r="B35" s="248"/>
      <c r="C35" s="224"/>
      <c r="D35" s="270"/>
      <c r="E35" s="264"/>
      <c r="F35" s="265"/>
      <c r="G35" s="265"/>
      <c r="H35" s="265"/>
      <c r="I35" s="265"/>
      <c r="J35" s="265"/>
      <c r="K35" s="265"/>
      <c r="L35" s="265"/>
      <c r="M35" s="265"/>
      <c r="N35" s="265"/>
      <c r="O35" s="265"/>
      <c r="P35" s="265"/>
      <c r="Q35" s="266"/>
      <c r="R35" s="138"/>
    </row>
    <row r="36" spans="2:18">
      <c r="B36" s="248"/>
      <c r="C36" s="224"/>
      <c r="D36" s="270"/>
      <c r="E36" s="264"/>
      <c r="F36" s="265"/>
      <c r="G36" s="265"/>
      <c r="H36" s="265"/>
      <c r="I36" s="265"/>
      <c r="J36" s="265"/>
      <c r="K36" s="265"/>
      <c r="L36" s="265"/>
      <c r="M36" s="265"/>
      <c r="N36" s="265"/>
      <c r="O36" s="265"/>
      <c r="P36" s="265"/>
      <c r="Q36" s="266"/>
      <c r="R36" s="138"/>
    </row>
    <row r="37" spans="2:18">
      <c r="B37" s="248"/>
      <c r="C37" s="224"/>
      <c r="D37" s="270"/>
      <c r="E37" s="267"/>
      <c r="F37" s="268"/>
      <c r="G37" s="268"/>
      <c r="H37" s="268"/>
      <c r="I37" s="268"/>
      <c r="J37" s="268"/>
      <c r="K37" s="268"/>
      <c r="L37" s="268"/>
      <c r="M37" s="268"/>
      <c r="N37" s="268"/>
      <c r="O37" s="268"/>
      <c r="P37" s="268"/>
      <c r="Q37" s="269"/>
      <c r="R37" s="138"/>
    </row>
    <row r="38" spans="2:18">
      <c r="B38" s="146"/>
      <c r="C38" s="151"/>
      <c r="D38" s="151"/>
      <c r="E38" s="151"/>
      <c r="F38" s="151"/>
      <c r="G38" s="151"/>
      <c r="H38" s="151"/>
      <c r="I38" s="151"/>
      <c r="J38" s="151"/>
      <c r="K38" s="151"/>
      <c r="L38" s="151"/>
      <c r="M38" s="151"/>
      <c r="N38" s="151"/>
      <c r="O38" s="151"/>
      <c r="P38" s="151"/>
      <c r="Q38" s="151"/>
      <c r="R38" s="138"/>
    </row>
    <row r="39" spans="2:18">
      <c r="B39" s="248" t="s">
        <v>324</v>
      </c>
      <c r="C39" s="224"/>
      <c r="D39" s="244"/>
      <c r="E39" s="261"/>
      <c r="F39" s="262"/>
      <c r="G39" s="262"/>
      <c r="H39" s="262"/>
      <c r="I39" s="262"/>
      <c r="J39" s="262"/>
      <c r="K39" s="262"/>
      <c r="L39" s="262"/>
      <c r="M39" s="262"/>
      <c r="N39" s="262"/>
      <c r="O39" s="262"/>
      <c r="P39" s="262"/>
      <c r="Q39" s="263"/>
      <c r="R39" s="138"/>
    </row>
    <row r="40" spans="2:18">
      <c r="B40" s="248"/>
      <c r="C40" s="224"/>
      <c r="D40" s="244"/>
      <c r="E40" s="264"/>
      <c r="F40" s="265"/>
      <c r="G40" s="265"/>
      <c r="H40" s="265"/>
      <c r="I40" s="265"/>
      <c r="J40" s="265"/>
      <c r="K40" s="265"/>
      <c r="L40" s="265"/>
      <c r="M40" s="265"/>
      <c r="N40" s="265"/>
      <c r="O40" s="265"/>
      <c r="P40" s="265"/>
      <c r="Q40" s="266"/>
      <c r="R40" s="138"/>
    </row>
    <row r="41" spans="2:18">
      <c r="B41" s="248"/>
      <c r="C41" s="224"/>
      <c r="D41" s="244"/>
      <c r="E41" s="264"/>
      <c r="F41" s="265"/>
      <c r="G41" s="265"/>
      <c r="H41" s="265"/>
      <c r="I41" s="265"/>
      <c r="J41" s="265"/>
      <c r="K41" s="265"/>
      <c r="L41" s="265"/>
      <c r="M41" s="265"/>
      <c r="N41" s="265"/>
      <c r="O41" s="265"/>
      <c r="P41" s="265"/>
      <c r="Q41" s="266"/>
      <c r="R41" s="138"/>
    </row>
    <row r="42" spans="2:18">
      <c r="B42" s="248"/>
      <c r="C42" s="224"/>
      <c r="D42" s="244"/>
      <c r="E42" s="264"/>
      <c r="F42" s="265"/>
      <c r="G42" s="265"/>
      <c r="H42" s="265"/>
      <c r="I42" s="265"/>
      <c r="J42" s="265"/>
      <c r="K42" s="265"/>
      <c r="L42" s="265"/>
      <c r="M42" s="265"/>
      <c r="N42" s="265"/>
      <c r="O42" s="265"/>
      <c r="P42" s="265"/>
      <c r="Q42" s="266"/>
      <c r="R42" s="138"/>
    </row>
    <row r="43" spans="2:18">
      <c r="B43" s="248"/>
      <c r="C43" s="224"/>
      <c r="D43" s="244"/>
      <c r="E43" s="267"/>
      <c r="F43" s="268"/>
      <c r="G43" s="268"/>
      <c r="H43" s="268"/>
      <c r="I43" s="268"/>
      <c r="J43" s="268"/>
      <c r="K43" s="268"/>
      <c r="L43" s="268"/>
      <c r="M43" s="268"/>
      <c r="N43" s="268"/>
      <c r="O43" s="268"/>
      <c r="P43" s="268"/>
      <c r="Q43" s="269"/>
      <c r="R43" s="138"/>
    </row>
    <row r="44" spans="2:18">
      <c r="B44" s="191"/>
      <c r="C44" s="192"/>
      <c r="D44" s="190"/>
      <c r="E44"/>
      <c r="F44"/>
      <c r="G44"/>
      <c r="H44"/>
      <c r="I44"/>
      <c r="J44"/>
      <c r="K44"/>
      <c r="L44"/>
      <c r="M44"/>
      <c r="N44"/>
      <c r="O44"/>
      <c r="P44"/>
      <c r="Q44"/>
      <c r="R44" s="138"/>
    </row>
    <row r="45" spans="2:18" ht="27" customHeight="1">
      <c r="B45" s="248" t="s">
        <v>333</v>
      </c>
      <c r="C45" s="224"/>
      <c r="D45" s="190"/>
      <c r="E45" s="194"/>
      <c r="F45"/>
      <c r="G45" t="s">
        <v>332</v>
      </c>
      <c r="H45"/>
      <c r="I45"/>
      <c r="J45"/>
      <c r="K45"/>
      <c r="L45"/>
      <c r="M45"/>
      <c r="N45"/>
      <c r="O45"/>
      <c r="P45"/>
      <c r="Q45"/>
      <c r="R45" s="138"/>
    </row>
    <row r="46" spans="2:18">
      <c r="B46" s="146"/>
      <c r="C46" s="171"/>
      <c r="D46" s="151"/>
      <c r="E46" s="151"/>
      <c r="F46" s="151"/>
      <c r="G46" s="151"/>
      <c r="H46" s="151"/>
      <c r="I46" s="151"/>
      <c r="J46" s="151"/>
      <c r="K46" s="151"/>
      <c r="L46" s="151"/>
      <c r="M46" s="151"/>
      <c r="N46" s="151"/>
      <c r="O46" s="151"/>
      <c r="P46" s="151"/>
      <c r="Q46" s="151"/>
      <c r="R46" s="138"/>
    </row>
    <row r="47" spans="2:18" ht="72" customHeight="1">
      <c r="B47" s="253" t="s">
        <v>327</v>
      </c>
      <c r="C47" s="254"/>
      <c r="D47" s="151"/>
      <c r="E47" s="255"/>
      <c r="F47" s="256"/>
      <c r="G47" s="256"/>
      <c r="H47" s="256"/>
      <c r="I47" s="256"/>
      <c r="J47" s="256"/>
      <c r="K47" s="256"/>
      <c r="L47" s="256"/>
      <c r="M47" s="256"/>
      <c r="N47" s="256"/>
      <c r="O47" s="256"/>
      <c r="P47" s="256"/>
      <c r="Q47" s="257"/>
      <c r="R47" s="138"/>
    </row>
    <row r="48" spans="2:18" ht="12.95" customHeight="1">
      <c r="B48" s="191"/>
      <c r="C48" s="192"/>
      <c r="D48" s="189"/>
      <c r="E48"/>
      <c r="F48"/>
      <c r="G48"/>
      <c r="H48"/>
      <c r="I48"/>
      <c r="J48"/>
      <c r="K48"/>
      <c r="L48"/>
      <c r="M48"/>
      <c r="N48"/>
      <c r="O48"/>
      <c r="P48"/>
      <c r="Q48"/>
      <c r="R48" s="138"/>
    </row>
    <row r="49" spans="2:18" ht="12.95" customHeight="1">
      <c r="B49" s="246" t="s">
        <v>331</v>
      </c>
      <c r="C49" s="247"/>
      <c r="D49" s="189"/>
      <c r="E49" s="193"/>
      <c r="F49"/>
      <c r="G49"/>
      <c r="H49"/>
      <c r="I49"/>
      <c r="J49"/>
      <c r="K49"/>
      <c r="L49"/>
      <c r="M49"/>
      <c r="N49"/>
      <c r="O49"/>
      <c r="P49"/>
      <c r="Q49"/>
      <c r="R49" s="138"/>
    </row>
    <row r="50" spans="2:18" ht="12.95" customHeight="1">
      <c r="B50" s="191"/>
      <c r="C50" s="192"/>
      <c r="D50" s="189"/>
      <c r="E50"/>
      <c r="F50"/>
      <c r="G50"/>
      <c r="H50"/>
      <c r="I50"/>
      <c r="J50"/>
      <c r="K50"/>
      <c r="L50"/>
      <c r="M50"/>
      <c r="N50"/>
      <c r="O50"/>
      <c r="P50"/>
      <c r="Q50"/>
      <c r="R50" s="138"/>
    </row>
    <row r="51" spans="2:18" ht="15.75" thickBot="1">
      <c r="B51" s="147"/>
      <c r="C51" s="157"/>
      <c r="D51" s="157"/>
      <c r="E51" s="157"/>
      <c r="F51" s="157"/>
      <c r="G51" s="157"/>
      <c r="H51" s="157"/>
      <c r="I51" s="157"/>
      <c r="J51" s="157"/>
      <c r="K51" s="157"/>
      <c r="L51" s="157"/>
      <c r="M51" s="157"/>
      <c r="N51" s="157"/>
      <c r="O51" s="157"/>
      <c r="P51" s="157"/>
      <c r="Q51" s="157"/>
      <c r="R51" s="167"/>
    </row>
    <row r="52" spans="2:18" ht="75.95" customHeight="1"/>
    <row r="54" spans="2:18" ht="84" customHeight="1"/>
    <row r="56" spans="2:18" ht="95.1" customHeight="1"/>
    <row r="58" spans="2:18">
      <c r="C58" s="172"/>
    </row>
  </sheetData>
  <mergeCells count="14">
    <mergeCell ref="B49:C49"/>
    <mergeCell ref="B45:C45"/>
    <mergeCell ref="C17:C18"/>
    <mergeCell ref="E17:E18"/>
    <mergeCell ref="B47:C47"/>
    <mergeCell ref="E47:Q47"/>
    <mergeCell ref="B31:C31"/>
    <mergeCell ref="E31:Q31"/>
    <mergeCell ref="E33:Q37"/>
    <mergeCell ref="B33:C37"/>
    <mergeCell ref="B39:C43"/>
    <mergeCell ref="E39:Q43"/>
    <mergeCell ref="D33:D37"/>
    <mergeCell ref="D39:D43"/>
  </mergeCells>
  <phoneticPr fontId="30" type="noConversion"/>
  <pageMargins left="0.75" right="0.75" top="1" bottom="1" header="0.5" footer="0.5"/>
  <pageSetup scale="37" orientation="landscape" horizontalDpi="4294967292" verticalDpi="4294967292"/>
  <legacyDrawing r:id="rId1"/>
  <legacyDrawingHF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'[1]CHIP Q'!#REF!</xm:f>
          </x14:formula1>
          <xm:sqref>Q24</xm:sqref>
        </x14:dataValidation>
        <x14:dataValidation type="list" allowBlank="1" showInputMessage="1" showErrorMessage="1">
          <x14:formula1>
            <xm:f>'[1]CHIP Q'!#REF!</xm:f>
          </x14:formula1>
          <xm:sqref>M24</xm:sqref>
        </x14:dataValidation>
      </x14:dataValidations>
    </ex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35"/>
  <sheetViews>
    <sheetView showFormulas="1" workbookViewId="0"/>
  </sheetViews>
  <sheetFormatPr defaultColWidth="11.42578125" defaultRowHeight="15"/>
  <cols>
    <col min="2" max="2" width="2.42578125" customWidth="1"/>
    <col min="3" max="3" width="19.85546875" customWidth="1"/>
    <col min="4" max="4" width="20.42578125" customWidth="1"/>
    <col min="5" max="5" width="3" customWidth="1"/>
    <col min="6" max="6" width="25.28515625" customWidth="1"/>
    <col min="7" max="7" width="3" customWidth="1"/>
    <col min="9" max="9" width="3" customWidth="1"/>
    <col min="11" max="11" width="3" customWidth="1"/>
    <col min="13" max="13" width="3" customWidth="1"/>
    <col min="15" max="15" width="3" customWidth="1"/>
    <col min="17" max="17" width="3" customWidth="1"/>
    <col min="19" max="19" width="3" customWidth="1"/>
    <col min="21" max="21" width="3" customWidth="1"/>
    <col min="23" max="23" width="3" customWidth="1"/>
  </cols>
  <sheetData>
    <row r="1" spans="2:7" ht="15.75" thickBot="1"/>
    <row r="2" spans="2:7">
      <c r="B2" s="177"/>
      <c r="C2" s="178"/>
      <c r="D2" s="178"/>
      <c r="E2" s="178"/>
      <c r="F2" s="178"/>
      <c r="G2" s="179"/>
    </row>
    <row r="3" spans="2:7">
      <c r="B3" s="180"/>
      <c r="C3" s="175" t="s">
        <v>334</v>
      </c>
      <c r="D3" s="176"/>
      <c r="E3" s="176"/>
      <c r="F3" s="176"/>
      <c r="G3" s="181"/>
    </row>
    <row r="4" spans="2:7" ht="15.75" customHeight="1">
      <c r="B4" s="180"/>
      <c r="C4" s="176" t="s">
        <v>328</v>
      </c>
      <c r="D4" s="286"/>
      <c r="E4" s="286"/>
      <c r="F4" s="286"/>
      <c r="G4" s="181"/>
    </row>
    <row r="5" spans="2:7" ht="15.75" customHeight="1">
      <c r="B5" s="180"/>
      <c r="C5" s="176"/>
      <c r="D5" s="285"/>
      <c r="E5" s="285"/>
      <c r="F5" s="285"/>
      <c r="G5" s="181"/>
    </row>
    <row r="6" spans="2:7" ht="15.75" thickBot="1">
      <c r="B6" s="182"/>
      <c r="C6" s="183"/>
      <c r="D6" s="183"/>
      <c r="E6" s="183"/>
      <c r="F6" s="183"/>
      <c r="G6" s="184"/>
    </row>
    <row r="7" spans="2:7" ht="15.75" thickBot="1">
      <c r="B7" s="176"/>
      <c r="C7" s="176"/>
      <c r="D7" s="176"/>
      <c r="E7" s="176"/>
      <c r="F7" s="176"/>
      <c r="G7" s="176"/>
    </row>
    <row r="8" spans="2:7">
      <c r="B8" s="177"/>
      <c r="C8" s="178"/>
      <c r="D8" s="178"/>
      <c r="E8" s="179"/>
      <c r="F8" s="176"/>
      <c r="G8" s="176"/>
    </row>
    <row r="9" spans="2:7">
      <c r="B9" s="180"/>
      <c r="C9" s="201" t="s">
        <v>354</v>
      </c>
      <c r="D9" s="189"/>
      <c r="E9" s="186"/>
      <c r="F9" s="189"/>
      <c r="G9" s="189"/>
    </row>
    <row r="10" spans="2:7">
      <c r="B10" s="180"/>
      <c r="C10" s="202" t="s">
        <v>295</v>
      </c>
      <c r="D10" s="209"/>
      <c r="E10" s="186"/>
      <c r="F10" s="176"/>
      <c r="G10" s="189"/>
    </row>
    <row r="11" spans="2:7">
      <c r="B11" s="180"/>
      <c r="C11" s="202" t="s">
        <v>296</v>
      </c>
      <c r="D11" s="210"/>
      <c r="E11" s="186"/>
      <c r="F11" s="176"/>
      <c r="G11" s="189"/>
    </row>
    <row r="12" spans="2:7">
      <c r="B12" s="180"/>
      <c r="C12" s="202" t="s">
        <v>297</v>
      </c>
      <c r="D12" s="211"/>
      <c r="E12" s="186"/>
      <c r="F12" s="176"/>
      <c r="G12" s="189"/>
    </row>
    <row r="13" spans="2:7">
      <c r="B13" s="180"/>
      <c r="C13" s="202" t="s">
        <v>298</v>
      </c>
      <c r="D13" s="212"/>
      <c r="E13" s="186"/>
      <c r="F13" s="176"/>
      <c r="G13" s="203"/>
    </row>
    <row r="14" spans="2:7">
      <c r="B14" s="180"/>
      <c r="C14" s="202" t="s">
        <v>299</v>
      </c>
      <c r="D14" s="212"/>
      <c r="E14" s="186"/>
      <c r="F14" s="176"/>
      <c r="G14" s="203"/>
    </row>
    <row r="15" spans="2:7" ht="15.75" thickBot="1">
      <c r="B15" s="182"/>
      <c r="C15" s="204"/>
      <c r="D15" s="205"/>
      <c r="E15" s="206"/>
      <c r="F15" s="203"/>
      <c r="G15" s="203"/>
    </row>
    <row r="16" spans="2:7" ht="15.75" thickBot="1">
      <c r="B16" s="176"/>
      <c r="C16" s="176"/>
      <c r="D16" s="176"/>
      <c r="E16" s="176"/>
    </row>
    <row r="17" spans="2:23">
      <c r="B17" s="177"/>
      <c r="C17" s="178"/>
      <c r="D17" s="178"/>
      <c r="E17" s="179"/>
      <c r="F17" s="176"/>
      <c r="G17" s="176"/>
    </row>
    <row r="18" spans="2:23">
      <c r="B18" s="180"/>
      <c r="C18" s="175" t="s">
        <v>352</v>
      </c>
      <c r="D18" s="176"/>
      <c r="E18" s="181"/>
      <c r="F18" s="176"/>
      <c r="G18" s="176"/>
    </row>
    <row r="19" spans="2:23">
      <c r="B19" s="180"/>
      <c r="C19" s="176" t="s">
        <v>329</v>
      </c>
      <c r="D19" s="176"/>
      <c r="E19" s="181"/>
      <c r="F19" s="176"/>
      <c r="G19" s="176"/>
    </row>
    <row r="20" spans="2:23">
      <c r="B20" s="180"/>
      <c r="C20" s="199" t="s">
        <v>337</v>
      </c>
      <c r="D20" s="198" t="s">
        <v>342</v>
      </c>
      <c r="E20" s="181"/>
      <c r="F20" s="176"/>
      <c r="G20" s="176"/>
    </row>
    <row r="21" spans="2:23">
      <c r="B21" s="180"/>
      <c r="C21" s="199" t="s">
        <v>338</v>
      </c>
      <c r="D21" s="198" t="s">
        <v>342</v>
      </c>
      <c r="E21" s="181"/>
      <c r="F21" s="176"/>
      <c r="G21" s="176"/>
    </row>
    <row r="22" spans="2:23">
      <c r="B22" s="180"/>
      <c r="C22" s="199" t="s">
        <v>339</v>
      </c>
      <c r="D22" s="198" t="s">
        <v>342</v>
      </c>
      <c r="E22" s="181"/>
      <c r="F22" s="176"/>
      <c r="G22" s="176"/>
    </row>
    <row r="23" spans="2:23">
      <c r="B23" s="180"/>
      <c r="C23" s="199" t="s">
        <v>340</v>
      </c>
      <c r="D23" s="198" t="s">
        <v>342</v>
      </c>
      <c r="E23" s="181"/>
      <c r="F23" s="176"/>
      <c r="G23" s="176"/>
    </row>
    <row r="24" spans="2:23">
      <c r="B24" s="180"/>
      <c r="C24" s="199" t="s">
        <v>341</v>
      </c>
      <c r="D24" s="198" t="s">
        <v>342</v>
      </c>
      <c r="E24" s="181"/>
      <c r="F24" s="176"/>
      <c r="G24" s="176"/>
    </row>
    <row r="25" spans="2:23" ht="15.75">
      <c r="B25" s="180"/>
      <c r="C25" s="195" t="s">
        <v>335</v>
      </c>
      <c r="D25" s="207"/>
      <c r="E25" s="181"/>
      <c r="F25" s="176"/>
      <c r="G25" s="176"/>
    </row>
    <row r="26" spans="2:23" ht="15.75">
      <c r="B26" s="180"/>
      <c r="C26" s="195" t="s">
        <v>336</v>
      </c>
      <c r="D26" s="208"/>
      <c r="E26" s="181"/>
      <c r="F26" s="176"/>
      <c r="G26" s="176"/>
    </row>
    <row r="27" spans="2:23" ht="15.75" thickBot="1">
      <c r="B27" s="182"/>
      <c r="C27" s="183"/>
      <c r="D27" s="183"/>
      <c r="E27" s="184"/>
      <c r="F27" s="176"/>
      <c r="G27" s="176"/>
    </row>
    <row r="28" spans="2:23" ht="15.75" thickBot="1"/>
    <row r="29" spans="2:23">
      <c r="B29" s="177"/>
      <c r="C29" s="178"/>
      <c r="D29" s="178"/>
      <c r="E29" s="178"/>
      <c r="F29" s="178"/>
      <c r="G29" s="178"/>
      <c r="H29" s="178"/>
      <c r="I29" s="178"/>
      <c r="J29" s="178"/>
      <c r="K29" s="178"/>
      <c r="L29" s="178"/>
      <c r="M29" s="178"/>
      <c r="N29" s="178"/>
      <c r="O29" s="178"/>
      <c r="P29" s="178"/>
      <c r="Q29" s="178"/>
      <c r="R29" s="178"/>
      <c r="S29" s="178"/>
      <c r="T29" s="178"/>
      <c r="U29" s="178"/>
      <c r="V29" s="178"/>
      <c r="W29" s="179"/>
    </row>
    <row r="30" spans="2:23">
      <c r="B30" s="180"/>
      <c r="C30" s="187" t="s">
        <v>353</v>
      </c>
      <c r="D30" s="173"/>
      <c r="E30" s="173"/>
      <c r="F30" s="173"/>
      <c r="G30" s="173"/>
      <c r="H30" s="173"/>
      <c r="I30" s="173"/>
      <c r="J30" s="173"/>
      <c r="K30" s="173"/>
      <c r="L30" s="173"/>
      <c r="M30" s="173"/>
      <c r="N30" s="173"/>
      <c r="O30" s="173"/>
      <c r="P30" s="173"/>
      <c r="Q30" s="173"/>
      <c r="R30" s="173"/>
      <c r="S30" s="173"/>
      <c r="T30" s="173"/>
      <c r="U30" s="173"/>
      <c r="V30" s="173"/>
      <c r="W30" s="186"/>
    </row>
    <row r="31" spans="2:23" ht="45">
      <c r="B31" s="180"/>
      <c r="C31" s="173" t="s">
        <v>325</v>
      </c>
      <c r="D31" s="168" t="s">
        <v>315</v>
      </c>
      <c r="E31" s="163"/>
      <c r="F31" s="168" t="s">
        <v>316</v>
      </c>
      <c r="G31" s="163"/>
      <c r="H31" s="168" t="s">
        <v>317</v>
      </c>
      <c r="I31" s="163"/>
      <c r="J31" s="168" t="s">
        <v>318</v>
      </c>
      <c r="K31" s="163"/>
      <c r="L31" s="168" t="s">
        <v>319</v>
      </c>
      <c r="M31" s="163"/>
      <c r="N31" s="168" t="s">
        <v>320</v>
      </c>
      <c r="O31" s="169"/>
      <c r="P31" s="168" t="s">
        <v>321</v>
      </c>
      <c r="Q31" s="169"/>
      <c r="R31" s="168" t="s">
        <v>313</v>
      </c>
      <c r="S31" s="169"/>
      <c r="T31" s="168" t="s">
        <v>314</v>
      </c>
      <c r="W31" s="185"/>
    </row>
    <row r="32" spans="2:23">
      <c r="B32" s="180"/>
      <c r="C32" s="213" t="s">
        <v>351</v>
      </c>
      <c r="D32" s="188"/>
      <c r="E32" s="173"/>
      <c r="F32" s="188"/>
      <c r="G32" s="173"/>
      <c r="H32" s="188"/>
      <c r="I32" s="173"/>
      <c r="J32" s="188"/>
      <c r="K32" s="173"/>
      <c r="L32" s="188"/>
      <c r="M32" s="173"/>
      <c r="N32" s="188"/>
      <c r="O32" s="173"/>
      <c r="P32" s="188"/>
      <c r="Q32" s="173"/>
      <c r="R32" s="188"/>
      <c r="S32" s="173"/>
      <c r="T32" s="188"/>
      <c r="W32" s="186"/>
    </row>
    <row r="33" spans="2:23">
      <c r="B33" s="180"/>
      <c r="C33" s="173"/>
      <c r="D33" s="173"/>
      <c r="E33" s="173"/>
      <c r="F33" s="173"/>
      <c r="G33" s="173"/>
      <c r="H33" s="173"/>
      <c r="I33" s="173"/>
      <c r="J33" s="173"/>
      <c r="K33" s="173"/>
      <c r="L33" s="173"/>
      <c r="M33" s="173"/>
      <c r="N33" s="173"/>
      <c r="O33" s="173"/>
      <c r="P33" s="173"/>
      <c r="Q33" s="173"/>
      <c r="R33" s="173"/>
      <c r="S33" s="173"/>
      <c r="T33" s="173"/>
      <c r="U33" s="173"/>
      <c r="V33" s="173"/>
      <c r="W33" s="186"/>
    </row>
    <row r="34" spans="2:23">
      <c r="B34" s="180"/>
      <c r="C34" s="173"/>
      <c r="D34" s="173"/>
      <c r="E34" s="173"/>
      <c r="F34" s="173"/>
      <c r="G34" s="173"/>
      <c r="H34" s="173"/>
      <c r="I34" s="173"/>
      <c r="J34" s="173"/>
      <c r="K34" s="173"/>
      <c r="L34" s="173"/>
      <c r="M34" s="173"/>
      <c r="N34" s="173"/>
      <c r="O34" s="173"/>
      <c r="P34" s="173"/>
      <c r="Q34" s="173"/>
      <c r="R34" s="173"/>
      <c r="S34" s="173"/>
      <c r="T34" s="173"/>
      <c r="U34" s="173"/>
      <c r="V34" s="173"/>
      <c r="W34" s="186"/>
    </row>
    <row r="35" spans="2:23" ht="15.75" thickBot="1">
      <c r="B35" s="182"/>
      <c r="C35" s="183"/>
      <c r="D35" s="183"/>
      <c r="E35" s="183"/>
      <c r="F35" s="183"/>
      <c r="G35" s="183"/>
      <c r="H35" s="183"/>
      <c r="I35" s="183"/>
      <c r="J35" s="183"/>
      <c r="K35" s="183"/>
      <c r="L35" s="183"/>
      <c r="M35" s="183"/>
      <c r="N35" s="183"/>
      <c r="O35" s="183"/>
      <c r="P35" s="183"/>
      <c r="Q35" s="183"/>
      <c r="R35" s="183"/>
      <c r="S35" s="183"/>
      <c r="T35" s="183"/>
      <c r="U35" s="183"/>
      <c r="V35" s="183"/>
      <c r="W35" s="184"/>
    </row>
  </sheetData>
  <mergeCells count="1">
    <mergeCell ref="D4:F5"/>
  </mergeCells>
  <phoneticPr fontId="30" type="noConversion"/>
  <pageMargins left="0.75" right="0.75" top="1" bottom="1" header="0.5" footer="0.5"/>
  <pageSetup orientation="portrait" horizontalDpi="4294967292" verticalDpi="4294967292"/>
  <legacyDrawingHF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filterMode="1">
    <outlinePr summaryBelow="0" summaryRight="0"/>
    <pageSetUpPr fitToPage="1"/>
  </sheetPr>
  <dimension ref="A1:U659"/>
  <sheetViews>
    <sheetView showGridLines="0" showRowColHeaders="0" topLeftCell="C1" workbookViewId="0">
      <selection activeCell="C1" sqref="C1"/>
    </sheetView>
  </sheetViews>
  <sheetFormatPr defaultColWidth="0" defaultRowHeight="0" customHeight="1" zeroHeight="1"/>
  <cols>
    <col min="1" max="1" width="3.7109375" style="7" hidden="1" customWidth="1"/>
    <col min="2" max="2" width="2.28515625" style="2" hidden="1" customWidth="1"/>
    <col min="3" max="3" width="6.42578125" style="2" customWidth="1"/>
    <col min="4" max="4" width="2.28515625" style="2" customWidth="1"/>
    <col min="5" max="5" width="55" style="2" customWidth="1"/>
    <col min="6" max="6" width="2.28515625" style="2" customWidth="1"/>
    <col min="7" max="7" width="25" style="2" customWidth="1"/>
    <col min="8" max="8" width="2.28515625" style="2" customWidth="1"/>
    <col min="9" max="9" width="45.7109375" style="2" customWidth="1"/>
    <col min="10" max="10" width="2.28515625" style="2" customWidth="1"/>
    <col min="11" max="11" width="45.7109375" style="2" customWidth="1"/>
    <col min="12" max="12" width="2.28515625" style="2" customWidth="1"/>
    <col min="13" max="13" width="22.140625" style="2" customWidth="1"/>
    <col min="14" max="14" width="2.140625" style="2" customWidth="1"/>
    <col min="15" max="15" width="22.140625" style="2" customWidth="1"/>
    <col min="16" max="16" width="2.140625" style="2" customWidth="1"/>
    <col min="17" max="17" width="10.7109375" style="6" hidden="1" customWidth="1"/>
    <col min="18" max="19" width="9.140625" style="6" hidden="1" customWidth="1"/>
    <col min="20" max="16384" width="9.140625" style="7" hidden="1"/>
  </cols>
  <sheetData>
    <row r="1" spans="1:19" ht="18.75">
      <c r="A1" s="1"/>
      <c r="C1" s="3" t="s">
        <v>364</v>
      </c>
      <c r="D1" s="4"/>
      <c r="E1" s="4"/>
      <c r="F1" s="4"/>
      <c r="G1" s="3"/>
      <c r="H1" s="4"/>
      <c r="I1" s="4"/>
      <c r="J1" s="4"/>
      <c r="K1" s="4"/>
      <c r="L1" s="4"/>
      <c r="M1" s="4"/>
      <c r="N1" s="5"/>
      <c r="O1" s="4"/>
      <c r="Q1" s="1"/>
      <c r="R1" s="1"/>
    </row>
    <row r="2" spans="1:19" ht="66.75" customHeight="1">
      <c r="A2" s="1"/>
      <c r="B2" s="8"/>
      <c r="C2" s="271"/>
      <c r="D2" s="271"/>
      <c r="E2" s="271"/>
      <c r="N2" s="8"/>
      <c r="P2" s="8"/>
      <c r="Q2" s="1"/>
      <c r="R2" s="1"/>
    </row>
    <row r="3" spans="1:19" ht="6" customHeight="1">
      <c r="A3" s="1"/>
      <c r="B3" s="8"/>
      <c r="C3" s="8"/>
      <c r="D3" s="9"/>
      <c r="E3" s="10"/>
      <c r="F3" s="9"/>
      <c r="G3" s="11"/>
      <c r="H3" s="8"/>
      <c r="I3" s="8"/>
      <c r="J3" s="8"/>
      <c r="K3" s="8"/>
      <c r="L3" s="8"/>
      <c r="M3" s="8"/>
      <c r="N3" s="8"/>
      <c r="O3" s="8"/>
      <c r="P3" s="8"/>
      <c r="Q3" s="1"/>
      <c r="R3" s="1"/>
    </row>
    <row r="4" spans="1:19" ht="6" customHeight="1" thickBot="1">
      <c r="A4" s="1"/>
      <c r="B4" s="8"/>
      <c r="C4" s="8"/>
      <c r="D4" s="9"/>
      <c r="E4" s="10"/>
      <c r="F4" s="9"/>
      <c r="G4" s="11"/>
      <c r="H4" s="8"/>
      <c r="I4" s="8"/>
      <c r="J4" s="8"/>
      <c r="K4" s="8"/>
      <c r="L4" s="8"/>
      <c r="M4" s="8"/>
      <c r="N4" s="8"/>
      <c r="O4" s="8"/>
      <c r="P4" s="8"/>
      <c r="Q4" s="1"/>
      <c r="R4" s="1"/>
    </row>
    <row r="5" spans="1:19" ht="104.25" customHeight="1" thickBot="1">
      <c r="A5" s="1"/>
      <c r="B5" s="8"/>
      <c r="C5" s="272" t="s">
        <v>0</v>
      </c>
      <c r="D5" s="272"/>
      <c r="E5" s="272"/>
      <c r="F5" s="9"/>
      <c r="G5" s="12" t="s">
        <v>1</v>
      </c>
      <c r="H5" s="13"/>
      <c r="I5" s="12" t="s">
        <v>2</v>
      </c>
      <c r="J5" s="13"/>
      <c r="K5" s="12" t="s">
        <v>3</v>
      </c>
      <c r="L5" s="13"/>
      <c r="M5" s="12" t="s">
        <v>293</v>
      </c>
      <c r="N5" s="8"/>
      <c r="O5" s="12" t="s">
        <v>292</v>
      </c>
      <c r="P5" s="8"/>
      <c r="Q5" s="1"/>
      <c r="R5" s="1"/>
    </row>
    <row r="6" spans="1:19" ht="6" customHeight="1">
      <c r="A6" s="14"/>
      <c r="B6" s="8"/>
      <c r="C6" s="8"/>
      <c r="D6" s="9"/>
      <c r="E6" s="10"/>
      <c r="F6" s="9"/>
      <c r="G6" s="11"/>
      <c r="H6" s="8"/>
      <c r="I6" s="8"/>
      <c r="J6" s="8"/>
      <c r="K6" s="8"/>
      <c r="L6" s="8"/>
      <c r="M6" s="8"/>
      <c r="N6" s="8"/>
      <c r="O6" s="8"/>
      <c r="P6" s="8"/>
      <c r="Q6" s="1"/>
      <c r="R6" s="1"/>
    </row>
    <row r="7" spans="1:19" ht="15" customHeight="1">
      <c r="A7" s="14" t="b">
        <v>1</v>
      </c>
      <c r="B7" s="8"/>
      <c r="C7" s="15" t="s">
        <v>4</v>
      </c>
      <c r="D7" s="16"/>
      <c r="E7" s="17" t="s">
        <v>5</v>
      </c>
      <c r="F7" s="18"/>
      <c r="G7" s="17" t="s">
        <v>6</v>
      </c>
      <c r="H7" s="18"/>
      <c r="I7" s="17" t="s">
        <v>7</v>
      </c>
      <c r="J7" s="18"/>
      <c r="K7" s="17" t="s">
        <v>8</v>
      </c>
      <c r="L7" s="8"/>
      <c r="M7" s="273" t="s">
        <v>290</v>
      </c>
      <c r="N7" s="8"/>
      <c r="O7" s="274" t="s">
        <v>291</v>
      </c>
      <c r="P7" s="8"/>
      <c r="Q7" s="1"/>
      <c r="R7" s="1"/>
    </row>
    <row r="8" spans="1:19" ht="12.95" customHeight="1">
      <c r="A8" s="14" t="b">
        <v>1</v>
      </c>
      <c r="B8" s="8"/>
      <c r="C8" s="19"/>
      <c r="D8" s="16"/>
      <c r="E8" s="17"/>
      <c r="F8" s="18"/>
      <c r="G8" s="17"/>
      <c r="H8" s="18"/>
      <c r="I8" s="17"/>
      <c r="J8" s="18"/>
      <c r="K8" s="17"/>
      <c r="L8" s="8"/>
      <c r="M8" s="273"/>
      <c r="N8" s="8"/>
      <c r="O8" s="274"/>
      <c r="P8" s="8"/>
      <c r="Q8" s="1"/>
      <c r="R8" s="1"/>
    </row>
    <row r="9" spans="1:19" ht="8.1" customHeight="1">
      <c r="A9" s="14" t="b">
        <v>1</v>
      </c>
      <c r="B9" s="8"/>
      <c r="C9" s="20"/>
      <c r="D9" s="18"/>
      <c r="E9" s="21"/>
      <c r="F9" s="18"/>
      <c r="G9" s="22"/>
      <c r="H9" s="18"/>
      <c r="I9" s="18"/>
      <c r="J9" s="18"/>
      <c r="K9" s="8"/>
      <c r="L9" s="8"/>
      <c r="M9" s="8"/>
      <c r="N9" s="8"/>
      <c r="O9" s="8"/>
      <c r="P9" s="8"/>
      <c r="Q9" s="1"/>
      <c r="R9" s="1"/>
    </row>
    <row r="10" spans="1:19" ht="18" customHeight="1" collapsed="1">
      <c r="A10" s="14" t="b">
        <v>1</v>
      </c>
      <c r="B10" s="8"/>
      <c r="C10" s="23"/>
      <c r="D10" s="23"/>
      <c r="E10" s="24"/>
      <c r="F10" s="23"/>
      <c r="G10" s="23"/>
      <c r="H10" s="23"/>
      <c r="I10" s="23"/>
      <c r="J10" s="23"/>
      <c r="K10" s="23"/>
      <c r="L10" s="23"/>
      <c r="M10" s="23"/>
      <c r="N10" s="23"/>
      <c r="O10" s="23"/>
      <c r="P10" s="8"/>
      <c r="Q10" s="1"/>
      <c r="R10" s="1"/>
    </row>
    <row r="11" spans="1:19" ht="15" hidden="1" customHeight="1">
      <c r="A11" s="14" t="b">
        <v>0</v>
      </c>
      <c r="B11" s="8"/>
      <c r="C11" s="25"/>
      <c r="D11" s="26"/>
      <c r="E11" s="20" t="s">
        <v>10</v>
      </c>
      <c r="F11" s="22"/>
      <c r="G11" s="18"/>
      <c r="H11" s="8"/>
      <c r="I11" s="8"/>
      <c r="J11" s="8"/>
      <c r="K11" s="8"/>
      <c r="L11" s="8"/>
      <c r="M11" s="8"/>
      <c r="N11" s="8"/>
      <c r="O11" s="8"/>
      <c r="P11" s="1"/>
      <c r="Q11" s="1"/>
      <c r="R11" s="1"/>
      <c r="S11" s="7"/>
    </row>
    <row r="12" spans="1:19" ht="15" hidden="1" customHeight="1">
      <c r="A12" s="14" t="b">
        <f t="shared" ref="A12:A30" si="0">$A$11</f>
        <v>0</v>
      </c>
      <c r="B12" s="8"/>
      <c r="C12" s="25"/>
      <c r="D12" s="27"/>
      <c r="E12" s="20" t="s">
        <v>11</v>
      </c>
      <c r="F12" s="22"/>
      <c r="G12" s="18"/>
      <c r="H12" s="8"/>
      <c r="I12" s="8"/>
      <c r="J12" s="8"/>
      <c r="K12" s="8"/>
      <c r="L12" s="8"/>
      <c r="M12" s="8"/>
      <c r="N12" s="8"/>
      <c r="O12" s="8"/>
      <c r="P12" s="1"/>
      <c r="Q12" s="1"/>
      <c r="R12" s="1"/>
      <c r="S12" s="7"/>
    </row>
    <row r="13" spans="1:19" ht="15" hidden="1" customHeight="1">
      <c r="A13" s="14" t="b">
        <f t="shared" si="0"/>
        <v>0</v>
      </c>
      <c r="B13" s="8"/>
      <c r="C13" s="25"/>
      <c r="D13" s="26"/>
      <c r="E13" s="20" t="s">
        <v>12</v>
      </c>
      <c r="F13" s="22"/>
      <c r="G13" s="18"/>
      <c r="H13" s="8"/>
      <c r="I13" s="8"/>
      <c r="J13" s="8"/>
      <c r="K13" s="8"/>
      <c r="L13" s="8"/>
      <c r="M13" s="8"/>
      <c r="N13" s="8"/>
      <c r="O13" s="8"/>
      <c r="P13" s="1"/>
      <c r="Q13" s="1"/>
      <c r="R13" s="1"/>
      <c r="S13" s="7"/>
    </row>
    <row r="14" spans="1:19" ht="15" hidden="1" customHeight="1">
      <c r="A14" s="14" t="b">
        <f t="shared" si="0"/>
        <v>0</v>
      </c>
      <c r="B14" s="8"/>
      <c r="C14" s="25"/>
      <c r="D14" s="26"/>
      <c r="E14" s="20" t="s">
        <v>13</v>
      </c>
      <c r="F14" s="22"/>
      <c r="G14" s="18"/>
      <c r="H14" s="8"/>
      <c r="I14" s="8"/>
      <c r="J14" s="8"/>
      <c r="K14" s="8"/>
      <c r="L14" s="8"/>
      <c r="M14" s="8"/>
      <c r="N14" s="8"/>
      <c r="O14" s="8"/>
      <c r="P14" s="1"/>
      <c r="Q14" s="1"/>
      <c r="R14" s="1"/>
      <c r="S14" s="7"/>
    </row>
    <row r="15" spans="1:19" ht="15" hidden="1" customHeight="1">
      <c r="A15" s="14" t="b">
        <f t="shared" si="0"/>
        <v>0</v>
      </c>
      <c r="B15" s="8"/>
      <c r="C15" s="25"/>
      <c r="D15" s="26"/>
      <c r="E15" s="20" t="s">
        <v>14</v>
      </c>
      <c r="F15" s="22"/>
      <c r="G15" s="18"/>
      <c r="H15" s="8"/>
      <c r="I15" s="8"/>
      <c r="J15" s="8"/>
      <c r="K15" s="8"/>
      <c r="L15" s="8"/>
      <c r="M15" s="8"/>
      <c r="N15" s="8"/>
      <c r="O15" s="8"/>
      <c r="P15" s="1"/>
      <c r="Q15" s="1"/>
      <c r="R15" s="1"/>
      <c r="S15" s="7"/>
    </row>
    <row r="16" spans="1:19" ht="15" hidden="1" customHeight="1">
      <c r="A16" s="14" t="b">
        <f t="shared" si="0"/>
        <v>0</v>
      </c>
      <c r="B16" s="8"/>
      <c r="C16" s="25"/>
      <c r="D16" s="26"/>
      <c r="E16" s="20" t="s">
        <v>15</v>
      </c>
      <c r="F16" s="22"/>
      <c r="G16" s="18"/>
      <c r="H16" s="8"/>
      <c r="I16" s="8"/>
      <c r="J16" s="8"/>
      <c r="K16" s="8"/>
      <c r="L16" s="8"/>
      <c r="M16" s="8"/>
      <c r="N16" s="8"/>
      <c r="O16" s="8"/>
      <c r="P16" s="1"/>
      <c r="Q16" s="1"/>
      <c r="R16" s="1"/>
      <c r="S16" s="7"/>
    </row>
    <row r="17" spans="1:19" ht="15" hidden="1" customHeight="1">
      <c r="A17" s="14" t="b">
        <f t="shared" si="0"/>
        <v>0</v>
      </c>
      <c r="B17" s="8"/>
      <c r="C17" s="25"/>
      <c r="D17" s="27"/>
      <c r="E17" s="20" t="s">
        <v>16</v>
      </c>
      <c r="F17" s="22"/>
      <c r="G17" s="18"/>
      <c r="H17" s="8"/>
      <c r="I17" s="8"/>
      <c r="J17" s="8"/>
      <c r="K17" s="8"/>
      <c r="L17" s="8"/>
      <c r="M17" s="8"/>
      <c r="N17" s="8"/>
      <c r="O17" s="8"/>
      <c r="P17" s="1"/>
      <c r="Q17" s="1"/>
      <c r="R17" s="1"/>
      <c r="S17" s="7"/>
    </row>
    <row r="18" spans="1:19" ht="15" hidden="1" customHeight="1">
      <c r="A18" s="14" t="b">
        <f t="shared" si="0"/>
        <v>0</v>
      </c>
      <c r="B18" s="8"/>
      <c r="C18" s="25"/>
      <c r="D18" s="27"/>
      <c r="E18" s="20" t="s">
        <v>17</v>
      </c>
      <c r="F18" s="22"/>
      <c r="G18" s="18"/>
      <c r="H18" s="8"/>
      <c r="I18" s="8"/>
      <c r="J18" s="8"/>
      <c r="K18" s="8"/>
      <c r="L18" s="8"/>
      <c r="M18" s="8"/>
      <c r="N18" s="8"/>
      <c r="O18" s="8"/>
      <c r="P18" s="1"/>
      <c r="Q18" s="1"/>
      <c r="R18" s="1"/>
      <c r="S18" s="7"/>
    </row>
    <row r="19" spans="1:19" ht="15" hidden="1" customHeight="1">
      <c r="A19" s="14" t="b">
        <f t="shared" si="0"/>
        <v>0</v>
      </c>
      <c r="B19" s="8"/>
      <c r="C19" s="25"/>
      <c r="D19" s="26"/>
      <c r="E19" s="20" t="s">
        <v>18</v>
      </c>
      <c r="F19" s="22"/>
      <c r="G19" s="18"/>
      <c r="H19" s="8"/>
      <c r="I19" s="8"/>
      <c r="J19" s="8"/>
      <c r="K19" s="8"/>
      <c r="L19" s="8"/>
      <c r="M19" s="8"/>
      <c r="N19" s="8"/>
      <c r="O19" s="8"/>
      <c r="P19" s="1"/>
      <c r="Q19" s="1"/>
      <c r="R19" s="1"/>
      <c r="S19" s="7"/>
    </row>
    <row r="20" spans="1:19" ht="15" hidden="1" customHeight="1">
      <c r="A20" s="14" t="b">
        <f t="shared" si="0"/>
        <v>0</v>
      </c>
      <c r="B20" s="8"/>
      <c r="C20" s="25"/>
      <c r="D20" s="26"/>
      <c r="E20" s="20" t="s">
        <v>19</v>
      </c>
      <c r="F20" s="22"/>
      <c r="G20" s="18"/>
      <c r="H20" s="8"/>
      <c r="I20" s="8"/>
      <c r="J20" s="8"/>
      <c r="K20" s="8"/>
      <c r="L20" s="8"/>
      <c r="M20" s="8"/>
      <c r="N20" s="8"/>
      <c r="O20" s="8"/>
      <c r="P20" s="1"/>
      <c r="Q20" s="1"/>
      <c r="R20" s="1"/>
      <c r="S20" s="7"/>
    </row>
    <row r="21" spans="1:19" ht="15" hidden="1" customHeight="1">
      <c r="A21" s="14" t="b">
        <f t="shared" si="0"/>
        <v>0</v>
      </c>
      <c r="B21" s="8"/>
      <c r="C21" s="25"/>
      <c r="D21" s="27"/>
      <c r="E21" s="20" t="s">
        <v>20</v>
      </c>
      <c r="F21" s="22"/>
      <c r="G21" s="18"/>
      <c r="H21" s="8"/>
      <c r="I21" s="8"/>
      <c r="J21" s="8"/>
      <c r="K21" s="8"/>
      <c r="L21" s="8"/>
      <c r="M21" s="8"/>
      <c r="N21" s="8"/>
      <c r="O21" s="8"/>
      <c r="P21" s="1"/>
      <c r="Q21" s="1"/>
      <c r="R21" s="1"/>
      <c r="S21" s="7"/>
    </row>
    <row r="22" spans="1:19" ht="15" hidden="1" customHeight="1">
      <c r="A22" s="14" t="b">
        <f t="shared" si="0"/>
        <v>0</v>
      </c>
      <c r="B22" s="8"/>
      <c r="C22" s="25"/>
      <c r="D22" s="26"/>
      <c r="E22" s="20" t="s">
        <v>21</v>
      </c>
      <c r="F22" s="22"/>
      <c r="G22" s="18"/>
      <c r="H22" s="8"/>
      <c r="I22" s="8"/>
      <c r="J22" s="8"/>
      <c r="K22" s="8"/>
      <c r="L22" s="8"/>
      <c r="M22" s="8"/>
      <c r="N22" s="8"/>
      <c r="O22" s="8"/>
      <c r="P22" s="1"/>
      <c r="Q22" s="1"/>
      <c r="R22" s="1"/>
      <c r="S22" s="7"/>
    </row>
    <row r="23" spans="1:19" ht="15" hidden="1" customHeight="1">
      <c r="A23" s="14" t="b">
        <f t="shared" si="0"/>
        <v>0</v>
      </c>
      <c r="B23" s="8"/>
      <c r="C23" s="25"/>
      <c r="D23" s="27"/>
      <c r="E23" s="20" t="s">
        <v>22</v>
      </c>
      <c r="F23" s="22"/>
      <c r="G23" s="18"/>
      <c r="H23" s="8"/>
      <c r="I23" s="8"/>
      <c r="J23" s="8"/>
      <c r="K23" s="8"/>
      <c r="L23" s="8"/>
      <c r="M23" s="8"/>
      <c r="N23" s="8"/>
      <c r="O23" s="8"/>
      <c r="P23" s="1"/>
      <c r="Q23" s="1"/>
      <c r="R23" s="1"/>
      <c r="S23" s="7"/>
    </row>
    <row r="24" spans="1:19" ht="15" hidden="1" customHeight="1">
      <c r="A24" s="14" t="b">
        <f t="shared" si="0"/>
        <v>0</v>
      </c>
      <c r="B24" s="8"/>
      <c r="C24" s="25"/>
      <c r="D24" s="27"/>
      <c r="E24" s="20" t="s">
        <v>23</v>
      </c>
      <c r="F24" s="22"/>
      <c r="G24" s="18"/>
      <c r="H24" s="8"/>
      <c r="I24" s="8"/>
      <c r="J24" s="8"/>
      <c r="K24" s="8"/>
      <c r="L24" s="8"/>
      <c r="M24" s="8"/>
      <c r="N24" s="8"/>
      <c r="O24" s="8"/>
      <c r="P24" s="1"/>
      <c r="Q24" s="1"/>
      <c r="R24" s="1"/>
      <c r="S24" s="7"/>
    </row>
    <row r="25" spans="1:19" ht="15" hidden="1" customHeight="1">
      <c r="A25" s="14" t="b">
        <f t="shared" si="0"/>
        <v>0</v>
      </c>
      <c r="B25" s="8"/>
      <c r="C25" s="25"/>
      <c r="D25" s="27"/>
      <c r="E25" s="20" t="s">
        <v>24</v>
      </c>
      <c r="F25" s="22"/>
      <c r="G25" s="18"/>
      <c r="H25" s="8"/>
      <c r="I25" s="8"/>
      <c r="J25" s="8"/>
      <c r="K25" s="8"/>
      <c r="L25" s="8"/>
      <c r="M25" s="8"/>
      <c r="N25" s="8"/>
      <c r="O25" s="8"/>
      <c r="P25" s="1"/>
      <c r="Q25" s="1"/>
      <c r="R25" s="1"/>
      <c r="S25" s="7"/>
    </row>
    <row r="26" spans="1:19" ht="15" hidden="1" customHeight="1">
      <c r="A26" s="14" t="b">
        <f t="shared" si="0"/>
        <v>0</v>
      </c>
      <c r="B26" s="8"/>
      <c r="C26" s="25"/>
      <c r="D26" s="27"/>
      <c r="E26" s="20" t="s">
        <v>25</v>
      </c>
      <c r="F26" s="22"/>
      <c r="G26" s="18"/>
      <c r="H26" s="8"/>
      <c r="I26" s="8"/>
      <c r="J26" s="8"/>
      <c r="K26" s="8"/>
      <c r="L26" s="8"/>
      <c r="M26" s="8"/>
      <c r="N26" s="8"/>
      <c r="O26" s="8"/>
      <c r="P26" s="1"/>
      <c r="Q26" s="1"/>
      <c r="R26" s="1"/>
      <c r="S26" s="7"/>
    </row>
    <row r="27" spans="1:19" ht="15" hidden="1" customHeight="1">
      <c r="A27" s="14" t="b">
        <f t="shared" si="0"/>
        <v>0</v>
      </c>
      <c r="B27" s="8"/>
      <c r="C27" s="25"/>
      <c r="D27" s="26"/>
      <c r="E27" s="20" t="s">
        <v>26</v>
      </c>
      <c r="F27" s="22"/>
      <c r="G27" s="18"/>
      <c r="H27" s="8"/>
      <c r="I27" s="8"/>
      <c r="J27" s="8"/>
      <c r="K27" s="8"/>
      <c r="L27" s="8"/>
      <c r="M27" s="8"/>
      <c r="N27" s="8"/>
      <c r="O27" s="8"/>
      <c r="P27" s="1"/>
      <c r="Q27" s="1"/>
      <c r="R27" s="1"/>
      <c r="S27" s="7"/>
    </row>
    <row r="28" spans="1:19" ht="15" hidden="1" customHeight="1">
      <c r="A28" s="14" t="b">
        <f t="shared" si="0"/>
        <v>0</v>
      </c>
      <c r="B28" s="8"/>
      <c r="C28" s="25"/>
      <c r="D28" s="27"/>
      <c r="E28" s="20" t="s">
        <v>27</v>
      </c>
      <c r="F28" s="22"/>
      <c r="G28" s="18"/>
      <c r="H28" s="8"/>
      <c r="I28" s="8"/>
      <c r="J28" s="8"/>
      <c r="K28" s="8"/>
      <c r="L28" s="8"/>
      <c r="M28" s="8"/>
      <c r="N28" s="8"/>
      <c r="O28" s="8"/>
      <c r="P28" s="1"/>
      <c r="Q28" s="1"/>
      <c r="R28" s="1"/>
      <c r="S28" s="7"/>
    </row>
    <row r="29" spans="1:19" ht="15" hidden="1" customHeight="1">
      <c r="A29" s="14" t="b">
        <f t="shared" si="0"/>
        <v>0</v>
      </c>
      <c r="B29" s="8"/>
      <c r="C29" s="25"/>
      <c r="D29" s="27"/>
      <c r="E29" s="20" t="s">
        <v>28</v>
      </c>
      <c r="F29" s="22"/>
      <c r="G29" s="18"/>
      <c r="H29" s="8"/>
      <c r="I29" s="8"/>
      <c r="J29" s="8"/>
      <c r="K29" s="8"/>
      <c r="L29" s="8"/>
      <c r="M29" s="8"/>
      <c r="N29" s="8"/>
      <c r="O29" s="8"/>
      <c r="P29" s="1"/>
      <c r="Q29" s="1"/>
      <c r="R29" s="1"/>
      <c r="S29" s="7"/>
    </row>
    <row r="30" spans="1:19" ht="24.95" hidden="1" customHeight="1">
      <c r="A30" s="14" t="b">
        <f t="shared" si="0"/>
        <v>0</v>
      </c>
      <c r="B30" s="8"/>
      <c r="C30" s="25"/>
      <c r="D30" s="27"/>
      <c r="E30" s="20" t="s">
        <v>29</v>
      </c>
      <c r="F30" s="22"/>
      <c r="G30" s="18"/>
      <c r="H30" s="8"/>
      <c r="I30" s="8"/>
      <c r="J30" s="8"/>
      <c r="K30" s="8"/>
      <c r="L30" s="8"/>
      <c r="M30" s="8"/>
      <c r="N30" s="8"/>
      <c r="O30" s="8"/>
      <c r="P30" s="1"/>
      <c r="Q30" s="1"/>
      <c r="R30" s="1"/>
      <c r="S30" s="7"/>
    </row>
    <row r="31" spans="1:19" ht="15.95" hidden="1" customHeight="1">
      <c r="A31" s="14" t="b">
        <f>$A$11</f>
        <v>0</v>
      </c>
      <c r="B31" s="8"/>
      <c r="C31" s="25"/>
      <c r="D31" s="27"/>
      <c r="E31" s="20" t="s">
        <v>30</v>
      </c>
      <c r="F31" s="22"/>
      <c r="G31" s="18"/>
      <c r="H31" s="8"/>
      <c r="I31" s="8"/>
      <c r="J31" s="8"/>
      <c r="K31" s="8"/>
      <c r="L31" s="8"/>
      <c r="M31" s="8"/>
      <c r="N31" s="8"/>
      <c r="O31" s="8"/>
      <c r="P31" s="1"/>
      <c r="Q31" s="1"/>
      <c r="R31" s="1"/>
      <c r="S31" s="7"/>
    </row>
    <row r="32" spans="1:19" ht="29.1" hidden="1" customHeight="1">
      <c r="A32" s="14" t="b">
        <f>$A$11</f>
        <v>0</v>
      </c>
      <c r="B32" s="8"/>
      <c r="C32" s="25"/>
      <c r="D32" s="27"/>
      <c r="E32" s="20" t="s">
        <v>31</v>
      </c>
      <c r="F32" s="22"/>
      <c r="G32" s="18"/>
      <c r="H32" s="8"/>
      <c r="I32" s="8"/>
      <c r="J32" s="8"/>
      <c r="K32" s="8"/>
      <c r="L32" s="8"/>
      <c r="M32" s="8"/>
      <c r="N32" s="8"/>
      <c r="O32" s="8"/>
      <c r="P32" s="1"/>
      <c r="Q32" s="1"/>
      <c r="R32" s="1"/>
      <c r="S32" s="7"/>
    </row>
    <row r="33" spans="1:21" ht="15" customHeight="1" collapsed="1">
      <c r="A33" s="14" t="b">
        <v>1</v>
      </c>
      <c r="B33" s="8"/>
      <c r="C33" s="28"/>
      <c r="D33" s="18"/>
      <c r="E33" s="21"/>
      <c r="F33" s="18"/>
      <c r="G33" s="22"/>
      <c r="H33" s="18"/>
      <c r="I33" s="18"/>
      <c r="J33" s="18"/>
      <c r="K33" s="8"/>
      <c r="L33" s="8"/>
      <c r="M33" s="8"/>
      <c r="N33" s="8"/>
      <c r="O33" s="8"/>
      <c r="P33" s="8"/>
      <c r="Q33" s="1"/>
      <c r="R33" s="1"/>
    </row>
    <row r="34" spans="1:21" ht="129.94999999999999" customHeight="1">
      <c r="A34" s="14" t="b">
        <v>1</v>
      </c>
      <c r="B34" s="8"/>
      <c r="C34" s="29">
        <v>1.1000000000000001</v>
      </c>
      <c r="D34" s="18"/>
      <c r="E34" s="30" t="s">
        <v>360</v>
      </c>
      <c r="F34" s="18"/>
      <c r="G34" s="31"/>
      <c r="H34" s="18"/>
      <c r="I34" s="32"/>
      <c r="J34" s="18"/>
      <c r="K34" s="32"/>
      <c r="L34" s="8"/>
      <c r="M34" s="32"/>
      <c r="N34" s="33" t="b">
        <v>0</v>
      </c>
      <c r="O34" s="32"/>
      <c r="P34" s="33"/>
      <c r="Q34" s="14" t="b">
        <v>0</v>
      </c>
      <c r="R34" s="14" t="b">
        <v>0</v>
      </c>
      <c r="S34" s="34" t="b">
        <v>0</v>
      </c>
      <c r="T34" s="35" t="b">
        <v>0</v>
      </c>
      <c r="U34" s="35" t="b">
        <v>0</v>
      </c>
    </row>
    <row r="35" spans="1:21" ht="6" hidden="1" customHeight="1">
      <c r="A35" s="14" t="b">
        <v>0</v>
      </c>
      <c r="B35" s="8"/>
      <c r="C35" s="16"/>
      <c r="D35" s="21"/>
      <c r="E35" s="36"/>
      <c r="F35" s="21"/>
      <c r="G35" s="21"/>
      <c r="H35" s="21"/>
      <c r="I35" s="8"/>
      <c r="J35" s="21"/>
      <c r="K35" s="8"/>
      <c r="L35" s="8"/>
      <c r="M35" s="8"/>
      <c r="N35" s="8"/>
      <c r="O35" s="8"/>
      <c r="P35" s="8"/>
      <c r="Q35" s="1"/>
      <c r="R35" s="1"/>
    </row>
    <row r="36" spans="1:21" ht="60" hidden="1" customHeight="1">
      <c r="A36" s="14" t="b">
        <f>A35</f>
        <v>0</v>
      </c>
      <c r="B36" s="8"/>
      <c r="C36" s="29" t="s">
        <v>32</v>
      </c>
      <c r="D36" s="21"/>
      <c r="E36" s="37" t="s">
        <v>33</v>
      </c>
      <c r="F36" s="21"/>
      <c r="G36" s="38"/>
      <c r="H36" s="21"/>
      <c r="I36" s="32"/>
      <c r="J36" s="21"/>
      <c r="K36" s="32"/>
      <c r="L36" s="8"/>
      <c r="M36" s="32"/>
      <c r="N36" s="8"/>
      <c r="O36" s="32"/>
      <c r="P36" s="8"/>
      <c r="Q36" s="14"/>
      <c r="R36" s="14"/>
    </row>
    <row r="37" spans="1:21" ht="6" customHeight="1">
      <c r="A37" s="14" t="b">
        <v>1</v>
      </c>
      <c r="B37" s="8"/>
      <c r="C37" s="16"/>
      <c r="D37" s="21"/>
      <c r="E37" s="36"/>
      <c r="F37" s="21"/>
      <c r="G37" s="21"/>
      <c r="H37" s="21"/>
      <c r="I37" s="8"/>
      <c r="J37" s="21"/>
      <c r="K37" s="8"/>
      <c r="L37" s="8"/>
      <c r="M37" s="8"/>
      <c r="N37" s="8"/>
      <c r="O37" s="8"/>
      <c r="P37" s="8"/>
      <c r="Q37" s="14"/>
      <c r="R37" s="14"/>
    </row>
    <row r="38" spans="1:21" ht="60" customHeight="1">
      <c r="A38" s="14" t="b">
        <v>1</v>
      </c>
      <c r="B38" s="8"/>
      <c r="C38" s="19">
        <v>1.2</v>
      </c>
      <c r="D38" s="21"/>
      <c r="E38" s="30" t="s">
        <v>34</v>
      </c>
      <c r="F38" s="21"/>
      <c r="G38" s="38"/>
      <c r="H38" s="21"/>
      <c r="I38" s="39"/>
      <c r="J38" s="21"/>
      <c r="K38" s="39"/>
      <c r="L38" s="8"/>
      <c r="M38" s="32"/>
      <c r="N38" s="8"/>
      <c r="O38" s="32"/>
      <c r="P38" s="8"/>
      <c r="Q38" s="14"/>
      <c r="R38" s="14"/>
    </row>
    <row r="39" spans="1:21" ht="6" customHeight="1">
      <c r="A39" s="14" t="b">
        <v>1</v>
      </c>
      <c r="B39" s="8"/>
      <c r="C39" s="16"/>
      <c r="D39" s="18"/>
      <c r="E39" s="21"/>
      <c r="F39" s="18"/>
      <c r="G39" s="22"/>
      <c r="H39" s="18"/>
      <c r="I39" s="8"/>
      <c r="J39" s="18"/>
      <c r="K39" s="8"/>
      <c r="L39" s="8"/>
      <c r="M39" s="8"/>
      <c r="N39" s="8"/>
      <c r="O39" s="8"/>
      <c r="P39" s="8"/>
      <c r="Q39" s="14"/>
      <c r="R39" s="14"/>
    </row>
    <row r="40" spans="1:21" ht="60" customHeight="1">
      <c r="A40" s="14" t="b">
        <v>1</v>
      </c>
      <c r="B40" s="8"/>
      <c r="C40" s="19">
        <v>1.3</v>
      </c>
      <c r="D40" s="18"/>
      <c r="E40" s="30" t="s">
        <v>35</v>
      </c>
      <c r="F40" s="18"/>
      <c r="G40" s="40"/>
      <c r="H40" s="21"/>
      <c r="I40" s="40"/>
      <c r="J40" s="21"/>
      <c r="K40" s="40"/>
      <c r="L40" s="8"/>
      <c r="M40" s="32"/>
      <c r="N40" s="8"/>
      <c r="O40" s="32"/>
      <c r="P40" s="8"/>
      <c r="Q40" s="14"/>
      <c r="R40" s="14"/>
    </row>
    <row r="41" spans="1:21" ht="6" customHeight="1">
      <c r="A41" s="14" t="b">
        <v>1</v>
      </c>
      <c r="B41" s="8"/>
      <c r="C41" s="16"/>
      <c r="D41" s="18"/>
      <c r="E41" s="21"/>
      <c r="F41" s="18"/>
      <c r="G41" s="22"/>
      <c r="H41" s="18"/>
      <c r="I41" s="18"/>
      <c r="J41" s="18"/>
      <c r="K41" s="8"/>
      <c r="L41" s="8"/>
      <c r="M41" s="8"/>
      <c r="N41" s="8"/>
      <c r="O41" s="8"/>
      <c r="P41" s="8"/>
      <c r="Q41" s="14"/>
      <c r="R41" s="14"/>
    </row>
    <row r="42" spans="1:21" ht="60" customHeight="1">
      <c r="A42" s="14" t="b">
        <v>1</v>
      </c>
      <c r="B42" s="8"/>
      <c r="C42" s="16">
        <v>1.4</v>
      </c>
      <c r="D42" s="18"/>
      <c r="E42" s="30" t="s">
        <v>36</v>
      </c>
      <c r="F42" s="18"/>
      <c r="G42" s="275"/>
      <c r="H42" s="276"/>
      <c r="I42" s="276"/>
      <c r="J42" s="276"/>
      <c r="K42" s="277"/>
      <c r="L42" s="8"/>
      <c r="M42" s="137"/>
      <c r="N42" s="8"/>
      <c r="O42" s="137"/>
      <c r="P42" s="8"/>
      <c r="Q42" s="14"/>
      <c r="R42" s="14"/>
    </row>
    <row r="43" spans="1:21" ht="15" customHeight="1" thickBot="1">
      <c r="A43" s="14" t="b">
        <v>1</v>
      </c>
      <c r="B43" s="8"/>
      <c r="C43" s="41"/>
      <c r="D43" s="18"/>
      <c r="E43" s="21"/>
      <c r="F43" s="18"/>
      <c r="G43" s="22"/>
      <c r="H43" s="18"/>
      <c r="I43" s="18"/>
      <c r="J43" s="18"/>
      <c r="K43" s="8"/>
      <c r="L43" s="8"/>
      <c r="M43" s="8"/>
      <c r="N43" s="8"/>
      <c r="O43" s="8"/>
      <c r="P43" s="8"/>
      <c r="Q43" s="14"/>
      <c r="R43" s="14"/>
    </row>
    <row r="44" spans="1:21" ht="15" customHeight="1" collapsed="1">
      <c r="A44" s="14" t="b">
        <v>1</v>
      </c>
      <c r="B44" s="8"/>
      <c r="C44" s="42"/>
      <c r="D44" s="43"/>
      <c r="E44" s="44"/>
      <c r="F44" s="43"/>
      <c r="G44" s="45"/>
      <c r="H44" s="43"/>
      <c r="I44" s="43"/>
      <c r="J44" s="43"/>
      <c r="K44" s="46"/>
      <c r="L44" s="46"/>
      <c r="M44" s="46"/>
      <c r="N44" s="46"/>
      <c r="O44" s="46"/>
      <c r="P44" s="8"/>
      <c r="Q44" s="14"/>
      <c r="R44" s="14"/>
    </row>
    <row r="45" spans="1:21" ht="15" customHeight="1">
      <c r="A45" s="14" t="b">
        <v>1</v>
      </c>
      <c r="B45" s="8"/>
      <c r="C45" s="15" t="s">
        <v>37</v>
      </c>
      <c r="D45" s="16"/>
      <c r="E45" s="17" t="s">
        <v>38</v>
      </c>
      <c r="F45" s="18"/>
      <c r="G45" s="17" t="str">
        <f>G$7</f>
        <v>Answer</v>
      </c>
      <c r="H45" s="18"/>
      <c r="I45" s="17" t="s">
        <v>7</v>
      </c>
      <c r="J45" s="18"/>
      <c r="K45" s="17" t="str">
        <f>K$7</f>
        <v>General Comments</v>
      </c>
      <c r="L45" s="8"/>
      <c r="M45" s="273" t="s">
        <v>290</v>
      </c>
      <c r="N45" s="8"/>
      <c r="O45" s="274" t="s">
        <v>291</v>
      </c>
      <c r="P45" s="8"/>
      <c r="Q45" s="14"/>
      <c r="R45" s="14"/>
    </row>
    <row r="46" spans="1:21" ht="15" customHeight="1">
      <c r="A46" s="14" t="b">
        <v>1</v>
      </c>
      <c r="B46" s="8"/>
      <c r="C46" s="19"/>
      <c r="D46" s="16"/>
      <c r="E46" s="17"/>
      <c r="F46" s="18"/>
      <c r="G46" s="17"/>
      <c r="H46" s="18"/>
      <c r="I46" s="17"/>
      <c r="J46" s="18"/>
      <c r="K46" s="17"/>
      <c r="L46" s="8"/>
      <c r="M46" s="273"/>
      <c r="N46" s="8"/>
      <c r="O46" s="274"/>
      <c r="P46" s="8"/>
      <c r="Q46" s="14"/>
      <c r="R46" s="14"/>
    </row>
    <row r="47" spans="1:21" ht="6" customHeight="1">
      <c r="A47" s="14" t="b">
        <v>1</v>
      </c>
      <c r="B47" s="8"/>
      <c r="C47" s="20"/>
      <c r="D47" s="18"/>
      <c r="E47" s="21"/>
      <c r="F47" s="18"/>
      <c r="G47" s="22"/>
      <c r="H47" s="18"/>
      <c r="I47" s="18"/>
      <c r="J47" s="18"/>
      <c r="K47" s="8"/>
      <c r="L47" s="8"/>
      <c r="M47" s="47"/>
      <c r="N47" s="8"/>
      <c r="O47" s="8"/>
      <c r="P47" s="8"/>
      <c r="Q47" s="14"/>
      <c r="R47" s="14"/>
    </row>
    <row r="48" spans="1:21" ht="18" customHeight="1" collapsed="1">
      <c r="A48" s="14" t="b">
        <v>1</v>
      </c>
      <c r="B48" s="8"/>
      <c r="C48" s="23"/>
      <c r="D48" s="23"/>
      <c r="E48" s="24"/>
      <c r="F48" s="23"/>
      <c r="G48" s="23"/>
      <c r="H48" s="23"/>
      <c r="I48" s="23"/>
      <c r="J48" s="23"/>
      <c r="K48" s="23"/>
      <c r="L48" s="23"/>
      <c r="M48" s="48"/>
      <c r="N48" s="23"/>
      <c r="O48" s="23"/>
      <c r="P48" s="8"/>
      <c r="Q48" s="14"/>
      <c r="R48" s="14"/>
    </row>
    <row r="49" spans="1:21" ht="15" hidden="1" customHeight="1">
      <c r="A49" s="14" t="b">
        <v>1</v>
      </c>
      <c r="B49" s="8"/>
      <c r="C49" s="23"/>
      <c r="D49" s="49"/>
      <c r="E49" s="20" t="s">
        <v>14</v>
      </c>
      <c r="F49" s="22"/>
      <c r="G49" s="18"/>
      <c r="H49" s="8"/>
      <c r="I49" s="8"/>
      <c r="J49" s="8"/>
      <c r="K49" s="8"/>
      <c r="L49" s="8"/>
      <c r="M49" s="47"/>
      <c r="N49" s="8"/>
      <c r="O49" s="8"/>
      <c r="P49" s="1"/>
      <c r="Q49" s="14"/>
      <c r="R49" s="14"/>
      <c r="S49" s="7"/>
    </row>
    <row r="50" spans="1:21" ht="15" hidden="1" customHeight="1">
      <c r="A50" s="14" t="b">
        <f>$A$49</f>
        <v>1</v>
      </c>
      <c r="B50" s="8"/>
      <c r="C50" s="25"/>
      <c r="D50" s="26"/>
      <c r="E50" s="20" t="s">
        <v>21</v>
      </c>
      <c r="F50" s="22"/>
      <c r="G50" s="18"/>
      <c r="H50" s="8"/>
      <c r="I50" s="8"/>
      <c r="J50" s="8"/>
      <c r="K50" s="8"/>
      <c r="L50" s="8"/>
      <c r="M50" s="47"/>
      <c r="N50" s="8"/>
      <c r="O50" s="8"/>
      <c r="P50" s="1"/>
      <c r="Q50" s="14"/>
      <c r="R50" s="14"/>
      <c r="S50" s="7"/>
    </row>
    <row r="51" spans="1:21" ht="15" hidden="1" customHeight="1">
      <c r="A51" s="14" t="b">
        <f>$A$49</f>
        <v>1</v>
      </c>
      <c r="B51" s="8"/>
      <c r="C51" s="25"/>
      <c r="D51" s="27"/>
      <c r="E51" s="20" t="s">
        <v>39</v>
      </c>
      <c r="F51" s="22"/>
      <c r="G51" s="18"/>
      <c r="H51" s="8"/>
      <c r="I51" s="8"/>
      <c r="J51" s="8"/>
      <c r="K51" s="8"/>
      <c r="L51" s="8"/>
      <c r="M51" s="47"/>
      <c r="N51" s="8"/>
      <c r="O51" s="8"/>
      <c r="P51" s="1"/>
      <c r="Q51" s="14"/>
      <c r="R51" s="14"/>
      <c r="S51" s="7"/>
    </row>
    <row r="52" spans="1:21" ht="15" hidden="1" customHeight="1">
      <c r="A52" s="14" t="b">
        <f>$A$49</f>
        <v>1</v>
      </c>
      <c r="B52" s="8"/>
      <c r="C52" s="25"/>
      <c r="D52" s="27"/>
      <c r="E52" s="20" t="s">
        <v>40</v>
      </c>
      <c r="F52" s="22"/>
      <c r="G52" s="18"/>
      <c r="H52" s="8"/>
      <c r="I52" s="8"/>
      <c r="J52" s="8"/>
      <c r="K52" s="8"/>
      <c r="L52" s="8"/>
      <c r="M52" s="47"/>
      <c r="N52" s="8"/>
      <c r="O52" s="8"/>
      <c r="P52" s="1"/>
      <c r="Q52" s="14"/>
      <c r="R52" s="14"/>
      <c r="S52" s="7"/>
    </row>
    <row r="53" spans="1:21" ht="15" hidden="1" customHeight="1">
      <c r="A53" s="14" t="b">
        <f>A49</f>
        <v>1</v>
      </c>
      <c r="B53" s="8"/>
      <c r="C53" s="25"/>
      <c r="D53" s="27"/>
      <c r="E53" s="20" t="s">
        <v>41</v>
      </c>
      <c r="F53" s="22"/>
      <c r="G53" s="18"/>
      <c r="H53" s="8"/>
      <c r="I53" s="8"/>
      <c r="J53" s="8"/>
      <c r="K53" s="8"/>
      <c r="L53" s="8"/>
      <c r="M53" s="47"/>
      <c r="N53" s="8"/>
      <c r="O53" s="8"/>
      <c r="P53" s="1"/>
      <c r="Q53" s="14"/>
      <c r="R53" s="14"/>
      <c r="S53" s="7"/>
    </row>
    <row r="54" spans="1:21" ht="15" customHeight="1" collapsed="1">
      <c r="A54" s="14" t="b">
        <v>1</v>
      </c>
      <c r="B54" s="8"/>
      <c r="C54" s="16"/>
      <c r="D54" s="18"/>
      <c r="E54" s="21"/>
      <c r="F54" s="18"/>
      <c r="G54" s="22"/>
      <c r="H54" s="18"/>
      <c r="I54" s="18"/>
      <c r="J54" s="18"/>
      <c r="K54" s="8"/>
      <c r="L54" s="8"/>
      <c r="M54" s="47"/>
      <c r="N54" s="8"/>
      <c r="O54" s="8"/>
      <c r="P54" s="8"/>
      <c r="Q54" s="14"/>
      <c r="R54" s="14"/>
    </row>
    <row r="55" spans="1:21" ht="60" customHeight="1">
      <c r="A55" s="14" t="b">
        <v>1</v>
      </c>
      <c r="B55" s="8"/>
      <c r="C55" s="19">
        <v>2.1</v>
      </c>
      <c r="D55" s="18"/>
      <c r="E55" s="30" t="s">
        <v>326</v>
      </c>
      <c r="F55" s="18"/>
      <c r="G55" s="50"/>
      <c r="H55" s="18"/>
      <c r="I55" s="32"/>
      <c r="J55" s="18"/>
      <c r="K55" s="32"/>
      <c r="L55" s="8"/>
      <c r="M55" s="51"/>
      <c r="N55" s="8"/>
      <c r="O55" s="32"/>
      <c r="P55" s="8"/>
      <c r="Q55" s="14"/>
      <c r="R55" s="14"/>
    </row>
    <row r="56" spans="1:21" ht="6" customHeight="1">
      <c r="A56" s="14" t="b">
        <v>1</v>
      </c>
      <c r="B56" s="8"/>
      <c r="C56" s="16"/>
      <c r="D56" s="21"/>
      <c r="E56" s="36"/>
      <c r="F56" s="21"/>
      <c r="G56" s="21"/>
      <c r="H56" s="21"/>
      <c r="I56" s="8"/>
      <c r="J56" s="21"/>
      <c r="K56" s="8"/>
      <c r="L56" s="8"/>
      <c r="M56" s="47"/>
      <c r="N56" s="8"/>
      <c r="O56" s="8"/>
      <c r="P56" s="8"/>
      <c r="Q56" s="14"/>
      <c r="R56" s="14"/>
    </row>
    <row r="57" spans="1:21" ht="60" customHeight="1">
      <c r="A57" s="14" t="b">
        <v>1</v>
      </c>
      <c r="B57" s="8"/>
      <c r="C57" s="19">
        <v>2.2000000000000002</v>
      </c>
      <c r="D57" s="21"/>
      <c r="E57" s="30" t="s">
        <v>42</v>
      </c>
      <c r="F57" s="21"/>
      <c r="G57" s="52"/>
      <c r="H57" s="21"/>
      <c r="I57" s="32"/>
      <c r="J57" s="21"/>
      <c r="K57" s="32"/>
      <c r="L57" s="8"/>
      <c r="M57" s="51"/>
      <c r="N57" s="8"/>
      <c r="O57" s="32"/>
      <c r="P57" s="8"/>
      <c r="Q57" s="14"/>
      <c r="R57" s="14"/>
    </row>
    <row r="58" spans="1:21" ht="6" customHeight="1">
      <c r="A58" s="14" t="b">
        <v>1</v>
      </c>
      <c r="B58" s="8"/>
      <c r="C58" s="16"/>
      <c r="D58" s="21"/>
      <c r="E58" s="36"/>
      <c r="F58" s="21"/>
      <c r="G58" s="21"/>
      <c r="H58" s="21"/>
      <c r="I58" s="8"/>
      <c r="J58" s="21"/>
      <c r="K58" s="8"/>
      <c r="L58" s="8"/>
      <c r="M58" s="47"/>
      <c r="N58" s="8"/>
      <c r="O58" s="8"/>
      <c r="P58" s="8"/>
      <c r="Q58" s="14"/>
      <c r="R58" s="14"/>
    </row>
    <row r="59" spans="1:21" ht="60" customHeight="1">
      <c r="A59" s="14" t="b">
        <v>1</v>
      </c>
      <c r="B59" s="8"/>
      <c r="C59" s="19">
        <v>2.2999999999999998</v>
      </c>
      <c r="D59" s="21"/>
      <c r="E59" s="30" t="s">
        <v>43</v>
      </c>
      <c r="F59" s="21"/>
      <c r="G59" s="52"/>
      <c r="H59" s="21"/>
      <c r="I59" s="32"/>
      <c r="J59" s="21"/>
      <c r="K59" s="32"/>
      <c r="L59" s="8"/>
      <c r="M59" s="51"/>
      <c r="N59" s="8"/>
      <c r="O59" s="32"/>
      <c r="P59" s="8"/>
      <c r="Q59" s="14"/>
      <c r="R59" s="14"/>
    </row>
    <row r="60" spans="1:21" ht="6" customHeight="1">
      <c r="A60" s="14" t="b">
        <v>1</v>
      </c>
      <c r="B60" s="8"/>
      <c r="C60" s="16"/>
      <c r="D60" s="21"/>
      <c r="E60" s="36"/>
      <c r="F60" s="21"/>
      <c r="G60" s="21"/>
      <c r="H60" s="21"/>
      <c r="I60" s="21"/>
      <c r="J60" s="21"/>
      <c r="K60" s="8"/>
      <c r="L60" s="8"/>
      <c r="M60" s="47"/>
      <c r="N60" s="8"/>
      <c r="O60" s="8"/>
      <c r="P60" s="8"/>
      <c r="Q60" s="14"/>
      <c r="R60" s="14"/>
    </row>
    <row r="61" spans="1:21" ht="60" customHeight="1">
      <c r="A61" s="14" t="b">
        <v>1</v>
      </c>
      <c r="B61" s="8"/>
      <c r="C61" s="16">
        <v>2.4</v>
      </c>
      <c r="D61" s="21"/>
      <c r="E61" s="30" t="s">
        <v>44</v>
      </c>
      <c r="F61" s="21"/>
      <c r="G61" s="278"/>
      <c r="H61" s="278"/>
      <c r="I61" s="278"/>
      <c r="J61" s="278"/>
      <c r="K61" s="278"/>
      <c r="L61" s="8"/>
      <c r="M61" s="137"/>
      <c r="N61" s="8"/>
      <c r="O61" s="137"/>
      <c r="P61" s="53"/>
      <c r="Q61" s="54"/>
      <c r="R61" s="55"/>
      <c r="S61" s="56"/>
      <c r="T61" s="57"/>
    </row>
    <row r="62" spans="1:21" ht="15" customHeight="1" thickBot="1">
      <c r="A62" s="14" t="b">
        <v>1</v>
      </c>
      <c r="B62" s="8"/>
      <c r="C62" s="41"/>
      <c r="D62" s="21"/>
      <c r="E62" s="58"/>
      <c r="F62" s="21"/>
      <c r="G62" s="21"/>
      <c r="H62" s="21"/>
      <c r="I62" s="21"/>
      <c r="J62" s="21"/>
      <c r="K62" s="8"/>
      <c r="L62" s="8"/>
      <c r="M62" s="47"/>
      <c r="N62" s="8"/>
      <c r="O62" s="8"/>
      <c r="P62" s="8"/>
      <c r="Q62" s="54"/>
      <c r="R62" s="54"/>
      <c r="S62" s="59"/>
      <c r="T62" s="57"/>
      <c r="U62" s="57"/>
    </row>
    <row r="63" spans="1:21" ht="15" customHeight="1" collapsed="1">
      <c r="A63" s="14" t="b">
        <v>1</v>
      </c>
      <c r="B63" s="8"/>
      <c r="C63" s="42"/>
      <c r="D63" s="44"/>
      <c r="E63" s="60"/>
      <c r="F63" s="44"/>
      <c r="G63" s="44"/>
      <c r="H63" s="44"/>
      <c r="I63" s="44"/>
      <c r="J63" s="44"/>
      <c r="K63" s="46"/>
      <c r="L63" s="46"/>
      <c r="M63" s="61"/>
      <c r="N63" s="46"/>
      <c r="O63" s="46"/>
      <c r="P63" s="8"/>
      <c r="Q63" s="54"/>
      <c r="R63" s="54"/>
      <c r="S63" s="59"/>
      <c r="T63" s="57"/>
      <c r="U63" s="57"/>
    </row>
    <row r="64" spans="1:21" ht="15" customHeight="1">
      <c r="A64" s="14" t="b">
        <v>1</v>
      </c>
      <c r="B64" s="8"/>
      <c r="C64" s="15" t="s">
        <v>45</v>
      </c>
      <c r="D64" s="16"/>
      <c r="E64" s="17" t="s">
        <v>46</v>
      </c>
      <c r="F64" s="62"/>
      <c r="G64" s="17" t="str">
        <f>G$7</f>
        <v>Answer</v>
      </c>
      <c r="H64" s="18"/>
      <c r="I64" s="17" t="s">
        <v>7</v>
      </c>
      <c r="J64" s="18"/>
      <c r="K64" s="17" t="str">
        <f>K$7</f>
        <v>General Comments</v>
      </c>
      <c r="L64" s="8"/>
      <c r="M64" s="273" t="s">
        <v>290</v>
      </c>
      <c r="N64" s="8"/>
      <c r="O64" s="274" t="s">
        <v>291</v>
      </c>
      <c r="P64" s="8"/>
      <c r="Q64" s="280"/>
      <c r="R64" s="280"/>
      <c r="S64" s="63"/>
      <c r="T64" s="279"/>
      <c r="U64" s="279"/>
    </row>
    <row r="65" spans="1:21" ht="15" customHeight="1">
      <c r="A65" s="14" t="b">
        <v>1</v>
      </c>
      <c r="B65" s="8"/>
      <c r="C65" s="19"/>
      <c r="D65" s="16"/>
      <c r="E65" s="17"/>
      <c r="F65" s="18"/>
      <c r="G65" s="17"/>
      <c r="H65" s="18"/>
      <c r="I65" s="17"/>
      <c r="J65" s="18"/>
      <c r="K65" s="17"/>
      <c r="L65" s="8"/>
      <c r="M65" s="273"/>
      <c r="N65" s="8"/>
      <c r="O65" s="274"/>
      <c r="P65" s="8"/>
      <c r="Q65" s="14"/>
      <c r="R65" s="14"/>
    </row>
    <row r="66" spans="1:21" ht="6" customHeight="1">
      <c r="A66" s="14" t="b">
        <v>1</v>
      </c>
      <c r="B66" s="8"/>
      <c r="C66" s="20"/>
      <c r="D66" s="62"/>
      <c r="E66" s="21"/>
      <c r="F66" s="62"/>
      <c r="G66" s="22"/>
      <c r="H66" s="18"/>
      <c r="I66" s="18"/>
      <c r="J66" s="18"/>
      <c r="K66" s="8"/>
      <c r="L66" s="8"/>
      <c r="M66" s="47"/>
      <c r="N66" s="8"/>
      <c r="O66" s="8"/>
      <c r="P66" s="8"/>
      <c r="Q66" s="64"/>
      <c r="R66" s="64"/>
      <c r="S66" s="63"/>
      <c r="T66" s="65"/>
      <c r="U66" s="65"/>
    </row>
    <row r="67" spans="1:21" ht="18" customHeight="1" collapsed="1">
      <c r="A67" s="14" t="b">
        <v>1</v>
      </c>
      <c r="B67" s="8"/>
      <c r="C67" s="23"/>
      <c r="D67" s="23"/>
      <c r="E67" s="24"/>
      <c r="F67" s="23"/>
      <c r="G67" s="23"/>
      <c r="H67" s="23"/>
      <c r="I67" s="23"/>
      <c r="J67" s="23"/>
      <c r="K67" s="23"/>
      <c r="L67" s="23"/>
      <c r="M67" s="48"/>
      <c r="N67" s="23"/>
      <c r="O67" s="23"/>
      <c r="P67" s="8"/>
      <c r="Q67" s="14"/>
      <c r="R67" s="14"/>
    </row>
    <row r="68" spans="1:21" ht="15" hidden="1" customHeight="1">
      <c r="A68" s="14" t="b">
        <v>0</v>
      </c>
      <c r="B68" s="8"/>
      <c r="C68" s="23"/>
      <c r="D68" s="18"/>
      <c r="E68" s="20" t="s">
        <v>21</v>
      </c>
      <c r="F68" s="18"/>
      <c r="G68" s="22"/>
      <c r="H68" s="18"/>
      <c r="I68" s="18"/>
      <c r="J68" s="18"/>
      <c r="K68" s="8"/>
      <c r="L68" s="8"/>
      <c r="M68" s="47"/>
      <c r="N68" s="8"/>
      <c r="O68" s="8"/>
      <c r="P68" s="8"/>
      <c r="Q68" s="14"/>
      <c r="R68" s="14"/>
    </row>
    <row r="69" spans="1:21" ht="15" hidden="1" customHeight="1">
      <c r="A69" s="14" t="b">
        <f>A68</f>
        <v>0</v>
      </c>
      <c r="B69" s="8"/>
      <c r="C69" s="23"/>
      <c r="D69" s="18"/>
      <c r="E69" s="20" t="s">
        <v>26</v>
      </c>
      <c r="F69" s="18"/>
      <c r="G69" s="22"/>
      <c r="H69" s="18"/>
      <c r="I69" s="18"/>
      <c r="J69" s="18"/>
      <c r="K69" s="8"/>
      <c r="L69" s="8"/>
      <c r="M69" s="47"/>
      <c r="N69" s="8"/>
      <c r="O69" s="8"/>
      <c r="P69" s="8"/>
      <c r="Q69" s="14"/>
      <c r="R69" s="14"/>
    </row>
    <row r="70" spans="1:21" ht="15" hidden="1" customHeight="1">
      <c r="A70" s="14" t="b">
        <f>A68</f>
        <v>0</v>
      </c>
      <c r="B70" s="8"/>
      <c r="C70" s="23"/>
      <c r="D70" s="18"/>
      <c r="E70" s="20" t="s">
        <v>40</v>
      </c>
      <c r="F70" s="18"/>
      <c r="G70" s="22"/>
      <c r="H70" s="18"/>
      <c r="I70" s="18"/>
      <c r="J70" s="18"/>
      <c r="K70" s="8"/>
      <c r="L70" s="8"/>
      <c r="M70" s="47"/>
      <c r="N70" s="8"/>
      <c r="O70" s="8"/>
      <c r="P70" s="8"/>
      <c r="Q70" s="14"/>
      <c r="R70" s="14"/>
    </row>
    <row r="71" spans="1:21" ht="15.95" customHeight="1" collapsed="1">
      <c r="A71" s="14" t="b">
        <v>1</v>
      </c>
      <c r="B71" s="8"/>
      <c r="C71" s="16"/>
      <c r="D71" s="18"/>
      <c r="E71" s="21"/>
      <c r="F71" s="18"/>
      <c r="G71" s="22"/>
      <c r="H71" s="18"/>
      <c r="I71" s="18"/>
      <c r="J71" s="18"/>
      <c r="K71" s="8"/>
      <c r="L71" s="8"/>
      <c r="M71" s="47"/>
      <c r="N71" s="8"/>
      <c r="O71" s="8"/>
      <c r="P71" s="8"/>
      <c r="Q71" s="14"/>
      <c r="R71" s="14"/>
    </row>
    <row r="72" spans="1:21" ht="60" customHeight="1">
      <c r="A72" s="14" t="b">
        <v>1</v>
      </c>
      <c r="B72" s="8"/>
      <c r="C72" s="19">
        <v>3.1</v>
      </c>
      <c r="D72" s="62"/>
      <c r="E72" s="30" t="s">
        <v>47</v>
      </c>
      <c r="F72" s="62"/>
      <c r="G72" s="38"/>
      <c r="H72" s="18"/>
      <c r="I72" s="32"/>
      <c r="J72" s="18"/>
      <c r="K72" s="32"/>
      <c r="L72" s="8"/>
      <c r="M72" s="51"/>
      <c r="N72" s="8"/>
      <c r="O72" s="32"/>
      <c r="P72" s="8"/>
      <c r="Q72" s="66"/>
      <c r="R72" s="14"/>
      <c r="S72" s="67"/>
      <c r="T72" s="68"/>
      <c r="U72" s="69"/>
    </row>
    <row r="73" spans="1:21" ht="6" hidden="1" customHeight="1">
      <c r="A73" s="14" t="b">
        <v>0</v>
      </c>
      <c r="B73" s="8"/>
      <c r="C73" s="16"/>
      <c r="D73" s="70"/>
      <c r="E73" s="36"/>
      <c r="F73" s="70"/>
      <c r="G73" s="21"/>
      <c r="H73" s="21"/>
      <c r="I73" s="8"/>
      <c r="J73" s="21"/>
      <c r="K73" s="8"/>
      <c r="L73" s="8"/>
      <c r="M73" s="47"/>
      <c r="N73" s="8"/>
      <c r="O73" s="8"/>
      <c r="P73" s="8"/>
      <c r="Q73" s="280"/>
      <c r="R73" s="280"/>
      <c r="S73" s="67"/>
      <c r="T73" s="279"/>
      <c r="U73" s="279"/>
    </row>
    <row r="74" spans="1:21" ht="60" hidden="1" customHeight="1">
      <c r="A74" s="14" t="b">
        <f>A73</f>
        <v>0</v>
      </c>
      <c r="B74" s="8"/>
      <c r="C74" s="29">
        <v>3.2</v>
      </c>
      <c r="D74" s="20"/>
      <c r="E74" s="30" t="s">
        <v>361</v>
      </c>
      <c r="F74" s="72"/>
      <c r="G74" s="38"/>
      <c r="H74" s="70"/>
      <c r="I74" s="32"/>
      <c r="J74" s="70"/>
      <c r="K74" s="32"/>
      <c r="L74" s="8"/>
      <c r="M74" s="51"/>
      <c r="N74" s="8"/>
      <c r="O74" s="32"/>
      <c r="P74" s="8"/>
      <c r="Q74" s="14"/>
      <c r="R74" s="14"/>
    </row>
    <row r="75" spans="1:21" ht="6" customHeight="1">
      <c r="A75" s="14" t="b">
        <f>NOT(Q72)</f>
        <v>1</v>
      </c>
      <c r="B75" s="8"/>
      <c r="C75" s="16"/>
      <c r="D75" s="21"/>
      <c r="E75" s="36"/>
      <c r="F75" s="21"/>
      <c r="G75" s="21"/>
      <c r="H75" s="21"/>
      <c r="I75" s="21"/>
      <c r="J75" s="21"/>
      <c r="K75" s="8"/>
      <c r="L75" s="8"/>
      <c r="M75" s="47"/>
      <c r="N75" s="8"/>
      <c r="O75" s="8"/>
      <c r="P75" s="8"/>
      <c r="Q75" s="14"/>
      <c r="R75" s="14"/>
    </row>
    <row r="76" spans="1:21" ht="60" customHeight="1">
      <c r="A76" s="14" t="b">
        <f>A75</f>
        <v>1</v>
      </c>
      <c r="B76" s="8"/>
      <c r="C76" s="16">
        <v>3.3</v>
      </c>
      <c r="D76" s="21"/>
      <c r="E76" s="30" t="s">
        <v>48</v>
      </c>
      <c r="F76" s="21"/>
      <c r="G76" s="278"/>
      <c r="H76" s="278"/>
      <c r="I76" s="278"/>
      <c r="J76" s="278"/>
      <c r="K76" s="278"/>
      <c r="L76" s="8"/>
      <c r="M76" s="137"/>
      <c r="N76" s="8"/>
      <c r="O76" s="137"/>
      <c r="P76" s="53"/>
      <c r="Q76" s="54"/>
      <c r="R76" s="55"/>
      <c r="S76" s="56"/>
      <c r="T76" s="57"/>
    </row>
    <row r="77" spans="1:21" ht="15" customHeight="1" thickBot="1">
      <c r="A77" s="14" t="b">
        <v>1</v>
      </c>
      <c r="B77" s="8"/>
      <c r="C77" s="41"/>
      <c r="D77" s="70"/>
      <c r="E77" s="70"/>
      <c r="F77" s="70"/>
      <c r="G77" s="70"/>
      <c r="H77" s="70"/>
      <c r="I77" s="70"/>
      <c r="J77" s="70"/>
      <c r="K77" s="8"/>
      <c r="L77" s="8"/>
      <c r="M77" s="47"/>
      <c r="N77" s="8"/>
      <c r="O77" s="8"/>
      <c r="P77" s="8"/>
      <c r="Q77" s="14"/>
      <c r="R77" s="14"/>
    </row>
    <row r="78" spans="1:21" ht="15" customHeight="1" collapsed="1">
      <c r="A78" s="14" t="b">
        <v>1</v>
      </c>
      <c r="B78" s="8"/>
      <c r="C78" s="42"/>
      <c r="D78" s="73"/>
      <c r="E78" s="73"/>
      <c r="F78" s="73"/>
      <c r="G78" s="73"/>
      <c r="H78" s="73"/>
      <c r="I78" s="73"/>
      <c r="J78" s="73"/>
      <c r="K78" s="46"/>
      <c r="L78" s="46"/>
      <c r="M78" s="61"/>
      <c r="N78" s="46"/>
      <c r="O78" s="46"/>
      <c r="P78" s="8"/>
      <c r="Q78" s="14"/>
      <c r="R78" s="14"/>
    </row>
    <row r="79" spans="1:21" ht="15" customHeight="1">
      <c r="A79" s="14" t="b">
        <v>1</v>
      </c>
      <c r="B79" s="8"/>
      <c r="C79" s="15" t="s">
        <v>49</v>
      </c>
      <c r="D79" s="16"/>
      <c r="E79" s="17" t="s">
        <v>50</v>
      </c>
      <c r="F79" s="62"/>
      <c r="G79" s="17" t="str">
        <f>G$7</f>
        <v>Answer</v>
      </c>
      <c r="H79" s="18"/>
      <c r="I79" s="17" t="s">
        <v>7</v>
      </c>
      <c r="J79" s="18"/>
      <c r="K79" s="17" t="str">
        <f>K$7</f>
        <v>General Comments</v>
      </c>
      <c r="L79" s="8"/>
      <c r="M79" s="273" t="s">
        <v>290</v>
      </c>
      <c r="N79" s="8"/>
      <c r="O79" s="274" t="s">
        <v>291</v>
      </c>
      <c r="P79" s="8"/>
      <c r="Q79" s="14"/>
      <c r="R79" s="14"/>
    </row>
    <row r="80" spans="1:21" s="6" customFormat="1" ht="15" customHeight="1">
      <c r="A80" s="14" t="b">
        <v>1</v>
      </c>
      <c r="B80" s="8"/>
      <c r="C80" s="19"/>
      <c r="D80" s="16"/>
      <c r="E80" s="17"/>
      <c r="F80" s="18"/>
      <c r="G80" s="17"/>
      <c r="H80" s="18"/>
      <c r="I80" s="17"/>
      <c r="J80" s="18"/>
      <c r="K80" s="17"/>
      <c r="L80" s="8"/>
      <c r="M80" s="273"/>
      <c r="N80" s="8"/>
      <c r="O80" s="274"/>
      <c r="P80" s="8"/>
      <c r="Q80" s="14"/>
      <c r="R80" s="14"/>
      <c r="T80" s="7"/>
      <c r="U80" s="7"/>
    </row>
    <row r="81" spans="1:21" s="6" customFormat="1" ht="6" customHeight="1">
      <c r="A81" s="14" t="b">
        <v>1</v>
      </c>
      <c r="B81" s="8"/>
      <c r="C81" s="20"/>
      <c r="D81" s="62"/>
      <c r="E81" s="70"/>
      <c r="F81" s="62"/>
      <c r="G81" s="62"/>
      <c r="H81" s="62"/>
      <c r="I81" s="62"/>
      <c r="J81" s="62"/>
      <c r="K81" s="8"/>
      <c r="L81" s="8"/>
      <c r="M81" s="47"/>
      <c r="N81" s="8"/>
      <c r="O81" s="8"/>
      <c r="P81" s="8"/>
      <c r="Q81" s="14"/>
      <c r="R81" s="14"/>
      <c r="T81" s="7"/>
      <c r="U81" s="7"/>
    </row>
    <row r="82" spans="1:21" s="6" customFormat="1" ht="27.95" customHeight="1" collapsed="1">
      <c r="A82" s="14" t="b">
        <v>1</v>
      </c>
      <c r="B82" s="8"/>
      <c r="C82" s="23"/>
      <c r="D82" s="23"/>
      <c r="E82" s="24"/>
      <c r="F82" s="23"/>
      <c r="G82" s="23"/>
      <c r="H82" s="23"/>
      <c r="I82" s="23"/>
      <c r="J82" s="23"/>
      <c r="K82" s="23"/>
      <c r="L82" s="23"/>
      <c r="M82" s="48"/>
      <c r="N82" s="23"/>
      <c r="O82" s="23"/>
      <c r="P82" s="8"/>
      <c r="Q82" s="14"/>
      <c r="R82" s="14"/>
      <c r="T82" s="7"/>
      <c r="U82" s="7"/>
    </row>
    <row r="83" spans="1:21" s="6" customFormat="1" ht="44.1" hidden="1" customHeight="1">
      <c r="A83" s="14" t="b">
        <v>0</v>
      </c>
      <c r="B83" s="8"/>
      <c r="C83" s="23"/>
      <c r="D83" s="18"/>
      <c r="E83" s="27" t="s">
        <v>51</v>
      </c>
      <c r="F83" s="18"/>
      <c r="G83" s="22"/>
      <c r="H83" s="18"/>
      <c r="I83" s="18"/>
      <c r="J83" s="18"/>
      <c r="K83" s="8"/>
      <c r="L83" s="8"/>
      <c r="M83" s="47"/>
      <c r="N83" s="8"/>
      <c r="O83" s="8"/>
      <c r="P83" s="8"/>
      <c r="Q83" s="14"/>
      <c r="R83" s="14"/>
      <c r="T83" s="7"/>
      <c r="U83" s="7"/>
    </row>
    <row r="84" spans="1:21" s="6" customFormat="1" ht="51" hidden="1" customHeight="1">
      <c r="A84" s="14" t="b">
        <f>$A$83</f>
        <v>0</v>
      </c>
      <c r="B84" s="8"/>
      <c r="C84" s="23"/>
      <c r="D84" s="18"/>
      <c r="E84" s="27" t="s">
        <v>52</v>
      </c>
      <c r="F84" s="18"/>
      <c r="G84" s="22"/>
      <c r="H84" s="18"/>
      <c r="I84" s="18"/>
      <c r="J84" s="18"/>
      <c r="K84" s="8"/>
      <c r="L84" s="8"/>
      <c r="M84" s="47"/>
      <c r="N84" s="8"/>
      <c r="O84" s="8"/>
      <c r="P84" s="8"/>
      <c r="Q84" s="14"/>
      <c r="R84" s="14"/>
      <c r="T84" s="7"/>
      <c r="U84" s="7"/>
    </row>
    <row r="85" spans="1:21" s="6" customFormat="1" ht="56.1" hidden="1" customHeight="1">
      <c r="A85" s="14" t="b">
        <f>$A$83</f>
        <v>0</v>
      </c>
      <c r="B85" s="8"/>
      <c r="C85" s="23"/>
      <c r="D85" s="18"/>
      <c r="E85" s="27" t="s">
        <v>15</v>
      </c>
      <c r="F85" s="18"/>
      <c r="G85" s="22"/>
      <c r="H85" s="18"/>
      <c r="I85" s="18"/>
      <c r="J85" s="18"/>
      <c r="K85" s="8"/>
      <c r="L85" s="8"/>
      <c r="M85" s="47"/>
      <c r="N85" s="8"/>
      <c r="O85" s="8"/>
      <c r="P85" s="8"/>
      <c r="Q85" s="14"/>
      <c r="R85" s="14"/>
      <c r="T85" s="7"/>
      <c r="U85" s="7"/>
    </row>
    <row r="86" spans="1:21" s="6" customFormat="1" ht="42" hidden="1" customHeight="1">
      <c r="A86" s="14" t="b">
        <f>$A$83</f>
        <v>0</v>
      </c>
      <c r="B86" s="8"/>
      <c r="C86" s="23"/>
      <c r="D86" s="18"/>
      <c r="E86" s="27" t="s">
        <v>39</v>
      </c>
      <c r="F86" s="18"/>
      <c r="G86" s="22"/>
      <c r="H86" s="18"/>
      <c r="I86" s="18"/>
      <c r="J86" s="18"/>
      <c r="K86" s="8"/>
      <c r="L86" s="8"/>
      <c r="M86" s="47"/>
      <c r="N86" s="8"/>
      <c r="O86" s="8"/>
      <c r="P86" s="8"/>
      <c r="Q86" s="14"/>
      <c r="R86" s="14"/>
      <c r="T86" s="7"/>
      <c r="U86" s="7"/>
    </row>
    <row r="87" spans="1:21" s="6" customFormat="1" ht="30.95" hidden="1" customHeight="1">
      <c r="A87" s="14" t="b">
        <f>$A$83</f>
        <v>0</v>
      </c>
      <c r="B87" s="8"/>
      <c r="C87" s="23"/>
      <c r="D87" s="18"/>
      <c r="E87" s="27" t="s">
        <v>27</v>
      </c>
      <c r="F87" s="18"/>
      <c r="G87" s="22"/>
      <c r="H87" s="18"/>
      <c r="I87" s="18"/>
      <c r="J87" s="18"/>
      <c r="K87" s="8"/>
      <c r="L87" s="8"/>
      <c r="M87" s="47"/>
      <c r="N87" s="8"/>
      <c r="O87" s="8"/>
      <c r="P87" s="8"/>
      <c r="Q87" s="14"/>
      <c r="R87" s="14"/>
      <c r="T87" s="7"/>
      <c r="U87" s="7"/>
    </row>
    <row r="88" spans="1:21" s="6" customFormat="1" ht="12" customHeight="1" collapsed="1">
      <c r="A88" s="14" t="b">
        <v>1</v>
      </c>
      <c r="B88" s="8"/>
      <c r="C88" s="16"/>
      <c r="D88" s="18"/>
      <c r="E88" s="21"/>
      <c r="F88" s="18"/>
      <c r="G88" s="22"/>
      <c r="H88" s="18"/>
      <c r="I88" s="18"/>
      <c r="J88" s="18"/>
      <c r="K88" s="8"/>
      <c r="L88" s="8"/>
      <c r="M88" s="47"/>
      <c r="N88" s="8"/>
      <c r="O88" s="8"/>
      <c r="P88" s="8"/>
      <c r="Q88" s="14"/>
      <c r="R88" s="14"/>
      <c r="T88" s="7"/>
      <c r="U88" s="7"/>
    </row>
    <row r="89" spans="1:21" s="6" customFormat="1" ht="60" customHeight="1">
      <c r="A89" s="14" t="b">
        <v>1</v>
      </c>
      <c r="B89" s="8"/>
      <c r="C89" s="19">
        <v>4.0999999999999996</v>
      </c>
      <c r="D89" s="70"/>
      <c r="E89" s="30" t="s">
        <v>53</v>
      </c>
      <c r="F89" s="70"/>
      <c r="G89" s="52"/>
      <c r="H89" s="70"/>
      <c r="I89" s="32"/>
      <c r="J89" s="70"/>
      <c r="K89" s="32"/>
      <c r="L89" s="8"/>
      <c r="M89" s="51"/>
      <c r="N89" s="8"/>
      <c r="O89" s="32"/>
      <c r="P89" s="8"/>
      <c r="Q89" s="14" t="b">
        <v>0</v>
      </c>
      <c r="R89" s="14"/>
      <c r="T89" s="7"/>
      <c r="U89" s="7"/>
    </row>
    <row r="90" spans="1:21" s="6" customFormat="1" ht="6" customHeight="1">
      <c r="A90" s="14" t="b">
        <v>1</v>
      </c>
      <c r="B90" s="8"/>
      <c r="C90" s="16"/>
      <c r="D90" s="70"/>
      <c r="E90" s="36"/>
      <c r="F90" s="70"/>
      <c r="G90" s="70"/>
      <c r="H90" s="70"/>
      <c r="I90" s="8"/>
      <c r="J90" s="70"/>
      <c r="K90" s="8"/>
      <c r="L90" s="8"/>
      <c r="M90" s="47"/>
      <c r="N90" s="8"/>
      <c r="O90" s="8"/>
      <c r="P90" s="8"/>
      <c r="Q90" s="14"/>
      <c r="R90" s="14"/>
      <c r="T90" s="7"/>
      <c r="U90" s="7"/>
    </row>
    <row r="91" spans="1:21" s="6" customFormat="1" ht="60" customHeight="1">
      <c r="A91" s="14" t="b">
        <v>1</v>
      </c>
      <c r="B91" s="8"/>
      <c r="C91" s="19" t="s">
        <v>54</v>
      </c>
      <c r="D91" s="70"/>
      <c r="E91" s="74" t="s">
        <v>55</v>
      </c>
      <c r="F91" s="70"/>
      <c r="G91" s="52"/>
      <c r="H91" s="70"/>
      <c r="I91" s="32"/>
      <c r="J91" s="70"/>
      <c r="K91" s="32"/>
      <c r="L91" s="8"/>
      <c r="M91" s="51"/>
      <c r="N91" s="8"/>
      <c r="O91" s="32"/>
      <c r="P91" s="8"/>
      <c r="Q91" s="14"/>
      <c r="R91" s="14"/>
      <c r="T91" s="7"/>
      <c r="U91" s="7"/>
    </row>
    <row r="92" spans="1:21" s="6" customFormat="1" ht="6" customHeight="1">
      <c r="A92" s="14" t="b">
        <v>1</v>
      </c>
      <c r="B92" s="8"/>
      <c r="C92" s="16"/>
      <c r="D92" s="70"/>
      <c r="E92" s="36"/>
      <c r="F92" s="70"/>
      <c r="G92" s="70"/>
      <c r="H92" s="70"/>
      <c r="I92" s="8"/>
      <c r="J92" s="70"/>
      <c r="K92" s="8"/>
      <c r="L92" s="8"/>
      <c r="M92" s="47"/>
      <c r="N92" s="8"/>
      <c r="O92" s="8"/>
      <c r="P92" s="8"/>
      <c r="Q92" s="14"/>
      <c r="R92" s="14"/>
      <c r="T92" s="7"/>
      <c r="U92" s="7"/>
    </row>
    <row r="93" spans="1:21" s="6" customFormat="1" ht="60" customHeight="1">
      <c r="A93" s="14" t="b">
        <v>1</v>
      </c>
      <c r="B93" s="8"/>
      <c r="C93" s="19">
        <v>4.2</v>
      </c>
      <c r="D93" s="70"/>
      <c r="E93" s="30" t="s">
        <v>56</v>
      </c>
      <c r="F93" s="70"/>
      <c r="G93" s="52"/>
      <c r="H93" s="70"/>
      <c r="I93" s="32"/>
      <c r="J93" s="70"/>
      <c r="K93" s="32"/>
      <c r="L93" s="8"/>
      <c r="M93" s="51"/>
      <c r="N93" s="8"/>
      <c r="O93" s="32"/>
      <c r="P93" s="8"/>
      <c r="Q93" s="14"/>
      <c r="R93" s="14"/>
      <c r="T93" s="7"/>
      <c r="U93" s="7"/>
    </row>
    <row r="94" spans="1:21" s="6" customFormat="1" ht="6" customHeight="1">
      <c r="A94" s="14" t="b">
        <v>1</v>
      </c>
      <c r="B94" s="8"/>
      <c r="C94" s="16"/>
      <c r="D94" s="70"/>
      <c r="E94" s="36"/>
      <c r="F94" s="70"/>
      <c r="G94" s="70"/>
      <c r="H94" s="70"/>
      <c r="I94" s="8"/>
      <c r="J94" s="70"/>
      <c r="K94" s="8"/>
      <c r="L94" s="8"/>
      <c r="M94" s="47"/>
      <c r="N94" s="8"/>
      <c r="O94" s="8"/>
      <c r="P94" s="8"/>
      <c r="Q94" s="14"/>
      <c r="R94" s="14"/>
      <c r="T94" s="7"/>
      <c r="U94" s="7"/>
    </row>
    <row r="95" spans="1:21" s="6" customFormat="1" ht="60" customHeight="1">
      <c r="A95" s="14" t="b">
        <v>1</v>
      </c>
      <c r="B95" s="8"/>
      <c r="C95" s="19">
        <v>4.3</v>
      </c>
      <c r="D95" s="70"/>
      <c r="E95" s="75" t="s">
        <v>57</v>
      </c>
      <c r="F95" s="70"/>
      <c r="G95" s="38"/>
      <c r="H95" s="70"/>
      <c r="I95" s="32"/>
      <c r="J95" s="70"/>
      <c r="K95" s="32"/>
      <c r="L95" s="8"/>
      <c r="M95" s="51"/>
      <c r="N95" s="8"/>
      <c r="O95" s="32"/>
      <c r="P95" s="8"/>
      <c r="Q95" s="14"/>
      <c r="R95" s="14"/>
      <c r="T95" s="7"/>
      <c r="U95" s="7"/>
    </row>
    <row r="96" spans="1:21" ht="6" hidden="1" customHeight="1">
      <c r="A96" s="76" t="b">
        <v>0</v>
      </c>
      <c r="B96" s="8"/>
      <c r="C96" s="77"/>
      <c r="D96" s="70"/>
      <c r="E96" s="36"/>
      <c r="F96" s="70"/>
      <c r="G96" s="70"/>
      <c r="H96" s="70"/>
      <c r="I96" s="8"/>
      <c r="J96" s="70"/>
      <c r="K96" s="8"/>
      <c r="L96" s="8"/>
      <c r="M96" s="47"/>
      <c r="N96" s="8"/>
      <c r="O96" s="8"/>
      <c r="P96" s="8"/>
      <c r="Q96" s="14"/>
      <c r="R96" s="14"/>
    </row>
    <row r="97" spans="1:20" ht="60" hidden="1" customHeight="1">
      <c r="A97" s="76" t="b">
        <f>A96</f>
        <v>0</v>
      </c>
      <c r="B97" s="8"/>
      <c r="C97" s="19">
        <v>4.4000000000000004</v>
      </c>
      <c r="D97" s="70"/>
      <c r="E97" s="30" t="s">
        <v>58</v>
      </c>
      <c r="F97" s="70"/>
      <c r="G97" s="78"/>
      <c r="H97" s="70"/>
      <c r="I97" s="32"/>
      <c r="J97" s="70"/>
      <c r="K97" s="32"/>
      <c r="L97" s="8"/>
      <c r="M97" s="51"/>
      <c r="N97" s="8"/>
      <c r="O97" s="32"/>
      <c r="P97" s="8"/>
      <c r="Q97" s="14" t="b">
        <v>0</v>
      </c>
      <c r="R97" s="14"/>
    </row>
    <row r="98" spans="1:20" ht="6" hidden="1" customHeight="1">
      <c r="A98" s="14" t="b">
        <v>0</v>
      </c>
      <c r="B98" s="8"/>
      <c r="C98" s="77"/>
      <c r="D98" s="70"/>
      <c r="E98" s="36"/>
      <c r="F98" s="70"/>
      <c r="G98" s="70"/>
      <c r="H98" s="70"/>
      <c r="I98" s="8"/>
      <c r="J98" s="70"/>
      <c r="K98" s="8"/>
      <c r="L98" s="8"/>
      <c r="M98" s="47"/>
      <c r="N98" s="8"/>
      <c r="O98" s="8"/>
      <c r="P98" s="8"/>
      <c r="Q98" s="14"/>
      <c r="R98" s="14"/>
    </row>
    <row r="99" spans="1:20" ht="60" hidden="1" customHeight="1">
      <c r="A99" s="14" t="b">
        <f>A98</f>
        <v>0</v>
      </c>
      <c r="B99" s="8"/>
      <c r="C99" s="19" t="s">
        <v>59</v>
      </c>
      <c r="D99" s="70"/>
      <c r="E99" s="37" t="s">
        <v>60</v>
      </c>
      <c r="F99" s="70"/>
      <c r="G99" s="79"/>
      <c r="H99" s="70"/>
      <c r="I99" s="32"/>
      <c r="J99" s="70"/>
      <c r="K99" s="32"/>
      <c r="L99" s="8"/>
      <c r="M99" s="51"/>
      <c r="N99" s="8"/>
      <c r="O99" s="32"/>
      <c r="P99" s="8"/>
      <c r="Q99" s="14"/>
      <c r="R99" s="14"/>
    </row>
    <row r="100" spans="1:20" ht="6" hidden="1" customHeight="1">
      <c r="A100" s="14" t="b">
        <v>0</v>
      </c>
      <c r="B100" s="8"/>
      <c r="C100" s="77"/>
      <c r="D100" s="70"/>
      <c r="E100" s="36"/>
      <c r="F100" s="70"/>
      <c r="G100" s="70"/>
      <c r="H100" s="70"/>
      <c r="I100" s="8"/>
      <c r="J100" s="70"/>
      <c r="K100" s="8"/>
      <c r="L100" s="8"/>
      <c r="M100" s="47"/>
      <c r="N100" s="8"/>
      <c r="O100" s="8"/>
      <c r="P100" s="8"/>
      <c r="Q100" s="14"/>
      <c r="R100" s="14"/>
    </row>
    <row r="101" spans="1:20" ht="60" hidden="1" customHeight="1">
      <c r="A101" s="14" t="b">
        <f>A100</f>
        <v>0</v>
      </c>
      <c r="B101" s="8"/>
      <c r="C101" s="19" t="s">
        <v>61</v>
      </c>
      <c r="D101" s="70"/>
      <c r="E101" s="37" t="s">
        <v>62</v>
      </c>
      <c r="F101" s="70"/>
      <c r="G101" s="79"/>
      <c r="H101" s="70"/>
      <c r="I101" s="32"/>
      <c r="J101" s="70"/>
      <c r="K101" s="32"/>
      <c r="L101" s="8"/>
      <c r="M101" s="51"/>
      <c r="N101" s="8"/>
      <c r="O101" s="32"/>
      <c r="P101" s="8"/>
      <c r="Q101" s="14"/>
      <c r="R101" s="14"/>
    </row>
    <row r="102" spans="1:20" ht="6" hidden="1" customHeight="1">
      <c r="A102" s="76" t="b">
        <v>0</v>
      </c>
      <c r="B102" s="8"/>
      <c r="C102" s="77"/>
      <c r="D102" s="70"/>
      <c r="E102" s="36"/>
      <c r="F102" s="70"/>
      <c r="G102" s="70"/>
      <c r="H102" s="70"/>
      <c r="I102" s="8"/>
      <c r="J102" s="70"/>
      <c r="K102" s="8"/>
      <c r="L102" s="8"/>
      <c r="M102" s="47"/>
      <c r="N102" s="8"/>
      <c r="O102" s="8"/>
      <c r="P102" s="8"/>
      <c r="Q102" s="14"/>
      <c r="R102" s="14"/>
    </row>
    <row r="103" spans="1:20" ht="60" hidden="1" customHeight="1">
      <c r="A103" s="76" t="b">
        <f>A102</f>
        <v>0</v>
      </c>
      <c r="B103" s="8"/>
      <c r="C103" s="19">
        <v>4.5</v>
      </c>
      <c r="D103" s="80"/>
      <c r="E103" s="81" t="s">
        <v>63</v>
      </c>
      <c r="F103" s="70"/>
      <c r="G103" s="78"/>
      <c r="H103" s="70"/>
      <c r="I103" s="32"/>
      <c r="J103" s="70"/>
      <c r="K103" s="32"/>
      <c r="L103" s="8"/>
      <c r="M103" s="51"/>
      <c r="N103" s="8"/>
      <c r="O103" s="32"/>
      <c r="P103" s="8"/>
      <c r="Q103" s="14"/>
      <c r="R103" s="14"/>
    </row>
    <row r="104" spans="1:20" ht="6" customHeight="1">
      <c r="A104" s="14" t="b">
        <v>1</v>
      </c>
      <c r="B104" s="8"/>
      <c r="C104" s="16"/>
      <c r="D104" s="21"/>
      <c r="E104" s="36"/>
      <c r="F104" s="21"/>
      <c r="G104" s="21"/>
      <c r="H104" s="21"/>
      <c r="I104" s="21"/>
      <c r="J104" s="21"/>
      <c r="K104" s="8"/>
      <c r="L104" s="8"/>
      <c r="M104" s="47"/>
      <c r="N104" s="8"/>
      <c r="O104" s="8"/>
      <c r="P104" s="8"/>
      <c r="Q104" s="14"/>
      <c r="R104" s="14"/>
    </row>
    <row r="105" spans="1:20" ht="60" customHeight="1">
      <c r="A105" s="14" t="b">
        <v>1</v>
      </c>
      <c r="B105" s="8"/>
      <c r="C105" s="16">
        <v>4.5999999999999996</v>
      </c>
      <c r="D105" s="21"/>
      <c r="E105" s="30" t="s">
        <v>64</v>
      </c>
      <c r="F105" s="21"/>
      <c r="G105" s="278"/>
      <c r="H105" s="278"/>
      <c r="I105" s="278"/>
      <c r="J105" s="278"/>
      <c r="K105" s="278"/>
      <c r="L105" s="8"/>
      <c r="M105" s="137"/>
      <c r="N105" s="8"/>
      <c r="O105" s="137"/>
      <c r="P105" s="53"/>
      <c r="Q105" s="54"/>
      <c r="R105" s="55"/>
      <c r="S105" s="56"/>
      <c r="T105" s="57"/>
    </row>
    <row r="106" spans="1:20" ht="15" customHeight="1" thickBot="1">
      <c r="A106" s="14" t="b">
        <v>1</v>
      </c>
      <c r="B106" s="8"/>
      <c r="C106" s="41"/>
      <c r="D106" s="70"/>
      <c r="E106" s="70"/>
      <c r="F106" s="70"/>
      <c r="G106" s="70"/>
      <c r="H106" s="70"/>
      <c r="I106" s="70"/>
      <c r="J106" s="70"/>
      <c r="K106" s="8"/>
      <c r="L106" s="8"/>
      <c r="M106" s="47"/>
      <c r="N106" s="8"/>
      <c r="O106" s="8"/>
      <c r="P106" s="8"/>
      <c r="Q106" s="14"/>
      <c r="R106" s="14"/>
    </row>
    <row r="107" spans="1:20" ht="15" customHeight="1" collapsed="1">
      <c r="A107" s="14" t="b">
        <v>1</v>
      </c>
      <c r="B107" s="8"/>
      <c r="C107" s="42"/>
      <c r="D107" s="73"/>
      <c r="E107" s="73"/>
      <c r="F107" s="73"/>
      <c r="G107" s="73"/>
      <c r="H107" s="73"/>
      <c r="I107" s="73"/>
      <c r="J107" s="73"/>
      <c r="K107" s="46"/>
      <c r="L107" s="46"/>
      <c r="M107" s="61"/>
      <c r="N107" s="46"/>
      <c r="O107" s="46"/>
      <c r="P107" s="8"/>
      <c r="Q107" s="14"/>
      <c r="R107" s="14"/>
    </row>
    <row r="108" spans="1:20" ht="15" customHeight="1">
      <c r="A108" s="14" t="b">
        <v>1</v>
      </c>
      <c r="B108" s="8"/>
      <c r="C108" s="15" t="s">
        <v>65</v>
      </c>
      <c r="D108" s="16"/>
      <c r="E108" s="17" t="s">
        <v>66</v>
      </c>
      <c r="F108" s="62"/>
      <c r="G108" s="17" t="str">
        <f>G$7</f>
        <v>Answer</v>
      </c>
      <c r="H108" s="18"/>
      <c r="I108" s="17" t="s">
        <v>7</v>
      </c>
      <c r="J108" s="18"/>
      <c r="K108" s="17" t="str">
        <f>K$7</f>
        <v>General Comments</v>
      </c>
      <c r="L108" s="8"/>
      <c r="M108" s="273" t="s">
        <v>290</v>
      </c>
      <c r="N108" s="8"/>
      <c r="O108" s="274" t="s">
        <v>291</v>
      </c>
      <c r="P108" s="8"/>
      <c r="Q108" s="14"/>
      <c r="R108" s="14"/>
    </row>
    <row r="109" spans="1:20" ht="15" customHeight="1">
      <c r="A109" s="14" t="b">
        <v>1</v>
      </c>
      <c r="B109" s="8"/>
      <c r="C109" s="19"/>
      <c r="D109" s="16"/>
      <c r="E109" s="17"/>
      <c r="F109" s="18"/>
      <c r="G109" s="17"/>
      <c r="H109" s="18"/>
      <c r="I109" s="17"/>
      <c r="J109" s="18"/>
      <c r="K109" s="17"/>
      <c r="L109" s="8"/>
      <c r="M109" s="273"/>
      <c r="N109" s="8"/>
      <c r="O109" s="274"/>
      <c r="P109" s="8"/>
      <c r="Q109" s="14"/>
      <c r="R109" s="14"/>
    </row>
    <row r="110" spans="1:20" ht="6" customHeight="1">
      <c r="A110" s="14" t="b">
        <v>1</v>
      </c>
      <c r="B110" s="8"/>
      <c r="C110" s="20"/>
      <c r="D110" s="62"/>
      <c r="E110" s="70"/>
      <c r="F110" s="62"/>
      <c r="G110" s="62"/>
      <c r="H110" s="62"/>
      <c r="I110" s="62"/>
      <c r="J110" s="62"/>
      <c r="K110" s="8"/>
      <c r="L110" s="8"/>
      <c r="M110" s="47"/>
      <c r="N110" s="8"/>
      <c r="O110" s="8"/>
      <c r="P110" s="8"/>
      <c r="Q110" s="14"/>
      <c r="R110" s="14"/>
    </row>
    <row r="111" spans="1:20" ht="18" customHeight="1" collapsed="1">
      <c r="A111" s="14" t="b">
        <v>1</v>
      </c>
      <c r="B111" s="8"/>
      <c r="C111" s="23"/>
      <c r="D111" s="23"/>
      <c r="E111" s="24"/>
      <c r="F111" s="23"/>
      <c r="G111" s="23"/>
      <c r="H111" s="23"/>
      <c r="I111" s="23"/>
      <c r="J111" s="23"/>
      <c r="K111" s="23"/>
      <c r="L111" s="23"/>
      <c r="M111" s="48"/>
      <c r="N111" s="23"/>
      <c r="O111" s="23"/>
      <c r="P111" s="8"/>
      <c r="Q111" s="14"/>
      <c r="R111" s="14"/>
    </row>
    <row r="112" spans="1:20" ht="15" hidden="1" customHeight="1">
      <c r="A112" s="14" t="b">
        <v>1</v>
      </c>
      <c r="B112" s="8"/>
      <c r="C112" s="23"/>
      <c r="D112" s="18"/>
      <c r="E112" s="27" t="s">
        <v>67</v>
      </c>
      <c r="F112" s="18"/>
      <c r="G112" s="22"/>
      <c r="H112" s="18"/>
      <c r="I112" s="18"/>
      <c r="J112" s="18"/>
      <c r="K112" s="8"/>
      <c r="L112" s="8"/>
      <c r="M112" s="47"/>
      <c r="N112" s="8"/>
      <c r="O112" s="8"/>
      <c r="P112" s="8"/>
      <c r="Q112" s="14"/>
      <c r="R112" s="14"/>
    </row>
    <row r="113" spans="1:21" ht="15" hidden="1" customHeight="1">
      <c r="A113" s="14" t="b">
        <f>$A$112</f>
        <v>1</v>
      </c>
      <c r="B113" s="8"/>
      <c r="C113" s="23"/>
      <c r="D113" s="18"/>
      <c r="E113" s="27" t="s">
        <v>14</v>
      </c>
      <c r="F113" s="18"/>
      <c r="H113" s="18"/>
      <c r="I113" s="18"/>
      <c r="J113" s="18"/>
      <c r="K113" s="8"/>
      <c r="L113" s="8"/>
      <c r="M113" s="47"/>
      <c r="N113" s="8"/>
      <c r="O113" s="8"/>
      <c r="P113" s="8"/>
      <c r="Q113" s="14"/>
      <c r="R113" s="14"/>
    </row>
    <row r="114" spans="1:21" ht="15" hidden="1" customHeight="1">
      <c r="A114" s="14" t="b">
        <f>$A$112</f>
        <v>1</v>
      </c>
      <c r="B114" s="8"/>
      <c r="C114" s="23"/>
      <c r="D114" s="18"/>
      <c r="E114" s="27" t="s">
        <v>25</v>
      </c>
      <c r="F114" s="18"/>
      <c r="G114" s="22"/>
      <c r="H114" s="18"/>
      <c r="I114" s="18"/>
      <c r="J114" s="18"/>
      <c r="K114" s="8"/>
      <c r="L114" s="8"/>
      <c r="M114" s="47"/>
      <c r="N114" s="8"/>
      <c r="O114" s="8"/>
      <c r="P114" s="8"/>
      <c r="Q114" s="14"/>
      <c r="R114" s="14"/>
    </row>
    <row r="115" spans="1:21" ht="15" hidden="1" customHeight="1">
      <c r="A115" s="14" t="b">
        <f>$A$112</f>
        <v>1</v>
      </c>
      <c r="B115" s="8"/>
      <c r="C115" s="23"/>
      <c r="D115" s="18"/>
      <c r="E115" s="27" t="s">
        <v>27</v>
      </c>
      <c r="F115" s="18"/>
      <c r="G115" s="22"/>
      <c r="H115" s="18"/>
      <c r="I115" s="18"/>
      <c r="J115" s="18"/>
      <c r="K115" s="8"/>
      <c r="L115" s="8"/>
      <c r="M115" s="47"/>
      <c r="N115" s="8"/>
      <c r="O115" s="8"/>
      <c r="P115" s="8"/>
      <c r="Q115" s="14"/>
      <c r="R115" s="14"/>
    </row>
    <row r="116" spans="1:21" ht="15" customHeight="1" collapsed="1">
      <c r="A116" s="14" t="b">
        <v>1</v>
      </c>
      <c r="B116" s="8"/>
      <c r="C116" s="16"/>
      <c r="D116" s="18"/>
      <c r="E116" s="21"/>
      <c r="F116" s="18"/>
      <c r="G116" s="22"/>
      <c r="H116" s="18"/>
      <c r="I116" s="18"/>
      <c r="J116" s="18"/>
      <c r="K116" s="8"/>
      <c r="L116" s="8"/>
      <c r="M116" s="47"/>
      <c r="N116" s="8"/>
      <c r="O116" s="8"/>
      <c r="P116" s="8"/>
      <c r="Q116" s="14"/>
      <c r="R116" s="14"/>
    </row>
    <row r="117" spans="1:21" ht="60" customHeight="1">
      <c r="A117" s="14" t="b">
        <v>1</v>
      </c>
      <c r="B117" s="8"/>
      <c r="C117" s="19">
        <v>5.0999999999999996</v>
      </c>
      <c r="D117" s="70"/>
      <c r="E117" s="30" t="s">
        <v>68</v>
      </c>
      <c r="F117" s="70"/>
      <c r="G117" s="52"/>
      <c r="H117" s="70"/>
      <c r="I117" s="32"/>
      <c r="J117" s="70"/>
      <c r="K117" s="32"/>
      <c r="L117" s="8"/>
      <c r="M117" s="51"/>
      <c r="N117" s="8"/>
      <c r="O117" s="32"/>
      <c r="P117" s="8"/>
      <c r="Q117" s="14"/>
      <c r="R117" s="14"/>
    </row>
    <row r="118" spans="1:21" ht="6" customHeight="1">
      <c r="A118" s="14" t="b">
        <v>1</v>
      </c>
      <c r="B118" s="8"/>
      <c r="C118" s="16"/>
      <c r="D118" s="70"/>
      <c r="E118" s="36"/>
      <c r="F118" s="70"/>
      <c r="G118" s="70"/>
      <c r="H118" s="70"/>
      <c r="I118" s="8"/>
      <c r="J118" s="70"/>
      <c r="K118" s="8"/>
      <c r="L118" s="8"/>
      <c r="M118" s="47"/>
      <c r="N118" s="8"/>
      <c r="O118" s="8"/>
      <c r="P118" s="8"/>
      <c r="Q118" s="14"/>
      <c r="R118" s="14"/>
    </row>
    <row r="119" spans="1:21" ht="60" customHeight="1">
      <c r="A119" s="14" t="b">
        <v>1</v>
      </c>
      <c r="B119" s="8"/>
      <c r="C119" s="19" t="s">
        <v>69</v>
      </c>
      <c r="D119" s="70"/>
      <c r="E119" s="37" t="s">
        <v>70</v>
      </c>
      <c r="F119" s="70"/>
      <c r="G119" s="52"/>
      <c r="H119" s="70"/>
      <c r="I119" s="32"/>
      <c r="J119" s="70"/>
      <c r="K119" s="32"/>
      <c r="L119" s="8"/>
      <c r="M119" s="51"/>
      <c r="N119" s="8"/>
      <c r="O119" s="32"/>
      <c r="P119" s="8"/>
      <c r="Q119" s="14"/>
      <c r="R119" s="14"/>
    </row>
    <row r="120" spans="1:21" ht="6" customHeight="1">
      <c r="A120" s="14" t="b">
        <v>1</v>
      </c>
      <c r="B120" s="8"/>
      <c r="C120" s="16"/>
      <c r="D120" s="70"/>
      <c r="E120" s="36"/>
      <c r="F120" s="70"/>
      <c r="G120" s="70"/>
      <c r="H120" s="70"/>
      <c r="I120" s="8"/>
      <c r="J120" s="70"/>
      <c r="K120" s="8"/>
      <c r="L120" s="8"/>
      <c r="M120" s="47"/>
      <c r="N120" s="8"/>
      <c r="O120" s="8"/>
      <c r="P120" s="8"/>
      <c r="Q120" s="14"/>
      <c r="R120" s="14"/>
    </row>
    <row r="121" spans="1:21" ht="60" customHeight="1">
      <c r="A121" s="14" t="b">
        <v>1</v>
      </c>
      <c r="B121" s="8"/>
      <c r="C121" s="19">
        <v>5.2</v>
      </c>
      <c r="D121" s="62"/>
      <c r="E121" s="30" t="s">
        <v>71</v>
      </c>
      <c r="F121" s="62"/>
      <c r="G121" s="52"/>
      <c r="H121" s="62"/>
      <c r="I121" s="32"/>
      <c r="J121" s="62"/>
      <c r="K121" s="32"/>
      <c r="L121" s="8"/>
      <c r="M121" s="51"/>
      <c r="N121" s="8"/>
      <c r="O121" s="32"/>
      <c r="P121" s="8"/>
      <c r="Q121" s="14"/>
      <c r="R121" s="14"/>
    </row>
    <row r="122" spans="1:21" ht="6" customHeight="1">
      <c r="A122" s="14" t="b">
        <v>1</v>
      </c>
      <c r="B122" s="8"/>
      <c r="C122" s="16"/>
      <c r="D122" s="70"/>
      <c r="E122" s="36"/>
      <c r="F122" s="70"/>
      <c r="G122" s="70"/>
      <c r="H122" s="70"/>
      <c r="I122" s="8"/>
      <c r="J122" s="70"/>
      <c r="K122" s="8"/>
      <c r="L122" s="8"/>
      <c r="M122" s="47"/>
      <c r="N122" s="8"/>
      <c r="O122" s="8"/>
      <c r="P122" s="8"/>
      <c r="Q122" s="14"/>
      <c r="R122" s="14"/>
    </row>
    <row r="123" spans="1:21" ht="60" customHeight="1">
      <c r="A123" s="14" t="b">
        <v>1</v>
      </c>
      <c r="B123" s="8"/>
      <c r="C123" s="19" t="s">
        <v>72</v>
      </c>
      <c r="D123" s="70"/>
      <c r="E123" s="37" t="s">
        <v>73</v>
      </c>
      <c r="F123" s="70"/>
      <c r="G123" s="52"/>
      <c r="H123" s="70"/>
      <c r="I123" s="32"/>
      <c r="J123" s="70"/>
      <c r="K123" s="32"/>
      <c r="L123" s="8"/>
      <c r="M123" s="51"/>
      <c r="N123" s="8"/>
      <c r="O123" s="32"/>
      <c r="P123" s="8"/>
      <c r="Q123" s="14"/>
      <c r="R123" s="14"/>
    </row>
    <row r="124" spans="1:21" ht="6" customHeight="1">
      <c r="A124" s="14" t="b">
        <v>1</v>
      </c>
      <c r="B124" s="8"/>
      <c r="C124" s="16"/>
      <c r="D124" s="70"/>
      <c r="E124" s="36"/>
      <c r="F124" s="70"/>
      <c r="G124" s="70"/>
      <c r="H124" s="70"/>
      <c r="I124" s="8"/>
      <c r="J124" s="70"/>
      <c r="K124" s="8"/>
      <c r="L124" s="8"/>
      <c r="M124" s="47"/>
      <c r="N124" s="8"/>
      <c r="O124" s="8"/>
      <c r="P124" s="8"/>
      <c r="Q124" s="14"/>
      <c r="R124" s="14"/>
    </row>
    <row r="125" spans="1:21" ht="60" customHeight="1">
      <c r="A125" s="14" t="b">
        <v>1</v>
      </c>
      <c r="B125" s="8"/>
      <c r="C125" s="19">
        <v>5.3</v>
      </c>
      <c r="D125" s="70"/>
      <c r="E125" s="30" t="s">
        <v>74</v>
      </c>
      <c r="F125" s="70"/>
      <c r="G125" s="52"/>
      <c r="H125" s="70"/>
      <c r="I125" s="32"/>
      <c r="J125" s="70"/>
      <c r="K125" s="32"/>
      <c r="L125" s="8"/>
      <c r="M125" s="51"/>
      <c r="N125" s="8"/>
      <c r="O125" s="32"/>
      <c r="P125" s="8"/>
      <c r="Q125" s="14"/>
      <c r="R125" s="14"/>
    </row>
    <row r="126" spans="1:21" ht="6" customHeight="1">
      <c r="A126" s="14" t="b">
        <v>1</v>
      </c>
      <c r="B126" s="8"/>
      <c r="C126" s="16"/>
      <c r="D126" s="21"/>
      <c r="E126" s="36"/>
      <c r="F126" s="21"/>
      <c r="G126" s="21"/>
      <c r="H126" s="21"/>
      <c r="I126" s="21"/>
      <c r="J126" s="21"/>
      <c r="K126" s="8"/>
      <c r="L126" s="8"/>
      <c r="M126" s="47"/>
      <c r="N126" s="8"/>
      <c r="O126" s="8"/>
      <c r="P126" s="8"/>
      <c r="Q126" s="14"/>
      <c r="R126" s="14"/>
    </row>
    <row r="127" spans="1:21" ht="60" customHeight="1">
      <c r="A127" s="14" t="b">
        <v>1</v>
      </c>
      <c r="B127" s="8"/>
      <c r="C127" s="16">
        <v>5.4</v>
      </c>
      <c r="D127" s="21"/>
      <c r="E127" s="30" t="s">
        <v>75</v>
      </c>
      <c r="F127" s="21"/>
      <c r="G127" s="278"/>
      <c r="H127" s="278"/>
      <c r="I127" s="278"/>
      <c r="J127" s="278"/>
      <c r="K127" s="278"/>
      <c r="L127" s="8"/>
      <c r="M127" s="137"/>
      <c r="N127" s="8"/>
      <c r="O127" s="137"/>
      <c r="P127" s="8"/>
      <c r="Q127" s="54"/>
      <c r="R127" s="54"/>
      <c r="S127" s="59"/>
      <c r="T127" s="57"/>
      <c r="U127" s="57"/>
    </row>
    <row r="128" spans="1:21" s="6" customFormat="1" ht="15" customHeight="1" thickBot="1">
      <c r="A128" s="14" t="b">
        <v>1</v>
      </c>
      <c r="B128" s="8"/>
      <c r="C128" s="41"/>
      <c r="D128" s="70"/>
      <c r="E128" s="70"/>
      <c r="F128" s="70"/>
      <c r="G128" s="70"/>
      <c r="H128" s="70"/>
      <c r="I128" s="70"/>
      <c r="J128" s="70"/>
      <c r="K128" s="8"/>
      <c r="L128" s="8"/>
      <c r="M128" s="47"/>
      <c r="N128" s="8"/>
      <c r="O128" s="8"/>
      <c r="P128" s="8"/>
      <c r="Q128" s="14"/>
      <c r="R128" s="14"/>
      <c r="T128" s="7"/>
      <c r="U128" s="7"/>
    </row>
    <row r="129" spans="1:21" s="6" customFormat="1" ht="15" customHeight="1" collapsed="1">
      <c r="A129" s="14" t="b">
        <v>1</v>
      </c>
      <c r="B129" s="8"/>
      <c r="C129" s="42"/>
      <c r="D129" s="73"/>
      <c r="E129" s="73"/>
      <c r="F129" s="73"/>
      <c r="G129" s="73"/>
      <c r="H129" s="73"/>
      <c r="I129" s="73"/>
      <c r="J129" s="73"/>
      <c r="K129" s="46"/>
      <c r="L129" s="46"/>
      <c r="M129" s="82"/>
      <c r="N129" s="46"/>
      <c r="O129" s="46"/>
      <c r="P129" s="8"/>
      <c r="Q129" s="14"/>
      <c r="R129" s="14"/>
      <c r="T129" s="7"/>
      <c r="U129" s="7"/>
    </row>
    <row r="130" spans="1:21" s="6" customFormat="1" ht="15" customHeight="1">
      <c r="A130" s="14" t="b">
        <v>1</v>
      </c>
      <c r="B130" s="8"/>
      <c r="C130" s="15" t="s">
        <v>76</v>
      </c>
      <c r="D130" s="16"/>
      <c r="E130" s="17" t="s">
        <v>77</v>
      </c>
      <c r="F130" s="62"/>
      <c r="G130" s="17" t="str">
        <f>G$7</f>
        <v>Answer</v>
      </c>
      <c r="H130" s="18"/>
      <c r="I130" s="17" t="s">
        <v>7</v>
      </c>
      <c r="J130" s="18"/>
      <c r="K130" s="17" t="str">
        <f>K$7</f>
        <v>General Comments</v>
      </c>
      <c r="L130" s="8"/>
      <c r="M130" s="273" t="s">
        <v>290</v>
      </c>
      <c r="N130" s="8"/>
      <c r="O130" s="274" t="s">
        <v>291</v>
      </c>
      <c r="P130" s="8"/>
      <c r="Q130" s="14"/>
      <c r="R130" s="14"/>
      <c r="T130" s="7"/>
      <c r="U130" s="7"/>
    </row>
    <row r="131" spans="1:21" s="6" customFormat="1" ht="15" customHeight="1">
      <c r="A131" s="14" t="b">
        <v>1</v>
      </c>
      <c r="B131" s="8"/>
      <c r="C131" s="19"/>
      <c r="D131" s="16"/>
      <c r="E131" s="17"/>
      <c r="F131" s="18"/>
      <c r="G131" s="17"/>
      <c r="H131" s="18"/>
      <c r="I131" s="17"/>
      <c r="J131" s="18"/>
      <c r="K131" s="17"/>
      <c r="L131" s="8"/>
      <c r="M131" s="273"/>
      <c r="N131" s="8"/>
      <c r="O131" s="274"/>
      <c r="P131" s="8"/>
      <c r="Q131" s="14"/>
      <c r="R131" s="14"/>
      <c r="T131" s="7"/>
      <c r="U131" s="7"/>
    </row>
    <row r="132" spans="1:21" s="6" customFormat="1" ht="6" customHeight="1">
      <c r="A132" s="14" t="b">
        <v>1</v>
      </c>
      <c r="B132" s="8"/>
      <c r="C132" s="20"/>
      <c r="D132" s="62"/>
      <c r="E132" s="70"/>
      <c r="F132" s="62"/>
      <c r="G132" s="62"/>
      <c r="H132" s="62"/>
      <c r="I132" s="62"/>
      <c r="J132" s="62"/>
      <c r="K132" s="8"/>
      <c r="L132" s="8"/>
      <c r="M132" s="47"/>
      <c r="N132" s="8"/>
      <c r="O132" s="8"/>
      <c r="P132" s="8"/>
      <c r="Q132" s="14"/>
      <c r="R132" s="14"/>
      <c r="T132" s="7"/>
      <c r="U132" s="7"/>
    </row>
    <row r="133" spans="1:21" s="6" customFormat="1" ht="18" customHeight="1" collapsed="1">
      <c r="A133" s="14" t="b">
        <v>1</v>
      </c>
      <c r="B133" s="8"/>
      <c r="C133" s="23"/>
      <c r="D133" s="23"/>
      <c r="E133" s="24"/>
      <c r="F133" s="23"/>
      <c r="G133" s="23"/>
      <c r="H133" s="23"/>
      <c r="I133" s="23"/>
      <c r="J133" s="23"/>
      <c r="K133" s="23"/>
      <c r="L133" s="23"/>
      <c r="M133" s="48"/>
      <c r="N133" s="23"/>
      <c r="O133" s="23"/>
      <c r="P133" s="8"/>
      <c r="Q133" s="14"/>
      <c r="R133" s="14"/>
      <c r="T133" s="7"/>
      <c r="U133" s="7"/>
    </row>
    <row r="134" spans="1:21" s="6" customFormat="1" ht="15" hidden="1" customHeight="1">
      <c r="A134" s="14" t="b">
        <v>0</v>
      </c>
      <c r="B134" s="8"/>
      <c r="C134" s="23"/>
      <c r="D134" s="18"/>
      <c r="E134" s="27" t="s">
        <v>78</v>
      </c>
      <c r="F134" s="18"/>
      <c r="G134" s="22"/>
      <c r="H134" s="18"/>
      <c r="I134" s="18"/>
      <c r="J134" s="18"/>
      <c r="K134" s="8"/>
      <c r="L134" s="8"/>
      <c r="M134" s="47"/>
      <c r="N134" s="8"/>
      <c r="O134" s="8"/>
      <c r="P134" s="8"/>
      <c r="Q134" s="14"/>
      <c r="R134" s="14"/>
      <c r="T134" s="7"/>
      <c r="U134" s="7"/>
    </row>
    <row r="135" spans="1:21" s="6" customFormat="1" ht="15" hidden="1" customHeight="1">
      <c r="A135" s="14" t="b">
        <f>$A$134</f>
        <v>0</v>
      </c>
      <c r="B135" s="8"/>
      <c r="C135" s="23"/>
      <c r="D135" s="18"/>
      <c r="E135" s="27" t="s">
        <v>79</v>
      </c>
      <c r="F135" s="18"/>
      <c r="G135" s="22"/>
      <c r="H135" s="18"/>
      <c r="I135" s="18"/>
      <c r="J135" s="18"/>
      <c r="K135" s="8"/>
      <c r="L135" s="8"/>
      <c r="M135" s="47"/>
      <c r="N135" s="8"/>
      <c r="O135" s="8"/>
      <c r="P135" s="8"/>
      <c r="Q135" s="14"/>
      <c r="R135" s="14"/>
      <c r="T135" s="7"/>
      <c r="U135" s="7"/>
    </row>
    <row r="136" spans="1:21" s="6" customFormat="1" ht="15" hidden="1" customHeight="1">
      <c r="A136" s="14" t="b">
        <f>A134</f>
        <v>0</v>
      </c>
      <c r="B136" s="8"/>
      <c r="C136" s="23"/>
      <c r="D136" s="18"/>
      <c r="E136" s="27" t="s">
        <v>80</v>
      </c>
      <c r="F136" s="18"/>
      <c r="G136" s="22"/>
      <c r="H136" s="18"/>
      <c r="I136" s="18"/>
      <c r="J136" s="18"/>
      <c r="K136" s="8"/>
      <c r="L136" s="8"/>
      <c r="M136" s="47"/>
      <c r="N136" s="8"/>
      <c r="O136" s="8"/>
      <c r="P136" s="8"/>
      <c r="Q136" s="14"/>
      <c r="R136" s="14"/>
      <c r="T136" s="7"/>
      <c r="U136" s="7"/>
    </row>
    <row r="137" spans="1:21" s="6" customFormat="1" ht="15" hidden="1" customHeight="1">
      <c r="A137" s="14" t="b">
        <f>A134</f>
        <v>0</v>
      </c>
      <c r="B137" s="8"/>
      <c r="C137" s="23"/>
      <c r="D137" s="18"/>
      <c r="E137" s="27" t="s">
        <v>81</v>
      </c>
      <c r="F137" s="18"/>
      <c r="G137" s="22"/>
      <c r="H137" s="18"/>
      <c r="I137" s="18"/>
      <c r="J137" s="18"/>
      <c r="K137" s="8"/>
      <c r="L137" s="8"/>
      <c r="M137" s="47"/>
      <c r="N137" s="8"/>
      <c r="O137" s="8"/>
      <c r="P137" s="8"/>
      <c r="Q137" s="14"/>
      <c r="R137" s="14"/>
      <c r="T137" s="7"/>
      <c r="U137" s="7"/>
    </row>
    <row r="138" spans="1:21" s="6" customFormat="1" ht="15" customHeight="1" collapsed="1">
      <c r="A138" s="14" t="b">
        <v>1</v>
      </c>
      <c r="B138" s="8"/>
      <c r="C138" s="16"/>
      <c r="D138" s="18"/>
      <c r="E138" s="21"/>
      <c r="F138" s="18"/>
      <c r="G138" s="22"/>
      <c r="H138" s="18"/>
      <c r="I138" s="18"/>
      <c r="J138" s="18"/>
      <c r="K138" s="8"/>
      <c r="L138" s="8"/>
      <c r="M138" s="47"/>
      <c r="N138" s="8"/>
      <c r="O138" s="8"/>
      <c r="P138" s="8"/>
      <c r="Q138" s="14"/>
      <c r="R138" s="14"/>
      <c r="T138" s="7"/>
      <c r="U138" s="7"/>
    </row>
    <row r="139" spans="1:21" s="6" customFormat="1" ht="60" customHeight="1">
      <c r="A139" s="14" t="b">
        <v>1</v>
      </c>
      <c r="B139" s="8"/>
      <c r="C139" s="19">
        <v>6.1</v>
      </c>
      <c r="D139" s="70"/>
      <c r="E139" s="30" t="s">
        <v>82</v>
      </c>
      <c r="F139" s="70"/>
      <c r="G139" s="52"/>
      <c r="H139" s="70"/>
      <c r="I139" s="32"/>
      <c r="J139" s="70"/>
      <c r="K139" s="32"/>
      <c r="L139" s="8"/>
      <c r="M139" s="51"/>
      <c r="N139" s="8"/>
      <c r="O139" s="32"/>
      <c r="P139" s="8"/>
      <c r="Q139" s="14"/>
      <c r="R139" s="14"/>
      <c r="T139" s="7"/>
      <c r="U139" s="7"/>
    </row>
    <row r="140" spans="1:21" s="6" customFormat="1" ht="6" customHeight="1">
      <c r="A140" s="14" t="b">
        <v>1</v>
      </c>
      <c r="B140" s="8"/>
      <c r="C140" s="16"/>
      <c r="D140" s="70"/>
      <c r="E140" s="36"/>
      <c r="F140" s="70"/>
      <c r="G140" s="70"/>
      <c r="H140" s="70"/>
      <c r="I140" s="8"/>
      <c r="J140" s="70"/>
      <c r="K140" s="8"/>
      <c r="L140" s="8"/>
      <c r="M140" s="47"/>
      <c r="N140" s="8"/>
      <c r="O140" s="8"/>
      <c r="P140" s="8"/>
      <c r="Q140" s="14"/>
      <c r="R140" s="14"/>
      <c r="T140" s="7"/>
      <c r="U140" s="7"/>
    </row>
    <row r="141" spans="1:21" s="6" customFormat="1" ht="60" customHeight="1">
      <c r="A141" s="14" t="b">
        <v>1</v>
      </c>
      <c r="B141" s="8"/>
      <c r="C141" s="19">
        <v>6.2</v>
      </c>
      <c r="D141" s="70"/>
      <c r="E141" s="30" t="s">
        <v>83</v>
      </c>
      <c r="F141" s="70"/>
      <c r="G141" s="52"/>
      <c r="H141" s="70"/>
      <c r="I141" s="32"/>
      <c r="J141" s="70"/>
      <c r="K141" s="32"/>
      <c r="L141" s="8"/>
      <c r="M141" s="51"/>
      <c r="N141" s="8"/>
      <c r="O141" s="32"/>
      <c r="P141" s="8"/>
      <c r="Q141" s="14" t="b">
        <v>0</v>
      </c>
      <c r="R141" s="14"/>
      <c r="T141" s="7"/>
      <c r="U141" s="7"/>
    </row>
    <row r="142" spans="1:21" s="6" customFormat="1" ht="6" customHeight="1">
      <c r="A142" s="14" t="b">
        <f>NOT($Q$141)</f>
        <v>1</v>
      </c>
      <c r="B142" s="8"/>
      <c r="C142" s="16"/>
      <c r="D142" s="70"/>
      <c r="E142" s="36"/>
      <c r="F142" s="70"/>
      <c r="G142" s="70"/>
      <c r="H142" s="70"/>
      <c r="I142" s="8"/>
      <c r="J142" s="70"/>
      <c r="K142" s="8"/>
      <c r="L142" s="8"/>
      <c r="M142" s="47"/>
      <c r="N142" s="8"/>
      <c r="O142" s="8"/>
      <c r="P142" s="8"/>
      <c r="Q142" s="14"/>
      <c r="R142" s="14"/>
      <c r="T142" s="7"/>
      <c r="U142" s="7"/>
    </row>
    <row r="143" spans="1:21" s="6" customFormat="1" ht="60" customHeight="1">
      <c r="A143" s="14" t="b">
        <f>A142</f>
        <v>1</v>
      </c>
      <c r="B143" s="8"/>
      <c r="C143" s="19" t="s">
        <v>84</v>
      </c>
      <c r="D143" s="70"/>
      <c r="E143" s="37" t="s">
        <v>85</v>
      </c>
      <c r="F143" s="70"/>
      <c r="G143" s="83"/>
      <c r="H143" s="70"/>
      <c r="I143" s="32"/>
      <c r="J143" s="70"/>
      <c r="K143" s="32"/>
      <c r="L143" s="8"/>
      <c r="M143" s="51"/>
      <c r="N143" s="8"/>
      <c r="O143" s="32"/>
      <c r="P143" s="8"/>
      <c r="Q143" s="14"/>
      <c r="R143" s="14"/>
      <c r="T143" s="7"/>
      <c r="U143" s="7"/>
    </row>
    <row r="144" spans="1:21" ht="6" customHeight="1">
      <c r="A144" s="14" t="b">
        <v>1</v>
      </c>
      <c r="B144" s="8"/>
      <c r="C144" s="16"/>
      <c r="D144" s="70"/>
      <c r="E144" s="36"/>
      <c r="F144" s="70"/>
      <c r="G144" s="70"/>
      <c r="H144" s="70"/>
      <c r="I144" s="8"/>
      <c r="J144" s="70"/>
      <c r="K144" s="8"/>
      <c r="L144" s="8"/>
      <c r="M144" s="47"/>
      <c r="N144" s="8"/>
      <c r="O144" s="8"/>
      <c r="P144" s="8"/>
      <c r="Q144" s="14"/>
      <c r="R144" s="14"/>
    </row>
    <row r="145" spans="1:21" ht="86.1" customHeight="1">
      <c r="A145" s="14" t="b">
        <v>1</v>
      </c>
      <c r="B145" s="8"/>
      <c r="C145" s="19">
        <v>6.3</v>
      </c>
      <c r="D145" s="62"/>
      <c r="E145" s="30" t="s">
        <v>86</v>
      </c>
      <c r="F145" s="62"/>
      <c r="G145" s="52"/>
      <c r="H145" s="62"/>
      <c r="I145" s="32"/>
      <c r="J145" s="62"/>
      <c r="K145" s="32"/>
      <c r="L145" s="8"/>
      <c r="M145" s="51"/>
      <c r="N145" s="8"/>
      <c r="O145" s="32"/>
      <c r="P145" s="8"/>
      <c r="Q145" s="14" t="b">
        <v>0</v>
      </c>
      <c r="R145" s="14"/>
    </row>
    <row r="146" spans="1:21" ht="6" customHeight="1">
      <c r="A146" s="14" t="b">
        <f>NOT($Q$145)</f>
        <v>1</v>
      </c>
      <c r="B146" s="8"/>
      <c r="C146" s="16"/>
      <c r="D146" s="70"/>
      <c r="E146" s="36"/>
      <c r="F146" s="70"/>
      <c r="G146" s="70"/>
      <c r="H146" s="70"/>
      <c r="I146" s="8"/>
      <c r="J146" s="70"/>
      <c r="K146" s="8"/>
      <c r="L146" s="8"/>
      <c r="M146" s="47"/>
      <c r="N146" s="8"/>
      <c r="O146" s="8"/>
      <c r="P146" s="8"/>
      <c r="Q146" s="14"/>
      <c r="R146" s="14"/>
    </row>
    <row r="147" spans="1:21" ht="60" customHeight="1">
      <c r="A147" s="14" t="b">
        <f>A146</f>
        <v>1</v>
      </c>
      <c r="B147" s="8"/>
      <c r="C147" s="19" t="s">
        <v>87</v>
      </c>
      <c r="D147" s="70"/>
      <c r="E147" s="37" t="s">
        <v>88</v>
      </c>
      <c r="F147" s="70"/>
      <c r="G147" s="83"/>
      <c r="H147" s="70"/>
      <c r="I147" s="32"/>
      <c r="J147" s="70"/>
      <c r="K147" s="32"/>
      <c r="L147" s="8"/>
      <c r="M147" s="51"/>
      <c r="N147" s="8"/>
      <c r="O147" s="32"/>
      <c r="P147" s="8"/>
      <c r="Q147" s="14"/>
      <c r="R147" s="14"/>
    </row>
    <row r="148" spans="1:21" ht="6" hidden="1" customHeight="1">
      <c r="A148" s="14" t="b">
        <f>OR($Q$141,$Q$145)</f>
        <v>0</v>
      </c>
      <c r="B148" s="8"/>
      <c r="C148" s="16"/>
      <c r="D148" s="62"/>
      <c r="E148" s="36"/>
      <c r="F148" s="62"/>
      <c r="G148" s="62"/>
      <c r="H148" s="62"/>
      <c r="I148" s="8"/>
      <c r="J148" s="62"/>
      <c r="K148" s="8"/>
      <c r="L148" s="8"/>
      <c r="M148" s="47"/>
      <c r="N148" s="8"/>
      <c r="O148" s="8"/>
      <c r="P148" s="8"/>
      <c r="Q148" s="14"/>
      <c r="R148" s="14"/>
    </row>
    <row r="149" spans="1:21" ht="60" hidden="1" customHeight="1">
      <c r="A149" s="14" t="b">
        <f>A148</f>
        <v>0</v>
      </c>
      <c r="B149" s="8"/>
      <c r="C149" s="19">
        <v>6.4</v>
      </c>
      <c r="D149" s="70"/>
      <c r="E149" s="30" t="s">
        <v>89</v>
      </c>
      <c r="F149" s="70"/>
      <c r="G149" s="38"/>
      <c r="H149" s="70"/>
      <c r="I149" s="32"/>
      <c r="J149" s="70"/>
      <c r="K149" s="32"/>
      <c r="L149" s="8"/>
      <c r="M149" s="51"/>
      <c r="N149" s="8"/>
      <c r="O149" s="51"/>
      <c r="P149" s="8"/>
      <c r="Q149" s="14" t="b">
        <v>0</v>
      </c>
      <c r="R149" s="14"/>
    </row>
    <row r="150" spans="1:21" ht="6" customHeight="1">
      <c r="A150" s="14" t="b">
        <v>1</v>
      </c>
      <c r="B150" s="8"/>
      <c r="C150" s="16"/>
      <c r="D150" s="21"/>
      <c r="E150" s="36"/>
      <c r="F150" s="21"/>
      <c r="G150" s="21"/>
      <c r="H150" s="21"/>
      <c r="I150" s="21"/>
      <c r="J150" s="21"/>
      <c r="K150" s="8"/>
      <c r="L150" s="8"/>
      <c r="M150" s="47"/>
      <c r="N150" s="8"/>
      <c r="O150" s="8"/>
      <c r="P150" s="8"/>
      <c r="Q150" s="14"/>
      <c r="R150" s="14"/>
    </row>
    <row r="151" spans="1:21" ht="60" customHeight="1">
      <c r="A151" s="14" t="b">
        <v>1</v>
      </c>
      <c r="B151" s="8"/>
      <c r="C151" s="16">
        <v>6.4</v>
      </c>
      <c r="D151" s="21"/>
      <c r="E151" s="30" t="s">
        <v>90</v>
      </c>
      <c r="F151" s="21"/>
      <c r="G151" s="278"/>
      <c r="H151" s="278"/>
      <c r="I151" s="278"/>
      <c r="J151" s="278"/>
      <c r="K151" s="278"/>
      <c r="L151" s="8"/>
      <c r="M151" s="137"/>
      <c r="N151" s="8"/>
      <c r="O151" s="137"/>
      <c r="P151" s="8"/>
      <c r="Q151" s="54"/>
      <c r="R151" s="54"/>
      <c r="S151" s="59"/>
      <c r="T151" s="57"/>
      <c r="U151" s="57"/>
    </row>
    <row r="152" spans="1:21" ht="15" customHeight="1" thickBot="1">
      <c r="A152" s="14" t="b">
        <v>1</v>
      </c>
      <c r="B152" s="8"/>
      <c r="C152" s="41"/>
      <c r="D152" s="70"/>
      <c r="E152" s="70"/>
      <c r="F152" s="70"/>
      <c r="G152" s="70"/>
      <c r="H152" s="70"/>
      <c r="I152" s="70"/>
      <c r="J152" s="70"/>
      <c r="K152" s="8"/>
      <c r="L152" s="8"/>
      <c r="M152" s="47"/>
      <c r="N152" s="8"/>
      <c r="O152" s="8"/>
      <c r="P152" s="8"/>
      <c r="Q152" s="14"/>
      <c r="R152" s="14"/>
    </row>
    <row r="153" spans="1:21" ht="15" customHeight="1" collapsed="1">
      <c r="A153" s="14" t="b">
        <v>1</v>
      </c>
      <c r="B153" s="8"/>
      <c r="C153" s="42"/>
      <c r="D153" s="73"/>
      <c r="E153" s="73"/>
      <c r="F153" s="73"/>
      <c r="G153" s="73"/>
      <c r="H153" s="73"/>
      <c r="I153" s="73"/>
      <c r="J153" s="73"/>
      <c r="K153" s="46"/>
      <c r="L153" s="46"/>
      <c r="M153" s="61"/>
      <c r="N153" s="46"/>
      <c r="O153" s="46"/>
      <c r="P153" s="8"/>
      <c r="Q153" s="14"/>
      <c r="R153" s="14"/>
    </row>
    <row r="154" spans="1:21" ht="15" customHeight="1">
      <c r="A154" s="14" t="b">
        <v>1</v>
      </c>
      <c r="B154" s="8"/>
      <c r="C154" s="15" t="s">
        <v>91</v>
      </c>
      <c r="D154" s="16"/>
      <c r="E154" s="17" t="s">
        <v>92</v>
      </c>
      <c r="F154" s="62"/>
      <c r="G154" s="17" t="str">
        <f>G$7</f>
        <v>Answer</v>
      </c>
      <c r="H154" s="18"/>
      <c r="I154" s="17" t="s">
        <v>7</v>
      </c>
      <c r="J154" s="18"/>
      <c r="K154" s="17" t="str">
        <f>K$7</f>
        <v>General Comments</v>
      </c>
      <c r="L154" s="8"/>
      <c r="M154" s="273" t="s">
        <v>290</v>
      </c>
      <c r="N154" s="8"/>
      <c r="O154" s="274" t="s">
        <v>291</v>
      </c>
      <c r="P154" s="8"/>
      <c r="Q154" s="14"/>
      <c r="R154" s="14"/>
    </row>
    <row r="155" spans="1:21" ht="15" customHeight="1">
      <c r="A155" s="14" t="b">
        <v>1</v>
      </c>
      <c r="B155" s="8"/>
      <c r="C155" s="19"/>
      <c r="D155" s="16"/>
      <c r="E155" s="17"/>
      <c r="F155" s="18"/>
      <c r="G155" s="17"/>
      <c r="H155" s="18"/>
      <c r="I155" s="17"/>
      <c r="J155" s="18"/>
      <c r="K155" s="17"/>
      <c r="L155" s="8"/>
      <c r="M155" s="273"/>
      <c r="N155" s="8"/>
      <c r="O155" s="274"/>
      <c r="P155" s="8"/>
      <c r="Q155" s="14"/>
      <c r="R155" s="14"/>
    </row>
    <row r="156" spans="1:21" ht="6" customHeight="1">
      <c r="A156" s="14" t="b">
        <v>1</v>
      </c>
      <c r="B156" s="8"/>
      <c r="C156" s="20"/>
      <c r="D156" s="62"/>
      <c r="E156" s="70"/>
      <c r="F156" s="62"/>
      <c r="G156" s="62"/>
      <c r="H156" s="62"/>
      <c r="I156" s="62"/>
      <c r="J156" s="62"/>
      <c r="K156" s="8"/>
      <c r="L156" s="8"/>
      <c r="M156" s="47"/>
      <c r="N156" s="8"/>
      <c r="O156" s="8"/>
      <c r="P156" s="8"/>
      <c r="Q156" s="14"/>
      <c r="R156" s="14"/>
    </row>
    <row r="157" spans="1:21" ht="18" customHeight="1" collapsed="1">
      <c r="A157" s="14" t="b">
        <v>1</v>
      </c>
      <c r="B157" s="8"/>
      <c r="C157" s="23"/>
      <c r="D157" s="23"/>
      <c r="E157" s="24"/>
      <c r="F157" s="23"/>
      <c r="G157" s="23"/>
      <c r="H157" s="23"/>
      <c r="I157" s="23"/>
      <c r="J157" s="23"/>
      <c r="K157" s="23"/>
      <c r="L157" s="23"/>
      <c r="M157" s="48"/>
      <c r="N157" s="23"/>
      <c r="O157" s="23"/>
      <c r="P157" s="8"/>
      <c r="Q157" s="14"/>
      <c r="R157" s="14"/>
    </row>
    <row r="158" spans="1:21" ht="15" hidden="1" customHeight="1">
      <c r="A158" s="14" t="b">
        <v>0</v>
      </c>
      <c r="B158" s="8"/>
      <c r="C158" s="23"/>
      <c r="D158" s="18"/>
      <c r="E158" s="27" t="s">
        <v>93</v>
      </c>
      <c r="F158" s="18"/>
      <c r="G158" s="22"/>
      <c r="H158" s="18"/>
      <c r="I158" s="18"/>
      <c r="J158" s="18"/>
      <c r="K158" s="8"/>
      <c r="L158" s="8"/>
      <c r="M158" s="47"/>
      <c r="N158" s="8"/>
      <c r="O158" s="8"/>
      <c r="P158" s="8"/>
      <c r="Q158" s="14"/>
      <c r="R158" s="14"/>
    </row>
    <row r="159" spans="1:21" ht="15" hidden="1" customHeight="1">
      <c r="A159" s="14" t="b">
        <f>A158</f>
        <v>0</v>
      </c>
      <c r="B159" s="8"/>
      <c r="C159" s="23"/>
      <c r="D159" s="18"/>
      <c r="E159" s="27" t="s">
        <v>28</v>
      </c>
      <c r="F159" s="18"/>
      <c r="G159" s="22"/>
      <c r="H159" s="18"/>
      <c r="I159" s="18"/>
      <c r="J159" s="18"/>
      <c r="K159" s="8"/>
      <c r="L159" s="8"/>
      <c r="M159" s="47"/>
      <c r="N159" s="8"/>
      <c r="O159" s="8"/>
      <c r="P159" s="8"/>
      <c r="Q159" s="14"/>
      <c r="R159" s="14"/>
    </row>
    <row r="160" spans="1:21" s="6" customFormat="1" ht="15" hidden="1" customHeight="1">
      <c r="A160" s="14" t="b">
        <f>A158</f>
        <v>0</v>
      </c>
      <c r="B160" s="8"/>
      <c r="C160" s="23"/>
      <c r="D160" s="18"/>
      <c r="E160" s="27" t="s">
        <v>94</v>
      </c>
      <c r="F160" s="18"/>
      <c r="G160" s="22"/>
      <c r="H160" s="18"/>
      <c r="I160" s="18"/>
      <c r="J160" s="18"/>
      <c r="K160" s="8"/>
      <c r="L160" s="8"/>
      <c r="M160" s="47"/>
      <c r="N160" s="8"/>
      <c r="O160" s="8"/>
      <c r="P160" s="8"/>
      <c r="Q160" s="14"/>
      <c r="R160" s="14"/>
      <c r="T160" s="7"/>
      <c r="U160" s="7"/>
    </row>
    <row r="161" spans="1:21" s="6" customFormat="1" ht="15" customHeight="1" collapsed="1">
      <c r="A161" s="14" t="b">
        <v>1</v>
      </c>
      <c r="B161" s="8"/>
      <c r="C161" s="16"/>
      <c r="D161" s="18"/>
      <c r="E161" s="21"/>
      <c r="F161" s="18"/>
      <c r="G161" s="22"/>
      <c r="H161" s="18"/>
      <c r="I161" s="18"/>
      <c r="J161" s="18"/>
      <c r="K161" s="8"/>
      <c r="L161" s="8"/>
      <c r="M161" s="47"/>
      <c r="N161" s="8"/>
      <c r="O161" s="8"/>
      <c r="P161" s="8"/>
      <c r="Q161" s="14"/>
      <c r="R161" s="14"/>
      <c r="T161" s="7"/>
      <c r="U161" s="7"/>
    </row>
    <row r="162" spans="1:21" s="6" customFormat="1" ht="60" customHeight="1">
      <c r="A162" s="14" t="b">
        <v>1</v>
      </c>
      <c r="B162" s="8"/>
      <c r="C162" s="19">
        <v>7.1</v>
      </c>
      <c r="D162" s="70"/>
      <c r="E162" s="84" t="s">
        <v>95</v>
      </c>
      <c r="F162" s="70"/>
      <c r="G162" s="78"/>
      <c r="H162" s="70"/>
      <c r="I162" s="32"/>
      <c r="J162" s="70"/>
      <c r="K162" s="32"/>
      <c r="L162" s="8"/>
      <c r="M162" s="51"/>
      <c r="N162" s="8"/>
      <c r="O162" s="32"/>
      <c r="P162" s="8"/>
      <c r="Q162" s="14" t="b">
        <v>0</v>
      </c>
      <c r="R162" s="14"/>
      <c r="T162" s="7"/>
      <c r="U162" s="7"/>
    </row>
    <row r="163" spans="1:21" s="6" customFormat="1" ht="6" customHeight="1">
      <c r="A163" s="14" t="b">
        <f>NOT($Q$162)</f>
        <v>1</v>
      </c>
      <c r="B163" s="8"/>
      <c r="C163" s="16"/>
      <c r="D163" s="62"/>
      <c r="E163" s="36"/>
      <c r="F163" s="62"/>
      <c r="G163" s="62"/>
      <c r="H163" s="62"/>
      <c r="I163" s="8"/>
      <c r="J163" s="62"/>
      <c r="K163" s="8"/>
      <c r="L163" s="8"/>
      <c r="M163" s="47"/>
      <c r="N163" s="8"/>
      <c r="O163" s="8"/>
      <c r="P163" s="8"/>
      <c r="Q163" s="14"/>
      <c r="R163" s="14"/>
      <c r="T163" s="7"/>
      <c r="U163" s="7"/>
    </row>
    <row r="164" spans="1:21" s="6" customFormat="1" ht="112.5" customHeight="1">
      <c r="A164" s="14" t="b">
        <f>A163</f>
        <v>1</v>
      </c>
      <c r="B164" s="8"/>
      <c r="C164" s="19" t="s">
        <v>96</v>
      </c>
      <c r="D164" s="70"/>
      <c r="E164" s="85" t="s">
        <v>97</v>
      </c>
      <c r="F164" s="86"/>
      <c r="G164" s="87"/>
      <c r="H164" s="70"/>
      <c r="I164" s="32"/>
      <c r="J164" s="70"/>
      <c r="K164" s="32"/>
      <c r="L164" s="8"/>
      <c r="M164" s="51"/>
      <c r="N164" s="8"/>
      <c r="O164" s="32"/>
      <c r="P164" s="8"/>
      <c r="Q164" s="14">
        <v>0</v>
      </c>
      <c r="R164" s="14"/>
      <c r="T164" s="7"/>
      <c r="U164" s="7"/>
    </row>
    <row r="165" spans="1:21" s="6" customFormat="1" ht="6" customHeight="1">
      <c r="A165" s="14" t="b">
        <f>A163</f>
        <v>1</v>
      </c>
      <c r="B165" s="8"/>
      <c r="C165" s="16"/>
      <c r="D165" s="62"/>
      <c r="E165" s="36"/>
      <c r="F165" s="62"/>
      <c r="G165" s="62"/>
      <c r="H165" s="62"/>
      <c r="I165" s="8"/>
      <c r="J165" s="62"/>
      <c r="K165" s="8"/>
      <c r="L165" s="8"/>
      <c r="M165" s="47"/>
      <c r="N165" s="8"/>
      <c r="O165" s="8"/>
      <c r="P165" s="8"/>
      <c r="Q165" s="14"/>
      <c r="R165" s="14"/>
      <c r="T165" s="7"/>
      <c r="U165" s="7"/>
    </row>
    <row r="166" spans="1:21" s="6" customFormat="1" ht="60" customHeight="1">
      <c r="A166" s="14" t="b">
        <f>A163</f>
        <v>1</v>
      </c>
      <c r="B166" s="8"/>
      <c r="C166" s="19" t="s">
        <v>98</v>
      </c>
      <c r="D166" s="70"/>
      <c r="E166" s="37" t="s">
        <v>99</v>
      </c>
      <c r="F166" s="70"/>
      <c r="G166" s="52"/>
      <c r="H166" s="70"/>
      <c r="I166" s="32"/>
      <c r="J166" s="70"/>
      <c r="K166" s="32"/>
      <c r="L166" s="8"/>
      <c r="M166" s="51"/>
      <c r="N166" s="8"/>
      <c r="O166" s="32"/>
      <c r="P166" s="8"/>
      <c r="Q166" s="14"/>
      <c r="R166" s="14"/>
      <c r="T166" s="7"/>
      <c r="U166" s="7"/>
    </row>
    <row r="167" spans="1:21" s="6" customFormat="1" ht="6" hidden="1" customHeight="1">
      <c r="A167" s="76" t="b">
        <v>0</v>
      </c>
      <c r="B167" s="8"/>
      <c r="C167" s="16"/>
      <c r="D167" s="62"/>
      <c r="E167" s="36"/>
      <c r="F167" s="62"/>
      <c r="G167" s="62"/>
      <c r="H167" s="62"/>
      <c r="I167" s="8"/>
      <c r="J167" s="62"/>
      <c r="K167" s="8"/>
      <c r="L167" s="8"/>
      <c r="M167" s="47"/>
      <c r="N167" s="8"/>
      <c r="O167" s="8"/>
      <c r="P167" s="8"/>
      <c r="Q167" s="14"/>
      <c r="R167" s="14"/>
      <c r="T167" s="7"/>
      <c r="U167" s="7"/>
    </row>
    <row r="168" spans="1:21" s="6" customFormat="1" ht="60" hidden="1" customHeight="1">
      <c r="A168" s="76" t="b">
        <f>A167</f>
        <v>0</v>
      </c>
      <c r="B168" s="8"/>
      <c r="C168" s="19">
        <v>7.2</v>
      </c>
      <c r="D168" s="70"/>
      <c r="E168" s="84" t="s">
        <v>100</v>
      </c>
      <c r="F168" s="70"/>
      <c r="G168" s="78"/>
      <c r="H168" s="70"/>
      <c r="I168" s="32"/>
      <c r="J168" s="70"/>
      <c r="K168" s="32"/>
      <c r="L168" s="8"/>
      <c r="M168" s="51"/>
      <c r="N168" s="8"/>
      <c r="O168" s="32"/>
      <c r="P168" s="8"/>
      <c r="Q168" s="14" t="b">
        <v>0</v>
      </c>
      <c r="R168" s="14"/>
      <c r="T168" s="7"/>
      <c r="U168" s="7"/>
    </row>
    <row r="169" spans="1:21" s="6" customFormat="1" ht="6" hidden="1" customHeight="1">
      <c r="A169" s="14" t="b">
        <v>0</v>
      </c>
      <c r="B169" s="8"/>
      <c r="C169" s="16"/>
      <c r="D169" s="62"/>
      <c r="E169" s="36"/>
      <c r="F169" s="62"/>
      <c r="G169" s="62"/>
      <c r="H169" s="62"/>
      <c r="I169" s="8"/>
      <c r="J169" s="62"/>
      <c r="K169" s="8"/>
      <c r="L169" s="8"/>
      <c r="M169" s="47"/>
      <c r="N169" s="8"/>
      <c r="O169" s="8"/>
      <c r="P169" s="8"/>
      <c r="Q169" s="14"/>
      <c r="R169" s="14"/>
      <c r="T169" s="7"/>
      <c r="U169" s="7"/>
    </row>
    <row r="170" spans="1:21" s="6" customFormat="1" ht="112.5" hidden="1" customHeight="1">
      <c r="A170" s="14" t="b">
        <f>A169</f>
        <v>0</v>
      </c>
      <c r="B170" s="8"/>
      <c r="C170" s="19" t="s">
        <v>101</v>
      </c>
      <c r="D170" s="70"/>
      <c r="E170" s="85" t="s">
        <v>97</v>
      </c>
      <c r="F170" s="86"/>
      <c r="G170" s="87"/>
      <c r="H170" s="70"/>
      <c r="I170" s="32"/>
      <c r="J170" s="70"/>
      <c r="K170" s="32"/>
      <c r="L170" s="8"/>
      <c r="M170" s="51"/>
      <c r="N170" s="8"/>
      <c r="O170" s="32"/>
      <c r="P170" s="8"/>
      <c r="Q170" s="14" t="b">
        <v>0</v>
      </c>
      <c r="R170" s="14"/>
      <c r="T170" s="7"/>
      <c r="U170" s="7"/>
    </row>
    <row r="171" spans="1:21" s="6" customFormat="1" ht="6" hidden="1" customHeight="1">
      <c r="A171" s="14" t="b">
        <v>0</v>
      </c>
      <c r="B171" s="8"/>
      <c r="C171" s="16"/>
      <c r="D171" s="62"/>
      <c r="E171" s="36"/>
      <c r="F171" s="62"/>
      <c r="G171" s="62"/>
      <c r="H171" s="62"/>
      <c r="I171" s="8"/>
      <c r="J171" s="62"/>
      <c r="K171" s="8"/>
      <c r="L171" s="8"/>
      <c r="M171" s="47"/>
      <c r="N171" s="8"/>
      <c r="O171" s="8"/>
      <c r="P171" s="8"/>
      <c r="Q171" s="14"/>
      <c r="R171" s="14"/>
      <c r="T171" s="7"/>
      <c r="U171" s="7"/>
    </row>
    <row r="172" spans="1:21" s="6" customFormat="1" ht="60" hidden="1" customHeight="1">
      <c r="A172" s="14" t="b">
        <f>A171</f>
        <v>0</v>
      </c>
      <c r="B172" s="8"/>
      <c r="C172" s="19" t="s">
        <v>102</v>
      </c>
      <c r="D172" s="70"/>
      <c r="E172" s="85" t="s">
        <v>103</v>
      </c>
      <c r="F172" s="86"/>
      <c r="G172" s="87"/>
      <c r="H172" s="70"/>
      <c r="I172" s="32"/>
      <c r="J172" s="70"/>
      <c r="K172" s="32"/>
      <c r="L172" s="8"/>
      <c r="M172" s="51"/>
      <c r="N172" s="8"/>
      <c r="O172" s="32"/>
      <c r="P172" s="8"/>
      <c r="Q172" s="14"/>
      <c r="R172" s="14"/>
      <c r="T172" s="7"/>
      <c r="U172" s="7"/>
    </row>
    <row r="173" spans="1:21" s="6" customFormat="1" ht="6" hidden="1" customHeight="1">
      <c r="A173" s="14" t="b">
        <v>0</v>
      </c>
      <c r="B173" s="8"/>
      <c r="C173" s="16"/>
      <c r="D173" s="62"/>
      <c r="E173" s="36"/>
      <c r="F173" s="62"/>
      <c r="G173" s="62"/>
      <c r="H173" s="62"/>
      <c r="I173" s="8"/>
      <c r="J173" s="62"/>
      <c r="K173" s="8"/>
      <c r="L173" s="8"/>
      <c r="M173" s="47"/>
      <c r="N173" s="8"/>
      <c r="O173" s="8"/>
      <c r="P173" s="8"/>
      <c r="Q173" s="14"/>
      <c r="R173" s="14"/>
      <c r="T173" s="7"/>
      <c r="U173" s="7"/>
    </row>
    <row r="174" spans="1:21" s="6" customFormat="1" ht="60" hidden="1" customHeight="1">
      <c r="A174" s="14" t="b">
        <f>A173</f>
        <v>0</v>
      </c>
      <c r="B174" s="8"/>
      <c r="C174" s="19" t="s">
        <v>104</v>
      </c>
      <c r="D174" s="70"/>
      <c r="E174" s="74" t="s">
        <v>105</v>
      </c>
      <c r="F174" s="70"/>
      <c r="G174" s="38"/>
      <c r="H174" s="70"/>
      <c r="I174" s="32"/>
      <c r="J174" s="70"/>
      <c r="K174" s="32"/>
      <c r="L174" s="8"/>
      <c r="M174" s="51"/>
      <c r="N174" s="8"/>
      <c r="O174" s="32"/>
      <c r="P174" s="8"/>
      <c r="Q174" s="14"/>
      <c r="R174" s="14"/>
      <c r="T174" s="7"/>
      <c r="U174" s="7"/>
    </row>
    <row r="175" spans="1:21" s="6" customFormat="1" ht="6" hidden="1" customHeight="1">
      <c r="A175" s="14" t="b">
        <v>0</v>
      </c>
      <c r="B175" s="8"/>
      <c r="C175" s="16"/>
      <c r="D175" s="62"/>
      <c r="E175" s="36"/>
      <c r="F175" s="62"/>
      <c r="G175" s="62"/>
      <c r="H175" s="62"/>
      <c r="I175" s="8"/>
      <c r="J175" s="62"/>
      <c r="K175" s="8"/>
      <c r="L175" s="8"/>
      <c r="M175" s="47"/>
      <c r="N175" s="8"/>
      <c r="O175" s="8"/>
      <c r="P175" s="8"/>
      <c r="Q175" s="14"/>
      <c r="R175" s="14"/>
      <c r="T175" s="7"/>
      <c r="U175" s="7"/>
    </row>
    <row r="176" spans="1:21" ht="60" hidden="1" customHeight="1">
      <c r="A176" s="14" t="b">
        <f>A169</f>
        <v>0</v>
      </c>
      <c r="B176" s="8"/>
      <c r="C176" s="19" t="s">
        <v>106</v>
      </c>
      <c r="D176" s="70"/>
      <c r="E176" s="37" t="s">
        <v>107</v>
      </c>
      <c r="F176" s="70"/>
      <c r="G176" s="50"/>
      <c r="H176" s="70"/>
      <c r="I176" s="32"/>
      <c r="J176" s="70"/>
      <c r="K176" s="32"/>
      <c r="L176" s="8"/>
      <c r="M176" s="51"/>
      <c r="N176" s="8"/>
      <c r="O176" s="32"/>
      <c r="P176" s="8"/>
      <c r="Q176" s="14"/>
      <c r="R176" s="14"/>
    </row>
    <row r="177" spans="1:21" ht="6" customHeight="1">
      <c r="A177" s="14" t="b">
        <v>1</v>
      </c>
      <c r="B177" s="8"/>
      <c r="C177" s="16"/>
      <c r="D177" s="62"/>
      <c r="E177" s="36"/>
      <c r="F177" s="62"/>
      <c r="G177" s="62"/>
      <c r="H177" s="62"/>
      <c r="I177" s="8"/>
      <c r="J177" s="62"/>
      <c r="K177" s="8"/>
      <c r="L177" s="8"/>
      <c r="M177" s="47"/>
      <c r="N177" s="8"/>
      <c r="O177" s="8"/>
      <c r="P177" s="8"/>
      <c r="Q177" s="14"/>
      <c r="R177" s="14"/>
    </row>
    <row r="178" spans="1:21" ht="60" customHeight="1">
      <c r="A178" s="14" t="b">
        <v>1</v>
      </c>
      <c r="B178" s="8"/>
      <c r="C178" s="19">
        <v>7.3</v>
      </c>
      <c r="D178" s="70"/>
      <c r="E178" s="84" t="s">
        <v>108</v>
      </c>
      <c r="F178" s="70"/>
      <c r="G178" s="78"/>
      <c r="H178" s="70"/>
      <c r="I178" s="32"/>
      <c r="J178" s="70"/>
      <c r="K178" s="32"/>
      <c r="L178" s="8"/>
      <c r="M178" s="51"/>
      <c r="N178" s="8"/>
      <c r="O178" s="32"/>
      <c r="P178" s="8"/>
      <c r="Q178" s="14" t="b">
        <v>0</v>
      </c>
      <c r="R178" s="14"/>
    </row>
    <row r="179" spans="1:21" ht="6" hidden="1" customHeight="1">
      <c r="A179" s="14" t="b">
        <v>0</v>
      </c>
      <c r="B179" s="8"/>
      <c r="C179" s="16"/>
      <c r="D179" s="62"/>
      <c r="E179" s="36"/>
      <c r="F179" s="62"/>
      <c r="G179" s="62"/>
      <c r="H179" s="62"/>
      <c r="I179" s="8"/>
      <c r="J179" s="62"/>
      <c r="K179" s="8"/>
      <c r="L179" s="8"/>
      <c r="M179" s="47"/>
      <c r="N179" s="8"/>
      <c r="O179" s="8"/>
      <c r="P179" s="8"/>
      <c r="Q179" s="14"/>
      <c r="R179" s="14"/>
    </row>
    <row r="180" spans="1:21" ht="60" hidden="1" customHeight="1">
      <c r="A180" s="14" t="b">
        <f>A179</f>
        <v>0</v>
      </c>
      <c r="B180" s="8"/>
      <c r="C180" s="19" t="s">
        <v>109</v>
      </c>
      <c r="D180" s="70"/>
      <c r="E180" s="74" t="s">
        <v>105</v>
      </c>
      <c r="F180" s="70"/>
      <c r="G180" s="38"/>
      <c r="H180" s="70"/>
      <c r="I180" s="32"/>
      <c r="J180" s="70"/>
      <c r="K180" s="32"/>
      <c r="L180" s="8"/>
      <c r="M180" s="51"/>
      <c r="N180" s="8"/>
      <c r="O180" s="32"/>
      <c r="P180" s="8"/>
      <c r="Q180" s="14"/>
      <c r="R180" s="14"/>
    </row>
    <row r="181" spans="1:21" ht="6" customHeight="1">
      <c r="A181" s="14" t="b">
        <f>NOT($Q$178)</f>
        <v>1</v>
      </c>
      <c r="B181" s="8"/>
      <c r="C181" s="16"/>
      <c r="D181" s="62"/>
      <c r="E181" s="36"/>
      <c r="F181" s="62"/>
      <c r="G181" s="62"/>
      <c r="H181" s="62"/>
      <c r="I181" s="8"/>
      <c r="J181" s="62"/>
      <c r="K181" s="8"/>
      <c r="L181" s="8"/>
      <c r="M181" s="47"/>
      <c r="N181" s="8"/>
      <c r="O181" s="8"/>
      <c r="P181" s="8"/>
      <c r="Q181" s="14"/>
      <c r="R181" s="14"/>
    </row>
    <row r="182" spans="1:21" ht="60" customHeight="1">
      <c r="A182" s="14" t="b">
        <f>A181</f>
        <v>1</v>
      </c>
      <c r="B182" s="8"/>
      <c r="C182" s="19" t="s">
        <v>110</v>
      </c>
      <c r="D182" s="70"/>
      <c r="E182" s="37" t="s">
        <v>111</v>
      </c>
      <c r="F182" s="70"/>
      <c r="G182" s="50"/>
      <c r="H182" s="70"/>
      <c r="I182" s="32"/>
      <c r="J182" s="70"/>
      <c r="K182" s="32"/>
      <c r="L182" s="8"/>
      <c r="M182" s="51"/>
      <c r="N182" s="8"/>
      <c r="O182" s="32"/>
      <c r="P182" s="8"/>
      <c r="Q182" s="14"/>
      <c r="R182" s="14"/>
    </row>
    <row r="183" spans="1:21" ht="6" customHeight="1">
      <c r="A183" s="14" t="b">
        <v>1</v>
      </c>
      <c r="B183" s="8"/>
      <c r="C183" s="16"/>
      <c r="D183" s="21"/>
      <c r="E183" s="36"/>
      <c r="F183" s="21"/>
      <c r="G183" s="21"/>
      <c r="H183" s="21"/>
      <c r="I183" s="8"/>
      <c r="J183" s="21"/>
      <c r="K183" s="8"/>
      <c r="L183" s="8"/>
      <c r="M183" s="47"/>
      <c r="N183" s="8"/>
      <c r="O183" s="8"/>
      <c r="P183" s="8"/>
      <c r="Q183" s="14"/>
      <c r="R183" s="14"/>
    </row>
    <row r="184" spans="1:21" ht="60" customHeight="1">
      <c r="A184" s="14" t="b">
        <v>1</v>
      </c>
      <c r="B184" s="8"/>
      <c r="C184" s="19">
        <v>7.4</v>
      </c>
      <c r="D184" s="70"/>
      <c r="E184" s="88" t="s">
        <v>112</v>
      </c>
      <c r="F184" s="70"/>
      <c r="G184" s="50"/>
      <c r="H184" s="70"/>
      <c r="I184" s="32"/>
      <c r="J184" s="70"/>
      <c r="K184" s="32"/>
      <c r="L184" s="8"/>
      <c r="M184" s="51"/>
      <c r="N184" s="8"/>
      <c r="O184" s="32"/>
      <c r="P184" s="8"/>
      <c r="Q184" s="14"/>
      <c r="R184" s="14"/>
    </row>
    <row r="185" spans="1:21" ht="6" customHeight="1">
      <c r="A185" s="14" t="b">
        <v>1</v>
      </c>
      <c r="B185" s="8"/>
      <c r="C185" s="16"/>
      <c r="D185" s="21"/>
      <c r="E185" s="36"/>
      <c r="F185" s="21"/>
      <c r="G185" s="21"/>
      <c r="H185" s="21"/>
      <c r="I185" s="21"/>
      <c r="J185" s="21"/>
      <c r="K185" s="8"/>
      <c r="L185" s="8"/>
      <c r="M185" s="47"/>
      <c r="N185" s="8"/>
      <c r="O185" s="8"/>
      <c r="P185" s="8"/>
      <c r="Q185" s="14"/>
      <c r="R185" s="14"/>
    </row>
    <row r="186" spans="1:21" ht="60" customHeight="1">
      <c r="A186" s="14" t="b">
        <v>1</v>
      </c>
      <c r="B186" s="8"/>
      <c r="C186" s="16">
        <v>7.5</v>
      </c>
      <c r="D186" s="21"/>
      <c r="E186" s="30" t="s">
        <v>113</v>
      </c>
      <c r="F186" s="21"/>
      <c r="G186" s="278"/>
      <c r="H186" s="278"/>
      <c r="I186" s="278"/>
      <c r="J186" s="278"/>
      <c r="K186" s="278"/>
      <c r="L186" s="8"/>
      <c r="M186" s="137"/>
      <c r="N186" s="8"/>
      <c r="O186" s="137"/>
      <c r="P186" s="8"/>
      <c r="Q186" s="54"/>
      <c r="R186" s="54"/>
      <c r="S186" s="59"/>
      <c r="T186" s="57"/>
      <c r="U186" s="57"/>
    </row>
    <row r="187" spans="1:21" ht="6" customHeight="1">
      <c r="A187" s="14" t="b">
        <v>1</v>
      </c>
      <c r="B187" s="8"/>
      <c r="C187" s="89"/>
      <c r="D187" s="18"/>
      <c r="E187" s="21"/>
      <c r="F187" s="18"/>
      <c r="G187" s="22"/>
      <c r="H187" s="18"/>
      <c r="I187" s="18"/>
      <c r="J187" s="18"/>
      <c r="K187" s="8"/>
      <c r="L187" s="8"/>
      <c r="M187" s="47"/>
      <c r="N187" s="8"/>
      <c r="O187" s="8"/>
      <c r="P187" s="8"/>
      <c r="Q187" s="14"/>
      <c r="R187" s="14"/>
    </row>
    <row r="188" spans="1:21" ht="60" customHeight="1">
      <c r="A188" s="14" t="b">
        <v>1</v>
      </c>
      <c r="B188" s="8"/>
      <c r="C188" s="16">
        <v>7.6</v>
      </c>
      <c r="D188" s="18"/>
      <c r="E188" s="30" t="s">
        <v>114</v>
      </c>
      <c r="F188" s="18"/>
      <c r="G188" s="278"/>
      <c r="H188" s="278"/>
      <c r="I188" s="278"/>
      <c r="J188" s="278"/>
      <c r="K188" s="278"/>
      <c r="L188" s="8"/>
      <c r="M188" s="137"/>
      <c r="N188" s="8"/>
      <c r="O188" s="137"/>
      <c r="P188" s="8"/>
      <c r="Q188" s="14"/>
      <c r="R188" s="14"/>
    </row>
    <row r="189" spans="1:21" ht="15" customHeight="1" thickBot="1">
      <c r="A189" s="14" t="b">
        <v>1</v>
      </c>
      <c r="B189" s="8"/>
      <c r="C189" s="41"/>
      <c r="D189" s="70"/>
      <c r="E189" s="70"/>
      <c r="F189" s="70"/>
      <c r="G189" s="70"/>
      <c r="H189" s="70"/>
      <c r="I189" s="70"/>
      <c r="J189" s="70"/>
      <c r="K189" s="8"/>
      <c r="L189" s="8"/>
      <c r="M189" s="47"/>
      <c r="N189" s="8"/>
      <c r="O189" s="8"/>
      <c r="P189" s="8"/>
      <c r="Q189" s="14"/>
      <c r="R189" s="14"/>
    </row>
    <row r="190" spans="1:21" ht="15" customHeight="1" collapsed="1">
      <c r="A190" s="14" t="b">
        <v>1</v>
      </c>
      <c r="B190" s="8"/>
      <c r="C190" s="42"/>
      <c r="D190" s="73"/>
      <c r="E190" s="73"/>
      <c r="F190" s="73"/>
      <c r="G190" s="73"/>
      <c r="H190" s="73"/>
      <c r="I190" s="73"/>
      <c r="J190" s="73"/>
      <c r="K190" s="46"/>
      <c r="L190" s="46"/>
      <c r="M190" s="61"/>
      <c r="N190" s="46"/>
      <c r="O190" s="46"/>
      <c r="P190" s="8"/>
      <c r="Q190" s="14"/>
      <c r="R190" s="14"/>
    </row>
    <row r="191" spans="1:21" ht="15" customHeight="1">
      <c r="A191" s="14" t="b">
        <v>1</v>
      </c>
      <c r="B191" s="8"/>
      <c r="C191" s="15" t="s">
        <v>115</v>
      </c>
      <c r="D191" s="16"/>
      <c r="E191" s="17" t="s">
        <v>116</v>
      </c>
      <c r="F191" s="62"/>
      <c r="G191" s="17" t="str">
        <f>G$7</f>
        <v>Answer</v>
      </c>
      <c r="H191" s="18"/>
      <c r="I191" s="17" t="s">
        <v>7</v>
      </c>
      <c r="J191" s="18"/>
      <c r="K191" s="17" t="str">
        <f>K$7</f>
        <v>General Comments</v>
      </c>
      <c r="L191" s="8"/>
      <c r="M191" s="273" t="s">
        <v>290</v>
      </c>
      <c r="N191" s="8"/>
      <c r="O191" s="274" t="s">
        <v>291</v>
      </c>
      <c r="P191" s="8"/>
      <c r="Q191" s="14"/>
      <c r="R191" s="14"/>
    </row>
    <row r="192" spans="1:21" ht="15" customHeight="1">
      <c r="A192" s="14" t="b">
        <v>1</v>
      </c>
      <c r="B192" s="8"/>
      <c r="C192" s="19"/>
      <c r="D192" s="16"/>
      <c r="E192" s="17"/>
      <c r="F192" s="18"/>
      <c r="G192" s="17"/>
      <c r="H192" s="18"/>
      <c r="I192" s="17"/>
      <c r="J192" s="18"/>
      <c r="K192" s="17"/>
      <c r="L192" s="8"/>
      <c r="M192" s="273"/>
      <c r="N192" s="8"/>
      <c r="O192" s="274"/>
      <c r="P192" s="8"/>
      <c r="Q192" s="14"/>
      <c r="R192" s="14"/>
    </row>
    <row r="193" spans="1:21" ht="6" customHeight="1">
      <c r="A193" s="14" t="b">
        <v>1</v>
      </c>
      <c r="B193" s="8"/>
      <c r="C193" s="20"/>
      <c r="D193" s="62"/>
      <c r="E193" s="70"/>
      <c r="F193" s="62"/>
      <c r="G193" s="62"/>
      <c r="H193" s="62"/>
      <c r="I193" s="62"/>
      <c r="J193" s="62"/>
      <c r="K193" s="8"/>
      <c r="L193" s="8"/>
      <c r="M193" s="47"/>
      <c r="N193" s="8"/>
      <c r="O193" s="8"/>
      <c r="P193" s="8"/>
      <c r="Q193" s="14"/>
      <c r="R193" s="14"/>
    </row>
    <row r="194" spans="1:21" ht="18" customHeight="1" collapsed="1">
      <c r="A194" s="14" t="b">
        <v>1</v>
      </c>
      <c r="B194" s="8"/>
      <c r="C194" s="23"/>
      <c r="D194" s="23"/>
      <c r="E194" s="24"/>
      <c r="F194" s="23"/>
      <c r="G194" s="23"/>
      <c r="H194" s="23"/>
      <c r="I194" s="23"/>
      <c r="J194" s="23"/>
      <c r="K194" s="23"/>
      <c r="L194" s="23"/>
      <c r="M194" s="48"/>
      <c r="N194" s="23"/>
      <c r="O194" s="23"/>
      <c r="P194" s="8"/>
      <c r="Q194" s="14"/>
      <c r="R194" s="14"/>
    </row>
    <row r="195" spans="1:21" ht="15" hidden="1" customHeight="1">
      <c r="A195" s="14" t="b">
        <v>0</v>
      </c>
      <c r="B195" s="8"/>
      <c r="C195" s="23"/>
      <c r="D195" s="18"/>
      <c r="E195" s="27" t="s">
        <v>117</v>
      </c>
      <c r="F195" s="18"/>
      <c r="G195" s="22"/>
      <c r="H195" s="18"/>
      <c r="I195" s="18"/>
      <c r="J195" s="18"/>
      <c r="K195" s="8"/>
      <c r="L195" s="8"/>
      <c r="M195" s="47"/>
      <c r="N195" s="8"/>
      <c r="O195" s="8"/>
      <c r="P195" s="8"/>
      <c r="Q195" s="14"/>
      <c r="R195" s="14"/>
    </row>
    <row r="196" spans="1:21" ht="15" hidden="1" customHeight="1">
      <c r="A196" s="14" t="b">
        <f>A195</f>
        <v>0</v>
      </c>
      <c r="B196" s="8"/>
      <c r="C196" s="23"/>
      <c r="D196" s="18"/>
      <c r="E196" s="27" t="s">
        <v>26</v>
      </c>
      <c r="F196" s="18"/>
      <c r="G196" s="22"/>
      <c r="H196" s="18"/>
      <c r="I196" s="18"/>
      <c r="J196" s="18"/>
      <c r="K196" s="8"/>
      <c r="L196" s="8"/>
      <c r="M196" s="47"/>
      <c r="N196" s="8"/>
      <c r="O196" s="8"/>
      <c r="P196" s="8"/>
      <c r="Q196" s="14"/>
      <c r="R196" s="14"/>
    </row>
    <row r="197" spans="1:21" ht="15" hidden="1" customHeight="1">
      <c r="A197" s="14" t="b">
        <f>A195</f>
        <v>0</v>
      </c>
      <c r="B197" s="8"/>
      <c r="C197" s="23"/>
      <c r="D197" s="18"/>
      <c r="E197" s="27" t="s">
        <v>118</v>
      </c>
      <c r="F197" s="18"/>
      <c r="G197" s="22"/>
      <c r="H197" s="18"/>
      <c r="I197" s="18"/>
      <c r="J197" s="18"/>
      <c r="K197" s="8"/>
      <c r="L197" s="8"/>
      <c r="M197" s="47"/>
      <c r="N197" s="8"/>
      <c r="O197" s="8"/>
      <c r="P197" s="8"/>
      <c r="Q197" s="14"/>
      <c r="R197" s="14"/>
    </row>
    <row r="198" spans="1:21" ht="15" customHeight="1" collapsed="1">
      <c r="A198" s="14" t="b">
        <v>1</v>
      </c>
      <c r="B198" s="8"/>
      <c r="C198" s="16"/>
      <c r="D198" s="18"/>
      <c r="E198" s="21"/>
      <c r="F198" s="18"/>
      <c r="G198" s="22"/>
      <c r="H198" s="18"/>
      <c r="I198" s="18"/>
      <c r="J198" s="18"/>
      <c r="K198" s="8"/>
      <c r="L198" s="8"/>
      <c r="M198" s="47"/>
      <c r="N198" s="8"/>
      <c r="O198" s="8"/>
      <c r="P198" s="8"/>
      <c r="Q198" s="14"/>
      <c r="R198" s="14"/>
    </row>
    <row r="199" spans="1:21" ht="60" customHeight="1" collapsed="1">
      <c r="A199" s="14" t="b">
        <v>1</v>
      </c>
      <c r="B199" s="8"/>
      <c r="C199" s="19">
        <v>8.1</v>
      </c>
      <c r="D199" s="70"/>
      <c r="E199" s="30" t="s">
        <v>119</v>
      </c>
      <c r="F199" s="70"/>
      <c r="G199" s="38"/>
      <c r="H199" s="70"/>
      <c r="I199" s="32"/>
      <c r="J199" s="70"/>
      <c r="K199" s="32"/>
      <c r="L199" s="8"/>
      <c r="M199" s="137"/>
      <c r="N199" s="8"/>
      <c r="O199" s="137"/>
      <c r="P199" s="8"/>
      <c r="Q199" s="14" t="b">
        <v>0</v>
      </c>
      <c r="R199" s="14"/>
    </row>
    <row r="200" spans="1:21" ht="6" hidden="1" customHeight="1">
      <c r="A200" s="76" t="b">
        <v>0</v>
      </c>
      <c r="B200" s="8"/>
      <c r="C200" s="16"/>
      <c r="D200" s="21"/>
      <c r="E200" s="36"/>
      <c r="F200" s="21"/>
      <c r="G200" s="21"/>
      <c r="H200" s="21"/>
      <c r="I200" s="21"/>
      <c r="J200" s="21"/>
      <c r="K200" s="8"/>
      <c r="L200" s="8"/>
      <c r="M200" s="47"/>
      <c r="N200" s="8"/>
      <c r="O200" s="8"/>
      <c r="P200" s="8"/>
      <c r="Q200" s="14"/>
      <c r="R200" s="14"/>
    </row>
    <row r="201" spans="1:21" ht="60" hidden="1" customHeight="1">
      <c r="A201" s="76" t="b">
        <f>A200</f>
        <v>0</v>
      </c>
      <c r="B201" s="8"/>
      <c r="C201" s="19">
        <v>8.1999999999999993</v>
      </c>
      <c r="D201" s="62"/>
      <c r="E201" s="84" t="s">
        <v>120</v>
      </c>
      <c r="F201" s="62"/>
      <c r="G201" s="78"/>
      <c r="H201" s="62"/>
      <c r="I201" s="32"/>
      <c r="J201" s="62"/>
      <c r="K201" s="32"/>
      <c r="L201" s="8"/>
      <c r="M201" s="51"/>
      <c r="N201" s="8"/>
      <c r="O201" s="32"/>
      <c r="P201" s="8"/>
      <c r="Q201" s="14" t="b">
        <v>0</v>
      </c>
      <c r="R201" s="14"/>
    </row>
    <row r="202" spans="1:21" ht="6" hidden="1" customHeight="1">
      <c r="A202" s="14" t="b">
        <v>0</v>
      </c>
      <c r="B202" s="8"/>
      <c r="C202" s="16"/>
      <c r="D202" s="21"/>
      <c r="E202" s="36"/>
      <c r="F202" s="21"/>
      <c r="G202" s="21"/>
      <c r="H202" s="21"/>
      <c r="I202" s="21"/>
      <c r="J202" s="21"/>
      <c r="K202" s="8"/>
      <c r="L202" s="8"/>
      <c r="M202" s="47"/>
      <c r="N202" s="8"/>
      <c r="O202" s="8"/>
      <c r="P202" s="8"/>
      <c r="Q202" s="14"/>
      <c r="R202" s="14"/>
    </row>
    <row r="203" spans="1:21" ht="60" hidden="1" customHeight="1">
      <c r="A203" s="14" t="b">
        <f>A202</f>
        <v>0</v>
      </c>
      <c r="B203" s="8"/>
      <c r="C203" s="19" t="s">
        <v>121</v>
      </c>
      <c r="D203" s="90"/>
      <c r="E203" s="91" t="s">
        <v>122</v>
      </c>
      <c r="F203" s="62"/>
      <c r="G203" s="38"/>
      <c r="H203" s="62"/>
      <c r="I203" s="32"/>
      <c r="J203" s="62"/>
      <c r="K203" s="32"/>
      <c r="L203" s="8"/>
      <c r="M203" s="51"/>
      <c r="N203" s="8"/>
      <c r="O203" s="32"/>
      <c r="P203" s="8"/>
      <c r="Q203" s="14"/>
      <c r="R203" s="14"/>
    </row>
    <row r="204" spans="1:21" ht="6" customHeight="1">
      <c r="A204" s="14" t="b">
        <v>1</v>
      </c>
      <c r="B204" s="8"/>
      <c r="C204" s="16"/>
      <c r="D204" s="62"/>
      <c r="E204" s="36"/>
      <c r="F204" s="62"/>
      <c r="G204" s="62"/>
      <c r="H204" s="62"/>
      <c r="I204" s="8"/>
      <c r="J204" s="62"/>
      <c r="K204" s="8"/>
      <c r="L204" s="8"/>
      <c r="M204" s="47"/>
      <c r="N204" s="8"/>
      <c r="O204" s="8"/>
      <c r="P204" s="8"/>
      <c r="Q204" s="14"/>
      <c r="R204" s="14"/>
    </row>
    <row r="205" spans="1:21" ht="60" customHeight="1">
      <c r="A205" s="14" t="b">
        <v>1</v>
      </c>
      <c r="B205" s="8"/>
      <c r="C205" s="16">
        <v>8.3000000000000007</v>
      </c>
      <c r="D205" s="21"/>
      <c r="E205" s="30" t="s">
        <v>123</v>
      </c>
      <c r="F205" s="21"/>
      <c r="G205" s="278"/>
      <c r="H205" s="278"/>
      <c r="I205" s="278"/>
      <c r="J205" s="278"/>
      <c r="K205" s="278"/>
      <c r="L205" s="8"/>
      <c r="M205" s="137"/>
      <c r="N205" s="8"/>
      <c r="O205" s="137"/>
      <c r="P205" s="8"/>
      <c r="Q205" s="54"/>
      <c r="R205" s="54"/>
      <c r="S205" s="59"/>
      <c r="T205" s="57"/>
      <c r="U205" s="57"/>
    </row>
    <row r="206" spans="1:21" ht="15" customHeight="1" thickBot="1">
      <c r="A206" s="14" t="b">
        <v>1</v>
      </c>
      <c r="B206" s="8"/>
      <c r="C206" s="41"/>
      <c r="D206" s="70"/>
      <c r="E206" s="70"/>
      <c r="F206" s="70"/>
      <c r="G206" s="70"/>
      <c r="H206" s="70"/>
      <c r="I206" s="70"/>
      <c r="J206" s="70"/>
      <c r="K206" s="8"/>
      <c r="L206" s="8"/>
      <c r="M206" s="47"/>
      <c r="N206" s="8"/>
      <c r="O206" s="8"/>
      <c r="P206" s="8"/>
      <c r="Q206" s="14"/>
      <c r="R206" s="14"/>
    </row>
    <row r="207" spans="1:21" ht="15" customHeight="1" collapsed="1">
      <c r="A207" s="14" t="b">
        <v>1</v>
      </c>
      <c r="B207" s="8"/>
      <c r="C207" s="42"/>
      <c r="D207" s="73"/>
      <c r="E207" s="73"/>
      <c r="F207" s="73"/>
      <c r="G207" s="73"/>
      <c r="H207" s="73"/>
      <c r="I207" s="73"/>
      <c r="J207" s="73"/>
      <c r="K207" s="46"/>
      <c r="L207" s="46"/>
      <c r="M207" s="61"/>
      <c r="N207" s="46"/>
      <c r="O207" s="46"/>
      <c r="P207" s="8"/>
      <c r="Q207" s="14"/>
      <c r="R207" s="14"/>
    </row>
    <row r="208" spans="1:21" s="6" customFormat="1" ht="15" customHeight="1">
      <c r="A208" s="14" t="b">
        <v>1</v>
      </c>
      <c r="B208" s="8"/>
      <c r="C208" s="15" t="s">
        <v>124</v>
      </c>
      <c r="D208" s="16"/>
      <c r="E208" s="17" t="s">
        <v>125</v>
      </c>
      <c r="F208" s="62"/>
      <c r="G208" s="17" t="str">
        <f>G$7</f>
        <v>Answer</v>
      </c>
      <c r="H208" s="18"/>
      <c r="I208" s="17" t="s">
        <v>7</v>
      </c>
      <c r="J208" s="18"/>
      <c r="K208" s="17" t="str">
        <f>K$7</f>
        <v>General Comments</v>
      </c>
      <c r="L208" s="8"/>
      <c r="M208" s="273" t="s">
        <v>290</v>
      </c>
      <c r="N208" s="8"/>
      <c r="O208" s="274" t="s">
        <v>291</v>
      </c>
      <c r="P208" s="8"/>
      <c r="Q208" s="14"/>
      <c r="R208" s="14"/>
      <c r="T208" s="7"/>
      <c r="U208" s="7"/>
    </row>
    <row r="209" spans="1:21" s="6" customFormat="1" ht="15" customHeight="1">
      <c r="A209" s="14" t="b">
        <v>1</v>
      </c>
      <c r="B209" s="8"/>
      <c r="C209" s="19"/>
      <c r="D209" s="16"/>
      <c r="E209" s="17"/>
      <c r="F209" s="18"/>
      <c r="G209" s="17"/>
      <c r="H209" s="18"/>
      <c r="I209" s="17"/>
      <c r="J209" s="18"/>
      <c r="K209" s="17"/>
      <c r="L209" s="8"/>
      <c r="M209" s="273"/>
      <c r="N209" s="8"/>
      <c r="O209" s="274"/>
      <c r="P209" s="8"/>
      <c r="Q209" s="14"/>
      <c r="R209" s="14"/>
      <c r="T209" s="7"/>
      <c r="U209" s="7"/>
    </row>
    <row r="210" spans="1:21" s="6" customFormat="1" ht="6" customHeight="1">
      <c r="A210" s="14" t="b">
        <v>1</v>
      </c>
      <c r="B210" s="8"/>
      <c r="C210" s="20"/>
      <c r="D210" s="62"/>
      <c r="E210" s="70"/>
      <c r="F210" s="62"/>
      <c r="G210" s="62"/>
      <c r="H210" s="62"/>
      <c r="I210" s="62"/>
      <c r="J210" s="62"/>
      <c r="K210" s="8"/>
      <c r="L210" s="8"/>
      <c r="M210" s="47"/>
      <c r="N210" s="8"/>
      <c r="O210" s="8"/>
      <c r="P210" s="8"/>
      <c r="Q210" s="14"/>
      <c r="R210" s="14"/>
      <c r="T210" s="7"/>
      <c r="U210" s="7"/>
    </row>
    <row r="211" spans="1:21" s="6" customFormat="1" ht="18" customHeight="1" collapsed="1">
      <c r="A211" s="14" t="b">
        <v>1</v>
      </c>
      <c r="B211" s="8"/>
      <c r="C211" s="23"/>
      <c r="D211" s="23"/>
      <c r="E211" s="24"/>
      <c r="F211" s="23"/>
      <c r="G211" s="23"/>
      <c r="H211" s="23"/>
      <c r="I211" s="23"/>
      <c r="J211" s="23"/>
      <c r="K211" s="23"/>
      <c r="L211" s="23"/>
      <c r="M211" s="48"/>
      <c r="N211" s="23"/>
      <c r="O211" s="23"/>
      <c r="P211" s="8"/>
      <c r="Q211" s="14"/>
      <c r="R211" s="14"/>
      <c r="T211" s="7"/>
      <c r="U211" s="7"/>
    </row>
    <row r="212" spans="1:21" s="6" customFormat="1" ht="15" hidden="1" customHeight="1">
      <c r="A212" s="14" t="b">
        <v>0</v>
      </c>
      <c r="B212" s="8"/>
      <c r="C212" s="23"/>
      <c r="D212" s="18"/>
      <c r="E212" s="27" t="s">
        <v>13</v>
      </c>
      <c r="F212" s="18"/>
      <c r="G212" s="22"/>
      <c r="H212" s="18"/>
      <c r="I212" s="18"/>
      <c r="J212" s="18"/>
      <c r="K212" s="8"/>
      <c r="L212" s="8"/>
      <c r="M212" s="47"/>
      <c r="N212" s="8"/>
      <c r="O212" s="8"/>
      <c r="P212" s="8"/>
      <c r="Q212" s="14"/>
      <c r="R212" s="14"/>
      <c r="T212" s="7"/>
      <c r="U212" s="7"/>
    </row>
    <row r="213" spans="1:21" s="6" customFormat="1" ht="15" hidden="1" customHeight="1">
      <c r="A213" s="14" t="b">
        <f>$A$212</f>
        <v>0</v>
      </c>
      <c r="B213" s="8"/>
      <c r="C213" s="23"/>
      <c r="D213" s="18"/>
      <c r="E213" s="27" t="s">
        <v>52</v>
      </c>
      <c r="F213" s="18"/>
      <c r="G213" s="22"/>
      <c r="H213" s="18"/>
      <c r="I213" s="18"/>
      <c r="J213" s="18"/>
      <c r="K213" s="8"/>
      <c r="L213" s="8"/>
      <c r="M213" s="47"/>
      <c r="N213" s="8"/>
      <c r="O213" s="8"/>
      <c r="P213" s="8"/>
      <c r="Q213" s="14"/>
      <c r="R213" s="14"/>
      <c r="T213" s="7"/>
      <c r="U213" s="7"/>
    </row>
    <row r="214" spans="1:21" s="6" customFormat="1" ht="15" hidden="1" customHeight="1">
      <c r="A214" s="14" t="b">
        <f>$A$212</f>
        <v>0</v>
      </c>
      <c r="B214" s="8"/>
      <c r="C214" s="23"/>
      <c r="D214" s="18"/>
      <c r="E214" s="27" t="s">
        <v>126</v>
      </c>
      <c r="F214" s="18"/>
      <c r="G214" s="22"/>
      <c r="H214" s="18"/>
      <c r="I214" s="18"/>
      <c r="J214" s="18"/>
      <c r="K214" s="8"/>
      <c r="L214" s="8"/>
      <c r="M214" s="47"/>
      <c r="N214" s="8"/>
      <c r="O214" s="8"/>
      <c r="P214" s="8"/>
      <c r="Q214" s="14"/>
      <c r="R214" s="14"/>
      <c r="T214" s="7"/>
      <c r="U214" s="7"/>
    </row>
    <row r="215" spans="1:21" s="6" customFormat="1" ht="15" hidden="1" customHeight="1">
      <c r="A215" s="14" t="b">
        <f>$A$212</f>
        <v>0</v>
      </c>
      <c r="B215" s="8"/>
      <c r="C215" s="23"/>
      <c r="D215" s="18"/>
      <c r="E215" s="27" t="s">
        <v>127</v>
      </c>
      <c r="F215" s="18"/>
      <c r="G215" s="22"/>
      <c r="H215" s="18"/>
      <c r="I215" s="18"/>
      <c r="J215" s="18"/>
      <c r="K215" s="8"/>
      <c r="L215" s="8"/>
      <c r="M215" s="47"/>
      <c r="N215" s="8"/>
      <c r="O215" s="8"/>
      <c r="P215" s="8"/>
      <c r="Q215" s="14"/>
      <c r="R215" s="14"/>
      <c r="T215" s="7"/>
      <c r="U215" s="7"/>
    </row>
    <row r="216" spans="1:21" s="6" customFormat="1" ht="15" hidden="1" customHeight="1">
      <c r="A216" s="14" t="b">
        <f>$A$212</f>
        <v>0</v>
      </c>
      <c r="B216" s="8"/>
      <c r="C216" s="23"/>
      <c r="D216" s="18"/>
      <c r="E216" s="27" t="s">
        <v>39</v>
      </c>
      <c r="F216" s="18"/>
      <c r="G216" s="22"/>
      <c r="H216" s="18"/>
      <c r="I216" s="18"/>
      <c r="J216" s="18"/>
      <c r="K216" s="8"/>
      <c r="L216" s="8"/>
      <c r="M216" s="47"/>
      <c r="N216" s="8"/>
      <c r="O216" s="8"/>
      <c r="P216" s="8"/>
      <c r="Q216" s="14"/>
      <c r="R216" s="14"/>
      <c r="T216" s="7"/>
      <c r="U216" s="7"/>
    </row>
    <row r="217" spans="1:21" s="6" customFormat="1" ht="15" hidden="1" customHeight="1">
      <c r="A217" s="14" t="b">
        <f>$A$212</f>
        <v>0</v>
      </c>
      <c r="B217" s="8"/>
      <c r="C217" s="23"/>
      <c r="D217" s="18"/>
      <c r="E217" s="27" t="s">
        <v>94</v>
      </c>
      <c r="F217" s="18"/>
      <c r="G217" s="22"/>
      <c r="H217" s="18"/>
      <c r="I217" s="18"/>
      <c r="J217" s="18"/>
      <c r="K217" s="8"/>
      <c r="L217" s="8"/>
      <c r="M217" s="47"/>
      <c r="N217" s="8"/>
      <c r="O217" s="8"/>
      <c r="P217" s="8"/>
      <c r="Q217" s="14"/>
      <c r="R217" s="14"/>
      <c r="T217" s="7"/>
      <c r="U217" s="7"/>
    </row>
    <row r="218" spans="1:21" s="6" customFormat="1" ht="15" customHeight="1" collapsed="1">
      <c r="A218" s="14" t="b">
        <v>1</v>
      </c>
      <c r="B218" s="8"/>
      <c r="C218" s="16"/>
      <c r="D218" s="18"/>
      <c r="E218" s="21"/>
      <c r="F218" s="18"/>
      <c r="G218" s="22"/>
      <c r="H218" s="18"/>
      <c r="I218" s="18"/>
      <c r="J218" s="18"/>
      <c r="K218" s="8"/>
      <c r="L218" s="8"/>
      <c r="M218" s="47"/>
      <c r="N218" s="8"/>
      <c r="O218" s="8"/>
      <c r="P218" s="8"/>
      <c r="Q218" s="14"/>
      <c r="R218" s="14"/>
      <c r="T218" s="7"/>
      <c r="U218" s="7"/>
    </row>
    <row r="219" spans="1:21" s="6" customFormat="1" ht="60" customHeight="1">
      <c r="A219" s="14" t="b">
        <v>1</v>
      </c>
      <c r="B219" s="8"/>
      <c r="C219" s="19">
        <v>9.1</v>
      </c>
      <c r="D219" s="70"/>
      <c r="E219" s="30" t="s">
        <v>128</v>
      </c>
      <c r="F219" s="70"/>
      <c r="G219" s="78"/>
      <c r="H219" s="70"/>
      <c r="I219" s="32"/>
      <c r="J219" s="70"/>
      <c r="K219" s="32"/>
      <c r="L219" s="8"/>
      <c r="M219" s="51"/>
      <c r="N219" s="8"/>
      <c r="O219" s="32"/>
      <c r="P219" s="8"/>
      <c r="Q219" s="14"/>
      <c r="R219" s="14"/>
      <c r="T219" s="7"/>
      <c r="U219" s="7"/>
    </row>
    <row r="220" spans="1:21" s="6" customFormat="1" ht="6" customHeight="1">
      <c r="A220" s="14" t="b">
        <v>1</v>
      </c>
      <c r="B220" s="8"/>
      <c r="C220" s="16"/>
      <c r="D220" s="92"/>
      <c r="E220" s="93"/>
      <c r="F220" s="92"/>
      <c r="G220" s="92"/>
      <c r="H220" s="94"/>
      <c r="I220" s="8"/>
      <c r="J220" s="94"/>
      <c r="K220" s="8"/>
      <c r="L220" s="8"/>
      <c r="M220" s="47"/>
      <c r="N220" s="8"/>
      <c r="O220" s="8"/>
      <c r="P220" s="8"/>
      <c r="Q220" s="14"/>
      <c r="R220" s="14"/>
      <c r="T220" s="7"/>
      <c r="U220" s="7"/>
    </row>
    <row r="221" spans="1:21" s="6" customFormat="1" ht="60" customHeight="1">
      <c r="A221" s="14" t="b">
        <v>1</v>
      </c>
      <c r="B221" s="8"/>
      <c r="C221" s="19">
        <v>9.1999999999999993</v>
      </c>
      <c r="D221" s="92"/>
      <c r="E221" s="88" t="s">
        <v>129</v>
      </c>
      <c r="F221" s="92"/>
      <c r="G221" s="38"/>
      <c r="H221" s="94"/>
      <c r="I221" s="32"/>
      <c r="J221" s="94"/>
      <c r="K221" s="32"/>
      <c r="L221" s="8"/>
      <c r="M221" s="51"/>
      <c r="N221" s="8"/>
      <c r="O221" s="32"/>
      <c r="P221" s="8"/>
      <c r="Q221" s="14" t="b">
        <f>IF(G221="No",TRUE,FALSE)</f>
        <v>0</v>
      </c>
      <c r="R221" s="14"/>
      <c r="T221" s="7"/>
      <c r="U221" s="7"/>
    </row>
    <row r="222" spans="1:21" s="6" customFormat="1" ht="6" hidden="1" customHeight="1">
      <c r="A222" s="14" t="b">
        <v>0</v>
      </c>
      <c r="B222" s="8"/>
      <c r="C222" s="16"/>
      <c r="D222" s="92"/>
      <c r="E222" s="93"/>
      <c r="F222" s="92"/>
      <c r="G222" s="92"/>
      <c r="H222" s="94"/>
      <c r="I222" s="8"/>
      <c r="J222" s="94"/>
      <c r="K222" s="8"/>
      <c r="L222" s="8"/>
      <c r="M222" s="47"/>
      <c r="N222" s="8"/>
      <c r="O222" s="8"/>
      <c r="P222" s="8"/>
      <c r="Q222" s="14"/>
      <c r="R222" s="14"/>
      <c r="T222" s="7"/>
      <c r="U222" s="7"/>
    </row>
    <row r="223" spans="1:21" s="6" customFormat="1" ht="64.5" hidden="1" customHeight="1">
      <c r="A223" s="14" t="b">
        <f>A222</f>
        <v>0</v>
      </c>
      <c r="B223" s="8"/>
      <c r="C223" s="19">
        <v>9.3000000000000007</v>
      </c>
      <c r="D223" s="95"/>
      <c r="E223" s="88" t="s">
        <v>130</v>
      </c>
      <c r="F223" s="92"/>
      <c r="G223" s="32"/>
      <c r="H223" s="94"/>
      <c r="I223" s="32"/>
      <c r="J223" s="94"/>
      <c r="K223" s="32"/>
      <c r="L223" s="8"/>
      <c r="M223" s="51"/>
      <c r="N223" s="8"/>
      <c r="O223" s="32"/>
      <c r="P223" s="8"/>
      <c r="Q223" s="14" t="b">
        <v>0</v>
      </c>
      <c r="R223" s="14"/>
      <c r="T223" s="7"/>
      <c r="U223" s="7"/>
    </row>
    <row r="224" spans="1:21" ht="6" hidden="1" customHeight="1">
      <c r="A224" s="76" t="b">
        <v>0</v>
      </c>
      <c r="B224" s="8"/>
      <c r="C224" s="16"/>
      <c r="D224" s="92"/>
      <c r="E224" s="96"/>
      <c r="F224" s="92"/>
      <c r="G224" s="92"/>
      <c r="H224" s="94"/>
      <c r="I224" s="8"/>
      <c r="J224" s="94"/>
      <c r="K224" s="8"/>
      <c r="L224" s="8"/>
      <c r="M224" s="47"/>
      <c r="N224" s="8"/>
      <c r="O224" s="8"/>
      <c r="P224" s="8"/>
      <c r="Q224" s="14"/>
      <c r="R224" s="14"/>
    </row>
    <row r="225" spans="1:21" ht="60" hidden="1" customHeight="1">
      <c r="A225" s="14" t="b">
        <f>A224</f>
        <v>0</v>
      </c>
      <c r="B225" s="8"/>
      <c r="C225" s="19">
        <v>9.4</v>
      </c>
      <c r="D225" s="95"/>
      <c r="E225" s="97" t="s">
        <v>131</v>
      </c>
      <c r="F225" s="92"/>
      <c r="G225" s="38"/>
      <c r="H225" s="94"/>
      <c r="I225" s="32"/>
      <c r="J225" s="94"/>
      <c r="K225" s="32"/>
      <c r="L225" s="8"/>
      <c r="M225" s="51"/>
      <c r="N225" s="8"/>
      <c r="O225" s="32"/>
      <c r="P225" s="8"/>
      <c r="Q225" s="14"/>
      <c r="R225" s="14"/>
    </row>
    <row r="226" spans="1:21" ht="6" hidden="1" customHeight="1">
      <c r="A226" s="76" t="b">
        <v>0</v>
      </c>
      <c r="B226" s="8"/>
      <c r="C226" s="16"/>
      <c r="D226" s="92"/>
      <c r="E226" s="93"/>
      <c r="F226" s="92"/>
      <c r="G226" s="92"/>
      <c r="H226" s="94"/>
      <c r="I226" s="8"/>
      <c r="J226" s="94"/>
      <c r="K226" s="8"/>
      <c r="L226" s="8"/>
      <c r="M226" s="47"/>
      <c r="N226" s="8"/>
      <c r="O226" s="8"/>
      <c r="P226" s="8"/>
      <c r="Q226" s="14"/>
      <c r="R226" s="14"/>
    </row>
    <row r="227" spans="1:21" ht="64.5" hidden="1" customHeight="1">
      <c r="A227" s="14" t="b">
        <f>A226</f>
        <v>0</v>
      </c>
      <c r="B227" s="8"/>
      <c r="C227" s="19">
        <v>9.5</v>
      </c>
      <c r="D227" s="92"/>
      <c r="E227" s="88" t="s">
        <v>132</v>
      </c>
      <c r="F227" s="92"/>
      <c r="G227" s="32"/>
      <c r="H227" s="94"/>
      <c r="I227" s="32"/>
      <c r="J227" s="94"/>
      <c r="K227" s="32"/>
      <c r="L227" s="8"/>
      <c r="M227" s="51"/>
      <c r="N227" s="8"/>
      <c r="O227" s="32"/>
      <c r="P227" s="8"/>
      <c r="Q227" s="14" t="b">
        <v>0</v>
      </c>
      <c r="R227" s="14"/>
    </row>
    <row r="228" spans="1:21" ht="6" hidden="1" customHeight="1">
      <c r="A228" s="76" t="b">
        <v>0</v>
      </c>
      <c r="B228" s="8"/>
      <c r="C228" s="16"/>
      <c r="D228" s="92"/>
      <c r="E228" s="93"/>
      <c r="F228" s="92"/>
      <c r="G228" s="92"/>
      <c r="H228" s="98"/>
      <c r="I228" s="8"/>
      <c r="J228" s="94"/>
      <c r="K228" s="8"/>
      <c r="L228" s="8"/>
      <c r="M228" s="47"/>
      <c r="N228" s="8"/>
      <c r="O228" s="8"/>
      <c r="P228" s="8"/>
      <c r="Q228" s="14"/>
      <c r="R228" s="14"/>
    </row>
    <row r="229" spans="1:21" ht="60" hidden="1" customHeight="1">
      <c r="A229" s="76" t="b">
        <f>A228</f>
        <v>0</v>
      </c>
      <c r="B229" s="8"/>
      <c r="C229" s="19">
        <v>9.6</v>
      </c>
      <c r="D229" s="95"/>
      <c r="E229" s="99" t="s">
        <v>133</v>
      </c>
      <c r="F229" s="92"/>
      <c r="G229" s="38"/>
      <c r="H229" s="94"/>
      <c r="I229" s="32"/>
      <c r="J229" s="94"/>
      <c r="K229" s="32"/>
      <c r="L229" s="8"/>
      <c r="M229" s="51"/>
      <c r="N229" s="8"/>
      <c r="O229" s="32"/>
      <c r="P229" s="8"/>
      <c r="Q229" s="14" t="b">
        <v>0</v>
      </c>
      <c r="R229" s="14"/>
    </row>
    <row r="230" spans="1:21" ht="6" hidden="1" customHeight="1">
      <c r="A230" s="76" t="b">
        <v>0</v>
      </c>
      <c r="B230" s="8"/>
      <c r="C230" s="16"/>
      <c r="D230" s="92"/>
      <c r="E230" s="93"/>
      <c r="F230" s="92"/>
      <c r="G230" s="92"/>
      <c r="H230" s="98"/>
      <c r="I230" s="8"/>
      <c r="J230" s="94"/>
      <c r="K230" s="8"/>
      <c r="L230" s="8"/>
      <c r="M230" s="47"/>
      <c r="N230" s="8"/>
      <c r="O230" s="8"/>
      <c r="P230" s="8"/>
      <c r="Q230" s="14"/>
      <c r="R230" s="14"/>
    </row>
    <row r="231" spans="1:21" ht="60" hidden="1" customHeight="1">
      <c r="A231" s="76" t="b">
        <f>A230</f>
        <v>0</v>
      </c>
      <c r="B231" s="8"/>
      <c r="C231" s="19">
        <v>9.6999999999999993</v>
      </c>
      <c r="D231" s="92"/>
      <c r="E231" s="30" t="s">
        <v>134</v>
      </c>
      <c r="F231" s="92"/>
      <c r="G231" s="100"/>
      <c r="H231" s="94"/>
      <c r="I231" s="32"/>
      <c r="J231" s="94"/>
      <c r="K231" s="32"/>
      <c r="L231" s="8"/>
      <c r="M231" s="51"/>
      <c r="N231" s="8"/>
      <c r="O231" s="32"/>
      <c r="P231" s="8"/>
      <c r="Q231" s="14" t="b">
        <v>0</v>
      </c>
      <c r="R231" s="14"/>
    </row>
    <row r="232" spans="1:21" ht="6" hidden="1" customHeight="1">
      <c r="A232" s="14" t="b">
        <v>0</v>
      </c>
      <c r="B232" s="8"/>
      <c r="C232" s="16"/>
      <c r="D232" s="92"/>
      <c r="E232" s="93"/>
      <c r="F232" s="92"/>
      <c r="G232" s="92"/>
      <c r="H232" s="94"/>
      <c r="I232" s="8"/>
      <c r="J232" s="94"/>
      <c r="K232" s="8"/>
      <c r="L232" s="8"/>
      <c r="M232" s="47"/>
      <c r="N232" s="8"/>
      <c r="O232" s="8"/>
      <c r="P232" s="8"/>
      <c r="Q232" s="14"/>
      <c r="R232" s="14"/>
    </row>
    <row r="233" spans="1:21" ht="60" hidden="1" customHeight="1">
      <c r="A233" s="14" t="b">
        <f>A232</f>
        <v>0</v>
      </c>
      <c r="B233" s="8"/>
      <c r="C233" s="19" t="s">
        <v>135</v>
      </c>
      <c r="D233" s="92"/>
      <c r="E233" s="37" t="s">
        <v>136</v>
      </c>
      <c r="F233" s="92"/>
      <c r="G233" s="32"/>
      <c r="H233" s="94"/>
      <c r="I233" s="32"/>
      <c r="J233" s="94"/>
      <c r="K233" s="32"/>
      <c r="L233" s="8"/>
      <c r="M233" s="51"/>
      <c r="N233" s="8"/>
      <c r="O233" s="32"/>
      <c r="P233" s="8"/>
      <c r="Q233" s="14"/>
      <c r="R233" s="14"/>
    </row>
    <row r="234" spans="1:21" ht="6" customHeight="1">
      <c r="A234" s="14" t="b">
        <v>1</v>
      </c>
      <c r="B234" s="8"/>
      <c r="C234" s="16"/>
      <c r="D234" s="21"/>
      <c r="E234" s="36"/>
      <c r="F234" s="21"/>
      <c r="G234" s="21"/>
      <c r="H234" s="21"/>
      <c r="I234" s="21"/>
      <c r="J234" s="21"/>
      <c r="K234" s="8"/>
      <c r="L234" s="8"/>
      <c r="M234" s="47"/>
      <c r="N234" s="8"/>
      <c r="O234" s="8"/>
      <c r="P234" s="8"/>
      <c r="Q234" s="14"/>
      <c r="R234" s="14"/>
    </row>
    <row r="235" spans="1:21" ht="60" customHeight="1">
      <c r="A235" s="14" t="b">
        <v>1</v>
      </c>
      <c r="B235" s="8"/>
      <c r="C235" s="16">
        <v>9.8000000000000007</v>
      </c>
      <c r="D235" s="21"/>
      <c r="E235" s="30" t="s">
        <v>137</v>
      </c>
      <c r="F235" s="21"/>
      <c r="G235" s="278"/>
      <c r="H235" s="278"/>
      <c r="I235" s="278"/>
      <c r="J235" s="278"/>
      <c r="K235" s="278"/>
      <c r="L235" s="8"/>
      <c r="M235" s="137"/>
      <c r="N235" s="8"/>
      <c r="O235" s="137"/>
      <c r="P235" s="8"/>
      <c r="Q235" s="54"/>
      <c r="R235" s="54"/>
      <c r="S235" s="59"/>
      <c r="T235" s="57"/>
      <c r="U235" s="57"/>
    </row>
    <row r="236" spans="1:21" ht="6" customHeight="1">
      <c r="A236" s="14" t="b">
        <v>1</v>
      </c>
      <c r="B236" s="8"/>
      <c r="C236" s="89"/>
      <c r="D236" s="18"/>
      <c r="E236" s="21"/>
      <c r="F236" s="18"/>
      <c r="G236" s="22"/>
      <c r="H236" s="18"/>
      <c r="I236" s="18"/>
      <c r="J236" s="18"/>
      <c r="K236" s="8"/>
      <c r="L236" s="8"/>
      <c r="M236" s="47"/>
      <c r="N236" s="8"/>
      <c r="O236" s="8"/>
      <c r="P236" s="8"/>
      <c r="Q236" s="14"/>
      <c r="R236" s="14"/>
    </row>
    <row r="237" spans="1:21" ht="60" customHeight="1">
      <c r="A237" s="14" t="b">
        <v>1</v>
      </c>
      <c r="B237" s="8"/>
      <c r="C237" s="16">
        <v>9.9</v>
      </c>
      <c r="D237" s="18"/>
      <c r="E237" s="30" t="s">
        <v>138</v>
      </c>
      <c r="F237" s="18"/>
      <c r="G237" s="278"/>
      <c r="H237" s="278"/>
      <c r="I237" s="278"/>
      <c r="J237" s="278"/>
      <c r="K237" s="278"/>
      <c r="L237" s="8"/>
      <c r="M237" s="137"/>
      <c r="N237" s="8"/>
      <c r="O237" s="137"/>
      <c r="P237" s="8"/>
      <c r="Q237" s="14"/>
      <c r="R237" s="14"/>
    </row>
    <row r="238" spans="1:21" ht="15" customHeight="1" thickBot="1">
      <c r="A238" s="14" t="b">
        <v>1</v>
      </c>
      <c r="B238" s="8"/>
      <c r="C238" s="41"/>
      <c r="D238" s="70"/>
      <c r="E238" s="70"/>
      <c r="F238" s="70"/>
      <c r="G238" s="70"/>
      <c r="H238" s="70"/>
      <c r="I238" s="70"/>
      <c r="J238" s="70"/>
      <c r="K238" s="8"/>
      <c r="L238" s="8"/>
      <c r="M238" s="47"/>
      <c r="N238" s="8"/>
      <c r="O238" s="8"/>
      <c r="P238" s="8"/>
      <c r="Q238" s="14"/>
      <c r="R238" s="14"/>
    </row>
    <row r="239" spans="1:21" ht="15" customHeight="1" collapsed="1">
      <c r="A239" s="14" t="b">
        <v>1</v>
      </c>
      <c r="B239" s="8"/>
      <c r="C239" s="42"/>
      <c r="D239" s="73"/>
      <c r="E239" s="73"/>
      <c r="F239" s="73"/>
      <c r="G239" s="73"/>
      <c r="H239" s="73"/>
      <c r="I239" s="73"/>
      <c r="J239" s="73"/>
      <c r="K239" s="46"/>
      <c r="L239" s="46"/>
      <c r="M239" s="61"/>
      <c r="N239" s="46"/>
      <c r="O239" s="46"/>
      <c r="P239" s="8"/>
      <c r="Q239" s="14"/>
      <c r="R239" s="14"/>
    </row>
    <row r="240" spans="1:21" s="6" customFormat="1" ht="15" customHeight="1">
      <c r="A240" s="14" t="b">
        <v>1</v>
      </c>
      <c r="B240" s="8"/>
      <c r="C240" s="15" t="s">
        <v>139</v>
      </c>
      <c r="D240" s="16"/>
      <c r="E240" s="17" t="s">
        <v>140</v>
      </c>
      <c r="F240" s="62"/>
      <c r="G240" s="17" t="str">
        <f>G$7</f>
        <v>Answer</v>
      </c>
      <c r="H240" s="18"/>
      <c r="I240" s="17" t="s">
        <v>7</v>
      </c>
      <c r="J240" s="18"/>
      <c r="K240" s="17" t="str">
        <f>K$7</f>
        <v>General Comments</v>
      </c>
      <c r="L240" s="8"/>
      <c r="M240" s="273" t="s">
        <v>290</v>
      </c>
      <c r="N240" s="8"/>
      <c r="O240" s="274" t="s">
        <v>291</v>
      </c>
      <c r="P240" s="8"/>
      <c r="Q240" s="14"/>
      <c r="R240" s="14"/>
      <c r="T240" s="7"/>
      <c r="U240" s="7"/>
    </row>
    <row r="241" spans="1:21" s="6" customFormat="1" ht="15" customHeight="1">
      <c r="A241" s="14" t="b">
        <v>1</v>
      </c>
      <c r="B241" s="8"/>
      <c r="C241" s="19"/>
      <c r="D241" s="16"/>
      <c r="E241" s="17"/>
      <c r="F241" s="18"/>
      <c r="G241" s="17"/>
      <c r="H241" s="18"/>
      <c r="I241" s="17"/>
      <c r="J241" s="18"/>
      <c r="K241" s="17"/>
      <c r="L241" s="8"/>
      <c r="M241" s="273"/>
      <c r="N241" s="8"/>
      <c r="O241" s="274"/>
      <c r="P241" s="8"/>
      <c r="Q241" s="14"/>
      <c r="R241" s="14"/>
      <c r="T241" s="7"/>
      <c r="U241" s="7"/>
    </row>
    <row r="242" spans="1:21" s="6" customFormat="1" ht="6" customHeight="1">
      <c r="A242" s="14" t="b">
        <v>1</v>
      </c>
      <c r="B242" s="8"/>
      <c r="C242" s="20"/>
      <c r="D242" s="62"/>
      <c r="E242" s="70"/>
      <c r="F242" s="62"/>
      <c r="G242" s="62"/>
      <c r="H242" s="62"/>
      <c r="I242" s="62"/>
      <c r="J242" s="62"/>
      <c r="K242" s="8"/>
      <c r="L242" s="8"/>
      <c r="M242" s="47"/>
      <c r="N242" s="8"/>
      <c r="O242" s="8"/>
      <c r="P242" s="8"/>
      <c r="Q242" s="14"/>
      <c r="R242" s="14"/>
      <c r="T242" s="7"/>
      <c r="U242" s="7"/>
    </row>
    <row r="243" spans="1:21" s="6" customFormat="1" ht="18" customHeight="1" collapsed="1">
      <c r="A243" s="14" t="b">
        <v>1</v>
      </c>
      <c r="B243" s="8"/>
      <c r="C243" s="23"/>
      <c r="D243" s="23"/>
      <c r="E243" s="24"/>
      <c r="F243" s="23"/>
      <c r="G243" s="23"/>
      <c r="H243" s="23"/>
      <c r="I243" s="23"/>
      <c r="J243" s="23"/>
      <c r="K243" s="23"/>
      <c r="L243" s="23"/>
      <c r="M243" s="48"/>
      <c r="N243" s="23"/>
      <c r="O243" s="23"/>
      <c r="P243" s="8"/>
      <c r="Q243" s="14"/>
      <c r="R243" s="14"/>
      <c r="T243" s="7"/>
      <c r="U243" s="7"/>
    </row>
    <row r="244" spans="1:21" s="6" customFormat="1" ht="15" hidden="1" customHeight="1">
      <c r="A244" s="14" t="b">
        <v>0</v>
      </c>
      <c r="B244" s="8"/>
      <c r="C244" s="23"/>
      <c r="D244" s="18"/>
      <c r="E244" s="27" t="s">
        <v>141</v>
      </c>
      <c r="F244" s="18"/>
      <c r="G244" s="22"/>
      <c r="H244" s="18"/>
      <c r="I244" s="18"/>
      <c r="J244" s="18"/>
      <c r="K244" s="8"/>
      <c r="L244" s="8"/>
      <c r="M244" s="47"/>
      <c r="N244" s="8"/>
      <c r="O244" s="8"/>
      <c r="P244" s="8"/>
      <c r="Q244" s="14"/>
      <c r="R244" s="14"/>
      <c r="T244" s="7"/>
      <c r="U244" s="7"/>
    </row>
    <row r="245" spans="1:21" s="6" customFormat="1" ht="15" hidden="1" customHeight="1">
      <c r="A245" s="14" t="b">
        <f>$A$244</f>
        <v>0</v>
      </c>
      <c r="B245" s="8"/>
      <c r="C245" s="23"/>
      <c r="D245" s="18"/>
      <c r="E245" s="27" t="s">
        <v>39</v>
      </c>
      <c r="F245" s="18"/>
      <c r="G245" s="22"/>
      <c r="H245" s="18"/>
      <c r="I245" s="18"/>
      <c r="J245" s="18"/>
      <c r="K245" s="8"/>
      <c r="L245" s="8"/>
      <c r="M245" s="47"/>
      <c r="N245" s="8"/>
      <c r="O245" s="8"/>
      <c r="P245" s="8"/>
      <c r="Q245" s="14"/>
      <c r="R245" s="14"/>
      <c r="T245" s="7"/>
      <c r="U245" s="7"/>
    </row>
    <row r="246" spans="1:21" s="6" customFormat="1" ht="15" hidden="1" customHeight="1">
      <c r="A246" s="14" t="b">
        <f>$A$244</f>
        <v>0</v>
      </c>
      <c r="B246" s="8"/>
      <c r="C246" s="23"/>
      <c r="D246" s="18"/>
      <c r="E246" s="27" t="s">
        <v>40</v>
      </c>
      <c r="F246" s="18"/>
      <c r="G246" s="22"/>
      <c r="H246" s="18"/>
      <c r="I246" s="18"/>
      <c r="J246" s="18"/>
      <c r="K246" s="8"/>
      <c r="L246" s="8"/>
      <c r="M246" s="47"/>
      <c r="N246" s="8"/>
      <c r="O246" s="8"/>
      <c r="P246" s="8"/>
      <c r="Q246" s="14"/>
      <c r="R246" s="14"/>
      <c r="T246" s="7"/>
      <c r="U246" s="7"/>
    </row>
    <row r="247" spans="1:21" s="6" customFormat="1" ht="15" hidden="1" customHeight="1">
      <c r="A247" s="14" t="b">
        <f>$A$244</f>
        <v>0</v>
      </c>
      <c r="B247" s="8"/>
      <c r="C247" s="23"/>
      <c r="D247" s="18"/>
      <c r="E247" s="27" t="s">
        <v>27</v>
      </c>
      <c r="F247" s="18"/>
      <c r="G247" s="22"/>
      <c r="H247" s="18"/>
      <c r="I247" s="18"/>
      <c r="J247" s="18"/>
      <c r="K247" s="8"/>
      <c r="L247" s="8"/>
      <c r="M247" s="47"/>
      <c r="N247" s="8"/>
      <c r="O247" s="8"/>
      <c r="P247" s="8"/>
      <c r="Q247" s="14"/>
      <c r="R247" s="14"/>
      <c r="T247" s="7"/>
      <c r="U247" s="7"/>
    </row>
    <row r="248" spans="1:21" s="6" customFormat="1" ht="15" hidden="1" customHeight="1">
      <c r="A248" s="14" t="b">
        <f>$A$244</f>
        <v>0</v>
      </c>
      <c r="B248" s="8"/>
      <c r="C248" s="23"/>
      <c r="D248" s="18"/>
      <c r="E248" s="27" t="s">
        <v>142</v>
      </c>
      <c r="F248" s="18"/>
      <c r="G248" s="22"/>
      <c r="H248" s="18"/>
      <c r="I248" s="18"/>
      <c r="J248" s="18"/>
      <c r="K248" s="8"/>
      <c r="L248" s="8"/>
      <c r="M248" s="47"/>
      <c r="N248" s="8"/>
      <c r="O248" s="8"/>
      <c r="P248" s="8"/>
      <c r="Q248" s="14"/>
      <c r="R248" s="14"/>
      <c r="T248" s="7"/>
      <c r="U248" s="7"/>
    </row>
    <row r="249" spans="1:21" s="6" customFormat="1" ht="15" hidden="1" customHeight="1">
      <c r="A249" s="14" t="b">
        <f>$A$244</f>
        <v>0</v>
      </c>
      <c r="B249" s="8"/>
      <c r="C249" s="23"/>
      <c r="D249" s="18"/>
      <c r="E249" s="27" t="s">
        <v>29</v>
      </c>
      <c r="F249" s="18"/>
      <c r="G249" s="22"/>
      <c r="H249" s="18"/>
      <c r="I249" s="18"/>
      <c r="J249" s="18"/>
      <c r="K249" s="8"/>
      <c r="L249" s="8"/>
      <c r="M249" s="47"/>
      <c r="N249" s="8"/>
      <c r="O249" s="8"/>
      <c r="P249" s="8"/>
      <c r="Q249" s="14"/>
      <c r="R249" s="14"/>
      <c r="T249" s="7"/>
      <c r="U249" s="7"/>
    </row>
    <row r="250" spans="1:21" s="6" customFormat="1" ht="15" hidden="1" customHeight="1">
      <c r="A250" s="14" t="b">
        <f>A244</f>
        <v>0</v>
      </c>
      <c r="B250" s="8"/>
      <c r="C250" s="23"/>
      <c r="D250" s="18"/>
      <c r="E250" s="27" t="s">
        <v>41</v>
      </c>
      <c r="F250" s="18"/>
      <c r="G250" s="22"/>
      <c r="H250" s="18"/>
      <c r="I250" s="18"/>
      <c r="J250" s="18"/>
      <c r="K250" s="8"/>
      <c r="L250" s="8"/>
      <c r="M250" s="47"/>
      <c r="N250" s="8"/>
      <c r="O250" s="8"/>
      <c r="P250" s="8"/>
      <c r="Q250" s="14"/>
      <c r="R250" s="14"/>
      <c r="T250" s="7"/>
      <c r="U250" s="7"/>
    </row>
    <row r="251" spans="1:21" s="6" customFormat="1" ht="15" customHeight="1" collapsed="1">
      <c r="A251" s="14" t="b">
        <v>1</v>
      </c>
      <c r="B251" s="8"/>
      <c r="C251" s="16"/>
      <c r="D251" s="18"/>
      <c r="E251" s="21"/>
      <c r="F251" s="18"/>
      <c r="G251" s="22"/>
      <c r="H251" s="18"/>
      <c r="I251" s="18"/>
      <c r="J251" s="18"/>
      <c r="K251" s="8"/>
      <c r="L251" s="8"/>
      <c r="M251" s="47"/>
      <c r="N251" s="8"/>
      <c r="O251" s="8"/>
      <c r="P251" s="8"/>
      <c r="Q251" s="14"/>
      <c r="R251" s="14"/>
      <c r="T251" s="7"/>
      <c r="U251" s="7"/>
    </row>
    <row r="252" spans="1:21" s="6" customFormat="1" ht="60" customHeight="1">
      <c r="A252" s="14" t="b">
        <v>1</v>
      </c>
      <c r="B252" s="8"/>
      <c r="C252" s="19">
        <v>10.1</v>
      </c>
      <c r="D252" s="70"/>
      <c r="E252" s="30" t="s">
        <v>143</v>
      </c>
      <c r="F252" s="70"/>
      <c r="G252" s="52"/>
      <c r="H252" s="70"/>
      <c r="I252" s="32"/>
      <c r="J252" s="70"/>
      <c r="K252" s="32"/>
      <c r="L252" s="8"/>
      <c r="M252" s="51"/>
      <c r="N252" s="8"/>
      <c r="O252" s="32"/>
      <c r="P252" s="8"/>
      <c r="Q252" s="14"/>
      <c r="R252" s="14"/>
      <c r="T252" s="7"/>
      <c r="U252" s="7"/>
    </row>
    <row r="253" spans="1:21" s="6" customFormat="1" ht="6" customHeight="1">
      <c r="A253" s="14" t="b">
        <v>1</v>
      </c>
      <c r="B253" s="8"/>
      <c r="C253" s="16"/>
      <c r="D253" s="62"/>
      <c r="E253" s="36"/>
      <c r="F253" s="62"/>
      <c r="G253" s="62"/>
      <c r="H253" s="62"/>
      <c r="I253" s="8"/>
      <c r="J253" s="62"/>
      <c r="K253" s="8"/>
      <c r="L253" s="8"/>
      <c r="M253" s="47"/>
      <c r="N253" s="8"/>
      <c r="O253" s="8"/>
      <c r="P253" s="8"/>
      <c r="Q253" s="14"/>
      <c r="R253" s="14"/>
      <c r="T253" s="7"/>
      <c r="U253" s="7"/>
    </row>
    <row r="254" spans="1:21" s="6" customFormat="1" ht="60" customHeight="1">
      <c r="A254" s="14" t="b">
        <v>1</v>
      </c>
      <c r="B254" s="8"/>
      <c r="C254" s="19">
        <v>10.199999999999999</v>
      </c>
      <c r="D254" s="101"/>
      <c r="E254" s="30" t="s">
        <v>144</v>
      </c>
      <c r="F254" s="70"/>
      <c r="G254" s="52"/>
      <c r="H254" s="70"/>
      <c r="I254" s="32"/>
      <c r="J254" s="70"/>
      <c r="K254" s="32"/>
      <c r="L254" s="8"/>
      <c r="M254" s="51"/>
      <c r="N254" s="8"/>
      <c r="O254" s="32"/>
      <c r="P254" s="8"/>
      <c r="Q254" s="14"/>
      <c r="R254" s="14"/>
      <c r="T254" s="7"/>
      <c r="U254" s="7"/>
    </row>
    <row r="255" spans="1:21" s="6" customFormat="1" ht="6" customHeight="1">
      <c r="A255" s="14" t="b">
        <v>1</v>
      </c>
      <c r="B255" s="8"/>
      <c r="C255" s="16"/>
      <c r="D255" s="62"/>
      <c r="E255" s="36"/>
      <c r="F255" s="62"/>
      <c r="G255" s="62"/>
      <c r="H255" s="62"/>
      <c r="I255" s="8"/>
      <c r="J255" s="62"/>
      <c r="K255" s="8"/>
      <c r="L255" s="8"/>
      <c r="M255" s="47"/>
      <c r="N255" s="8"/>
      <c r="O255" s="8"/>
      <c r="P255" s="8"/>
      <c r="Q255" s="14"/>
      <c r="R255" s="14"/>
      <c r="T255" s="7"/>
      <c r="U255" s="7"/>
    </row>
    <row r="256" spans="1:21" ht="60" customHeight="1">
      <c r="A256" s="14" t="b">
        <v>1</v>
      </c>
      <c r="B256" s="8"/>
      <c r="C256" s="19">
        <v>10.3</v>
      </c>
      <c r="D256" s="70"/>
      <c r="E256" s="30" t="s">
        <v>145</v>
      </c>
      <c r="F256" s="70"/>
      <c r="G256" s="52"/>
      <c r="H256" s="70"/>
      <c r="I256" s="32"/>
      <c r="J256" s="70"/>
      <c r="K256" s="32"/>
      <c r="L256" s="8"/>
      <c r="M256" s="51"/>
      <c r="N256" s="8"/>
      <c r="O256" s="32"/>
      <c r="P256" s="8"/>
      <c r="Q256" s="14"/>
      <c r="R256" s="14"/>
    </row>
    <row r="257" spans="1:21" ht="6" customHeight="1">
      <c r="A257" s="14" t="b">
        <v>1</v>
      </c>
      <c r="B257" s="8"/>
      <c r="C257" s="16"/>
      <c r="D257" s="62"/>
      <c r="E257" s="36"/>
      <c r="F257" s="62"/>
      <c r="G257" s="62"/>
      <c r="H257" s="62"/>
      <c r="I257" s="8"/>
      <c r="J257" s="62"/>
      <c r="K257" s="8"/>
      <c r="L257" s="8"/>
      <c r="M257" s="47"/>
      <c r="N257" s="8"/>
      <c r="O257" s="8"/>
      <c r="P257" s="8"/>
      <c r="Q257" s="14"/>
      <c r="R257" s="14"/>
    </row>
    <row r="258" spans="1:21" ht="60" customHeight="1">
      <c r="A258" s="14" t="b">
        <v>1</v>
      </c>
      <c r="B258" s="8"/>
      <c r="C258" s="19">
        <v>10.4</v>
      </c>
      <c r="D258" s="62"/>
      <c r="E258" s="71" t="s">
        <v>146</v>
      </c>
      <c r="F258" s="62"/>
      <c r="G258" s="38"/>
      <c r="H258" s="62"/>
      <c r="I258" s="32"/>
      <c r="J258" s="62"/>
      <c r="K258" s="32"/>
      <c r="L258" s="8"/>
      <c r="M258" s="51"/>
      <c r="N258" s="8"/>
      <c r="O258" s="32"/>
      <c r="P258" s="8"/>
      <c r="Q258" s="14" t="b">
        <v>0</v>
      </c>
      <c r="R258" s="14"/>
    </row>
    <row r="259" spans="1:21" ht="6" hidden="1" customHeight="1">
      <c r="A259" s="14" t="b">
        <v>0</v>
      </c>
      <c r="B259" s="8"/>
      <c r="C259" s="16"/>
      <c r="D259" s="62"/>
      <c r="E259" s="102"/>
      <c r="F259" s="62"/>
      <c r="G259" s="62"/>
      <c r="H259" s="62"/>
      <c r="I259" s="8"/>
      <c r="J259" s="62"/>
      <c r="K259" s="8"/>
      <c r="L259" s="8"/>
      <c r="M259" s="47"/>
      <c r="N259" s="8"/>
      <c r="O259" s="8"/>
      <c r="P259" s="8"/>
      <c r="Q259" s="14"/>
      <c r="R259" s="14"/>
    </row>
    <row r="260" spans="1:21" ht="60" hidden="1" customHeight="1">
      <c r="A260" s="14" t="b">
        <f>A259</f>
        <v>0</v>
      </c>
      <c r="B260" s="8"/>
      <c r="C260" s="19">
        <v>10.5</v>
      </c>
      <c r="D260" s="70"/>
      <c r="E260" s="30" t="s">
        <v>147</v>
      </c>
      <c r="F260" s="70"/>
      <c r="G260" s="38"/>
      <c r="H260" s="70"/>
      <c r="I260" s="32"/>
      <c r="J260" s="70"/>
      <c r="K260" s="32"/>
      <c r="L260" s="8"/>
      <c r="M260" s="51"/>
      <c r="N260" s="8"/>
      <c r="O260" s="32"/>
      <c r="P260" s="8"/>
      <c r="Q260" s="14" t="b">
        <v>0</v>
      </c>
      <c r="R260" s="14"/>
    </row>
    <row r="261" spans="1:21" ht="6" customHeight="1">
      <c r="A261" s="14" t="b">
        <v>1</v>
      </c>
      <c r="B261" s="8"/>
      <c r="C261" s="16"/>
      <c r="D261" s="21"/>
      <c r="E261" s="36"/>
      <c r="F261" s="21"/>
      <c r="G261" s="21"/>
      <c r="H261" s="21"/>
      <c r="I261" s="21"/>
      <c r="J261" s="21"/>
      <c r="K261" s="8"/>
      <c r="L261" s="8"/>
      <c r="M261" s="47"/>
      <c r="N261" s="8"/>
      <c r="O261" s="8"/>
      <c r="P261" s="8"/>
      <c r="Q261" s="14"/>
      <c r="R261" s="14"/>
    </row>
    <row r="262" spans="1:21" ht="60" customHeight="1">
      <c r="A262" s="14" t="b">
        <v>1</v>
      </c>
      <c r="B262" s="8"/>
      <c r="C262" s="16">
        <v>10.6</v>
      </c>
      <c r="D262" s="21"/>
      <c r="E262" s="30" t="s">
        <v>148</v>
      </c>
      <c r="F262" s="21"/>
      <c r="G262" s="278"/>
      <c r="H262" s="278"/>
      <c r="I262" s="278"/>
      <c r="J262" s="278"/>
      <c r="K262" s="278"/>
      <c r="L262" s="8"/>
      <c r="M262" s="137"/>
      <c r="N262" s="8"/>
      <c r="O262" s="137"/>
      <c r="P262" s="8"/>
      <c r="Q262" s="54"/>
      <c r="R262" s="54"/>
      <c r="S262" s="59"/>
      <c r="T262" s="57"/>
      <c r="U262" s="57"/>
    </row>
    <row r="263" spans="1:21" ht="15" customHeight="1" thickBot="1">
      <c r="A263" s="14" t="b">
        <v>1</v>
      </c>
      <c r="B263" s="8"/>
      <c r="C263" s="41"/>
      <c r="D263" s="62"/>
      <c r="E263" s="36"/>
      <c r="F263" s="62"/>
      <c r="G263" s="62"/>
      <c r="H263" s="62"/>
      <c r="I263" s="62"/>
      <c r="J263" s="62"/>
      <c r="K263" s="8"/>
      <c r="L263" s="8"/>
      <c r="M263" s="47"/>
      <c r="N263" s="8"/>
      <c r="O263" s="8"/>
      <c r="P263" s="8"/>
      <c r="Q263" s="14"/>
      <c r="R263" s="14"/>
    </row>
    <row r="264" spans="1:21" ht="15" customHeight="1" collapsed="1">
      <c r="A264" s="14" t="b">
        <v>1</v>
      </c>
      <c r="B264" s="8"/>
      <c r="C264" s="42"/>
      <c r="D264" s="103"/>
      <c r="E264" s="104"/>
      <c r="F264" s="103"/>
      <c r="G264" s="103"/>
      <c r="H264" s="103"/>
      <c r="I264" s="103"/>
      <c r="J264" s="103"/>
      <c r="K264" s="46"/>
      <c r="L264" s="46"/>
      <c r="M264" s="61"/>
      <c r="N264" s="46"/>
      <c r="O264" s="46"/>
      <c r="P264" s="8"/>
      <c r="Q264" s="14"/>
      <c r="R264" s="14"/>
    </row>
    <row r="265" spans="1:21" ht="15" customHeight="1">
      <c r="A265" s="14" t="b">
        <v>1</v>
      </c>
      <c r="B265" s="8"/>
      <c r="C265" s="15" t="s">
        <v>149</v>
      </c>
      <c r="D265" s="16"/>
      <c r="E265" s="17" t="s">
        <v>150</v>
      </c>
      <c r="F265" s="62"/>
      <c r="G265" s="17" t="str">
        <f>G$7</f>
        <v>Answer</v>
      </c>
      <c r="H265" s="18"/>
      <c r="I265" s="17" t="s">
        <v>7</v>
      </c>
      <c r="J265" s="18"/>
      <c r="K265" s="17" t="str">
        <f>K$7</f>
        <v>General Comments</v>
      </c>
      <c r="L265" s="8"/>
      <c r="M265" s="273" t="s">
        <v>290</v>
      </c>
      <c r="N265" s="8"/>
      <c r="O265" s="274" t="s">
        <v>291</v>
      </c>
      <c r="P265" s="8"/>
      <c r="Q265" s="14"/>
      <c r="R265" s="14"/>
    </row>
    <row r="266" spans="1:21" ht="15" customHeight="1">
      <c r="A266" s="14" t="b">
        <v>1</v>
      </c>
      <c r="B266" s="8"/>
      <c r="C266" s="19"/>
      <c r="D266" s="16"/>
      <c r="E266" s="17"/>
      <c r="F266" s="18"/>
      <c r="G266" s="17"/>
      <c r="H266" s="18"/>
      <c r="I266" s="17"/>
      <c r="J266" s="18"/>
      <c r="K266" s="17"/>
      <c r="L266" s="8"/>
      <c r="M266" s="273"/>
      <c r="N266" s="8"/>
      <c r="O266" s="274"/>
      <c r="P266" s="8"/>
      <c r="Q266" s="14"/>
      <c r="R266" s="14"/>
    </row>
    <row r="267" spans="1:21" ht="6" customHeight="1">
      <c r="A267" s="14" t="b">
        <v>1</v>
      </c>
      <c r="B267" s="8"/>
      <c r="C267" s="20"/>
      <c r="D267" s="62"/>
      <c r="E267" s="70"/>
      <c r="F267" s="62"/>
      <c r="G267" s="62"/>
      <c r="H267" s="62"/>
      <c r="I267" s="62"/>
      <c r="J267" s="62"/>
      <c r="K267" s="8"/>
      <c r="L267" s="8"/>
      <c r="M267" s="47"/>
      <c r="N267" s="8"/>
      <c r="O267" s="8"/>
      <c r="P267" s="8"/>
      <c r="Q267" s="14"/>
      <c r="R267" s="14"/>
    </row>
    <row r="268" spans="1:21" ht="18" customHeight="1" collapsed="1">
      <c r="A268" s="14" t="b">
        <v>1</v>
      </c>
      <c r="B268" s="8"/>
      <c r="C268" s="23"/>
      <c r="D268" s="23"/>
      <c r="E268" s="24"/>
      <c r="F268" s="23"/>
      <c r="G268" s="23"/>
      <c r="H268" s="23"/>
      <c r="I268" s="23"/>
      <c r="J268" s="23"/>
      <c r="K268" s="23"/>
      <c r="L268" s="23"/>
      <c r="M268" s="48"/>
      <c r="N268" s="23"/>
      <c r="O268" s="23"/>
      <c r="P268" s="8"/>
      <c r="Q268" s="14"/>
      <c r="R268" s="14"/>
    </row>
    <row r="269" spans="1:21" ht="15" hidden="1" customHeight="1">
      <c r="A269" s="14" t="b">
        <v>0</v>
      </c>
      <c r="B269" s="8"/>
      <c r="C269" s="23"/>
      <c r="D269" s="18"/>
      <c r="E269" s="27" t="s">
        <v>11</v>
      </c>
      <c r="F269" s="18"/>
      <c r="G269" s="22"/>
      <c r="H269" s="18"/>
      <c r="I269" s="18"/>
      <c r="J269" s="18"/>
      <c r="K269" s="8"/>
      <c r="L269" s="8"/>
      <c r="M269" s="47"/>
      <c r="N269" s="8"/>
      <c r="O269" s="8"/>
      <c r="P269" s="8"/>
      <c r="Q269" s="14"/>
      <c r="R269" s="14"/>
    </row>
    <row r="270" spans="1:21" ht="15" hidden="1" customHeight="1">
      <c r="A270" s="14" t="b">
        <f>$A$269</f>
        <v>0</v>
      </c>
      <c r="B270" s="8"/>
      <c r="C270" s="23"/>
      <c r="D270" s="18"/>
      <c r="E270" s="27" t="s">
        <v>151</v>
      </c>
      <c r="F270" s="18"/>
      <c r="G270" s="22"/>
      <c r="H270" s="18"/>
      <c r="I270" s="18"/>
      <c r="J270" s="18"/>
      <c r="K270" s="8"/>
      <c r="L270" s="8"/>
      <c r="M270" s="47"/>
      <c r="N270" s="8"/>
      <c r="O270" s="8"/>
      <c r="P270" s="8"/>
      <c r="Q270" s="14"/>
      <c r="R270" s="14"/>
    </row>
    <row r="271" spans="1:21" ht="15" hidden="1" customHeight="1">
      <c r="A271" s="14" t="b">
        <f>$A$269</f>
        <v>0</v>
      </c>
      <c r="B271" s="8"/>
      <c r="C271" s="23"/>
      <c r="D271" s="18"/>
      <c r="E271" s="27" t="s">
        <v>152</v>
      </c>
      <c r="F271" s="18"/>
      <c r="G271" s="22"/>
      <c r="H271" s="18"/>
      <c r="I271" s="18"/>
      <c r="J271" s="18"/>
      <c r="K271" s="8"/>
      <c r="L271" s="8"/>
      <c r="M271" s="47"/>
      <c r="N271" s="8"/>
      <c r="O271" s="8"/>
      <c r="P271" s="8"/>
      <c r="Q271" s="14"/>
      <c r="R271" s="14"/>
    </row>
    <row r="272" spans="1:21" s="6" customFormat="1" ht="15" hidden="1" customHeight="1">
      <c r="A272" s="14" t="b">
        <f>$A$269</f>
        <v>0</v>
      </c>
      <c r="B272" s="8"/>
      <c r="C272" s="23"/>
      <c r="D272" s="18"/>
      <c r="E272" s="27" t="s">
        <v>153</v>
      </c>
      <c r="F272" s="18"/>
      <c r="G272" s="22"/>
      <c r="H272" s="18"/>
      <c r="I272" s="18"/>
      <c r="J272" s="18"/>
      <c r="K272" s="8"/>
      <c r="L272" s="8"/>
      <c r="M272" s="47"/>
      <c r="N272" s="8"/>
      <c r="O272" s="8"/>
      <c r="P272" s="8"/>
      <c r="Q272" s="14"/>
      <c r="R272" s="14"/>
      <c r="T272" s="7"/>
      <c r="U272" s="7"/>
    </row>
    <row r="273" spans="1:21" s="6" customFormat="1" ht="15" customHeight="1" collapsed="1">
      <c r="A273" s="14" t="b">
        <v>1</v>
      </c>
      <c r="B273" s="8"/>
      <c r="C273" s="16"/>
      <c r="D273" s="18"/>
      <c r="E273" s="21"/>
      <c r="F273" s="18"/>
      <c r="G273" s="22"/>
      <c r="H273" s="18"/>
      <c r="I273" s="18"/>
      <c r="J273" s="18"/>
      <c r="K273" s="8"/>
      <c r="L273" s="8"/>
      <c r="M273" s="47"/>
      <c r="N273" s="8"/>
      <c r="O273" s="8"/>
      <c r="P273" s="8"/>
      <c r="Q273" s="14"/>
      <c r="R273" s="14"/>
      <c r="T273" s="7"/>
      <c r="U273" s="7"/>
    </row>
    <row r="274" spans="1:21" s="6" customFormat="1" ht="60" customHeight="1" collapsed="1">
      <c r="A274" s="14" t="b">
        <v>1</v>
      </c>
      <c r="B274" s="8"/>
      <c r="C274" s="19">
        <v>11.1</v>
      </c>
      <c r="D274" s="62"/>
      <c r="E274" s="84" t="s">
        <v>154</v>
      </c>
      <c r="F274" s="62"/>
      <c r="G274" s="52"/>
      <c r="H274" s="62"/>
      <c r="I274" s="32"/>
      <c r="J274" s="62"/>
      <c r="K274" s="32"/>
      <c r="L274" s="8"/>
      <c r="M274" s="51"/>
      <c r="N274" s="8"/>
      <c r="O274" s="32"/>
      <c r="P274" s="8"/>
      <c r="Q274" s="14" t="b">
        <v>0</v>
      </c>
      <c r="R274" s="14"/>
      <c r="T274" s="7"/>
      <c r="U274" s="7"/>
    </row>
    <row r="275" spans="1:21" s="6" customFormat="1" ht="6" customHeight="1">
      <c r="A275" s="14" t="b">
        <v>1</v>
      </c>
      <c r="B275" s="8"/>
      <c r="C275" s="16"/>
      <c r="D275" s="62"/>
      <c r="E275" s="70"/>
      <c r="F275" s="62"/>
      <c r="G275" s="62"/>
      <c r="H275" s="62"/>
      <c r="I275" s="62"/>
      <c r="J275" s="62"/>
      <c r="K275" s="8"/>
      <c r="L275" s="8"/>
      <c r="M275" s="47"/>
      <c r="N275" s="8"/>
      <c r="O275" s="8"/>
      <c r="P275" s="8"/>
      <c r="Q275" s="14"/>
      <c r="R275" s="14"/>
      <c r="T275" s="7"/>
      <c r="U275" s="7"/>
    </row>
    <row r="276" spans="1:21" s="6" customFormat="1" ht="60" customHeight="1" collapsed="1">
      <c r="A276" s="14" t="b">
        <v>1</v>
      </c>
      <c r="B276" s="8"/>
      <c r="C276" s="19">
        <v>11.2</v>
      </c>
      <c r="D276" s="62"/>
      <c r="E276" s="84" t="s">
        <v>155</v>
      </c>
      <c r="F276" s="62"/>
      <c r="G276" s="52"/>
      <c r="H276" s="62"/>
      <c r="I276" s="32"/>
      <c r="J276" s="62"/>
      <c r="K276" s="32"/>
      <c r="L276" s="8"/>
      <c r="M276" s="51"/>
      <c r="N276" s="8"/>
      <c r="O276" s="32"/>
      <c r="P276" s="8"/>
      <c r="Q276" s="14" t="b">
        <v>0</v>
      </c>
      <c r="R276" s="14"/>
      <c r="T276" s="7"/>
      <c r="U276" s="7"/>
    </row>
    <row r="277" spans="1:21" s="6" customFormat="1" ht="6" customHeight="1">
      <c r="A277" s="14" t="b">
        <v>1</v>
      </c>
      <c r="B277" s="8"/>
      <c r="C277" s="16"/>
      <c r="D277" s="62"/>
      <c r="E277" s="70"/>
      <c r="F277" s="62"/>
      <c r="G277" s="62"/>
      <c r="H277" s="62"/>
      <c r="I277" s="62"/>
      <c r="J277" s="62"/>
      <c r="K277" s="8"/>
      <c r="L277" s="8"/>
      <c r="M277" s="47"/>
      <c r="N277" s="8"/>
      <c r="O277" s="8"/>
      <c r="P277" s="8"/>
      <c r="Q277" s="14"/>
      <c r="R277" s="14"/>
      <c r="T277" s="7"/>
      <c r="U277" s="7"/>
    </row>
    <row r="278" spans="1:21" s="6" customFormat="1" ht="60" customHeight="1" collapsed="1">
      <c r="A278" s="14" t="b">
        <v>1</v>
      </c>
      <c r="B278" s="8"/>
      <c r="C278" s="19">
        <v>11.3</v>
      </c>
      <c r="D278" s="62"/>
      <c r="E278" s="84" t="s">
        <v>156</v>
      </c>
      <c r="F278" s="62"/>
      <c r="G278" s="52"/>
      <c r="H278" s="62"/>
      <c r="I278" s="32"/>
      <c r="J278" s="62"/>
      <c r="K278" s="32"/>
      <c r="L278" s="8"/>
      <c r="M278" s="51"/>
      <c r="N278" s="8"/>
      <c r="O278" s="32"/>
      <c r="P278" s="8"/>
      <c r="Q278" s="14" t="b">
        <v>0</v>
      </c>
      <c r="R278" s="14"/>
      <c r="T278" s="7"/>
      <c r="U278" s="7"/>
    </row>
    <row r="279" spans="1:21" s="6" customFormat="1" ht="6" customHeight="1">
      <c r="A279" s="14" t="b">
        <v>1</v>
      </c>
      <c r="B279" s="8"/>
      <c r="C279" s="16"/>
      <c r="D279" s="62"/>
      <c r="E279" s="36"/>
      <c r="F279" s="62"/>
      <c r="G279" s="62"/>
      <c r="H279" s="62"/>
      <c r="I279" s="62"/>
      <c r="J279" s="62"/>
      <c r="K279" s="8"/>
      <c r="L279" s="8"/>
      <c r="M279" s="47"/>
      <c r="N279" s="8"/>
      <c r="O279" s="8"/>
      <c r="P279" s="8"/>
      <c r="Q279" s="14"/>
      <c r="R279" s="14"/>
      <c r="T279" s="7"/>
      <c r="U279" s="7"/>
    </row>
    <row r="280" spans="1:21" s="6" customFormat="1" ht="60" customHeight="1" collapsed="1">
      <c r="A280" s="14" t="b">
        <v>1</v>
      </c>
      <c r="B280" s="8"/>
      <c r="C280" s="19">
        <v>11.4</v>
      </c>
      <c r="D280" s="62"/>
      <c r="E280" s="84" t="s">
        <v>157</v>
      </c>
      <c r="F280" s="62"/>
      <c r="G280" s="52"/>
      <c r="H280" s="62"/>
      <c r="I280" s="32"/>
      <c r="J280" s="62"/>
      <c r="K280" s="32"/>
      <c r="L280" s="8"/>
      <c r="M280" s="51"/>
      <c r="N280" s="8"/>
      <c r="O280" s="32"/>
      <c r="P280" s="8"/>
      <c r="Q280" s="14" t="b">
        <v>0</v>
      </c>
      <c r="R280" s="14"/>
      <c r="T280" s="7"/>
      <c r="U280" s="7"/>
    </row>
    <row r="281" spans="1:21" s="6" customFormat="1" ht="6" hidden="1" customHeight="1">
      <c r="A281" s="14" t="b">
        <v>0</v>
      </c>
      <c r="B281" s="8"/>
      <c r="C281" s="16"/>
      <c r="D281" s="62"/>
      <c r="E281" s="36"/>
      <c r="F281" s="62"/>
      <c r="G281" s="62"/>
      <c r="H281" s="62"/>
      <c r="I281" s="62"/>
      <c r="J281" s="62"/>
      <c r="K281" s="8"/>
      <c r="L281" s="8"/>
      <c r="M281" s="47"/>
      <c r="N281" s="8"/>
      <c r="O281" s="8"/>
      <c r="P281" s="8"/>
      <c r="Q281" s="14"/>
      <c r="R281" s="14"/>
      <c r="T281" s="7"/>
      <c r="U281" s="7"/>
    </row>
    <row r="282" spans="1:21" s="6" customFormat="1" ht="60" hidden="1" customHeight="1" collapsed="1">
      <c r="A282" s="14" t="b">
        <v>0</v>
      </c>
      <c r="B282" s="8"/>
      <c r="C282" s="105">
        <v>11.5</v>
      </c>
      <c r="D282" s="106"/>
      <c r="E282" s="107" t="s">
        <v>158</v>
      </c>
      <c r="F282" s="62"/>
      <c r="G282" s="52"/>
      <c r="H282" s="62"/>
      <c r="I282" s="32"/>
      <c r="J282" s="62"/>
      <c r="K282" s="32"/>
      <c r="L282" s="8"/>
      <c r="M282" s="51"/>
      <c r="N282" s="8"/>
      <c r="O282" s="32"/>
      <c r="P282" s="8"/>
      <c r="Q282" s="14" t="b">
        <v>1</v>
      </c>
      <c r="R282" s="14"/>
      <c r="T282" s="7"/>
      <c r="U282" s="7"/>
    </row>
    <row r="283" spans="1:21" s="6" customFormat="1" ht="6" hidden="1" customHeight="1">
      <c r="A283" s="14" t="b">
        <v>0</v>
      </c>
      <c r="B283" s="8"/>
      <c r="C283" s="16"/>
      <c r="D283" s="62"/>
      <c r="E283" s="36"/>
      <c r="F283" s="62"/>
      <c r="G283" s="62"/>
      <c r="H283" s="62"/>
      <c r="I283" s="62"/>
      <c r="J283" s="62"/>
      <c r="K283" s="8"/>
      <c r="L283" s="8"/>
      <c r="M283" s="47"/>
      <c r="N283" s="8"/>
      <c r="O283" s="8"/>
      <c r="P283" s="8"/>
      <c r="Q283" s="14"/>
      <c r="R283" s="14"/>
      <c r="T283" s="7"/>
      <c r="U283" s="7"/>
    </row>
    <row r="284" spans="1:21" s="6" customFormat="1" ht="6" customHeight="1">
      <c r="A284" s="14" t="b">
        <v>1</v>
      </c>
      <c r="B284" s="8"/>
      <c r="C284" s="16"/>
      <c r="D284" s="62"/>
      <c r="E284" s="36"/>
      <c r="F284" s="62"/>
      <c r="G284" s="62"/>
      <c r="H284" s="62"/>
      <c r="I284" s="62"/>
      <c r="J284" s="62"/>
      <c r="K284" s="8"/>
      <c r="L284" s="8"/>
      <c r="M284" s="47"/>
      <c r="N284" s="8"/>
      <c r="O284" s="8"/>
      <c r="P284" s="8"/>
      <c r="Q284" s="14"/>
      <c r="R284" s="14"/>
      <c r="T284" s="7"/>
      <c r="U284" s="7"/>
    </row>
    <row r="285" spans="1:21" s="6" customFormat="1" ht="60" customHeight="1">
      <c r="A285" s="14" t="b">
        <v>1</v>
      </c>
      <c r="B285" s="8"/>
      <c r="C285" s="19">
        <v>11.5</v>
      </c>
      <c r="D285" s="70"/>
      <c r="E285" s="30" t="s">
        <v>159</v>
      </c>
      <c r="F285" s="70"/>
      <c r="G285" s="52"/>
      <c r="H285" s="70"/>
      <c r="I285" s="32"/>
      <c r="J285" s="70"/>
      <c r="K285" s="32"/>
      <c r="L285" s="8"/>
      <c r="M285" s="51"/>
      <c r="N285" s="8"/>
      <c r="O285" s="32"/>
      <c r="P285" s="8"/>
      <c r="Q285" s="14"/>
      <c r="R285" s="14"/>
      <c r="T285" s="7"/>
      <c r="U285" s="7"/>
    </row>
    <row r="286" spans="1:21" s="6" customFormat="1" ht="6" customHeight="1">
      <c r="A286" s="14" t="b">
        <v>1</v>
      </c>
      <c r="B286" s="8"/>
      <c r="C286" s="16"/>
      <c r="D286" s="62"/>
      <c r="E286" s="36"/>
      <c r="F286" s="62"/>
      <c r="G286" s="62"/>
      <c r="H286" s="62"/>
      <c r="I286" s="8"/>
      <c r="J286" s="62"/>
      <c r="K286" s="8"/>
      <c r="L286" s="8"/>
      <c r="M286" s="47"/>
      <c r="N286" s="8"/>
      <c r="O286" s="8"/>
      <c r="P286" s="8"/>
      <c r="Q286" s="14"/>
      <c r="R286" s="14"/>
      <c r="T286" s="7"/>
      <c r="U286" s="7"/>
    </row>
    <row r="287" spans="1:21" s="6" customFormat="1" ht="60" customHeight="1" collapsed="1">
      <c r="A287" s="14" t="b">
        <v>1</v>
      </c>
      <c r="B287" s="8"/>
      <c r="C287" s="19">
        <v>11.6</v>
      </c>
      <c r="D287" s="90"/>
      <c r="E287" s="84" t="s">
        <v>160</v>
      </c>
      <c r="F287" s="62"/>
      <c r="G287" s="52"/>
      <c r="H287" s="62"/>
      <c r="I287" s="32"/>
      <c r="J287" s="62"/>
      <c r="K287" s="32"/>
      <c r="L287" s="8"/>
      <c r="M287" s="51"/>
      <c r="N287" s="8"/>
      <c r="O287" s="32"/>
      <c r="P287" s="33" t="b">
        <v>1</v>
      </c>
      <c r="Q287" s="14"/>
      <c r="R287" s="14"/>
      <c r="T287" s="7"/>
      <c r="U287" s="7"/>
    </row>
    <row r="288" spans="1:21" s="6" customFormat="1" ht="6" hidden="1" customHeight="1">
      <c r="A288" s="14" t="b">
        <v>0</v>
      </c>
      <c r="B288" s="8"/>
      <c r="C288" s="16"/>
      <c r="D288" s="62"/>
      <c r="E288" s="36"/>
      <c r="F288" s="62"/>
      <c r="G288" s="62"/>
      <c r="H288" s="62"/>
      <c r="I288" s="8"/>
      <c r="J288" s="62"/>
      <c r="K288" s="8"/>
      <c r="L288" s="8"/>
      <c r="M288" s="47"/>
      <c r="N288" s="8"/>
      <c r="O288" s="8"/>
      <c r="P288" s="8"/>
      <c r="Q288" s="14"/>
      <c r="R288" s="14"/>
      <c r="T288" s="7"/>
      <c r="U288" s="7"/>
    </row>
    <row r="289" spans="1:21" s="6" customFormat="1" ht="60" hidden="1" customHeight="1" collapsed="1">
      <c r="A289" s="14" t="b">
        <f>A288</f>
        <v>0</v>
      </c>
      <c r="B289" s="8"/>
      <c r="C289" s="19">
        <v>11.7</v>
      </c>
      <c r="D289" s="90"/>
      <c r="E289" s="84" t="s">
        <v>161</v>
      </c>
      <c r="F289" s="62"/>
      <c r="G289" s="38"/>
      <c r="H289" s="62"/>
      <c r="I289" s="32"/>
      <c r="J289" s="62"/>
      <c r="K289" s="32"/>
      <c r="L289" s="8"/>
      <c r="M289" s="51"/>
      <c r="N289" s="8"/>
      <c r="O289" s="32"/>
      <c r="P289" s="33" t="b">
        <v>1</v>
      </c>
      <c r="Q289" s="14"/>
      <c r="R289" s="14"/>
      <c r="T289" s="7"/>
      <c r="U289" s="7"/>
    </row>
    <row r="290" spans="1:21" s="6" customFormat="1" ht="6" hidden="1" customHeight="1">
      <c r="A290" s="14" t="b">
        <f>OR(Q274,Q276,Q278,Q280)</f>
        <v>0</v>
      </c>
      <c r="B290" s="8"/>
      <c r="C290" s="16"/>
      <c r="D290" s="62"/>
      <c r="E290" s="36"/>
      <c r="F290" s="62"/>
      <c r="G290" s="62"/>
      <c r="H290" s="62"/>
      <c r="I290" s="8"/>
      <c r="J290" s="62"/>
      <c r="K290" s="8"/>
      <c r="L290" s="8"/>
      <c r="M290" s="47"/>
      <c r="N290" s="8"/>
      <c r="O290" s="8"/>
      <c r="P290" s="8"/>
      <c r="Q290" s="14"/>
      <c r="R290" s="14"/>
      <c r="T290" s="7"/>
      <c r="U290" s="7"/>
    </row>
    <row r="291" spans="1:21" s="6" customFormat="1" ht="60" hidden="1" customHeight="1" collapsed="1">
      <c r="A291" s="14" t="b">
        <f>A290</f>
        <v>0</v>
      </c>
      <c r="B291" s="8"/>
      <c r="C291" s="19">
        <v>11.8</v>
      </c>
      <c r="D291" s="62"/>
      <c r="E291" s="108" t="s">
        <v>162</v>
      </c>
      <c r="F291" s="62"/>
      <c r="G291" s="109"/>
      <c r="H291" s="62"/>
      <c r="I291" s="110"/>
      <c r="J291" s="62"/>
      <c r="K291" s="110"/>
      <c r="L291" s="8"/>
      <c r="M291" s="47"/>
      <c r="N291" s="33" t="b">
        <v>0</v>
      </c>
      <c r="O291" s="8"/>
      <c r="P291" s="33" t="b">
        <v>1</v>
      </c>
      <c r="Q291" s="14"/>
      <c r="R291" s="14"/>
      <c r="T291" s="7"/>
      <c r="U291" s="7"/>
    </row>
    <row r="292" spans="1:21" s="6" customFormat="1" ht="6" customHeight="1">
      <c r="A292" s="14" t="b">
        <v>1</v>
      </c>
      <c r="B292" s="8"/>
      <c r="C292" s="16"/>
      <c r="D292" s="62"/>
      <c r="E292" s="111"/>
      <c r="F292" s="62"/>
      <c r="G292" s="112"/>
      <c r="H292" s="62"/>
      <c r="I292" s="113"/>
      <c r="J292" s="62"/>
      <c r="K292" s="113"/>
      <c r="L292" s="8"/>
      <c r="M292" s="47"/>
      <c r="N292" s="33"/>
      <c r="O292" s="8"/>
      <c r="P292" s="33"/>
      <c r="Q292" s="14"/>
      <c r="R292" s="14"/>
      <c r="T292" s="7"/>
      <c r="U292" s="7"/>
    </row>
    <row r="293" spans="1:21" s="6" customFormat="1" ht="60" customHeight="1">
      <c r="A293" s="14" t="b">
        <v>1</v>
      </c>
      <c r="B293" s="8"/>
      <c r="C293" s="16">
        <v>11.9</v>
      </c>
      <c r="D293" s="62"/>
      <c r="E293" s="84" t="s">
        <v>163</v>
      </c>
      <c r="F293" s="62"/>
      <c r="G293" s="278"/>
      <c r="H293" s="278"/>
      <c r="I293" s="278"/>
      <c r="J293" s="278"/>
      <c r="K293" s="278"/>
      <c r="L293" s="8"/>
      <c r="M293" s="137"/>
      <c r="N293" s="8"/>
      <c r="O293" s="137"/>
      <c r="P293" s="33"/>
      <c r="Q293" s="14"/>
      <c r="R293" s="14"/>
      <c r="T293" s="7"/>
      <c r="U293" s="7"/>
    </row>
    <row r="294" spans="1:21" s="6" customFormat="1" ht="6" customHeight="1">
      <c r="A294" s="14" t="b">
        <v>1</v>
      </c>
      <c r="B294" s="114"/>
      <c r="C294" s="89"/>
      <c r="D294" s="115"/>
      <c r="E294" s="116"/>
      <c r="F294" s="115"/>
      <c r="G294" s="117"/>
      <c r="H294" s="115"/>
      <c r="I294" s="115"/>
      <c r="J294" s="115"/>
      <c r="K294" s="114"/>
      <c r="L294" s="114"/>
      <c r="M294" s="118"/>
      <c r="N294" s="114"/>
      <c r="O294" s="114"/>
      <c r="P294" s="114"/>
      <c r="Q294" s="14"/>
      <c r="R294" s="14"/>
      <c r="T294" s="7"/>
      <c r="U294" s="7"/>
    </row>
    <row r="295" spans="1:21" s="6" customFormat="1" ht="60" customHeight="1">
      <c r="A295" s="14" t="b">
        <v>1</v>
      </c>
      <c r="B295" s="8"/>
      <c r="C295" s="119">
        <v>11.1</v>
      </c>
      <c r="D295" s="18"/>
      <c r="E295" s="30" t="s">
        <v>164</v>
      </c>
      <c r="F295" s="18"/>
      <c r="G295" s="278"/>
      <c r="H295" s="278"/>
      <c r="I295" s="278"/>
      <c r="J295" s="278"/>
      <c r="K295" s="278"/>
      <c r="L295" s="8"/>
      <c r="M295" s="137"/>
      <c r="N295" s="8"/>
      <c r="O295" s="137"/>
      <c r="P295" s="8"/>
      <c r="Q295" s="14"/>
      <c r="R295" s="14"/>
      <c r="T295" s="7"/>
      <c r="U295" s="7"/>
    </row>
    <row r="296" spans="1:21" s="6" customFormat="1" ht="15" customHeight="1" thickBot="1">
      <c r="A296" s="14" t="b">
        <v>1</v>
      </c>
      <c r="B296" s="8"/>
      <c r="C296" s="41"/>
      <c r="D296" s="62"/>
      <c r="E296" s="36"/>
      <c r="F296" s="62"/>
      <c r="G296" s="62"/>
      <c r="H296" s="62"/>
      <c r="I296" s="62"/>
      <c r="J296" s="62"/>
      <c r="K296" s="8"/>
      <c r="L296" s="8"/>
      <c r="M296" s="47"/>
      <c r="N296" s="8"/>
      <c r="O296" s="8"/>
      <c r="P296" s="8"/>
      <c r="Q296" s="14"/>
      <c r="R296" s="14"/>
      <c r="T296" s="7"/>
      <c r="U296" s="7"/>
    </row>
    <row r="297" spans="1:21" s="6" customFormat="1" ht="15" customHeight="1" collapsed="1">
      <c r="A297" s="14" t="b">
        <v>1</v>
      </c>
      <c r="B297" s="8"/>
      <c r="C297" s="42"/>
      <c r="D297" s="103"/>
      <c r="E297" s="104"/>
      <c r="F297" s="103"/>
      <c r="G297" s="103"/>
      <c r="H297" s="103"/>
      <c r="I297" s="103"/>
      <c r="J297" s="103"/>
      <c r="K297" s="46"/>
      <c r="L297" s="46"/>
      <c r="M297" s="61"/>
      <c r="N297" s="46"/>
      <c r="O297" s="46"/>
      <c r="P297" s="8"/>
      <c r="Q297" s="14"/>
      <c r="R297" s="14"/>
      <c r="T297" s="7"/>
      <c r="U297" s="7"/>
    </row>
    <row r="298" spans="1:21" s="6" customFormat="1" ht="15" customHeight="1">
      <c r="A298" s="14" t="b">
        <v>1</v>
      </c>
      <c r="B298" s="8"/>
      <c r="C298" s="15" t="s">
        <v>165</v>
      </c>
      <c r="D298" s="16"/>
      <c r="E298" s="17" t="s">
        <v>166</v>
      </c>
      <c r="F298" s="62"/>
      <c r="G298" s="17" t="str">
        <f>G$7</f>
        <v>Answer</v>
      </c>
      <c r="H298" s="18"/>
      <c r="I298" s="17" t="s">
        <v>7</v>
      </c>
      <c r="J298" s="18"/>
      <c r="K298" s="17" t="str">
        <f>K$7</f>
        <v>General Comments</v>
      </c>
      <c r="L298" s="8"/>
      <c r="M298" s="273" t="s">
        <v>290</v>
      </c>
      <c r="N298" s="8"/>
      <c r="O298" s="274" t="s">
        <v>291</v>
      </c>
      <c r="P298" s="8"/>
      <c r="Q298" s="14"/>
      <c r="R298" s="14"/>
      <c r="T298" s="7"/>
      <c r="U298" s="7"/>
    </row>
    <row r="299" spans="1:21" s="6" customFormat="1" ht="15" customHeight="1">
      <c r="A299" s="14" t="b">
        <v>1</v>
      </c>
      <c r="B299" s="8"/>
      <c r="C299" s="19"/>
      <c r="D299" s="16"/>
      <c r="E299" s="17"/>
      <c r="F299" s="18"/>
      <c r="G299" s="17"/>
      <c r="H299" s="18"/>
      <c r="I299" s="17"/>
      <c r="J299" s="18"/>
      <c r="K299" s="17"/>
      <c r="L299" s="8"/>
      <c r="M299" s="273"/>
      <c r="N299" s="8"/>
      <c r="O299" s="274"/>
      <c r="P299" s="8"/>
      <c r="Q299" s="14"/>
      <c r="R299" s="14"/>
      <c r="T299" s="7"/>
      <c r="U299" s="7"/>
    </row>
    <row r="300" spans="1:21" s="6" customFormat="1" ht="6" customHeight="1">
      <c r="A300" s="14" t="b">
        <v>1</v>
      </c>
      <c r="B300" s="8"/>
      <c r="C300" s="20"/>
      <c r="D300" s="62"/>
      <c r="E300" s="70"/>
      <c r="F300" s="62"/>
      <c r="G300" s="62"/>
      <c r="H300" s="62"/>
      <c r="I300" s="62"/>
      <c r="J300" s="62"/>
      <c r="K300" s="8"/>
      <c r="L300" s="8"/>
      <c r="M300" s="47"/>
      <c r="N300" s="8"/>
      <c r="O300" s="8"/>
      <c r="P300" s="8"/>
      <c r="Q300" s="14"/>
      <c r="R300" s="14"/>
      <c r="T300" s="7"/>
      <c r="U300" s="7"/>
    </row>
    <row r="301" spans="1:21" s="6" customFormat="1" ht="18" customHeight="1" collapsed="1">
      <c r="A301" s="14" t="b">
        <v>1</v>
      </c>
      <c r="B301" s="8"/>
      <c r="C301" s="23"/>
      <c r="D301" s="23"/>
      <c r="E301" s="24"/>
      <c r="F301" s="23"/>
      <c r="G301" s="23"/>
      <c r="H301" s="23"/>
      <c r="I301" s="23"/>
      <c r="J301" s="23"/>
      <c r="K301" s="23"/>
      <c r="L301" s="23"/>
      <c r="M301" s="48"/>
      <c r="N301" s="23"/>
      <c r="O301" s="23"/>
      <c r="P301" s="8"/>
      <c r="Q301" s="14"/>
      <c r="R301" s="14"/>
      <c r="T301" s="7"/>
      <c r="U301" s="7"/>
    </row>
    <row r="302" spans="1:21" s="6" customFormat="1" ht="15" hidden="1" customHeight="1">
      <c r="A302" s="14" t="b">
        <v>0</v>
      </c>
      <c r="B302" s="8"/>
      <c r="C302" s="23"/>
      <c r="D302" s="18"/>
      <c r="E302" s="27" t="s">
        <v>10</v>
      </c>
      <c r="F302" s="18"/>
      <c r="G302" s="22"/>
      <c r="H302" s="18"/>
      <c r="I302" s="18"/>
      <c r="J302" s="18"/>
      <c r="K302" s="8"/>
      <c r="L302" s="8"/>
      <c r="M302" s="47"/>
      <c r="N302" s="8"/>
      <c r="O302" s="8"/>
      <c r="P302" s="8"/>
      <c r="Q302" s="14"/>
      <c r="R302" s="14"/>
      <c r="T302" s="7"/>
      <c r="U302" s="7"/>
    </row>
    <row r="303" spans="1:21" s="6" customFormat="1" ht="15" hidden="1" customHeight="1">
      <c r="A303" s="14" t="b">
        <f t="shared" ref="A303:A310" si="1">$A$302</f>
        <v>0</v>
      </c>
      <c r="B303" s="8"/>
      <c r="C303" s="23"/>
      <c r="D303" s="18"/>
      <c r="E303" s="27" t="s">
        <v>11</v>
      </c>
      <c r="F303" s="18"/>
      <c r="G303" s="22"/>
      <c r="H303" s="18"/>
      <c r="I303" s="18"/>
      <c r="J303" s="18"/>
      <c r="K303" s="8"/>
      <c r="L303" s="8"/>
      <c r="M303" s="47"/>
      <c r="N303" s="8"/>
      <c r="O303" s="8"/>
      <c r="P303" s="8"/>
      <c r="Q303" s="14"/>
      <c r="R303" s="14"/>
      <c r="T303" s="7"/>
      <c r="U303" s="7"/>
    </row>
    <row r="304" spans="1:21" s="6" customFormat="1" ht="15" hidden="1" customHeight="1">
      <c r="A304" s="14" t="b">
        <f t="shared" si="1"/>
        <v>0</v>
      </c>
      <c r="B304" s="8"/>
      <c r="C304" s="23"/>
      <c r="D304" s="18"/>
      <c r="E304" s="27" t="s">
        <v>51</v>
      </c>
      <c r="F304" s="18"/>
      <c r="G304" s="22"/>
      <c r="H304" s="18"/>
      <c r="I304" s="18"/>
      <c r="J304" s="18"/>
      <c r="K304" s="8"/>
      <c r="L304" s="8"/>
      <c r="M304" s="47"/>
      <c r="N304" s="8"/>
      <c r="O304" s="8"/>
      <c r="P304" s="8"/>
      <c r="Q304" s="14"/>
      <c r="R304" s="14"/>
      <c r="T304" s="7"/>
      <c r="U304" s="7"/>
    </row>
    <row r="305" spans="1:21" s="6" customFormat="1" ht="15" hidden="1" customHeight="1">
      <c r="A305" s="14" t="b">
        <f t="shared" si="1"/>
        <v>0</v>
      </c>
      <c r="B305" s="8"/>
      <c r="C305" s="23"/>
      <c r="D305" s="18"/>
      <c r="E305" s="27" t="s">
        <v>167</v>
      </c>
      <c r="F305" s="18"/>
      <c r="G305" s="22"/>
      <c r="H305" s="18"/>
      <c r="I305" s="18"/>
      <c r="J305" s="18"/>
      <c r="K305" s="8"/>
      <c r="L305" s="8"/>
      <c r="M305" s="47"/>
      <c r="N305" s="8"/>
      <c r="O305" s="8"/>
      <c r="P305" s="8"/>
      <c r="Q305" s="14"/>
      <c r="R305" s="14"/>
      <c r="T305" s="7"/>
      <c r="U305" s="7"/>
    </row>
    <row r="306" spans="1:21" s="6" customFormat="1" ht="15" hidden="1" customHeight="1">
      <c r="A306" s="14" t="b">
        <f t="shared" si="1"/>
        <v>0</v>
      </c>
      <c r="B306" s="8"/>
      <c r="C306" s="23"/>
      <c r="D306" s="18"/>
      <c r="E306" s="120" t="s">
        <v>168</v>
      </c>
      <c r="F306" s="18"/>
      <c r="G306" s="22"/>
      <c r="H306" s="18"/>
      <c r="I306" s="18"/>
      <c r="J306" s="18"/>
      <c r="K306" s="8"/>
      <c r="L306" s="8"/>
      <c r="M306" s="47"/>
      <c r="N306" s="8"/>
      <c r="O306" s="8"/>
      <c r="P306" s="8"/>
      <c r="Q306" s="14"/>
      <c r="R306" s="14"/>
      <c r="T306" s="7"/>
      <c r="U306" s="7"/>
    </row>
    <row r="307" spans="1:21" s="6" customFormat="1" ht="15" hidden="1" customHeight="1">
      <c r="A307" s="14" t="b">
        <f t="shared" si="1"/>
        <v>0</v>
      </c>
      <c r="B307" s="8"/>
      <c r="C307" s="23"/>
      <c r="D307" s="18"/>
      <c r="E307" s="27" t="s">
        <v>67</v>
      </c>
      <c r="F307" s="18"/>
      <c r="G307" s="22"/>
      <c r="H307" s="18"/>
      <c r="I307" s="18"/>
      <c r="J307" s="18"/>
      <c r="K307" s="8"/>
      <c r="L307" s="8"/>
      <c r="M307" s="47"/>
      <c r="N307" s="8"/>
      <c r="O307" s="8"/>
      <c r="P307" s="8"/>
      <c r="Q307" s="14"/>
      <c r="R307" s="14"/>
      <c r="T307" s="7"/>
      <c r="U307" s="7"/>
    </row>
    <row r="308" spans="1:21" s="6" customFormat="1" ht="15" hidden="1" customHeight="1">
      <c r="A308" s="14" t="b">
        <f t="shared" si="1"/>
        <v>0</v>
      </c>
      <c r="B308" s="8"/>
      <c r="C308" s="23"/>
      <c r="D308" s="18"/>
      <c r="E308" s="27" t="s">
        <v>169</v>
      </c>
      <c r="F308" s="18"/>
      <c r="G308" s="22"/>
      <c r="H308" s="18"/>
      <c r="I308" s="18"/>
      <c r="J308" s="18"/>
      <c r="K308" s="8"/>
      <c r="L308" s="8"/>
      <c r="M308" s="47"/>
      <c r="N308" s="8"/>
      <c r="O308" s="8"/>
      <c r="P308" s="8"/>
      <c r="Q308" s="14"/>
      <c r="R308" s="14"/>
      <c r="T308" s="7"/>
      <c r="U308" s="7"/>
    </row>
    <row r="309" spans="1:21" s="6" customFormat="1" ht="15" hidden="1" customHeight="1">
      <c r="A309" s="14" t="b">
        <f t="shared" si="1"/>
        <v>0</v>
      </c>
      <c r="B309" s="8"/>
      <c r="C309" s="23"/>
      <c r="D309" s="18"/>
      <c r="E309" s="27" t="s">
        <v>170</v>
      </c>
      <c r="F309" s="18"/>
      <c r="G309" s="22"/>
      <c r="H309" s="18"/>
      <c r="I309" s="18"/>
      <c r="J309" s="18"/>
      <c r="K309" s="8"/>
      <c r="L309" s="8"/>
      <c r="M309" s="47"/>
      <c r="N309" s="8"/>
      <c r="O309" s="8"/>
      <c r="P309" s="8"/>
      <c r="Q309" s="14"/>
      <c r="R309" s="14"/>
      <c r="T309" s="7"/>
      <c r="U309" s="7"/>
    </row>
    <row r="310" spans="1:21" s="6" customFormat="1" ht="15" hidden="1" customHeight="1">
      <c r="A310" s="14" t="b">
        <f t="shared" si="1"/>
        <v>0</v>
      </c>
      <c r="B310" s="8"/>
      <c r="C310" s="23"/>
      <c r="D310" s="18"/>
      <c r="E310" s="27" t="s">
        <v>171</v>
      </c>
      <c r="F310" s="18"/>
      <c r="G310" s="22"/>
      <c r="H310" s="18"/>
      <c r="I310" s="18"/>
      <c r="J310" s="18"/>
      <c r="K310" s="8"/>
      <c r="L310" s="8"/>
      <c r="M310" s="47"/>
      <c r="N310" s="8"/>
      <c r="O310" s="8"/>
      <c r="P310" s="8"/>
      <c r="Q310" s="14"/>
      <c r="R310" s="14"/>
      <c r="T310" s="7"/>
      <c r="U310" s="7"/>
    </row>
    <row r="311" spans="1:21" s="6" customFormat="1" ht="15" hidden="1" customHeight="1">
      <c r="A311" s="14" t="b">
        <f>A302</f>
        <v>0</v>
      </c>
      <c r="B311" s="8"/>
      <c r="C311" s="23"/>
      <c r="D311" s="18"/>
      <c r="E311" s="27" t="s">
        <v>172</v>
      </c>
      <c r="F311" s="18"/>
      <c r="G311" s="22"/>
      <c r="H311" s="18"/>
      <c r="I311" s="18"/>
      <c r="J311" s="18"/>
      <c r="K311" s="8"/>
      <c r="L311" s="8"/>
      <c r="M311" s="47"/>
      <c r="N311" s="8"/>
      <c r="O311" s="8"/>
      <c r="P311" s="8"/>
      <c r="Q311" s="14"/>
      <c r="R311" s="14"/>
      <c r="T311" s="7"/>
      <c r="U311" s="7"/>
    </row>
    <row r="312" spans="1:21" s="6" customFormat="1" ht="15" hidden="1" customHeight="1">
      <c r="A312" s="14" t="b">
        <f>$A$302</f>
        <v>0</v>
      </c>
      <c r="B312" s="8"/>
      <c r="C312" s="23"/>
      <c r="D312" s="18"/>
      <c r="E312" s="27" t="s">
        <v>173</v>
      </c>
      <c r="F312" s="18"/>
      <c r="G312" s="22"/>
      <c r="H312" s="18"/>
      <c r="I312" s="18"/>
      <c r="J312" s="18"/>
      <c r="K312" s="8"/>
      <c r="L312" s="8"/>
      <c r="M312" s="47"/>
      <c r="N312" s="8"/>
      <c r="O312" s="8"/>
      <c r="P312" s="8"/>
      <c r="Q312" s="14"/>
      <c r="R312" s="14"/>
      <c r="T312" s="7"/>
      <c r="U312" s="7"/>
    </row>
    <row r="313" spans="1:21" s="6" customFormat="1" ht="15" hidden="1" customHeight="1">
      <c r="A313" s="14" t="b">
        <f>$A$302</f>
        <v>0</v>
      </c>
      <c r="B313" s="8"/>
      <c r="C313" s="23"/>
      <c r="D313" s="18"/>
      <c r="E313" s="27" t="s">
        <v>174</v>
      </c>
      <c r="F313" s="18"/>
      <c r="G313" s="22"/>
      <c r="H313" s="18"/>
      <c r="I313" s="18"/>
      <c r="J313" s="18"/>
      <c r="K313" s="8"/>
      <c r="L313" s="8"/>
      <c r="M313" s="47"/>
      <c r="N313" s="8"/>
      <c r="O313" s="8"/>
      <c r="P313" s="8"/>
      <c r="Q313" s="14"/>
      <c r="R313" s="14"/>
      <c r="T313" s="7"/>
      <c r="U313" s="7"/>
    </row>
    <row r="314" spans="1:21" s="6" customFormat="1" ht="15" customHeight="1" collapsed="1">
      <c r="A314" s="14" t="b">
        <v>1</v>
      </c>
      <c r="B314" s="8"/>
      <c r="C314" s="16"/>
      <c r="D314" s="18"/>
      <c r="E314" s="21"/>
      <c r="F314" s="18"/>
      <c r="G314" s="22"/>
      <c r="H314" s="18"/>
      <c r="I314" s="18"/>
      <c r="J314" s="18"/>
      <c r="K314" s="8"/>
      <c r="L314" s="8"/>
      <c r="M314" s="47"/>
      <c r="N314" s="8"/>
      <c r="O314" s="8"/>
      <c r="P314" s="8"/>
      <c r="Q314" s="14"/>
      <c r="R314" s="14"/>
      <c r="T314" s="7"/>
      <c r="U314" s="7"/>
    </row>
    <row r="315" spans="1:21" s="6" customFormat="1" ht="60" customHeight="1">
      <c r="A315" s="14" t="b">
        <v>1</v>
      </c>
      <c r="B315" s="8"/>
      <c r="C315" s="19">
        <v>12.1</v>
      </c>
      <c r="D315" s="62"/>
      <c r="E315" s="30" t="s">
        <v>175</v>
      </c>
      <c r="F315" s="62"/>
      <c r="G315" s="83"/>
      <c r="H315" s="62"/>
      <c r="I315" s="32"/>
      <c r="J315" s="62"/>
      <c r="K315" s="32"/>
      <c r="L315" s="8"/>
      <c r="M315" s="51"/>
      <c r="N315" s="8"/>
      <c r="O315" s="32"/>
      <c r="P315" s="8"/>
      <c r="Q315" s="14" t="b">
        <v>0</v>
      </c>
      <c r="R315" s="14"/>
      <c r="T315" s="7"/>
      <c r="U315" s="7"/>
    </row>
    <row r="316" spans="1:21" s="6" customFormat="1" ht="6" customHeight="1">
      <c r="A316" s="14" t="b">
        <v>1</v>
      </c>
      <c r="B316" s="8"/>
      <c r="C316" s="16"/>
      <c r="D316" s="62"/>
      <c r="E316" s="36"/>
      <c r="F316" s="62"/>
      <c r="G316" s="62"/>
      <c r="H316" s="62"/>
      <c r="I316" s="8"/>
      <c r="J316" s="62"/>
      <c r="K316" s="8"/>
      <c r="L316" s="8"/>
      <c r="M316" s="47"/>
      <c r="N316" s="8"/>
      <c r="O316" s="8"/>
      <c r="P316" s="8"/>
      <c r="Q316" s="14"/>
      <c r="R316" s="14"/>
      <c r="T316" s="7"/>
      <c r="U316" s="7"/>
    </row>
    <row r="317" spans="1:21" s="6" customFormat="1" ht="60" customHeight="1">
      <c r="A317" s="14" t="b">
        <v>1</v>
      </c>
      <c r="B317" s="8"/>
      <c r="C317" s="19" t="s">
        <v>176</v>
      </c>
      <c r="D317" s="62"/>
      <c r="E317" s="37" t="s">
        <v>177</v>
      </c>
      <c r="F317" s="62"/>
      <c r="G317" s="52"/>
      <c r="H317" s="62"/>
      <c r="I317" s="32"/>
      <c r="J317" s="62"/>
      <c r="K317" s="32"/>
      <c r="L317" s="8"/>
      <c r="M317" s="51"/>
      <c r="N317" s="8"/>
      <c r="O317" s="32"/>
      <c r="P317" s="8"/>
      <c r="Q317" s="14"/>
      <c r="R317" s="14"/>
      <c r="T317" s="7"/>
      <c r="U317" s="7"/>
    </row>
    <row r="318" spans="1:21" s="6" customFormat="1" ht="6" customHeight="1">
      <c r="A318" s="14" t="b">
        <v>1</v>
      </c>
      <c r="B318" s="8"/>
      <c r="C318" s="16"/>
      <c r="D318" s="62"/>
      <c r="E318" s="121"/>
      <c r="F318" s="62"/>
      <c r="G318" s="62"/>
      <c r="H318" s="62"/>
      <c r="I318" s="8"/>
      <c r="J318" s="62"/>
      <c r="K318" s="8"/>
      <c r="L318" s="8"/>
      <c r="M318" s="47"/>
      <c r="N318" s="8"/>
      <c r="O318" s="8"/>
      <c r="P318" s="8"/>
      <c r="Q318" s="14"/>
      <c r="R318" s="14"/>
      <c r="T318" s="7"/>
      <c r="U318" s="7"/>
    </row>
    <row r="319" spans="1:21" s="6" customFormat="1" ht="60" customHeight="1">
      <c r="A319" s="14" t="b">
        <v>1</v>
      </c>
      <c r="B319" s="8"/>
      <c r="C319" s="19" t="s">
        <v>178</v>
      </c>
      <c r="D319" s="62"/>
      <c r="E319" s="37" t="s">
        <v>179</v>
      </c>
      <c r="F319" s="62"/>
      <c r="G319" s="52"/>
      <c r="H319" s="62"/>
      <c r="I319" s="32"/>
      <c r="J319" s="62"/>
      <c r="K319" s="32"/>
      <c r="L319" s="8"/>
      <c r="M319" s="51"/>
      <c r="N319" s="8"/>
      <c r="O319" s="32"/>
      <c r="P319" s="8"/>
      <c r="Q319" s="14"/>
      <c r="R319" s="14"/>
      <c r="T319" s="7"/>
      <c r="U319" s="7"/>
    </row>
    <row r="320" spans="1:21" s="6" customFormat="1" ht="6" customHeight="1">
      <c r="A320" s="14" t="b">
        <v>1</v>
      </c>
      <c r="B320" s="8"/>
      <c r="C320" s="16"/>
      <c r="D320" s="62"/>
      <c r="E320" s="121"/>
      <c r="F320" s="62"/>
      <c r="G320" s="62"/>
      <c r="H320" s="62"/>
      <c r="I320" s="8"/>
      <c r="J320" s="62"/>
      <c r="K320" s="8"/>
      <c r="L320" s="8"/>
      <c r="M320" s="47"/>
      <c r="N320" s="8"/>
      <c r="O320" s="8"/>
      <c r="P320" s="8"/>
      <c r="Q320" s="14"/>
      <c r="R320" s="14"/>
      <c r="T320" s="7"/>
      <c r="U320" s="7"/>
    </row>
    <row r="321" spans="1:21" s="6" customFormat="1" ht="60" customHeight="1">
      <c r="A321" s="14" t="b">
        <v>1</v>
      </c>
      <c r="B321" s="8"/>
      <c r="C321" s="19" t="s">
        <v>180</v>
      </c>
      <c r="D321" s="62"/>
      <c r="E321" s="37" t="s">
        <v>181</v>
      </c>
      <c r="F321" s="62"/>
      <c r="G321" s="52"/>
      <c r="H321" s="62"/>
      <c r="I321" s="32"/>
      <c r="J321" s="62"/>
      <c r="K321" s="32"/>
      <c r="L321" s="8"/>
      <c r="M321" s="51"/>
      <c r="N321" s="8"/>
      <c r="O321" s="32"/>
      <c r="P321" s="8"/>
      <c r="Q321" s="14"/>
      <c r="R321" s="14"/>
      <c r="T321" s="7"/>
      <c r="U321" s="7"/>
    </row>
    <row r="322" spans="1:21" s="6" customFormat="1" ht="6" customHeight="1">
      <c r="A322" s="14" t="b">
        <v>1</v>
      </c>
      <c r="B322" s="8"/>
      <c r="C322" s="16"/>
      <c r="D322" s="62"/>
      <c r="E322" s="121"/>
      <c r="F322" s="62"/>
      <c r="G322" s="62"/>
      <c r="H322" s="62"/>
      <c r="I322" s="8"/>
      <c r="J322" s="62"/>
      <c r="K322" s="8"/>
      <c r="L322" s="8"/>
      <c r="M322" s="47"/>
      <c r="N322" s="8"/>
      <c r="O322" s="8"/>
      <c r="P322" s="8"/>
      <c r="Q322" s="14"/>
      <c r="R322" s="14"/>
      <c r="T322" s="7"/>
      <c r="U322" s="7"/>
    </row>
    <row r="323" spans="1:21" s="6" customFormat="1" ht="60" customHeight="1">
      <c r="A323" s="14" t="b">
        <v>1</v>
      </c>
      <c r="B323" s="8"/>
      <c r="C323" s="19" t="s">
        <v>182</v>
      </c>
      <c r="D323" s="62"/>
      <c r="E323" s="37" t="s">
        <v>183</v>
      </c>
      <c r="F323" s="62"/>
      <c r="G323" s="52"/>
      <c r="H323" s="62"/>
      <c r="I323" s="32"/>
      <c r="J323" s="62"/>
      <c r="K323" s="32"/>
      <c r="L323" s="8"/>
      <c r="M323" s="51"/>
      <c r="N323" s="8"/>
      <c r="O323" s="32"/>
      <c r="P323" s="8"/>
      <c r="Q323" s="14"/>
      <c r="R323" s="14"/>
      <c r="T323" s="7"/>
      <c r="U323" s="7"/>
    </row>
    <row r="324" spans="1:21" s="6" customFormat="1" ht="6" customHeight="1">
      <c r="A324" s="14" t="b">
        <v>1</v>
      </c>
      <c r="B324" s="8"/>
      <c r="C324" s="16"/>
      <c r="D324" s="62"/>
      <c r="E324" s="121"/>
      <c r="F324" s="62"/>
      <c r="G324" s="62"/>
      <c r="H324" s="62"/>
      <c r="I324" s="8"/>
      <c r="J324" s="62"/>
      <c r="K324" s="8"/>
      <c r="L324" s="8"/>
      <c r="M324" s="47"/>
      <c r="N324" s="8"/>
      <c r="O324" s="8"/>
      <c r="P324" s="8"/>
      <c r="Q324" s="14"/>
      <c r="R324" s="14"/>
      <c r="T324" s="7"/>
      <c r="U324" s="7"/>
    </row>
    <row r="325" spans="1:21" s="6" customFormat="1" ht="60" customHeight="1">
      <c r="A325" s="14" t="b">
        <v>1</v>
      </c>
      <c r="B325" s="8"/>
      <c r="C325" s="19" t="s">
        <v>184</v>
      </c>
      <c r="D325" s="62"/>
      <c r="E325" s="37" t="s">
        <v>185</v>
      </c>
      <c r="F325" s="62"/>
      <c r="G325" s="52"/>
      <c r="H325" s="62"/>
      <c r="I325" s="32"/>
      <c r="J325" s="62"/>
      <c r="K325" s="32"/>
      <c r="L325" s="8"/>
      <c r="M325" s="51"/>
      <c r="N325" s="8"/>
      <c r="O325" s="32"/>
      <c r="P325" s="8"/>
      <c r="Q325" s="14"/>
      <c r="R325" s="14"/>
      <c r="T325" s="7"/>
      <c r="U325" s="7"/>
    </row>
    <row r="326" spans="1:21" s="6" customFormat="1" ht="6" hidden="1" customHeight="1">
      <c r="A326" s="14" t="b">
        <v>0</v>
      </c>
      <c r="B326" s="8"/>
      <c r="C326" s="16"/>
      <c r="D326" s="62"/>
      <c r="E326" s="36"/>
      <c r="F326" s="62"/>
      <c r="G326" s="62"/>
      <c r="H326" s="62"/>
      <c r="I326" s="8"/>
      <c r="J326" s="62"/>
      <c r="K326" s="8"/>
      <c r="L326" s="8"/>
      <c r="M326" s="47"/>
      <c r="N326" s="8"/>
      <c r="O326" s="8"/>
      <c r="P326" s="8"/>
      <c r="Q326" s="14"/>
      <c r="R326" s="14"/>
      <c r="T326" s="7"/>
      <c r="U326" s="7"/>
    </row>
    <row r="327" spans="1:21" s="6" customFormat="1" ht="60" hidden="1" customHeight="1">
      <c r="A327" s="14" t="b">
        <f>A326</f>
        <v>0</v>
      </c>
      <c r="B327" s="8"/>
      <c r="C327" s="19" t="s">
        <v>186</v>
      </c>
      <c r="D327" s="90"/>
      <c r="E327" s="122" t="s">
        <v>187</v>
      </c>
      <c r="F327" s="62"/>
      <c r="G327" s="38"/>
      <c r="H327" s="62"/>
      <c r="I327" s="32"/>
      <c r="J327" s="62"/>
      <c r="K327" s="32"/>
      <c r="L327" s="8"/>
      <c r="M327" s="51"/>
      <c r="N327" s="8"/>
      <c r="O327" s="32"/>
      <c r="P327" s="8"/>
      <c r="Q327" s="14"/>
      <c r="R327" s="14"/>
      <c r="T327" s="7"/>
      <c r="U327" s="7"/>
    </row>
    <row r="328" spans="1:21" s="6" customFormat="1" ht="6" hidden="1" customHeight="1">
      <c r="A328" s="76" t="b">
        <v>0</v>
      </c>
      <c r="B328" s="8"/>
      <c r="C328" s="16"/>
      <c r="D328" s="62"/>
      <c r="E328" s="36"/>
      <c r="F328" s="62"/>
      <c r="G328" s="62"/>
      <c r="H328" s="62"/>
      <c r="I328" s="8"/>
      <c r="J328" s="62"/>
      <c r="K328" s="8"/>
      <c r="L328" s="8"/>
      <c r="M328" s="47"/>
      <c r="N328" s="8"/>
      <c r="O328" s="8"/>
      <c r="P328" s="8"/>
      <c r="Q328" s="14"/>
      <c r="R328" s="14"/>
      <c r="T328" s="7"/>
      <c r="U328" s="7"/>
    </row>
    <row r="329" spans="1:21" s="6" customFormat="1" ht="60" hidden="1" customHeight="1">
      <c r="A329" s="14" t="b">
        <f>A328</f>
        <v>0</v>
      </c>
      <c r="B329" s="8"/>
      <c r="C329" s="19">
        <v>12.2</v>
      </c>
      <c r="D329" s="101"/>
      <c r="E329" s="81" t="s">
        <v>188</v>
      </c>
      <c r="F329" s="70"/>
      <c r="G329" s="38"/>
      <c r="H329" s="62"/>
      <c r="I329" s="32"/>
      <c r="J329" s="62"/>
      <c r="K329" s="32"/>
      <c r="L329" s="8"/>
      <c r="M329" s="51"/>
      <c r="N329" s="8"/>
      <c r="O329" s="32"/>
      <c r="P329" s="8"/>
      <c r="Q329" s="14"/>
      <c r="R329" s="14"/>
      <c r="T329" s="7"/>
      <c r="U329" s="7"/>
    </row>
    <row r="330" spans="1:21" s="6" customFormat="1" ht="6" customHeight="1">
      <c r="A330" s="14" t="b">
        <v>1</v>
      </c>
      <c r="B330" s="8"/>
      <c r="C330" s="16"/>
      <c r="D330" s="62"/>
      <c r="E330" s="36"/>
      <c r="F330" s="62"/>
      <c r="G330" s="62"/>
      <c r="H330" s="62"/>
      <c r="I330" s="8"/>
      <c r="J330" s="62"/>
      <c r="K330" s="8"/>
      <c r="L330" s="8"/>
      <c r="M330" s="47"/>
      <c r="N330" s="8"/>
      <c r="O330" s="8"/>
      <c r="P330" s="8"/>
      <c r="Q330" s="14"/>
      <c r="R330" s="14"/>
      <c r="T330" s="7"/>
      <c r="U330" s="7"/>
    </row>
    <row r="331" spans="1:21" s="6" customFormat="1" ht="60" customHeight="1">
      <c r="A331" s="14" t="b">
        <v>1</v>
      </c>
      <c r="B331" s="8"/>
      <c r="C331" s="19">
        <v>12.3</v>
      </c>
      <c r="D331" s="62"/>
      <c r="E331" s="30" t="s">
        <v>189</v>
      </c>
      <c r="F331" s="62"/>
      <c r="G331" s="32"/>
      <c r="H331" s="62"/>
      <c r="I331" s="32"/>
      <c r="J331" s="62"/>
      <c r="K331" s="32"/>
      <c r="L331" s="8"/>
      <c r="M331" s="51"/>
      <c r="N331" s="8"/>
      <c r="O331" s="32"/>
      <c r="P331" s="8"/>
      <c r="Q331" s="14"/>
      <c r="R331" s="14"/>
      <c r="T331" s="7"/>
      <c r="U331" s="7"/>
    </row>
    <row r="332" spans="1:21" s="6" customFormat="1" ht="6" customHeight="1">
      <c r="A332" s="14" t="b">
        <v>1</v>
      </c>
      <c r="B332" s="8"/>
      <c r="C332" s="16"/>
      <c r="D332" s="62"/>
      <c r="E332" s="36"/>
      <c r="F332" s="62"/>
      <c r="G332" s="62"/>
      <c r="H332" s="62"/>
      <c r="I332" s="8"/>
      <c r="J332" s="62"/>
      <c r="K332" s="8"/>
      <c r="L332" s="8"/>
      <c r="M332" s="47"/>
      <c r="N332" s="8"/>
      <c r="O332" s="8"/>
      <c r="P332" s="8"/>
      <c r="Q332" s="14"/>
      <c r="R332" s="14"/>
      <c r="T332" s="7"/>
      <c r="U332" s="7"/>
    </row>
    <row r="333" spans="1:21" s="6" customFormat="1" ht="60" customHeight="1">
      <c r="A333" s="14" t="b">
        <v>1</v>
      </c>
      <c r="B333" s="8"/>
      <c r="C333" s="19">
        <v>12.4</v>
      </c>
      <c r="D333" s="62"/>
      <c r="E333" s="30" t="s">
        <v>190</v>
      </c>
      <c r="F333" s="62"/>
      <c r="G333" s="83"/>
      <c r="H333" s="62"/>
      <c r="I333" s="32"/>
      <c r="J333" s="62"/>
      <c r="K333" s="32"/>
      <c r="L333" s="8"/>
      <c r="M333" s="51"/>
      <c r="N333" s="8"/>
      <c r="O333" s="32"/>
      <c r="P333" s="8"/>
      <c r="Q333" s="14"/>
      <c r="R333" s="14"/>
      <c r="T333" s="7"/>
      <c r="U333" s="7"/>
    </row>
    <row r="334" spans="1:21" s="6" customFormat="1" ht="6" customHeight="1">
      <c r="A334" s="14" t="b">
        <v>1</v>
      </c>
      <c r="B334" s="8"/>
      <c r="C334" s="16"/>
      <c r="D334" s="62"/>
      <c r="E334" s="36"/>
      <c r="F334" s="62"/>
      <c r="G334" s="62"/>
      <c r="H334" s="62"/>
      <c r="I334" s="8"/>
      <c r="J334" s="62"/>
      <c r="K334" s="8"/>
      <c r="L334" s="8"/>
      <c r="M334" s="47"/>
      <c r="N334" s="8"/>
      <c r="O334" s="8"/>
      <c r="P334" s="8"/>
      <c r="Q334" s="14"/>
      <c r="R334" s="14"/>
      <c r="T334" s="7"/>
      <c r="U334" s="7"/>
    </row>
    <row r="335" spans="1:21" s="6" customFormat="1" ht="60" customHeight="1">
      <c r="A335" s="14" t="b">
        <v>1</v>
      </c>
      <c r="B335" s="8"/>
      <c r="C335" s="19">
        <v>12.5</v>
      </c>
      <c r="D335" s="90"/>
      <c r="E335" s="30" t="s">
        <v>191</v>
      </c>
      <c r="F335" s="62"/>
      <c r="G335" s="83"/>
      <c r="H335" s="62"/>
      <c r="I335" s="32"/>
      <c r="J335" s="62"/>
      <c r="K335" s="32"/>
      <c r="L335" s="8"/>
      <c r="M335" s="51"/>
      <c r="N335" s="8"/>
      <c r="O335" s="32"/>
      <c r="P335" s="8"/>
      <c r="Q335" s="14"/>
      <c r="R335" s="14"/>
      <c r="T335" s="7"/>
      <c r="U335" s="7"/>
    </row>
    <row r="336" spans="1:21" ht="6" customHeight="1">
      <c r="A336" s="14" t="b">
        <v>1</v>
      </c>
      <c r="B336" s="8"/>
      <c r="C336" s="16"/>
      <c r="D336" s="62"/>
      <c r="E336" s="36"/>
      <c r="F336" s="62"/>
      <c r="G336" s="123"/>
      <c r="H336" s="62"/>
      <c r="I336" s="8"/>
      <c r="J336" s="62"/>
      <c r="K336" s="8"/>
      <c r="L336" s="8"/>
      <c r="M336" s="47"/>
      <c r="N336" s="8"/>
      <c r="O336" s="8"/>
      <c r="P336" s="8"/>
      <c r="Q336" s="14"/>
      <c r="R336" s="14"/>
    </row>
    <row r="337" spans="1:21" ht="60" customHeight="1" collapsed="1">
      <c r="A337" s="14" t="b">
        <v>1</v>
      </c>
      <c r="B337" s="8"/>
      <c r="C337" s="19">
        <v>12.6</v>
      </c>
      <c r="D337" s="62"/>
      <c r="E337" s="84" t="s">
        <v>192</v>
      </c>
      <c r="F337" s="62"/>
      <c r="G337" s="52"/>
      <c r="H337" s="62"/>
      <c r="I337" s="32"/>
      <c r="J337" s="62"/>
      <c r="K337" s="32"/>
      <c r="L337" s="8"/>
      <c r="M337" s="51"/>
      <c r="N337" s="8"/>
      <c r="O337" s="32"/>
      <c r="P337" s="8"/>
      <c r="Q337" s="14"/>
      <c r="R337" s="14"/>
    </row>
    <row r="338" spans="1:21" ht="6" customHeight="1">
      <c r="A338" s="14" t="b">
        <v>1</v>
      </c>
      <c r="B338" s="8"/>
      <c r="C338" s="16"/>
      <c r="D338" s="21"/>
      <c r="E338" s="36"/>
      <c r="F338" s="21"/>
      <c r="G338" s="21"/>
      <c r="H338" s="21"/>
      <c r="I338" s="21"/>
      <c r="J338" s="21"/>
      <c r="K338" s="8"/>
      <c r="L338" s="8"/>
      <c r="M338" s="47"/>
      <c r="N338" s="8"/>
      <c r="O338" s="8"/>
      <c r="P338" s="8"/>
      <c r="Q338" s="14"/>
      <c r="R338" s="14"/>
    </row>
    <row r="339" spans="1:21" ht="60" customHeight="1">
      <c r="A339" s="14" t="b">
        <v>1</v>
      </c>
      <c r="B339" s="8"/>
      <c r="C339" s="16">
        <v>12.7</v>
      </c>
      <c r="D339" s="21"/>
      <c r="E339" s="30" t="s">
        <v>193</v>
      </c>
      <c r="F339" s="21"/>
      <c r="G339" s="278"/>
      <c r="H339" s="278"/>
      <c r="I339" s="278"/>
      <c r="J339" s="278"/>
      <c r="K339" s="278"/>
      <c r="L339" s="8"/>
      <c r="M339" s="137"/>
      <c r="N339" s="8"/>
      <c r="O339" s="137"/>
      <c r="P339" s="8"/>
      <c r="Q339" s="54"/>
      <c r="R339" s="54"/>
      <c r="S339" s="59"/>
      <c r="T339" s="57"/>
      <c r="U339" s="57"/>
    </row>
    <row r="340" spans="1:21" ht="6" customHeight="1">
      <c r="A340" s="14" t="b">
        <v>1</v>
      </c>
      <c r="B340" s="8"/>
      <c r="C340" s="89"/>
      <c r="D340" s="18"/>
      <c r="E340" s="21"/>
      <c r="F340" s="18"/>
      <c r="G340" s="22"/>
      <c r="H340" s="18"/>
      <c r="I340" s="18"/>
      <c r="J340" s="18"/>
      <c r="K340" s="8"/>
      <c r="L340" s="8"/>
      <c r="M340" s="47"/>
      <c r="N340" s="8"/>
      <c r="O340" s="8"/>
      <c r="P340" s="8"/>
      <c r="Q340" s="14"/>
      <c r="R340" s="14"/>
    </row>
    <row r="341" spans="1:21" ht="60" customHeight="1">
      <c r="A341" s="14" t="b">
        <v>1</v>
      </c>
      <c r="B341" s="8"/>
      <c r="C341" s="16">
        <v>12.8</v>
      </c>
      <c r="D341" s="18"/>
      <c r="E341" s="30" t="s">
        <v>194</v>
      </c>
      <c r="F341" s="18"/>
      <c r="G341" s="278"/>
      <c r="H341" s="278"/>
      <c r="I341" s="278"/>
      <c r="J341" s="278"/>
      <c r="K341" s="278"/>
      <c r="L341" s="8"/>
      <c r="M341" s="137"/>
      <c r="N341" s="8"/>
      <c r="O341" s="137"/>
      <c r="P341" s="8"/>
      <c r="Q341" s="14"/>
      <c r="R341" s="14"/>
    </row>
    <row r="342" spans="1:21" ht="15" customHeight="1" thickBot="1">
      <c r="A342" s="14" t="b">
        <v>1</v>
      </c>
      <c r="B342" s="8"/>
      <c r="C342" s="41"/>
      <c r="D342" s="62"/>
      <c r="E342" s="36"/>
      <c r="F342" s="62"/>
      <c r="G342" s="123"/>
      <c r="H342" s="62"/>
      <c r="I342" s="62"/>
      <c r="J342" s="62"/>
      <c r="K342" s="8"/>
      <c r="L342" s="8"/>
      <c r="M342" s="47"/>
      <c r="N342" s="8"/>
      <c r="O342" s="8"/>
      <c r="P342" s="8"/>
      <c r="Q342" s="14"/>
      <c r="R342" s="14"/>
    </row>
    <row r="343" spans="1:21" ht="15" customHeight="1" collapsed="1">
      <c r="A343" s="14" t="b">
        <v>1</v>
      </c>
      <c r="B343" s="8"/>
      <c r="C343" s="42"/>
      <c r="D343" s="103"/>
      <c r="E343" s="104"/>
      <c r="F343" s="103"/>
      <c r="G343" s="124"/>
      <c r="H343" s="103"/>
      <c r="I343" s="103"/>
      <c r="J343" s="103"/>
      <c r="K343" s="46"/>
      <c r="L343" s="46"/>
      <c r="M343" s="61"/>
      <c r="N343" s="46"/>
      <c r="O343" s="46"/>
      <c r="P343" s="8"/>
      <c r="Q343" s="14"/>
      <c r="R343" s="14"/>
    </row>
    <row r="344" spans="1:21" ht="15" customHeight="1">
      <c r="A344" s="14" t="b">
        <v>1</v>
      </c>
      <c r="B344" s="8"/>
      <c r="C344" s="15" t="s">
        <v>195</v>
      </c>
      <c r="D344" s="16"/>
      <c r="E344" s="17" t="s">
        <v>196</v>
      </c>
      <c r="F344" s="62"/>
      <c r="G344" s="17" t="str">
        <f>G$7</f>
        <v>Answer</v>
      </c>
      <c r="H344" s="18"/>
      <c r="I344" s="17" t="s">
        <v>7</v>
      </c>
      <c r="J344" s="18"/>
      <c r="K344" s="17" t="str">
        <f>K$7</f>
        <v>General Comments</v>
      </c>
      <c r="L344" s="8"/>
      <c r="M344" s="273" t="s">
        <v>9</v>
      </c>
      <c r="N344" s="8"/>
      <c r="O344" s="274" t="str">
        <f>O$7</f>
        <v>URMC Conclusion</v>
      </c>
      <c r="P344" s="8"/>
      <c r="Q344" s="14"/>
      <c r="R344" s="14"/>
    </row>
    <row r="345" spans="1:21" ht="15" customHeight="1">
      <c r="A345" s="14" t="b">
        <v>1</v>
      </c>
      <c r="B345" s="8"/>
      <c r="C345" s="19"/>
      <c r="D345" s="16"/>
      <c r="E345" s="17"/>
      <c r="F345" s="18"/>
      <c r="G345" s="17"/>
      <c r="H345" s="18"/>
      <c r="I345" s="17"/>
      <c r="J345" s="18"/>
      <c r="K345" s="17"/>
      <c r="L345" s="8"/>
      <c r="M345" s="273"/>
      <c r="N345" s="8"/>
      <c r="O345" s="274"/>
      <c r="P345" s="8"/>
      <c r="Q345" s="14"/>
      <c r="R345" s="14"/>
    </row>
    <row r="346" spans="1:21" ht="6" customHeight="1">
      <c r="A346" s="14" t="b">
        <v>1</v>
      </c>
      <c r="B346" s="8"/>
      <c r="C346" s="125"/>
      <c r="D346" s="62"/>
      <c r="E346" s="70"/>
      <c r="F346" s="62"/>
      <c r="G346" s="62"/>
      <c r="H346" s="62"/>
      <c r="I346" s="62"/>
      <c r="J346" s="62"/>
      <c r="K346" s="8"/>
      <c r="L346" s="8"/>
      <c r="M346" s="47"/>
      <c r="N346" s="8"/>
      <c r="O346" s="8"/>
      <c r="P346" s="8"/>
      <c r="Q346" s="14"/>
      <c r="R346" s="14"/>
    </row>
    <row r="347" spans="1:21" ht="18" customHeight="1" collapsed="1">
      <c r="A347" s="14" t="b">
        <v>1</v>
      </c>
      <c r="B347" s="8"/>
      <c r="C347" s="23"/>
      <c r="D347" s="23"/>
      <c r="E347" s="24"/>
      <c r="F347" s="23"/>
      <c r="G347" s="23"/>
      <c r="H347" s="23"/>
      <c r="I347" s="23"/>
      <c r="J347" s="23"/>
      <c r="K347" s="23"/>
      <c r="L347" s="23"/>
      <c r="M347" s="48"/>
      <c r="N347" s="23"/>
      <c r="O347" s="23"/>
      <c r="P347" s="8"/>
      <c r="Q347" s="14"/>
      <c r="R347" s="14"/>
    </row>
    <row r="348" spans="1:21" ht="15" hidden="1" customHeight="1">
      <c r="A348" s="14" t="b">
        <v>0</v>
      </c>
      <c r="B348" s="8"/>
      <c r="C348" s="23"/>
      <c r="D348" s="18"/>
      <c r="E348" s="27" t="s">
        <v>51</v>
      </c>
      <c r="F348" s="18"/>
      <c r="G348" s="22"/>
      <c r="H348" s="18"/>
      <c r="I348" s="18"/>
      <c r="J348" s="18"/>
      <c r="K348" s="8"/>
      <c r="L348" s="8"/>
      <c r="M348" s="47"/>
      <c r="N348" s="8"/>
      <c r="O348" s="8"/>
      <c r="P348" s="8"/>
      <c r="Q348" s="14"/>
      <c r="R348" s="14"/>
    </row>
    <row r="349" spans="1:21" ht="15" hidden="1" customHeight="1">
      <c r="A349" s="14" t="b">
        <f>A348</f>
        <v>0</v>
      </c>
      <c r="B349" s="8"/>
      <c r="C349" s="23"/>
      <c r="D349" s="18"/>
      <c r="E349" s="27" t="s">
        <v>167</v>
      </c>
      <c r="F349" s="18"/>
      <c r="G349" s="22"/>
      <c r="H349" s="18"/>
      <c r="I349" s="18"/>
      <c r="J349" s="18"/>
      <c r="K349" s="8"/>
      <c r="L349" s="8"/>
      <c r="M349" s="47"/>
      <c r="N349" s="8"/>
      <c r="O349" s="8"/>
      <c r="P349" s="8"/>
      <c r="Q349" s="14"/>
      <c r="R349" s="14"/>
    </row>
    <row r="350" spans="1:21" ht="15" hidden="1" customHeight="1">
      <c r="A350" s="14" t="b">
        <f>A348</f>
        <v>0</v>
      </c>
      <c r="B350" s="8"/>
      <c r="C350" s="23"/>
      <c r="D350" s="18"/>
      <c r="E350" s="27" t="s">
        <v>67</v>
      </c>
      <c r="F350" s="18"/>
      <c r="G350" s="22"/>
      <c r="H350" s="18"/>
      <c r="I350" s="18"/>
      <c r="J350" s="18"/>
      <c r="K350" s="8"/>
      <c r="L350" s="8"/>
      <c r="M350" s="47"/>
      <c r="N350" s="8"/>
      <c r="O350" s="8"/>
      <c r="P350" s="8"/>
      <c r="Q350" s="14"/>
      <c r="R350" s="14"/>
    </row>
    <row r="351" spans="1:21" ht="15" hidden="1" customHeight="1">
      <c r="A351" s="14" t="b">
        <f>A348</f>
        <v>0</v>
      </c>
      <c r="B351" s="8"/>
      <c r="C351" s="23"/>
      <c r="D351" s="18"/>
      <c r="E351" s="49" t="s">
        <v>14</v>
      </c>
      <c r="F351" s="18"/>
      <c r="G351" s="22"/>
      <c r="H351" s="18"/>
      <c r="I351" s="18"/>
      <c r="J351" s="18"/>
      <c r="K351" s="8"/>
      <c r="L351" s="8"/>
      <c r="M351" s="47"/>
      <c r="N351" s="8"/>
      <c r="O351" s="8"/>
      <c r="P351" s="8"/>
      <c r="Q351" s="14"/>
      <c r="R351" s="14"/>
    </row>
    <row r="352" spans="1:21" s="6" customFormat="1" ht="15" hidden="1" customHeight="1">
      <c r="A352" s="14" t="b">
        <f>A348</f>
        <v>0</v>
      </c>
      <c r="B352" s="8"/>
      <c r="C352" s="23"/>
      <c r="D352" s="18"/>
      <c r="E352" s="27" t="s">
        <v>15</v>
      </c>
      <c r="F352" s="18"/>
      <c r="G352" s="22"/>
      <c r="H352" s="18"/>
      <c r="I352" s="18"/>
      <c r="J352" s="18"/>
      <c r="K352" s="8"/>
      <c r="L352" s="8"/>
      <c r="M352" s="47"/>
      <c r="N352" s="8"/>
      <c r="O352" s="8"/>
      <c r="P352" s="8"/>
      <c r="Q352" s="14"/>
      <c r="R352" s="14"/>
      <c r="T352" s="7"/>
      <c r="U352" s="7"/>
    </row>
    <row r="353" spans="1:21" s="6" customFormat="1" ht="15" hidden="1" customHeight="1">
      <c r="A353" s="14" t="b">
        <f>A348</f>
        <v>0</v>
      </c>
      <c r="B353" s="8"/>
      <c r="C353" s="23"/>
      <c r="D353" s="18"/>
      <c r="E353" s="27" t="s">
        <v>141</v>
      </c>
      <c r="F353" s="18"/>
      <c r="G353" s="22"/>
      <c r="H353" s="18"/>
      <c r="I353" s="18"/>
      <c r="J353" s="18"/>
      <c r="K353" s="8"/>
      <c r="L353" s="8"/>
      <c r="M353" s="47"/>
      <c r="N353" s="8"/>
      <c r="O353" s="8"/>
      <c r="P353" s="8"/>
      <c r="Q353" s="14"/>
      <c r="R353" s="14"/>
      <c r="T353" s="7"/>
      <c r="U353" s="7"/>
    </row>
    <row r="354" spans="1:21" s="6" customFormat="1" ht="15" hidden="1" customHeight="1">
      <c r="A354" s="14" t="b">
        <f>A348</f>
        <v>0</v>
      </c>
      <c r="B354" s="8"/>
      <c r="C354" s="23"/>
      <c r="D354" s="18"/>
      <c r="E354" s="27" t="s">
        <v>172</v>
      </c>
      <c r="F354" s="18"/>
      <c r="G354" s="22"/>
      <c r="H354" s="18"/>
      <c r="I354" s="18"/>
      <c r="J354" s="18"/>
      <c r="K354" s="8"/>
      <c r="L354" s="8"/>
      <c r="M354" s="47"/>
      <c r="N354" s="8"/>
      <c r="O354" s="8"/>
      <c r="P354" s="8"/>
      <c r="Q354" s="14"/>
      <c r="R354" s="14"/>
      <c r="T354" s="7"/>
      <c r="U354" s="7"/>
    </row>
    <row r="355" spans="1:21" s="6" customFormat="1" ht="15" hidden="1" customHeight="1">
      <c r="A355" s="14" t="b">
        <f>A348</f>
        <v>0</v>
      </c>
      <c r="B355" s="8"/>
      <c r="C355" s="23"/>
      <c r="D355" s="18"/>
      <c r="E355" s="27" t="s">
        <v>173</v>
      </c>
      <c r="F355" s="18"/>
      <c r="G355" s="22"/>
      <c r="H355" s="18"/>
      <c r="I355" s="18"/>
      <c r="J355" s="18"/>
      <c r="K355" s="8"/>
      <c r="L355" s="8"/>
      <c r="M355" s="47"/>
      <c r="N355" s="8"/>
      <c r="O355" s="8"/>
      <c r="P355" s="8"/>
      <c r="Q355" s="14"/>
      <c r="R355" s="14"/>
      <c r="T355" s="7"/>
      <c r="U355" s="7"/>
    </row>
    <row r="356" spans="1:21" s="6" customFormat="1" ht="15" customHeight="1" collapsed="1">
      <c r="A356" s="14" t="b">
        <v>1</v>
      </c>
      <c r="B356" s="8"/>
      <c r="C356" s="16"/>
      <c r="D356" s="18"/>
      <c r="E356" s="21"/>
      <c r="F356" s="18"/>
      <c r="G356" s="22"/>
      <c r="H356" s="18"/>
      <c r="I356" s="18"/>
      <c r="J356" s="18"/>
      <c r="K356" s="8"/>
      <c r="L356" s="8"/>
      <c r="M356" s="47"/>
      <c r="N356" s="8"/>
      <c r="O356" s="8"/>
      <c r="P356" s="8"/>
      <c r="Q356" s="14"/>
      <c r="R356" s="14"/>
      <c r="T356" s="7"/>
      <c r="U356" s="7"/>
    </row>
    <row r="357" spans="1:21" s="6" customFormat="1" ht="60" customHeight="1">
      <c r="A357" s="14" t="b">
        <v>1</v>
      </c>
      <c r="B357" s="8"/>
      <c r="C357" s="19">
        <v>13.1</v>
      </c>
      <c r="D357" s="70"/>
      <c r="E357" s="30" t="s">
        <v>197</v>
      </c>
      <c r="F357" s="70"/>
      <c r="G357" s="78"/>
      <c r="H357" s="70"/>
      <c r="I357" s="32"/>
      <c r="J357" s="70"/>
      <c r="K357" s="32"/>
      <c r="L357" s="8"/>
      <c r="M357" s="51"/>
      <c r="N357" s="8"/>
      <c r="O357" s="32"/>
      <c r="P357" s="8"/>
      <c r="Q357" s="14"/>
      <c r="R357" s="14"/>
      <c r="T357" s="7"/>
      <c r="U357" s="7"/>
    </row>
    <row r="358" spans="1:21" s="6" customFormat="1" ht="6" customHeight="1">
      <c r="A358" s="14" t="b">
        <v>1</v>
      </c>
      <c r="B358" s="8"/>
      <c r="C358" s="16"/>
      <c r="D358" s="62"/>
      <c r="E358" s="36"/>
      <c r="F358" s="62"/>
      <c r="G358" s="62"/>
      <c r="H358" s="62"/>
      <c r="I358" s="8"/>
      <c r="J358" s="62"/>
      <c r="K358" s="8"/>
      <c r="L358" s="8"/>
      <c r="M358" s="47"/>
      <c r="N358" s="8"/>
      <c r="O358" s="8"/>
      <c r="P358" s="8"/>
      <c r="Q358" s="14"/>
      <c r="R358" s="14"/>
      <c r="T358" s="7"/>
      <c r="U358" s="7"/>
    </row>
    <row r="359" spans="1:21" s="6" customFormat="1" ht="60" customHeight="1">
      <c r="A359" s="14" t="b">
        <v>1</v>
      </c>
      <c r="B359" s="8"/>
      <c r="C359" s="19" t="s">
        <v>198</v>
      </c>
      <c r="D359" s="70"/>
      <c r="E359" s="37" t="s">
        <v>199</v>
      </c>
      <c r="F359" s="70"/>
      <c r="G359" s="50"/>
      <c r="H359" s="70"/>
      <c r="I359" s="32"/>
      <c r="J359" s="70"/>
      <c r="K359" s="32"/>
      <c r="L359" s="8"/>
      <c r="M359" s="51"/>
      <c r="N359" s="8"/>
      <c r="O359" s="32"/>
      <c r="P359" s="8"/>
      <c r="Q359" s="14"/>
      <c r="R359" s="14"/>
      <c r="T359" s="7"/>
      <c r="U359" s="7"/>
    </row>
    <row r="360" spans="1:21" s="6" customFormat="1" ht="6" customHeight="1">
      <c r="A360" s="14" t="b">
        <v>1</v>
      </c>
      <c r="B360" s="8"/>
      <c r="C360" s="16"/>
      <c r="D360" s="62"/>
      <c r="E360" s="36"/>
      <c r="F360" s="62"/>
      <c r="G360" s="62"/>
      <c r="H360" s="62"/>
      <c r="I360" s="8"/>
      <c r="J360" s="62"/>
      <c r="K360" s="8"/>
      <c r="L360" s="8"/>
      <c r="M360" s="47"/>
      <c r="N360" s="8"/>
      <c r="O360" s="8"/>
      <c r="P360" s="8"/>
      <c r="Q360" s="14"/>
      <c r="R360" s="14"/>
      <c r="T360" s="7"/>
      <c r="U360" s="7"/>
    </row>
    <row r="361" spans="1:21" s="6" customFormat="1" ht="60" customHeight="1">
      <c r="A361" s="14" t="b">
        <v>1</v>
      </c>
      <c r="B361" s="8"/>
      <c r="C361" s="19">
        <v>13.2</v>
      </c>
      <c r="D361" s="70"/>
      <c r="E361" s="30" t="s">
        <v>200</v>
      </c>
      <c r="F361" s="70"/>
      <c r="G361" s="52"/>
      <c r="H361" s="70"/>
      <c r="I361" s="32"/>
      <c r="J361" s="70"/>
      <c r="K361" s="32"/>
      <c r="L361" s="8"/>
      <c r="M361" s="51"/>
      <c r="N361" s="8"/>
      <c r="O361" s="32"/>
      <c r="P361" s="8"/>
      <c r="Q361" s="14"/>
      <c r="R361" s="14"/>
      <c r="T361" s="7"/>
      <c r="U361" s="7"/>
    </row>
    <row r="362" spans="1:21" s="6" customFormat="1" ht="6" hidden="1" customHeight="1">
      <c r="A362" s="76" t="b">
        <v>0</v>
      </c>
      <c r="B362" s="8"/>
      <c r="C362" s="16"/>
      <c r="D362" s="62"/>
      <c r="E362" s="36"/>
      <c r="F362" s="62"/>
      <c r="G362" s="62"/>
      <c r="H362" s="62"/>
      <c r="I362" s="8"/>
      <c r="J362" s="62"/>
      <c r="K362" s="8"/>
      <c r="L362" s="8"/>
      <c r="M362" s="47"/>
      <c r="N362" s="8"/>
      <c r="O362" s="8"/>
      <c r="P362" s="8"/>
      <c r="Q362" s="14"/>
      <c r="R362" s="14"/>
      <c r="T362" s="7"/>
      <c r="U362" s="7"/>
    </row>
    <row r="363" spans="1:21" s="6" customFormat="1" ht="60" hidden="1" customHeight="1">
      <c r="A363" s="76" t="b">
        <f>A362</f>
        <v>0</v>
      </c>
      <c r="B363" s="8"/>
      <c r="C363" s="19">
        <v>13.3</v>
      </c>
      <c r="D363" s="101"/>
      <c r="E363" s="99" t="s">
        <v>201</v>
      </c>
      <c r="F363" s="70"/>
      <c r="G363" s="38"/>
      <c r="H363" s="70"/>
      <c r="I363" s="32"/>
      <c r="J363" s="70"/>
      <c r="K363" s="32"/>
      <c r="L363" s="8"/>
      <c r="M363" s="51"/>
      <c r="N363" s="8"/>
      <c r="O363" s="32"/>
      <c r="P363" s="8"/>
      <c r="Q363" s="14"/>
      <c r="R363" s="14"/>
      <c r="T363" s="7"/>
      <c r="U363" s="7"/>
    </row>
    <row r="364" spans="1:21" s="6" customFormat="1" ht="6" hidden="1" customHeight="1">
      <c r="A364" s="76" t="b">
        <v>0</v>
      </c>
      <c r="B364" s="8"/>
      <c r="C364" s="16"/>
      <c r="D364" s="62"/>
      <c r="E364" s="126"/>
      <c r="F364" s="62"/>
      <c r="G364" s="62"/>
      <c r="H364" s="62"/>
      <c r="I364" s="8"/>
      <c r="J364" s="62"/>
      <c r="K364" s="8"/>
      <c r="L364" s="8"/>
      <c r="M364" s="47"/>
      <c r="N364" s="8"/>
      <c r="O364" s="8"/>
      <c r="P364" s="8"/>
      <c r="Q364" s="14"/>
      <c r="R364" s="14"/>
      <c r="T364" s="7"/>
      <c r="U364" s="7"/>
    </row>
    <row r="365" spans="1:21" s="6" customFormat="1" ht="60" hidden="1" customHeight="1">
      <c r="A365" s="76" t="b">
        <f>A364</f>
        <v>0</v>
      </c>
      <c r="B365" s="8"/>
      <c r="C365" s="19">
        <v>13.4</v>
      </c>
      <c r="D365" s="101"/>
      <c r="E365" s="99" t="s">
        <v>202</v>
      </c>
      <c r="F365" s="70"/>
      <c r="G365" s="38"/>
      <c r="H365" s="70"/>
      <c r="I365" s="32"/>
      <c r="J365" s="70"/>
      <c r="K365" s="32"/>
      <c r="L365" s="8"/>
      <c r="M365" s="51"/>
      <c r="N365" s="8"/>
      <c r="O365" s="32"/>
      <c r="P365" s="8"/>
      <c r="Q365" s="14"/>
      <c r="R365" s="14"/>
      <c r="T365" s="7"/>
      <c r="U365" s="7"/>
    </row>
    <row r="366" spans="1:21" s="6" customFormat="1" ht="6" hidden="1" customHeight="1">
      <c r="A366" s="14" t="b">
        <v>0</v>
      </c>
      <c r="B366" s="8"/>
      <c r="C366" s="16"/>
      <c r="D366" s="62"/>
      <c r="E366" s="36"/>
      <c r="F366" s="62"/>
      <c r="G366" s="62"/>
      <c r="H366" s="62"/>
      <c r="I366" s="8"/>
      <c r="J366" s="62"/>
      <c r="K366" s="8"/>
      <c r="L366" s="8"/>
      <c r="M366" s="47"/>
      <c r="N366" s="8"/>
      <c r="O366" s="8"/>
      <c r="P366" s="8"/>
      <c r="Q366" s="14"/>
      <c r="R366" s="14"/>
      <c r="T366" s="7"/>
      <c r="U366" s="7"/>
    </row>
    <row r="367" spans="1:21" s="6" customFormat="1" ht="60" hidden="1" customHeight="1">
      <c r="A367" s="14" t="b">
        <f>A366</f>
        <v>0</v>
      </c>
      <c r="B367" s="8"/>
      <c r="C367" s="19">
        <v>13.5</v>
      </c>
      <c r="D367" s="70"/>
      <c r="E367" s="30" t="s">
        <v>203</v>
      </c>
      <c r="F367" s="70"/>
      <c r="G367" s="83"/>
      <c r="H367" s="70"/>
      <c r="I367" s="32"/>
      <c r="J367" s="70"/>
      <c r="K367" s="32"/>
      <c r="L367" s="8"/>
      <c r="M367" s="51"/>
      <c r="N367" s="8"/>
      <c r="O367" s="32"/>
      <c r="P367" s="8"/>
      <c r="Q367" s="14"/>
      <c r="R367" s="14"/>
      <c r="T367" s="7"/>
      <c r="U367" s="7"/>
    </row>
    <row r="368" spans="1:21" ht="6" customHeight="1">
      <c r="A368" s="14" t="b">
        <v>1</v>
      </c>
      <c r="B368" s="8"/>
      <c r="C368" s="16"/>
      <c r="D368" s="21"/>
      <c r="E368" s="36"/>
      <c r="F368" s="21"/>
      <c r="G368" s="21"/>
      <c r="H368" s="21"/>
      <c r="I368" s="21"/>
      <c r="J368" s="21"/>
      <c r="K368" s="8"/>
      <c r="L368" s="8"/>
      <c r="M368" s="47"/>
      <c r="N368" s="8"/>
      <c r="O368" s="8"/>
      <c r="P368" s="8"/>
      <c r="Q368" s="14"/>
      <c r="R368" s="14"/>
    </row>
    <row r="369" spans="1:21" ht="60" customHeight="1">
      <c r="A369" s="14" t="b">
        <v>1</v>
      </c>
      <c r="B369" s="8"/>
      <c r="C369" s="16">
        <v>13.6</v>
      </c>
      <c r="D369" s="21"/>
      <c r="E369" s="30" t="s">
        <v>204</v>
      </c>
      <c r="F369" s="21"/>
      <c r="G369" s="278"/>
      <c r="H369" s="278"/>
      <c r="I369" s="278"/>
      <c r="J369" s="278"/>
      <c r="K369" s="278"/>
      <c r="L369" s="8"/>
      <c r="M369" s="137"/>
      <c r="N369" s="8"/>
      <c r="O369" s="137"/>
      <c r="P369" s="8"/>
      <c r="Q369" s="54"/>
      <c r="R369" s="54"/>
      <c r="S369" s="59"/>
      <c r="T369" s="57"/>
      <c r="U369" s="57"/>
    </row>
    <row r="370" spans="1:21" ht="15" customHeight="1" thickBot="1">
      <c r="A370" s="14" t="b">
        <v>1</v>
      </c>
      <c r="B370" s="8"/>
      <c r="C370" s="41"/>
      <c r="D370" s="70"/>
      <c r="E370" s="70"/>
      <c r="F370" s="70"/>
      <c r="G370" s="70"/>
      <c r="H370" s="70"/>
      <c r="I370" s="70"/>
      <c r="J370" s="70"/>
      <c r="K370" s="8"/>
      <c r="L370" s="8"/>
      <c r="M370" s="47"/>
      <c r="N370" s="8"/>
      <c r="O370" s="8"/>
      <c r="P370" s="8"/>
      <c r="Q370" s="14"/>
      <c r="R370" s="14"/>
    </row>
    <row r="371" spans="1:21" ht="15" customHeight="1" collapsed="1">
      <c r="A371" s="14" t="b">
        <v>1</v>
      </c>
      <c r="B371" s="8"/>
      <c r="C371" s="42"/>
      <c r="D371" s="73"/>
      <c r="E371" s="73"/>
      <c r="F371" s="73"/>
      <c r="G371" s="73"/>
      <c r="H371" s="73"/>
      <c r="I371" s="73"/>
      <c r="J371" s="73"/>
      <c r="K371" s="46"/>
      <c r="L371" s="46"/>
      <c r="M371" s="61"/>
      <c r="N371" s="46"/>
      <c r="O371" s="46"/>
      <c r="P371" s="8"/>
      <c r="Q371" s="14"/>
      <c r="R371" s="14"/>
    </row>
    <row r="372" spans="1:21" ht="15" customHeight="1">
      <c r="A372" s="14" t="b">
        <v>1</v>
      </c>
      <c r="B372" s="8"/>
      <c r="C372" s="15" t="s">
        <v>205</v>
      </c>
      <c r="D372" s="16"/>
      <c r="E372" s="17" t="s">
        <v>206</v>
      </c>
      <c r="F372" s="62"/>
      <c r="G372" s="17" t="str">
        <f>G$7</f>
        <v>Answer</v>
      </c>
      <c r="H372" s="18"/>
      <c r="I372" s="17" t="s">
        <v>7</v>
      </c>
      <c r="J372" s="18"/>
      <c r="K372" s="17" t="str">
        <f>K$7</f>
        <v>General Comments</v>
      </c>
      <c r="L372" s="8"/>
      <c r="M372" s="273" t="s">
        <v>290</v>
      </c>
      <c r="N372" s="8"/>
      <c r="O372" s="274" t="s">
        <v>291</v>
      </c>
      <c r="P372" s="8"/>
      <c r="Q372" s="14"/>
      <c r="R372" s="14"/>
    </row>
    <row r="373" spans="1:21" ht="15" customHeight="1">
      <c r="A373" s="14" t="b">
        <v>1</v>
      </c>
      <c r="B373" s="8"/>
      <c r="C373" s="19"/>
      <c r="D373" s="16"/>
      <c r="E373" s="17"/>
      <c r="F373" s="18"/>
      <c r="G373" s="17"/>
      <c r="H373" s="18"/>
      <c r="I373" s="17"/>
      <c r="J373" s="18"/>
      <c r="K373" s="17"/>
      <c r="L373" s="8"/>
      <c r="M373" s="273"/>
      <c r="N373" s="8"/>
      <c r="O373" s="274"/>
      <c r="P373" s="8"/>
      <c r="Q373" s="14"/>
      <c r="R373" s="14"/>
    </row>
    <row r="374" spans="1:21" ht="6" customHeight="1">
      <c r="A374" s="14" t="b">
        <v>1</v>
      </c>
      <c r="B374" s="8"/>
      <c r="C374" s="20"/>
      <c r="D374" s="62"/>
      <c r="E374" s="70"/>
      <c r="F374" s="62"/>
      <c r="G374" s="62"/>
      <c r="H374" s="62"/>
      <c r="I374" s="62"/>
      <c r="J374" s="62"/>
      <c r="K374" s="8"/>
      <c r="L374" s="8"/>
      <c r="M374" s="47"/>
      <c r="N374" s="8"/>
      <c r="O374" s="8"/>
      <c r="P374" s="8"/>
      <c r="Q374" s="14"/>
      <c r="R374" s="14"/>
    </row>
    <row r="375" spans="1:21" ht="18" customHeight="1" collapsed="1">
      <c r="A375" s="14" t="b">
        <v>1</v>
      </c>
      <c r="B375" s="8"/>
      <c r="C375" s="23"/>
      <c r="D375" s="23"/>
      <c r="E375" s="24"/>
      <c r="F375" s="23"/>
      <c r="G375" s="23"/>
      <c r="H375" s="23"/>
      <c r="I375" s="23"/>
      <c r="J375" s="23"/>
      <c r="K375" s="23"/>
      <c r="L375" s="23"/>
      <c r="M375" s="48"/>
      <c r="N375" s="23"/>
      <c r="O375" s="23"/>
      <c r="P375" s="8"/>
      <c r="Q375" s="14"/>
      <c r="R375" s="14"/>
    </row>
    <row r="376" spans="1:21" ht="15" hidden="1" customHeight="1">
      <c r="A376" s="14" t="b">
        <v>0</v>
      </c>
      <c r="B376" s="8"/>
      <c r="C376" s="23"/>
      <c r="D376" s="18"/>
      <c r="E376" s="49" t="s">
        <v>14</v>
      </c>
      <c r="F376" s="18"/>
      <c r="G376" s="22"/>
      <c r="H376" s="18"/>
      <c r="I376" s="18"/>
      <c r="J376" s="18"/>
      <c r="K376" s="8"/>
      <c r="L376" s="8"/>
      <c r="M376" s="47"/>
      <c r="N376" s="8"/>
      <c r="O376" s="8"/>
      <c r="P376" s="8"/>
      <c r="Q376" s="14"/>
      <c r="R376" s="14"/>
    </row>
    <row r="377" spans="1:21" ht="15" hidden="1" customHeight="1">
      <c r="A377" s="14" t="b">
        <f t="shared" ref="A377:A384" si="2">$A$376</f>
        <v>0</v>
      </c>
      <c r="B377" s="8"/>
      <c r="C377" s="23"/>
      <c r="D377" s="18"/>
      <c r="E377" s="27" t="s">
        <v>15</v>
      </c>
      <c r="F377" s="18"/>
      <c r="G377" s="22"/>
      <c r="H377" s="18"/>
      <c r="I377" s="18"/>
      <c r="J377" s="18"/>
      <c r="K377" s="8"/>
      <c r="L377" s="8"/>
      <c r="M377" s="47"/>
      <c r="N377" s="8"/>
      <c r="O377" s="8"/>
      <c r="P377" s="8"/>
      <c r="Q377" s="14"/>
      <c r="R377" s="14"/>
    </row>
    <row r="378" spans="1:21" ht="15" hidden="1" customHeight="1">
      <c r="A378" s="14" t="b">
        <f t="shared" si="2"/>
        <v>0</v>
      </c>
      <c r="B378" s="8"/>
      <c r="C378" s="23"/>
      <c r="D378" s="18"/>
      <c r="E378" s="27" t="s">
        <v>207</v>
      </c>
      <c r="F378" s="18"/>
      <c r="G378" s="22"/>
      <c r="H378" s="18"/>
      <c r="I378" s="18"/>
      <c r="J378" s="18"/>
      <c r="K378" s="8"/>
      <c r="L378" s="8"/>
      <c r="M378" s="47"/>
      <c r="N378" s="8"/>
      <c r="O378" s="8"/>
      <c r="P378" s="8"/>
      <c r="Q378" s="14"/>
      <c r="R378" s="14"/>
    </row>
    <row r="379" spans="1:21" ht="15" hidden="1" customHeight="1">
      <c r="A379" s="14" t="b">
        <f t="shared" si="2"/>
        <v>0</v>
      </c>
      <c r="B379" s="8"/>
      <c r="C379" s="23"/>
      <c r="D379" s="18"/>
      <c r="E379" s="27" t="s">
        <v>16</v>
      </c>
      <c r="F379" s="18"/>
      <c r="G379" s="22"/>
      <c r="H379" s="18"/>
      <c r="I379" s="18"/>
      <c r="J379" s="18"/>
      <c r="K379" s="8"/>
      <c r="L379" s="8"/>
      <c r="M379" s="47"/>
      <c r="N379" s="8"/>
      <c r="O379" s="8"/>
      <c r="P379" s="8"/>
      <c r="Q379" s="14"/>
      <c r="R379" s="14"/>
    </row>
    <row r="380" spans="1:21" ht="15" hidden="1" customHeight="1">
      <c r="A380" s="14" t="b">
        <f t="shared" si="2"/>
        <v>0</v>
      </c>
      <c r="B380" s="8"/>
      <c r="C380" s="23"/>
      <c r="D380" s="18"/>
      <c r="E380" s="27" t="s">
        <v>208</v>
      </c>
      <c r="F380" s="18"/>
      <c r="G380" s="22"/>
      <c r="H380" s="18"/>
      <c r="I380" s="18"/>
      <c r="J380" s="18"/>
      <c r="K380" s="8"/>
      <c r="L380" s="8"/>
      <c r="M380" s="47"/>
      <c r="N380" s="8"/>
      <c r="O380" s="8"/>
      <c r="P380" s="8"/>
      <c r="Q380" s="14"/>
      <c r="R380" s="14"/>
    </row>
    <row r="381" spans="1:21" ht="15" hidden="1" customHeight="1">
      <c r="A381" s="14" t="b">
        <f t="shared" si="2"/>
        <v>0</v>
      </c>
      <c r="B381" s="8"/>
      <c r="C381" s="23"/>
      <c r="D381" s="18"/>
      <c r="E381" s="27" t="s">
        <v>170</v>
      </c>
      <c r="F381" s="18"/>
      <c r="G381" s="22"/>
      <c r="H381" s="18"/>
      <c r="I381" s="18"/>
      <c r="J381" s="18"/>
      <c r="K381" s="8"/>
      <c r="L381" s="8"/>
      <c r="M381" s="47"/>
      <c r="N381" s="8"/>
      <c r="O381" s="8"/>
      <c r="P381" s="8"/>
      <c r="Q381" s="14"/>
      <c r="R381" s="14"/>
    </row>
    <row r="382" spans="1:21" ht="15" hidden="1" customHeight="1">
      <c r="A382" s="14" t="b">
        <f t="shared" si="2"/>
        <v>0</v>
      </c>
      <c r="B382" s="8"/>
      <c r="C382" s="23"/>
      <c r="D382" s="18"/>
      <c r="E382" s="27" t="s">
        <v>22</v>
      </c>
      <c r="F382" s="18"/>
      <c r="G382" s="22"/>
      <c r="H382" s="18"/>
      <c r="I382" s="18"/>
      <c r="J382" s="18"/>
      <c r="K382" s="8"/>
      <c r="L382" s="8"/>
      <c r="M382" s="47"/>
      <c r="N382" s="8"/>
      <c r="O382" s="8"/>
      <c r="P382" s="8"/>
      <c r="Q382" s="14"/>
      <c r="R382" s="14"/>
    </row>
    <row r="383" spans="1:21" ht="15" hidden="1" customHeight="1">
      <c r="A383" s="14" t="b">
        <f t="shared" si="2"/>
        <v>0</v>
      </c>
      <c r="B383" s="8"/>
      <c r="C383" s="23"/>
      <c r="D383" s="18"/>
      <c r="E383" s="27" t="s">
        <v>25</v>
      </c>
      <c r="F383" s="18"/>
      <c r="G383" s="22"/>
      <c r="H383" s="18"/>
      <c r="I383" s="18"/>
      <c r="J383" s="18"/>
      <c r="K383" s="8"/>
      <c r="L383" s="8"/>
      <c r="M383" s="47"/>
      <c r="N383" s="8"/>
      <c r="O383" s="8"/>
      <c r="P383" s="8"/>
      <c r="Q383" s="14"/>
      <c r="R383" s="14"/>
    </row>
    <row r="384" spans="1:21" s="6" customFormat="1" ht="15" hidden="1" customHeight="1">
      <c r="A384" s="14" t="b">
        <f t="shared" si="2"/>
        <v>0</v>
      </c>
      <c r="B384" s="8"/>
      <c r="C384" s="23"/>
      <c r="D384" s="18"/>
      <c r="E384" s="27" t="s">
        <v>30</v>
      </c>
      <c r="F384" s="18"/>
      <c r="G384" s="22"/>
      <c r="H384" s="18"/>
      <c r="I384" s="18"/>
      <c r="J384" s="18"/>
      <c r="K384" s="8"/>
      <c r="L384" s="8"/>
      <c r="M384" s="47"/>
      <c r="N384" s="8"/>
      <c r="O384" s="8"/>
      <c r="P384" s="8"/>
      <c r="Q384" s="14"/>
      <c r="R384" s="14"/>
      <c r="T384" s="7"/>
      <c r="U384" s="7"/>
    </row>
    <row r="385" spans="1:21" s="6" customFormat="1" ht="15" customHeight="1" collapsed="1">
      <c r="A385" s="14" t="b">
        <v>1</v>
      </c>
      <c r="B385" s="8"/>
      <c r="C385" s="16"/>
      <c r="D385" s="18"/>
      <c r="E385" s="21"/>
      <c r="F385" s="18"/>
      <c r="G385" s="22"/>
      <c r="H385" s="18"/>
      <c r="I385" s="18"/>
      <c r="J385" s="18"/>
      <c r="K385" s="8"/>
      <c r="L385" s="8"/>
      <c r="M385" s="47"/>
      <c r="N385" s="8"/>
      <c r="O385" s="8"/>
      <c r="P385" s="8"/>
      <c r="Q385" s="14"/>
      <c r="R385" s="14"/>
      <c r="T385" s="7"/>
      <c r="U385" s="7"/>
    </row>
    <row r="386" spans="1:21" s="6" customFormat="1" ht="60" customHeight="1">
      <c r="A386" s="14" t="b">
        <v>1</v>
      </c>
      <c r="B386" s="8"/>
      <c r="C386" s="19">
        <v>14.1</v>
      </c>
      <c r="D386" s="70"/>
      <c r="E386" s="30" t="s">
        <v>209</v>
      </c>
      <c r="F386" s="70"/>
      <c r="G386" s="52"/>
      <c r="H386" s="62"/>
      <c r="I386" s="32"/>
      <c r="J386" s="62"/>
      <c r="K386" s="32"/>
      <c r="L386" s="8"/>
      <c r="M386" s="51"/>
      <c r="N386" s="8"/>
      <c r="O386" s="32"/>
      <c r="P386" s="8"/>
      <c r="Q386" s="14" t="b">
        <v>0</v>
      </c>
      <c r="R386" s="14"/>
      <c r="T386" s="7"/>
      <c r="U386" s="7"/>
    </row>
    <row r="387" spans="1:21" s="6" customFormat="1" ht="6" hidden="1" customHeight="1">
      <c r="A387" s="14" t="b">
        <f>Q386</f>
        <v>0</v>
      </c>
      <c r="B387" s="8"/>
      <c r="C387" s="16"/>
      <c r="D387" s="62"/>
      <c r="E387" s="36"/>
      <c r="F387" s="62"/>
      <c r="G387" s="62"/>
      <c r="H387" s="62"/>
      <c r="I387" s="8"/>
      <c r="J387" s="62"/>
      <c r="K387" s="8"/>
      <c r="L387" s="8"/>
      <c r="M387" s="47"/>
      <c r="N387" s="8"/>
      <c r="O387" s="8"/>
      <c r="P387" s="8"/>
      <c r="Q387" s="14"/>
      <c r="R387" s="14"/>
      <c r="T387" s="7"/>
      <c r="U387" s="7"/>
    </row>
    <row r="388" spans="1:21" s="6" customFormat="1" ht="60" hidden="1" customHeight="1">
      <c r="A388" s="14" t="b">
        <f>A387</f>
        <v>0</v>
      </c>
      <c r="B388" s="8"/>
      <c r="C388" s="19" t="s">
        <v>210</v>
      </c>
      <c r="D388" s="101"/>
      <c r="E388" s="37" t="s">
        <v>211</v>
      </c>
      <c r="F388" s="70"/>
      <c r="G388" s="38"/>
      <c r="H388" s="62"/>
      <c r="I388" s="32"/>
      <c r="J388" s="62"/>
      <c r="K388" s="32"/>
      <c r="L388" s="8"/>
      <c r="M388" s="51"/>
      <c r="N388" s="8"/>
      <c r="O388" s="32"/>
      <c r="P388" s="8"/>
      <c r="Q388" s="14"/>
      <c r="R388" s="14"/>
      <c r="T388" s="7"/>
      <c r="U388" s="7"/>
    </row>
    <row r="389" spans="1:21" s="6" customFormat="1" ht="6" hidden="1" customHeight="1">
      <c r="A389" s="14" t="b">
        <v>0</v>
      </c>
      <c r="B389" s="8"/>
      <c r="C389" s="16"/>
      <c r="D389" s="62"/>
      <c r="E389" s="36"/>
      <c r="F389" s="62"/>
      <c r="G389" s="62"/>
      <c r="H389" s="62"/>
      <c r="I389" s="8"/>
      <c r="J389" s="62"/>
      <c r="K389" s="8"/>
      <c r="L389" s="8"/>
      <c r="M389" s="47"/>
      <c r="N389" s="8"/>
      <c r="O389" s="8"/>
      <c r="P389" s="8"/>
      <c r="Q389" s="14"/>
      <c r="R389" s="14"/>
      <c r="T389" s="7"/>
      <c r="U389" s="7"/>
    </row>
    <row r="390" spans="1:21" s="6" customFormat="1" ht="60" hidden="1" customHeight="1">
      <c r="A390" s="14" t="b">
        <f>A389</f>
        <v>0</v>
      </c>
      <c r="B390" s="8"/>
      <c r="C390" s="19" t="s">
        <v>212</v>
      </c>
      <c r="D390" s="101"/>
      <c r="E390" s="37" t="s">
        <v>213</v>
      </c>
      <c r="F390" s="70"/>
      <c r="G390" s="52"/>
      <c r="H390" s="62"/>
      <c r="I390" s="32"/>
      <c r="J390" s="62"/>
      <c r="K390" s="32"/>
      <c r="L390" s="8"/>
      <c r="M390" s="51"/>
      <c r="N390" s="8"/>
      <c r="O390" s="32"/>
      <c r="P390" s="8"/>
      <c r="Q390" s="14"/>
      <c r="R390" s="14"/>
      <c r="T390" s="7"/>
      <c r="U390" s="7"/>
    </row>
    <row r="391" spans="1:21" s="6" customFormat="1" ht="6" customHeight="1">
      <c r="A391" s="14" t="b">
        <v>1</v>
      </c>
      <c r="B391" s="8"/>
      <c r="C391" s="16"/>
      <c r="D391" s="62"/>
      <c r="E391" s="126"/>
      <c r="F391" s="62"/>
      <c r="G391" s="62"/>
      <c r="H391" s="62"/>
      <c r="I391" s="8"/>
      <c r="J391" s="62"/>
      <c r="K391" s="8"/>
      <c r="L391" s="8"/>
      <c r="M391" s="47"/>
      <c r="N391" s="8"/>
      <c r="O391" s="8"/>
      <c r="P391" s="8"/>
      <c r="Q391" s="14"/>
      <c r="R391" s="14"/>
      <c r="T391" s="7"/>
      <c r="U391" s="7"/>
    </row>
    <row r="392" spans="1:21" s="6" customFormat="1" ht="60" customHeight="1">
      <c r="A392" s="14" t="b">
        <v>1</v>
      </c>
      <c r="B392" s="8"/>
      <c r="C392" s="19">
        <v>14.2</v>
      </c>
      <c r="D392" s="70"/>
      <c r="E392" s="30" t="s">
        <v>214</v>
      </c>
      <c r="F392" s="70"/>
      <c r="G392" s="52"/>
      <c r="H392" s="62"/>
      <c r="I392" s="32"/>
      <c r="J392" s="62"/>
      <c r="K392" s="32"/>
      <c r="L392" s="8"/>
      <c r="M392" s="51"/>
      <c r="N392" s="8"/>
      <c r="O392" s="32"/>
      <c r="P392" s="8"/>
      <c r="Q392" s="14"/>
      <c r="R392" s="14"/>
      <c r="T392" s="7"/>
      <c r="U392" s="7"/>
    </row>
    <row r="393" spans="1:21" s="6" customFormat="1" ht="6" customHeight="1">
      <c r="A393" s="14" t="b">
        <v>1</v>
      </c>
      <c r="B393" s="8"/>
      <c r="C393" s="16"/>
      <c r="D393" s="62"/>
      <c r="E393" s="126"/>
      <c r="F393" s="62"/>
      <c r="G393" s="62"/>
      <c r="H393" s="62"/>
      <c r="I393" s="8"/>
      <c r="J393" s="62"/>
      <c r="K393" s="8"/>
      <c r="L393" s="8"/>
      <c r="M393" s="47"/>
      <c r="N393" s="8"/>
      <c r="O393" s="8"/>
      <c r="P393" s="8"/>
      <c r="Q393" s="14"/>
      <c r="R393" s="14"/>
      <c r="T393" s="7"/>
      <c r="U393" s="7"/>
    </row>
    <row r="394" spans="1:21" s="6" customFormat="1" ht="60" customHeight="1">
      <c r="A394" s="14" t="b">
        <v>1</v>
      </c>
      <c r="B394" s="8"/>
      <c r="C394" s="19">
        <v>14.3</v>
      </c>
      <c r="D394" s="101"/>
      <c r="E394" s="30" t="s">
        <v>215</v>
      </c>
      <c r="F394" s="70"/>
      <c r="G394" s="52"/>
      <c r="H394" s="62"/>
      <c r="I394" s="32"/>
      <c r="J394" s="62"/>
      <c r="K394" s="32"/>
      <c r="L394" s="8"/>
      <c r="M394" s="51"/>
      <c r="N394" s="8"/>
      <c r="O394" s="32"/>
      <c r="P394" s="8"/>
      <c r="Q394" s="14"/>
      <c r="R394" s="14"/>
      <c r="T394" s="7"/>
      <c r="U394" s="7"/>
    </row>
    <row r="395" spans="1:21" s="6" customFormat="1" ht="5.25" customHeight="1">
      <c r="A395" s="14" t="b">
        <v>1</v>
      </c>
      <c r="B395" s="8"/>
      <c r="C395" s="16"/>
      <c r="D395" s="62"/>
      <c r="E395" s="36"/>
      <c r="F395" s="62"/>
      <c r="G395" s="62"/>
      <c r="H395" s="62"/>
      <c r="I395" s="8"/>
      <c r="J395" s="62"/>
      <c r="K395" s="8"/>
      <c r="L395" s="8"/>
      <c r="M395" s="47"/>
      <c r="N395" s="8"/>
      <c r="O395" s="8"/>
      <c r="P395" s="8"/>
      <c r="Q395" s="14"/>
      <c r="R395" s="14"/>
      <c r="T395" s="7"/>
      <c r="U395" s="7"/>
    </row>
    <row r="396" spans="1:21" s="6" customFormat="1" ht="60" customHeight="1">
      <c r="A396" s="14" t="b">
        <v>1</v>
      </c>
      <c r="B396" s="8"/>
      <c r="C396" s="19">
        <v>14.4</v>
      </c>
      <c r="D396" s="70"/>
      <c r="E396" s="30" t="s">
        <v>216</v>
      </c>
      <c r="F396" s="70"/>
      <c r="G396" s="52"/>
      <c r="H396" s="62"/>
      <c r="I396" s="32"/>
      <c r="J396" s="62"/>
      <c r="K396" s="32"/>
      <c r="L396" s="8"/>
      <c r="M396" s="51"/>
      <c r="N396" s="8"/>
      <c r="O396" s="32"/>
      <c r="P396" s="8"/>
      <c r="Q396" s="14"/>
      <c r="R396" s="14"/>
      <c r="T396" s="7"/>
      <c r="U396" s="7"/>
    </row>
    <row r="397" spans="1:21" s="6" customFormat="1" ht="6" customHeight="1">
      <c r="A397" s="14" t="b">
        <v>1</v>
      </c>
      <c r="B397" s="8"/>
      <c r="C397" s="16"/>
      <c r="D397" s="62"/>
      <c r="E397" s="36"/>
      <c r="F397" s="62"/>
      <c r="G397" s="62"/>
      <c r="H397" s="62"/>
      <c r="I397" s="8"/>
      <c r="J397" s="62"/>
      <c r="K397" s="8"/>
      <c r="L397" s="8"/>
      <c r="M397" s="47"/>
      <c r="N397" s="8"/>
      <c r="O397" s="8"/>
      <c r="P397" s="8"/>
      <c r="Q397" s="14"/>
      <c r="R397" s="14"/>
      <c r="T397" s="7"/>
      <c r="U397" s="7"/>
    </row>
    <row r="398" spans="1:21" s="6" customFormat="1" ht="60" customHeight="1">
      <c r="A398" s="14" t="b">
        <v>1</v>
      </c>
      <c r="B398" s="8"/>
      <c r="C398" s="19">
        <v>14.5</v>
      </c>
      <c r="D398" s="70"/>
      <c r="E398" s="30" t="s">
        <v>217</v>
      </c>
      <c r="F398" s="70"/>
      <c r="G398" s="52"/>
      <c r="H398" s="62"/>
      <c r="I398" s="32"/>
      <c r="J398" s="62"/>
      <c r="K398" s="32"/>
      <c r="L398" s="8"/>
      <c r="M398" s="51"/>
      <c r="N398" s="8"/>
      <c r="O398" s="32"/>
      <c r="P398" s="8"/>
      <c r="Q398" s="14"/>
      <c r="R398" s="14"/>
      <c r="T398" s="7"/>
      <c r="U398" s="7"/>
    </row>
    <row r="399" spans="1:21" s="6" customFormat="1" ht="6" customHeight="1">
      <c r="A399" s="14" t="b">
        <v>1</v>
      </c>
      <c r="B399" s="8"/>
      <c r="C399" s="16"/>
      <c r="D399" s="62"/>
      <c r="E399" s="36"/>
      <c r="F399" s="62"/>
      <c r="G399" s="62"/>
      <c r="H399" s="62"/>
      <c r="I399" s="8"/>
      <c r="J399" s="62"/>
      <c r="K399" s="8"/>
      <c r="L399" s="8"/>
      <c r="M399" s="47"/>
      <c r="N399" s="8"/>
      <c r="O399" s="8"/>
      <c r="P399" s="8"/>
      <c r="Q399" s="14"/>
      <c r="R399" s="14"/>
      <c r="T399" s="7"/>
      <c r="U399" s="7"/>
    </row>
    <row r="400" spans="1:21" ht="60" customHeight="1">
      <c r="A400" s="14" t="b">
        <v>1</v>
      </c>
      <c r="B400" s="8"/>
      <c r="C400" s="19">
        <v>14.6</v>
      </c>
      <c r="D400" s="70"/>
      <c r="E400" s="30" t="s">
        <v>218</v>
      </c>
      <c r="F400" s="70"/>
      <c r="G400" s="52"/>
      <c r="H400" s="62"/>
      <c r="I400" s="32"/>
      <c r="J400" s="62"/>
      <c r="K400" s="32"/>
      <c r="L400" s="8"/>
      <c r="M400" s="51"/>
      <c r="N400" s="8"/>
      <c r="O400" s="32"/>
      <c r="P400" s="8"/>
      <c r="Q400" s="14"/>
      <c r="R400" s="14"/>
    </row>
    <row r="401" spans="1:21" ht="6" customHeight="1">
      <c r="A401" s="14" t="b">
        <v>1</v>
      </c>
      <c r="B401" s="8"/>
      <c r="C401" s="16"/>
      <c r="D401" s="62"/>
      <c r="E401" s="36"/>
      <c r="F401" s="62"/>
      <c r="G401" s="62"/>
      <c r="H401" s="62"/>
      <c r="I401" s="8"/>
      <c r="J401" s="62"/>
      <c r="K401" s="8"/>
      <c r="L401" s="8"/>
      <c r="M401" s="47"/>
      <c r="N401" s="8"/>
      <c r="O401" s="8"/>
      <c r="P401" s="8"/>
      <c r="Q401" s="14"/>
      <c r="R401" s="14"/>
    </row>
    <row r="402" spans="1:21" ht="60" customHeight="1" collapsed="1">
      <c r="A402" s="14" t="b">
        <v>1</v>
      </c>
      <c r="B402" s="8"/>
      <c r="C402" s="19">
        <v>14.7</v>
      </c>
      <c r="D402" s="70"/>
      <c r="E402" s="30" t="s">
        <v>219</v>
      </c>
      <c r="F402" s="70"/>
      <c r="G402" s="52"/>
      <c r="H402" s="62"/>
      <c r="I402" s="32"/>
      <c r="J402" s="62"/>
      <c r="K402" s="32"/>
      <c r="L402" s="8"/>
      <c r="M402" s="51"/>
      <c r="N402" s="8"/>
      <c r="O402" s="32"/>
      <c r="P402" s="8"/>
      <c r="Q402" s="14"/>
      <c r="R402" s="14"/>
    </row>
    <row r="403" spans="1:21" ht="6" hidden="1" customHeight="1">
      <c r="A403" s="76" t="b">
        <v>0</v>
      </c>
      <c r="B403" s="8"/>
      <c r="C403" s="16"/>
      <c r="D403" s="62"/>
      <c r="E403" s="36"/>
      <c r="F403" s="62"/>
      <c r="G403" s="62"/>
      <c r="H403" s="62"/>
      <c r="I403" s="62"/>
      <c r="J403" s="62"/>
      <c r="K403" s="8"/>
      <c r="L403" s="8"/>
      <c r="M403" s="47"/>
      <c r="N403" s="8"/>
      <c r="O403" s="8"/>
      <c r="P403" s="8"/>
      <c r="Q403" s="14"/>
      <c r="R403" s="14"/>
    </row>
    <row r="404" spans="1:21" ht="60" hidden="1" customHeight="1">
      <c r="A404" s="76" t="b">
        <f>A403</f>
        <v>0</v>
      </c>
      <c r="B404" s="8"/>
      <c r="C404" s="19">
        <v>14.8</v>
      </c>
      <c r="D404" s="70"/>
      <c r="E404" s="30" t="s">
        <v>220</v>
      </c>
      <c r="F404" s="70"/>
      <c r="G404" s="83"/>
      <c r="H404" s="62"/>
      <c r="I404" s="32"/>
      <c r="J404" s="62"/>
      <c r="K404" s="32"/>
      <c r="L404" s="8"/>
      <c r="M404" s="51"/>
      <c r="N404" s="8"/>
      <c r="O404" s="32"/>
      <c r="P404" s="8"/>
      <c r="Q404" s="14"/>
      <c r="R404" s="14"/>
    </row>
    <row r="405" spans="1:21" ht="6" customHeight="1">
      <c r="A405" s="14" t="b">
        <v>1</v>
      </c>
      <c r="B405" s="8"/>
      <c r="C405" s="16"/>
      <c r="D405" s="21"/>
      <c r="E405" s="36"/>
      <c r="F405" s="21"/>
      <c r="G405" s="21"/>
      <c r="H405" s="21"/>
      <c r="I405" s="21"/>
      <c r="J405" s="21"/>
      <c r="K405" s="8"/>
      <c r="L405" s="8"/>
      <c r="M405" s="47"/>
      <c r="N405" s="8"/>
      <c r="O405" s="8"/>
      <c r="P405" s="8"/>
      <c r="Q405" s="14"/>
      <c r="R405" s="14"/>
    </row>
    <row r="406" spans="1:21" ht="60" customHeight="1">
      <c r="A406" s="14" t="b">
        <v>1</v>
      </c>
      <c r="B406" s="8"/>
      <c r="C406" s="16">
        <v>14.9</v>
      </c>
      <c r="D406" s="21"/>
      <c r="E406" s="30" t="s">
        <v>221</v>
      </c>
      <c r="F406" s="21"/>
      <c r="G406" s="278"/>
      <c r="H406" s="278"/>
      <c r="I406" s="278"/>
      <c r="J406" s="278"/>
      <c r="K406" s="278"/>
      <c r="L406" s="8"/>
      <c r="M406" s="137"/>
      <c r="N406" s="8"/>
      <c r="O406" s="137"/>
      <c r="P406" s="8"/>
      <c r="Q406" s="54"/>
      <c r="R406" s="54"/>
      <c r="S406" s="59"/>
      <c r="T406" s="57"/>
      <c r="U406" s="57"/>
    </row>
    <row r="407" spans="1:21" ht="6" customHeight="1">
      <c r="A407" s="14" t="b">
        <v>1</v>
      </c>
      <c r="B407" s="8"/>
      <c r="C407" s="89"/>
      <c r="D407" s="18"/>
      <c r="E407" s="21"/>
      <c r="F407" s="18"/>
      <c r="G407" s="22"/>
      <c r="H407" s="18"/>
      <c r="I407" s="18"/>
      <c r="J407" s="18"/>
      <c r="K407" s="8"/>
      <c r="L407" s="8"/>
      <c r="M407" s="47"/>
      <c r="N407" s="8"/>
      <c r="O407" s="8"/>
      <c r="P407" s="8"/>
      <c r="Q407" s="14"/>
      <c r="R407" s="14"/>
    </row>
    <row r="408" spans="1:21" ht="60" customHeight="1">
      <c r="A408" s="14" t="b">
        <v>1</v>
      </c>
      <c r="B408" s="8"/>
      <c r="C408" s="119">
        <v>14.1</v>
      </c>
      <c r="D408" s="18"/>
      <c r="E408" s="30" t="s">
        <v>222</v>
      </c>
      <c r="F408" s="18"/>
      <c r="G408" s="278"/>
      <c r="H408" s="278"/>
      <c r="I408" s="278"/>
      <c r="J408" s="278"/>
      <c r="K408" s="278"/>
      <c r="L408" s="8"/>
      <c r="M408" s="137"/>
      <c r="N408" s="8"/>
      <c r="O408" s="137"/>
      <c r="P408" s="8"/>
      <c r="Q408" s="14"/>
      <c r="R408" s="14"/>
    </row>
    <row r="409" spans="1:21" ht="15" customHeight="1" thickBot="1">
      <c r="A409" s="14" t="b">
        <v>1</v>
      </c>
      <c r="B409" s="8"/>
      <c r="C409" s="41"/>
      <c r="D409" s="70"/>
      <c r="E409" s="70"/>
      <c r="F409" s="70"/>
      <c r="G409" s="62"/>
      <c r="H409" s="62"/>
      <c r="I409" s="62"/>
      <c r="J409" s="62"/>
      <c r="K409" s="8"/>
      <c r="L409" s="8"/>
      <c r="M409" s="47"/>
      <c r="N409" s="8"/>
      <c r="O409" s="8"/>
      <c r="P409" s="8"/>
      <c r="Q409" s="14"/>
      <c r="R409" s="14"/>
    </row>
    <row r="410" spans="1:21" ht="15" customHeight="1" collapsed="1">
      <c r="A410" s="14" t="b">
        <v>1</v>
      </c>
      <c r="B410" s="8"/>
      <c r="C410" s="42"/>
      <c r="D410" s="73"/>
      <c r="E410" s="73"/>
      <c r="F410" s="73"/>
      <c r="G410" s="103"/>
      <c r="H410" s="103"/>
      <c r="I410" s="103"/>
      <c r="J410" s="103"/>
      <c r="K410" s="46"/>
      <c r="L410" s="46"/>
      <c r="M410" s="61"/>
      <c r="N410" s="46"/>
      <c r="O410" s="46"/>
      <c r="P410" s="8"/>
      <c r="Q410" s="14"/>
      <c r="R410" s="14"/>
    </row>
    <row r="411" spans="1:21" ht="15" customHeight="1">
      <c r="A411" s="14" t="b">
        <v>1</v>
      </c>
      <c r="B411" s="8"/>
      <c r="C411" s="15" t="s">
        <v>223</v>
      </c>
      <c r="D411" s="16"/>
      <c r="E411" s="17" t="s">
        <v>224</v>
      </c>
      <c r="F411" s="62"/>
      <c r="G411" s="17" t="str">
        <f>G$7</f>
        <v>Answer</v>
      </c>
      <c r="H411" s="18"/>
      <c r="I411" s="17" t="s">
        <v>7</v>
      </c>
      <c r="J411" s="18"/>
      <c r="K411" s="17" t="str">
        <f>K$7</f>
        <v>General Comments</v>
      </c>
      <c r="L411" s="8"/>
      <c r="M411" s="273" t="s">
        <v>290</v>
      </c>
      <c r="N411" s="8"/>
      <c r="O411" s="274" t="s">
        <v>291</v>
      </c>
      <c r="P411" s="8"/>
      <c r="Q411" s="14"/>
      <c r="R411" s="14"/>
    </row>
    <row r="412" spans="1:21" ht="15" customHeight="1">
      <c r="A412" s="14" t="b">
        <v>1</v>
      </c>
      <c r="B412" s="8"/>
      <c r="C412" s="19"/>
      <c r="D412" s="16"/>
      <c r="E412" s="17"/>
      <c r="F412" s="18"/>
      <c r="G412" s="17"/>
      <c r="H412" s="18"/>
      <c r="I412" s="17"/>
      <c r="J412" s="18"/>
      <c r="K412" s="17"/>
      <c r="L412" s="8"/>
      <c r="M412" s="273"/>
      <c r="N412" s="8"/>
      <c r="O412" s="274"/>
      <c r="P412" s="8"/>
      <c r="Q412" s="14"/>
      <c r="R412" s="14"/>
    </row>
    <row r="413" spans="1:21" ht="6" customHeight="1">
      <c r="A413" s="14" t="b">
        <v>1</v>
      </c>
      <c r="B413" s="8"/>
      <c r="C413" s="20"/>
      <c r="D413" s="62"/>
      <c r="E413" s="70"/>
      <c r="F413" s="62"/>
      <c r="G413" s="62"/>
      <c r="H413" s="62"/>
      <c r="I413" s="62"/>
      <c r="J413" s="62"/>
      <c r="K413" s="8"/>
      <c r="L413" s="8"/>
      <c r="M413" s="47"/>
      <c r="N413" s="8"/>
      <c r="O413" s="8"/>
      <c r="P413" s="8"/>
      <c r="Q413" s="14"/>
      <c r="R413" s="14"/>
    </row>
    <row r="414" spans="1:21" ht="18" customHeight="1" collapsed="1">
      <c r="A414" s="14" t="b">
        <v>1</v>
      </c>
      <c r="B414" s="8"/>
      <c r="C414" s="23"/>
      <c r="D414" s="23"/>
      <c r="E414" s="24"/>
      <c r="F414" s="23"/>
      <c r="G414" s="23"/>
      <c r="H414" s="23"/>
      <c r="I414" s="23"/>
      <c r="J414" s="23"/>
      <c r="K414" s="23"/>
      <c r="L414" s="23"/>
      <c r="M414" s="48"/>
      <c r="N414" s="23"/>
      <c r="O414" s="23"/>
      <c r="P414" s="8"/>
      <c r="Q414" s="14"/>
      <c r="R414" s="14"/>
    </row>
    <row r="415" spans="1:21" ht="15" hidden="1" customHeight="1">
      <c r="A415" s="14" t="b">
        <v>0</v>
      </c>
      <c r="B415" s="8"/>
      <c r="C415" s="23"/>
      <c r="D415" s="18"/>
      <c r="E415" s="27" t="s">
        <v>141</v>
      </c>
      <c r="F415" s="18"/>
      <c r="G415" s="22"/>
      <c r="H415" s="18"/>
      <c r="I415" s="18"/>
      <c r="J415" s="18"/>
      <c r="K415" s="8"/>
      <c r="L415" s="8"/>
      <c r="M415" s="47"/>
      <c r="N415" s="8"/>
      <c r="O415" s="8"/>
      <c r="P415" s="8"/>
      <c r="Q415" s="14"/>
      <c r="R415" s="14"/>
    </row>
    <row r="416" spans="1:21" s="6" customFormat="1" ht="15" hidden="1" customHeight="1">
      <c r="A416" s="14" t="b">
        <f t="shared" ref="A416:A421" si="3">$A$415</f>
        <v>0</v>
      </c>
      <c r="B416" s="8"/>
      <c r="C416" s="23"/>
      <c r="D416" s="18"/>
      <c r="E416" s="27" t="s">
        <v>225</v>
      </c>
      <c r="F416" s="18"/>
      <c r="G416" s="22"/>
      <c r="H416" s="18"/>
      <c r="I416" s="18"/>
      <c r="J416" s="18"/>
      <c r="K416" s="8"/>
      <c r="L416" s="8"/>
      <c r="M416" s="47"/>
      <c r="N416" s="8"/>
      <c r="O416" s="8"/>
      <c r="P416" s="8"/>
      <c r="Q416" s="14"/>
      <c r="R416" s="14"/>
      <c r="T416" s="7"/>
      <c r="U416" s="7"/>
    </row>
    <row r="417" spans="1:21" s="6" customFormat="1" ht="15" hidden="1" customHeight="1">
      <c r="A417" s="14" t="b">
        <f t="shared" si="3"/>
        <v>0</v>
      </c>
      <c r="B417" s="8"/>
      <c r="C417" s="23"/>
      <c r="D417" s="18"/>
      <c r="E417" s="27" t="s">
        <v>226</v>
      </c>
      <c r="F417" s="18"/>
      <c r="G417" s="22"/>
      <c r="H417" s="18"/>
      <c r="I417" s="18"/>
      <c r="J417" s="18"/>
      <c r="K417" s="8"/>
      <c r="L417" s="8"/>
      <c r="M417" s="47"/>
      <c r="N417" s="8"/>
      <c r="O417" s="8"/>
      <c r="P417" s="8"/>
      <c r="Q417" s="14"/>
      <c r="R417" s="14"/>
      <c r="T417" s="7"/>
      <c r="U417" s="7"/>
    </row>
    <row r="418" spans="1:21" s="6" customFormat="1" ht="15" hidden="1" customHeight="1">
      <c r="A418" s="14" t="b">
        <f t="shared" si="3"/>
        <v>0</v>
      </c>
      <c r="B418" s="8"/>
      <c r="C418" s="23"/>
      <c r="D418" s="18"/>
      <c r="E418" s="27" t="s">
        <v>227</v>
      </c>
      <c r="F418" s="18"/>
      <c r="G418" s="22"/>
      <c r="H418" s="18"/>
      <c r="I418" s="18"/>
      <c r="J418" s="18"/>
      <c r="K418" s="8"/>
      <c r="L418" s="8"/>
      <c r="M418" s="47"/>
      <c r="N418" s="8"/>
      <c r="O418" s="8"/>
      <c r="P418" s="8"/>
      <c r="Q418" s="14"/>
      <c r="R418" s="14"/>
      <c r="T418" s="7"/>
      <c r="U418" s="7"/>
    </row>
    <row r="419" spans="1:21" s="6" customFormat="1" ht="15" hidden="1" customHeight="1">
      <c r="A419" s="14" t="b">
        <f t="shared" si="3"/>
        <v>0</v>
      </c>
      <c r="B419" s="8"/>
      <c r="C419" s="23"/>
      <c r="D419" s="18"/>
      <c r="E419" s="27" t="s">
        <v>228</v>
      </c>
      <c r="F419" s="18"/>
      <c r="G419" s="22"/>
      <c r="H419" s="18"/>
      <c r="I419" s="18"/>
      <c r="J419" s="18"/>
      <c r="K419" s="8"/>
      <c r="L419" s="8"/>
      <c r="M419" s="47"/>
      <c r="N419" s="8"/>
      <c r="O419" s="8"/>
      <c r="P419" s="8"/>
      <c r="Q419" s="14"/>
      <c r="R419" s="14"/>
      <c r="T419" s="7"/>
      <c r="U419" s="7"/>
    </row>
    <row r="420" spans="1:21" s="6" customFormat="1" ht="15" hidden="1" customHeight="1">
      <c r="A420" s="14" t="b">
        <f t="shared" si="3"/>
        <v>0</v>
      </c>
      <c r="B420" s="8"/>
      <c r="C420" s="23"/>
      <c r="D420" s="18"/>
      <c r="E420" s="27" t="s">
        <v>27</v>
      </c>
      <c r="F420" s="18"/>
      <c r="G420" s="22"/>
      <c r="H420" s="18"/>
      <c r="I420" s="18"/>
      <c r="J420" s="18"/>
      <c r="K420" s="8"/>
      <c r="L420" s="8"/>
      <c r="M420" s="47"/>
      <c r="N420" s="8"/>
      <c r="O420" s="8"/>
      <c r="P420" s="8"/>
      <c r="Q420" s="14"/>
      <c r="R420" s="14"/>
      <c r="T420" s="7"/>
      <c r="U420" s="7"/>
    </row>
    <row r="421" spans="1:21" s="6" customFormat="1" ht="15" hidden="1" customHeight="1">
      <c r="A421" s="14" t="b">
        <f t="shared" si="3"/>
        <v>0</v>
      </c>
      <c r="B421" s="8"/>
      <c r="C421" s="23"/>
      <c r="D421" s="18"/>
      <c r="E421" s="27" t="s">
        <v>81</v>
      </c>
      <c r="F421" s="18"/>
      <c r="G421" s="22"/>
      <c r="H421" s="18"/>
      <c r="I421" s="18"/>
      <c r="J421" s="18"/>
      <c r="K421" s="8"/>
      <c r="L421" s="8"/>
      <c r="M421" s="47"/>
      <c r="N421" s="8"/>
      <c r="O421" s="8"/>
      <c r="P421" s="8"/>
      <c r="Q421" s="14"/>
      <c r="R421" s="14"/>
      <c r="T421" s="7"/>
      <c r="U421" s="7"/>
    </row>
    <row r="422" spans="1:21" s="6" customFormat="1" ht="15" customHeight="1" collapsed="1">
      <c r="A422" s="14" t="b">
        <v>1</v>
      </c>
      <c r="B422" s="8"/>
      <c r="C422" s="16"/>
      <c r="D422" s="18"/>
      <c r="E422" s="21"/>
      <c r="F422" s="18"/>
      <c r="G422" s="22"/>
      <c r="H422" s="18"/>
      <c r="I422" s="18"/>
      <c r="J422" s="18"/>
      <c r="K422" s="8"/>
      <c r="L422" s="8"/>
      <c r="M422" s="47"/>
      <c r="N422" s="8"/>
      <c r="O422" s="8"/>
      <c r="P422" s="8"/>
      <c r="Q422" s="14"/>
      <c r="R422" s="14"/>
      <c r="T422" s="7"/>
      <c r="U422" s="7"/>
    </row>
    <row r="423" spans="1:21" s="6" customFormat="1" ht="60" customHeight="1">
      <c r="A423" s="14" t="b">
        <v>1</v>
      </c>
      <c r="B423" s="8"/>
      <c r="C423" s="19">
        <v>15.1</v>
      </c>
      <c r="D423" s="62"/>
      <c r="E423" s="30" t="s">
        <v>229</v>
      </c>
      <c r="F423" s="62"/>
      <c r="G423" s="52"/>
      <c r="H423" s="62"/>
      <c r="I423" s="32"/>
      <c r="J423" s="62"/>
      <c r="K423" s="32"/>
      <c r="L423" s="8"/>
      <c r="M423" s="51"/>
      <c r="N423" s="8"/>
      <c r="O423" s="32"/>
      <c r="P423" s="8"/>
      <c r="Q423" s="14"/>
      <c r="R423" s="14"/>
      <c r="T423" s="7"/>
      <c r="U423" s="7"/>
    </row>
    <row r="424" spans="1:21" s="6" customFormat="1" ht="6" customHeight="1">
      <c r="A424" s="14" t="b">
        <v>1</v>
      </c>
      <c r="B424" s="8"/>
      <c r="C424" s="16"/>
      <c r="D424" s="62"/>
      <c r="E424" s="36"/>
      <c r="F424" s="62"/>
      <c r="G424" s="62"/>
      <c r="H424" s="62"/>
      <c r="I424" s="8"/>
      <c r="J424" s="62"/>
      <c r="K424" s="8"/>
      <c r="L424" s="8"/>
      <c r="M424" s="47"/>
      <c r="N424" s="8"/>
      <c r="O424" s="8"/>
      <c r="P424" s="8"/>
      <c r="Q424" s="14"/>
      <c r="R424" s="14"/>
      <c r="T424" s="7"/>
      <c r="U424" s="7"/>
    </row>
    <row r="425" spans="1:21" s="6" customFormat="1" ht="60" customHeight="1">
      <c r="A425" s="14" t="b">
        <v>1</v>
      </c>
      <c r="B425" s="8"/>
      <c r="C425" s="19">
        <v>15.2</v>
      </c>
      <c r="D425" s="90"/>
      <c r="E425" s="30" t="s">
        <v>230</v>
      </c>
      <c r="F425" s="62"/>
      <c r="G425" s="83"/>
      <c r="H425" s="62"/>
      <c r="I425" s="32"/>
      <c r="J425" s="62"/>
      <c r="K425" s="32"/>
      <c r="L425" s="8"/>
      <c r="M425" s="51"/>
      <c r="N425" s="8"/>
      <c r="O425" s="32"/>
      <c r="P425" s="8"/>
      <c r="Q425" s="14"/>
      <c r="R425" s="14"/>
      <c r="T425" s="7"/>
      <c r="U425" s="7"/>
    </row>
    <row r="426" spans="1:21" s="6" customFormat="1" ht="6" customHeight="1">
      <c r="A426" s="14" t="b">
        <v>1</v>
      </c>
      <c r="B426" s="8"/>
      <c r="C426" s="16"/>
      <c r="D426" s="62"/>
      <c r="E426" s="126"/>
      <c r="F426" s="62"/>
      <c r="G426" s="62"/>
      <c r="H426" s="62"/>
      <c r="I426" s="8"/>
      <c r="J426" s="62"/>
      <c r="K426" s="8"/>
      <c r="L426" s="8"/>
      <c r="M426" s="47"/>
      <c r="N426" s="8"/>
      <c r="O426" s="8"/>
      <c r="P426" s="8"/>
      <c r="Q426" s="14"/>
      <c r="R426" s="14"/>
      <c r="T426" s="7"/>
      <c r="U426" s="7"/>
    </row>
    <row r="427" spans="1:21" s="6" customFormat="1" ht="60" customHeight="1">
      <c r="A427" s="14" t="b">
        <v>1</v>
      </c>
      <c r="B427" s="8"/>
      <c r="C427" s="19">
        <v>15.3</v>
      </c>
      <c r="D427" s="62"/>
      <c r="E427" s="30" t="s">
        <v>231</v>
      </c>
      <c r="F427" s="62"/>
      <c r="G427" s="83"/>
      <c r="H427" s="62"/>
      <c r="I427" s="32"/>
      <c r="J427" s="62"/>
      <c r="K427" s="32"/>
      <c r="L427" s="8"/>
      <c r="M427" s="51"/>
      <c r="N427" s="8"/>
      <c r="O427" s="32"/>
      <c r="P427" s="8"/>
      <c r="Q427" s="14"/>
      <c r="R427" s="14"/>
      <c r="T427" s="7"/>
      <c r="U427" s="7"/>
    </row>
    <row r="428" spans="1:21" s="6" customFormat="1" ht="6" customHeight="1">
      <c r="A428" s="14" t="b">
        <v>1</v>
      </c>
      <c r="B428" s="8"/>
      <c r="C428" s="16"/>
      <c r="D428" s="62"/>
      <c r="E428" s="36"/>
      <c r="F428" s="62"/>
      <c r="G428" s="62"/>
      <c r="H428" s="62"/>
      <c r="I428" s="8"/>
      <c r="J428" s="62"/>
      <c r="K428" s="8"/>
      <c r="L428" s="8"/>
      <c r="M428" s="47"/>
      <c r="N428" s="8"/>
      <c r="O428" s="8"/>
      <c r="P428" s="8"/>
      <c r="Q428" s="14"/>
      <c r="R428" s="14"/>
      <c r="T428" s="7"/>
      <c r="U428" s="7"/>
    </row>
    <row r="429" spans="1:21" s="6" customFormat="1" ht="60" customHeight="1">
      <c r="A429" s="14" t="b">
        <v>1</v>
      </c>
      <c r="B429" s="8"/>
      <c r="C429" s="19">
        <v>15.4</v>
      </c>
      <c r="D429" s="62"/>
      <c r="E429" s="30" t="s">
        <v>232</v>
      </c>
      <c r="F429" s="62"/>
      <c r="G429" s="52"/>
      <c r="H429" s="62"/>
      <c r="I429" s="32"/>
      <c r="J429" s="62"/>
      <c r="K429" s="32"/>
      <c r="L429" s="8"/>
      <c r="M429" s="51"/>
      <c r="N429" s="8"/>
      <c r="O429" s="32"/>
      <c r="P429" s="8"/>
      <c r="Q429" s="14"/>
      <c r="R429" s="14"/>
      <c r="T429" s="7"/>
      <c r="U429" s="7"/>
    </row>
    <row r="430" spans="1:21" s="6" customFormat="1" ht="6" customHeight="1">
      <c r="A430" s="14" t="b">
        <v>1</v>
      </c>
      <c r="B430" s="8"/>
      <c r="C430" s="16"/>
      <c r="D430" s="62"/>
      <c r="E430" s="36"/>
      <c r="F430" s="62"/>
      <c r="G430" s="62"/>
      <c r="H430" s="62"/>
      <c r="I430" s="8"/>
      <c r="J430" s="62"/>
      <c r="K430" s="8"/>
      <c r="L430" s="8"/>
      <c r="M430" s="47"/>
      <c r="N430" s="8"/>
      <c r="O430" s="8"/>
      <c r="P430" s="8"/>
      <c r="Q430" s="14"/>
      <c r="R430" s="14"/>
      <c r="T430" s="7"/>
      <c r="U430" s="7"/>
    </row>
    <row r="431" spans="1:21" s="6" customFormat="1" ht="60" customHeight="1">
      <c r="A431" s="14" t="b">
        <v>1</v>
      </c>
      <c r="B431" s="8"/>
      <c r="C431" s="19">
        <v>15.5</v>
      </c>
      <c r="D431" s="62"/>
      <c r="E431" s="30" t="s">
        <v>233</v>
      </c>
      <c r="F431" s="62"/>
      <c r="G431" s="52"/>
      <c r="H431" s="62"/>
      <c r="I431" s="32"/>
      <c r="J431" s="62"/>
      <c r="K431" s="32"/>
      <c r="L431" s="8"/>
      <c r="M431" s="51"/>
      <c r="N431" s="8"/>
      <c r="O431" s="32"/>
      <c r="P431" s="8"/>
      <c r="Q431" s="14"/>
      <c r="R431" s="14"/>
      <c r="T431" s="7"/>
      <c r="U431" s="7"/>
    </row>
    <row r="432" spans="1:21" s="6" customFormat="1" ht="6" customHeight="1">
      <c r="A432" s="14" t="b">
        <v>1</v>
      </c>
      <c r="B432" s="8"/>
      <c r="C432" s="16"/>
      <c r="D432" s="18"/>
      <c r="E432" s="21"/>
      <c r="F432" s="18"/>
      <c r="G432" s="22"/>
      <c r="H432" s="18"/>
      <c r="I432" s="18"/>
      <c r="J432" s="18"/>
      <c r="K432" s="8"/>
      <c r="L432" s="8"/>
      <c r="M432" s="47"/>
      <c r="N432" s="8"/>
      <c r="O432" s="8"/>
      <c r="P432" s="8"/>
      <c r="Q432" s="14"/>
      <c r="R432" s="14"/>
      <c r="T432" s="7"/>
      <c r="U432" s="7"/>
    </row>
    <row r="433" spans="1:21" s="6" customFormat="1" ht="60" customHeight="1">
      <c r="A433" s="14" t="b">
        <v>1</v>
      </c>
      <c r="B433" s="8"/>
      <c r="C433" s="16">
        <v>15.6</v>
      </c>
      <c r="D433" s="18"/>
      <c r="E433" s="30" t="s">
        <v>234</v>
      </c>
      <c r="F433" s="18"/>
      <c r="G433" s="278"/>
      <c r="H433" s="278"/>
      <c r="I433" s="278"/>
      <c r="J433" s="278"/>
      <c r="K433" s="278"/>
      <c r="L433" s="8"/>
      <c r="M433" s="137"/>
      <c r="N433" s="8"/>
      <c r="O433" s="137"/>
      <c r="P433" s="8"/>
      <c r="Q433" s="14"/>
      <c r="R433" s="14"/>
      <c r="T433" s="7"/>
      <c r="U433" s="7"/>
    </row>
    <row r="434" spans="1:21" s="6" customFormat="1" ht="15" customHeight="1" thickBot="1">
      <c r="A434" s="14" t="b">
        <v>1</v>
      </c>
      <c r="B434" s="8"/>
      <c r="C434" s="41"/>
      <c r="D434" s="70"/>
      <c r="E434" s="70"/>
      <c r="F434" s="70"/>
      <c r="G434" s="70"/>
      <c r="H434" s="70"/>
      <c r="I434" s="70"/>
      <c r="J434" s="70"/>
      <c r="K434" s="8"/>
      <c r="L434" s="8"/>
      <c r="M434" s="47"/>
      <c r="N434" s="8"/>
      <c r="O434" s="8"/>
      <c r="P434" s="8"/>
      <c r="Q434" s="14"/>
      <c r="R434" s="14"/>
      <c r="T434" s="7"/>
      <c r="U434" s="7"/>
    </row>
    <row r="435" spans="1:21" s="6" customFormat="1" ht="15" customHeight="1" collapsed="1">
      <c r="A435" s="14" t="b">
        <v>1</v>
      </c>
      <c r="B435" s="8"/>
      <c r="C435" s="42"/>
      <c r="D435" s="73"/>
      <c r="E435" s="73"/>
      <c r="F435" s="73"/>
      <c r="G435" s="73"/>
      <c r="H435" s="73"/>
      <c r="I435" s="73"/>
      <c r="J435" s="73"/>
      <c r="K435" s="46"/>
      <c r="L435" s="46"/>
      <c r="M435" s="61"/>
      <c r="N435" s="46"/>
      <c r="O435" s="46"/>
      <c r="P435" s="8"/>
      <c r="Q435" s="14"/>
      <c r="R435" s="14"/>
      <c r="T435" s="7"/>
      <c r="U435" s="7"/>
    </row>
    <row r="436" spans="1:21" s="6" customFormat="1" ht="15" customHeight="1">
      <c r="A436" s="14" t="b">
        <v>1</v>
      </c>
      <c r="B436" s="8"/>
      <c r="C436" s="15" t="s">
        <v>235</v>
      </c>
      <c r="D436" s="16"/>
      <c r="E436" s="17" t="s">
        <v>236</v>
      </c>
      <c r="F436" s="62"/>
      <c r="G436" s="17" t="str">
        <f>G$7</f>
        <v>Answer</v>
      </c>
      <c r="H436" s="18"/>
      <c r="I436" s="17" t="s">
        <v>7</v>
      </c>
      <c r="J436" s="18"/>
      <c r="K436" s="17" t="str">
        <f>K$7</f>
        <v>General Comments</v>
      </c>
      <c r="L436" s="8"/>
      <c r="M436" s="273" t="s">
        <v>290</v>
      </c>
      <c r="N436" s="8"/>
      <c r="O436" s="274" t="s">
        <v>291</v>
      </c>
      <c r="P436" s="8"/>
      <c r="Q436" s="14"/>
      <c r="R436" s="14"/>
      <c r="T436" s="7"/>
      <c r="U436" s="7"/>
    </row>
    <row r="437" spans="1:21" s="6" customFormat="1" ht="15" customHeight="1">
      <c r="A437" s="14" t="b">
        <v>1</v>
      </c>
      <c r="B437" s="8"/>
      <c r="C437" s="19"/>
      <c r="D437" s="16"/>
      <c r="E437" s="17"/>
      <c r="F437" s="18"/>
      <c r="G437" s="17"/>
      <c r="H437" s="18"/>
      <c r="I437" s="17"/>
      <c r="J437" s="18"/>
      <c r="K437" s="17"/>
      <c r="L437" s="8"/>
      <c r="M437" s="273"/>
      <c r="N437" s="8"/>
      <c r="O437" s="274"/>
      <c r="P437" s="8"/>
      <c r="Q437" s="14"/>
      <c r="R437" s="14"/>
      <c r="T437" s="7"/>
      <c r="U437" s="7"/>
    </row>
    <row r="438" spans="1:21" s="6" customFormat="1" ht="6" customHeight="1">
      <c r="A438" s="14" t="b">
        <v>1</v>
      </c>
      <c r="B438" s="8"/>
      <c r="C438" s="20"/>
      <c r="D438" s="62"/>
      <c r="E438" s="70"/>
      <c r="F438" s="62"/>
      <c r="G438" s="62"/>
      <c r="H438" s="62"/>
      <c r="I438" s="62"/>
      <c r="J438" s="62"/>
      <c r="K438" s="8"/>
      <c r="L438" s="8"/>
      <c r="M438" s="47"/>
      <c r="N438" s="8"/>
      <c r="O438" s="8"/>
      <c r="P438" s="8"/>
      <c r="Q438" s="14"/>
      <c r="R438" s="14"/>
      <c r="T438" s="7"/>
      <c r="U438" s="7"/>
    </row>
    <row r="439" spans="1:21" s="6" customFormat="1" ht="18" customHeight="1" collapsed="1">
      <c r="A439" s="14" t="b">
        <v>1</v>
      </c>
      <c r="B439" s="8"/>
      <c r="C439" s="23"/>
      <c r="D439" s="23"/>
      <c r="E439" s="24"/>
      <c r="F439" s="23"/>
      <c r="G439" s="23"/>
      <c r="H439" s="23"/>
      <c r="I439" s="23"/>
      <c r="J439" s="23"/>
      <c r="K439" s="23"/>
      <c r="L439" s="23"/>
      <c r="M439" s="48"/>
      <c r="N439" s="23"/>
      <c r="O439" s="23"/>
      <c r="P439" s="8"/>
      <c r="Q439" s="14"/>
      <c r="R439" s="14"/>
      <c r="T439" s="7"/>
      <c r="U439" s="7"/>
    </row>
    <row r="440" spans="1:21" s="6" customFormat="1" ht="15" hidden="1" customHeight="1">
      <c r="A440" s="14" t="b">
        <f>A441</f>
        <v>0</v>
      </c>
      <c r="B440" s="8"/>
      <c r="C440" s="23"/>
      <c r="D440" s="22"/>
      <c r="E440" s="127" t="s">
        <v>237</v>
      </c>
      <c r="F440" s="22"/>
      <c r="G440" s="22"/>
      <c r="H440" s="22"/>
      <c r="I440" s="22"/>
      <c r="J440" s="22"/>
      <c r="K440" s="22"/>
      <c r="L440" s="22"/>
      <c r="M440" s="22"/>
      <c r="N440" s="22"/>
      <c r="O440" s="22"/>
      <c r="P440" s="8"/>
      <c r="Q440" s="14"/>
      <c r="R440" s="14"/>
      <c r="T440" s="7"/>
      <c r="U440" s="7"/>
    </row>
    <row r="441" spans="1:21" s="6" customFormat="1" ht="15" hidden="1" customHeight="1">
      <c r="A441" s="14" t="b">
        <v>0</v>
      </c>
      <c r="B441" s="8"/>
      <c r="C441" s="23"/>
      <c r="D441" s="18"/>
      <c r="E441" s="27" t="s">
        <v>238</v>
      </c>
      <c r="F441" s="18"/>
      <c r="G441" s="22"/>
      <c r="H441" s="18"/>
      <c r="I441" s="18"/>
      <c r="J441" s="18"/>
      <c r="K441" s="8"/>
      <c r="L441" s="8"/>
      <c r="M441" s="47"/>
      <c r="N441" s="8"/>
      <c r="O441" s="8"/>
      <c r="P441" s="8"/>
      <c r="Q441" s="14"/>
      <c r="R441" s="14"/>
      <c r="T441" s="7"/>
      <c r="U441" s="7"/>
    </row>
    <row r="442" spans="1:21" s="6" customFormat="1" ht="15" hidden="1" customHeight="1">
      <c r="A442" s="14" t="b">
        <f>$A$441</f>
        <v>0</v>
      </c>
      <c r="B442" s="8"/>
      <c r="C442" s="23"/>
      <c r="D442" s="18"/>
      <c r="E442" s="27" t="s">
        <v>227</v>
      </c>
      <c r="F442" s="18"/>
      <c r="G442" s="22"/>
      <c r="H442" s="18"/>
      <c r="I442" s="18"/>
      <c r="J442" s="18"/>
      <c r="K442" s="8"/>
      <c r="L442" s="8"/>
      <c r="M442" s="47"/>
      <c r="N442" s="8"/>
      <c r="O442" s="8"/>
      <c r="P442" s="8"/>
      <c r="Q442" s="14"/>
      <c r="R442" s="14"/>
      <c r="T442" s="7"/>
      <c r="U442" s="7"/>
    </row>
    <row r="443" spans="1:21" s="6" customFormat="1" ht="15" hidden="1" customHeight="1">
      <c r="A443" s="14" t="b">
        <f>A441</f>
        <v>0</v>
      </c>
      <c r="B443" s="8"/>
      <c r="C443" s="23"/>
      <c r="D443" s="18"/>
      <c r="E443" s="27" t="s">
        <v>30</v>
      </c>
      <c r="F443" s="18"/>
      <c r="G443" s="22"/>
      <c r="H443" s="18"/>
      <c r="I443" s="18"/>
      <c r="J443" s="18"/>
      <c r="K443" s="8"/>
      <c r="L443" s="8"/>
      <c r="M443" s="47"/>
      <c r="N443" s="8"/>
      <c r="O443" s="8"/>
      <c r="P443" s="8"/>
      <c r="Q443" s="14"/>
      <c r="R443" s="14"/>
      <c r="T443" s="7"/>
      <c r="U443" s="7"/>
    </row>
    <row r="444" spans="1:21" s="6" customFormat="1" ht="15" hidden="1" customHeight="1">
      <c r="A444" s="14" t="b">
        <f>$A$441</f>
        <v>0</v>
      </c>
      <c r="B444" s="8"/>
      <c r="C444" s="23"/>
      <c r="D444" s="18"/>
      <c r="E444" s="27" t="s">
        <v>31</v>
      </c>
      <c r="F444" s="18"/>
      <c r="G444" s="22"/>
      <c r="H444" s="18"/>
      <c r="I444" s="18"/>
      <c r="J444" s="18"/>
      <c r="K444" s="8"/>
      <c r="L444" s="8"/>
      <c r="M444" s="47"/>
      <c r="N444" s="8"/>
      <c r="O444" s="8"/>
      <c r="P444" s="8"/>
      <c r="Q444" s="14"/>
      <c r="R444" s="14"/>
      <c r="T444" s="7"/>
      <c r="U444" s="7"/>
    </row>
    <row r="445" spans="1:21" s="6" customFormat="1" ht="15" customHeight="1" collapsed="1">
      <c r="A445" s="14" t="b">
        <v>1</v>
      </c>
      <c r="B445" s="8"/>
      <c r="C445" s="16"/>
      <c r="D445" s="18"/>
      <c r="E445" s="21"/>
      <c r="F445" s="18"/>
      <c r="G445" s="22"/>
      <c r="H445" s="18"/>
      <c r="I445" s="18"/>
      <c r="J445" s="18"/>
      <c r="K445" s="8"/>
      <c r="L445" s="8"/>
      <c r="M445" s="47"/>
      <c r="N445" s="8"/>
      <c r="O445" s="8"/>
      <c r="P445" s="8"/>
      <c r="Q445" s="14"/>
      <c r="R445" s="14"/>
      <c r="T445" s="7"/>
      <c r="U445" s="7"/>
    </row>
    <row r="446" spans="1:21" s="6" customFormat="1" ht="15" customHeight="1">
      <c r="A446" s="14" t="b">
        <v>1</v>
      </c>
      <c r="B446" s="8"/>
      <c r="C446" s="16"/>
      <c r="D446" s="128"/>
      <c r="E446" s="129" t="s">
        <v>239</v>
      </c>
      <c r="F446" s="128"/>
      <c r="G446" s="129"/>
      <c r="H446" s="129"/>
      <c r="I446" s="129"/>
      <c r="J446" s="129"/>
      <c r="K446" s="129"/>
      <c r="L446" s="130"/>
      <c r="M446" s="131"/>
      <c r="N446" s="130"/>
      <c r="O446" s="130"/>
      <c r="P446" s="8"/>
      <c r="Q446" s="14"/>
      <c r="R446" s="14"/>
      <c r="T446" s="7"/>
      <c r="U446" s="7"/>
    </row>
    <row r="447" spans="1:21" s="6" customFormat="1" ht="6" customHeight="1">
      <c r="A447" s="14" t="b">
        <v>1</v>
      </c>
      <c r="B447" s="8"/>
      <c r="C447" s="16"/>
      <c r="D447" s="62"/>
      <c r="E447" s="70"/>
      <c r="F447" s="62"/>
      <c r="G447" s="62"/>
      <c r="H447" s="62"/>
      <c r="I447" s="62"/>
      <c r="J447" s="62"/>
      <c r="K447" s="8"/>
      <c r="L447" s="8"/>
      <c r="M447" s="47"/>
      <c r="N447" s="8"/>
      <c r="O447" s="8"/>
      <c r="P447" s="8"/>
      <c r="Q447" s="14"/>
      <c r="R447" s="14"/>
      <c r="T447" s="7"/>
      <c r="U447" s="7"/>
    </row>
    <row r="448" spans="1:21" s="6" customFormat="1" ht="60" customHeight="1">
      <c r="A448" s="14" t="b">
        <v>1</v>
      </c>
      <c r="B448" s="8"/>
      <c r="C448" s="19">
        <v>16.100000000000001</v>
      </c>
      <c r="D448" s="70"/>
      <c r="E448" s="30" t="s">
        <v>240</v>
      </c>
      <c r="F448" s="70"/>
      <c r="G448" s="52"/>
      <c r="H448" s="70"/>
      <c r="I448" s="32"/>
      <c r="J448" s="70"/>
      <c r="K448" s="32"/>
      <c r="L448" s="8"/>
      <c r="M448" s="51"/>
      <c r="N448" s="8"/>
      <c r="O448" s="32"/>
      <c r="P448" s="8"/>
      <c r="Q448" s="14"/>
      <c r="R448" s="14"/>
      <c r="T448" s="7"/>
      <c r="U448" s="7"/>
    </row>
    <row r="449" spans="1:21" s="6" customFormat="1" ht="6" customHeight="1">
      <c r="A449" s="14" t="b">
        <v>1</v>
      </c>
      <c r="B449" s="8"/>
      <c r="C449" s="16"/>
      <c r="D449" s="62"/>
      <c r="E449" s="36"/>
      <c r="F449" s="62"/>
      <c r="G449" s="62"/>
      <c r="H449" s="62"/>
      <c r="I449" s="8"/>
      <c r="J449" s="62"/>
      <c r="K449" s="8"/>
      <c r="L449" s="8"/>
      <c r="M449" s="47"/>
      <c r="N449" s="8"/>
      <c r="O449" s="8"/>
      <c r="P449" s="8"/>
      <c r="Q449" s="14"/>
      <c r="R449" s="14"/>
      <c r="T449" s="7"/>
      <c r="U449" s="7"/>
    </row>
    <row r="450" spans="1:21" s="6" customFormat="1" ht="60" customHeight="1">
      <c r="A450" s="14" t="b">
        <v>1</v>
      </c>
      <c r="B450" s="8"/>
      <c r="C450" s="19">
        <v>16.2</v>
      </c>
      <c r="D450" s="70"/>
      <c r="E450" s="30" t="s">
        <v>241</v>
      </c>
      <c r="F450" s="70"/>
      <c r="G450" s="52"/>
      <c r="H450" s="70"/>
      <c r="I450" s="32"/>
      <c r="J450" s="70"/>
      <c r="K450" s="32"/>
      <c r="L450" s="8"/>
      <c r="M450" s="51"/>
      <c r="N450" s="8"/>
      <c r="O450" s="32"/>
      <c r="P450" s="8"/>
      <c r="Q450" s="14"/>
      <c r="R450" s="14"/>
      <c r="T450" s="7"/>
      <c r="U450" s="7"/>
    </row>
    <row r="451" spans="1:21" s="6" customFormat="1" ht="6" customHeight="1">
      <c r="A451" s="14" t="b">
        <v>1</v>
      </c>
      <c r="B451" s="8"/>
      <c r="C451" s="16"/>
      <c r="D451" s="62"/>
      <c r="E451" s="36"/>
      <c r="F451" s="62"/>
      <c r="G451" s="62"/>
      <c r="H451" s="62"/>
      <c r="I451" s="62"/>
      <c r="J451" s="62"/>
      <c r="K451" s="8"/>
      <c r="L451" s="8"/>
      <c r="M451" s="47"/>
      <c r="N451" s="8"/>
      <c r="O451" s="8"/>
      <c r="P451" s="8"/>
      <c r="Q451" s="14"/>
      <c r="R451" s="14"/>
      <c r="T451" s="7"/>
      <c r="U451" s="7"/>
    </row>
    <row r="452" spans="1:21" s="6" customFormat="1" ht="15" customHeight="1">
      <c r="A452" s="14" t="b">
        <v>1</v>
      </c>
      <c r="B452" s="8"/>
      <c r="C452" s="16"/>
      <c r="D452" s="128"/>
      <c r="E452" s="129" t="s">
        <v>242</v>
      </c>
      <c r="F452" s="128"/>
      <c r="G452" s="129"/>
      <c r="H452" s="129"/>
      <c r="I452" s="129"/>
      <c r="J452" s="129"/>
      <c r="K452" s="129"/>
      <c r="L452" s="130"/>
      <c r="M452" s="131"/>
      <c r="N452" s="130"/>
      <c r="O452" s="130"/>
      <c r="P452" s="8"/>
      <c r="Q452" s="14"/>
      <c r="R452" s="14"/>
      <c r="T452" s="7"/>
      <c r="U452" s="7"/>
    </row>
    <row r="453" spans="1:21" s="6" customFormat="1" ht="6" customHeight="1">
      <c r="A453" s="14" t="b">
        <v>1</v>
      </c>
      <c r="B453" s="8"/>
      <c r="C453" s="16"/>
      <c r="D453" s="62"/>
      <c r="E453" s="70"/>
      <c r="F453" s="62"/>
      <c r="G453" s="62"/>
      <c r="H453" s="62"/>
      <c r="I453" s="62"/>
      <c r="J453" s="62"/>
      <c r="K453" s="8"/>
      <c r="L453" s="8"/>
      <c r="M453" s="47"/>
      <c r="N453" s="8"/>
      <c r="O453" s="8"/>
      <c r="P453" s="8"/>
      <c r="Q453" s="14"/>
      <c r="R453" s="14"/>
      <c r="T453" s="7"/>
      <c r="U453" s="7"/>
    </row>
    <row r="454" spans="1:21" s="6" customFormat="1" ht="60" customHeight="1">
      <c r="A454" s="14" t="b">
        <v>1</v>
      </c>
      <c r="B454" s="8"/>
      <c r="C454" s="19">
        <v>16.3</v>
      </c>
      <c r="D454" s="62"/>
      <c r="E454" s="30" t="s">
        <v>243</v>
      </c>
      <c r="F454" s="62"/>
      <c r="G454" s="38"/>
      <c r="H454" s="62"/>
      <c r="I454" s="32"/>
      <c r="J454" s="62"/>
      <c r="K454" s="32"/>
      <c r="L454" s="8"/>
      <c r="M454" s="51"/>
      <c r="N454" s="8"/>
      <c r="O454" s="32"/>
      <c r="P454" s="8"/>
      <c r="Q454" s="14" t="b">
        <f>IF(G454="No",TRUE,FALSE)</f>
        <v>0</v>
      </c>
      <c r="R454" s="14"/>
      <c r="T454" s="7"/>
      <c r="U454" s="7"/>
    </row>
    <row r="455" spans="1:21" s="6" customFormat="1" ht="6" hidden="1" customHeight="1">
      <c r="A455" s="14" t="b">
        <f>Q454</f>
        <v>0</v>
      </c>
      <c r="B455" s="8"/>
      <c r="C455" s="16"/>
      <c r="D455" s="62"/>
      <c r="E455" s="70"/>
      <c r="F455" s="62"/>
      <c r="G455" s="62"/>
      <c r="H455" s="62"/>
      <c r="I455" s="62"/>
      <c r="J455" s="62"/>
      <c r="K455" s="8"/>
      <c r="L455" s="8"/>
      <c r="M455" s="47"/>
      <c r="N455" s="8"/>
      <c r="O455" s="8"/>
      <c r="P455" s="8"/>
      <c r="Q455" s="14"/>
      <c r="R455" s="14"/>
      <c r="T455" s="7"/>
      <c r="U455" s="7"/>
    </row>
    <row r="456" spans="1:21" s="6" customFormat="1" ht="60" hidden="1" customHeight="1">
      <c r="A456" s="14" t="b">
        <f>A455</f>
        <v>0</v>
      </c>
      <c r="B456" s="8"/>
      <c r="C456" s="19" t="s">
        <v>244</v>
      </c>
      <c r="D456" s="90"/>
      <c r="E456" s="74" t="s">
        <v>245</v>
      </c>
      <c r="F456" s="62"/>
      <c r="G456" s="38"/>
      <c r="H456" s="62"/>
      <c r="I456" s="32"/>
      <c r="J456" s="62"/>
      <c r="K456" s="32"/>
      <c r="L456" s="8"/>
      <c r="M456" s="51"/>
      <c r="N456" s="8"/>
      <c r="O456" s="32"/>
      <c r="P456" s="8"/>
      <c r="Q456" s="14"/>
      <c r="R456" s="14"/>
      <c r="T456" s="7"/>
      <c r="U456" s="7"/>
    </row>
    <row r="457" spans="1:21" s="6" customFormat="1" ht="6" customHeight="1">
      <c r="A457" s="14" t="b">
        <v>1</v>
      </c>
      <c r="B457" s="8"/>
      <c r="C457" s="16"/>
      <c r="D457" s="62"/>
      <c r="E457" s="36"/>
      <c r="F457" s="62"/>
      <c r="G457" s="62"/>
      <c r="H457" s="62"/>
      <c r="I457" s="8"/>
      <c r="J457" s="62"/>
      <c r="K457" s="8"/>
      <c r="L457" s="8"/>
      <c r="M457" s="47"/>
      <c r="N457" s="8"/>
      <c r="O457" s="8"/>
      <c r="P457" s="8"/>
      <c r="Q457" s="14"/>
      <c r="R457" s="14"/>
      <c r="T457" s="7"/>
      <c r="U457" s="7"/>
    </row>
    <row r="458" spans="1:21" s="6" customFormat="1" ht="70.5" customHeight="1">
      <c r="A458" s="14" t="b">
        <v>1</v>
      </c>
      <c r="B458" s="8"/>
      <c r="C458" s="19">
        <v>16.399999999999999</v>
      </c>
      <c r="D458" s="62"/>
      <c r="E458" s="30" t="s">
        <v>246</v>
      </c>
      <c r="F458" s="62"/>
      <c r="G458" s="32"/>
      <c r="H458" s="62"/>
      <c r="I458" s="32"/>
      <c r="J458" s="62"/>
      <c r="K458" s="32"/>
      <c r="L458" s="8"/>
      <c r="M458" s="51"/>
      <c r="N458" s="8"/>
      <c r="O458" s="32"/>
      <c r="P458" s="8"/>
      <c r="Q458" s="14" t="b">
        <v>0</v>
      </c>
      <c r="R458" s="14"/>
      <c r="T458" s="7"/>
      <c r="U458" s="7"/>
    </row>
    <row r="459" spans="1:21" s="6" customFormat="1" ht="6" customHeight="1">
      <c r="A459" s="76" t="b">
        <v>1</v>
      </c>
      <c r="B459" s="8"/>
      <c r="C459" s="16"/>
      <c r="D459" s="62"/>
      <c r="E459" s="36"/>
      <c r="F459" s="62"/>
      <c r="G459" s="62"/>
      <c r="H459" s="62"/>
      <c r="I459" s="8"/>
      <c r="J459" s="62"/>
      <c r="K459" s="8"/>
      <c r="L459" s="8"/>
      <c r="M459" s="47"/>
      <c r="N459" s="8"/>
      <c r="O459" s="8"/>
      <c r="P459" s="8"/>
      <c r="Q459" s="14"/>
      <c r="R459" s="14"/>
      <c r="T459" s="7"/>
      <c r="U459" s="7"/>
    </row>
    <row r="460" spans="1:21" s="6" customFormat="1" ht="60" customHeight="1">
      <c r="A460" s="76" t="b">
        <f>A459</f>
        <v>1</v>
      </c>
      <c r="B460" s="8"/>
      <c r="C460" s="19">
        <v>16.5</v>
      </c>
      <c r="D460" s="70"/>
      <c r="E460" s="30" t="s">
        <v>247</v>
      </c>
      <c r="F460" s="70"/>
      <c r="G460" s="50"/>
      <c r="H460" s="70"/>
      <c r="I460" s="32"/>
      <c r="J460" s="70"/>
      <c r="K460" s="32"/>
      <c r="L460" s="8"/>
      <c r="M460" s="51"/>
      <c r="N460" s="8"/>
      <c r="O460" s="32"/>
      <c r="P460" s="8"/>
      <c r="Q460" s="14"/>
      <c r="R460" s="14"/>
      <c r="T460" s="7"/>
      <c r="U460" s="7"/>
    </row>
    <row r="461" spans="1:21" s="6" customFormat="1" ht="6" customHeight="1">
      <c r="A461" s="14" t="b">
        <v>1</v>
      </c>
      <c r="B461" s="8"/>
      <c r="C461" s="16"/>
      <c r="D461" s="21"/>
      <c r="E461" s="36"/>
      <c r="F461" s="21"/>
      <c r="G461" s="21"/>
      <c r="H461" s="21"/>
      <c r="I461" s="21"/>
      <c r="J461" s="21"/>
      <c r="K461" s="8"/>
      <c r="L461" s="8"/>
      <c r="M461" s="47"/>
      <c r="N461" s="8"/>
      <c r="O461" s="8"/>
      <c r="P461" s="8"/>
      <c r="Q461" s="14"/>
      <c r="R461" s="14"/>
      <c r="T461" s="7"/>
      <c r="U461" s="7"/>
    </row>
    <row r="462" spans="1:21" s="6" customFormat="1" ht="60" customHeight="1">
      <c r="A462" s="14" t="b">
        <v>1</v>
      </c>
      <c r="B462" s="8"/>
      <c r="C462" s="16">
        <v>16.600000000000001</v>
      </c>
      <c r="D462" s="21"/>
      <c r="E462" s="30" t="s">
        <v>248</v>
      </c>
      <c r="F462" s="21"/>
      <c r="G462" s="278"/>
      <c r="H462" s="278"/>
      <c r="I462" s="278"/>
      <c r="J462" s="278"/>
      <c r="K462" s="278"/>
      <c r="L462" s="8"/>
      <c r="M462" s="137"/>
      <c r="N462" s="8"/>
      <c r="O462" s="137"/>
      <c r="P462" s="8"/>
      <c r="Q462" s="14"/>
      <c r="R462" s="14"/>
      <c r="T462" s="7"/>
      <c r="U462" s="7"/>
    </row>
    <row r="463" spans="1:21" s="6" customFormat="1" ht="6" customHeight="1">
      <c r="A463" s="14" t="b">
        <v>1</v>
      </c>
      <c r="B463" s="8"/>
      <c r="C463" s="89"/>
      <c r="D463" s="18"/>
      <c r="E463" s="21"/>
      <c r="F463" s="18"/>
      <c r="G463" s="22"/>
      <c r="H463" s="18"/>
      <c r="I463" s="18"/>
      <c r="J463" s="18"/>
      <c r="K463" s="8"/>
      <c r="L463" s="8"/>
      <c r="M463" s="47"/>
      <c r="N463" s="8"/>
      <c r="O463" s="8"/>
      <c r="P463" s="8"/>
      <c r="Q463" s="14"/>
      <c r="R463" s="14"/>
      <c r="T463" s="7"/>
      <c r="U463" s="7"/>
    </row>
    <row r="464" spans="1:21" s="6" customFormat="1" ht="60" customHeight="1">
      <c r="A464" s="14" t="b">
        <v>1</v>
      </c>
      <c r="B464" s="8"/>
      <c r="C464" s="16">
        <v>16.7</v>
      </c>
      <c r="D464" s="18"/>
      <c r="E464" s="30" t="s">
        <v>249</v>
      </c>
      <c r="F464" s="18"/>
      <c r="G464" s="281"/>
      <c r="H464" s="281"/>
      <c r="I464" s="281"/>
      <c r="J464" s="281"/>
      <c r="K464" s="281"/>
      <c r="L464" s="8"/>
      <c r="M464" s="137"/>
      <c r="N464" s="8"/>
      <c r="O464" s="137"/>
      <c r="P464" s="8"/>
      <c r="Q464" s="14"/>
      <c r="R464" s="14"/>
      <c r="T464" s="7"/>
      <c r="U464" s="7"/>
    </row>
    <row r="465" spans="1:21" s="6" customFormat="1" ht="15" customHeight="1" thickBot="1">
      <c r="A465" s="14" t="b">
        <v>1</v>
      </c>
      <c r="B465" s="8"/>
      <c r="C465" s="41"/>
      <c r="D465" s="70"/>
      <c r="E465" s="70"/>
      <c r="F465" s="70"/>
      <c r="G465" s="70"/>
      <c r="H465" s="70"/>
      <c r="I465" s="70"/>
      <c r="J465" s="70"/>
      <c r="K465" s="8"/>
      <c r="L465" s="8"/>
      <c r="M465" s="47"/>
      <c r="N465" s="8"/>
      <c r="O465" s="8"/>
      <c r="P465" s="8"/>
      <c r="Q465" s="14"/>
      <c r="R465" s="14"/>
      <c r="T465" s="7"/>
      <c r="U465" s="7"/>
    </row>
    <row r="466" spans="1:21" s="6" customFormat="1" ht="15" customHeight="1" collapsed="1">
      <c r="A466" s="14" t="b">
        <v>1</v>
      </c>
      <c r="B466" s="8"/>
      <c r="C466" s="42"/>
      <c r="D466" s="73"/>
      <c r="E466" s="73"/>
      <c r="F466" s="73"/>
      <c r="G466" s="73"/>
      <c r="H466" s="73"/>
      <c r="I466" s="73"/>
      <c r="J466" s="73"/>
      <c r="K466" s="46"/>
      <c r="L466" s="46"/>
      <c r="M466" s="61"/>
      <c r="N466" s="46"/>
      <c r="O466" s="46"/>
      <c r="P466" s="8"/>
      <c r="Q466" s="14"/>
      <c r="R466" s="14"/>
      <c r="T466" s="7"/>
      <c r="U466" s="7"/>
    </row>
    <row r="467" spans="1:21" s="6" customFormat="1" ht="15" customHeight="1">
      <c r="A467" s="14" t="b">
        <v>1</v>
      </c>
      <c r="B467" s="8"/>
      <c r="C467" s="15" t="s">
        <v>250</v>
      </c>
      <c r="D467" s="16"/>
      <c r="E467" s="17" t="s">
        <v>251</v>
      </c>
      <c r="F467" s="62"/>
      <c r="G467" s="17" t="str">
        <f>G$7</f>
        <v>Answer</v>
      </c>
      <c r="H467" s="18"/>
      <c r="I467" s="17" t="s">
        <v>7</v>
      </c>
      <c r="J467" s="18"/>
      <c r="K467" s="17" t="str">
        <f>K$7</f>
        <v>General Comments</v>
      </c>
      <c r="L467" s="8"/>
      <c r="M467" s="273" t="s">
        <v>290</v>
      </c>
      <c r="N467" s="8"/>
      <c r="O467" s="274" t="s">
        <v>291</v>
      </c>
      <c r="P467" s="8"/>
      <c r="Q467" s="14"/>
      <c r="R467" s="14"/>
      <c r="T467" s="7"/>
      <c r="U467" s="7"/>
    </row>
    <row r="468" spans="1:21" s="6" customFormat="1" ht="15" customHeight="1">
      <c r="A468" s="14" t="b">
        <v>1</v>
      </c>
      <c r="B468" s="8"/>
      <c r="C468" s="19"/>
      <c r="D468" s="16"/>
      <c r="E468" s="17"/>
      <c r="F468" s="18"/>
      <c r="G468" s="17"/>
      <c r="H468" s="18"/>
      <c r="I468" s="17"/>
      <c r="J468" s="18"/>
      <c r="K468" s="17"/>
      <c r="L468" s="8"/>
      <c r="M468" s="273"/>
      <c r="N468" s="8"/>
      <c r="O468" s="274"/>
      <c r="P468" s="8"/>
      <c r="Q468" s="14"/>
      <c r="R468" s="14"/>
      <c r="T468" s="7"/>
      <c r="U468" s="7"/>
    </row>
    <row r="469" spans="1:21" s="6" customFormat="1" ht="6" customHeight="1">
      <c r="A469" s="14" t="b">
        <v>1</v>
      </c>
      <c r="B469" s="8"/>
      <c r="C469" s="20"/>
      <c r="D469" s="92"/>
      <c r="E469" s="93"/>
      <c r="F469" s="92"/>
      <c r="G469" s="92"/>
      <c r="H469" s="94"/>
      <c r="I469" s="94"/>
      <c r="J469" s="94"/>
      <c r="K469" s="8"/>
      <c r="L469" s="8"/>
      <c r="M469" s="47"/>
      <c r="N469" s="8"/>
      <c r="O469" s="8"/>
      <c r="P469" s="8"/>
      <c r="Q469" s="14"/>
      <c r="R469" s="14"/>
      <c r="T469" s="7"/>
      <c r="U469" s="7"/>
    </row>
    <row r="470" spans="1:21" s="6" customFormat="1" ht="18" customHeight="1" collapsed="1">
      <c r="A470" s="14" t="b">
        <v>1</v>
      </c>
      <c r="B470" s="8"/>
      <c r="C470" s="23"/>
      <c r="D470" s="23"/>
      <c r="E470" s="24"/>
      <c r="F470" s="23"/>
      <c r="G470" s="23"/>
      <c r="H470" s="23"/>
      <c r="I470" s="23"/>
      <c r="J470" s="23"/>
      <c r="K470" s="23"/>
      <c r="L470" s="23"/>
      <c r="M470" s="48"/>
      <c r="N470" s="23"/>
      <c r="O470" s="23"/>
      <c r="P470" s="8"/>
      <c r="Q470" s="14"/>
      <c r="R470" s="14"/>
      <c r="T470" s="7"/>
      <c r="U470" s="7"/>
    </row>
    <row r="471" spans="1:21" s="6" customFormat="1" ht="15" hidden="1" customHeight="1">
      <c r="A471" s="14" t="b">
        <v>0</v>
      </c>
      <c r="B471" s="8"/>
      <c r="C471" s="23"/>
      <c r="D471" s="18"/>
      <c r="E471" s="27" t="s">
        <v>25</v>
      </c>
      <c r="F471" s="18"/>
      <c r="G471" s="22"/>
      <c r="H471" s="18"/>
      <c r="I471" s="18"/>
      <c r="J471" s="18"/>
      <c r="K471" s="8"/>
      <c r="L471" s="8"/>
      <c r="M471" s="47"/>
      <c r="N471" s="8"/>
      <c r="O471" s="8"/>
      <c r="P471" s="8"/>
      <c r="Q471" s="14"/>
      <c r="R471" s="14"/>
      <c r="T471" s="7"/>
      <c r="U471" s="7"/>
    </row>
    <row r="472" spans="1:21" s="6" customFormat="1" ht="15" hidden="1" customHeight="1">
      <c r="A472" s="14" t="b">
        <f>$A$471</f>
        <v>0</v>
      </c>
      <c r="B472" s="8"/>
      <c r="C472" s="23"/>
      <c r="D472" s="18"/>
      <c r="E472" s="27" t="s">
        <v>252</v>
      </c>
      <c r="F472" s="18"/>
      <c r="G472" s="22"/>
      <c r="H472" s="18"/>
      <c r="I472" s="18"/>
      <c r="J472" s="18"/>
      <c r="K472" s="8"/>
      <c r="L472" s="8"/>
      <c r="M472" s="47"/>
      <c r="N472" s="8"/>
      <c r="O472" s="8"/>
      <c r="P472" s="8"/>
      <c r="Q472" s="14"/>
      <c r="R472" s="14"/>
      <c r="T472" s="7"/>
      <c r="U472" s="7"/>
    </row>
    <row r="473" spans="1:21" s="6" customFormat="1" ht="15" customHeight="1" collapsed="1">
      <c r="A473" s="14" t="b">
        <v>1</v>
      </c>
      <c r="B473" s="8"/>
      <c r="C473" s="16"/>
      <c r="D473" s="18"/>
      <c r="E473" s="21"/>
      <c r="F473" s="18"/>
      <c r="G473" s="22"/>
      <c r="H473" s="18"/>
      <c r="I473" s="18"/>
      <c r="J473" s="18"/>
      <c r="K473" s="8"/>
      <c r="L473" s="8"/>
      <c r="M473" s="47"/>
      <c r="N473" s="8"/>
      <c r="O473" s="8"/>
      <c r="P473" s="8"/>
      <c r="Q473" s="14"/>
      <c r="R473" s="14"/>
      <c r="T473" s="7"/>
      <c r="U473" s="7"/>
    </row>
    <row r="474" spans="1:21" s="6" customFormat="1" ht="60" customHeight="1">
      <c r="A474" s="14" t="b">
        <v>1</v>
      </c>
      <c r="B474" s="8"/>
      <c r="C474" s="19">
        <v>17.100000000000001</v>
      </c>
      <c r="D474" s="92"/>
      <c r="E474" s="30" t="s">
        <v>253</v>
      </c>
      <c r="F474" s="92"/>
      <c r="G474" s="52"/>
      <c r="H474" s="94"/>
      <c r="I474" s="32"/>
      <c r="J474" s="94"/>
      <c r="K474" s="32"/>
      <c r="L474" s="8"/>
      <c r="M474" s="51"/>
      <c r="N474" s="8"/>
      <c r="O474" s="32"/>
      <c r="P474" s="8"/>
      <c r="Q474" s="14"/>
      <c r="R474" s="14"/>
      <c r="T474" s="7"/>
      <c r="U474" s="7"/>
    </row>
    <row r="475" spans="1:21" s="6" customFormat="1" ht="6" customHeight="1">
      <c r="A475" s="14" t="b">
        <v>1</v>
      </c>
      <c r="B475" s="8"/>
      <c r="C475" s="16"/>
      <c r="D475" s="92"/>
      <c r="E475" s="93"/>
      <c r="F475" s="92"/>
      <c r="G475" s="92"/>
      <c r="H475" s="94"/>
      <c r="I475" s="8"/>
      <c r="J475" s="94"/>
      <c r="K475" s="8"/>
      <c r="L475" s="8"/>
      <c r="M475" s="47"/>
      <c r="N475" s="8"/>
      <c r="O475" s="8"/>
      <c r="P475" s="8"/>
      <c r="Q475" s="14"/>
      <c r="R475" s="14"/>
      <c r="T475" s="7"/>
      <c r="U475" s="7"/>
    </row>
    <row r="476" spans="1:21" s="6" customFormat="1" ht="60" customHeight="1">
      <c r="A476" s="14" t="b">
        <v>1</v>
      </c>
      <c r="B476" s="8"/>
      <c r="C476" s="19">
        <v>17.2</v>
      </c>
      <c r="D476" s="92"/>
      <c r="E476" s="30" t="s">
        <v>254</v>
      </c>
      <c r="F476" s="92"/>
      <c r="G476" s="52"/>
      <c r="H476" s="94"/>
      <c r="I476" s="32"/>
      <c r="J476" s="94"/>
      <c r="K476" s="32"/>
      <c r="L476" s="8"/>
      <c r="M476" s="51"/>
      <c r="N476" s="8"/>
      <c r="O476" s="32"/>
      <c r="P476" s="8"/>
      <c r="Q476" s="14" t="b">
        <v>0</v>
      </c>
      <c r="R476" s="14"/>
      <c r="T476" s="7"/>
      <c r="U476" s="7"/>
    </row>
    <row r="477" spans="1:21" s="6" customFormat="1" ht="6" customHeight="1">
      <c r="A477" s="14" t="b">
        <f>NOT(Q476)</f>
        <v>1</v>
      </c>
      <c r="B477" s="8"/>
      <c r="C477" s="16"/>
      <c r="D477" s="92"/>
      <c r="E477" s="93"/>
      <c r="F477" s="92"/>
      <c r="G477" s="92"/>
      <c r="H477" s="94"/>
      <c r="I477" s="8"/>
      <c r="J477" s="94"/>
      <c r="K477" s="8"/>
      <c r="L477" s="8"/>
      <c r="M477" s="47"/>
      <c r="N477" s="8"/>
      <c r="O477" s="8"/>
      <c r="P477" s="8"/>
      <c r="Q477" s="14"/>
      <c r="R477" s="14"/>
      <c r="T477" s="7"/>
      <c r="U477" s="7"/>
    </row>
    <row r="478" spans="1:21" s="6" customFormat="1" ht="60" customHeight="1">
      <c r="A478" s="14" t="b">
        <f>A477</f>
        <v>1</v>
      </c>
      <c r="B478" s="8"/>
      <c r="C478" s="19" t="s">
        <v>255</v>
      </c>
      <c r="D478" s="92"/>
      <c r="E478" s="37" t="s">
        <v>256</v>
      </c>
      <c r="F478" s="92"/>
      <c r="G478" s="50"/>
      <c r="H478" s="94"/>
      <c r="I478" s="32"/>
      <c r="J478" s="94"/>
      <c r="K478" s="32"/>
      <c r="L478" s="8"/>
      <c r="M478" s="51"/>
      <c r="N478" s="8"/>
      <c r="O478" s="32"/>
      <c r="P478" s="8"/>
      <c r="Q478" s="14"/>
      <c r="R478" s="14"/>
      <c r="T478" s="7"/>
      <c r="U478" s="7"/>
    </row>
    <row r="479" spans="1:21" s="6" customFormat="1" ht="6" hidden="1" customHeight="1">
      <c r="A479" s="14" t="b">
        <v>0</v>
      </c>
      <c r="B479" s="8"/>
      <c r="C479" s="16"/>
      <c r="D479" s="92"/>
      <c r="E479" s="93"/>
      <c r="F479" s="92"/>
      <c r="G479" s="92"/>
      <c r="H479" s="94"/>
      <c r="I479" s="8"/>
      <c r="J479" s="94"/>
      <c r="K479" s="8"/>
      <c r="L479" s="8"/>
      <c r="M479" s="47"/>
      <c r="N479" s="8"/>
      <c r="O479" s="8"/>
      <c r="P479" s="8"/>
      <c r="Q479" s="14"/>
      <c r="R479" s="14"/>
      <c r="T479" s="7"/>
      <c r="U479" s="7"/>
    </row>
    <row r="480" spans="1:21" s="6" customFormat="1" ht="60" hidden="1" customHeight="1">
      <c r="A480" s="14" t="b">
        <f>A479</f>
        <v>0</v>
      </c>
      <c r="B480" s="8"/>
      <c r="C480" s="19" t="s">
        <v>257</v>
      </c>
      <c r="D480" s="95"/>
      <c r="E480" s="74" t="s">
        <v>258</v>
      </c>
      <c r="F480" s="92"/>
      <c r="G480" s="50"/>
      <c r="H480" s="94"/>
      <c r="I480" s="32"/>
      <c r="J480" s="94"/>
      <c r="K480" s="32"/>
      <c r="L480" s="8"/>
      <c r="M480" s="51"/>
      <c r="N480" s="8"/>
      <c r="O480" s="32"/>
      <c r="P480" s="8"/>
      <c r="Q480" s="14"/>
      <c r="R480" s="14"/>
      <c r="T480" s="7"/>
      <c r="U480" s="7"/>
    </row>
    <row r="481" spans="1:21" s="6" customFormat="1" ht="6" customHeight="1">
      <c r="A481" s="14" t="b">
        <v>1</v>
      </c>
      <c r="B481" s="8"/>
      <c r="C481" s="16"/>
      <c r="D481" s="92"/>
      <c r="E481" s="96"/>
      <c r="F481" s="92"/>
      <c r="G481" s="92"/>
      <c r="H481" s="94"/>
      <c r="I481" s="8"/>
      <c r="J481" s="94"/>
      <c r="K481" s="8"/>
      <c r="L481" s="8"/>
      <c r="M481" s="47"/>
      <c r="N481" s="8"/>
      <c r="O481" s="8"/>
      <c r="P481" s="8"/>
      <c r="Q481" s="14"/>
      <c r="R481" s="14"/>
      <c r="T481" s="7"/>
      <c r="U481" s="7"/>
    </row>
    <row r="482" spans="1:21" s="6" customFormat="1" ht="60" customHeight="1">
      <c r="A482" s="14" t="b">
        <v>1</v>
      </c>
      <c r="B482" s="8"/>
      <c r="C482" s="19">
        <v>17.3</v>
      </c>
      <c r="D482" s="92"/>
      <c r="E482" s="30" t="s">
        <v>259</v>
      </c>
      <c r="F482" s="92"/>
      <c r="G482" s="32"/>
      <c r="H482" s="94"/>
      <c r="I482" s="32"/>
      <c r="J482" s="94"/>
      <c r="K482" s="32"/>
      <c r="L482" s="8"/>
      <c r="M482" s="51"/>
      <c r="N482" s="8"/>
      <c r="O482" s="32"/>
      <c r="P482" s="8"/>
      <c r="Q482" s="14"/>
      <c r="R482" s="14"/>
      <c r="T482" s="7"/>
      <c r="U482" s="7"/>
    </row>
    <row r="483" spans="1:21" s="6" customFormat="1" ht="6" customHeight="1">
      <c r="A483" s="14" t="b">
        <v>1</v>
      </c>
      <c r="B483" s="8"/>
      <c r="C483" s="16"/>
      <c r="D483" s="92"/>
      <c r="E483" s="96"/>
      <c r="F483" s="92"/>
      <c r="G483" s="92"/>
      <c r="H483" s="94"/>
      <c r="I483" s="8"/>
      <c r="J483" s="94"/>
      <c r="K483" s="8"/>
      <c r="L483" s="8"/>
      <c r="M483" s="47"/>
      <c r="N483" s="8"/>
      <c r="O483" s="8"/>
      <c r="P483" s="8"/>
      <c r="Q483" s="14"/>
      <c r="R483" s="14"/>
      <c r="T483" s="7"/>
      <c r="U483" s="7"/>
    </row>
    <row r="484" spans="1:21" s="6" customFormat="1" ht="60" customHeight="1">
      <c r="A484" s="14" t="b">
        <v>1</v>
      </c>
      <c r="B484" s="8"/>
      <c r="C484" s="19">
        <v>17.399999999999999</v>
      </c>
      <c r="D484" s="92"/>
      <c r="E484" s="30" t="s">
        <v>260</v>
      </c>
      <c r="F484" s="92"/>
      <c r="G484" s="83"/>
      <c r="H484" s="94"/>
      <c r="I484" s="32"/>
      <c r="J484" s="94"/>
      <c r="K484" s="32"/>
      <c r="L484" s="8"/>
      <c r="M484" s="51"/>
      <c r="N484" s="8"/>
      <c r="O484" s="32"/>
      <c r="P484" s="8"/>
      <c r="Q484" s="14"/>
      <c r="R484" s="14"/>
      <c r="T484" s="7"/>
      <c r="U484" s="7"/>
    </row>
    <row r="485" spans="1:21" s="6" customFormat="1" ht="6" hidden="1" customHeight="1">
      <c r="A485" s="76" t="b">
        <v>0</v>
      </c>
      <c r="B485" s="8"/>
      <c r="C485" s="16"/>
      <c r="D485" s="92"/>
      <c r="E485" s="96"/>
      <c r="F485" s="92"/>
      <c r="G485" s="92"/>
      <c r="H485" s="94"/>
      <c r="I485" s="8"/>
      <c r="J485" s="94"/>
      <c r="K485" s="8"/>
      <c r="L485" s="8"/>
      <c r="M485" s="47"/>
      <c r="N485" s="8"/>
      <c r="O485" s="8"/>
      <c r="P485" s="8"/>
      <c r="Q485" s="14"/>
      <c r="R485" s="14"/>
      <c r="T485" s="7"/>
      <c r="U485" s="7"/>
    </row>
    <row r="486" spans="1:21" s="6" customFormat="1" ht="60" hidden="1" customHeight="1">
      <c r="A486" s="76" t="b">
        <f>A485</f>
        <v>0</v>
      </c>
      <c r="B486" s="8"/>
      <c r="C486" s="19">
        <v>17.5</v>
      </c>
      <c r="D486" s="95"/>
      <c r="E486" s="99" t="s">
        <v>261</v>
      </c>
      <c r="F486" s="92"/>
      <c r="G486" s="38"/>
      <c r="H486" s="94"/>
      <c r="I486" s="32"/>
      <c r="J486" s="94"/>
      <c r="K486" s="32"/>
      <c r="L486" s="8"/>
      <c r="M486" s="51"/>
      <c r="N486" s="8"/>
      <c r="O486" s="32"/>
      <c r="P486" s="8"/>
      <c r="Q486" s="14" t="b">
        <f>IF(G486="Yes (comment)",TRUE,FALSE)</f>
        <v>0</v>
      </c>
      <c r="R486" s="14"/>
      <c r="T486" s="7"/>
      <c r="U486" s="7"/>
    </row>
    <row r="487" spans="1:21" s="6" customFormat="1" ht="6" hidden="1" customHeight="1">
      <c r="A487" s="14" t="b">
        <v>0</v>
      </c>
      <c r="B487" s="8"/>
      <c r="C487" s="132"/>
      <c r="D487" s="95"/>
      <c r="E487" s="133"/>
      <c r="F487" s="92"/>
      <c r="G487" s="92"/>
      <c r="H487" s="94"/>
      <c r="I487" s="8"/>
      <c r="J487" s="94"/>
      <c r="K487" s="8"/>
      <c r="L487" s="8"/>
      <c r="M487" s="47"/>
      <c r="N487" s="8"/>
      <c r="O487" s="8"/>
      <c r="P487" s="8"/>
      <c r="Q487" s="14"/>
      <c r="R487" s="14"/>
      <c r="T487" s="7"/>
      <c r="U487" s="7"/>
    </row>
    <row r="488" spans="1:21" s="6" customFormat="1" ht="60" hidden="1" customHeight="1">
      <c r="A488" s="14" t="b">
        <f>A487</f>
        <v>0</v>
      </c>
      <c r="B488" s="8"/>
      <c r="C488" s="19" t="s">
        <v>262</v>
      </c>
      <c r="D488" s="95"/>
      <c r="E488" s="37" t="s">
        <v>362</v>
      </c>
      <c r="F488" s="92"/>
      <c r="G488" s="83"/>
      <c r="H488" s="94"/>
      <c r="I488" s="32"/>
      <c r="J488" s="94"/>
      <c r="K488" s="32"/>
      <c r="L488" s="8"/>
      <c r="M488" s="51"/>
      <c r="N488" s="8"/>
      <c r="O488" s="32"/>
      <c r="P488" s="8"/>
      <c r="Q488" s="14"/>
      <c r="R488" s="14"/>
      <c r="T488" s="7"/>
      <c r="U488" s="7"/>
    </row>
    <row r="489" spans="1:21" s="6" customFormat="1" ht="6" customHeight="1">
      <c r="A489" s="14" t="b">
        <v>1</v>
      </c>
      <c r="B489" s="8"/>
      <c r="C489" s="16"/>
      <c r="D489" s="18"/>
      <c r="E489" s="21"/>
      <c r="F489" s="18"/>
      <c r="G489" s="22"/>
      <c r="H489" s="18"/>
      <c r="I489" s="18"/>
      <c r="J489" s="18"/>
      <c r="K489" s="8"/>
      <c r="L489" s="8"/>
      <c r="M489" s="47"/>
      <c r="N489" s="8"/>
      <c r="O489" s="8"/>
      <c r="P489" s="8"/>
      <c r="Q489" s="14"/>
      <c r="R489" s="14"/>
      <c r="T489" s="7"/>
      <c r="U489" s="7"/>
    </row>
    <row r="490" spans="1:21" s="6" customFormat="1" ht="60" customHeight="1">
      <c r="A490" s="14" t="b">
        <v>1</v>
      </c>
      <c r="B490" s="8"/>
      <c r="C490" s="16">
        <v>17.600000000000001</v>
      </c>
      <c r="D490" s="18"/>
      <c r="E490" s="30" t="s">
        <v>263</v>
      </c>
      <c r="F490" s="18"/>
      <c r="G490" s="278"/>
      <c r="H490" s="278"/>
      <c r="I490" s="278"/>
      <c r="J490" s="278"/>
      <c r="K490" s="278"/>
      <c r="L490" s="8"/>
      <c r="M490" s="137"/>
      <c r="N490" s="8"/>
      <c r="O490" s="137"/>
      <c r="P490" s="8"/>
      <c r="Q490" s="14"/>
      <c r="R490" s="14"/>
      <c r="T490" s="7"/>
      <c r="U490" s="7"/>
    </row>
    <row r="491" spans="1:21" s="6" customFormat="1" ht="15" customHeight="1" thickBot="1">
      <c r="A491" s="14" t="b">
        <v>1</v>
      </c>
      <c r="B491" s="8"/>
      <c r="C491" s="41"/>
      <c r="D491" s="70"/>
      <c r="E491" s="70"/>
      <c r="F491" s="70"/>
      <c r="G491" s="70"/>
      <c r="H491" s="70"/>
      <c r="I491" s="70"/>
      <c r="J491" s="70"/>
      <c r="K491" s="8"/>
      <c r="L491" s="8"/>
      <c r="M491" s="47"/>
      <c r="N491" s="8"/>
      <c r="O491" s="8"/>
      <c r="P491" s="8"/>
      <c r="Q491" s="14"/>
      <c r="R491" s="14"/>
      <c r="T491" s="7"/>
      <c r="U491" s="7"/>
    </row>
    <row r="492" spans="1:21" s="6" customFormat="1" ht="15" customHeight="1" collapsed="1">
      <c r="A492" s="14" t="b">
        <v>1</v>
      </c>
      <c r="B492" s="8"/>
      <c r="C492" s="42"/>
      <c r="D492" s="73"/>
      <c r="E492" s="73"/>
      <c r="F492" s="73"/>
      <c r="G492" s="73"/>
      <c r="H492" s="73"/>
      <c r="I492" s="73"/>
      <c r="J492" s="73"/>
      <c r="K492" s="46"/>
      <c r="L492" s="46"/>
      <c r="M492" s="61"/>
      <c r="N492" s="46"/>
      <c r="O492" s="46"/>
      <c r="P492" s="8"/>
      <c r="Q492" s="14"/>
      <c r="R492" s="14"/>
      <c r="T492" s="7"/>
      <c r="U492" s="7"/>
    </row>
    <row r="493" spans="1:21" s="6" customFormat="1" ht="15" customHeight="1">
      <c r="A493" s="14" t="b">
        <v>1</v>
      </c>
      <c r="B493" s="8"/>
      <c r="C493" s="15" t="s">
        <v>264</v>
      </c>
      <c r="D493" s="16"/>
      <c r="E493" s="17" t="s">
        <v>265</v>
      </c>
      <c r="F493" s="62"/>
      <c r="G493" s="17" t="str">
        <f>G$7</f>
        <v>Answer</v>
      </c>
      <c r="H493" s="18"/>
      <c r="I493" s="17" t="s">
        <v>7</v>
      </c>
      <c r="J493" s="18"/>
      <c r="K493" s="17" t="str">
        <f>K$7</f>
        <v>General Comments</v>
      </c>
      <c r="L493" s="8"/>
      <c r="M493" s="273" t="s">
        <v>290</v>
      </c>
      <c r="N493" s="8"/>
      <c r="O493" s="274" t="s">
        <v>291</v>
      </c>
      <c r="P493" s="8"/>
      <c r="Q493" s="14"/>
      <c r="R493" s="14"/>
      <c r="T493" s="7"/>
      <c r="U493" s="7"/>
    </row>
    <row r="494" spans="1:21" s="6" customFormat="1" ht="15" customHeight="1">
      <c r="A494" s="14" t="b">
        <v>1</v>
      </c>
      <c r="B494" s="8"/>
      <c r="C494" s="19"/>
      <c r="D494" s="16"/>
      <c r="E494" s="17"/>
      <c r="F494" s="18"/>
      <c r="G494" s="17"/>
      <c r="H494" s="18"/>
      <c r="I494" s="17"/>
      <c r="J494" s="18"/>
      <c r="K494" s="17"/>
      <c r="L494" s="8"/>
      <c r="M494" s="273"/>
      <c r="N494" s="8"/>
      <c r="O494" s="274"/>
      <c r="P494" s="8"/>
      <c r="Q494" s="14"/>
      <c r="R494" s="14"/>
      <c r="T494" s="7"/>
      <c r="U494" s="7"/>
    </row>
    <row r="495" spans="1:21" s="6" customFormat="1" ht="6" customHeight="1">
      <c r="A495" s="14" t="b">
        <v>1</v>
      </c>
      <c r="B495" s="8"/>
      <c r="C495" s="20"/>
      <c r="D495" s="92"/>
      <c r="E495" s="93"/>
      <c r="F495" s="92"/>
      <c r="G495" s="92"/>
      <c r="H495" s="94"/>
      <c r="I495" s="94"/>
      <c r="J495" s="94"/>
      <c r="K495" s="8"/>
      <c r="L495" s="8"/>
      <c r="M495" s="8"/>
      <c r="N495" s="8"/>
      <c r="O495" s="8"/>
      <c r="P495" s="8"/>
      <c r="Q495" s="14"/>
      <c r="R495" s="14"/>
      <c r="T495" s="7"/>
      <c r="U495" s="7"/>
    </row>
    <row r="496" spans="1:21" s="6" customFormat="1" ht="18" customHeight="1" collapsed="1">
      <c r="A496" s="14" t="b">
        <v>1</v>
      </c>
      <c r="B496" s="8"/>
      <c r="C496" s="23"/>
      <c r="D496" s="23"/>
      <c r="E496" s="24"/>
      <c r="F496" s="23"/>
      <c r="G496" s="23"/>
      <c r="H496" s="23"/>
      <c r="I496" s="23"/>
      <c r="J496" s="23"/>
      <c r="K496" s="23"/>
      <c r="L496" s="23"/>
      <c r="M496" s="23"/>
      <c r="N496" s="23"/>
      <c r="O496" s="23"/>
      <c r="P496" s="8"/>
      <c r="Q496" s="14"/>
      <c r="R496" s="14"/>
      <c r="T496" s="7"/>
      <c r="U496" s="7"/>
    </row>
    <row r="497" spans="1:21" s="6" customFormat="1" ht="15" hidden="1" customHeight="1">
      <c r="A497" s="14" t="b">
        <v>0</v>
      </c>
      <c r="B497" s="8"/>
      <c r="C497" s="23"/>
      <c r="D497" s="18"/>
      <c r="E497" s="27" t="s">
        <v>266</v>
      </c>
      <c r="F497" s="18"/>
      <c r="G497" s="22"/>
      <c r="H497" s="18"/>
      <c r="I497" s="18"/>
      <c r="J497" s="18"/>
      <c r="K497" s="8"/>
      <c r="L497" s="8"/>
      <c r="M497" s="8"/>
      <c r="N497" s="8"/>
      <c r="O497" s="8"/>
      <c r="P497" s="8"/>
      <c r="Q497" s="14"/>
      <c r="R497" s="14"/>
      <c r="T497" s="7"/>
      <c r="U497" s="7"/>
    </row>
    <row r="498" spans="1:21" s="6" customFormat="1" ht="15" hidden="1" customHeight="1">
      <c r="A498" s="14" t="b">
        <f>$A$497</f>
        <v>0</v>
      </c>
      <c r="B498" s="8"/>
      <c r="C498" s="23"/>
      <c r="D498" s="18"/>
      <c r="E498" s="27" t="s">
        <v>267</v>
      </c>
      <c r="F498" s="18"/>
      <c r="G498" s="22"/>
      <c r="H498" s="18"/>
      <c r="I498" s="18"/>
      <c r="J498" s="18"/>
      <c r="K498" s="8"/>
      <c r="L498" s="8"/>
      <c r="M498" s="8"/>
      <c r="N498" s="8"/>
      <c r="O498" s="8"/>
      <c r="P498" s="8"/>
      <c r="Q498" s="14"/>
      <c r="R498" s="14"/>
      <c r="T498" s="7"/>
      <c r="U498" s="7"/>
    </row>
    <row r="499" spans="1:21" s="6" customFormat="1" ht="15" hidden="1" customHeight="1">
      <c r="A499" s="14" t="b">
        <f>$A$497</f>
        <v>0</v>
      </c>
      <c r="B499" s="8"/>
      <c r="C499" s="23"/>
      <c r="D499" s="18"/>
      <c r="E499" s="27" t="s">
        <v>20</v>
      </c>
      <c r="F499" s="18"/>
      <c r="G499" s="22"/>
      <c r="H499" s="18"/>
      <c r="I499" s="18"/>
      <c r="J499" s="18"/>
      <c r="K499" s="8"/>
      <c r="L499" s="8"/>
      <c r="M499" s="8"/>
      <c r="N499" s="8"/>
      <c r="O499" s="8"/>
      <c r="P499" s="8"/>
      <c r="Q499" s="14"/>
      <c r="R499" s="14"/>
      <c r="T499" s="7"/>
      <c r="U499" s="7"/>
    </row>
    <row r="500" spans="1:21" s="6" customFormat="1" ht="15" hidden="1" customHeight="1">
      <c r="A500" s="14" t="b">
        <f>$A$497</f>
        <v>0</v>
      </c>
      <c r="B500" s="8"/>
      <c r="C500" s="23"/>
      <c r="D500" s="18"/>
      <c r="E500" s="27" t="s">
        <v>238</v>
      </c>
      <c r="F500" s="18"/>
      <c r="G500" s="22"/>
      <c r="H500" s="18"/>
      <c r="I500" s="18"/>
      <c r="J500" s="18"/>
      <c r="K500" s="8"/>
      <c r="L500" s="8"/>
      <c r="M500" s="8"/>
      <c r="N500" s="8"/>
      <c r="O500" s="8"/>
      <c r="P500" s="8"/>
      <c r="Q500" s="14"/>
      <c r="R500" s="14"/>
      <c r="T500" s="7"/>
      <c r="U500" s="7"/>
    </row>
    <row r="501" spans="1:21" s="6" customFormat="1" ht="15" hidden="1" customHeight="1">
      <c r="A501" s="14" t="b">
        <f>$A$497</f>
        <v>0</v>
      </c>
      <c r="B501" s="8"/>
      <c r="C501" s="23"/>
      <c r="D501" s="18"/>
      <c r="E501" s="27" t="s">
        <v>268</v>
      </c>
      <c r="F501" s="18"/>
      <c r="G501" s="22"/>
      <c r="H501" s="18"/>
      <c r="I501" s="18"/>
      <c r="J501" s="18"/>
      <c r="K501" s="8"/>
      <c r="L501" s="8"/>
      <c r="M501" s="8"/>
      <c r="N501" s="8"/>
      <c r="O501" s="8"/>
      <c r="P501" s="8"/>
      <c r="Q501" s="14"/>
      <c r="R501" s="14"/>
      <c r="T501" s="7"/>
      <c r="U501" s="7"/>
    </row>
    <row r="502" spans="1:21" s="6" customFormat="1" ht="15" hidden="1" customHeight="1">
      <c r="A502" s="14" t="b">
        <f>$A$497</f>
        <v>0</v>
      </c>
      <c r="B502" s="8"/>
      <c r="C502" s="23"/>
      <c r="D502" s="18"/>
      <c r="E502" s="27" t="s">
        <v>171</v>
      </c>
      <c r="F502" s="18"/>
      <c r="G502" s="22"/>
      <c r="H502" s="18"/>
      <c r="I502" s="18"/>
      <c r="J502" s="18"/>
      <c r="K502" s="8"/>
      <c r="L502" s="8"/>
      <c r="M502" s="8"/>
      <c r="N502" s="8"/>
      <c r="O502" s="8"/>
      <c r="P502" s="8"/>
      <c r="Q502" s="14"/>
      <c r="R502" s="14"/>
      <c r="T502" s="7"/>
      <c r="U502" s="7"/>
    </row>
    <row r="503" spans="1:21" s="6" customFormat="1" ht="15" customHeight="1" collapsed="1">
      <c r="A503" s="14" t="b">
        <v>1</v>
      </c>
      <c r="B503" s="8"/>
      <c r="C503" s="16"/>
      <c r="D503" s="18"/>
      <c r="E503" s="21"/>
      <c r="F503" s="18"/>
      <c r="G503" s="22"/>
      <c r="H503" s="18"/>
      <c r="I503" s="18"/>
      <c r="J503" s="18"/>
      <c r="K503" s="8"/>
      <c r="L503" s="8"/>
      <c r="M503" s="8"/>
      <c r="N503" s="8"/>
      <c r="O503" s="8"/>
      <c r="P503" s="8"/>
      <c r="Q503" s="14"/>
      <c r="R503" s="14"/>
      <c r="T503" s="7"/>
      <c r="U503" s="7"/>
    </row>
    <row r="504" spans="1:21" s="6" customFormat="1" ht="6" customHeight="1">
      <c r="A504" s="14" t="b">
        <v>1</v>
      </c>
      <c r="B504" s="8"/>
      <c r="C504" s="16"/>
      <c r="D504" s="92"/>
      <c r="E504" s="93"/>
      <c r="F504" s="92"/>
      <c r="G504" s="92"/>
      <c r="H504" s="94"/>
      <c r="I504" s="8"/>
      <c r="J504" s="94"/>
      <c r="K504" s="8"/>
      <c r="L504" s="8"/>
      <c r="M504" s="47"/>
      <c r="N504" s="8"/>
      <c r="O504" s="8"/>
      <c r="P504" s="8"/>
      <c r="Q504" s="14"/>
      <c r="R504" s="14"/>
      <c r="T504" s="7"/>
      <c r="U504" s="7"/>
    </row>
    <row r="505" spans="1:21" s="6" customFormat="1" ht="60" customHeight="1">
      <c r="A505" s="14" t="b">
        <v>1</v>
      </c>
      <c r="B505" s="8"/>
      <c r="C505" s="19">
        <v>18.100000000000001</v>
      </c>
      <c r="D505" s="95"/>
      <c r="E505" s="99" t="s">
        <v>269</v>
      </c>
      <c r="F505" s="92"/>
      <c r="G505" s="38"/>
      <c r="H505" s="94"/>
      <c r="I505" s="32"/>
      <c r="J505" s="94"/>
      <c r="K505" s="32"/>
      <c r="L505" s="8"/>
      <c r="M505" s="137"/>
      <c r="N505" s="8"/>
      <c r="O505" s="137"/>
      <c r="P505" s="8"/>
      <c r="Q505" s="14" t="b">
        <f>IF(G505="No",TRUE,FALSE)</f>
        <v>0</v>
      </c>
      <c r="R505" s="14"/>
      <c r="T505" s="7"/>
      <c r="U505" s="7"/>
    </row>
    <row r="506" spans="1:21" s="6" customFormat="1" ht="6" customHeight="1">
      <c r="A506" s="14" t="b">
        <v>1</v>
      </c>
      <c r="B506" s="8"/>
      <c r="C506" s="16"/>
      <c r="D506" s="92"/>
      <c r="E506" s="96"/>
      <c r="F506" s="92"/>
      <c r="G506" s="92"/>
      <c r="H506" s="94"/>
      <c r="I506" s="8"/>
      <c r="J506" s="94"/>
      <c r="K506" s="8"/>
      <c r="L506" s="8"/>
      <c r="M506" s="8"/>
      <c r="N506" s="8"/>
      <c r="O506" s="8"/>
      <c r="P506" s="8"/>
      <c r="Q506" s="1"/>
      <c r="R506" s="1"/>
      <c r="T506" s="7"/>
      <c r="U506" s="7"/>
    </row>
    <row r="507" spans="1:21" s="6" customFormat="1" ht="60" customHeight="1">
      <c r="A507" s="14" t="b">
        <v>1</v>
      </c>
      <c r="B507" s="8"/>
      <c r="C507" s="19">
        <v>18.2</v>
      </c>
      <c r="D507" s="92"/>
      <c r="E507" s="88" t="s">
        <v>270</v>
      </c>
      <c r="F507" s="92"/>
      <c r="G507" s="281"/>
      <c r="H507" s="281"/>
      <c r="I507" s="281"/>
      <c r="J507" s="281"/>
      <c r="K507" s="281"/>
      <c r="L507" s="8"/>
      <c r="M507" s="137"/>
      <c r="N507" s="8"/>
      <c r="O507" s="137"/>
      <c r="P507" s="8"/>
      <c r="Q507" s="1"/>
      <c r="R507" s="1"/>
      <c r="T507" s="7"/>
      <c r="U507" s="7"/>
    </row>
    <row r="508" spans="1:21" s="6" customFormat="1" ht="6" customHeight="1">
      <c r="A508" s="14" t="b">
        <v>1</v>
      </c>
      <c r="B508" s="8"/>
      <c r="C508" s="16"/>
      <c r="D508" s="92"/>
      <c r="E508" s="96"/>
      <c r="F508" s="92"/>
      <c r="G508" s="92"/>
      <c r="H508" s="94"/>
      <c r="I508" s="8"/>
      <c r="J508" s="94"/>
      <c r="K508" s="8"/>
      <c r="L508" s="8"/>
      <c r="M508" s="8"/>
      <c r="N508" s="8"/>
      <c r="O508" s="8"/>
      <c r="P508" s="8"/>
      <c r="Q508" s="1"/>
      <c r="R508" s="1"/>
      <c r="T508" s="7"/>
      <c r="U508" s="7"/>
    </row>
    <row r="509" spans="1:21" s="6" customFormat="1" ht="6" customHeight="1">
      <c r="A509" s="14" t="b">
        <v>1</v>
      </c>
      <c r="B509" s="8"/>
      <c r="C509" s="16"/>
      <c r="D509" s="92"/>
      <c r="E509" s="96"/>
      <c r="F509" s="92"/>
      <c r="G509" s="92"/>
      <c r="H509" s="94"/>
      <c r="I509" s="8"/>
      <c r="J509" s="94"/>
      <c r="K509" s="8"/>
      <c r="L509" s="8"/>
      <c r="M509" s="8"/>
      <c r="N509" s="8"/>
      <c r="O509" s="8"/>
      <c r="P509" s="8"/>
      <c r="Q509" s="1"/>
      <c r="R509" s="1"/>
      <c r="T509" s="7"/>
      <c r="U509" s="7"/>
    </row>
    <row r="510" spans="1:21" s="6" customFormat="1" ht="60" customHeight="1">
      <c r="A510" s="14" t="b">
        <v>1</v>
      </c>
      <c r="B510" s="8"/>
      <c r="C510" s="19">
        <v>18.3</v>
      </c>
      <c r="D510" s="92"/>
      <c r="E510" s="97" t="s">
        <v>271</v>
      </c>
      <c r="F510" s="92"/>
      <c r="G510" s="32"/>
      <c r="H510" s="94"/>
      <c r="I510" s="32"/>
      <c r="J510" s="94"/>
      <c r="K510" s="32"/>
      <c r="L510" s="8"/>
      <c r="M510" s="137"/>
      <c r="N510" s="8"/>
      <c r="O510" s="137"/>
      <c r="P510" s="8"/>
      <c r="Q510" s="1"/>
      <c r="R510" s="1"/>
      <c r="T510" s="7"/>
      <c r="U510" s="7"/>
    </row>
    <row r="511" spans="1:21" s="6" customFormat="1" ht="6" customHeight="1">
      <c r="A511" s="14" t="b">
        <v>1</v>
      </c>
      <c r="B511" s="8"/>
      <c r="C511" s="16"/>
      <c r="D511" s="92"/>
      <c r="E511" s="93"/>
      <c r="F511" s="92"/>
      <c r="G511" s="92"/>
      <c r="H511" s="94"/>
      <c r="I511" s="8"/>
      <c r="J511" s="94"/>
      <c r="K511" s="8"/>
      <c r="L511" s="8"/>
      <c r="M511" s="47"/>
      <c r="N511" s="8"/>
      <c r="O511" s="8"/>
      <c r="P511" s="8"/>
      <c r="Q511" s="14"/>
      <c r="R511" s="14"/>
      <c r="T511" s="7"/>
      <c r="U511" s="7"/>
    </row>
    <row r="512" spans="1:21" s="6" customFormat="1" ht="60" customHeight="1">
      <c r="A512" s="14" t="b">
        <v>1</v>
      </c>
      <c r="B512" s="8"/>
      <c r="C512" s="19">
        <v>18.399999999999999</v>
      </c>
      <c r="D512" s="92"/>
      <c r="E512" s="84" t="s">
        <v>272</v>
      </c>
      <c r="F512" s="92"/>
      <c r="G512" s="78"/>
      <c r="H512" s="94"/>
      <c r="I512" s="32"/>
      <c r="J512" s="94"/>
      <c r="K512" s="32"/>
      <c r="L512" s="8"/>
      <c r="M512" s="137"/>
      <c r="N512" s="8"/>
      <c r="O512" s="137"/>
      <c r="P512" s="8"/>
      <c r="Q512" s="14" t="b">
        <v>0</v>
      </c>
      <c r="R512" s="14"/>
      <c r="T512" s="7"/>
      <c r="U512" s="7"/>
    </row>
    <row r="513" spans="1:21" s="6" customFormat="1" ht="6" customHeight="1">
      <c r="A513" s="14" t="b">
        <f>NOT(Q512)</f>
        <v>1</v>
      </c>
      <c r="B513" s="8"/>
      <c r="C513" s="16"/>
      <c r="D513" s="92"/>
      <c r="E513" s="93"/>
      <c r="F513" s="92"/>
      <c r="G513" s="92"/>
      <c r="H513" s="94"/>
      <c r="I513" s="8"/>
      <c r="J513" s="94"/>
      <c r="K513" s="8"/>
      <c r="L513" s="8"/>
      <c r="M513" s="8"/>
      <c r="N513" s="8"/>
      <c r="O513" s="8"/>
      <c r="P513" s="8"/>
      <c r="Q513" s="1"/>
      <c r="R513" s="1"/>
      <c r="T513" s="7"/>
      <c r="U513" s="7"/>
    </row>
    <row r="514" spans="1:21" s="6" customFormat="1" ht="60" customHeight="1">
      <c r="A514" s="14" t="b">
        <f>A513</f>
        <v>1</v>
      </c>
      <c r="B514" s="8"/>
      <c r="C514" s="19" t="s">
        <v>273</v>
      </c>
      <c r="D514" s="92"/>
      <c r="E514" s="37" t="s">
        <v>274</v>
      </c>
      <c r="F514" s="92"/>
      <c r="G514" s="282"/>
      <c r="H514" s="283"/>
      <c r="I514" s="283"/>
      <c r="J514" s="283"/>
      <c r="K514" s="284"/>
      <c r="L514" s="8"/>
      <c r="M514" s="137"/>
      <c r="N514" s="8"/>
      <c r="O514" s="137"/>
      <c r="P514" s="8"/>
      <c r="Q514" s="1"/>
      <c r="R514" s="1"/>
      <c r="T514" s="7"/>
      <c r="U514" s="7"/>
    </row>
    <row r="515" spans="1:21" s="6" customFormat="1" ht="6" customHeight="1">
      <c r="A515" s="14" t="b">
        <f>NOT(Q512)</f>
        <v>1</v>
      </c>
      <c r="B515" s="8"/>
      <c r="C515" s="16"/>
      <c r="D515" s="92"/>
      <c r="E515" s="93"/>
      <c r="F515" s="92"/>
      <c r="G515" s="92"/>
      <c r="H515" s="94"/>
      <c r="I515" s="8"/>
      <c r="J515" s="94"/>
      <c r="K515" s="8"/>
      <c r="L515" s="8"/>
      <c r="M515" s="8"/>
      <c r="N515" s="8"/>
      <c r="O515" s="8"/>
      <c r="P515" s="8"/>
      <c r="Q515" s="1"/>
      <c r="R515" s="1"/>
      <c r="T515" s="7"/>
      <c r="U515" s="7"/>
    </row>
    <row r="516" spans="1:21" s="6" customFormat="1" ht="60" customHeight="1">
      <c r="A516" s="14" t="b">
        <f>A515</f>
        <v>1</v>
      </c>
      <c r="B516" s="8"/>
      <c r="C516" s="19" t="s">
        <v>275</v>
      </c>
      <c r="D516" s="95"/>
      <c r="E516" s="37" t="s">
        <v>276</v>
      </c>
      <c r="F516" s="92"/>
      <c r="G516" s="38"/>
      <c r="H516" s="94"/>
      <c r="I516" s="32"/>
      <c r="J516" s="94"/>
      <c r="K516" s="32"/>
      <c r="L516" s="8"/>
      <c r="M516" s="137"/>
      <c r="N516" s="8"/>
      <c r="O516" s="137"/>
      <c r="P516" s="8"/>
      <c r="Q516" s="1"/>
      <c r="R516" s="1"/>
      <c r="T516" s="7"/>
      <c r="U516" s="7"/>
    </row>
    <row r="517" spans="1:21" s="6" customFormat="1" ht="6" customHeight="1">
      <c r="A517" s="14" t="b">
        <v>1</v>
      </c>
      <c r="B517" s="8"/>
      <c r="C517" s="16"/>
      <c r="D517" s="92"/>
      <c r="E517" s="93"/>
      <c r="F517" s="92"/>
      <c r="G517" s="92"/>
      <c r="H517" s="94"/>
      <c r="I517" s="8"/>
      <c r="J517" s="94"/>
      <c r="K517" s="8"/>
      <c r="L517" s="8"/>
      <c r="M517" s="8"/>
      <c r="N517" s="8"/>
      <c r="O517" s="8"/>
      <c r="P517" s="8"/>
      <c r="Q517" s="1"/>
      <c r="R517" s="1"/>
      <c r="T517" s="7"/>
      <c r="U517" s="7"/>
    </row>
    <row r="518" spans="1:21" s="6" customFormat="1" ht="60" customHeight="1">
      <c r="A518" s="14" t="b">
        <v>1</v>
      </c>
      <c r="B518" s="8"/>
      <c r="C518" s="19">
        <v>18.5</v>
      </c>
      <c r="D518" s="92"/>
      <c r="E518" s="97" t="s">
        <v>277</v>
      </c>
      <c r="F518" s="92"/>
      <c r="G518" s="281"/>
      <c r="H518" s="281"/>
      <c r="I518" s="281"/>
      <c r="J518" s="281"/>
      <c r="K518" s="281"/>
      <c r="L518" s="8"/>
      <c r="M518" s="137"/>
      <c r="N518" s="8"/>
      <c r="O518" s="137"/>
      <c r="P518" s="8"/>
      <c r="Q518" s="1"/>
      <c r="R518" s="1"/>
      <c r="T518" s="7"/>
      <c r="U518" s="7"/>
    </row>
    <row r="519" spans="1:21" s="6" customFormat="1" ht="6" customHeight="1" thickBot="1">
      <c r="A519" s="14" t="b">
        <v>1</v>
      </c>
      <c r="B519" s="8"/>
      <c r="C519" s="41"/>
      <c r="D519" s="92"/>
      <c r="E519" s="93"/>
      <c r="F519" s="92"/>
      <c r="G519" s="92"/>
      <c r="H519" s="41"/>
      <c r="I519" s="41"/>
      <c r="J519" s="41"/>
      <c r="K519" s="8"/>
      <c r="L519" s="8"/>
      <c r="M519" s="8"/>
      <c r="N519" s="8"/>
      <c r="O519" s="8"/>
      <c r="P519" s="8"/>
      <c r="Q519" s="1"/>
      <c r="R519" s="1"/>
      <c r="T519" s="7"/>
      <c r="U519" s="7"/>
    </row>
    <row r="520" spans="1:21" s="6" customFormat="1" ht="15" customHeight="1" collapsed="1">
      <c r="A520" s="14" t="b">
        <v>1</v>
      </c>
      <c r="B520" s="8"/>
      <c r="C520" s="42"/>
      <c r="D520" s="73"/>
      <c r="E520" s="73"/>
      <c r="F520" s="73"/>
      <c r="G520" s="73"/>
      <c r="H520" s="73"/>
      <c r="I520" s="73"/>
      <c r="J520" s="73"/>
      <c r="K520" s="46"/>
      <c r="L520" s="46"/>
      <c r="M520" s="61"/>
      <c r="N520" s="46"/>
      <c r="O520" s="46"/>
      <c r="P520" s="8"/>
      <c r="Q520" s="14"/>
      <c r="R520" s="14"/>
      <c r="T520" s="7"/>
      <c r="U520" s="7"/>
    </row>
    <row r="521" spans="1:21" s="6" customFormat="1" ht="15" customHeight="1">
      <c r="A521" s="14" t="b">
        <v>1</v>
      </c>
      <c r="B521" s="8"/>
      <c r="C521" s="15" t="s">
        <v>278</v>
      </c>
      <c r="D521" s="16"/>
      <c r="E521" s="17" t="s">
        <v>279</v>
      </c>
      <c r="F521" s="62"/>
      <c r="G521" s="17" t="str">
        <f>G$7</f>
        <v>Answer</v>
      </c>
      <c r="H521" s="18"/>
      <c r="I521" s="17" t="s">
        <v>7</v>
      </c>
      <c r="J521" s="18"/>
      <c r="K521" s="17" t="str">
        <f>K$7</f>
        <v>General Comments</v>
      </c>
      <c r="L521" s="8"/>
      <c r="M521" s="273" t="s">
        <v>290</v>
      </c>
      <c r="N521" s="8"/>
      <c r="O521" s="274" t="s">
        <v>291</v>
      </c>
      <c r="P521" s="8"/>
      <c r="Q521" s="14"/>
      <c r="R521" s="14"/>
      <c r="T521" s="7"/>
      <c r="U521" s="7"/>
    </row>
    <row r="522" spans="1:21" s="6" customFormat="1" ht="15" customHeight="1">
      <c r="A522" s="14" t="b">
        <v>1</v>
      </c>
      <c r="B522" s="8"/>
      <c r="C522" s="19"/>
      <c r="D522" s="16"/>
      <c r="E522" s="17"/>
      <c r="F522" s="18"/>
      <c r="G522" s="17"/>
      <c r="H522" s="18"/>
      <c r="I522" s="17"/>
      <c r="J522" s="18"/>
      <c r="K522" s="17"/>
      <c r="L522" s="8"/>
      <c r="M522" s="273"/>
      <c r="N522" s="8"/>
      <c r="O522" s="274"/>
      <c r="P522" s="8"/>
      <c r="Q522" s="14"/>
      <c r="R522" s="14"/>
      <c r="T522" s="7"/>
      <c r="U522" s="7"/>
    </row>
    <row r="523" spans="1:21" s="6" customFormat="1" ht="6" customHeight="1">
      <c r="A523" s="14" t="b">
        <v>1</v>
      </c>
      <c r="B523" s="8"/>
      <c r="C523" s="20"/>
      <c r="D523" s="92"/>
      <c r="E523" s="93"/>
      <c r="F523" s="92"/>
      <c r="G523" s="92"/>
      <c r="H523" s="94"/>
      <c r="I523" s="94"/>
      <c r="J523" s="94"/>
      <c r="K523" s="8"/>
      <c r="L523" s="8"/>
      <c r="M523" s="8"/>
      <c r="N523" s="8"/>
      <c r="O523" s="8"/>
      <c r="P523" s="8"/>
      <c r="Q523" s="14"/>
      <c r="R523" s="14"/>
      <c r="T523" s="7"/>
      <c r="U523" s="7"/>
    </row>
    <row r="524" spans="1:21" s="6" customFormat="1" ht="18" customHeight="1" collapsed="1">
      <c r="A524" s="14" t="b">
        <v>1</v>
      </c>
      <c r="B524" s="8"/>
      <c r="C524" s="23"/>
      <c r="D524" s="23"/>
      <c r="E524" s="24"/>
      <c r="F524" s="23"/>
      <c r="G524" s="23"/>
      <c r="H524" s="23"/>
      <c r="I524" s="23"/>
      <c r="J524" s="23"/>
      <c r="K524" s="23"/>
      <c r="L524" s="23"/>
      <c r="M524" s="23"/>
      <c r="N524" s="23"/>
      <c r="O524" s="23"/>
      <c r="P524" s="8"/>
      <c r="Q524" s="14"/>
      <c r="R524" s="14"/>
      <c r="T524" s="7"/>
      <c r="U524" s="7"/>
    </row>
    <row r="525" spans="1:21" s="6" customFormat="1" ht="15" hidden="1" customHeight="1">
      <c r="A525" s="14" t="b">
        <v>0</v>
      </c>
      <c r="B525" s="8"/>
      <c r="C525" s="23"/>
      <c r="D525" s="18"/>
      <c r="E525" s="27" t="s">
        <v>280</v>
      </c>
      <c r="F525" s="18"/>
      <c r="G525" s="22"/>
      <c r="H525" s="18"/>
      <c r="I525" s="18"/>
      <c r="J525" s="18"/>
      <c r="K525" s="8"/>
      <c r="L525" s="8"/>
      <c r="M525" s="8"/>
      <c r="N525" s="8"/>
      <c r="O525" s="8"/>
      <c r="P525" s="8"/>
      <c r="Q525" s="14"/>
      <c r="R525" s="14"/>
      <c r="T525" s="7"/>
      <c r="U525" s="7"/>
    </row>
    <row r="526" spans="1:21" s="6" customFormat="1" ht="15" hidden="1" customHeight="1">
      <c r="A526" s="14" t="b">
        <f>$A$525</f>
        <v>0</v>
      </c>
      <c r="B526" s="8"/>
      <c r="C526" s="23"/>
      <c r="D526" s="18"/>
      <c r="E526" s="27" t="s">
        <v>23</v>
      </c>
      <c r="F526" s="18"/>
      <c r="G526" s="22"/>
      <c r="H526" s="18"/>
      <c r="I526" s="18"/>
      <c r="J526" s="18"/>
      <c r="K526" s="8"/>
      <c r="L526" s="8"/>
      <c r="M526" s="8"/>
      <c r="N526" s="8"/>
      <c r="O526" s="8"/>
      <c r="P526" s="8"/>
      <c r="Q526" s="14"/>
      <c r="R526" s="14"/>
      <c r="T526" s="7"/>
      <c r="U526" s="7"/>
    </row>
    <row r="527" spans="1:21" s="6" customFormat="1" ht="15" hidden="1" customHeight="1">
      <c r="A527" s="14" t="b">
        <f>$A$525</f>
        <v>0</v>
      </c>
      <c r="B527" s="8"/>
      <c r="C527" s="23"/>
      <c r="D527" s="18"/>
      <c r="E527" s="27" t="s">
        <v>24</v>
      </c>
      <c r="F527" s="18"/>
      <c r="G527" s="22"/>
      <c r="H527" s="18"/>
      <c r="I527" s="18"/>
      <c r="J527" s="18"/>
      <c r="K527" s="8"/>
      <c r="L527" s="8"/>
      <c r="M527" s="8"/>
      <c r="N527" s="8"/>
      <c r="O527" s="8"/>
      <c r="P527" s="8"/>
      <c r="Q527" s="14"/>
      <c r="R527" s="14"/>
      <c r="T527" s="7"/>
      <c r="U527" s="7"/>
    </row>
    <row r="528" spans="1:21" s="6" customFormat="1" ht="15" customHeight="1" collapsed="1">
      <c r="A528" s="14" t="b">
        <v>1</v>
      </c>
      <c r="B528" s="8"/>
      <c r="C528" s="16"/>
      <c r="D528" s="18"/>
      <c r="E528" s="21"/>
      <c r="F528" s="18"/>
      <c r="G528" s="22"/>
      <c r="H528" s="18"/>
      <c r="I528" s="18"/>
      <c r="J528" s="18"/>
      <c r="K528" s="8"/>
      <c r="L528" s="8"/>
      <c r="M528" s="8"/>
      <c r="N528" s="8"/>
      <c r="O528" s="8"/>
      <c r="P528" s="8"/>
      <c r="Q528" s="14"/>
      <c r="R528" s="14"/>
      <c r="T528" s="7"/>
      <c r="U528" s="7"/>
    </row>
    <row r="529" spans="1:21" s="6" customFormat="1" ht="6" customHeight="1">
      <c r="A529" s="14" t="b">
        <v>1</v>
      </c>
      <c r="B529" s="8"/>
      <c r="C529" s="16"/>
      <c r="D529" s="92"/>
      <c r="E529" s="93"/>
      <c r="F529" s="92"/>
      <c r="G529" s="92"/>
      <c r="H529" s="94"/>
      <c r="I529" s="8"/>
      <c r="J529" s="94"/>
      <c r="K529" s="8"/>
      <c r="L529" s="8"/>
      <c r="M529" s="47"/>
      <c r="N529" s="8"/>
      <c r="O529" s="8"/>
      <c r="P529" s="8"/>
      <c r="Q529" s="14"/>
      <c r="R529" s="14"/>
      <c r="T529" s="7"/>
      <c r="U529" s="7"/>
    </row>
    <row r="530" spans="1:21" s="6" customFormat="1" ht="60" customHeight="1">
      <c r="A530" s="14" t="b">
        <v>1</v>
      </c>
      <c r="B530" s="8"/>
      <c r="C530" s="19">
        <v>19.100000000000001</v>
      </c>
      <c r="D530" s="92"/>
      <c r="E530" s="99" t="s">
        <v>281</v>
      </c>
      <c r="F530" s="92"/>
      <c r="G530" s="38"/>
      <c r="H530" s="94"/>
      <c r="I530" s="32"/>
      <c r="J530" s="94"/>
      <c r="K530" s="32"/>
      <c r="L530" s="8"/>
      <c r="M530" s="51"/>
      <c r="N530" s="8"/>
      <c r="O530" s="32"/>
      <c r="P530" s="8"/>
      <c r="Q530" s="14" t="b">
        <v>0</v>
      </c>
      <c r="R530" s="14"/>
      <c r="T530" s="7"/>
      <c r="U530" s="7"/>
    </row>
    <row r="531" spans="1:21" s="6" customFormat="1" ht="6" customHeight="1">
      <c r="A531" s="14" t="b">
        <v>1</v>
      </c>
      <c r="B531" s="8"/>
      <c r="C531" s="16"/>
      <c r="D531" s="92"/>
      <c r="E531" s="96"/>
      <c r="F531" s="92"/>
      <c r="G531" s="92"/>
      <c r="H531" s="94"/>
      <c r="I531" s="8"/>
      <c r="J531" s="94"/>
      <c r="K531" s="8"/>
      <c r="L531" s="8"/>
      <c r="M531" s="47"/>
      <c r="N531" s="8"/>
      <c r="O531" s="8"/>
      <c r="P531" s="8"/>
      <c r="Q531" s="14"/>
      <c r="R531" s="14"/>
      <c r="T531" s="7"/>
      <c r="U531" s="7"/>
    </row>
    <row r="532" spans="1:21" s="6" customFormat="1" ht="60" customHeight="1">
      <c r="A532" s="14" t="b">
        <v>1</v>
      </c>
      <c r="B532" s="8"/>
      <c r="C532" s="19">
        <v>19.2</v>
      </c>
      <c r="D532" s="92"/>
      <c r="E532" s="97" t="s">
        <v>282</v>
      </c>
      <c r="F532" s="92"/>
      <c r="G532" s="38"/>
      <c r="H532" s="94"/>
      <c r="I532" s="32"/>
      <c r="J532" s="94"/>
      <c r="K532" s="32"/>
      <c r="L532" s="8"/>
      <c r="M532" s="51"/>
      <c r="N532" s="8"/>
      <c r="O532" s="32"/>
      <c r="P532" s="8"/>
      <c r="Q532" s="14"/>
      <c r="R532" s="14"/>
      <c r="T532" s="7"/>
      <c r="U532" s="7"/>
    </row>
    <row r="533" spans="1:21" s="6" customFormat="1" ht="6" customHeight="1">
      <c r="A533" s="14" t="b">
        <v>1</v>
      </c>
      <c r="B533" s="8"/>
      <c r="C533" s="16"/>
      <c r="D533" s="92"/>
      <c r="E533" s="96"/>
      <c r="F533" s="92"/>
      <c r="G533" s="92"/>
      <c r="H533" s="94"/>
      <c r="I533" s="8"/>
      <c r="J533" s="94"/>
      <c r="K533" s="8"/>
      <c r="L533" s="8"/>
      <c r="M533" s="47"/>
      <c r="N533" s="8"/>
      <c r="O533" s="8"/>
      <c r="P533" s="8"/>
      <c r="Q533" s="14"/>
      <c r="R533" s="14"/>
      <c r="T533" s="7"/>
      <c r="U533" s="7"/>
    </row>
    <row r="534" spans="1:21" s="6" customFormat="1" ht="60" customHeight="1">
      <c r="A534" s="14" t="b">
        <v>1</v>
      </c>
      <c r="B534" s="8"/>
      <c r="C534" s="19">
        <v>19.3</v>
      </c>
      <c r="D534" s="92"/>
      <c r="E534" s="99" t="s">
        <v>283</v>
      </c>
      <c r="F534" s="92"/>
      <c r="G534" s="38"/>
      <c r="H534" s="94"/>
      <c r="I534" s="32"/>
      <c r="J534" s="94"/>
      <c r="K534" s="32"/>
      <c r="L534" s="8"/>
      <c r="M534" s="51"/>
      <c r="N534" s="8"/>
      <c r="O534" s="32"/>
      <c r="P534" s="8"/>
      <c r="Q534" s="14"/>
      <c r="R534" s="14"/>
      <c r="T534" s="7"/>
      <c r="U534" s="7"/>
    </row>
    <row r="535" spans="1:21" s="6" customFormat="1" ht="6" customHeight="1">
      <c r="A535" s="14" t="b">
        <v>1</v>
      </c>
      <c r="B535" s="8"/>
      <c r="C535" s="16"/>
      <c r="D535" s="92"/>
      <c r="E535" s="96"/>
      <c r="F535" s="92"/>
      <c r="G535" s="92"/>
      <c r="H535" s="94"/>
      <c r="I535" s="8"/>
      <c r="J535" s="94"/>
      <c r="K535" s="8"/>
      <c r="L535" s="8"/>
      <c r="M535" s="47"/>
      <c r="N535" s="8"/>
      <c r="O535" s="8"/>
      <c r="P535" s="8"/>
      <c r="Q535" s="14"/>
      <c r="R535" s="14"/>
      <c r="T535" s="7"/>
      <c r="U535" s="7"/>
    </row>
    <row r="536" spans="1:21" s="6" customFormat="1" ht="60" customHeight="1">
      <c r="A536" s="14" t="b">
        <v>1</v>
      </c>
      <c r="B536" s="8"/>
      <c r="C536" s="19">
        <v>19.399999999999999</v>
      </c>
      <c r="D536" s="92"/>
      <c r="E536" s="99" t="s">
        <v>284</v>
      </c>
      <c r="F536" s="92"/>
      <c r="G536" s="38"/>
      <c r="H536" s="94"/>
      <c r="I536" s="32"/>
      <c r="J536" s="94"/>
      <c r="K536" s="32"/>
      <c r="L536" s="8"/>
      <c r="M536" s="51"/>
      <c r="N536" s="8"/>
      <c r="O536" s="32"/>
      <c r="P536" s="8"/>
      <c r="Q536" s="14"/>
      <c r="R536" s="14"/>
      <c r="T536" s="7"/>
      <c r="U536" s="7"/>
    </row>
    <row r="537" spans="1:21" s="6" customFormat="1" ht="6" customHeight="1">
      <c r="A537" s="14" t="b">
        <v>1</v>
      </c>
      <c r="B537" s="8"/>
      <c r="C537" s="16"/>
      <c r="D537" s="92"/>
      <c r="E537" s="96"/>
      <c r="F537" s="92"/>
      <c r="G537" s="92"/>
      <c r="H537" s="94"/>
      <c r="I537" s="8"/>
      <c r="J537" s="94"/>
      <c r="K537" s="8"/>
      <c r="L537" s="8"/>
      <c r="M537" s="47"/>
      <c r="N537" s="8"/>
      <c r="O537" s="8"/>
      <c r="P537" s="8"/>
      <c r="Q537" s="14"/>
      <c r="R537" s="14"/>
      <c r="T537" s="7"/>
      <c r="U537" s="7"/>
    </row>
    <row r="538" spans="1:21" s="6" customFormat="1" ht="60" customHeight="1">
      <c r="A538" s="14" t="b">
        <v>1</v>
      </c>
      <c r="B538" s="8"/>
      <c r="C538" s="19">
        <v>19.5</v>
      </c>
      <c r="D538" s="92"/>
      <c r="E538" s="99" t="s">
        <v>285</v>
      </c>
      <c r="F538" s="92"/>
      <c r="G538" s="38"/>
      <c r="H538" s="94"/>
      <c r="I538" s="32"/>
      <c r="J538" s="94"/>
      <c r="K538" s="32"/>
      <c r="L538" s="8"/>
      <c r="M538" s="51"/>
      <c r="N538" s="8"/>
      <c r="O538" s="32"/>
      <c r="P538" s="8"/>
      <c r="Q538" s="14"/>
      <c r="R538" s="14"/>
      <c r="T538" s="7"/>
      <c r="U538" s="7"/>
    </row>
    <row r="539" spans="1:21" s="6" customFormat="1" ht="6" customHeight="1">
      <c r="A539" s="14" t="b">
        <v>1</v>
      </c>
      <c r="B539" s="8"/>
      <c r="C539" s="16"/>
      <c r="D539" s="92"/>
      <c r="E539" s="96"/>
      <c r="F539" s="92"/>
      <c r="G539" s="92"/>
      <c r="H539" s="94"/>
      <c r="I539" s="8"/>
      <c r="J539" s="94"/>
      <c r="K539" s="8"/>
      <c r="L539" s="8"/>
      <c r="M539" s="47"/>
      <c r="N539" s="8"/>
      <c r="O539" s="8"/>
      <c r="P539" s="8"/>
      <c r="Q539" s="14"/>
      <c r="R539" s="14"/>
      <c r="T539" s="7"/>
      <c r="U539" s="7"/>
    </row>
    <row r="540" spans="1:21" s="6" customFormat="1" ht="60" customHeight="1">
      <c r="A540" s="14" t="b">
        <v>1</v>
      </c>
      <c r="B540" s="8"/>
      <c r="C540" s="19">
        <v>19.600000000000001</v>
      </c>
      <c r="D540" s="92"/>
      <c r="E540" s="99" t="s">
        <v>286</v>
      </c>
      <c r="F540" s="92"/>
      <c r="G540" s="38"/>
      <c r="H540" s="94"/>
      <c r="I540" s="32"/>
      <c r="J540" s="94"/>
      <c r="K540" s="32"/>
      <c r="L540" s="8"/>
      <c r="M540" s="51"/>
      <c r="N540" s="8"/>
      <c r="O540" s="32"/>
      <c r="P540" s="8"/>
      <c r="Q540" s="14"/>
      <c r="R540" s="14"/>
      <c r="T540" s="7"/>
      <c r="U540" s="7"/>
    </row>
    <row r="541" spans="1:21" s="6" customFormat="1" ht="6" customHeight="1">
      <c r="A541" s="14" t="b">
        <v>1</v>
      </c>
      <c r="B541" s="8"/>
      <c r="C541" s="16"/>
      <c r="D541" s="92"/>
      <c r="E541" s="96"/>
      <c r="F541" s="92"/>
      <c r="G541" s="92"/>
      <c r="H541" s="94"/>
      <c r="I541" s="8"/>
      <c r="J541" s="94"/>
      <c r="K541" s="8"/>
      <c r="L541" s="8"/>
      <c r="M541" s="47"/>
      <c r="N541" s="8"/>
      <c r="O541" s="8"/>
      <c r="P541" s="8"/>
      <c r="Q541" s="14"/>
      <c r="R541" s="14"/>
      <c r="T541" s="7"/>
      <c r="U541" s="7"/>
    </row>
    <row r="542" spans="1:21" s="6" customFormat="1" ht="60" customHeight="1">
      <c r="A542" s="14" t="b">
        <v>1</v>
      </c>
      <c r="B542" s="8"/>
      <c r="C542" s="19">
        <v>19.7</v>
      </c>
      <c r="D542" s="92"/>
      <c r="E542" s="99" t="s">
        <v>287</v>
      </c>
      <c r="F542" s="92"/>
      <c r="G542" s="38"/>
      <c r="H542" s="94"/>
      <c r="I542" s="32"/>
      <c r="J542" s="94"/>
      <c r="K542" s="32"/>
      <c r="L542" s="8"/>
      <c r="M542" s="51"/>
      <c r="N542" s="8"/>
      <c r="O542" s="32"/>
      <c r="P542" s="8"/>
      <c r="Q542" s="14"/>
      <c r="R542" s="14"/>
      <c r="T542" s="7"/>
      <c r="U542" s="7"/>
    </row>
    <row r="543" spans="1:21" s="6" customFormat="1" ht="6" customHeight="1">
      <c r="A543" s="14" t="b">
        <v>1</v>
      </c>
      <c r="B543" s="8"/>
      <c r="C543" s="16"/>
      <c r="D543" s="92"/>
      <c r="E543" s="96"/>
      <c r="F543" s="92"/>
      <c r="G543" s="92"/>
      <c r="H543" s="94"/>
      <c r="I543" s="8"/>
      <c r="J543" s="94"/>
      <c r="K543" s="8"/>
      <c r="L543" s="8"/>
      <c r="M543" s="47"/>
      <c r="N543" s="8"/>
      <c r="O543" s="8"/>
      <c r="P543" s="8"/>
      <c r="Q543" s="14"/>
      <c r="R543" s="14"/>
      <c r="T543" s="7"/>
      <c r="U543" s="7"/>
    </row>
    <row r="544" spans="1:21" s="6" customFormat="1" ht="60" customHeight="1">
      <c r="A544" s="14" t="b">
        <v>1</v>
      </c>
      <c r="B544" s="8"/>
      <c r="C544" s="19">
        <v>19.8</v>
      </c>
      <c r="D544" s="92"/>
      <c r="E544" s="99" t="s">
        <v>288</v>
      </c>
      <c r="F544" s="92"/>
      <c r="G544" s="38"/>
      <c r="H544" s="94"/>
      <c r="I544" s="32"/>
      <c r="J544" s="94"/>
      <c r="K544" s="32"/>
      <c r="L544" s="8"/>
      <c r="M544" s="51"/>
      <c r="N544" s="8"/>
      <c r="O544" s="32"/>
      <c r="P544" s="8"/>
      <c r="Q544" s="14"/>
      <c r="R544" s="14"/>
      <c r="T544" s="7"/>
      <c r="U544" s="7"/>
    </row>
    <row r="545" spans="1:21" s="6" customFormat="1" ht="6" customHeight="1">
      <c r="A545" s="14" t="b">
        <v>1</v>
      </c>
      <c r="B545" s="8"/>
      <c r="C545" s="16"/>
      <c r="D545" s="92"/>
      <c r="E545" s="96"/>
      <c r="F545" s="92"/>
      <c r="G545" s="92"/>
      <c r="H545" s="94"/>
      <c r="I545" s="8"/>
      <c r="J545" s="94"/>
      <c r="K545" s="8"/>
      <c r="L545" s="8"/>
      <c r="M545" s="47"/>
      <c r="N545" s="8"/>
      <c r="O545" s="8"/>
      <c r="P545" s="8"/>
      <c r="Q545" s="14"/>
      <c r="R545" s="14"/>
      <c r="T545" s="7"/>
      <c r="U545" s="7"/>
    </row>
    <row r="546" spans="1:21" s="6" customFormat="1" ht="60" customHeight="1">
      <c r="A546" s="14" t="b">
        <v>1</v>
      </c>
      <c r="B546" s="8"/>
      <c r="C546" s="19">
        <v>19.899999999999999</v>
      </c>
      <c r="D546" s="92"/>
      <c r="E546" s="99" t="s">
        <v>289</v>
      </c>
      <c r="F546" s="92"/>
      <c r="G546" s="38"/>
      <c r="H546" s="94"/>
      <c r="I546" s="32"/>
      <c r="J546" s="94"/>
      <c r="K546" s="32"/>
      <c r="L546" s="8"/>
      <c r="M546" s="51"/>
      <c r="N546" s="8"/>
      <c r="O546" s="32"/>
      <c r="P546" s="8"/>
      <c r="Q546" s="14"/>
      <c r="R546" s="14"/>
      <c r="T546" s="7"/>
      <c r="U546" s="7"/>
    </row>
    <row r="547" spans="1:21" s="6" customFormat="1" ht="6" customHeight="1">
      <c r="A547" s="14" t="b">
        <v>1</v>
      </c>
      <c r="B547" s="8"/>
      <c r="C547" s="22"/>
      <c r="D547" s="92"/>
      <c r="E547" s="93"/>
      <c r="F547" s="92"/>
      <c r="G547" s="92"/>
      <c r="H547" s="94"/>
      <c r="I547" s="8"/>
      <c r="J547" s="94"/>
      <c r="K547" s="8"/>
      <c r="L547" s="8"/>
      <c r="M547" s="47"/>
      <c r="N547" s="8"/>
      <c r="O547" s="8"/>
      <c r="P547" s="8"/>
      <c r="Q547" s="14"/>
      <c r="R547" s="14"/>
      <c r="T547" s="7"/>
      <c r="U547" s="7"/>
    </row>
    <row r="548" spans="1:21" s="6" customFormat="1" ht="15" customHeight="1" thickBot="1">
      <c r="A548" s="14" t="b">
        <v>1</v>
      </c>
      <c r="B548" s="8"/>
      <c r="C548" s="41"/>
      <c r="D548" s="92"/>
      <c r="E548" s="93"/>
      <c r="F548" s="92"/>
      <c r="G548" s="92"/>
      <c r="H548" s="94"/>
      <c r="I548" s="94"/>
      <c r="J548" s="94"/>
      <c r="K548" s="8"/>
      <c r="L548" s="8"/>
      <c r="M548" s="8"/>
      <c r="N548" s="8"/>
      <c r="O548" s="8"/>
      <c r="P548" s="8"/>
      <c r="Q548" s="1"/>
      <c r="R548" s="1"/>
      <c r="T548" s="7"/>
      <c r="U548" s="7"/>
    </row>
    <row r="549" spans="1:21" s="6" customFormat="1" ht="15" customHeight="1" collapsed="1">
      <c r="A549" s="14" t="b">
        <v>1</v>
      </c>
      <c r="B549" s="8"/>
      <c r="C549" s="42"/>
      <c r="D549" s="134"/>
      <c r="E549" s="135"/>
      <c r="F549" s="134"/>
      <c r="G549" s="134"/>
      <c r="H549" s="136"/>
      <c r="I549" s="136"/>
      <c r="J549" s="136"/>
      <c r="K549" s="46"/>
      <c r="L549" s="46"/>
      <c r="M549" s="46"/>
      <c r="N549" s="46"/>
      <c r="O549" s="46"/>
      <c r="P549" s="8"/>
      <c r="Q549" s="1"/>
      <c r="R549" s="1"/>
      <c r="T549" s="7"/>
      <c r="U549" s="7"/>
    </row>
    <row r="550" spans="1:21" s="6" customFormat="1" ht="15" hidden="1">
      <c r="A550" s="7"/>
      <c r="B550" s="2"/>
      <c r="C550" s="2"/>
      <c r="D550" s="2"/>
      <c r="E550" s="2"/>
      <c r="F550" s="2"/>
      <c r="G550" s="2"/>
      <c r="H550" s="2"/>
      <c r="I550" s="2"/>
      <c r="J550" s="2"/>
      <c r="K550" s="2"/>
      <c r="L550" s="2"/>
      <c r="M550" s="2"/>
      <c r="N550" s="2"/>
      <c r="O550" s="2"/>
      <c r="P550" s="2"/>
      <c r="T550" s="7"/>
      <c r="U550" s="7"/>
    </row>
    <row r="551" spans="1:21" s="6" customFormat="1" ht="15" hidden="1">
      <c r="A551" s="7"/>
      <c r="B551" s="2"/>
      <c r="C551" s="2"/>
      <c r="D551" s="2"/>
      <c r="E551" s="2"/>
      <c r="F551" s="2"/>
      <c r="G551" s="2"/>
      <c r="H551" s="2"/>
      <c r="I551" s="2"/>
      <c r="J551" s="2"/>
      <c r="K551" s="2"/>
      <c r="L551" s="2"/>
      <c r="M551" s="2"/>
      <c r="N551" s="2"/>
      <c r="O551" s="2"/>
      <c r="P551" s="2"/>
      <c r="T551" s="7"/>
      <c r="U551" s="7"/>
    </row>
    <row r="552" spans="1:21" s="6" customFormat="1" ht="15" hidden="1">
      <c r="A552" s="7"/>
      <c r="B552" s="2"/>
      <c r="C552" s="2"/>
      <c r="D552" s="2"/>
      <c r="E552" s="2"/>
      <c r="F552" s="2"/>
      <c r="G552" s="2"/>
      <c r="H552" s="2"/>
      <c r="I552" s="2"/>
      <c r="J552" s="2"/>
      <c r="K552" s="2"/>
      <c r="L552" s="2"/>
      <c r="M552" s="2"/>
      <c r="N552" s="2"/>
      <c r="O552" s="2"/>
      <c r="P552" s="2"/>
      <c r="T552" s="7"/>
      <c r="U552" s="7"/>
    </row>
    <row r="553" spans="1:21" s="6" customFormat="1" ht="15" hidden="1">
      <c r="A553" s="7"/>
      <c r="B553" s="2"/>
      <c r="C553" s="2"/>
      <c r="D553" s="2"/>
      <c r="E553" s="2"/>
      <c r="F553" s="2"/>
      <c r="G553" s="2"/>
      <c r="H553" s="2"/>
      <c r="I553" s="2"/>
      <c r="J553" s="2"/>
      <c r="K553" s="2"/>
      <c r="L553" s="2"/>
      <c r="M553" s="2"/>
      <c r="N553" s="2"/>
      <c r="O553" s="2"/>
      <c r="P553" s="2"/>
      <c r="T553" s="7"/>
      <c r="U553" s="7"/>
    </row>
    <row r="554" spans="1:21" s="6" customFormat="1" ht="15" hidden="1">
      <c r="A554" s="7"/>
      <c r="B554" s="2"/>
      <c r="C554" s="2"/>
      <c r="D554" s="2"/>
      <c r="E554" s="2"/>
      <c r="F554" s="2"/>
      <c r="G554" s="2"/>
      <c r="H554" s="2"/>
      <c r="I554" s="2"/>
      <c r="J554" s="2"/>
      <c r="K554" s="2"/>
      <c r="L554" s="2"/>
      <c r="M554" s="2"/>
      <c r="N554" s="2"/>
      <c r="O554" s="2"/>
      <c r="P554" s="2"/>
      <c r="T554" s="7"/>
      <c r="U554" s="7"/>
    </row>
    <row r="555" spans="1:21" s="6" customFormat="1" ht="15" hidden="1">
      <c r="A555" s="7"/>
      <c r="B555" s="2"/>
      <c r="C555" s="2"/>
      <c r="D555" s="2"/>
      <c r="E555" s="2"/>
      <c r="F555" s="2"/>
      <c r="G555" s="2"/>
      <c r="H555" s="2"/>
      <c r="I555" s="2"/>
      <c r="J555" s="2"/>
      <c r="K555" s="2"/>
      <c r="L555" s="2"/>
      <c r="M555" s="2"/>
      <c r="N555" s="2"/>
      <c r="O555" s="2"/>
      <c r="P555" s="2"/>
      <c r="T555" s="7"/>
      <c r="U555" s="7"/>
    </row>
    <row r="556" spans="1:21" s="6" customFormat="1" ht="15" hidden="1">
      <c r="A556" s="7"/>
      <c r="B556" s="2"/>
      <c r="C556" s="2"/>
      <c r="D556" s="2"/>
      <c r="E556" s="2"/>
      <c r="F556" s="2"/>
      <c r="G556" s="2"/>
      <c r="H556" s="2"/>
      <c r="I556" s="2"/>
      <c r="J556" s="2"/>
      <c r="K556" s="2"/>
      <c r="L556" s="2"/>
      <c r="M556" s="2"/>
      <c r="N556" s="2"/>
      <c r="O556" s="2"/>
      <c r="P556" s="2"/>
      <c r="T556" s="7"/>
      <c r="U556" s="7"/>
    </row>
    <row r="557" spans="1:21" s="6" customFormat="1" ht="15" hidden="1">
      <c r="A557" s="7"/>
      <c r="B557" s="2"/>
      <c r="C557" s="2"/>
      <c r="D557" s="2"/>
      <c r="E557" s="2"/>
      <c r="F557" s="2"/>
      <c r="G557" s="2"/>
      <c r="H557" s="2"/>
      <c r="I557" s="2"/>
      <c r="J557" s="2"/>
      <c r="K557" s="2"/>
      <c r="L557" s="2"/>
      <c r="M557" s="2"/>
      <c r="N557" s="2"/>
      <c r="O557" s="2"/>
      <c r="P557" s="2"/>
      <c r="T557" s="7"/>
      <c r="U557" s="7"/>
    </row>
    <row r="558" spans="1:21" s="6" customFormat="1" ht="15" hidden="1">
      <c r="A558" s="7"/>
      <c r="B558" s="2"/>
      <c r="C558" s="2"/>
      <c r="D558" s="2"/>
      <c r="E558" s="2"/>
      <c r="F558" s="2"/>
      <c r="G558" s="2"/>
      <c r="H558" s="2"/>
      <c r="I558" s="2"/>
      <c r="J558" s="2"/>
      <c r="K558" s="2"/>
      <c r="L558" s="2"/>
      <c r="M558" s="2"/>
      <c r="N558" s="2"/>
      <c r="O558" s="2"/>
      <c r="P558" s="2"/>
      <c r="T558" s="7"/>
      <c r="U558" s="7"/>
    </row>
    <row r="559" spans="1:21" s="6" customFormat="1" ht="15" hidden="1">
      <c r="A559" s="7"/>
      <c r="B559" s="2"/>
      <c r="C559" s="2"/>
      <c r="D559" s="2"/>
      <c r="E559" s="2"/>
      <c r="F559" s="2"/>
      <c r="G559" s="2"/>
      <c r="H559" s="2"/>
      <c r="I559" s="2"/>
      <c r="J559" s="2"/>
      <c r="K559" s="2"/>
      <c r="L559" s="2"/>
      <c r="M559" s="2"/>
      <c r="N559" s="2"/>
      <c r="O559" s="2"/>
      <c r="P559" s="2"/>
      <c r="T559" s="7"/>
      <c r="U559" s="7"/>
    </row>
    <row r="560" spans="1:21" ht="15" hidden="1"/>
    <row r="561" ht="15" hidden="1"/>
    <row r="562" ht="15" hidden="1"/>
    <row r="563" ht="15" hidden="1"/>
    <row r="564" ht="15" hidden="1"/>
    <row r="565" ht="15" hidden="1"/>
    <row r="566" ht="15" hidden="1"/>
    <row r="567" ht="15" hidden="1"/>
    <row r="568" ht="15" hidden="1"/>
    <row r="569" ht="15" hidden="1"/>
    <row r="570" ht="15" hidden="1"/>
    <row r="571" ht="15" hidden="1"/>
    <row r="572" ht="15" hidden="1"/>
    <row r="573" ht="15" hidden="1"/>
    <row r="574" ht="15" hidden="1"/>
    <row r="575" ht="15" hidden="1"/>
    <row r="576" ht="15" hidden="1"/>
    <row r="577" ht="15" hidden="1"/>
    <row r="578" ht="15" hidden="1"/>
    <row r="579" ht="15" hidden="1"/>
    <row r="580" ht="15" hidden="1"/>
    <row r="581" ht="15" hidden="1"/>
    <row r="582" ht="15" hidden="1"/>
    <row r="583" ht="15" hidden="1"/>
    <row r="584" ht="15" hidden="1"/>
    <row r="585" ht="15" hidden="1"/>
    <row r="586" ht="15" hidden="1"/>
    <row r="587" ht="15" hidden="1"/>
    <row r="588" ht="15" hidden="1"/>
    <row r="589" ht="15" hidden="1"/>
    <row r="590" ht="15" hidden="1"/>
    <row r="591" ht="15" hidden="1"/>
    <row r="592" ht="15" hidden="1"/>
    <row r="593" ht="15" hidden="1"/>
    <row r="594" ht="15" hidden="1"/>
    <row r="595" ht="15" hidden="1"/>
    <row r="596" ht="15" hidden="1"/>
    <row r="597" ht="15" hidden="1"/>
    <row r="598" ht="15" hidden="1"/>
    <row r="599" ht="15" hidden="1"/>
    <row r="600" ht="15" hidden="1"/>
    <row r="601" ht="15" hidden="1"/>
    <row r="602" ht="15" hidden="1"/>
    <row r="603" ht="15" hidden="1"/>
    <row r="604" ht="15" hidden="1"/>
    <row r="605" ht="15" hidden="1"/>
    <row r="606" ht="15" hidden="1"/>
    <row r="607" ht="15" hidden="1"/>
    <row r="608" ht="15" hidden="1"/>
    <row r="609" ht="15" hidden="1"/>
    <row r="610" ht="15" hidden="1"/>
    <row r="611" ht="15" hidden="1"/>
    <row r="612" ht="15" hidden="1"/>
    <row r="613" ht="15" hidden="1"/>
    <row r="614" ht="15" hidden="1"/>
    <row r="615" ht="15" hidden="1"/>
    <row r="616" ht="15" hidden="1"/>
    <row r="617" ht="15" hidden="1"/>
    <row r="618" ht="15" hidden="1"/>
    <row r="619" ht="15" hidden="1"/>
    <row r="620" ht="15" hidden="1"/>
    <row r="621" ht="15" hidden="1"/>
    <row r="622" ht="15" hidden="1"/>
    <row r="623" ht="15" hidden="1"/>
    <row r="624" ht="15" hidden="1"/>
    <row r="625" ht="15" hidden="1"/>
    <row r="626" ht="15" hidden="1"/>
    <row r="627" ht="15" hidden="1"/>
    <row r="628" ht="15" hidden="1"/>
    <row r="629" ht="15" hidden="1"/>
    <row r="630" ht="15" hidden="1"/>
    <row r="631" ht="15" hidden="1"/>
    <row r="632" ht="15" hidden="1"/>
    <row r="633" ht="15" hidden="1"/>
    <row r="634" ht="15" hidden="1"/>
    <row r="635" ht="15" hidden="1"/>
    <row r="636" ht="15" hidden="1"/>
    <row r="637" ht="15" hidden="1"/>
    <row r="638" ht="15" hidden="1"/>
    <row r="639" ht="15" hidden="1"/>
    <row r="640" ht="15" hidden="1"/>
    <row r="641" ht="15" hidden="1"/>
    <row r="642" ht="15" hidden="1"/>
    <row r="643" ht="15" hidden="1"/>
    <row r="644" ht="15" hidden="1"/>
    <row r="645" ht="15" hidden="1"/>
    <row r="646" ht="15" hidden="1"/>
    <row r="647" ht="15" hidden="1"/>
    <row r="648" ht="15" hidden="1"/>
    <row r="649" ht="15" hidden="1"/>
    <row r="650" ht="15" hidden="1"/>
    <row r="651" ht="15" hidden="1"/>
    <row r="652" ht="15" hidden="1"/>
    <row r="653" ht="15" hidden="1"/>
    <row r="654" ht="15" hidden="1"/>
    <row r="655" ht="15" hidden="1"/>
    <row r="656" ht="15" hidden="1"/>
    <row r="657" ht="15" hidden="1"/>
    <row r="658" ht="15" hidden="1"/>
    <row r="659" ht="0" hidden="1" customHeight="1"/>
  </sheetData>
  <sheetProtection selectLockedCells="1"/>
  <autoFilter ref="A7:A549">
    <filterColumn colId="0">
      <filters>
        <filter val="TRUE"/>
      </filters>
    </filterColumn>
  </autoFilter>
  <mergeCells count="70">
    <mergeCell ref="G507:K507"/>
    <mergeCell ref="G514:K514"/>
    <mergeCell ref="G518:K518"/>
    <mergeCell ref="M521:M522"/>
    <mergeCell ref="O521:O522"/>
    <mergeCell ref="M493:M494"/>
    <mergeCell ref="O493:O494"/>
    <mergeCell ref="G406:K406"/>
    <mergeCell ref="G408:K408"/>
    <mergeCell ref="M411:M412"/>
    <mergeCell ref="O411:O412"/>
    <mergeCell ref="G433:K433"/>
    <mergeCell ref="M436:M437"/>
    <mergeCell ref="O436:O437"/>
    <mergeCell ref="G462:K462"/>
    <mergeCell ref="G464:K464"/>
    <mergeCell ref="M467:M468"/>
    <mergeCell ref="O467:O468"/>
    <mergeCell ref="G490:K490"/>
    <mergeCell ref="M372:M373"/>
    <mergeCell ref="O372:O373"/>
    <mergeCell ref="G262:K262"/>
    <mergeCell ref="M265:M266"/>
    <mergeCell ref="O265:O266"/>
    <mergeCell ref="G293:K293"/>
    <mergeCell ref="G295:K295"/>
    <mergeCell ref="M298:M299"/>
    <mergeCell ref="O298:O299"/>
    <mergeCell ref="G339:K339"/>
    <mergeCell ref="G341:K341"/>
    <mergeCell ref="M344:M345"/>
    <mergeCell ref="O344:O345"/>
    <mergeCell ref="G369:K369"/>
    <mergeCell ref="M240:M241"/>
    <mergeCell ref="O240:O241"/>
    <mergeCell ref="G151:K151"/>
    <mergeCell ref="M154:M155"/>
    <mergeCell ref="O154:O155"/>
    <mergeCell ref="G186:K186"/>
    <mergeCell ref="G188:K188"/>
    <mergeCell ref="M191:M192"/>
    <mergeCell ref="O191:O192"/>
    <mergeCell ref="G205:K205"/>
    <mergeCell ref="M208:M209"/>
    <mergeCell ref="O208:O209"/>
    <mergeCell ref="G235:K235"/>
    <mergeCell ref="G237:K237"/>
    <mergeCell ref="M108:M109"/>
    <mergeCell ref="O108:O109"/>
    <mergeCell ref="G127:K127"/>
    <mergeCell ref="M130:M131"/>
    <mergeCell ref="O130:O131"/>
    <mergeCell ref="G76:K76"/>
    <mergeCell ref="M79:M80"/>
    <mergeCell ref="O79:O80"/>
    <mergeCell ref="Q64:R64"/>
    <mergeCell ref="G105:K105"/>
    <mergeCell ref="G61:K61"/>
    <mergeCell ref="M64:M65"/>
    <mergeCell ref="O64:O65"/>
    <mergeCell ref="T64:U64"/>
    <mergeCell ref="Q73:R73"/>
    <mergeCell ref="T73:U73"/>
    <mergeCell ref="C2:E2"/>
    <mergeCell ref="C5:E5"/>
    <mergeCell ref="M7:M8"/>
    <mergeCell ref="O7:O8"/>
    <mergeCell ref="M45:M46"/>
    <mergeCell ref="O45:O46"/>
    <mergeCell ref="G42:K42"/>
  </mergeCells>
  <phoneticPr fontId="30" type="noConversion"/>
  <dataValidations count="2">
    <dataValidation type="list" allowBlank="1" showInputMessage="1" showErrorMessage="1" prompt="Select from dropdown" sqref="G530 G532 G534 G536 G538 G540 G542 G544 G546 G38 G505 G486 G456 G388 G363 G365 G329 G327 G289 G516 G258 G260 G225 G229 G221 G203 G199 G180 G174 G149 G95 G72 G74 G36 G291:G292">
      <formula1>"Yes (comment), No"</formula1>
    </dataValidation>
    <dataValidation type="list" allowBlank="1" showInputMessage="1" showErrorMessage="1" prompt="Select from dropdown" sqref="G454">
      <formula1>"Yes, No"</formula1>
    </dataValidation>
  </dataValidations>
  <pageMargins left="0.7" right="0.7" top="0.75" bottom="0.75" header="0.3" footer="0.3"/>
  <pageSetup scale="48" fitToHeight="0" orientation="landscape"/>
  <drawing r:id="rId1"/>
  <legacyDrawing r:id="rId2"/>
  <legacyDrawingHF r:id="rId3"/>
  <mc:AlternateContent xmlns:mc="http://schemas.openxmlformats.org/markup-compatibility/2006">
    <mc:Choice Requires="x14">
      <controls>
        <mc:AlternateContent xmlns:mc="http://schemas.openxmlformats.org/markup-compatibility/2006">
          <mc:Choice Requires="x14">
            <control shapeId="1025" r:id="rId4" name="Check Box 1">
              <controlPr locked="0" defaultSize="0" autoFill="0" autoLine="0" autoPict="0">
                <anchor moveWithCells="1" sizeWithCells="1">
                  <from>
                    <xdr:col>4</xdr:col>
                    <xdr:colOff>1495425</xdr:colOff>
                    <xdr:row>511</xdr:row>
                    <xdr:rowOff>495300</xdr:rowOff>
                  </from>
                  <to>
                    <xdr:col>4</xdr:col>
                    <xdr:colOff>1905000</xdr:colOff>
                    <xdr:row>512</xdr:row>
                    <xdr:rowOff>0</xdr:rowOff>
                  </to>
                </anchor>
              </controlPr>
            </control>
          </mc:Choice>
        </mc:AlternateContent>
        <mc:AlternateContent xmlns:mc="http://schemas.openxmlformats.org/markup-compatibility/2006">
          <mc:Choice Requires="x14">
            <control shapeId="1026" r:id="rId5" name="Check Box 2">
              <controlPr locked="0" defaultSize="0" autoFill="0" autoLine="0" autoPict="0">
                <anchor moveWithCells="1" sizeWithCells="1">
                  <from>
                    <xdr:col>4</xdr:col>
                    <xdr:colOff>2200275</xdr:colOff>
                    <xdr:row>273</xdr:row>
                    <xdr:rowOff>485775</xdr:rowOff>
                  </from>
                  <to>
                    <xdr:col>4</xdr:col>
                    <xdr:colOff>2600325</xdr:colOff>
                    <xdr:row>274</xdr:row>
                    <xdr:rowOff>0</xdr:rowOff>
                  </to>
                </anchor>
              </controlPr>
            </control>
          </mc:Choice>
        </mc:AlternateContent>
        <mc:AlternateContent xmlns:mc="http://schemas.openxmlformats.org/markup-compatibility/2006">
          <mc:Choice Requires="x14">
            <control shapeId="1027" r:id="rId6" name="Check Box 3">
              <controlPr locked="0" defaultSize="0" autoFill="0" autoLine="0" autoPict="0">
                <anchor moveWithCells="1">
                  <from>
                    <xdr:col>6</xdr:col>
                    <xdr:colOff>1304925</xdr:colOff>
                    <xdr:row>287</xdr:row>
                    <xdr:rowOff>0</xdr:rowOff>
                  </from>
                  <to>
                    <xdr:col>6</xdr:col>
                    <xdr:colOff>1704975</xdr:colOff>
                    <xdr:row>314</xdr:row>
                    <xdr:rowOff>466725</xdr:rowOff>
                  </to>
                </anchor>
              </controlPr>
            </control>
          </mc:Choice>
        </mc:AlternateContent>
        <mc:AlternateContent xmlns:mc="http://schemas.openxmlformats.org/markup-compatibility/2006">
          <mc:Choice Requires="x14">
            <control shapeId="1028" r:id="rId7" name="Check Box 4">
              <controlPr locked="0" defaultSize="0" autoFill="0" autoLine="0" autoPict="0">
                <anchor moveWithCells="1">
                  <from>
                    <xdr:col>6</xdr:col>
                    <xdr:colOff>1304925</xdr:colOff>
                    <xdr:row>287</xdr:row>
                    <xdr:rowOff>0</xdr:rowOff>
                  </from>
                  <to>
                    <xdr:col>6</xdr:col>
                    <xdr:colOff>1704975</xdr:colOff>
                    <xdr:row>314</xdr:row>
                    <xdr:rowOff>466725</xdr:rowOff>
                  </to>
                </anchor>
              </controlPr>
            </control>
          </mc:Choice>
        </mc:AlternateContent>
        <mc:AlternateContent xmlns:mc="http://schemas.openxmlformats.org/markup-compatibility/2006">
          <mc:Choice Requires="x14">
            <control shapeId="1029" r:id="rId8" name="Check Box 5">
              <controlPr locked="0" defaultSize="0" autoFill="0" autoLine="0" autoPict="0">
                <anchor moveWithCells="1" sizeWithCells="1">
                  <from>
                    <xdr:col>4</xdr:col>
                    <xdr:colOff>2200275</xdr:colOff>
                    <xdr:row>275</xdr:row>
                    <xdr:rowOff>485775</xdr:rowOff>
                  </from>
                  <to>
                    <xdr:col>4</xdr:col>
                    <xdr:colOff>2600325</xdr:colOff>
                    <xdr:row>276</xdr:row>
                    <xdr:rowOff>0</xdr:rowOff>
                  </to>
                </anchor>
              </controlPr>
            </control>
          </mc:Choice>
        </mc:AlternateContent>
        <mc:AlternateContent xmlns:mc="http://schemas.openxmlformats.org/markup-compatibility/2006">
          <mc:Choice Requires="x14">
            <control shapeId="1030" r:id="rId9" name="Check Box 6">
              <controlPr locked="0" defaultSize="0" autoFill="0" autoLine="0" autoPict="0">
                <anchor moveWithCells="1" sizeWithCells="1">
                  <from>
                    <xdr:col>4</xdr:col>
                    <xdr:colOff>2200275</xdr:colOff>
                    <xdr:row>277</xdr:row>
                    <xdr:rowOff>495300</xdr:rowOff>
                  </from>
                  <to>
                    <xdr:col>4</xdr:col>
                    <xdr:colOff>2600325</xdr:colOff>
                    <xdr:row>278</xdr:row>
                    <xdr:rowOff>0</xdr:rowOff>
                  </to>
                </anchor>
              </controlPr>
            </control>
          </mc:Choice>
        </mc:AlternateContent>
        <mc:AlternateContent xmlns:mc="http://schemas.openxmlformats.org/markup-compatibility/2006">
          <mc:Choice Requires="x14">
            <control shapeId="1031" r:id="rId10" name="Check Box 7">
              <controlPr locked="0" defaultSize="0" autoFill="0" autoLine="0" autoPict="0">
                <anchor moveWithCells="1">
                  <from>
                    <xdr:col>6</xdr:col>
                    <xdr:colOff>1362075</xdr:colOff>
                    <xdr:row>34</xdr:row>
                    <xdr:rowOff>0</xdr:rowOff>
                  </from>
                  <to>
                    <xdr:col>6</xdr:col>
                    <xdr:colOff>1752600</xdr:colOff>
                    <xdr:row>37</xdr:row>
                    <xdr:rowOff>390525</xdr:rowOff>
                  </to>
                </anchor>
              </controlPr>
            </control>
          </mc:Choice>
        </mc:AlternateContent>
        <mc:AlternateContent xmlns:mc="http://schemas.openxmlformats.org/markup-compatibility/2006">
          <mc:Choice Requires="x14">
            <control shapeId="1032" r:id="rId11" name="Check Box 8">
              <controlPr locked="0" defaultSize="0" autoFill="0" autoLine="0" autoPict="0">
                <anchor moveWithCells="1">
                  <from>
                    <xdr:col>6</xdr:col>
                    <xdr:colOff>1362075</xdr:colOff>
                    <xdr:row>34</xdr:row>
                    <xdr:rowOff>0</xdr:rowOff>
                  </from>
                  <to>
                    <xdr:col>6</xdr:col>
                    <xdr:colOff>1752600</xdr:colOff>
                    <xdr:row>37</xdr:row>
                    <xdr:rowOff>390525</xdr:rowOff>
                  </to>
                </anchor>
              </controlPr>
            </control>
          </mc:Choice>
        </mc:AlternateContent>
        <mc:AlternateContent xmlns:mc="http://schemas.openxmlformats.org/markup-compatibility/2006">
          <mc:Choice Requires="x14">
            <control shapeId="1033" r:id="rId12" name="Check Box 9">
              <controlPr locked="0" defaultSize="0" autoFill="0" autoLine="0" autoPict="0">
                <anchor moveWithCells="1" sizeWithCells="1">
                  <from>
                    <xdr:col>4</xdr:col>
                    <xdr:colOff>2314575</xdr:colOff>
                    <xdr:row>140</xdr:row>
                    <xdr:rowOff>504825</xdr:rowOff>
                  </from>
                  <to>
                    <xdr:col>4</xdr:col>
                    <xdr:colOff>2714625</xdr:colOff>
                    <xdr:row>141</xdr:row>
                    <xdr:rowOff>0</xdr:rowOff>
                  </to>
                </anchor>
              </controlPr>
            </control>
          </mc:Choice>
        </mc:AlternateContent>
        <mc:AlternateContent xmlns:mc="http://schemas.openxmlformats.org/markup-compatibility/2006">
          <mc:Choice Requires="x14">
            <control shapeId="1034" r:id="rId13" name="Check Box 10">
              <controlPr locked="0" defaultSize="0" autoFill="0" autoLine="0" autoPict="0">
                <anchor moveWithCells="1" sizeWithCells="1">
                  <from>
                    <xdr:col>4</xdr:col>
                    <xdr:colOff>2314575</xdr:colOff>
                    <xdr:row>144</xdr:row>
                    <xdr:rowOff>752475</xdr:rowOff>
                  </from>
                  <to>
                    <xdr:col>4</xdr:col>
                    <xdr:colOff>2714625</xdr:colOff>
                    <xdr:row>145</xdr:row>
                    <xdr:rowOff>0</xdr:rowOff>
                  </to>
                </anchor>
              </controlPr>
            </control>
          </mc:Choice>
        </mc:AlternateContent>
        <mc:AlternateContent xmlns:mc="http://schemas.openxmlformats.org/markup-compatibility/2006">
          <mc:Choice Requires="x14">
            <control shapeId="1035" r:id="rId14" name="Check Box 11">
              <controlPr locked="0" defaultSize="0" autoFill="0" autoLine="0" autoPict="0">
                <anchor moveWithCells="1">
                  <from>
                    <xdr:col>4</xdr:col>
                    <xdr:colOff>1495425</xdr:colOff>
                    <xdr:row>161</xdr:row>
                    <xdr:rowOff>257175</xdr:rowOff>
                  </from>
                  <to>
                    <xdr:col>4</xdr:col>
                    <xdr:colOff>1905000</xdr:colOff>
                    <xdr:row>161</xdr:row>
                    <xdr:rowOff>542925</xdr:rowOff>
                  </to>
                </anchor>
              </controlPr>
            </control>
          </mc:Choice>
        </mc:AlternateContent>
        <mc:AlternateContent xmlns:mc="http://schemas.openxmlformats.org/markup-compatibility/2006">
          <mc:Choice Requires="x14">
            <control shapeId="1036" r:id="rId15" name="Check Box 12">
              <controlPr locked="0" defaultSize="0" autoFill="0" autoLine="0" autoPict="0">
                <anchor moveWithCells="1">
                  <from>
                    <xdr:col>4</xdr:col>
                    <xdr:colOff>1476375</xdr:colOff>
                    <xdr:row>166</xdr:row>
                    <xdr:rowOff>0</xdr:rowOff>
                  </from>
                  <to>
                    <xdr:col>4</xdr:col>
                    <xdr:colOff>1866900</xdr:colOff>
                    <xdr:row>177</xdr:row>
                    <xdr:rowOff>190500</xdr:rowOff>
                  </to>
                </anchor>
              </controlPr>
            </control>
          </mc:Choice>
        </mc:AlternateContent>
        <mc:AlternateContent xmlns:mc="http://schemas.openxmlformats.org/markup-compatibility/2006">
          <mc:Choice Requires="x14">
            <control shapeId="1037" r:id="rId16" name="Check Box 13">
              <controlPr locked="0" defaultSize="0" autoFill="0" autoLine="0" autoPict="0">
                <anchor moveWithCells="1" sizeWithCells="1">
                  <from>
                    <xdr:col>4</xdr:col>
                    <xdr:colOff>1495425</xdr:colOff>
                    <xdr:row>177</xdr:row>
                    <xdr:rowOff>485775</xdr:rowOff>
                  </from>
                  <to>
                    <xdr:col>4</xdr:col>
                    <xdr:colOff>1905000</xdr:colOff>
                    <xdr:row>178</xdr:row>
                    <xdr:rowOff>0</xdr:rowOff>
                  </to>
                </anchor>
              </controlPr>
            </control>
          </mc:Choice>
        </mc:AlternateContent>
        <mc:AlternateContent xmlns:mc="http://schemas.openxmlformats.org/markup-compatibility/2006">
          <mc:Choice Requires="x14">
            <control shapeId="1038" r:id="rId17" name="Check Box 14">
              <controlPr locked="0" defaultSize="0" autoFill="0" autoLine="0" autoPict="0">
                <anchor moveWithCells="1" sizeWithCells="1">
                  <from>
                    <xdr:col>4</xdr:col>
                    <xdr:colOff>2352675</xdr:colOff>
                    <xdr:row>447</xdr:row>
                    <xdr:rowOff>504825</xdr:rowOff>
                  </from>
                  <to>
                    <xdr:col>4</xdr:col>
                    <xdr:colOff>2752725</xdr:colOff>
                    <xdr:row>448</xdr:row>
                    <xdr:rowOff>0</xdr:rowOff>
                  </to>
                </anchor>
              </controlPr>
            </control>
          </mc:Choice>
        </mc:AlternateContent>
        <mc:AlternateContent xmlns:mc="http://schemas.openxmlformats.org/markup-compatibility/2006">
          <mc:Choice Requires="x14">
            <control shapeId="1039" r:id="rId18" name="Check Box 15">
              <controlPr locked="0" defaultSize="0" autoFill="0" autoLine="0" autoPict="0">
                <anchor moveWithCells="1" sizeWithCells="1">
                  <from>
                    <xdr:col>4</xdr:col>
                    <xdr:colOff>2352675</xdr:colOff>
                    <xdr:row>449</xdr:row>
                    <xdr:rowOff>495300</xdr:rowOff>
                  </from>
                  <to>
                    <xdr:col>4</xdr:col>
                    <xdr:colOff>2752725</xdr:colOff>
                    <xdr:row>450</xdr:row>
                    <xdr:rowOff>0</xdr:rowOff>
                  </to>
                </anchor>
              </controlPr>
            </control>
          </mc:Choice>
        </mc:AlternateContent>
        <mc:AlternateContent xmlns:mc="http://schemas.openxmlformats.org/markup-compatibility/2006">
          <mc:Choice Requires="x14">
            <control shapeId="1040" r:id="rId19" name="Check Box 16">
              <controlPr locked="0" defaultSize="0" autoFill="0" autoLine="0" autoPict="0">
                <anchor moveWithCells="1" sizeWithCells="1">
                  <from>
                    <xdr:col>6</xdr:col>
                    <xdr:colOff>1362075</xdr:colOff>
                    <xdr:row>33</xdr:row>
                    <xdr:rowOff>47625</xdr:rowOff>
                  </from>
                  <to>
                    <xdr:col>7</xdr:col>
                    <xdr:colOff>38100</xdr:colOff>
                    <xdr:row>33</xdr:row>
                    <xdr:rowOff>342900</xdr:rowOff>
                  </to>
                </anchor>
              </controlPr>
            </control>
          </mc:Choice>
        </mc:AlternateContent>
        <mc:AlternateContent xmlns:mc="http://schemas.openxmlformats.org/markup-compatibility/2006">
          <mc:Choice Requires="x14">
            <control shapeId="1041" r:id="rId20" name="Check Box 17">
              <controlPr locked="0" defaultSize="0" autoFill="0" autoLine="0" autoPict="0">
                <anchor moveWithCells="1" sizeWithCells="1">
                  <from>
                    <xdr:col>6</xdr:col>
                    <xdr:colOff>1362075</xdr:colOff>
                    <xdr:row>33</xdr:row>
                    <xdr:rowOff>342900</xdr:rowOff>
                  </from>
                  <to>
                    <xdr:col>7</xdr:col>
                    <xdr:colOff>38100</xdr:colOff>
                    <xdr:row>33</xdr:row>
                    <xdr:rowOff>638175</xdr:rowOff>
                  </to>
                </anchor>
              </controlPr>
            </control>
          </mc:Choice>
        </mc:AlternateContent>
        <mc:AlternateContent xmlns:mc="http://schemas.openxmlformats.org/markup-compatibility/2006">
          <mc:Choice Requires="x14">
            <control shapeId="1042" r:id="rId21" name="Check Box 18">
              <controlPr locked="0" defaultSize="0" autoFill="0" autoLine="0" autoPict="0">
                <anchor moveWithCells="1" sizeWithCells="1">
                  <from>
                    <xdr:col>6</xdr:col>
                    <xdr:colOff>1362075</xdr:colOff>
                    <xdr:row>33</xdr:row>
                    <xdr:rowOff>638175</xdr:rowOff>
                  </from>
                  <to>
                    <xdr:col>7</xdr:col>
                    <xdr:colOff>38100</xdr:colOff>
                    <xdr:row>33</xdr:row>
                    <xdr:rowOff>923925</xdr:rowOff>
                  </to>
                </anchor>
              </controlPr>
            </control>
          </mc:Choice>
        </mc:AlternateContent>
        <mc:AlternateContent xmlns:mc="http://schemas.openxmlformats.org/markup-compatibility/2006">
          <mc:Choice Requires="x14">
            <control shapeId="1043" r:id="rId22" name="Check Box 19">
              <controlPr locked="0" defaultSize="0" autoFill="0" autoLine="0" autoPict="0">
                <anchor moveWithCells="1" sizeWithCells="1">
                  <from>
                    <xdr:col>6</xdr:col>
                    <xdr:colOff>1362075</xdr:colOff>
                    <xdr:row>33</xdr:row>
                    <xdr:rowOff>923925</xdr:rowOff>
                  </from>
                  <to>
                    <xdr:col>7</xdr:col>
                    <xdr:colOff>38100</xdr:colOff>
                    <xdr:row>33</xdr:row>
                    <xdr:rowOff>1219200</xdr:rowOff>
                  </to>
                </anchor>
              </controlPr>
            </control>
          </mc:Choice>
        </mc:AlternateContent>
        <mc:AlternateContent xmlns:mc="http://schemas.openxmlformats.org/markup-compatibility/2006">
          <mc:Choice Requires="x14">
            <control shapeId="1044" r:id="rId23" name="Check Box 20">
              <controlPr locked="0" defaultSize="0" autoFill="0" autoLine="0" autoPict="0">
                <anchor moveWithCells="1" sizeWithCells="1">
                  <from>
                    <xdr:col>6</xdr:col>
                    <xdr:colOff>1362075</xdr:colOff>
                    <xdr:row>33</xdr:row>
                    <xdr:rowOff>1219200</xdr:rowOff>
                  </from>
                  <to>
                    <xdr:col>7</xdr:col>
                    <xdr:colOff>38100</xdr:colOff>
                    <xdr:row>33</xdr:row>
                    <xdr:rowOff>1514475</xdr:rowOff>
                  </to>
                </anchor>
              </controlPr>
            </control>
          </mc:Choice>
        </mc:AlternateContent>
        <mc:AlternateContent xmlns:mc="http://schemas.openxmlformats.org/markup-compatibility/2006">
          <mc:Choice Requires="x14">
            <control shapeId="1045" r:id="rId24" name="Check Box 21">
              <controlPr locked="0" defaultSize="0" autoFill="0" autoLine="0" autoPict="0">
                <anchor moveWithCells="1" sizeWithCells="1">
                  <from>
                    <xdr:col>4</xdr:col>
                    <xdr:colOff>2200275</xdr:colOff>
                    <xdr:row>279</xdr:row>
                    <xdr:rowOff>495300</xdr:rowOff>
                  </from>
                  <to>
                    <xdr:col>4</xdr:col>
                    <xdr:colOff>2600325</xdr:colOff>
                    <xdr:row>280</xdr:row>
                    <xdr:rowOff>0</xdr:rowOff>
                  </to>
                </anchor>
              </controlPr>
            </control>
          </mc:Choice>
        </mc:AlternateContent>
        <mc:AlternateContent xmlns:mc="http://schemas.openxmlformats.org/markup-compatibility/2006">
          <mc:Choice Requires="x14">
            <control shapeId="1046" r:id="rId25" name="Check Box 22">
              <controlPr locked="0" defaultSize="0" autoFill="0" autoLine="0" autoPict="0">
                <anchor moveWithCells="1">
                  <from>
                    <xdr:col>6</xdr:col>
                    <xdr:colOff>1381125</xdr:colOff>
                    <xdr:row>163</xdr:row>
                    <xdr:rowOff>9525</xdr:rowOff>
                  </from>
                  <to>
                    <xdr:col>6</xdr:col>
                    <xdr:colOff>1781175</xdr:colOff>
                    <xdr:row>163</xdr:row>
                    <xdr:rowOff>333375</xdr:rowOff>
                  </to>
                </anchor>
              </controlPr>
            </control>
          </mc:Choice>
        </mc:AlternateContent>
        <mc:AlternateContent xmlns:mc="http://schemas.openxmlformats.org/markup-compatibility/2006">
          <mc:Choice Requires="x14">
            <control shapeId="1047" r:id="rId26" name="Check Box 23">
              <controlPr locked="0" defaultSize="0" autoFill="0" autoLine="0" autoPict="0">
                <anchor moveWithCells="1">
                  <from>
                    <xdr:col>6</xdr:col>
                    <xdr:colOff>1381125</xdr:colOff>
                    <xdr:row>163</xdr:row>
                    <xdr:rowOff>304800</xdr:rowOff>
                  </from>
                  <to>
                    <xdr:col>6</xdr:col>
                    <xdr:colOff>1781175</xdr:colOff>
                    <xdr:row>163</xdr:row>
                    <xdr:rowOff>571500</xdr:rowOff>
                  </to>
                </anchor>
              </controlPr>
            </control>
          </mc:Choice>
        </mc:AlternateContent>
        <mc:AlternateContent xmlns:mc="http://schemas.openxmlformats.org/markup-compatibility/2006">
          <mc:Choice Requires="x14">
            <control shapeId="1048" r:id="rId27" name="Check Box 24">
              <controlPr locked="0" defaultSize="0" autoFill="0" autoLine="0" autoPict="0">
                <anchor moveWithCells="1">
                  <from>
                    <xdr:col>6</xdr:col>
                    <xdr:colOff>1381125</xdr:colOff>
                    <xdr:row>163</xdr:row>
                    <xdr:rowOff>609600</xdr:rowOff>
                  </from>
                  <to>
                    <xdr:col>6</xdr:col>
                    <xdr:colOff>1781175</xdr:colOff>
                    <xdr:row>163</xdr:row>
                    <xdr:rowOff>847725</xdr:rowOff>
                  </to>
                </anchor>
              </controlPr>
            </control>
          </mc:Choice>
        </mc:AlternateContent>
        <mc:AlternateContent xmlns:mc="http://schemas.openxmlformats.org/markup-compatibility/2006">
          <mc:Choice Requires="x14">
            <control shapeId="1049" r:id="rId28" name="Check Box 25">
              <controlPr locked="0" defaultSize="0" autoFill="0" autoLine="0" autoPict="0">
                <anchor moveWithCells="1">
                  <from>
                    <xdr:col>6</xdr:col>
                    <xdr:colOff>1381125</xdr:colOff>
                    <xdr:row>163</xdr:row>
                    <xdr:rowOff>914400</xdr:rowOff>
                  </from>
                  <to>
                    <xdr:col>6</xdr:col>
                    <xdr:colOff>1781175</xdr:colOff>
                    <xdr:row>163</xdr:row>
                    <xdr:rowOff>1143000</xdr:rowOff>
                  </to>
                </anchor>
              </controlPr>
            </control>
          </mc:Choice>
        </mc:AlternateContent>
        <mc:AlternateContent xmlns:mc="http://schemas.openxmlformats.org/markup-compatibility/2006">
          <mc:Choice Requires="x14">
            <control shapeId="1050" r:id="rId29" name="Check Box 26">
              <controlPr locked="0" defaultSize="0" autoFill="0" autoLine="0" autoPict="0">
                <anchor moveWithCells="1">
                  <from>
                    <xdr:col>6</xdr:col>
                    <xdr:colOff>1371600</xdr:colOff>
                    <xdr:row>166</xdr:row>
                    <xdr:rowOff>0</xdr:rowOff>
                  </from>
                  <to>
                    <xdr:col>6</xdr:col>
                    <xdr:colOff>1762125</xdr:colOff>
                    <xdr:row>177</xdr:row>
                    <xdr:rowOff>238125</xdr:rowOff>
                  </to>
                </anchor>
              </controlPr>
            </control>
          </mc:Choice>
        </mc:AlternateContent>
        <mc:AlternateContent xmlns:mc="http://schemas.openxmlformats.org/markup-compatibility/2006">
          <mc:Choice Requires="x14">
            <control shapeId="1051" r:id="rId30" name="Check Box 27">
              <controlPr locked="0" defaultSize="0" autoFill="0" autoLine="0" autoPict="0">
                <anchor moveWithCells="1">
                  <from>
                    <xdr:col>6</xdr:col>
                    <xdr:colOff>1371600</xdr:colOff>
                    <xdr:row>166</xdr:row>
                    <xdr:rowOff>0</xdr:rowOff>
                  </from>
                  <to>
                    <xdr:col>6</xdr:col>
                    <xdr:colOff>1762125</xdr:colOff>
                    <xdr:row>177</xdr:row>
                    <xdr:rowOff>238125</xdr:rowOff>
                  </to>
                </anchor>
              </controlPr>
            </control>
          </mc:Choice>
        </mc:AlternateContent>
        <mc:AlternateContent xmlns:mc="http://schemas.openxmlformats.org/markup-compatibility/2006">
          <mc:Choice Requires="x14">
            <control shapeId="1052" r:id="rId31" name="Check Box 28">
              <controlPr locked="0" defaultSize="0" autoFill="0" autoLine="0" autoPict="0">
                <anchor moveWithCells="1">
                  <from>
                    <xdr:col>6</xdr:col>
                    <xdr:colOff>1371600</xdr:colOff>
                    <xdr:row>166</xdr:row>
                    <xdr:rowOff>0</xdr:rowOff>
                  </from>
                  <to>
                    <xdr:col>6</xdr:col>
                    <xdr:colOff>1762125</xdr:colOff>
                    <xdr:row>177</xdr:row>
                    <xdr:rowOff>238125</xdr:rowOff>
                  </to>
                </anchor>
              </controlPr>
            </control>
          </mc:Choice>
        </mc:AlternateContent>
        <mc:AlternateContent xmlns:mc="http://schemas.openxmlformats.org/markup-compatibility/2006">
          <mc:Choice Requires="x14">
            <control shapeId="1053" r:id="rId32" name="Check Box 29">
              <controlPr locked="0" defaultSize="0" autoFill="0" autoLine="0" autoPict="0">
                <anchor moveWithCells="1">
                  <from>
                    <xdr:col>6</xdr:col>
                    <xdr:colOff>1371600</xdr:colOff>
                    <xdr:row>166</xdr:row>
                    <xdr:rowOff>0</xdr:rowOff>
                  </from>
                  <to>
                    <xdr:col>6</xdr:col>
                    <xdr:colOff>1762125</xdr:colOff>
                    <xdr:row>177</xdr:row>
                    <xdr:rowOff>295275</xdr:rowOff>
                  </to>
                </anchor>
              </controlPr>
            </control>
          </mc:Choice>
        </mc:AlternateContent>
        <mc:AlternateContent xmlns:mc="http://schemas.openxmlformats.org/markup-compatibility/2006">
          <mc:Choice Requires="x14">
            <control shapeId="1054" r:id="rId33" name="Check Box 30">
              <controlPr locked="0" defaultSize="0" autoFill="0" autoLine="0" autoPict="0">
                <anchor moveWithCells="1">
                  <from>
                    <xdr:col>6</xdr:col>
                    <xdr:colOff>1381125</xdr:colOff>
                    <xdr:row>166</xdr:row>
                    <xdr:rowOff>0</xdr:rowOff>
                  </from>
                  <to>
                    <xdr:col>6</xdr:col>
                    <xdr:colOff>1781175</xdr:colOff>
                    <xdr:row>177</xdr:row>
                    <xdr:rowOff>180975</xdr:rowOff>
                  </to>
                </anchor>
              </controlPr>
            </control>
          </mc:Choice>
        </mc:AlternateContent>
        <mc:AlternateContent xmlns:mc="http://schemas.openxmlformats.org/markup-compatibility/2006">
          <mc:Choice Requires="x14">
            <control shapeId="1055" r:id="rId34" name="Check Box 31">
              <controlPr locked="0" defaultSize="0" autoFill="0" autoLine="0" autoPict="0">
                <anchor moveWithCells="1">
                  <from>
                    <xdr:col>6</xdr:col>
                    <xdr:colOff>1381125</xdr:colOff>
                    <xdr:row>166</xdr:row>
                    <xdr:rowOff>0</xdr:rowOff>
                  </from>
                  <to>
                    <xdr:col>6</xdr:col>
                    <xdr:colOff>1781175</xdr:colOff>
                    <xdr:row>177</xdr:row>
                    <xdr:rowOff>200025</xdr:rowOff>
                  </to>
                </anchor>
              </controlPr>
            </control>
          </mc:Choice>
        </mc:AlternateContent>
        <mc:AlternateContent xmlns:mc="http://schemas.openxmlformats.org/markup-compatibility/2006">
          <mc:Choice Requires="x14">
            <control shapeId="1071" r:id="rId35" name="Check Box 47">
              <controlPr locked="0" defaultSize="0" autoFill="0" autoLine="0" autoPict="0">
                <anchor moveWithCells="1">
                  <from>
                    <xdr:col>4</xdr:col>
                    <xdr:colOff>1485900</xdr:colOff>
                    <xdr:row>95</xdr:row>
                    <xdr:rowOff>0</xdr:rowOff>
                  </from>
                  <to>
                    <xdr:col>4</xdr:col>
                    <xdr:colOff>1876425</xdr:colOff>
                    <xdr:row>104</xdr:row>
                    <xdr:rowOff>190500</xdr:rowOff>
                  </to>
                </anchor>
              </controlPr>
            </control>
          </mc:Choice>
        </mc:AlternateContent>
        <mc:AlternateContent xmlns:mc="http://schemas.openxmlformats.org/markup-compatibility/2006">
          <mc:Choice Requires="x14">
            <control shapeId="1072" r:id="rId36" name="Check Box 48">
              <controlPr locked="0" defaultSize="0" autoFill="0" autoLine="0" autoPict="0">
                <anchor moveWithCells="1">
                  <from>
                    <xdr:col>4</xdr:col>
                    <xdr:colOff>9525</xdr:colOff>
                    <xdr:row>287</xdr:row>
                    <xdr:rowOff>0</xdr:rowOff>
                  </from>
                  <to>
                    <xdr:col>4</xdr:col>
                    <xdr:colOff>409575</xdr:colOff>
                    <xdr:row>314</xdr:row>
                    <xdr:rowOff>457200</xdr:rowOff>
                  </to>
                </anchor>
              </controlPr>
            </control>
          </mc:Choice>
        </mc:AlternateContent>
        <mc:AlternateContent xmlns:mc="http://schemas.openxmlformats.org/markup-compatibility/2006">
          <mc:Choice Requires="x14">
            <control shapeId="1076" r:id="rId37" name="Check Box 52">
              <controlPr locked="0" defaultSize="0" autoFill="0" autoLine="0" autoPict="0">
                <anchor moveWithCells="1" sizeWithCells="1">
                  <from>
                    <xdr:col>4</xdr:col>
                    <xdr:colOff>1476375</xdr:colOff>
                    <xdr:row>475</xdr:row>
                    <xdr:rowOff>504825</xdr:rowOff>
                  </from>
                  <to>
                    <xdr:col>4</xdr:col>
                    <xdr:colOff>1876425</xdr:colOff>
                    <xdr:row>476</xdr:row>
                    <xdr:rowOff>0</xdr:rowOff>
                  </to>
                </anchor>
              </controlPr>
            </control>
          </mc:Choice>
        </mc:AlternateContent>
        <mc:AlternateContent xmlns:mc="http://schemas.openxmlformats.org/markup-compatibility/2006">
          <mc:Choice Requires="x14">
            <control shapeId="1077" r:id="rId38" name="Check Box 53">
              <controlPr locked="0" defaultSize="0" autoFill="0" autoLine="0" autoPict="0">
                <anchor moveWithCells="1">
                  <from>
                    <xdr:col>4</xdr:col>
                    <xdr:colOff>2276475</xdr:colOff>
                    <xdr:row>88</xdr:row>
                    <xdr:rowOff>495300</xdr:rowOff>
                  </from>
                  <to>
                    <xdr:col>4</xdr:col>
                    <xdr:colOff>2667000</xdr:colOff>
                    <xdr:row>89</xdr:row>
                    <xdr:rowOff>0</xdr:rowOff>
                  </to>
                </anchor>
              </controlPr>
            </control>
          </mc:Choice>
        </mc:AlternateContent>
        <mc:AlternateContent xmlns:mc="http://schemas.openxmlformats.org/markup-compatibility/2006">
          <mc:Choice Requires="x14">
            <control shapeId="1078" r:id="rId39" name="Check Box 54">
              <controlPr locked="0" defaultSize="0" autoFill="0" autoLine="0" autoPict="0">
                <anchor moveWithCells="1">
                  <from>
                    <xdr:col>4</xdr:col>
                    <xdr:colOff>1485900</xdr:colOff>
                    <xdr:row>199</xdr:row>
                    <xdr:rowOff>0</xdr:rowOff>
                  </from>
                  <to>
                    <xdr:col>4</xdr:col>
                    <xdr:colOff>1876425</xdr:colOff>
                    <xdr:row>204</xdr:row>
                    <xdr:rowOff>200025</xdr:rowOff>
                  </to>
                </anchor>
              </controlPr>
            </control>
          </mc:Choice>
        </mc:AlternateContent>
        <mc:AlternateContent xmlns:mc="http://schemas.openxmlformats.org/markup-compatibility/2006">
          <mc:Choice Requires="x14">
            <control shapeId="1079" r:id="rId40" name="Check Box 55">
              <controlPr locked="0" defaultSize="0" autoFill="0" autoLine="0" autoPict="0">
                <anchor moveWithCells="1">
                  <from>
                    <xdr:col>6</xdr:col>
                    <xdr:colOff>1400175</xdr:colOff>
                    <xdr:row>221</xdr:row>
                    <xdr:rowOff>0</xdr:rowOff>
                  </from>
                  <to>
                    <xdr:col>6</xdr:col>
                    <xdr:colOff>1790700</xdr:colOff>
                    <xdr:row>241</xdr:row>
                    <xdr:rowOff>47625</xdr:rowOff>
                  </to>
                </anchor>
              </controlPr>
            </control>
          </mc:Choice>
        </mc:AlternateContent>
        <mc:AlternateContent xmlns:mc="http://schemas.openxmlformats.org/markup-compatibility/2006">
          <mc:Choice Requires="x14">
            <control shapeId="1080" r:id="rId41" name="Check Box 56">
              <controlPr locked="0" defaultSize="0" autoFill="0" autoLine="0" autoPict="0">
                <anchor moveWithCells="1">
                  <from>
                    <xdr:col>6</xdr:col>
                    <xdr:colOff>1400175</xdr:colOff>
                    <xdr:row>221</xdr:row>
                    <xdr:rowOff>0</xdr:rowOff>
                  </from>
                  <to>
                    <xdr:col>6</xdr:col>
                    <xdr:colOff>1790700</xdr:colOff>
                    <xdr:row>241</xdr:row>
                    <xdr:rowOff>47625</xdr:rowOff>
                  </to>
                </anchor>
              </controlPr>
            </control>
          </mc:Choice>
        </mc:AlternateContent>
        <mc:AlternateContent xmlns:mc="http://schemas.openxmlformats.org/markup-compatibility/2006">
          <mc:Choice Requires="x14">
            <control shapeId="1081" r:id="rId42" name="Check Box 57">
              <controlPr locked="0" defaultSize="0" autoFill="0" autoLine="0" autoPict="0">
                <anchor moveWithCells="1">
                  <from>
                    <xdr:col>4</xdr:col>
                    <xdr:colOff>1590675</xdr:colOff>
                    <xdr:row>385</xdr:row>
                    <xdr:rowOff>495300</xdr:rowOff>
                  </from>
                  <to>
                    <xdr:col>4</xdr:col>
                    <xdr:colOff>1981200</xdr:colOff>
                    <xdr:row>386</xdr:row>
                    <xdr:rowOff>0</xdr:rowOff>
                  </to>
                </anchor>
              </controlPr>
            </control>
          </mc:Choice>
        </mc:AlternateContent>
        <mc:AlternateContent xmlns:mc="http://schemas.openxmlformats.org/markup-compatibility/2006">
          <mc:Choice Requires="x14">
            <control shapeId="1082" r:id="rId43" name="Check Box 58">
              <controlPr locked="0" defaultSize="0" autoFill="0" autoLine="0" autoPict="0">
                <anchor moveWithCells="1">
                  <from>
                    <xdr:col>4</xdr:col>
                    <xdr:colOff>1438275</xdr:colOff>
                    <xdr:row>314</xdr:row>
                    <xdr:rowOff>495300</xdr:rowOff>
                  </from>
                  <to>
                    <xdr:col>4</xdr:col>
                    <xdr:colOff>1828800</xdr:colOff>
                    <xdr:row>315</xdr:row>
                    <xdr:rowOff>0</xdr:rowOff>
                  </to>
                </anchor>
              </controlPr>
            </control>
          </mc:Choice>
        </mc:AlternateContent>
        <mc:AlternateContent xmlns:mc="http://schemas.openxmlformats.org/markup-compatibility/2006">
          <mc:Choice Requires="x14">
            <control shapeId="1083" r:id="rId44" name="Check Box 59">
              <controlPr locked="0" defaultSize="0" autoFill="0" autoLine="0" autoPict="0">
                <anchor moveWithCells="1">
                  <from>
                    <xdr:col>4</xdr:col>
                    <xdr:colOff>1438275</xdr:colOff>
                    <xdr:row>221</xdr:row>
                    <xdr:rowOff>0</xdr:rowOff>
                  </from>
                  <to>
                    <xdr:col>4</xdr:col>
                    <xdr:colOff>1838325</xdr:colOff>
                    <xdr:row>234</xdr:row>
                    <xdr:rowOff>219075</xdr:rowOff>
                  </to>
                </anchor>
              </controlPr>
            </control>
          </mc:Choice>
        </mc:AlternateContent>
        <mc:AlternateContent xmlns:mc="http://schemas.openxmlformats.org/markup-compatibility/2006">
          <mc:Choice Requires="x14">
            <control shapeId="1084" r:id="rId45" name="Check Box 60">
              <controlPr locked="0" defaultSize="0" autoFill="0" autoLine="0" autoPict="0">
                <anchor moveWithCells="1">
                  <from>
                    <xdr:col>6</xdr:col>
                    <xdr:colOff>1362075</xdr:colOff>
                    <xdr:row>34</xdr:row>
                    <xdr:rowOff>0</xdr:rowOff>
                  </from>
                  <to>
                    <xdr:col>6</xdr:col>
                    <xdr:colOff>1752600</xdr:colOff>
                    <xdr:row>37</xdr:row>
                    <xdr:rowOff>390525</xdr:rowOff>
                  </to>
                </anchor>
              </controlPr>
            </control>
          </mc:Choice>
        </mc:AlternateContent>
        <mc:AlternateContent xmlns:mc="http://schemas.openxmlformats.org/markup-compatibility/2006">
          <mc:Choice Requires="x14">
            <control shapeId="1085" r:id="rId46" name="Check Box 61">
              <controlPr locked="0" defaultSize="0" autoFill="0" autoLine="0" autoPict="0">
                <anchor moveWithCells="1">
                  <from>
                    <xdr:col>6</xdr:col>
                    <xdr:colOff>1362075</xdr:colOff>
                    <xdr:row>34</xdr:row>
                    <xdr:rowOff>0</xdr:rowOff>
                  </from>
                  <to>
                    <xdr:col>6</xdr:col>
                    <xdr:colOff>1752600</xdr:colOff>
                    <xdr:row>37</xdr:row>
                    <xdr:rowOff>390525</xdr:rowOff>
                  </to>
                </anchor>
              </controlPr>
            </control>
          </mc:Choice>
        </mc:AlternateContent>
        <mc:AlternateContent xmlns:mc="http://schemas.openxmlformats.org/markup-compatibility/2006">
          <mc:Choice Requires="x14">
            <control shapeId="1086" r:id="rId47" name="Check Box 62">
              <controlPr locked="0" defaultSize="0" autoFill="0" autoLine="0" autoPict="0">
                <anchor moveWithCells="1">
                  <from>
                    <xdr:col>6</xdr:col>
                    <xdr:colOff>1362075</xdr:colOff>
                    <xdr:row>67</xdr:row>
                    <xdr:rowOff>0</xdr:rowOff>
                  </from>
                  <to>
                    <xdr:col>6</xdr:col>
                    <xdr:colOff>1752600</xdr:colOff>
                    <xdr:row>71</xdr:row>
                    <xdr:rowOff>228600</xdr:rowOff>
                  </to>
                </anchor>
              </controlPr>
            </control>
          </mc:Choice>
        </mc:AlternateContent>
        <mc:AlternateContent xmlns:mc="http://schemas.openxmlformats.org/markup-compatibility/2006">
          <mc:Choice Requires="x14">
            <control shapeId="1087" r:id="rId48" name="Check Box 63">
              <controlPr locked="0" defaultSize="0" autoFill="0" autoLine="0" autoPict="0">
                <anchor moveWithCells="1">
                  <from>
                    <xdr:col>6</xdr:col>
                    <xdr:colOff>1362075</xdr:colOff>
                    <xdr:row>67</xdr:row>
                    <xdr:rowOff>0</xdr:rowOff>
                  </from>
                  <to>
                    <xdr:col>6</xdr:col>
                    <xdr:colOff>1752600</xdr:colOff>
                    <xdr:row>71</xdr:row>
                    <xdr:rowOff>228600</xdr:rowOff>
                  </to>
                </anchor>
              </controlPr>
            </control>
          </mc:Choice>
        </mc:AlternateContent>
        <mc:AlternateContent xmlns:mc="http://schemas.openxmlformats.org/markup-compatibility/2006">
          <mc:Choice Requires="x14">
            <control shapeId="1088" r:id="rId49" name="Check Box 64">
              <controlPr locked="0" defaultSize="0" autoFill="0" autoLine="0" autoPict="0">
                <anchor moveWithCells="1">
                  <from>
                    <xdr:col>6</xdr:col>
                    <xdr:colOff>1362075</xdr:colOff>
                    <xdr:row>72</xdr:row>
                    <xdr:rowOff>0</xdr:rowOff>
                  </from>
                  <to>
                    <xdr:col>6</xdr:col>
                    <xdr:colOff>1752600</xdr:colOff>
                    <xdr:row>75</xdr:row>
                    <xdr:rowOff>390525</xdr:rowOff>
                  </to>
                </anchor>
              </controlPr>
            </control>
          </mc:Choice>
        </mc:AlternateContent>
        <mc:AlternateContent xmlns:mc="http://schemas.openxmlformats.org/markup-compatibility/2006">
          <mc:Choice Requires="x14">
            <control shapeId="1089" r:id="rId50" name="Check Box 65">
              <controlPr locked="0" defaultSize="0" autoFill="0" autoLine="0" autoPict="0">
                <anchor moveWithCells="1">
                  <from>
                    <xdr:col>6</xdr:col>
                    <xdr:colOff>1362075</xdr:colOff>
                    <xdr:row>72</xdr:row>
                    <xdr:rowOff>0</xdr:rowOff>
                  </from>
                  <to>
                    <xdr:col>6</xdr:col>
                    <xdr:colOff>1752600</xdr:colOff>
                    <xdr:row>75</xdr:row>
                    <xdr:rowOff>390525</xdr:rowOff>
                  </to>
                </anchor>
              </controlPr>
            </control>
          </mc:Choice>
        </mc:AlternateContent>
        <mc:AlternateContent xmlns:mc="http://schemas.openxmlformats.org/markup-compatibility/2006">
          <mc:Choice Requires="x14">
            <control shapeId="1090" r:id="rId51" name="Check Box 66">
              <controlPr locked="0" defaultSize="0" autoFill="0" autoLine="0" autoPict="0">
                <anchor moveWithCells="1">
                  <from>
                    <xdr:col>6</xdr:col>
                    <xdr:colOff>1362075</xdr:colOff>
                    <xdr:row>93</xdr:row>
                    <xdr:rowOff>0</xdr:rowOff>
                  </from>
                  <to>
                    <xdr:col>6</xdr:col>
                    <xdr:colOff>1752600</xdr:colOff>
                    <xdr:row>94</xdr:row>
                    <xdr:rowOff>390525</xdr:rowOff>
                  </to>
                </anchor>
              </controlPr>
            </control>
          </mc:Choice>
        </mc:AlternateContent>
        <mc:AlternateContent xmlns:mc="http://schemas.openxmlformats.org/markup-compatibility/2006">
          <mc:Choice Requires="x14">
            <control shapeId="1091" r:id="rId52" name="Check Box 67">
              <controlPr locked="0" defaultSize="0" autoFill="0" autoLine="0" autoPict="0">
                <anchor moveWithCells="1">
                  <from>
                    <xdr:col>6</xdr:col>
                    <xdr:colOff>1362075</xdr:colOff>
                    <xdr:row>93</xdr:row>
                    <xdr:rowOff>0</xdr:rowOff>
                  </from>
                  <to>
                    <xdr:col>6</xdr:col>
                    <xdr:colOff>1752600</xdr:colOff>
                    <xdr:row>94</xdr:row>
                    <xdr:rowOff>390525</xdr:rowOff>
                  </to>
                </anchor>
              </controlPr>
            </control>
          </mc:Choice>
        </mc:AlternateContent>
        <mc:AlternateContent xmlns:mc="http://schemas.openxmlformats.org/markup-compatibility/2006">
          <mc:Choice Requires="x14">
            <control shapeId="1092" r:id="rId53" name="Check Box 68">
              <controlPr locked="0" defaultSize="0" autoFill="0" autoLine="0" autoPict="0">
                <anchor moveWithCells="1">
                  <from>
                    <xdr:col>6</xdr:col>
                    <xdr:colOff>1362075</xdr:colOff>
                    <xdr:row>147</xdr:row>
                    <xdr:rowOff>0</xdr:rowOff>
                  </from>
                  <to>
                    <xdr:col>6</xdr:col>
                    <xdr:colOff>1752600</xdr:colOff>
                    <xdr:row>150</xdr:row>
                    <xdr:rowOff>390525</xdr:rowOff>
                  </to>
                </anchor>
              </controlPr>
            </control>
          </mc:Choice>
        </mc:AlternateContent>
        <mc:AlternateContent xmlns:mc="http://schemas.openxmlformats.org/markup-compatibility/2006">
          <mc:Choice Requires="x14">
            <control shapeId="1093" r:id="rId54" name="Check Box 69">
              <controlPr locked="0" defaultSize="0" autoFill="0" autoLine="0" autoPict="0">
                <anchor moveWithCells="1">
                  <from>
                    <xdr:col>6</xdr:col>
                    <xdr:colOff>1362075</xdr:colOff>
                    <xdr:row>147</xdr:row>
                    <xdr:rowOff>0</xdr:rowOff>
                  </from>
                  <to>
                    <xdr:col>6</xdr:col>
                    <xdr:colOff>1752600</xdr:colOff>
                    <xdr:row>150</xdr:row>
                    <xdr:rowOff>390525</xdr:rowOff>
                  </to>
                </anchor>
              </controlPr>
            </control>
          </mc:Choice>
        </mc:AlternateContent>
        <mc:AlternateContent xmlns:mc="http://schemas.openxmlformats.org/markup-compatibility/2006">
          <mc:Choice Requires="x14">
            <control shapeId="1094" r:id="rId55" name="Check Box 70">
              <controlPr locked="0" defaultSize="0" autoFill="0" autoLine="0" autoPict="0">
                <anchor moveWithCells="1">
                  <from>
                    <xdr:col>6</xdr:col>
                    <xdr:colOff>1362075</xdr:colOff>
                    <xdr:row>166</xdr:row>
                    <xdr:rowOff>0</xdr:rowOff>
                  </from>
                  <to>
                    <xdr:col>6</xdr:col>
                    <xdr:colOff>1752600</xdr:colOff>
                    <xdr:row>177</xdr:row>
                    <xdr:rowOff>390525</xdr:rowOff>
                  </to>
                </anchor>
              </controlPr>
            </control>
          </mc:Choice>
        </mc:AlternateContent>
        <mc:AlternateContent xmlns:mc="http://schemas.openxmlformats.org/markup-compatibility/2006">
          <mc:Choice Requires="x14">
            <control shapeId="1095" r:id="rId56" name="Check Box 71">
              <controlPr locked="0" defaultSize="0" autoFill="0" autoLine="0" autoPict="0">
                <anchor moveWithCells="1">
                  <from>
                    <xdr:col>6</xdr:col>
                    <xdr:colOff>1362075</xdr:colOff>
                    <xdr:row>166</xdr:row>
                    <xdr:rowOff>0</xdr:rowOff>
                  </from>
                  <to>
                    <xdr:col>6</xdr:col>
                    <xdr:colOff>1752600</xdr:colOff>
                    <xdr:row>177</xdr:row>
                    <xdr:rowOff>390525</xdr:rowOff>
                  </to>
                </anchor>
              </controlPr>
            </control>
          </mc:Choice>
        </mc:AlternateContent>
        <mc:AlternateContent xmlns:mc="http://schemas.openxmlformats.org/markup-compatibility/2006">
          <mc:Choice Requires="x14">
            <control shapeId="1096" r:id="rId57" name="Check Box 72">
              <controlPr locked="0" defaultSize="0" autoFill="0" autoLine="0" autoPict="0">
                <anchor moveWithCells="1">
                  <from>
                    <xdr:col>6</xdr:col>
                    <xdr:colOff>1362075</xdr:colOff>
                    <xdr:row>178</xdr:row>
                    <xdr:rowOff>0</xdr:rowOff>
                  </from>
                  <to>
                    <xdr:col>6</xdr:col>
                    <xdr:colOff>1752600</xdr:colOff>
                    <xdr:row>181</xdr:row>
                    <xdr:rowOff>390525</xdr:rowOff>
                  </to>
                </anchor>
              </controlPr>
            </control>
          </mc:Choice>
        </mc:AlternateContent>
        <mc:AlternateContent xmlns:mc="http://schemas.openxmlformats.org/markup-compatibility/2006">
          <mc:Choice Requires="x14">
            <control shapeId="1097" r:id="rId58" name="Check Box 73">
              <controlPr locked="0" defaultSize="0" autoFill="0" autoLine="0" autoPict="0">
                <anchor moveWithCells="1">
                  <from>
                    <xdr:col>6</xdr:col>
                    <xdr:colOff>1362075</xdr:colOff>
                    <xdr:row>178</xdr:row>
                    <xdr:rowOff>0</xdr:rowOff>
                  </from>
                  <to>
                    <xdr:col>6</xdr:col>
                    <xdr:colOff>1752600</xdr:colOff>
                    <xdr:row>181</xdr:row>
                    <xdr:rowOff>390525</xdr:rowOff>
                  </to>
                </anchor>
              </controlPr>
            </control>
          </mc:Choice>
        </mc:AlternateContent>
        <mc:AlternateContent xmlns:mc="http://schemas.openxmlformats.org/markup-compatibility/2006">
          <mc:Choice Requires="x14">
            <control shapeId="1098" r:id="rId59" name="Check Box 74">
              <controlPr locked="0" defaultSize="0" autoFill="0" autoLine="0" autoPict="0">
                <anchor moveWithCells="1">
                  <from>
                    <xdr:col>6</xdr:col>
                    <xdr:colOff>1362075</xdr:colOff>
                    <xdr:row>194</xdr:row>
                    <xdr:rowOff>0</xdr:rowOff>
                  </from>
                  <to>
                    <xdr:col>6</xdr:col>
                    <xdr:colOff>1752600</xdr:colOff>
                    <xdr:row>198</xdr:row>
                    <xdr:rowOff>238125</xdr:rowOff>
                  </to>
                </anchor>
              </controlPr>
            </control>
          </mc:Choice>
        </mc:AlternateContent>
        <mc:AlternateContent xmlns:mc="http://schemas.openxmlformats.org/markup-compatibility/2006">
          <mc:Choice Requires="x14">
            <control shapeId="1099" r:id="rId60" name="Check Box 75">
              <controlPr locked="0" defaultSize="0" autoFill="0" autoLine="0" autoPict="0">
                <anchor moveWithCells="1">
                  <from>
                    <xdr:col>6</xdr:col>
                    <xdr:colOff>1362075</xdr:colOff>
                    <xdr:row>194</xdr:row>
                    <xdr:rowOff>0</xdr:rowOff>
                  </from>
                  <to>
                    <xdr:col>6</xdr:col>
                    <xdr:colOff>1752600</xdr:colOff>
                    <xdr:row>198</xdr:row>
                    <xdr:rowOff>238125</xdr:rowOff>
                  </to>
                </anchor>
              </controlPr>
            </control>
          </mc:Choice>
        </mc:AlternateContent>
        <mc:AlternateContent xmlns:mc="http://schemas.openxmlformats.org/markup-compatibility/2006">
          <mc:Choice Requires="x14">
            <control shapeId="1100" r:id="rId61" name="Check Box 76">
              <controlPr locked="0" defaultSize="0" autoFill="0" autoLine="0" autoPict="0">
                <anchor moveWithCells="1">
                  <from>
                    <xdr:col>6</xdr:col>
                    <xdr:colOff>1362075</xdr:colOff>
                    <xdr:row>199</xdr:row>
                    <xdr:rowOff>0</xdr:rowOff>
                  </from>
                  <to>
                    <xdr:col>6</xdr:col>
                    <xdr:colOff>1752600</xdr:colOff>
                    <xdr:row>204</xdr:row>
                    <xdr:rowOff>390525</xdr:rowOff>
                  </to>
                </anchor>
              </controlPr>
            </control>
          </mc:Choice>
        </mc:AlternateContent>
        <mc:AlternateContent xmlns:mc="http://schemas.openxmlformats.org/markup-compatibility/2006">
          <mc:Choice Requires="x14">
            <control shapeId="1101" r:id="rId62" name="Check Box 77">
              <controlPr locked="0" defaultSize="0" autoFill="0" autoLine="0" autoPict="0">
                <anchor moveWithCells="1">
                  <from>
                    <xdr:col>6</xdr:col>
                    <xdr:colOff>1362075</xdr:colOff>
                    <xdr:row>199</xdr:row>
                    <xdr:rowOff>0</xdr:rowOff>
                  </from>
                  <to>
                    <xdr:col>6</xdr:col>
                    <xdr:colOff>1752600</xdr:colOff>
                    <xdr:row>204</xdr:row>
                    <xdr:rowOff>390525</xdr:rowOff>
                  </to>
                </anchor>
              </controlPr>
            </control>
          </mc:Choice>
        </mc:AlternateContent>
        <mc:AlternateContent xmlns:mc="http://schemas.openxmlformats.org/markup-compatibility/2006">
          <mc:Choice Requires="x14">
            <control shapeId="1102" r:id="rId63" name="Check Box 78">
              <controlPr locked="0" defaultSize="0" autoFill="0" autoLine="0" autoPict="0">
                <anchor moveWithCells="1">
                  <from>
                    <xdr:col>6</xdr:col>
                    <xdr:colOff>1362075</xdr:colOff>
                    <xdr:row>219</xdr:row>
                    <xdr:rowOff>0</xdr:rowOff>
                  </from>
                  <to>
                    <xdr:col>6</xdr:col>
                    <xdr:colOff>1752600</xdr:colOff>
                    <xdr:row>220</xdr:row>
                    <xdr:rowOff>390525</xdr:rowOff>
                  </to>
                </anchor>
              </controlPr>
            </control>
          </mc:Choice>
        </mc:AlternateContent>
        <mc:AlternateContent xmlns:mc="http://schemas.openxmlformats.org/markup-compatibility/2006">
          <mc:Choice Requires="x14">
            <control shapeId="1103" r:id="rId64" name="Check Box 79">
              <controlPr locked="0" defaultSize="0" autoFill="0" autoLine="0" autoPict="0">
                <anchor moveWithCells="1">
                  <from>
                    <xdr:col>6</xdr:col>
                    <xdr:colOff>1362075</xdr:colOff>
                    <xdr:row>219</xdr:row>
                    <xdr:rowOff>0</xdr:rowOff>
                  </from>
                  <to>
                    <xdr:col>6</xdr:col>
                    <xdr:colOff>1752600</xdr:colOff>
                    <xdr:row>220</xdr:row>
                    <xdr:rowOff>390525</xdr:rowOff>
                  </to>
                </anchor>
              </controlPr>
            </control>
          </mc:Choice>
        </mc:AlternateContent>
        <mc:AlternateContent xmlns:mc="http://schemas.openxmlformats.org/markup-compatibility/2006">
          <mc:Choice Requires="x14">
            <control shapeId="1104" r:id="rId65" name="Check Box 80">
              <controlPr locked="0" defaultSize="0" autoFill="0" autoLine="0" autoPict="0">
                <anchor moveWithCells="1">
                  <from>
                    <xdr:col>6</xdr:col>
                    <xdr:colOff>1362075</xdr:colOff>
                    <xdr:row>221</xdr:row>
                    <xdr:rowOff>0</xdr:rowOff>
                  </from>
                  <to>
                    <xdr:col>6</xdr:col>
                    <xdr:colOff>1752600</xdr:colOff>
                    <xdr:row>234</xdr:row>
                    <xdr:rowOff>390525</xdr:rowOff>
                  </to>
                </anchor>
              </controlPr>
            </control>
          </mc:Choice>
        </mc:AlternateContent>
        <mc:AlternateContent xmlns:mc="http://schemas.openxmlformats.org/markup-compatibility/2006">
          <mc:Choice Requires="x14">
            <control shapeId="1105" r:id="rId66" name="Check Box 81">
              <controlPr locked="0" defaultSize="0" autoFill="0" autoLine="0" autoPict="0">
                <anchor moveWithCells="1">
                  <from>
                    <xdr:col>6</xdr:col>
                    <xdr:colOff>1362075</xdr:colOff>
                    <xdr:row>221</xdr:row>
                    <xdr:rowOff>0</xdr:rowOff>
                  </from>
                  <to>
                    <xdr:col>6</xdr:col>
                    <xdr:colOff>1752600</xdr:colOff>
                    <xdr:row>234</xdr:row>
                    <xdr:rowOff>390525</xdr:rowOff>
                  </to>
                </anchor>
              </controlPr>
            </control>
          </mc:Choice>
        </mc:AlternateContent>
        <mc:AlternateContent xmlns:mc="http://schemas.openxmlformats.org/markup-compatibility/2006">
          <mc:Choice Requires="x14">
            <control shapeId="1106" r:id="rId67" name="Check Box 82">
              <controlPr locked="0" defaultSize="0" autoFill="0" autoLine="0" autoPict="0">
                <anchor moveWithCells="1">
                  <from>
                    <xdr:col>6</xdr:col>
                    <xdr:colOff>1362075</xdr:colOff>
                    <xdr:row>221</xdr:row>
                    <xdr:rowOff>0</xdr:rowOff>
                  </from>
                  <to>
                    <xdr:col>6</xdr:col>
                    <xdr:colOff>1752600</xdr:colOff>
                    <xdr:row>234</xdr:row>
                    <xdr:rowOff>390525</xdr:rowOff>
                  </to>
                </anchor>
              </controlPr>
            </control>
          </mc:Choice>
        </mc:AlternateContent>
        <mc:AlternateContent xmlns:mc="http://schemas.openxmlformats.org/markup-compatibility/2006">
          <mc:Choice Requires="x14">
            <control shapeId="1107" r:id="rId68" name="Check Box 83">
              <controlPr locked="0" defaultSize="0" autoFill="0" autoLine="0" autoPict="0">
                <anchor moveWithCells="1">
                  <from>
                    <xdr:col>6</xdr:col>
                    <xdr:colOff>1362075</xdr:colOff>
                    <xdr:row>221</xdr:row>
                    <xdr:rowOff>0</xdr:rowOff>
                  </from>
                  <to>
                    <xdr:col>6</xdr:col>
                    <xdr:colOff>1752600</xdr:colOff>
                    <xdr:row>234</xdr:row>
                    <xdr:rowOff>390525</xdr:rowOff>
                  </to>
                </anchor>
              </controlPr>
            </control>
          </mc:Choice>
        </mc:AlternateContent>
        <mc:AlternateContent xmlns:mc="http://schemas.openxmlformats.org/markup-compatibility/2006">
          <mc:Choice Requires="x14">
            <control shapeId="1108" r:id="rId69" name="Check Box 84">
              <controlPr locked="0" defaultSize="0" autoFill="0" autoLine="0" autoPict="0">
                <anchor moveWithCells="1">
                  <from>
                    <xdr:col>6</xdr:col>
                    <xdr:colOff>1362075</xdr:colOff>
                    <xdr:row>256</xdr:row>
                    <xdr:rowOff>0</xdr:rowOff>
                  </from>
                  <to>
                    <xdr:col>6</xdr:col>
                    <xdr:colOff>1752600</xdr:colOff>
                    <xdr:row>257</xdr:row>
                    <xdr:rowOff>390525</xdr:rowOff>
                  </to>
                </anchor>
              </controlPr>
            </control>
          </mc:Choice>
        </mc:AlternateContent>
        <mc:AlternateContent xmlns:mc="http://schemas.openxmlformats.org/markup-compatibility/2006">
          <mc:Choice Requires="x14">
            <control shapeId="1109" r:id="rId70" name="Check Box 85">
              <controlPr locked="0" defaultSize="0" autoFill="0" autoLine="0" autoPict="0">
                <anchor moveWithCells="1">
                  <from>
                    <xdr:col>6</xdr:col>
                    <xdr:colOff>1362075</xdr:colOff>
                    <xdr:row>256</xdr:row>
                    <xdr:rowOff>0</xdr:rowOff>
                  </from>
                  <to>
                    <xdr:col>6</xdr:col>
                    <xdr:colOff>1752600</xdr:colOff>
                    <xdr:row>257</xdr:row>
                    <xdr:rowOff>390525</xdr:rowOff>
                  </to>
                </anchor>
              </controlPr>
            </control>
          </mc:Choice>
        </mc:AlternateContent>
        <mc:AlternateContent xmlns:mc="http://schemas.openxmlformats.org/markup-compatibility/2006">
          <mc:Choice Requires="x14">
            <control shapeId="1110" r:id="rId71" name="Check Box 86">
              <controlPr locked="0" defaultSize="0" autoFill="0" autoLine="0" autoPict="0">
                <anchor moveWithCells="1">
                  <from>
                    <xdr:col>6</xdr:col>
                    <xdr:colOff>1362075</xdr:colOff>
                    <xdr:row>258</xdr:row>
                    <xdr:rowOff>0</xdr:rowOff>
                  </from>
                  <to>
                    <xdr:col>6</xdr:col>
                    <xdr:colOff>1752600</xdr:colOff>
                    <xdr:row>261</xdr:row>
                    <xdr:rowOff>390525</xdr:rowOff>
                  </to>
                </anchor>
              </controlPr>
            </control>
          </mc:Choice>
        </mc:AlternateContent>
        <mc:AlternateContent xmlns:mc="http://schemas.openxmlformats.org/markup-compatibility/2006">
          <mc:Choice Requires="x14">
            <control shapeId="1111" r:id="rId72" name="Check Box 87">
              <controlPr locked="0" defaultSize="0" autoFill="0" autoLine="0" autoPict="0">
                <anchor moveWithCells="1">
                  <from>
                    <xdr:col>6</xdr:col>
                    <xdr:colOff>1362075</xdr:colOff>
                    <xdr:row>258</xdr:row>
                    <xdr:rowOff>0</xdr:rowOff>
                  </from>
                  <to>
                    <xdr:col>6</xdr:col>
                    <xdr:colOff>1752600</xdr:colOff>
                    <xdr:row>261</xdr:row>
                    <xdr:rowOff>390525</xdr:rowOff>
                  </to>
                </anchor>
              </controlPr>
            </control>
          </mc:Choice>
        </mc:AlternateContent>
        <mc:AlternateContent xmlns:mc="http://schemas.openxmlformats.org/markup-compatibility/2006">
          <mc:Choice Requires="x14">
            <control shapeId="1112" r:id="rId73" name="Check Box 88">
              <controlPr locked="0" defaultSize="0" autoFill="0" autoLine="0" autoPict="0">
                <anchor moveWithCells="1">
                  <from>
                    <xdr:col>6</xdr:col>
                    <xdr:colOff>1362075</xdr:colOff>
                    <xdr:row>258</xdr:row>
                    <xdr:rowOff>0</xdr:rowOff>
                  </from>
                  <to>
                    <xdr:col>6</xdr:col>
                    <xdr:colOff>1752600</xdr:colOff>
                    <xdr:row>261</xdr:row>
                    <xdr:rowOff>390525</xdr:rowOff>
                  </to>
                </anchor>
              </controlPr>
            </control>
          </mc:Choice>
        </mc:AlternateContent>
        <mc:AlternateContent xmlns:mc="http://schemas.openxmlformats.org/markup-compatibility/2006">
          <mc:Choice Requires="x14">
            <control shapeId="1113" r:id="rId74" name="Check Box 89">
              <controlPr locked="0" defaultSize="0" autoFill="0" autoLine="0" autoPict="0">
                <anchor moveWithCells="1">
                  <from>
                    <xdr:col>6</xdr:col>
                    <xdr:colOff>1362075</xdr:colOff>
                    <xdr:row>258</xdr:row>
                    <xdr:rowOff>0</xdr:rowOff>
                  </from>
                  <to>
                    <xdr:col>6</xdr:col>
                    <xdr:colOff>1752600</xdr:colOff>
                    <xdr:row>261</xdr:row>
                    <xdr:rowOff>390525</xdr:rowOff>
                  </to>
                </anchor>
              </controlPr>
            </control>
          </mc:Choice>
        </mc:AlternateContent>
        <mc:AlternateContent xmlns:mc="http://schemas.openxmlformats.org/markup-compatibility/2006">
          <mc:Choice Requires="x14">
            <control shapeId="1114" r:id="rId75" name="Check Box 90">
              <controlPr locked="0" defaultSize="0" autoFill="0" autoLine="0" autoPict="0">
                <anchor moveWithCells="1">
                  <from>
                    <xdr:col>6</xdr:col>
                    <xdr:colOff>1362075</xdr:colOff>
                    <xdr:row>285</xdr:row>
                    <xdr:rowOff>0</xdr:rowOff>
                  </from>
                  <to>
                    <xdr:col>6</xdr:col>
                    <xdr:colOff>1752600</xdr:colOff>
                    <xdr:row>286</xdr:row>
                    <xdr:rowOff>390525</xdr:rowOff>
                  </to>
                </anchor>
              </controlPr>
            </control>
          </mc:Choice>
        </mc:AlternateContent>
        <mc:AlternateContent xmlns:mc="http://schemas.openxmlformats.org/markup-compatibility/2006">
          <mc:Choice Requires="x14">
            <control shapeId="1115" r:id="rId76" name="Check Box 91">
              <controlPr locked="0" defaultSize="0" autoFill="0" autoLine="0" autoPict="0">
                <anchor moveWithCells="1">
                  <from>
                    <xdr:col>6</xdr:col>
                    <xdr:colOff>1362075</xdr:colOff>
                    <xdr:row>285</xdr:row>
                    <xdr:rowOff>0</xdr:rowOff>
                  </from>
                  <to>
                    <xdr:col>6</xdr:col>
                    <xdr:colOff>1752600</xdr:colOff>
                    <xdr:row>286</xdr:row>
                    <xdr:rowOff>390525</xdr:rowOff>
                  </to>
                </anchor>
              </controlPr>
            </control>
          </mc:Choice>
        </mc:AlternateContent>
        <mc:AlternateContent xmlns:mc="http://schemas.openxmlformats.org/markup-compatibility/2006">
          <mc:Choice Requires="x14">
            <control shapeId="1116" r:id="rId77" name="Check Box 92">
              <controlPr locked="0" defaultSize="0" autoFill="0" autoLine="0" autoPict="0">
                <anchor moveWithCells="1">
                  <from>
                    <xdr:col>6</xdr:col>
                    <xdr:colOff>1362075</xdr:colOff>
                    <xdr:row>287</xdr:row>
                    <xdr:rowOff>0</xdr:rowOff>
                  </from>
                  <to>
                    <xdr:col>6</xdr:col>
                    <xdr:colOff>1752600</xdr:colOff>
                    <xdr:row>292</xdr:row>
                    <xdr:rowOff>390525</xdr:rowOff>
                  </to>
                </anchor>
              </controlPr>
            </control>
          </mc:Choice>
        </mc:AlternateContent>
        <mc:AlternateContent xmlns:mc="http://schemas.openxmlformats.org/markup-compatibility/2006">
          <mc:Choice Requires="x14">
            <control shapeId="1117" r:id="rId78" name="Check Box 93">
              <controlPr locked="0" defaultSize="0" autoFill="0" autoLine="0" autoPict="0">
                <anchor moveWithCells="1">
                  <from>
                    <xdr:col>6</xdr:col>
                    <xdr:colOff>1362075</xdr:colOff>
                    <xdr:row>287</xdr:row>
                    <xdr:rowOff>0</xdr:rowOff>
                  </from>
                  <to>
                    <xdr:col>6</xdr:col>
                    <xdr:colOff>1752600</xdr:colOff>
                    <xdr:row>292</xdr:row>
                    <xdr:rowOff>390525</xdr:rowOff>
                  </to>
                </anchor>
              </controlPr>
            </control>
          </mc:Choice>
        </mc:AlternateContent>
        <mc:AlternateContent xmlns:mc="http://schemas.openxmlformats.org/markup-compatibility/2006">
          <mc:Choice Requires="x14">
            <control shapeId="1118" r:id="rId79" name="Check Box 94">
              <controlPr locked="0" defaultSize="0" autoFill="0" autoLine="0" autoPict="0">
                <anchor moveWithCells="1">
                  <from>
                    <xdr:col>6</xdr:col>
                    <xdr:colOff>1362075</xdr:colOff>
                    <xdr:row>287</xdr:row>
                    <xdr:rowOff>0</xdr:rowOff>
                  </from>
                  <to>
                    <xdr:col>6</xdr:col>
                    <xdr:colOff>1752600</xdr:colOff>
                    <xdr:row>292</xdr:row>
                    <xdr:rowOff>390525</xdr:rowOff>
                  </to>
                </anchor>
              </controlPr>
            </control>
          </mc:Choice>
        </mc:AlternateContent>
        <mc:AlternateContent xmlns:mc="http://schemas.openxmlformats.org/markup-compatibility/2006">
          <mc:Choice Requires="x14">
            <control shapeId="1119" r:id="rId80" name="Check Box 95">
              <controlPr locked="0" defaultSize="0" autoFill="0" autoLine="0" autoPict="0">
                <anchor moveWithCells="1">
                  <from>
                    <xdr:col>6</xdr:col>
                    <xdr:colOff>1362075</xdr:colOff>
                    <xdr:row>287</xdr:row>
                    <xdr:rowOff>0</xdr:rowOff>
                  </from>
                  <to>
                    <xdr:col>6</xdr:col>
                    <xdr:colOff>1752600</xdr:colOff>
                    <xdr:row>292</xdr:row>
                    <xdr:rowOff>390525</xdr:rowOff>
                  </to>
                </anchor>
              </controlPr>
            </control>
          </mc:Choice>
        </mc:AlternateContent>
        <mc:AlternateContent xmlns:mc="http://schemas.openxmlformats.org/markup-compatibility/2006">
          <mc:Choice Requires="x14">
            <control shapeId="1120" r:id="rId81" name="Check Box 96">
              <controlPr locked="0" defaultSize="0" autoFill="0" autoLine="0" autoPict="0">
                <anchor moveWithCells="1">
                  <from>
                    <xdr:col>6</xdr:col>
                    <xdr:colOff>1362075</xdr:colOff>
                    <xdr:row>325</xdr:row>
                    <xdr:rowOff>0</xdr:rowOff>
                  </from>
                  <to>
                    <xdr:col>6</xdr:col>
                    <xdr:colOff>1752600</xdr:colOff>
                    <xdr:row>330</xdr:row>
                    <xdr:rowOff>390525</xdr:rowOff>
                  </to>
                </anchor>
              </controlPr>
            </control>
          </mc:Choice>
        </mc:AlternateContent>
        <mc:AlternateContent xmlns:mc="http://schemas.openxmlformats.org/markup-compatibility/2006">
          <mc:Choice Requires="x14">
            <control shapeId="1121" r:id="rId82" name="Check Box 97">
              <controlPr locked="0" defaultSize="0" autoFill="0" autoLine="0" autoPict="0">
                <anchor moveWithCells="1">
                  <from>
                    <xdr:col>6</xdr:col>
                    <xdr:colOff>1362075</xdr:colOff>
                    <xdr:row>325</xdr:row>
                    <xdr:rowOff>0</xdr:rowOff>
                  </from>
                  <to>
                    <xdr:col>6</xdr:col>
                    <xdr:colOff>1752600</xdr:colOff>
                    <xdr:row>330</xdr:row>
                    <xdr:rowOff>390525</xdr:rowOff>
                  </to>
                </anchor>
              </controlPr>
            </control>
          </mc:Choice>
        </mc:AlternateContent>
        <mc:AlternateContent xmlns:mc="http://schemas.openxmlformats.org/markup-compatibility/2006">
          <mc:Choice Requires="x14">
            <control shapeId="1122" r:id="rId83" name="Check Box 98">
              <controlPr locked="0" defaultSize="0" autoFill="0" autoLine="0" autoPict="0">
                <anchor moveWithCells="1">
                  <from>
                    <xdr:col>6</xdr:col>
                    <xdr:colOff>1362075</xdr:colOff>
                    <xdr:row>325</xdr:row>
                    <xdr:rowOff>0</xdr:rowOff>
                  </from>
                  <to>
                    <xdr:col>6</xdr:col>
                    <xdr:colOff>1752600</xdr:colOff>
                    <xdr:row>330</xdr:row>
                    <xdr:rowOff>390525</xdr:rowOff>
                  </to>
                </anchor>
              </controlPr>
            </control>
          </mc:Choice>
        </mc:AlternateContent>
        <mc:AlternateContent xmlns:mc="http://schemas.openxmlformats.org/markup-compatibility/2006">
          <mc:Choice Requires="x14">
            <control shapeId="1123" r:id="rId84" name="Check Box 99">
              <controlPr locked="0" defaultSize="0" autoFill="0" autoLine="0" autoPict="0">
                <anchor moveWithCells="1">
                  <from>
                    <xdr:col>6</xdr:col>
                    <xdr:colOff>1362075</xdr:colOff>
                    <xdr:row>325</xdr:row>
                    <xdr:rowOff>0</xdr:rowOff>
                  </from>
                  <to>
                    <xdr:col>6</xdr:col>
                    <xdr:colOff>1752600</xdr:colOff>
                    <xdr:row>330</xdr:row>
                    <xdr:rowOff>390525</xdr:rowOff>
                  </to>
                </anchor>
              </controlPr>
            </control>
          </mc:Choice>
        </mc:AlternateContent>
        <mc:AlternateContent xmlns:mc="http://schemas.openxmlformats.org/markup-compatibility/2006">
          <mc:Choice Requires="x14">
            <control shapeId="1124" r:id="rId85" name="Check Box 100">
              <controlPr locked="0" defaultSize="0" autoFill="0" autoLine="0" autoPict="0">
                <anchor moveWithCells="1">
                  <from>
                    <xdr:col>6</xdr:col>
                    <xdr:colOff>1362075</xdr:colOff>
                    <xdr:row>361</xdr:row>
                    <xdr:rowOff>0</xdr:rowOff>
                  </from>
                  <to>
                    <xdr:col>6</xdr:col>
                    <xdr:colOff>1752600</xdr:colOff>
                    <xdr:row>368</xdr:row>
                    <xdr:rowOff>390525</xdr:rowOff>
                  </to>
                </anchor>
              </controlPr>
            </control>
          </mc:Choice>
        </mc:AlternateContent>
        <mc:AlternateContent xmlns:mc="http://schemas.openxmlformats.org/markup-compatibility/2006">
          <mc:Choice Requires="x14">
            <control shapeId="1125" r:id="rId86" name="Check Box 101">
              <controlPr locked="0" defaultSize="0" autoFill="0" autoLine="0" autoPict="0">
                <anchor moveWithCells="1">
                  <from>
                    <xdr:col>6</xdr:col>
                    <xdr:colOff>1362075</xdr:colOff>
                    <xdr:row>361</xdr:row>
                    <xdr:rowOff>0</xdr:rowOff>
                  </from>
                  <to>
                    <xdr:col>6</xdr:col>
                    <xdr:colOff>1752600</xdr:colOff>
                    <xdr:row>368</xdr:row>
                    <xdr:rowOff>390525</xdr:rowOff>
                  </to>
                </anchor>
              </controlPr>
            </control>
          </mc:Choice>
        </mc:AlternateContent>
        <mc:AlternateContent xmlns:mc="http://schemas.openxmlformats.org/markup-compatibility/2006">
          <mc:Choice Requires="x14">
            <control shapeId="1126" r:id="rId87" name="Check Box 102">
              <controlPr locked="0" defaultSize="0" autoFill="0" autoLine="0" autoPict="0">
                <anchor moveWithCells="1">
                  <from>
                    <xdr:col>6</xdr:col>
                    <xdr:colOff>1362075</xdr:colOff>
                    <xdr:row>361</xdr:row>
                    <xdr:rowOff>0</xdr:rowOff>
                  </from>
                  <to>
                    <xdr:col>6</xdr:col>
                    <xdr:colOff>1752600</xdr:colOff>
                    <xdr:row>368</xdr:row>
                    <xdr:rowOff>390525</xdr:rowOff>
                  </to>
                </anchor>
              </controlPr>
            </control>
          </mc:Choice>
        </mc:AlternateContent>
        <mc:AlternateContent xmlns:mc="http://schemas.openxmlformats.org/markup-compatibility/2006">
          <mc:Choice Requires="x14">
            <control shapeId="1127" r:id="rId88" name="Check Box 103">
              <controlPr locked="0" defaultSize="0" autoFill="0" autoLine="0" autoPict="0">
                <anchor moveWithCells="1">
                  <from>
                    <xdr:col>6</xdr:col>
                    <xdr:colOff>1362075</xdr:colOff>
                    <xdr:row>361</xdr:row>
                    <xdr:rowOff>0</xdr:rowOff>
                  </from>
                  <to>
                    <xdr:col>6</xdr:col>
                    <xdr:colOff>1752600</xdr:colOff>
                    <xdr:row>368</xdr:row>
                    <xdr:rowOff>390525</xdr:rowOff>
                  </to>
                </anchor>
              </controlPr>
            </control>
          </mc:Choice>
        </mc:AlternateContent>
        <mc:AlternateContent xmlns:mc="http://schemas.openxmlformats.org/markup-compatibility/2006">
          <mc:Choice Requires="x14">
            <control shapeId="1128" r:id="rId89" name="Check Box 104">
              <controlPr locked="0" defaultSize="0" autoFill="0" autoLine="0" autoPict="0">
                <anchor moveWithCells="1">
                  <from>
                    <xdr:col>6</xdr:col>
                    <xdr:colOff>1362075</xdr:colOff>
                    <xdr:row>386</xdr:row>
                    <xdr:rowOff>0</xdr:rowOff>
                  </from>
                  <to>
                    <xdr:col>6</xdr:col>
                    <xdr:colOff>1752600</xdr:colOff>
                    <xdr:row>391</xdr:row>
                    <xdr:rowOff>390525</xdr:rowOff>
                  </to>
                </anchor>
              </controlPr>
            </control>
          </mc:Choice>
        </mc:AlternateContent>
        <mc:AlternateContent xmlns:mc="http://schemas.openxmlformats.org/markup-compatibility/2006">
          <mc:Choice Requires="x14">
            <control shapeId="1129" r:id="rId90" name="Check Box 105">
              <controlPr locked="0" defaultSize="0" autoFill="0" autoLine="0" autoPict="0">
                <anchor moveWithCells="1">
                  <from>
                    <xdr:col>6</xdr:col>
                    <xdr:colOff>1362075</xdr:colOff>
                    <xdr:row>386</xdr:row>
                    <xdr:rowOff>0</xdr:rowOff>
                  </from>
                  <to>
                    <xdr:col>6</xdr:col>
                    <xdr:colOff>1752600</xdr:colOff>
                    <xdr:row>391</xdr:row>
                    <xdr:rowOff>390525</xdr:rowOff>
                  </to>
                </anchor>
              </controlPr>
            </control>
          </mc:Choice>
        </mc:AlternateContent>
        <mc:AlternateContent xmlns:mc="http://schemas.openxmlformats.org/markup-compatibility/2006">
          <mc:Choice Requires="x14">
            <control shapeId="1130" r:id="rId91" name="Check Box 106">
              <controlPr locked="0" defaultSize="0" autoFill="0" autoLine="0" autoPict="0">
                <anchor moveWithCells="1">
                  <from>
                    <xdr:col>6</xdr:col>
                    <xdr:colOff>1362075</xdr:colOff>
                    <xdr:row>452</xdr:row>
                    <xdr:rowOff>0</xdr:rowOff>
                  </from>
                  <to>
                    <xdr:col>6</xdr:col>
                    <xdr:colOff>1752600</xdr:colOff>
                    <xdr:row>453</xdr:row>
                    <xdr:rowOff>390525</xdr:rowOff>
                  </to>
                </anchor>
              </controlPr>
            </control>
          </mc:Choice>
        </mc:AlternateContent>
        <mc:AlternateContent xmlns:mc="http://schemas.openxmlformats.org/markup-compatibility/2006">
          <mc:Choice Requires="x14">
            <control shapeId="1131" r:id="rId92" name="Check Box 107">
              <controlPr locked="0" defaultSize="0" autoFill="0" autoLine="0" autoPict="0">
                <anchor moveWithCells="1">
                  <from>
                    <xdr:col>6</xdr:col>
                    <xdr:colOff>1362075</xdr:colOff>
                    <xdr:row>452</xdr:row>
                    <xdr:rowOff>0</xdr:rowOff>
                  </from>
                  <to>
                    <xdr:col>6</xdr:col>
                    <xdr:colOff>1752600</xdr:colOff>
                    <xdr:row>453</xdr:row>
                    <xdr:rowOff>390525</xdr:rowOff>
                  </to>
                </anchor>
              </controlPr>
            </control>
          </mc:Choice>
        </mc:AlternateContent>
        <mc:AlternateContent xmlns:mc="http://schemas.openxmlformats.org/markup-compatibility/2006">
          <mc:Choice Requires="x14">
            <control shapeId="1132" r:id="rId93" name="Check Box 108">
              <controlPr locked="0" defaultSize="0" autoFill="0" autoLine="0" autoPict="0">
                <anchor moveWithCells="1">
                  <from>
                    <xdr:col>6</xdr:col>
                    <xdr:colOff>1362075</xdr:colOff>
                    <xdr:row>454</xdr:row>
                    <xdr:rowOff>0</xdr:rowOff>
                  </from>
                  <to>
                    <xdr:col>6</xdr:col>
                    <xdr:colOff>1752600</xdr:colOff>
                    <xdr:row>457</xdr:row>
                    <xdr:rowOff>390525</xdr:rowOff>
                  </to>
                </anchor>
              </controlPr>
            </control>
          </mc:Choice>
        </mc:AlternateContent>
        <mc:AlternateContent xmlns:mc="http://schemas.openxmlformats.org/markup-compatibility/2006">
          <mc:Choice Requires="x14">
            <control shapeId="1133" r:id="rId94" name="Check Box 109">
              <controlPr locked="0" defaultSize="0" autoFill="0" autoLine="0" autoPict="0">
                <anchor moveWithCells="1">
                  <from>
                    <xdr:col>6</xdr:col>
                    <xdr:colOff>1362075</xdr:colOff>
                    <xdr:row>454</xdr:row>
                    <xdr:rowOff>0</xdr:rowOff>
                  </from>
                  <to>
                    <xdr:col>6</xdr:col>
                    <xdr:colOff>1752600</xdr:colOff>
                    <xdr:row>457</xdr:row>
                    <xdr:rowOff>390525</xdr:rowOff>
                  </to>
                </anchor>
              </controlPr>
            </control>
          </mc:Choice>
        </mc:AlternateContent>
        <mc:AlternateContent xmlns:mc="http://schemas.openxmlformats.org/markup-compatibility/2006">
          <mc:Choice Requires="x14">
            <control shapeId="1134" r:id="rId95" name="Check Box 110">
              <controlPr locked="0" defaultSize="0" autoFill="0" autoLine="0" autoPict="0">
                <anchor moveWithCells="1">
                  <from>
                    <xdr:col>6</xdr:col>
                    <xdr:colOff>1362075</xdr:colOff>
                    <xdr:row>484</xdr:row>
                    <xdr:rowOff>0</xdr:rowOff>
                  </from>
                  <to>
                    <xdr:col>6</xdr:col>
                    <xdr:colOff>1752600</xdr:colOff>
                    <xdr:row>489</xdr:row>
                    <xdr:rowOff>390525</xdr:rowOff>
                  </to>
                </anchor>
              </controlPr>
            </control>
          </mc:Choice>
        </mc:AlternateContent>
        <mc:AlternateContent xmlns:mc="http://schemas.openxmlformats.org/markup-compatibility/2006">
          <mc:Choice Requires="x14">
            <control shapeId="1135" r:id="rId96" name="Check Box 111">
              <controlPr locked="0" defaultSize="0" autoFill="0" autoLine="0" autoPict="0">
                <anchor moveWithCells="1">
                  <from>
                    <xdr:col>6</xdr:col>
                    <xdr:colOff>1362075</xdr:colOff>
                    <xdr:row>484</xdr:row>
                    <xdr:rowOff>0</xdr:rowOff>
                  </from>
                  <to>
                    <xdr:col>6</xdr:col>
                    <xdr:colOff>1752600</xdr:colOff>
                    <xdr:row>489</xdr:row>
                    <xdr:rowOff>390525</xdr:rowOff>
                  </to>
                </anchor>
              </controlPr>
            </control>
          </mc:Choice>
        </mc:AlternateContent>
        <mc:AlternateContent xmlns:mc="http://schemas.openxmlformats.org/markup-compatibility/2006">
          <mc:Choice Requires="x14">
            <control shapeId="1136" r:id="rId97" name="Check Box 112">
              <controlPr locked="0" defaultSize="0" autoFill="0" autoLine="0" autoPict="0">
                <anchor moveWithCells="1">
                  <from>
                    <xdr:col>6</xdr:col>
                    <xdr:colOff>1362075</xdr:colOff>
                    <xdr:row>514</xdr:row>
                    <xdr:rowOff>0</xdr:rowOff>
                  </from>
                  <to>
                    <xdr:col>6</xdr:col>
                    <xdr:colOff>1752600</xdr:colOff>
                    <xdr:row>515</xdr:row>
                    <xdr:rowOff>390525</xdr:rowOff>
                  </to>
                </anchor>
              </controlPr>
            </control>
          </mc:Choice>
        </mc:AlternateContent>
        <mc:AlternateContent xmlns:mc="http://schemas.openxmlformats.org/markup-compatibility/2006">
          <mc:Choice Requires="x14">
            <control shapeId="1137" r:id="rId98" name="Check Box 113">
              <controlPr locked="0" defaultSize="0" autoFill="0" autoLine="0" autoPict="0">
                <anchor moveWithCells="1">
                  <from>
                    <xdr:col>6</xdr:col>
                    <xdr:colOff>1362075</xdr:colOff>
                    <xdr:row>514</xdr:row>
                    <xdr:rowOff>0</xdr:rowOff>
                  </from>
                  <to>
                    <xdr:col>6</xdr:col>
                    <xdr:colOff>1752600</xdr:colOff>
                    <xdr:row>515</xdr:row>
                    <xdr:rowOff>390525</xdr:rowOff>
                  </to>
                </anchor>
              </controlPr>
            </control>
          </mc:Choice>
        </mc:AlternateContent>
        <mc:AlternateContent xmlns:mc="http://schemas.openxmlformats.org/markup-compatibility/2006">
          <mc:Choice Requires="x14">
            <control shapeId="1138" r:id="rId99" name="Check Box 114">
              <controlPr locked="0" defaultSize="0" autoFill="0" autoLine="0" autoPict="0">
                <anchor moveWithCells="1">
                  <from>
                    <xdr:col>6</xdr:col>
                    <xdr:colOff>1362075</xdr:colOff>
                    <xdr:row>503</xdr:row>
                    <xdr:rowOff>0</xdr:rowOff>
                  </from>
                  <to>
                    <xdr:col>6</xdr:col>
                    <xdr:colOff>1752600</xdr:colOff>
                    <xdr:row>504</xdr:row>
                    <xdr:rowOff>390525</xdr:rowOff>
                  </to>
                </anchor>
              </controlPr>
            </control>
          </mc:Choice>
        </mc:AlternateContent>
        <mc:AlternateContent xmlns:mc="http://schemas.openxmlformats.org/markup-compatibility/2006">
          <mc:Choice Requires="x14">
            <control shapeId="1139" r:id="rId100" name="Check Box 115">
              <controlPr locked="0" defaultSize="0" autoFill="0" autoLine="0" autoPict="0">
                <anchor moveWithCells="1">
                  <from>
                    <xdr:col>6</xdr:col>
                    <xdr:colOff>1362075</xdr:colOff>
                    <xdr:row>503</xdr:row>
                    <xdr:rowOff>0</xdr:rowOff>
                  </from>
                  <to>
                    <xdr:col>6</xdr:col>
                    <xdr:colOff>1752600</xdr:colOff>
                    <xdr:row>504</xdr:row>
                    <xdr:rowOff>390525</xdr:rowOff>
                  </to>
                </anchor>
              </controlPr>
            </control>
          </mc:Choice>
        </mc:AlternateContent>
        <mc:AlternateContent xmlns:mc="http://schemas.openxmlformats.org/markup-compatibility/2006">
          <mc:Choice Requires="x14">
            <control shapeId="1141" r:id="rId101" name="Check Box 117">
              <controlPr locked="0" defaultSize="0" autoFill="0" autoLine="0" autoPict="0">
                <anchor moveWithCells="1">
                  <from>
                    <xdr:col>6</xdr:col>
                    <xdr:colOff>1362075</xdr:colOff>
                    <xdr:row>528</xdr:row>
                    <xdr:rowOff>0</xdr:rowOff>
                  </from>
                  <to>
                    <xdr:col>6</xdr:col>
                    <xdr:colOff>1752600</xdr:colOff>
                    <xdr:row>529</xdr:row>
                    <xdr:rowOff>390525</xdr:rowOff>
                  </to>
                </anchor>
              </controlPr>
            </control>
          </mc:Choice>
        </mc:AlternateContent>
        <mc:AlternateContent xmlns:mc="http://schemas.openxmlformats.org/markup-compatibility/2006">
          <mc:Choice Requires="x14">
            <control shapeId="1142" r:id="rId102" name="Check Box 118">
              <controlPr locked="0" defaultSize="0" autoFill="0" autoLine="0" autoPict="0">
                <anchor moveWithCells="1">
                  <from>
                    <xdr:col>6</xdr:col>
                    <xdr:colOff>1362075</xdr:colOff>
                    <xdr:row>528</xdr:row>
                    <xdr:rowOff>0</xdr:rowOff>
                  </from>
                  <to>
                    <xdr:col>6</xdr:col>
                    <xdr:colOff>1752600</xdr:colOff>
                    <xdr:row>529</xdr:row>
                    <xdr:rowOff>390525</xdr:rowOff>
                  </to>
                </anchor>
              </controlPr>
            </control>
          </mc:Choice>
        </mc:AlternateContent>
        <mc:AlternateContent xmlns:mc="http://schemas.openxmlformats.org/markup-compatibility/2006">
          <mc:Choice Requires="x14">
            <control shapeId="1143" r:id="rId103" name="Check Box 119">
              <controlPr locked="0" defaultSize="0" autoFill="0" autoLine="0" autoPict="0">
                <anchor moveWithCells="1">
                  <from>
                    <xdr:col>6</xdr:col>
                    <xdr:colOff>1362075</xdr:colOff>
                    <xdr:row>530</xdr:row>
                    <xdr:rowOff>0</xdr:rowOff>
                  </from>
                  <to>
                    <xdr:col>6</xdr:col>
                    <xdr:colOff>1752600</xdr:colOff>
                    <xdr:row>531</xdr:row>
                    <xdr:rowOff>390525</xdr:rowOff>
                  </to>
                </anchor>
              </controlPr>
            </control>
          </mc:Choice>
        </mc:AlternateContent>
        <mc:AlternateContent xmlns:mc="http://schemas.openxmlformats.org/markup-compatibility/2006">
          <mc:Choice Requires="x14">
            <control shapeId="1144" r:id="rId104" name="Check Box 120">
              <controlPr locked="0" defaultSize="0" autoFill="0" autoLine="0" autoPict="0">
                <anchor moveWithCells="1">
                  <from>
                    <xdr:col>6</xdr:col>
                    <xdr:colOff>1362075</xdr:colOff>
                    <xdr:row>530</xdr:row>
                    <xdr:rowOff>0</xdr:rowOff>
                  </from>
                  <to>
                    <xdr:col>6</xdr:col>
                    <xdr:colOff>1752600</xdr:colOff>
                    <xdr:row>531</xdr:row>
                    <xdr:rowOff>390525</xdr:rowOff>
                  </to>
                </anchor>
              </controlPr>
            </control>
          </mc:Choice>
        </mc:AlternateContent>
        <mc:AlternateContent xmlns:mc="http://schemas.openxmlformats.org/markup-compatibility/2006">
          <mc:Choice Requires="x14">
            <control shapeId="1145" r:id="rId105" name="Check Box 121">
              <controlPr locked="0" defaultSize="0" autoFill="0" autoLine="0" autoPict="0">
                <anchor moveWithCells="1">
                  <from>
                    <xdr:col>6</xdr:col>
                    <xdr:colOff>1362075</xdr:colOff>
                    <xdr:row>530</xdr:row>
                    <xdr:rowOff>0</xdr:rowOff>
                  </from>
                  <to>
                    <xdr:col>6</xdr:col>
                    <xdr:colOff>1752600</xdr:colOff>
                    <xdr:row>531</xdr:row>
                    <xdr:rowOff>390525</xdr:rowOff>
                  </to>
                </anchor>
              </controlPr>
            </control>
          </mc:Choice>
        </mc:AlternateContent>
        <mc:AlternateContent xmlns:mc="http://schemas.openxmlformats.org/markup-compatibility/2006">
          <mc:Choice Requires="x14">
            <control shapeId="1146" r:id="rId106" name="Check Box 122">
              <controlPr locked="0" defaultSize="0" autoFill="0" autoLine="0" autoPict="0">
                <anchor moveWithCells="1">
                  <from>
                    <xdr:col>6</xdr:col>
                    <xdr:colOff>1362075</xdr:colOff>
                    <xdr:row>530</xdr:row>
                    <xdr:rowOff>0</xdr:rowOff>
                  </from>
                  <to>
                    <xdr:col>6</xdr:col>
                    <xdr:colOff>1752600</xdr:colOff>
                    <xdr:row>531</xdr:row>
                    <xdr:rowOff>390525</xdr:rowOff>
                  </to>
                </anchor>
              </controlPr>
            </control>
          </mc:Choice>
        </mc:AlternateContent>
        <mc:AlternateContent xmlns:mc="http://schemas.openxmlformats.org/markup-compatibility/2006">
          <mc:Choice Requires="x14">
            <control shapeId="1147" r:id="rId107" name="Check Box 123">
              <controlPr locked="0" defaultSize="0" autoFill="0" autoLine="0" autoPict="0">
                <anchor moveWithCells="1">
                  <from>
                    <xdr:col>6</xdr:col>
                    <xdr:colOff>1362075</xdr:colOff>
                    <xdr:row>532</xdr:row>
                    <xdr:rowOff>0</xdr:rowOff>
                  </from>
                  <to>
                    <xdr:col>6</xdr:col>
                    <xdr:colOff>1752600</xdr:colOff>
                    <xdr:row>533</xdr:row>
                    <xdr:rowOff>390525</xdr:rowOff>
                  </to>
                </anchor>
              </controlPr>
            </control>
          </mc:Choice>
        </mc:AlternateContent>
        <mc:AlternateContent xmlns:mc="http://schemas.openxmlformats.org/markup-compatibility/2006">
          <mc:Choice Requires="x14">
            <control shapeId="1148" r:id="rId108" name="Check Box 124">
              <controlPr locked="0" defaultSize="0" autoFill="0" autoLine="0" autoPict="0">
                <anchor moveWithCells="1">
                  <from>
                    <xdr:col>6</xdr:col>
                    <xdr:colOff>1362075</xdr:colOff>
                    <xdr:row>532</xdr:row>
                    <xdr:rowOff>0</xdr:rowOff>
                  </from>
                  <to>
                    <xdr:col>6</xdr:col>
                    <xdr:colOff>1752600</xdr:colOff>
                    <xdr:row>533</xdr:row>
                    <xdr:rowOff>390525</xdr:rowOff>
                  </to>
                </anchor>
              </controlPr>
            </control>
          </mc:Choice>
        </mc:AlternateContent>
        <mc:AlternateContent xmlns:mc="http://schemas.openxmlformats.org/markup-compatibility/2006">
          <mc:Choice Requires="x14">
            <control shapeId="1149" r:id="rId109" name="Check Box 125">
              <controlPr locked="0" defaultSize="0" autoFill="0" autoLine="0" autoPict="0">
                <anchor moveWithCells="1">
                  <from>
                    <xdr:col>6</xdr:col>
                    <xdr:colOff>1362075</xdr:colOff>
                    <xdr:row>534</xdr:row>
                    <xdr:rowOff>0</xdr:rowOff>
                  </from>
                  <to>
                    <xdr:col>6</xdr:col>
                    <xdr:colOff>1752600</xdr:colOff>
                    <xdr:row>535</xdr:row>
                    <xdr:rowOff>390525</xdr:rowOff>
                  </to>
                </anchor>
              </controlPr>
            </control>
          </mc:Choice>
        </mc:AlternateContent>
        <mc:AlternateContent xmlns:mc="http://schemas.openxmlformats.org/markup-compatibility/2006">
          <mc:Choice Requires="x14">
            <control shapeId="1150" r:id="rId110" name="Check Box 126">
              <controlPr locked="0" defaultSize="0" autoFill="0" autoLine="0" autoPict="0">
                <anchor moveWithCells="1">
                  <from>
                    <xdr:col>6</xdr:col>
                    <xdr:colOff>1362075</xdr:colOff>
                    <xdr:row>534</xdr:row>
                    <xdr:rowOff>0</xdr:rowOff>
                  </from>
                  <to>
                    <xdr:col>6</xdr:col>
                    <xdr:colOff>1752600</xdr:colOff>
                    <xdr:row>535</xdr:row>
                    <xdr:rowOff>390525</xdr:rowOff>
                  </to>
                </anchor>
              </controlPr>
            </control>
          </mc:Choice>
        </mc:AlternateContent>
        <mc:AlternateContent xmlns:mc="http://schemas.openxmlformats.org/markup-compatibility/2006">
          <mc:Choice Requires="x14">
            <control shapeId="1151" r:id="rId111" name="Check Box 127">
              <controlPr locked="0" defaultSize="0" autoFill="0" autoLine="0" autoPict="0">
                <anchor moveWithCells="1">
                  <from>
                    <xdr:col>6</xdr:col>
                    <xdr:colOff>1362075</xdr:colOff>
                    <xdr:row>534</xdr:row>
                    <xdr:rowOff>0</xdr:rowOff>
                  </from>
                  <to>
                    <xdr:col>6</xdr:col>
                    <xdr:colOff>1752600</xdr:colOff>
                    <xdr:row>535</xdr:row>
                    <xdr:rowOff>390525</xdr:rowOff>
                  </to>
                </anchor>
              </controlPr>
            </control>
          </mc:Choice>
        </mc:AlternateContent>
        <mc:AlternateContent xmlns:mc="http://schemas.openxmlformats.org/markup-compatibility/2006">
          <mc:Choice Requires="x14">
            <control shapeId="1152" r:id="rId112" name="Check Box 128">
              <controlPr locked="0" defaultSize="0" autoFill="0" autoLine="0" autoPict="0">
                <anchor moveWithCells="1">
                  <from>
                    <xdr:col>6</xdr:col>
                    <xdr:colOff>1362075</xdr:colOff>
                    <xdr:row>534</xdr:row>
                    <xdr:rowOff>0</xdr:rowOff>
                  </from>
                  <to>
                    <xdr:col>6</xdr:col>
                    <xdr:colOff>1752600</xdr:colOff>
                    <xdr:row>535</xdr:row>
                    <xdr:rowOff>390525</xdr:rowOff>
                  </to>
                </anchor>
              </controlPr>
            </control>
          </mc:Choice>
        </mc:AlternateContent>
        <mc:AlternateContent xmlns:mc="http://schemas.openxmlformats.org/markup-compatibility/2006">
          <mc:Choice Requires="x14">
            <control shapeId="1153" r:id="rId113" name="Check Box 129">
              <controlPr locked="0" defaultSize="0" autoFill="0" autoLine="0" autoPict="0">
                <anchor moveWithCells="1">
                  <from>
                    <xdr:col>6</xdr:col>
                    <xdr:colOff>1362075</xdr:colOff>
                    <xdr:row>534</xdr:row>
                    <xdr:rowOff>0</xdr:rowOff>
                  </from>
                  <to>
                    <xdr:col>6</xdr:col>
                    <xdr:colOff>1752600</xdr:colOff>
                    <xdr:row>535</xdr:row>
                    <xdr:rowOff>390525</xdr:rowOff>
                  </to>
                </anchor>
              </controlPr>
            </control>
          </mc:Choice>
        </mc:AlternateContent>
        <mc:AlternateContent xmlns:mc="http://schemas.openxmlformats.org/markup-compatibility/2006">
          <mc:Choice Requires="x14">
            <control shapeId="1154" r:id="rId114" name="Check Box 130">
              <controlPr locked="0" defaultSize="0" autoFill="0" autoLine="0" autoPict="0">
                <anchor moveWithCells="1">
                  <from>
                    <xdr:col>6</xdr:col>
                    <xdr:colOff>1362075</xdr:colOff>
                    <xdr:row>534</xdr:row>
                    <xdr:rowOff>0</xdr:rowOff>
                  </from>
                  <to>
                    <xdr:col>6</xdr:col>
                    <xdr:colOff>1752600</xdr:colOff>
                    <xdr:row>535</xdr:row>
                    <xdr:rowOff>390525</xdr:rowOff>
                  </to>
                </anchor>
              </controlPr>
            </control>
          </mc:Choice>
        </mc:AlternateContent>
        <mc:AlternateContent xmlns:mc="http://schemas.openxmlformats.org/markup-compatibility/2006">
          <mc:Choice Requires="x14">
            <control shapeId="1155" r:id="rId115" name="Check Box 131">
              <controlPr locked="0" defaultSize="0" autoFill="0" autoLine="0" autoPict="0">
                <anchor moveWithCells="1">
                  <from>
                    <xdr:col>6</xdr:col>
                    <xdr:colOff>1362075</xdr:colOff>
                    <xdr:row>536</xdr:row>
                    <xdr:rowOff>0</xdr:rowOff>
                  </from>
                  <to>
                    <xdr:col>6</xdr:col>
                    <xdr:colOff>1752600</xdr:colOff>
                    <xdr:row>537</xdr:row>
                    <xdr:rowOff>390525</xdr:rowOff>
                  </to>
                </anchor>
              </controlPr>
            </control>
          </mc:Choice>
        </mc:AlternateContent>
        <mc:AlternateContent xmlns:mc="http://schemas.openxmlformats.org/markup-compatibility/2006">
          <mc:Choice Requires="x14">
            <control shapeId="1156" r:id="rId116" name="Check Box 132">
              <controlPr locked="0" defaultSize="0" autoFill="0" autoLine="0" autoPict="0">
                <anchor moveWithCells="1">
                  <from>
                    <xdr:col>6</xdr:col>
                    <xdr:colOff>1362075</xdr:colOff>
                    <xdr:row>536</xdr:row>
                    <xdr:rowOff>0</xdr:rowOff>
                  </from>
                  <to>
                    <xdr:col>6</xdr:col>
                    <xdr:colOff>1752600</xdr:colOff>
                    <xdr:row>537</xdr:row>
                    <xdr:rowOff>390525</xdr:rowOff>
                  </to>
                </anchor>
              </controlPr>
            </control>
          </mc:Choice>
        </mc:AlternateContent>
        <mc:AlternateContent xmlns:mc="http://schemas.openxmlformats.org/markup-compatibility/2006">
          <mc:Choice Requires="x14">
            <control shapeId="1157" r:id="rId117" name="Check Box 133">
              <controlPr locked="0" defaultSize="0" autoFill="0" autoLine="0" autoPict="0">
                <anchor moveWithCells="1">
                  <from>
                    <xdr:col>6</xdr:col>
                    <xdr:colOff>1362075</xdr:colOff>
                    <xdr:row>536</xdr:row>
                    <xdr:rowOff>0</xdr:rowOff>
                  </from>
                  <to>
                    <xdr:col>6</xdr:col>
                    <xdr:colOff>1752600</xdr:colOff>
                    <xdr:row>537</xdr:row>
                    <xdr:rowOff>390525</xdr:rowOff>
                  </to>
                </anchor>
              </controlPr>
            </control>
          </mc:Choice>
        </mc:AlternateContent>
        <mc:AlternateContent xmlns:mc="http://schemas.openxmlformats.org/markup-compatibility/2006">
          <mc:Choice Requires="x14">
            <control shapeId="1158" r:id="rId118" name="Check Box 134">
              <controlPr locked="0" defaultSize="0" autoFill="0" autoLine="0" autoPict="0">
                <anchor moveWithCells="1">
                  <from>
                    <xdr:col>6</xdr:col>
                    <xdr:colOff>1362075</xdr:colOff>
                    <xdr:row>536</xdr:row>
                    <xdr:rowOff>0</xdr:rowOff>
                  </from>
                  <to>
                    <xdr:col>6</xdr:col>
                    <xdr:colOff>1752600</xdr:colOff>
                    <xdr:row>537</xdr:row>
                    <xdr:rowOff>390525</xdr:rowOff>
                  </to>
                </anchor>
              </controlPr>
            </control>
          </mc:Choice>
        </mc:AlternateContent>
        <mc:AlternateContent xmlns:mc="http://schemas.openxmlformats.org/markup-compatibility/2006">
          <mc:Choice Requires="x14">
            <control shapeId="1159" r:id="rId119" name="Check Box 135">
              <controlPr locked="0" defaultSize="0" autoFill="0" autoLine="0" autoPict="0">
                <anchor moveWithCells="1">
                  <from>
                    <xdr:col>6</xdr:col>
                    <xdr:colOff>1362075</xdr:colOff>
                    <xdr:row>536</xdr:row>
                    <xdr:rowOff>0</xdr:rowOff>
                  </from>
                  <to>
                    <xdr:col>6</xdr:col>
                    <xdr:colOff>1752600</xdr:colOff>
                    <xdr:row>537</xdr:row>
                    <xdr:rowOff>390525</xdr:rowOff>
                  </to>
                </anchor>
              </controlPr>
            </control>
          </mc:Choice>
        </mc:AlternateContent>
        <mc:AlternateContent xmlns:mc="http://schemas.openxmlformats.org/markup-compatibility/2006">
          <mc:Choice Requires="x14">
            <control shapeId="1160" r:id="rId120" name="Check Box 136">
              <controlPr locked="0" defaultSize="0" autoFill="0" autoLine="0" autoPict="0">
                <anchor moveWithCells="1">
                  <from>
                    <xdr:col>6</xdr:col>
                    <xdr:colOff>1362075</xdr:colOff>
                    <xdr:row>536</xdr:row>
                    <xdr:rowOff>0</xdr:rowOff>
                  </from>
                  <to>
                    <xdr:col>6</xdr:col>
                    <xdr:colOff>1752600</xdr:colOff>
                    <xdr:row>537</xdr:row>
                    <xdr:rowOff>390525</xdr:rowOff>
                  </to>
                </anchor>
              </controlPr>
            </control>
          </mc:Choice>
        </mc:AlternateContent>
        <mc:AlternateContent xmlns:mc="http://schemas.openxmlformats.org/markup-compatibility/2006">
          <mc:Choice Requires="x14">
            <control shapeId="1161" r:id="rId121" name="Check Box 137">
              <controlPr locked="0" defaultSize="0" autoFill="0" autoLine="0" autoPict="0">
                <anchor moveWithCells="1">
                  <from>
                    <xdr:col>6</xdr:col>
                    <xdr:colOff>1362075</xdr:colOff>
                    <xdr:row>538</xdr:row>
                    <xdr:rowOff>0</xdr:rowOff>
                  </from>
                  <to>
                    <xdr:col>6</xdr:col>
                    <xdr:colOff>1752600</xdr:colOff>
                    <xdr:row>539</xdr:row>
                    <xdr:rowOff>390525</xdr:rowOff>
                  </to>
                </anchor>
              </controlPr>
            </control>
          </mc:Choice>
        </mc:AlternateContent>
        <mc:AlternateContent xmlns:mc="http://schemas.openxmlformats.org/markup-compatibility/2006">
          <mc:Choice Requires="x14">
            <control shapeId="1162" r:id="rId122" name="Check Box 138">
              <controlPr locked="0" defaultSize="0" autoFill="0" autoLine="0" autoPict="0">
                <anchor moveWithCells="1">
                  <from>
                    <xdr:col>6</xdr:col>
                    <xdr:colOff>1362075</xdr:colOff>
                    <xdr:row>538</xdr:row>
                    <xdr:rowOff>0</xdr:rowOff>
                  </from>
                  <to>
                    <xdr:col>6</xdr:col>
                    <xdr:colOff>1752600</xdr:colOff>
                    <xdr:row>539</xdr:row>
                    <xdr:rowOff>390525</xdr:rowOff>
                  </to>
                </anchor>
              </controlPr>
            </control>
          </mc:Choice>
        </mc:AlternateContent>
        <mc:AlternateContent xmlns:mc="http://schemas.openxmlformats.org/markup-compatibility/2006">
          <mc:Choice Requires="x14">
            <control shapeId="1163" r:id="rId123" name="Check Box 139">
              <controlPr locked="0" defaultSize="0" autoFill="0" autoLine="0" autoPict="0">
                <anchor moveWithCells="1">
                  <from>
                    <xdr:col>6</xdr:col>
                    <xdr:colOff>1362075</xdr:colOff>
                    <xdr:row>538</xdr:row>
                    <xdr:rowOff>0</xdr:rowOff>
                  </from>
                  <to>
                    <xdr:col>6</xdr:col>
                    <xdr:colOff>1752600</xdr:colOff>
                    <xdr:row>539</xdr:row>
                    <xdr:rowOff>390525</xdr:rowOff>
                  </to>
                </anchor>
              </controlPr>
            </control>
          </mc:Choice>
        </mc:AlternateContent>
        <mc:AlternateContent xmlns:mc="http://schemas.openxmlformats.org/markup-compatibility/2006">
          <mc:Choice Requires="x14">
            <control shapeId="1164" r:id="rId124" name="Check Box 140">
              <controlPr locked="0" defaultSize="0" autoFill="0" autoLine="0" autoPict="0">
                <anchor moveWithCells="1">
                  <from>
                    <xdr:col>6</xdr:col>
                    <xdr:colOff>1362075</xdr:colOff>
                    <xdr:row>538</xdr:row>
                    <xdr:rowOff>0</xdr:rowOff>
                  </from>
                  <to>
                    <xdr:col>6</xdr:col>
                    <xdr:colOff>1752600</xdr:colOff>
                    <xdr:row>539</xdr:row>
                    <xdr:rowOff>390525</xdr:rowOff>
                  </to>
                </anchor>
              </controlPr>
            </control>
          </mc:Choice>
        </mc:AlternateContent>
        <mc:AlternateContent xmlns:mc="http://schemas.openxmlformats.org/markup-compatibility/2006">
          <mc:Choice Requires="x14">
            <control shapeId="1165" r:id="rId125" name="Check Box 141">
              <controlPr locked="0" defaultSize="0" autoFill="0" autoLine="0" autoPict="0">
                <anchor moveWithCells="1">
                  <from>
                    <xdr:col>6</xdr:col>
                    <xdr:colOff>1362075</xdr:colOff>
                    <xdr:row>538</xdr:row>
                    <xdr:rowOff>0</xdr:rowOff>
                  </from>
                  <to>
                    <xdr:col>6</xdr:col>
                    <xdr:colOff>1752600</xdr:colOff>
                    <xdr:row>539</xdr:row>
                    <xdr:rowOff>390525</xdr:rowOff>
                  </to>
                </anchor>
              </controlPr>
            </control>
          </mc:Choice>
        </mc:AlternateContent>
        <mc:AlternateContent xmlns:mc="http://schemas.openxmlformats.org/markup-compatibility/2006">
          <mc:Choice Requires="x14">
            <control shapeId="1166" r:id="rId126" name="Check Box 142">
              <controlPr locked="0" defaultSize="0" autoFill="0" autoLine="0" autoPict="0">
                <anchor moveWithCells="1">
                  <from>
                    <xdr:col>6</xdr:col>
                    <xdr:colOff>1362075</xdr:colOff>
                    <xdr:row>538</xdr:row>
                    <xdr:rowOff>0</xdr:rowOff>
                  </from>
                  <to>
                    <xdr:col>6</xdr:col>
                    <xdr:colOff>1752600</xdr:colOff>
                    <xdr:row>539</xdr:row>
                    <xdr:rowOff>390525</xdr:rowOff>
                  </to>
                </anchor>
              </controlPr>
            </control>
          </mc:Choice>
        </mc:AlternateContent>
        <mc:AlternateContent xmlns:mc="http://schemas.openxmlformats.org/markup-compatibility/2006">
          <mc:Choice Requires="x14">
            <control shapeId="1167" r:id="rId127" name="Check Box 143">
              <controlPr locked="0" defaultSize="0" autoFill="0" autoLine="0" autoPict="0">
                <anchor moveWithCells="1">
                  <from>
                    <xdr:col>6</xdr:col>
                    <xdr:colOff>1362075</xdr:colOff>
                    <xdr:row>540</xdr:row>
                    <xdr:rowOff>0</xdr:rowOff>
                  </from>
                  <to>
                    <xdr:col>6</xdr:col>
                    <xdr:colOff>1752600</xdr:colOff>
                    <xdr:row>541</xdr:row>
                    <xdr:rowOff>390525</xdr:rowOff>
                  </to>
                </anchor>
              </controlPr>
            </control>
          </mc:Choice>
        </mc:AlternateContent>
        <mc:AlternateContent xmlns:mc="http://schemas.openxmlformats.org/markup-compatibility/2006">
          <mc:Choice Requires="x14">
            <control shapeId="1168" r:id="rId128" name="Check Box 144">
              <controlPr locked="0" defaultSize="0" autoFill="0" autoLine="0" autoPict="0">
                <anchor moveWithCells="1">
                  <from>
                    <xdr:col>6</xdr:col>
                    <xdr:colOff>1362075</xdr:colOff>
                    <xdr:row>540</xdr:row>
                    <xdr:rowOff>0</xdr:rowOff>
                  </from>
                  <to>
                    <xdr:col>6</xdr:col>
                    <xdr:colOff>1752600</xdr:colOff>
                    <xdr:row>541</xdr:row>
                    <xdr:rowOff>390525</xdr:rowOff>
                  </to>
                </anchor>
              </controlPr>
            </control>
          </mc:Choice>
        </mc:AlternateContent>
        <mc:AlternateContent xmlns:mc="http://schemas.openxmlformats.org/markup-compatibility/2006">
          <mc:Choice Requires="x14">
            <control shapeId="1169" r:id="rId129" name="Check Box 145">
              <controlPr locked="0" defaultSize="0" autoFill="0" autoLine="0" autoPict="0">
                <anchor moveWithCells="1">
                  <from>
                    <xdr:col>6</xdr:col>
                    <xdr:colOff>1362075</xdr:colOff>
                    <xdr:row>540</xdr:row>
                    <xdr:rowOff>0</xdr:rowOff>
                  </from>
                  <to>
                    <xdr:col>6</xdr:col>
                    <xdr:colOff>1752600</xdr:colOff>
                    <xdr:row>541</xdr:row>
                    <xdr:rowOff>390525</xdr:rowOff>
                  </to>
                </anchor>
              </controlPr>
            </control>
          </mc:Choice>
        </mc:AlternateContent>
        <mc:AlternateContent xmlns:mc="http://schemas.openxmlformats.org/markup-compatibility/2006">
          <mc:Choice Requires="x14">
            <control shapeId="1170" r:id="rId130" name="Check Box 146">
              <controlPr locked="0" defaultSize="0" autoFill="0" autoLine="0" autoPict="0">
                <anchor moveWithCells="1">
                  <from>
                    <xdr:col>6</xdr:col>
                    <xdr:colOff>1362075</xdr:colOff>
                    <xdr:row>540</xdr:row>
                    <xdr:rowOff>0</xdr:rowOff>
                  </from>
                  <to>
                    <xdr:col>6</xdr:col>
                    <xdr:colOff>1752600</xdr:colOff>
                    <xdr:row>541</xdr:row>
                    <xdr:rowOff>390525</xdr:rowOff>
                  </to>
                </anchor>
              </controlPr>
            </control>
          </mc:Choice>
        </mc:AlternateContent>
        <mc:AlternateContent xmlns:mc="http://schemas.openxmlformats.org/markup-compatibility/2006">
          <mc:Choice Requires="x14">
            <control shapeId="1171" r:id="rId131" name="Check Box 147">
              <controlPr locked="0" defaultSize="0" autoFill="0" autoLine="0" autoPict="0">
                <anchor moveWithCells="1">
                  <from>
                    <xdr:col>6</xdr:col>
                    <xdr:colOff>1362075</xdr:colOff>
                    <xdr:row>540</xdr:row>
                    <xdr:rowOff>0</xdr:rowOff>
                  </from>
                  <to>
                    <xdr:col>6</xdr:col>
                    <xdr:colOff>1752600</xdr:colOff>
                    <xdr:row>541</xdr:row>
                    <xdr:rowOff>390525</xdr:rowOff>
                  </to>
                </anchor>
              </controlPr>
            </control>
          </mc:Choice>
        </mc:AlternateContent>
        <mc:AlternateContent xmlns:mc="http://schemas.openxmlformats.org/markup-compatibility/2006">
          <mc:Choice Requires="x14">
            <control shapeId="1172" r:id="rId132" name="Check Box 148">
              <controlPr locked="0" defaultSize="0" autoFill="0" autoLine="0" autoPict="0">
                <anchor moveWithCells="1">
                  <from>
                    <xdr:col>6</xdr:col>
                    <xdr:colOff>1362075</xdr:colOff>
                    <xdr:row>540</xdr:row>
                    <xdr:rowOff>0</xdr:rowOff>
                  </from>
                  <to>
                    <xdr:col>6</xdr:col>
                    <xdr:colOff>1752600</xdr:colOff>
                    <xdr:row>541</xdr:row>
                    <xdr:rowOff>390525</xdr:rowOff>
                  </to>
                </anchor>
              </controlPr>
            </control>
          </mc:Choice>
        </mc:AlternateContent>
        <mc:AlternateContent xmlns:mc="http://schemas.openxmlformats.org/markup-compatibility/2006">
          <mc:Choice Requires="x14">
            <control shapeId="1173" r:id="rId133" name="Check Box 149">
              <controlPr locked="0" defaultSize="0" autoFill="0" autoLine="0" autoPict="0">
                <anchor moveWithCells="1">
                  <from>
                    <xdr:col>6</xdr:col>
                    <xdr:colOff>1362075</xdr:colOff>
                    <xdr:row>542</xdr:row>
                    <xdr:rowOff>0</xdr:rowOff>
                  </from>
                  <to>
                    <xdr:col>6</xdr:col>
                    <xdr:colOff>1752600</xdr:colOff>
                    <xdr:row>543</xdr:row>
                    <xdr:rowOff>390525</xdr:rowOff>
                  </to>
                </anchor>
              </controlPr>
            </control>
          </mc:Choice>
        </mc:AlternateContent>
        <mc:AlternateContent xmlns:mc="http://schemas.openxmlformats.org/markup-compatibility/2006">
          <mc:Choice Requires="x14">
            <control shapeId="1174" r:id="rId134" name="Check Box 150">
              <controlPr locked="0" defaultSize="0" autoFill="0" autoLine="0" autoPict="0">
                <anchor moveWithCells="1">
                  <from>
                    <xdr:col>6</xdr:col>
                    <xdr:colOff>1362075</xdr:colOff>
                    <xdr:row>542</xdr:row>
                    <xdr:rowOff>0</xdr:rowOff>
                  </from>
                  <to>
                    <xdr:col>6</xdr:col>
                    <xdr:colOff>1752600</xdr:colOff>
                    <xdr:row>543</xdr:row>
                    <xdr:rowOff>390525</xdr:rowOff>
                  </to>
                </anchor>
              </controlPr>
            </control>
          </mc:Choice>
        </mc:AlternateContent>
        <mc:AlternateContent xmlns:mc="http://schemas.openxmlformats.org/markup-compatibility/2006">
          <mc:Choice Requires="x14">
            <control shapeId="1175" r:id="rId135" name="Check Box 151">
              <controlPr locked="0" defaultSize="0" autoFill="0" autoLine="0" autoPict="0">
                <anchor moveWithCells="1">
                  <from>
                    <xdr:col>6</xdr:col>
                    <xdr:colOff>1362075</xdr:colOff>
                    <xdr:row>542</xdr:row>
                    <xdr:rowOff>0</xdr:rowOff>
                  </from>
                  <to>
                    <xdr:col>6</xdr:col>
                    <xdr:colOff>1752600</xdr:colOff>
                    <xdr:row>543</xdr:row>
                    <xdr:rowOff>390525</xdr:rowOff>
                  </to>
                </anchor>
              </controlPr>
            </control>
          </mc:Choice>
        </mc:AlternateContent>
        <mc:AlternateContent xmlns:mc="http://schemas.openxmlformats.org/markup-compatibility/2006">
          <mc:Choice Requires="x14">
            <control shapeId="1176" r:id="rId136" name="Check Box 152">
              <controlPr locked="0" defaultSize="0" autoFill="0" autoLine="0" autoPict="0">
                <anchor moveWithCells="1">
                  <from>
                    <xdr:col>6</xdr:col>
                    <xdr:colOff>1362075</xdr:colOff>
                    <xdr:row>542</xdr:row>
                    <xdr:rowOff>0</xdr:rowOff>
                  </from>
                  <to>
                    <xdr:col>6</xdr:col>
                    <xdr:colOff>1752600</xdr:colOff>
                    <xdr:row>543</xdr:row>
                    <xdr:rowOff>390525</xdr:rowOff>
                  </to>
                </anchor>
              </controlPr>
            </control>
          </mc:Choice>
        </mc:AlternateContent>
        <mc:AlternateContent xmlns:mc="http://schemas.openxmlformats.org/markup-compatibility/2006">
          <mc:Choice Requires="x14">
            <control shapeId="1177" r:id="rId137" name="Check Box 153">
              <controlPr locked="0" defaultSize="0" autoFill="0" autoLine="0" autoPict="0">
                <anchor moveWithCells="1">
                  <from>
                    <xdr:col>6</xdr:col>
                    <xdr:colOff>1362075</xdr:colOff>
                    <xdr:row>542</xdr:row>
                    <xdr:rowOff>0</xdr:rowOff>
                  </from>
                  <to>
                    <xdr:col>6</xdr:col>
                    <xdr:colOff>1752600</xdr:colOff>
                    <xdr:row>543</xdr:row>
                    <xdr:rowOff>390525</xdr:rowOff>
                  </to>
                </anchor>
              </controlPr>
            </control>
          </mc:Choice>
        </mc:AlternateContent>
        <mc:AlternateContent xmlns:mc="http://schemas.openxmlformats.org/markup-compatibility/2006">
          <mc:Choice Requires="x14">
            <control shapeId="1178" r:id="rId138" name="Check Box 154">
              <controlPr locked="0" defaultSize="0" autoFill="0" autoLine="0" autoPict="0">
                <anchor moveWithCells="1">
                  <from>
                    <xdr:col>6</xdr:col>
                    <xdr:colOff>1362075</xdr:colOff>
                    <xdr:row>542</xdr:row>
                    <xdr:rowOff>0</xdr:rowOff>
                  </from>
                  <to>
                    <xdr:col>6</xdr:col>
                    <xdr:colOff>1752600</xdr:colOff>
                    <xdr:row>543</xdr:row>
                    <xdr:rowOff>390525</xdr:rowOff>
                  </to>
                </anchor>
              </controlPr>
            </control>
          </mc:Choice>
        </mc:AlternateContent>
        <mc:AlternateContent xmlns:mc="http://schemas.openxmlformats.org/markup-compatibility/2006">
          <mc:Choice Requires="x14">
            <control shapeId="1180" r:id="rId139" name="Check Box 156">
              <controlPr locked="0" defaultSize="0" autoFill="0" autoLine="0" autoPict="0">
                <anchor moveWithCells="1">
                  <from>
                    <xdr:col>6</xdr:col>
                    <xdr:colOff>1362075</xdr:colOff>
                    <xdr:row>528</xdr:row>
                    <xdr:rowOff>0</xdr:rowOff>
                  </from>
                  <to>
                    <xdr:col>6</xdr:col>
                    <xdr:colOff>1752600</xdr:colOff>
                    <xdr:row>529</xdr:row>
                    <xdr:rowOff>390525</xdr:rowOff>
                  </to>
                </anchor>
              </controlPr>
            </control>
          </mc:Choice>
        </mc:AlternateContent>
        <mc:AlternateContent xmlns:mc="http://schemas.openxmlformats.org/markup-compatibility/2006">
          <mc:Choice Requires="x14">
            <control shapeId="1181" r:id="rId140" name="Check Box 157">
              <controlPr locked="0" defaultSize="0" autoFill="0" autoLine="0" autoPict="0">
                <anchor moveWithCells="1">
                  <from>
                    <xdr:col>6</xdr:col>
                    <xdr:colOff>1362075</xdr:colOff>
                    <xdr:row>528</xdr:row>
                    <xdr:rowOff>0</xdr:rowOff>
                  </from>
                  <to>
                    <xdr:col>6</xdr:col>
                    <xdr:colOff>1752600</xdr:colOff>
                    <xdr:row>529</xdr:row>
                    <xdr:rowOff>390525</xdr:rowOff>
                  </to>
                </anchor>
              </controlPr>
            </control>
          </mc:Choice>
        </mc:AlternateContent>
        <mc:AlternateContent xmlns:mc="http://schemas.openxmlformats.org/markup-compatibility/2006">
          <mc:Choice Requires="x14">
            <control shapeId="1182" r:id="rId141" name="Check Box 158">
              <controlPr locked="0" defaultSize="0" autoFill="0" autoLine="0" autoPict="0">
                <anchor moveWithCells="1">
                  <from>
                    <xdr:col>6</xdr:col>
                    <xdr:colOff>1362075</xdr:colOff>
                    <xdr:row>544</xdr:row>
                    <xdr:rowOff>0</xdr:rowOff>
                  </from>
                  <to>
                    <xdr:col>6</xdr:col>
                    <xdr:colOff>1752600</xdr:colOff>
                    <xdr:row>545</xdr:row>
                    <xdr:rowOff>390525</xdr:rowOff>
                  </to>
                </anchor>
              </controlPr>
            </control>
          </mc:Choice>
        </mc:AlternateContent>
        <mc:AlternateContent xmlns:mc="http://schemas.openxmlformats.org/markup-compatibility/2006">
          <mc:Choice Requires="x14">
            <control shapeId="1183" r:id="rId142" name="Check Box 159">
              <controlPr locked="0" defaultSize="0" autoFill="0" autoLine="0" autoPict="0">
                <anchor moveWithCells="1">
                  <from>
                    <xdr:col>6</xdr:col>
                    <xdr:colOff>1362075</xdr:colOff>
                    <xdr:row>544</xdr:row>
                    <xdr:rowOff>0</xdr:rowOff>
                  </from>
                  <to>
                    <xdr:col>6</xdr:col>
                    <xdr:colOff>1752600</xdr:colOff>
                    <xdr:row>545</xdr:row>
                    <xdr:rowOff>390525</xdr:rowOff>
                  </to>
                </anchor>
              </controlPr>
            </control>
          </mc:Choice>
        </mc:AlternateContent>
        <mc:AlternateContent xmlns:mc="http://schemas.openxmlformats.org/markup-compatibility/2006">
          <mc:Choice Requires="x14">
            <control shapeId="1184" r:id="rId143" name="Check Box 160">
              <controlPr locked="0" defaultSize="0" autoFill="0" autoLine="0" autoPict="0">
                <anchor moveWithCells="1">
                  <from>
                    <xdr:col>6</xdr:col>
                    <xdr:colOff>1362075</xdr:colOff>
                    <xdr:row>544</xdr:row>
                    <xdr:rowOff>0</xdr:rowOff>
                  </from>
                  <to>
                    <xdr:col>6</xdr:col>
                    <xdr:colOff>1752600</xdr:colOff>
                    <xdr:row>545</xdr:row>
                    <xdr:rowOff>390525</xdr:rowOff>
                  </to>
                </anchor>
              </controlPr>
            </control>
          </mc:Choice>
        </mc:AlternateContent>
        <mc:AlternateContent xmlns:mc="http://schemas.openxmlformats.org/markup-compatibility/2006">
          <mc:Choice Requires="x14">
            <control shapeId="1185" r:id="rId144" name="Check Box 161">
              <controlPr locked="0" defaultSize="0" autoFill="0" autoLine="0" autoPict="0">
                <anchor moveWithCells="1">
                  <from>
                    <xdr:col>6</xdr:col>
                    <xdr:colOff>1362075</xdr:colOff>
                    <xdr:row>544</xdr:row>
                    <xdr:rowOff>0</xdr:rowOff>
                  </from>
                  <to>
                    <xdr:col>6</xdr:col>
                    <xdr:colOff>1752600</xdr:colOff>
                    <xdr:row>545</xdr:row>
                    <xdr:rowOff>390525</xdr:rowOff>
                  </to>
                </anchor>
              </controlPr>
            </control>
          </mc:Choice>
        </mc:AlternateContent>
        <mc:AlternateContent xmlns:mc="http://schemas.openxmlformats.org/markup-compatibility/2006">
          <mc:Choice Requires="x14">
            <control shapeId="1186" r:id="rId145" name="Check Box 162">
              <controlPr locked="0" defaultSize="0" autoFill="0" autoLine="0" autoPict="0">
                <anchor moveWithCells="1">
                  <from>
                    <xdr:col>6</xdr:col>
                    <xdr:colOff>1362075</xdr:colOff>
                    <xdr:row>544</xdr:row>
                    <xdr:rowOff>0</xdr:rowOff>
                  </from>
                  <to>
                    <xdr:col>6</xdr:col>
                    <xdr:colOff>1752600</xdr:colOff>
                    <xdr:row>545</xdr:row>
                    <xdr:rowOff>390525</xdr:rowOff>
                  </to>
                </anchor>
              </controlPr>
            </control>
          </mc:Choice>
        </mc:AlternateContent>
        <mc:AlternateContent xmlns:mc="http://schemas.openxmlformats.org/markup-compatibility/2006">
          <mc:Choice Requires="x14">
            <control shapeId="1187" r:id="rId146" name="Check Box 163">
              <controlPr locked="0" defaultSize="0" autoFill="0" autoLine="0" autoPict="0">
                <anchor moveWithCells="1">
                  <from>
                    <xdr:col>6</xdr:col>
                    <xdr:colOff>1362075</xdr:colOff>
                    <xdr:row>544</xdr:row>
                    <xdr:rowOff>0</xdr:rowOff>
                  </from>
                  <to>
                    <xdr:col>6</xdr:col>
                    <xdr:colOff>1752600</xdr:colOff>
                    <xdr:row>545</xdr:row>
                    <xdr:rowOff>390525</xdr:rowOff>
                  </to>
                </anchor>
              </controlPr>
            </control>
          </mc:Choice>
        </mc:AlternateContent>
        <mc:AlternateContent xmlns:mc="http://schemas.openxmlformats.org/markup-compatibility/2006">
          <mc:Choice Requires="x14">
            <control shapeId="1188" r:id="rId147" name="Check Box 164">
              <controlPr locked="0" defaultSize="0" autoFill="0" autoLine="0" autoPict="0">
                <anchor moveWithCells="1">
                  <from>
                    <xdr:col>6</xdr:col>
                    <xdr:colOff>1362075</xdr:colOff>
                    <xdr:row>530</xdr:row>
                    <xdr:rowOff>0</xdr:rowOff>
                  </from>
                  <to>
                    <xdr:col>6</xdr:col>
                    <xdr:colOff>1752600</xdr:colOff>
                    <xdr:row>531</xdr:row>
                    <xdr:rowOff>390525</xdr:rowOff>
                  </to>
                </anchor>
              </controlPr>
            </control>
          </mc:Choice>
        </mc:AlternateContent>
        <mc:AlternateContent xmlns:mc="http://schemas.openxmlformats.org/markup-compatibility/2006">
          <mc:Choice Requires="x14">
            <control shapeId="1189" r:id="rId148" name="Check Box 165">
              <controlPr locked="0" defaultSize="0" autoFill="0" autoLine="0" autoPict="0">
                <anchor moveWithCells="1">
                  <from>
                    <xdr:col>6</xdr:col>
                    <xdr:colOff>1362075</xdr:colOff>
                    <xdr:row>530</xdr:row>
                    <xdr:rowOff>0</xdr:rowOff>
                  </from>
                  <to>
                    <xdr:col>6</xdr:col>
                    <xdr:colOff>1752600</xdr:colOff>
                    <xdr:row>531</xdr:row>
                    <xdr:rowOff>390525</xdr:rowOff>
                  </to>
                </anchor>
              </controlPr>
            </control>
          </mc:Choice>
        </mc:AlternateContent>
        <mc:AlternateContent xmlns:mc="http://schemas.openxmlformats.org/markup-compatibility/2006">
          <mc:Choice Requires="x14">
            <control shapeId="1190" r:id="rId149" name="Check Box 166">
              <controlPr locked="0" defaultSize="0" autoFill="0" autoLine="0" autoPict="0">
                <anchor moveWithCells="1">
                  <from>
                    <xdr:col>6</xdr:col>
                    <xdr:colOff>1362075</xdr:colOff>
                    <xdr:row>530</xdr:row>
                    <xdr:rowOff>0</xdr:rowOff>
                  </from>
                  <to>
                    <xdr:col>6</xdr:col>
                    <xdr:colOff>1752600</xdr:colOff>
                    <xdr:row>531</xdr:row>
                    <xdr:rowOff>390525</xdr:rowOff>
                  </to>
                </anchor>
              </controlPr>
            </control>
          </mc:Choice>
        </mc:AlternateContent>
        <mc:AlternateContent xmlns:mc="http://schemas.openxmlformats.org/markup-compatibility/2006">
          <mc:Choice Requires="x14">
            <control shapeId="1191" r:id="rId150" name="Check Box 167">
              <controlPr locked="0" defaultSize="0" autoFill="0" autoLine="0" autoPict="0">
                <anchor moveWithCells="1">
                  <from>
                    <xdr:col>6</xdr:col>
                    <xdr:colOff>1362075</xdr:colOff>
                    <xdr:row>530</xdr:row>
                    <xdr:rowOff>0</xdr:rowOff>
                  </from>
                  <to>
                    <xdr:col>6</xdr:col>
                    <xdr:colOff>1752600</xdr:colOff>
                    <xdr:row>531</xdr:row>
                    <xdr:rowOff>390525</xdr:rowOff>
                  </to>
                </anchor>
              </controlPr>
            </control>
          </mc:Choice>
        </mc:AlternateContent>
        <mc:AlternateContent xmlns:mc="http://schemas.openxmlformats.org/markup-compatibility/2006">
          <mc:Choice Requires="x14">
            <control shapeId="1192" r:id="rId151" name="Check Box 168">
              <controlPr locked="0" defaultSize="0" autoFill="0" autoLine="0" autoPict="0">
                <anchor moveWithCells="1">
                  <from>
                    <xdr:col>6</xdr:col>
                    <xdr:colOff>1362075</xdr:colOff>
                    <xdr:row>532</xdr:row>
                    <xdr:rowOff>0</xdr:rowOff>
                  </from>
                  <to>
                    <xdr:col>6</xdr:col>
                    <xdr:colOff>1752600</xdr:colOff>
                    <xdr:row>533</xdr:row>
                    <xdr:rowOff>390525</xdr:rowOff>
                  </to>
                </anchor>
              </controlPr>
            </control>
          </mc:Choice>
        </mc:AlternateContent>
        <mc:AlternateContent xmlns:mc="http://schemas.openxmlformats.org/markup-compatibility/2006">
          <mc:Choice Requires="x14">
            <control shapeId="1193" r:id="rId152" name="Check Box 169">
              <controlPr locked="0" defaultSize="0" autoFill="0" autoLine="0" autoPict="0">
                <anchor moveWithCells="1">
                  <from>
                    <xdr:col>6</xdr:col>
                    <xdr:colOff>1362075</xdr:colOff>
                    <xdr:row>532</xdr:row>
                    <xdr:rowOff>0</xdr:rowOff>
                  </from>
                  <to>
                    <xdr:col>6</xdr:col>
                    <xdr:colOff>1752600</xdr:colOff>
                    <xdr:row>533</xdr:row>
                    <xdr:rowOff>390525</xdr:rowOff>
                  </to>
                </anchor>
              </controlPr>
            </control>
          </mc:Choice>
        </mc:AlternateContent>
        <mc:AlternateContent xmlns:mc="http://schemas.openxmlformats.org/markup-compatibility/2006">
          <mc:Choice Requires="x14">
            <control shapeId="1194" r:id="rId153" name="Check Box 170">
              <controlPr locked="0" defaultSize="0" autoFill="0" autoLine="0" autoPict="0">
                <anchor moveWithCells="1">
                  <from>
                    <xdr:col>6</xdr:col>
                    <xdr:colOff>1362075</xdr:colOff>
                    <xdr:row>532</xdr:row>
                    <xdr:rowOff>0</xdr:rowOff>
                  </from>
                  <to>
                    <xdr:col>6</xdr:col>
                    <xdr:colOff>1752600</xdr:colOff>
                    <xdr:row>533</xdr:row>
                    <xdr:rowOff>390525</xdr:rowOff>
                  </to>
                </anchor>
              </controlPr>
            </control>
          </mc:Choice>
        </mc:AlternateContent>
        <mc:AlternateContent xmlns:mc="http://schemas.openxmlformats.org/markup-compatibility/2006">
          <mc:Choice Requires="x14">
            <control shapeId="1195" r:id="rId154" name="Check Box 171">
              <controlPr locked="0" defaultSize="0" autoFill="0" autoLine="0" autoPict="0">
                <anchor moveWithCells="1">
                  <from>
                    <xdr:col>6</xdr:col>
                    <xdr:colOff>1362075</xdr:colOff>
                    <xdr:row>532</xdr:row>
                    <xdr:rowOff>0</xdr:rowOff>
                  </from>
                  <to>
                    <xdr:col>6</xdr:col>
                    <xdr:colOff>1752600</xdr:colOff>
                    <xdr:row>533</xdr:row>
                    <xdr:rowOff>390525</xdr:rowOff>
                  </to>
                </anchor>
              </controlPr>
            </control>
          </mc:Choice>
        </mc:AlternateContent>
        <mc:AlternateContent xmlns:mc="http://schemas.openxmlformats.org/markup-compatibility/2006">
          <mc:Choice Requires="x14">
            <control shapeId="1196" r:id="rId155" name="Check Box 172">
              <controlPr locked="0" defaultSize="0" autoFill="0" autoLine="0" autoPict="0">
                <anchor moveWithCells="1">
                  <from>
                    <xdr:col>6</xdr:col>
                    <xdr:colOff>1362075</xdr:colOff>
                    <xdr:row>538</xdr:row>
                    <xdr:rowOff>0</xdr:rowOff>
                  </from>
                  <to>
                    <xdr:col>6</xdr:col>
                    <xdr:colOff>1752600</xdr:colOff>
                    <xdr:row>539</xdr:row>
                    <xdr:rowOff>390525</xdr:rowOff>
                  </to>
                </anchor>
              </controlPr>
            </control>
          </mc:Choice>
        </mc:AlternateContent>
        <mc:AlternateContent xmlns:mc="http://schemas.openxmlformats.org/markup-compatibility/2006">
          <mc:Choice Requires="x14">
            <control shapeId="1197" r:id="rId156" name="Check Box 173">
              <controlPr locked="0" defaultSize="0" autoFill="0" autoLine="0" autoPict="0">
                <anchor moveWithCells="1">
                  <from>
                    <xdr:col>6</xdr:col>
                    <xdr:colOff>1362075</xdr:colOff>
                    <xdr:row>538</xdr:row>
                    <xdr:rowOff>0</xdr:rowOff>
                  </from>
                  <to>
                    <xdr:col>6</xdr:col>
                    <xdr:colOff>1752600</xdr:colOff>
                    <xdr:row>539</xdr:row>
                    <xdr:rowOff>390525</xdr:rowOff>
                  </to>
                </anchor>
              </controlPr>
            </control>
          </mc:Choice>
        </mc:AlternateContent>
        <mc:AlternateContent xmlns:mc="http://schemas.openxmlformats.org/markup-compatibility/2006">
          <mc:Choice Requires="x14">
            <control shapeId="1198" r:id="rId157" name="Check Box 174">
              <controlPr locked="0" defaultSize="0" autoFill="0" autoLine="0" autoPict="0">
                <anchor moveWithCells="1">
                  <from>
                    <xdr:col>6</xdr:col>
                    <xdr:colOff>1362075</xdr:colOff>
                    <xdr:row>538</xdr:row>
                    <xdr:rowOff>0</xdr:rowOff>
                  </from>
                  <to>
                    <xdr:col>6</xdr:col>
                    <xdr:colOff>1752600</xdr:colOff>
                    <xdr:row>539</xdr:row>
                    <xdr:rowOff>390525</xdr:rowOff>
                  </to>
                </anchor>
              </controlPr>
            </control>
          </mc:Choice>
        </mc:AlternateContent>
        <mc:AlternateContent xmlns:mc="http://schemas.openxmlformats.org/markup-compatibility/2006">
          <mc:Choice Requires="x14">
            <control shapeId="1199" r:id="rId158" name="Check Box 175">
              <controlPr locked="0" defaultSize="0" autoFill="0" autoLine="0" autoPict="0">
                <anchor moveWithCells="1">
                  <from>
                    <xdr:col>6</xdr:col>
                    <xdr:colOff>1362075</xdr:colOff>
                    <xdr:row>538</xdr:row>
                    <xdr:rowOff>0</xdr:rowOff>
                  </from>
                  <to>
                    <xdr:col>6</xdr:col>
                    <xdr:colOff>1752600</xdr:colOff>
                    <xdr:row>539</xdr:row>
                    <xdr:rowOff>390525</xdr:rowOff>
                  </to>
                </anchor>
              </controlPr>
            </control>
          </mc:Choice>
        </mc:AlternateContent>
        <mc:AlternateContent xmlns:mc="http://schemas.openxmlformats.org/markup-compatibility/2006">
          <mc:Choice Requires="x14">
            <control shapeId="1200" r:id="rId159" name="Check Box 176">
              <controlPr locked="0" defaultSize="0" autoFill="0" autoLine="0" autoPict="0">
                <anchor moveWithCells="1">
                  <from>
                    <xdr:col>6</xdr:col>
                    <xdr:colOff>1362075</xdr:colOff>
                    <xdr:row>540</xdr:row>
                    <xdr:rowOff>0</xdr:rowOff>
                  </from>
                  <to>
                    <xdr:col>6</xdr:col>
                    <xdr:colOff>1752600</xdr:colOff>
                    <xdr:row>541</xdr:row>
                    <xdr:rowOff>390525</xdr:rowOff>
                  </to>
                </anchor>
              </controlPr>
            </control>
          </mc:Choice>
        </mc:AlternateContent>
        <mc:AlternateContent xmlns:mc="http://schemas.openxmlformats.org/markup-compatibility/2006">
          <mc:Choice Requires="x14">
            <control shapeId="1201" r:id="rId160" name="Check Box 177">
              <controlPr locked="0" defaultSize="0" autoFill="0" autoLine="0" autoPict="0">
                <anchor moveWithCells="1">
                  <from>
                    <xdr:col>6</xdr:col>
                    <xdr:colOff>1362075</xdr:colOff>
                    <xdr:row>540</xdr:row>
                    <xdr:rowOff>0</xdr:rowOff>
                  </from>
                  <to>
                    <xdr:col>6</xdr:col>
                    <xdr:colOff>1752600</xdr:colOff>
                    <xdr:row>541</xdr:row>
                    <xdr:rowOff>390525</xdr:rowOff>
                  </to>
                </anchor>
              </controlPr>
            </control>
          </mc:Choice>
        </mc:AlternateContent>
        <mc:AlternateContent xmlns:mc="http://schemas.openxmlformats.org/markup-compatibility/2006">
          <mc:Choice Requires="x14">
            <control shapeId="1202" r:id="rId161" name="Check Box 178">
              <controlPr locked="0" defaultSize="0" autoFill="0" autoLine="0" autoPict="0">
                <anchor moveWithCells="1">
                  <from>
                    <xdr:col>6</xdr:col>
                    <xdr:colOff>1362075</xdr:colOff>
                    <xdr:row>540</xdr:row>
                    <xdr:rowOff>0</xdr:rowOff>
                  </from>
                  <to>
                    <xdr:col>6</xdr:col>
                    <xdr:colOff>1752600</xdr:colOff>
                    <xdr:row>541</xdr:row>
                    <xdr:rowOff>390525</xdr:rowOff>
                  </to>
                </anchor>
              </controlPr>
            </control>
          </mc:Choice>
        </mc:AlternateContent>
        <mc:AlternateContent xmlns:mc="http://schemas.openxmlformats.org/markup-compatibility/2006">
          <mc:Choice Requires="x14">
            <control shapeId="1203" r:id="rId162" name="Check Box 179">
              <controlPr locked="0" defaultSize="0" autoFill="0" autoLine="0" autoPict="0">
                <anchor moveWithCells="1">
                  <from>
                    <xdr:col>6</xdr:col>
                    <xdr:colOff>1362075</xdr:colOff>
                    <xdr:row>540</xdr:row>
                    <xdr:rowOff>0</xdr:rowOff>
                  </from>
                  <to>
                    <xdr:col>6</xdr:col>
                    <xdr:colOff>1752600</xdr:colOff>
                    <xdr:row>541</xdr:row>
                    <xdr:rowOff>390525</xdr:rowOff>
                  </to>
                </anchor>
              </controlPr>
            </control>
          </mc:Choice>
        </mc:AlternateContent>
        <mc:AlternateContent xmlns:mc="http://schemas.openxmlformats.org/markup-compatibility/2006">
          <mc:Choice Requires="x14">
            <control shapeId="1204" r:id="rId163" name="Check Box 180">
              <controlPr locked="0" defaultSize="0" autoFill="0" autoLine="0" autoPict="0">
                <anchor moveWithCells="1">
                  <from>
                    <xdr:col>6</xdr:col>
                    <xdr:colOff>1362075</xdr:colOff>
                    <xdr:row>542</xdr:row>
                    <xdr:rowOff>0</xdr:rowOff>
                  </from>
                  <to>
                    <xdr:col>6</xdr:col>
                    <xdr:colOff>1752600</xdr:colOff>
                    <xdr:row>543</xdr:row>
                    <xdr:rowOff>390525</xdr:rowOff>
                  </to>
                </anchor>
              </controlPr>
            </control>
          </mc:Choice>
        </mc:AlternateContent>
        <mc:AlternateContent xmlns:mc="http://schemas.openxmlformats.org/markup-compatibility/2006">
          <mc:Choice Requires="x14">
            <control shapeId="1205" r:id="rId164" name="Check Box 181">
              <controlPr locked="0" defaultSize="0" autoFill="0" autoLine="0" autoPict="0">
                <anchor moveWithCells="1">
                  <from>
                    <xdr:col>6</xdr:col>
                    <xdr:colOff>1362075</xdr:colOff>
                    <xdr:row>542</xdr:row>
                    <xdr:rowOff>0</xdr:rowOff>
                  </from>
                  <to>
                    <xdr:col>6</xdr:col>
                    <xdr:colOff>1752600</xdr:colOff>
                    <xdr:row>543</xdr:row>
                    <xdr:rowOff>390525</xdr:rowOff>
                  </to>
                </anchor>
              </controlPr>
            </control>
          </mc:Choice>
        </mc:AlternateContent>
        <mc:AlternateContent xmlns:mc="http://schemas.openxmlformats.org/markup-compatibility/2006">
          <mc:Choice Requires="x14">
            <control shapeId="1206" r:id="rId165" name="Check Box 182">
              <controlPr locked="0" defaultSize="0" autoFill="0" autoLine="0" autoPict="0">
                <anchor moveWithCells="1">
                  <from>
                    <xdr:col>6</xdr:col>
                    <xdr:colOff>1362075</xdr:colOff>
                    <xdr:row>542</xdr:row>
                    <xdr:rowOff>0</xdr:rowOff>
                  </from>
                  <to>
                    <xdr:col>6</xdr:col>
                    <xdr:colOff>1752600</xdr:colOff>
                    <xdr:row>543</xdr:row>
                    <xdr:rowOff>390525</xdr:rowOff>
                  </to>
                </anchor>
              </controlPr>
            </control>
          </mc:Choice>
        </mc:AlternateContent>
        <mc:AlternateContent xmlns:mc="http://schemas.openxmlformats.org/markup-compatibility/2006">
          <mc:Choice Requires="x14">
            <control shapeId="1207" r:id="rId166" name="Check Box 183">
              <controlPr locked="0" defaultSize="0" autoFill="0" autoLine="0" autoPict="0">
                <anchor moveWithCells="1">
                  <from>
                    <xdr:col>6</xdr:col>
                    <xdr:colOff>1362075</xdr:colOff>
                    <xdr:row>542</xdr:row>
                    <xdr:rowOff>0</xdr:rowOff>
                  </from>
                  <to>
                    <xdr:col>6</xdr:col>
                    <xdr:colOff>1752600</xdr:colOff>
                    <xdr:row>543</xdr:row>
                    <xdr:rowOff>390525</xdr:rowOff>
                  </to>
                </anchor>
              </controlPr>
            </control>
          </mc:Choice>
        </mc:AlternateContent>
        <mc:AlternateContent xmlns:mc="http://schemas.openxmlformats.org/markup-compatibility/2006">
          <mc:Choice Requires="x14">
            <control shapeId="1208" r:id="rId167" name="Check Box 184">
              <controlPr locked="0" defaultSize="0" autoFill="0" autoLine="0" autoPict="0">
                <anchor moveWithCells="1">
                  <from>
                    <xdr:col>6</xdr:col>
                    <xdr:colOff>1362075</xdr:colOff>
                    <xdr:row>544</xdr:row>
                    <xdr:rowOff>0</xdr:rowOff>
                  </from>
                  <to>
                    <xdr:col>6</xdr:col>
                    <xdr:colOff>1752600</xdr:colOff>
                    <xdr:row>545</xdr:row>
                    <xdr:rowOff>390525</xdr:rowOff>
                  </to>
                </anchor>
              </controlPr>
            </control>
          </mc:Choice>
        </mc:AlternateContent>
        <mc:AlternateContent xmlns:mc="http://schemas.openxmlformats.org/markup-compatibility/2006">
          <mc:Choice Requires="x14">
            <control shapeId="1209" r:id="rId168" name="Check Box 185">
              <controlPr locked="0" defaultSize="0" autoFill="0" autoLine="0" autoPict="0">
                <anchor moveWithCells="1">
                  <from>
                    <xdr:col>6</xdr:col>
                    <xdr:colOff>1362075</xdr:colOff>
                    <xdr:row>544</xdr:row>
                    <xdr:rowOff>0</xdr:rowOff>
                  </from>
                  <to>
                    <xdr:col>6</xdr:col>
                    <xdr:colOff>1752600</xdr:colOff>
                    <xdr:row>545</xdr:row>
                    <xdr:rowOff>390525</xdr:rowOff>
                  </to>
                </anchor>
              </controlPr>
            </control>
          </mc:Choice>
        </mc:AlternateContent>
        <mc:AlternateContent xmlns:mc="http://schemas.openxmlformats.org/markup-compatibility/2006">
          <mc:Choice Requires="x14">
            <control shapeId="1210" r:id="rId169" name="Check Box 186">
              <controlPr locked="0" defaultSize="0" autoFill="0" autoLine="0" autoPict="0">
                <anchor moveWithCells="1">
                  <from>
                    <xdr:col>6</xdr:col>
                    <xdr:colOff>1362075</xdr:colOff>
                    <xdr:row>544</xdr:row>
                    <xdr:rowOff>0</xdr:rowOff>
                  </from>
                  <to>
                    <xdr:col>6</xdr:col>
                    <xdr:colOff>1752600</xdr:colOff>
                    <xdr:row>545</xdr:row>
                    <xdr:rowOff>390525</xdr:rowOff>
                  </to>
                </anchor>
              </controlPr>
            </control>
          </mc:Choice>
        </mc:AlternateContent>
        <mc:AlternateContent xmlns:mc="http://schemas.openxmlformats.org/markup-compatibility/2006">
          <mc:Choice Requires="x14">
            <control shapeId="1211" r:id="rId170" name="Check Box 187">
              <controlPr locked="0" defaultSize="0" autoFill="0" autoLine="0" autoPict="0">
                <anchor moveWithCells="1">
                  <from>
                    <xdr:col>6</xdr:col>
                    <xdr:colOff>1362075</xdr:colOff>
                    <xdr:row>544</xdr:row>
                    <xdr:rowOff>0</xdr:rowOff>
                  </from>
                  <to>
                    <xdr:col>6</xdr:col>
                    <xdr:colOff>1752600</xdr:colOff>
                    <xdr:row>545</xdr:row>
                    <xdr:rowOff>390525</xdr:rowOff>
                  </to>
                </anchor>
              </controlPr>
            </control>
          </mc:Choice>
        </mc:AlternateContent>
        <mc:AlternateContent xmlns:mc="http://schemas.openxmlformats.org/markup-compatibility/2006">
          <mc:Choice Requires="x14">
            <control shapeId="1212" r:id="rId171" name="Check Box 188">
              <controlPr locked="0" defaultSize="0" autoFill="0" autoLine="0" autoPict="0">
                <anchor moveWithCells="1">
                  <from>
                    <xdr:col>6</xdr:col>
                    <xdr:colOff>1362075</xdr:colOff>
                    <xdr:row>530</xdr:row>
                    <xdr:rowOff>0</xdr:rowOff>
                  </from>
                  <to>
                    <xdr:col>6</xdr:col>
                    <xdr:colOff>1752600</xdr:colOff>
                    <xdr:row>531</xdr:row>
                    <xdr:rowOff>390525</xdr:rowOff>
                  </to>
                </anchor>
              </controlPr>
            </control>
          </mc:Choice>
        </mc:AlternateContent>
        <mc:AlternateContent xmlns:mc="http://schemas.openxmlformats.org/markup-compatibility/2006">
          <mc:Choice Requires="x14">
            <control shapeId="1213" r:id="rId172" name="Check Box 189">
              <controlPr locked="0" defaultSize="0" autoFill="0" autoLine="0" autoPict="0">
                <anchor moveWithCells="1">
                  <from>
                    <xdr:col>6</xdr:col>
                    <xdr:colOff>1362075</xdr:colOff>
                    <xdr:row>530</xdr:row>
                    <xdr:rowOff>0</xdr:rowOff>
                  </from>
                  <to>
                    <xdr:col>6</xdr:col>
                    <xdr:colOff>1752600</xdr:colOff>
                    <xdr:row>531</xdr:row>
                    <xdr:rowOff>390525</xdr:rowOff>
                  </to>
                </anchor>
              </controlPr>
            </control>
          </mc:Choice>
        </mc:AlternateContent>
        <mc:AlternateContent xmlns:mc="http://schemas.openxmlformats.org/markup-compatibility/2006">
          <mc:Choice Requires="x14">
            <control shapeId="1214" r:id="rId173" name="Check Box 190">
              <controlPr locked="0" defaultSize="0" autoFill="0" autoLine="0" autoPict="0">
                <anchor moveWithCells="1">
                  <from>
                    <xdr:col>6</xdr:col>
                    <xdr:colOff>1362075</xdr:colOff>
                    <xdr:row>530</xdr:row>
                    <xdr:rowOff>0</xdr:rowOff>
                  </from>
                  <to>
                    <xdr:col>6</xdr:col>
                    <xdr:colOff>1752600</xdr:colOff>
                    <xdr:row>531</xdr:row>
                    <xdr:rowOff>390525</xdr:rowOff>
                  </to>
                </anchor>
              </controlPr>
            </control>
          </mc:Choice>
        </mc:AlternateContent>
        <mc:AlternateContent xmlns:mc="http://schemas.openxmlformats.org/markup-compatibility/2006">
          <mc:Choice Requires="x14">
            <control shapeId="1215" r:id="rId174" name="Check Box 191">
              <controlPr locked="0" defaultSize="0" autoFill="0" autoLine="0" autoPict="0">
                <anchor moveWithCells="1">
                  <from>
                    <xdr:col>6</xdr:col>
                    <xdr:colOff>1362075</xdr:colOff>
                    <xdr:row>530</xdr:row>
                    <xdr:rowOff>0</xdr:rowOff>
                  </from>
                  <to>
                    <xdr:col>6</xdr:col>
                    <xdr:colOff>1752600</xdr:colOff>
                    <xdr:row>531</xdr:row>
                    <xdr:rowOff>390525</xdr:rowOff>
                  </to>
                </anchor>
              </controlPr>
            </control>
          </mc:Choice>
        </mc:AlternateContent>
        <mc:AlternateContent xmlns:mc="http://schemas.openxmlformats.org/markup-compatibility/2006">
          <mc:Choice Requires="x14">
            <control shapeId="1216" r:id="rId175" name="Check Box 192">
              <controlPr locked="0" defaultSize="0" autoFill="0" autoLine="0" autoPict="0">
                <anchor moveWithCells="1">
                  <from>
                    <xdr:col>6</xdr:col>
                    <xdr:colOff>1362075</xdr:colOff>
                    <xdr:row>532</xdr:row>
                    <xdr:rowOff>0</xdr:rowOff>
                  </from>
                  <to>
                    <xdr:col>6</xdr:col>
                    <xdr:colOff>1752600</xdr:colOff>
                    <xdr:row>533</xdr:row>
                    <xdr:rowOff>390525</xdr:rowOff>
                  </to>
                </anchor>
              </controlPr>
            </control>
          </mc:Choice>
        </mc:AlternateContent>
        <mc:AlternateContent xmlns:mc="http://schemas.openxmlformats.org/markup-compatibility/2006">
          <mc:Choice Requires="x14">
            <control shapeId="1217" r:id="rId176" name="Check Box 193">
              <controlPr locked="0" defaultSize="0" autoFill="0" autoLine="0" autoPict="0">
                <anchor moveWithCells="1">
                  <from>
                    <xdr:col>6</xdr:col>
                    <xdr:colOff>1362075</xdr:colOff>
                    <xdr:row>532</xdr:row>
                    <xdr:rowOff>0</xdr:rowOff>
                  </from>
                  <to>
                    <xdr:col>6</xdr:col>
                    <xdr:colOff>1752600</xdr:colOff>
                    <xdr:row>533</xdr:row>
                    <xdr:rowOff>390525</xdr:rowOff>
                  </to>
                </anchor>
              </controlPr>
            </control>
          </mc:Choice>
        </mc:AlternateContent>
        <mc:AlternateContent xmlns:mc="http://schemas.openxmlformats.org/markup-compatibility/2006">
          <mc:Choice Requires="x14">
            <control shapeId="1218" r:id="rId177" name="Check Box 194">
              <controlPr locked="0" defaultSize="0" autoFill="0" autoLine="0" autoPict="0">
                <anchor moveWithCells="1">
                  <from>
                    <xdr:col>6</xdr:col>
                    <xdr:colOff>1362075</xdr:colOff>
                    <xdr:row>532</xdr:row>
                    <xdr:rowOff>0</xdr:rowOff>
                  </from>
                  <to>
                    <xdr:col>6</xdr:col>
                    <xdr:colOff>1752600</xdr:colOff>
                    <xdr:row>533</xdr:row>
                    <xdr:rowOff>390525</xdr:rowOff>
                  </to>
                </anchor>
              </controlPr>
            </control>
          </mc:Choice>
        </mc:AlternateContent>
        <mc:AlternateContent xmlns:mc="http://schemas.openxmlformats.org/markup-compatibility/2006">
          <mc:Choice Requires="x14">
            <control shapeId="1219" r:id="rId178" name="Check Box 195">
              <controlPr locked="0" defaultSize="0" autoFill="0" autoLine="0" autoPict="0">
                <anchor moveWithCells="1">
                  <from>
                    <xdr:col>6</xdr:col>
                    <xdr:colOff>1362075</xdr:colOff>
                    <xdr:row>532</xdr:row>
                    <xdr:rowOff>0</xdr:rowOff>
                  </from>
                  <to>
                    <xdr:col>6</xdr:col>
                    <xdr:colOff>1752600</xdr:colOff>
                    <xdr:row>533</xdr:row>
                    <xdr:rowOff>390525</xdr:rowOff>
                  </to>
                </anchor>
              </controlPr>
            </control>
          </mc:Choice>
        </mc:AlternateContent>
        <mc:AlternateContent xmlns:mc="http://schemas.openxmlformats.org/markup-compatibility/2006">
          <mc:Choice Requires="x14">
            <control shapeId="1220" r:id="rId179" name="Check Box 196">
              <controlPr locked="0" defaultSize="0" autoFill="0" autoLine="0" autoPict="0">
                <anchor moveWithCells="1">
                  <from>
                    <xdr:col>6</xdr:col>
                    <xdr:colOff>1362075</xdr:colOff>
                    <xdr:row>534</xdr:row>
                    <xdr:rowOff>0</xdr:rowOff>
                  </from>
                  <to>
                    <xdr:col>6</xdr:col>
                    <xdr:colOff>1752600</xdr:colOff>
                    <xdr:row>535</xdr:row>
                    <xdr:rowOff>390525</xdr:rowOff>
                  </to>
                </anchor>
              </controlPr>
            </control>
          </mc:Choice>
        </mc:AlternateContent>
        <mc:AlternateContent xmlns:mc="http://schemas.openxmlformats.org/markup-compatibility/2006">
          <mc:Choice Requires="x14">
            <control shapeId="1221" r:id="rId180" name="Check Box 197">
              <controlPr locked="0" defaultSize="0" autoFill="0" autoLine="0" autoPict="0">
                <anchor moveWithCells="1">
                  <from>
                    <xdr:col>6</xdr:col>
                    <xdr:colOff>1362075</xdr:colOff>
                    <xdr:row>534</xdr:row>
                    <xdr:rowOff>0</xdr:rowOff>
                  </from>
                  <to>
                    <xdr:col>6</xdr:col>
                    <xdr:colOff>1752600</xdr:colOff>
                    <xdr:row>535</xdr:row>
                    <xdr:rowOff>390525</xdr:rowOff>
                  </to>
                </anchor>
              </controlPr>
            </control>
          </mc:Choice>
        </mc:AlternateContent>
        <mc:AlternateContent xmlns:mc="http://schemas.openxmlformats.org/markup-compatibility/2006">
          <mc:Choice Requires="x14">
            <control shapeId="1222" r:id="rId181" name="Check Box 198">
              <controlPr locked="0" defaultSize="0" autoFill="0" autoLine="0" autoPict="0">
                <anchor moveWithCells="1">
                  <from>
                    <xdr:col>6</xdr:col>
                    <xdr:colOff>1362075</xdr:colOff>
                    <xdr:row>534</xdr:row>
                    <xdr:rowOff>0</xdr:rowOff>
                  </from>
                  <to>
                    <xdr:col>6</xdr:col>
                    <xdr:colOff>1752600</xdr:colOff>
                    <xdr:row>535</xdr:row>
                    <xdr:rowOff>390525</xdr:rowOff>
                  </to>
                </anchor>
              </controlPr>
            </control>
          </mc:Choice>
        </mc:AlternateContent>
        <mc:AlternateContent xmlns:mc="http://schemas.openxmlformats.org/markup-compatibility/2006">
          <mc:Choice Requires="x14">
            <control shapeId="1223" r:id="rId182" name="Check Box 199">
              <controlPr locked="0" defaultSize="0" autoFill="0" autoLine="0" autoPict="0">
                <anchor moveWithCells="1">
                  <from>
                    <xdr:col>6</xdr:col>
                    <xdr:colOff>1362075</xdr:colOff>
                    <xdr:row>534</xdr:row>
                    <xdr:rowOff>0</xdr:rowOff>
                  </from>
                  <to>
                    <xdr:col>6</xdr:col>
                    <xdr:colOff>1752600</xdr:colOff>
                    <xdr:row>535</xdr:row>
                    <xdr:rowOff>390525</xdr:rowOff>
                  </to>
                </anchor>
              </controlPr>
            </control>
          </mc:Choice>
        </mc:AlternateContent>
        <mc:AlternateContent xmlns:mc="http://schemas.openxmlformats.org/markup-compatibility/2006">
          <mc:Choice Requires="x14">
            <control shapeId="1224" r:id="rId183" name="Check Box 200">
              <controlPr locked="0" defaultSize="0" autoFill="0" autoLine="0" autoPict="0">
                <anchor moveWithCells="1">
                  <from>
                    <xdr:col>6</xdr:col>
                    <xdr:colOff>1362075</xdr:colOff>
                    <xdr:row>536</xdr:row>
                    <xdr:rowOff>0</xdr:rowOff>
                  </from>
                  <to>
                    <xdr:col>6</xdr:col>
                    <xdr:colOff>1752600</xdr:colOff>
                    <xdr:row>537</xdr:row>
                    <xdr:rowOff>390525</xdr:rowOff>
                  </to>
                </anchor>
              </controlPr>
            </control>
          </mc:Choice>
        </mc:AlternateContent>
        <mc:AlternateContent xmlns:mc="http://schemas.openxmlformats.org/markup-compatibility/2006">
          <mc:Choice Requires="x14">
            <control shapeId="1225" r:id="rId184" name="Check Box 201">
              <controlPr locked="0" defaultSize="0" autoFill="0" autoLine="0" autoPict="0">
                <anchor moveWithCells="1">
                  <from>
                    <xdr:col>6</xdr:col>
                    <xdr:colOff>1362075</xdr:colOff>
                    <xdr:row>536</xdr:row>
                    <xdr:rowOff>0</xdr:rowOff>
                  </from>
                  <to>
                    <xdr:col>6</xdr:col>
                    <xdr:colOff>1752600</xdr:colOff>
                    <xdr:row>537</xdr:row>
                    <xdr:rowOff>390525</xdr:rowOff>
                  </to>
                </anchor>
              </controlPr>
            </control>
          </mc:Choice>
        </mc:AlternateContent>
        <mc:AlternateContent xmlns:mc="http://schemas.openxmlformats.org/markup-compatibility/2006">
          <mc:Choice Requires="x14">
            <control shapeId="1226" r:id="rId185" name="Check Box 202">
              <controlPr locked="0" defaultSize="0" autoFill="0" autoLine="0" autoPict="0">
                <anchor moveWithCells="1">
                  <from>
                    <xdr:col>6</xdr:col>
                    <xdr:colOff>1362075</xdr:colOff>
                    <xdr:row>536</xdr:row>
                    <xdr:rowOff>0</xdr:rowOff>
                  </from>
                  <to>
                    <xdr:col>6</xdr:col>
                    <xdr:colOff>1752600</xdr:colOff>
                    <xdr:row>537</xdr:row>
                    <xdr:rowOff>390525</xdr:rowOff>
                  </to>
                </anchor>
              </controlPr>
            </control>
          </mc:Choice>
        </mc:AlternateContent>
        <mc:AlternateContent xmlns:mc="http://schemas.openxmlformats.org/markup-compatibility/2006">
          <mc:Choice Requires="x14">
            <control shapeId="1227" r:id="rId186" name="Check Box 203">
              <controlPr locked="0" defaultSize="0" autoFill="0" autoLine="0" autoPict="0">
                <anchor moveWithCells="1">
                  <from>
                    <xdr:col>6</xdr:col>
                    <xdr:colOff>1362075</xdr:colOff>
                    <xdr:row>536</xdr:row>
                    <xdr:rowOff>0</xdr:rowOff>
                  </from>
                  <to>
                    <xdr:col>6</xdr:col>
                    <xdr:colOff>1752600</xdr:colOff>
                    <xdr:row>537</xdr:row>
                    <xdr:rowOff>390525</xdr:rowOff>
                  </to>
                </anchor>
              </controlPr>
            </control>
          </mc:Choice>
        </mc:AlternateContent>
        <mc:AlternateContent xmlns:mc="http://schemas.openxmlformats.org/markup-compatibility/2006">
          <mc:Choice Requires="x14">
            <control shapeId="1228" r:id="rId187" name="Check Box 204">
              <controlPr locked="0" defaultSize="0" autoFill="0" autoLine="0" autoPict="0">
                <anchor moveWithCells="1">
                  <from>
                    <xdr:col>6</xdr:col>
                    <xdr:colOff>1362075</xdr:colOff>
                    <xdr:row>538</xdr:row>
                    <xdr:rowOff>0</xdr:rowOff>
                  </from>
                  <to>
                    <xdr:col>6</xdr:col>
                    <xdr:colOff>1752600</xdr:colOff>
                    <xdr:row>539</xdr:row>
                    <xdr:rowOff>390525</xdr:rowOff>
                  </to>
                </anchor>
              </controlPr>
            </control>
          </mc:Choice>
        </mc:AlternateContent>
        <mc:AlternateContent xmlns:mc="http://schemas.openxmlformats.org/markup-compatibility/2006">
          <mc:Choice Requires="x14">
            <control shapeId="1229" r:id="rId188" name="Check Box 205">
              <controlPr locked="0" defaultSize="0" autoFill="0" autoLine="0" autoPict="0">
                <anchor moveWithCells="1">
                  <from>
                    <xdr:col>6</xdr:col>
                    <xdr:colOff>1362075</xdr:colOff>
                    <xdr:row>538</xdr:row>
                    <xdr:rowOff>0</xdr:rowOff>
                  </from>
                  <to>
                    <xdr:col>6</xdr:col>
                    <xdr:colOff>1752600</xdr:colOff>
                    <xdr:row>539</xdr:row>
                    <xdr:rowOff>390525</xdr:rowOff>
                  </to>
                </anchor>
              </controlPr>
            </control>
          </mc:Choice>
        </mc:AlternateContent>
        <mc:AlternateContent xmlns:mc="http://schemas.openxmlformats.org/markup-compatibility/2006">
          <mc:Choice Requires="x14">
            <control shapeId="1230" r:id="rId189" name="Check Box 206">
              <controlPr locked="0" defaultSize="0" autoFill="0" autoLine="0" autoPict="0">
                <anchor moveWithCells="1">
                  <from>
                    <xdr:col>6</xdr:col>
                    <xdr:colOff>1362075</xdr:colOff>
                    <xdr:row>538</xdr:row>
                    <xdr:rowOff>0</xdr:rowOff>
                  </from>
                  <to>
                    <xdr:col>6</xdr:col>
                    <xdr:colOff>1752600</xdr:colOff>
                    <xdr:row>539</xdr:row>
                    <xdr:rowOff>390525</xdr:rowOff>
                  </to>
                </anchor>
              </controlPr>
            </control>
          </mc:Choice>
        </mc:AlternateContent>
        <mc:AlternateContent xmlns:mc="http://schemas.openxmlformats.org/markup-compatibility/2006">
          <mc:Choice Requires="x14">
            <control shapeId="1231" r:id="rId190" name="Check Box 207">
              <controlPr locked="0" defaultSize="0" autoFill="0" autoLine="0" autoPict="0">
                <anchor moveWithCells="1">
                  <from>
                    <xdr:col>6</xdr:col>
                    <xdr:colOff>1362075</xdr:colOff>
                    <xdr:row>538</xdr:row>
                    <xdr:rowOff>0</xdr:rowOff>
                  </from>
                  <to>
                    <xdr:col>6</xdr:col>
                    <xdr:colOff>1752600</xdr:colOff>
                    <xdr:row>539</xdr:row>
                    <xdr:rowOff>390525</xdr:rowOff>
                  </to>
                </anchor>
              </controlPr>
            </control>
          </mc:Choice>
        </mc:AlternateContent>
        <mc:AlternateContent xmlns:mc="http://schemas.openxmlformats.org/markup-compatibility/2006">
          <mc:Choice Requires="x14">
            <control shapeId="1232" r:id="rId191" name="Check Box 208">
              <controlPr locked="0" defaultSize="0" autoFill="0" autoLine="0" autoPict="0">
                <anchor moveWithCells="1">
                  <from>
                    <xdr:col>6</xdr:col>
                    <xdr:colOff>1362075</xdr:colOff>
                    <xdr:row>540</xdr:row>
                    <xdr:rowOff>0</xdr:rowOff>
                  </from>
                  <to>
                    <xdr:col>6</xdr:col>
                    <xdr:colOff>1752600</xdr:colOff>
                    <xdr:row>541</xdr:row>
                    <xdr:rowOff>390525</xdr:rowOff>
                  </to>
                </anchor>
              </controlPr>
            </control>
          </mc:Choice>
        </mc:AlternateContent>
        <mc:AlternateContent xmlns:mc="http://schemas.openxmlformats.org/markup-compatibility/2006">
          <mc:Choice Requires="x14">
            <control shapeId="1233" r:id="rId192" name="Check Box 209">
              <controlPr locked="0" defaultSize="0" autoFill="0" autoLine="0" autoPict="0">
                <anchor moveWithCells="1">
                  <from>
                    <xdr:col>6</xdr:col>
                    <xdr:colOff>1362075</xdr:colOff>
                    <xdr:row>540</xdr:row>
                    <xdr:rowOff>0</xdr:rowOff>
                  </from>
                  <to>
                    <xdr:col>6</xdr:col>
                    <xdr:colOff>1752600</xdr:colOff>
                    <xdr:row>541</xdr:row>
                    <xdr:rowOff>390525</xdr:rowOff>
                  </to>
                </anchor>
              </controlPr>
            </control>
          </mc:Choice>
        </mc:AlternateContent>
        <mc:AlternateContent xmlns:mc="http://schemas.openxmlformats.org/markup-compatibility/2006">
          <mc:Choice Requires="x14">
            <control shapeId="1234" r:id="rId193" name="Check Box 210">
              <controlPr locked="0" defaultSize="0" autoFill="0" autoLine="0" autoPict="0">
                <anchor moveWithCells="1">
                  <from>
                    <xdr:col>6</xdr:col>
                    <xdr:colOff>1362075</xdr:colOff>
                    <xdr:row>540</xdr:row>
                    <xdr:rowOff>0</xdr:rowOff>
                  </from>
                  <to>
                    <xdr:col>6</xdr:col>
                    <xdr:colOff>1752600</xdr:colOff>
                    <xdr:row>541</xdr:row>
                    <xdr:rowOff>390525</xdr:rowOff>
                  </to>
                </anchor>
              </controlPr>
            </control>
          </mc:Choice>
        </mc:AlternateContent>
        <mc:AlternateContent xmlns:mc="http://schemas.openxmlformats.org/markup-compatibility/2006">
          <mc:Choice Requires="x14">
            <control shapeId="1235" r:id="rId194" name="Check Box 211">
              <controlPr locked="0" defaultSize="0" autoFill="0" autoLine="0" autoPict="0">
                <anchor moveWithCells="1">
                  <from>
                    <xdr:col>6</xdr:col>
                    <xdr:colOff>1362075</xdr:colOff>
                    <xdr:row>540</xdr:row>
                    <xdr:rowOff>0</xdr:rowOff>
                  </from>
                  <to>
                    <xdr:col>6</xdr:col>
                    <xdr:colOff>1752600</xdr:colOff>
                    <xdr:row>541</xdr:row>
                    <xdr:rowOff>390525</xdr:rowOff>
                  </to>
                </anchor>
              </controlPr>
            </control>
          </mc:Choice>
        </mc:AlternateContent>
        <mc:AlternateContent xmlns:mc="http://schemas.openxmlformats.org/markup-compatibility/2006">
          <mc:Choice Requires="x14">
            <control shapeId="1236" r:id="rId195" name="Check Box 212">
              <controlPr locked="0" defaultSize="0" autoFill="0" autoLine="0" autoPict="0">
                <anchor moveWithCells="1">
                  <from>
                    <xdr:col>6</xdr:col>
                    <xdr:colOff>1362075</xdr:colOff>
                    <xdr:row>542</xdr:row>
                    <xdr:rowOff>0</xdr:rowOff>
                  </from>
                  <to>
                    <xdr:col>6</xdr:col>
                    <xdr:colOff>1752600</xdr:colOff>
                    <xdr:row>543</xdr:row>
                    <xdr:rowOff>390525</xdr:rowOff>
                  </to>
                </anchor>
              </controlPr>
            </control>
          </mc:Choice>
        </mc:AlternateContent>
        <mc:AlternateContent xmlns:mc="http://schemas.openxmlformats.org/markup-compatibility/2006">
          <mc:Choice Requires="x14">
            <control shapeId="1237" r:id="rId196" name="Check Box 213">
              <controlPr locked="0" defaultSize="0" autoFill="0" autoLine="0" autoPict="0">
                <anchor moveWithCells="1">
                  <from>
                    <xdr:col>6</xdr:col>
                    <xdr:colOff>1362075</xdr:colOff>
                    <xdr:row>542</xdr:row>
                    <xdr:rowOff>0</xdr:rowOff>
                  </from>
                  <to>
                    <xdr:col>6</xdr:col>
                    <xdr:colOff>1752600</xdr:colOff>
                    <xdr:row>543</xdr:row>
                    <xdr:rowOff>390525</xdr:rowOff>
                  </to>
                </anchor>
              </controlPr>
            </control>
          </mc:Choice>
        </mc:AlternateContent>
        <mc:AlternateContent xmlns:mc="http://schemas.openxmlformats.org/markup-compatibility/2006">
          <mc:Choice Requires="x14">
            <control shapeId="1238" r:id="rId197" name="Check Box 214">
              <controlPr locked="0" defaultSize="0" autoFill="0" autoLine="0" autoPict="0">
                <anchor moveWithCells="1">
                  <from>
                    <xdr:col>6</xdr:col>
                    <xdr:colOff>1362075</xdr:colOff>
                    <xdr:row>542</xdr:row>
                    <xdr:rowOff>0</xdr:rowOff>
                  </from>
                  <to>
                    <xdr:col>6</xdr:col>
                    <xdr:colOff>1752600</xdr:colOff>
                    <xdr:row>543</xdr:row>
                    <xdr:rowOff>390525</xdr:rowOff>
                  </to>
                </anchor>
              </controlPr>
            </control>
          </mc:Choice>
        </mc:AlternateContent>
        <mc:AlternateContent xmlns:mc="http://schemas.openxmlformats.org/markup-compatibility/2006">
          <mc:Choice Requires="x14">
            <control shapeId="1239" r:id="rId198" name="Check Box 215">
              <controlPr locked="0" defaultSize="0" autoFill="0" autoLine="0" autoPict="0">
                <anchor moveWithCells="1">
                  <from>
                    <xdr:col>6</xdr:col>
                    <xdr:colOff>1362075</xdr:colOff>
                    <xdr:row>542</xdr:row>
                    <xdr:rowOff>0</xdr:rowOff>
                  </from>
                  <to>
                    <xdr:col>6</xdr:col>
                    <xdr:colOff>1752600</xdr:colOff>
                    <xdr:row>543</xdr:row>
                    <xdr:rowOff>390525</xdr:rowOff>
                  </to>
                </anchor>
              </controlPr>
            </control>
          </mc:Choice>
        </mc:AlternateContent>
        <mc:AlternateContent xmlns:mc="http://schemas.openxmlformats.org/markup-compatibility/2006">
          <mc:Choice Requires="x14">
            <control shapeId="1240" r:id="rId199" name="Check Box 216">
              <controlPr locked="0" defaultSize="0" autoFill="0" autoLine="0" autoPict="0">
                <anchor moveWithCells="1">
                  <from>
                    <xdr:col>6</xdr:col>
                    <xdr:colOff>1362075</xdr:colOff>
                    <xdr:row>544</xdr:row>
                    <xdr:rowOff>0</xdr:rowOff>
                  </from>
                  <to>
                    <xdr:col>6</xdr:col>
                    <xdr:colOff>1752600</xdr:colOff>
                    <xdr:row>545</xdr:row>
                    <xdr:rowOff>390525</xdr:rowOff>
                  </to>
                </anchor>
              </controlPr>
            </control>
          </mc:Choice>
        </mc:AlternateContent>
        <mc:AlternateContent xmlns:mc="http://schemas.openxmlformats.org/markup-compatibility/2006">
          <mc:Choice Requires="x14">
            <control shapeId="1241" r:id="rId200" name="Check Box 217">
              <controlPr locked="0" defaultSize="0" autoFill="0" autoLine="0" autoPict="0">
                <anchor moveWithCells="1">
                  <from>
                    <xdr:col>6</xdr:col>
                    <xdr:colOff>1362075</xdr:colOff>
                    <xdr:row>544</xdr:row>
                    <xdr:rowOff>0</xdr:rowOff>
                  </from>
                  <to>
                    <xdr:col>6</xdr:col>
                    <xdr:colOff>1752600</xdr:colOff>
                    <xdr:row>545</xdr:row>
                    <xdr:rowOff>390525</xdr:rowOff>
                  </to>
                </anchor>
              </controlPr>
            </control>
          </mc:Choice>
        </mc:AlternateContent>
        <mc:AlternateContent xmlns:mc="http://schemas.openxmlformats.org/markup-compatibility/2006">
          <mc:Choice Requires="x14">
            <control shapeId="1242" r:id="rId201" name="Check Box 218">
              <controlPr locked="0" defaultSize="0" autoFill="0" autoLine="0" autoPict="0">
                <anchor moveWithCells="1">
                  <from>
                    <xdr:col>6</xdr:col>
                    <xdr:colOff>1362075</xdr:colOff>
                    <xdr:row>544</xdr:row>
                    <xdr:rowOff>0</xdr:rowOff>
                  </from>
                  <to>
                    <xdr:col>6</xdr:col>
                    <xdr:colOff>1752600</xdr:colOff>
                    <xdr:row>545</xdr:row>
                    <xdr:rowOff>390525</xdr:rowOff>
                  </to>
                </anchor>
              </controlPr>
            </control>
          </mc:Choice>
        </mc:AlternateContent>
        <mc:AlternateContent xmlns:mc="http://schemas.openxmlformats.org/markup-compatibility/2006">
          <mc:Choice Requires="x14">
            <control shapeId="1243" r:id="rId202" name="Check Box 219">
              <controlPr locked="0" defaultSize="0" autoFill="0" autoLine="0" autoPict="0">
                <anchor moveWithCells="1">
                  <from>
                    <xdr:col>6</xdr:col>
                    <xdr:colOff>1362075</xdr:colOff>
                    <xdr:row>544</xdr:row>
                    <xdr:rowOff>0</xdr:rowOff>
                  </from>
                  <to>
                    <xdr:col>6</xdr:col>
                    <xdr:colOff>1752600</xdr:colOff>
                    <xdr:row>545</xdr:row>
                    <xdr:rowOff>390525</xdr:rowOff>
                  </to>
                </anchor>
              </controlPr>
            </control>
          </mc:Choice>
        </mc:AlternateContent>
        <mc:AlternateContent xmlns:mc="http://schemas.openxmlformats.org/markup-compatibility/2006">
          <mc:Choice Requires="x14">
            <control shapeId="1244" r:id="rId203" name="Check Box 220">
              <controlPr locked="0" defaultSize="0" autoFill="0" autoLine="0" autoPict="0">
                <anchor moveWithCells="1">
                  <from>
                    <xdr:col>6</xdr:col>
                    <xdr:colOff>1362075</xdr:colOff>
                    <xdr:row>514</xdr:row>
                    <xdr:rowOff>0</xdr:rowOff>
                  </from>
                  <to>
                    <xdr:col>6</xdr:col>
                    <xdr:colOff>1752600</xdr:colOff>
                    <xdr:row>515</xdr:row>
                    <xdr:rowOff>390525</xdr:rowOff>
                  </to>
                </anchor>
              </controlPr>
            </control>
          </mc:Choice>
        </mc:AlternateContent>
        <mc:AlternateContent xmlns:mc="http://schemas.openxmlformats.org/markup-compatibility/2006">
          <mc:Choice Requires="x14">
            <control shapeId="1245" r:id="rId204" name="Check Box 221">
              <controlPr locked="0" defaultSize="0" autoFill="0" autoLine="0" autoPict="0">
                <anchor moveWithCells="1">
                  <from>
                    <xdr:col>6</xdr:col>
                    <xdr:colOff>1362075</xdr:colOff>
                    <xdr:row>514</xdr:row>
                    <xdr:rowOff>0</xdr:rowOff>
                  </from>
                  <to>
                    <xdr:col>6</xdr:col>
                    <xdr:colOff>1752600</xdr:colOff>
                    <xdr:row>515</xdr:row>
                    <xdr:rowOff>390525</xdr:rowOff>
                  </to>
                </anchor>
              </controlPr>
            </control>
          </mc:Choice>
        </mc:AlternateContent>
        <mc:AlternateContent xmlns:mc="http://schemas.openxmlformats.org/markup-compatibility/2006">
          <mc:Choice Requires="x14">
            <control shapeId="1246" r:id="rId205" name="Check Box 222">
              <controlPr locked="0" defaultSize="0" autoFill="0" autoLine="0" autoPict="0">
                <anchor moveWithCells="1">
                  <from>
                    <xdr:col>6</xdr:col>
                    <xdr:colOff>1362075</xdr:colOff>
                    <xdr:row>514</xdr:row>
                    <xdr:rowOff>0</xdr:rowOff>
                  </from>
                  <to>
                    <xdr:col>6</xdr:col>
                    <xdr:colOff>1752600</xdr:colOff>
                    <xdr:row>515</xdr:row>
                    <xdr:rowOff>390525</xdr:rowOff>
                  </to>
                </anchor>
              </controlPr>
            </control>
          </mc:Choice>
        </mc:AlternateContent>
        <mc:AlternateContent xmlns:mc="http://schemas.openxmlformats.org/markup-compatibility/2006">
          <mc:Choice Requires="x14">
            <control shapeId="1247" r:id="rId206" name="Check Box 223">
              <controlPr locked="0" defaultSize="0" autoFill="0" autoLine="0" autoPict="0">
                <anchor moveWithCells="1">
                  <from>
                    <xdr:col>6</xdr:col>
                    <xdr:colOff>1362075</xdr:colOff>
                    <xdr:row>514</xdr:row>
                    <xdr:rowOff>0</xdr:rowOff>
                  </from>
                  <to>
                    <xdr:col>6</xdr:col>
                    <xdr:colOff>1752600</xdr:colOff>
                    <xdr:row>515</xdr:row>
                    <xdr:rowOff>390525</xdr:rowOff>
                  </to>
                </anchor>
              </controlPr>
            </control>
          </mc:Choice>
        </mc:AlternateContent>
        <mc:AlternateContent xmlns:mc="http://schemas.openxmlformats.org/markup-compatibility/2006">
          <mc:Choice Requires="x14">
            <control shapeId="1248" r:id="rId207" name="Check Box 224">
              <controlPr locked="0" defaultSize="0" autoFill="0" autoLine="0" autoPict="0">
                <anchor moveWithCells="1">
                  <from>
                    <xdr:col>6</xdr:col>
                    <xdr:colOff>1362075</xdr:colOff>
                    <xdr:row>503</xdr:row>
                    <xdr:rowOff>0</xdr:rowOff>
                  </from>
                  <to>
                    <xdr:col>6</xdr:col>
                    <xdr:colOff>1752600</xdr:colOff>
                    <xdr:row>504</xdr:row>
                    <xdr:rowOff>390525</xdr:rowOff>
                  </to>
                </anchor>
              </controlPr>
            </control>
          </mc:Choice>
        </mc:AlternateContent>
        <mc:AlternateContent xmlns:mc="http://schemas.openxmlformats.org/markup-compatibility/2006">
          <mc:Choice Requires="x14">
            <control shapeId="1249" r:id="rId208" name="Check Box 225">
              <controlPr locked="0" defaultSize="0" autoFill="0" autoLine="0" autoPict="0">
                <anchor moveWithCells="1">
                  <from>
                    <xdr:col>6</xdr:col>
                    <xdr:colOff>1362075</xdr:colOff>
                    <xdr:row>503</xdr:row>
                    <xdr:rowOff>0</xdr:rowOff>
                  </from>
                  <to>
                    <xdr:col>6</xdr:col>
                    <xdr:colOff>1752600</xdr:colOff>
                    <xdr:row>504</xdr:row>
                    <xdr:rowOff>390525</xdr:rowOff>
                  </to>
                </anchor>
              </controlPr>
            </control>
          </mc:Choice>
        </mc:AlternateContent>
        <mc:AlternateContent xmlns:mc="http://schemas.openxmlformats.org/markup-compatibility/2006">
          <mc:Choice Requires="x14">
            <control shapeId="1250" r:id="rId209" name="Check Box 226">
              <controlPr locked="0" defaultSize="0" autoFill="0" autoLine="0" autoPict="0">
                <anchor moveWithCells="1">
                  <from>
                    <xdr:col>6</xdr:col>
                    <xdr:colOff>1362075</xdr:colOff>
                    <xdr:row>503</xdr:row>
                    <xdr:rowOff>0</xdr:rowOff>
                  </from>
                  <to>
                    <xdr:col>6</xdr:col>
                    <xdr:colOff>1752600</xdr:colOff>
                    <xdr:row>504</xdr:row>
                    <xdr:rowOff>390525</xdr:rowOff>
                  </to>
                </anchor>
              </controlPr>
            </control>
          </mc:Choice>
        </mc:AlternateContent>
        <mc:AlternateContent xmlns:mc="http://schemas.openxmlformats.org/markup-compatibility/2006">
          <mc:Choice Requires="x14">
            <control shapeId="1251" r:id="rId210" name="Check Box 227">
              <controlPr locked="0" defaultSize="0" autoFill="0" autoLine="0" autoPict="0">
                <anchor moveWithCells="1">
                  <from>
                    <xdr:col>6</xdr:col>
                    <xdr:colOff>1362075</xdr:colOff>
                    <xdr:row>503</xdr:row>
                    <xdr:rowOff>0</xdr:rowOff>
                  </from>
                  <to>
                    <xdr:col>6</xdr:col>
                    <xdr:colOff>1752600</xdr:colOff>
                    <xdr:row>504</xdr:row>
                    <xdr:rowOff>390525</xdr:rowOff>
                  </to>
                </anchor>
              </controlPr>
            </control>
          </mc:Choice>
        </mc:AlternateContent>
        <mc:AlternateContent xmlns:mc="http://schemas.openxmlformats.org/markup-compatibility/2006">
          <mc:Choice Requires="x14">
            <control shapeId="1252" r:id="rId211" name="Check Box 228">
              <controlPr locked="0" defaultSize="0" autoFill="0" autoLine="0" autoPict="0">
                <anchor moveWithCells="1">
                  <from>
                    <xdr:col>6</xdr:col>
                    <xdr:colOff>1362075</xdr:colOff>
                    <xdr:row>484</xdr:row>
                    <xdr:rowOff>0</xdr:rowOff>
                  </from>
                  <to>
                    <xdr:col>6</xdr:col>
                    <xdr:colOff>1752600</xdr:colOff>
                    <xdr:row>489</xdr:row>
                    <xdr:rowOff>390525</xdr:rowOff>
                  </to>
                </anchor>
              </controlPr>
            </control>
          </mc:Choice>
        </mc:AlternateContent>
        <mc:AlternateContent xmlns:mc="http://schemas.openxmlformats.org/markup-compatibility/2006">
          <mc:Choice Requires="x14">
            <control shapeId="1253" r:id="rId212" name="Check Box 229">
              <controlPr locked="0" defaultSize="0" autoFill="0" autoLine="0" autoPict="0">
                <anchor moveWithCells="1">
                  <from>
                    <xdr:col>6</xdr:col>
                    <xdr:colOff>1362075</xdr:colOff>
                    <xdr:row>484</xdr:row>
                    <xdr:rowOff>0</xdr:rowOff>
                  </from>
                  <to>
                    <xdr:col>6</xdr:col>
                    <xdr:colOff>1752600</xdr:colOff>
                    <xdr:row>489</xdr:row>
                    <xdr:rowOff>390525</xdr:rowOff>
                  </to>
                </anchor>
              </controlPr>
            </control>
          </mc:Choice>
        </mc:AlternateContent>
        <mc:AlternateContent xmlns:mc="http://schemas.openxmlformats.org/markup-compatibility/2006">
          <mc:Choice Requires="x14">
            <control shapeId="1254" r:id="rId213" name="Check Box 230">
              <controlPr locked="0" defaultSize="0" autoFill="0" autoLine="0" autoPict="0">
                <anchor moveWithCells="1">
                  <from>
                    <xdr:col>6</xdr:col>
                    <xdr:colOff>1362075</xdr:colOff>
                    <xdr:row>484</xdr:row>
                    <xdr:rowOff>0</xdr:rowOff>
                  </from>
                  <to>
                    <xdr:col>6</xdr:col>
                    <xdr:colOff>1752600</xdr:colOff>
                    <xdr:row>489</xdr:row>
                    <xdr:rowOff>390525</xdr:rowOff>
                  </to>
                </anchor>
              </controlPr>
            </control>
          </mc:Choice>
        </mc:AlternateContent>
        <mc:AlternateContent xmlns:mc="http://schemas.openxmlformats.org/markup-compatibility/2006">
          <mc:Choice Requires="x14">
            <control shapeId="1255" r:id="rId214" name="Check Box 231">
              <controlPr locked="0" defaultSize="0" autoFill="0" autoLine="0" autoPict="0">
                <anchor moveWithCells="1">
                  <from>
                    <xdr:col>6</xdr:col>
                    <xdr:colOff>1362075</xdr:colOff>
                    <xdr:row>484</xdr:row>
                    <xdr:rowOff>0</xdr:rowOff>
                  </from>
                  <to>
                    <xdr:col>6</xdr:col>
                    <xdr:colOff>1752600</xdr:colOff>
                    <xdr:row>489</xdr:row>
                    <xdr:rowOff>390525</xdr:rowOff>
                  </to>
                </anchor>
              </controlPr>
            </control>
          </mc:Choice>
        </mc:AlternateContent>
        <mc:AlternateContent xmlns:mc="http://schemas.openxmlformats.org/markup-compatibility/2006">
          <mc:Choice Requires="x14">
            <control shapeId="1256" r:id="rId215" name="Check Box 232">
              <controlPr locked="0" defaultSize="0" autoFill="0" autoLine="0" autoPict="0">
                <anchor moveWithCells="1">
                  <from>
                    <xdr:col>6</xdr:col>
                    <xdr:colOff>1362075</xdr:colOff>
                    <xdr:row>454</xdr:row>
                    <xdr:rowOff>0</xdr:rowOff>
                  </from>
                  <to>
                    <xdr:col>6</xdr:col>
                    <xdr:colOff>1752600</xdr:colOff>
                    <xdr:row>457</xdr:row>
                    <xdr:rowOff>390525</xdr:rowOff>
                  </to>
                </anchor>
              </controlPr>
            </control>
          </mc:Choice>
        </mc:AlternateContent>
        <mc:AlternateContent xmlns:mc="http://schemas.openxmlformats.org/markup-compatibility/2006">
          <mc:Choice Requires="x14">
            <control shapeId="1257" r:id="rId216" name="Check Box 233">
              <controlPr locked="0" defaultSize="0" autoFill="0" autoLine="0" autoPict="0">
                <anchor moveWithCells="1">
                  <from>
                    <xdr:col>6</xdr:col>
                    <xdr:colOff>1362075</xdr:colOff>
                    <xdr:row>454</xdr:row>
                    <xdr:rowOff>0</xdr:rowOff>
                  </from>
                  <to>
                    <xdr:col>6</xdr:col>
                    <xdr:colOff>1752600</xdr:colOff>
                    <xdr:row>457</xdr:row>
                    <xdr:rowOff>390525</xdr:rowOff>
                  </to>
                </anchor>
              </controlPr>
            </control>
          </mc:Choice>
        </mc:AlternateContent>
        <mc:AlternateContent xmlns:mc="http://schemas.openxmlformats.org/markup-compatibility/2006">
          <mc:Choice Requires="x14">
            <control shapeId="1258" r:id="rId217" name="Check Box 234">
              <controlPr locked="0" defaultSize="0" autoFill="0" autoLine="0" autoPict="0">
                <anchor moveWithCells="1">
                  <from>
                    <xdr:col>6</xdr:col>
                    <xdr:colOff>1362075</xdr:colOff>
                    <xdr:row>454</xdr:row>
                    <xdr:rowOff>0</xdr:rowOff>
                  </from>
                  <to>
                    <xdr:col>6</xdr:col>
                    <xdr:colOff>1752600</xdr:colOff>
                    <xdr:row>457</xdr:row>
                    <xdr:rowOff>390525</xdr:rowOff>
                  </to>
                </anchor>
              </controlPr>
            </control>
          </mc:Choice>
        </mc:AlternateContent>
        <mc:AlternateContent xmlns:mc="http://schemas.openxmlformats.org/markup-compatibility/2006">
          <mc:Choice Requires="x14">
            <control shapeId="1259" r:id="rId218" name="Check Box 235">
              <controlPr locked="0" defaultSize="0" autoFill="0" autoLine="0" autoPict="0">
                <anchor moveWithCells="1">
                  <from>
                    <xdr:col>6</xdr:col>
                    <xdr:colOff>1362075</xdr:colOff>
                    <xdr:row>454</xdr:row>
                    <xdr:rowOff>0</xdr:rowOff>
                  </from>
                  <to>
                    <xdr:col>6</xdr:col>
                    <xdr:colOff>1752600</xdr:colOff>
                    <xdr:row>457</xdr:row>
                    <xdr:rowOff>390525</xdr:rowOff>
                  </to>
                </anchor>
              </controlPr>
            </control>
          </mc:Choice>
        </mc:AlternateContent>
        <mc:AlternateContent xmlns:mc="http://schemas.openxmlformats.org/markup-compatibility/2006">
          <mc:Choice Requires="x14">
            <control shapeId="1260" r:id="rId219" name="Check Box 236">
              <controlPr locked="0" defaultSize="0" autoFill="0" autoLine="0" autoPict="0">
                <anchor moveWithCells="1">
                  <from>
                    <xdr:col>6</xdr:col>
                    <xdr:colOff>1362075</xdr:colOff>
                    <xdr:row>386</xdr:row>
                    <xdr:rowOff>0</xdr:rowOff>
                  </from>
                  <to>
                    <xdr:col>6</xdr:col>
                    <xdr:colOff>1752600</xdr:colOff>
                    <xdr:row>391</xdr:row>
                    <xdr:rowOff>390525</xdr:rowOff>
                  </to>
                </anchor>
              </controlPr>
            </control>
          </mc:Choice>
        </mc:AlternateContent>
        <mc:AlternateContent xmlns:mc="http://schemas.openxmlformats.org/markup-compatibility/2006">
          <mc:Choice Requires="x14">
            <control shapeId="1261" r:id="rId220" name="Check Box 237">
              <controlPr locked="0" defaultSize="0" autoFill="0" autoLine="0" autoPict="0">
                <anchor moveWithCells="1">
                  <from>
                    <xdr:col>6</xdr:col>
                    <xdr:colOff>1362075</xdr:colOff>
                    <xdr:row>386</xdr:row>
                    <xdr:rowOff>0</xdr:rowOff>
                  </from>
                  <to>
                    <xdr:col>6</xdr:col>
                    <xdr:colOff>1752600</xdr:colOff>
                    <xdr:row>391</xdr:row>
                    <xdr:rowOff>390525</xdr:rowOff>
                  </to>
                </anchor>
              </controlPr>
            </control>
          </mc:Choice>
        </mc:AlternateContent>
        <mc:AlternateContent xmlns:mc="http://schemas.openxmlformats.org/markup-compatibility/2006">
          <mc:Choice Requires="x14">
            <control shapeId="1262" r:id="rId221" name="Check Box 238">
              <controlPr locked="0" defaultSize="0" autoFill="0" autoLine="0" autoPict="0">
                <anchor moveWithCells="1">
                  <from>
                    <xdr:col>6</xdr:col>
                    <xdr:colOff>1362075</xdr:colOff>
                    <xdr:row>386</xdr:row>
                    <xdr:rowOff>0</xdr:rowOff>
                  </from>
                  <to>
                    <xdr:col>6</xdr:col>
                    <xdr:colOff>1752600</xdr:colOff>
                    <xdr:row>391</xdr:row>
                    <xdr:rowOff>390525</xdr:rowOff>
                  </to>
                </anchor>
              </controlPr>
            </control>
          </mc:Choice>
        </mc:AlternateContent>
        <mc:AlternateContent xmlns:mc="http://schemas.openxmlformats.org/markup-compatibility/2006">
          <mc:Choice Requires="x14">
            <control shapeId="1263" r:id="rId222" name="Check Box 239">
              <controlPr locked="0" defaultSize="0" autoFill="0" autoLine="0" autoPict="0">
                <anchor moveWithCells="1">
                  <from>
                    <xdr:col>6</xdr:col>
                    <xdr:colOff>1362075</xdr:colOff>
                    <xdr:row>386</xdr:row>
                    <xdr:rowOff>0</xdr:rowOff>
                  </from>
                  <to>
                    <xdr:col>6</xdr:col>
                    <xdr:colOff>1752600</xdr:colOff>
                    <xdr:row>391</xdr:row>
                    <xdr:rowOff>390525</xdr:rowOff>
                  </to>
                </anchor>
              </controlPr>
            </control>
          </mc:Choice>
        </mc:AlternateContent>
        <mc:AlternateContent xmlns:mc="http://schemas.openxmlformats.org/markup-compatibility/2006">
          <mc:Choice Requires="x14">
            <control shapeId="1264" r:id="rId223" name="Check Box 240">
              <controlPr locked="0" defaultSize="0" autoFill="0" autoLine="0" autoPict="0">
                <anchor moveWithCells="1">
                  <from>
                    <xdr:col>6</xdr:col>
                    <xdr:colOff>1362075</xdr:colOff>
                    <xdr:row>361</xdr:row>
                    <xdr:rowOff>0</xdr:rowOff>
                  </from>
                  <to>
                    <xdr:col>6</xdr:col>
                    <xdr:colOff>1752600</xdr:colOff>
                    <xdr:row>368</xdr:row>
                    <xdr:rowOff>390525</xdr:rowOff>
                  </to>
                </anchor>
              </controlPr>
            </control>
          </mc:Choice>
        </mc:AlternateContent>
        <mc:AlternateContent xmlns:mc="http://schemas.openxmlformats.org/markup-compatibility/2006">
          <mc:Choice Requires="x14">
            <control shapeId="1265" r:id="rId224" name="Check Box 241">
              <controlPr locked="0" defaultSize="0" autoFill="0" autoLine="0" autoPict="0">
                <anchor moveWithCells="1">
                  <from>
                    <xdr:col>6</xdr:col>
                    <xdr:colOff>1362075</xdr:colOff>
                    <xdr:row>361</xdr:row>
                    <xdr:rowOff>0</xdr:rowOff>
                  </from>
                  <to>
                    <xdr:col>6</xdr:col>
                    <xdr:colOff>1752600</xdr:colOff>
                    <xdr:row>368</xdr:row>
                    <xdr:rowOff>390525</xdr:rowOff>
                  </to>
                </anchor>
              </controlPr>
            </control>
          </mc:Choice>
        </mc:AlternateContent>
        <mc:AlternateContent xmlns:mc="http://schemas.openxmlformats.org/markup-compatibility/2006">
          <mc:Choice Requires="x14">
            <control shapeId="1266" r:id="rId225" name="Check Box 242">
              <controlPr locked="0" defaultSize="0" autoFill="0" autoLine="0" autoPict="0">
                <anchor moveWithCells="1">
                  <from>
                    <xdr:col>6</xdr:col>
                    <xdr:colOff>1362075</xdr:colOff>
                    <xdr:row>361</xdr:row>
                    <xdr:rowOff>0</xdr:rowOff>
                  </from>
                  <to>
                    <xdr:col>6</xdr:col>
                    <xdr:colOff>1752600</xdr:colOff>
                    <xdr:row>368</xdr:row>
                    <xdr:rowOff>390525</xdr:rowOff>
                  </to>
                </anchor>
              </controlPr>
            </control>
          </mc:Choice>
        </mc:AlternateContent>
        <mc:AlternateContent xmlns:mc="http://schemas.openxmlformats.org/markup-compatibility/2006">
          <mc:Choice Requires="x14">
            <control shapeId="1267" r:id="rId226" name="Check Box 243">
              <controlPr locked="0" defaultSize="0" autoFill="0" autoLine="0" autoPict="0">
                <anchor moveWithCells="1">
                  <from>
                    <xdr:col>6</xdr:col>
                    <xdr:colOff>1362075</xdr:colOff>
                    <xdr:row>361</xdr:row>
                    <xdr:rowOff>0</xdr:rowOff>
                  </from>
                  <to>
                    <xdr:col>6</xdr:col>
                    <xdr:colOff>1752600</xdr:colOff>
                    <xdr:row>368</xdr:row>
                    <xdr:rowOff>390525</xdr:rowOff>
                  </to>
                </anchor>
              </controlPr>
            </control>
          </mc:Choice>
        </mc:AlternateContent>
        <mc:AlternateContent xmlns:mc="http://schemas.openxmlformats.org/markup-compatibility/2006">
          <mc:Choice Requires="x14">
            <control shapeId="1268" r:id="rId227" name="Check Box 244">
              <controlPr locked="0" defaultSize="0" autoFill="0" autoLine="0" autoPict="0">
                <anchor moveWithCells="1">
                  <from>
                    <xdr:col>6</xdr:col>
                    <xdr:colOff>1362075</xdr:colOff>
                    <xdr:row>361</xdr:row>
                    <xdr:rowOff>0</xdr:rowOff>
                  </from>
                  <to>
                    <xdr:col>6</xdr:col>
                    <xdr:colOff>1752600</xdr:colOff>
                    <xdr:row>368</xdr:row>
                    <xdr:rowOff>390525</xdr:rowOff>
                  </to>
                </anchor>
              </controlPr>
            </control>
          </mc:Choice>
        </mc:AlternateContent>
        <mc:AlternateContent xmlns:mc="http://schemas.openxmlformats.org/markup-compatibility/2006">
          <mc:Choice Requires="x14">
            <control shapeId="1269" r:id="rId228" name="Check Box 245">
              <controlPr locked="0" defaultSize="0" autoFill="0" autoLine="0" autoPict="0">
                <anchor moveWithCells="1">
                  <from>
                    <xdr:col>6</xdr:col>
                    <xdr:colOff>1362075</xdr:colOff>
                    <xdr:row>361</xdr:row>
                    <xdr:rowOff>0</xdr:rowOff>
                  </from>
                  <to>
                    <xdr:col>6</xdr:col>
                    <xdr:colOff>1752600</xdr:colOff>
                    <xdr:row>368</xdr:row>
                    <xdr:rowOff>390525</xdr:rowOff>
                  </to>
                </anchor>
              </controlPr>
            </control>
          </mc:Choice>
        </mc:AlternateContent>
        <mc:AlternateContent xmlns:mc="http://schemas.openxmlformats.org/markup-compatibility/2006">
          <mc:Choice Requires="x14">
            <control shapeId="1270" r:id="rId229" name="Check Box 246">
              <controlPr locked="0" defaultSize="0" autoFill="0" autoLine="0" autoPict="0">
                <anchor moveWithCells="1">
                  <from>
                    <xdr:col>6</xdr:col>
                    <xdr:colOff>1362075</xdr:colOff>
                    <xdr:row>361</xdr:row>
                    <xdr:rowOff>0</xdr:rowOff>
                  </from>
                  <to>
                    <xdr:col>6</xdr:col>
                    <xdr:colOff>1752600</xdr:colOff>
                    <xdr:row>368</xdr:row>
                    <xdr:rowOff>390525</xdr:rowOff>
                  </to>
                </anchor>
              </controlPr>
            </control>
          </mc:Choice>
        </mc:AlternateContent>
        <mc:AlternateContent xmlns:mc="http://schemas.openxmlformats.org/markup-compatibility/2006">
          <mc:Choice Requires="x14">
            <control shapeId="1271" r:id="rId230" name="Check Box 247">
              <controlPr locked="0" defaultSize="0" autoFill="0" autoLine="0" autoPict="0">
                <anchor moveWithCells="1">
                  <from>
                    <xdr:col>6</xdr:col>
                    <xdr:colOff>1362075</xdr:colOff>
                    <xdr:row>361</xdr:row>
                    <xdr:rowOff>0</xdr:rowOff>
                  </from>
                  <to>
                    <xdr:col>6</xdr:col>
                    <xdr:colOff>1752600</xdr:colOff>
                    <xdr:row>368</xdr:row>
                    <xdr:rowOff>390525</xdr:rowOff>
                  </to>
                </anchor>
              </controlPr>
            </control>
          </mc:Choice>
        </mc:AlternateContent>
        <mc:AlternateContent xmlns:mc="http://schemas.openxmlformats.org/markup-compatibility/2006">
          <mc:Choice Requires="x14">
            <control shapeId="1272" r:id="rId231" name="Check Box 248">
              <controlPr locked="0" defaultSize="0" autoFill="0" autoLine="0" autoPict="0">
                <anchor moveWithCells="1">
                  <from>
                    <xdr:col>6</xdr:col>
                    <xdr:colOff>1362075</xdr:colOff>
                    <xdr:row>325</xdr:row>
                    <xdr:rowOff>0</xdr:rowOff>
                  </from>
                  <to>
                    <xdr:col>6</xdr:col>
                    <xdr:colOff>1752600</xdr:colOff>
                    <xdr:row>330</xdr:row>
                    <xdr:rowOff>390525</xdr:rowOff>
                  </to>
                </anchor>
              </controlPr>
            </control>
          </mc:Choice>
        </mc:AlternateContent>
        <mc:AlternateContent xmlns:mc="http://schemas.openxmlformats.org/markup-compatibility/2006">
          <mc:Choice Requires="x14">
            <control shapeId="1273" r:id="rId232" name="Check Box 249">
              <controlPr locked="0" defaultSize="0" autoFill="0" autoLine="0" autoPict="0">
                <anchor moveWithCells="1">
                  <from>
                    <xdr:col>6</xdr:col>
                    <xdr:colOff>1362075</xdr:colOff>
                    <xdr:row>325</xdr:row>
                    <xdr:rowOff>0</xdr:rowOff>
                  </from>
                  <to>
                    <xdr:col>6</xdr:col>
                    <xdr:colOff>1752600</xdr:colOff>
                    <xdr:row>330</xdr:row>
                    <xdr:rowOff>390525</xdr:rowOff>
                  </to>
                </anchor>
              </controlPr>
            </control>
          </mc:Choice>
        </mc:AlternateContent>
        <mc:AlternateContent xmlns:mc="http://schemas.openxmlformats.org/markup-compatibility/2006">
          <mc:Choice Requires="x14">
            <control shapeId="1274" r:id="rId233" name="Check Box 250">
              <controlPr locked="0" defaultSize="0" autoFill="0" autoLine="0" autoPict="0">
                <anchor moveWithCells="1">
                  <from>
                    <xdr:col>6</xdr:col>
                    <xdr:colOff>1362075</xdr:colOff>
                    <xdr:row>325</xdr:row>
                    <xdr:rowOff>0</xdr:rowOff>
                  </from>
                  <to>
                    <xdr:col>6</xdr:col>
                    <xdr:colOff>1752600</xdr:colOff>
                    <xdr:row>330</xdr:row>
                    <xdr:rowOff>390525</xdr:rowOff>
                  </to>
                </anchor>
              </controlPr>
            </control>
          </mc:Choice>
        </mc:AlternateContent>
        <mc:AlternateContent xmlns:mc="http://schemas.openxmlformats.org/markup-compatibility/2006">
          <mc:Choice Requires="x14">
            <control shapeId="1275" r:id="rId234" name="Check Box 251">
              <controlPr locked="0" defaultSize="0" autoFill="0" autoLine="0" autoPict="0">
                <anchor moveWithCells="1">
                  <from>
                    <xdr:col>6</xdr:col>
                    <xdr:colOff>1362075</xdr:colOff>
                    <xdr:row>325</xdr:row>
                    <xdr:rowOff>0</xdr:rowOff>
                  </from>
                  <to>
                    <xdr:col>6</xdr:col>
                    <xdr:colOff>1752600</xdr:colOff>
                    <xdr:row>330</xdr:row>
                    <xdr:rowOff>390525</xdr:rowOff>
                  </to>
                </anchor>
              </controlPr>
            </control>
          </mc:Choice>
        </mc:AlternateContent>
        <mc:AlternateContent xmlns:mc="http://schemas.openxmlformats.org/markup-compatibility/2006">
          <mc:Choice Requires="x14">
            <control shapeId="1276" r:id="rId235" name="Check Box 252">
              <controlPr locked="0" defaultSize="0" autoFill="0" autoLine="0" autoPict="0">
                <anchor moveWithCells="1">
                  <from>
                    <xdr:col>6</xdr:col>
                    <xdr:colOff>1362075</xdr:colOff>
                    <xdr:row>325</xdr:row>
                    <xdr:rowOff>0</xdr:rowOff>
                  </from>
                  <to>
                    <xdr:col>6</xdr:col>
                    <xdr:colOff>1752600</xdr:colOff>
                    <xdr:row>330</xdr:row>
                    <xdr:rowOff>390525</xdr:rowOff>
                  </to>
                </anchor>
              </controlPr>
            </control>
          </mc:Choice>
        </mc:AlternateContent>
        <mc:AlternateContent xmlns:mc="http://schemas.openxmlformats.org/markup-compatibility/2006">
          <mc:Choice Requires="x14">
            <control shapeId="1277" r:id="rId236" name="Check Box 253">
              <controlPr locked="0" defaultSize="0" autoFill="0" autoLine="0" autoPict="0">
                <anchor moveWithCells="1">
                  <from>
                    <xdr:col>6</xdr:col>
                    <xdr:colOff>1362075</xdr:colOff>
                    <xdr:row>325</xdr:row>
                    <xdr:rowOff>0</xdr:rowOff>
                  </from>
                  <to>
                    <xdr:col>6</xdr:col>
                    <xdr:colOff>1752600</xdr:colOff>
                    <xdr:row>330</xdr:row>
                    <xdr:rowOff>390525</xdr:rowOff>
                  </to>
                </anchor>
              </controlPr>
            </control>
          </mc:Choice>
        </mc:AlternateContent>
        <mc:AlternateContent xmlns:mc="http://schemas.openxmlformats.org/markup-compatibility/2006">
          <mc:Choice Requires="x14">
            <control shapeId="1278" r:id="rId237" name="Check Box 254">
              <controlPr locked="0" defaultSize="0" autoFill="0" autoLine="0" autoPict="0">
                <anchor moveWithCells="1">
                  <from>
                    <xdr:col>6</xdr:col>
                    <xdr:colOff>1362075</xdr:colOff>
                    <xdr:row>325</xdr:row>
                    <xdr:rowOff>0</xdr:rowOff>
                  </from>
                  <to>
                    <xdr:col>6</xdr:col>
                    <xdr:colOff>1752600</xdr:colOff>
                    <xdr:row>330</xdr:row>
                    <xdr:rowOff>390525</xdr:rowOff>
                  </to>
                </anchor>
              </controlPr>
            </control>
          </mc:Choice>
        </mc:AlternateContent>
        <mc:AlternateContent xmlns:mc="http://schemas.openxmlformats.org/markup-compatibility/2006">
          <mc:Choice Requires="x14">
            <control shapeId="1279" r:id="rId238" name="Check Box 255">
              <controlPr locked="0" defaultSize="0" autoFill="0" autoLine="0" autoPict="0">
                <anchor moveWithCells="1">
                  <from>
                    <xdr:col>6</xdr:col>
                    <xdr:colOff>1362075</xdr:colOff>
                    <xdr:row>325</xdr:row>
                    <xdr:rowOff>0</xdr:rowOff>
                  </from>
                  <to>
                    <xdr:col>6</xdr:col>
                    <xdr:colOff>1752600</xdr:colOff>
                    <xdr:row>330</xdr:row>
                    <xdr:rowOff>390525</xdr:rowOff>
                  </to>
                </anchor>
              </controlPr>
            </control>
          </mc:Choice>
        </mc:AlternateContent>
        <mc:AlternateContent xmlns:mc="http://schemas.openxmlformats.org/markup-compatibility/2006">
          <mc:Choice Requires="x14">
            <control shapeId="1280" r:id="rId239" name="Check Box 256">
              <controlPr locked="0" defaultSize="0" autoFill="0" autoLine="0" autoPict="0">
                <anchor moveWithCells="1">
                  <from>
                    <xdr:col>6</xdr:col>
                    <xdr:colOff>1362075</xdr:colOff>
                    <xdr:row>287</xdr:row>
                    <xdr:rowOff>0</xdr:rowOff>
                  </from>
                  <to>
                    <xdr:col>6</xdr:col>
                    <xdr:colOff>1752600</xdr:colOff>
                    <xdr:row>292</xdr:row>
                    <xdr:rowOff>390525</xdr:rowOff>
                  </to>
                </anchor>
              </controlPr>
            </control>
          </mc:Choice>
        </mc:AlternateContent>
        <mc:AlternateContent xmlns:mc="http://schemas.openxmlformats.org/markup-compatibility/2006">
          <mc:Choice Requires="x14">
            <control shapeId="1281" r:id="rId240" name="Check Box 257">
              <controlPr locked="0" defaultSize="0" autoFill="0" autoLine="0" autoPict="0">
                <anchor moveWithCells="1">
                  <from>
                    <xdr:col>6</xdr:col>
                    <xdr:colOff>1362075</xdr:colOff>
                    <xdr:row>287</xdr:row>
                    <xdr:rowOff>0</xdr:rowOff>
                  </from>
                  <to>
                    <xdr:col>6</xdr:col>
                    <xdr:colOff>1752600</xdr:colOff>
                    <xdr:row>292</xdr:row>
                    <xdr:rowOff>390525</xdr:rowOff>
                  </to>
                </anchor>
              </controlPr>
            </control>
          </mc:Choice>
        </mc:AlternateContent>
        <mc:AlternateContent xmlns:mc="http://schemas.openxmlformats.org/markup-compatibility/2006">
          <mc:Choice Requires="x14">
            <control shapeId="1282" r:id="rId241" name="Check Box 258">
              <controlPr locked="0" defaultSize="0" autoFill="0" autoLine="0" autoPict="0">
                <anchor moveWithCells="1">
                  <from>
                    <xdr:col>6</xdr:col>
                    <xdr:colOff>1362075</xdr:colOff>
                    <xdr:row>287</xdr:row>
                    <xdr:rowOff>0</xdr:rowOff>
                  </from>
                  <to>
                    <xdr:col>6</xdr:col>
                    <xdr:colOff>1752600</xdr:colOff>
                    <xdr:row>292</xdr:row>
                    <xdr:rowOff>390525</xdr:rowOff>
                  </to>
                </anchor>
              </controlPr>
            </control>
          </mc:Choice>
        </mc:AlternateContent>
        <mc:AlternateContent xmlns:mc="http://schemas.openxmlformats.org/markup-compatibility/2006">
          <mc:Choice Requires="x14">
            <control shapeId="1283" r:id="rId242" name="Check Box 259">
              <controlPr locked="0" defaultSize="0" autoFill="0" autoLine="0" autoPict="0">
                <anchor moveWithCells="1">
                  <from>
                    <xdr:col>6</xdr:col>
                    <xdr:colOff>1362075</xdr:colOff>
                    <xdr:row>287</xdr:row>
                    <xdr:rowOff>0</xdr:rowOff>
                  </from>
                  <to>
                    <xdr:col>6</xdr:col>
                    <xdr:colOff>1752600</xdr:colOff>
                    <xdr:row>292</xdr:row>
                    <xdr:rowOff>390525</xdr:rowOff>
                  </to>
                </anchor>
              </controlPr>
            </control>
          </mc:Choice>
        </mc:AlternateContent>
        <mc:AlternateContent xmlns:mc="http://schemas.openxmlformats.org/markup-compatibility/2006">
          <mc:Choice Requires="x14">
            <control shapeId="1284" r:id="rId243" name="Check Box 260">
              <controlPr locked="0" defaultSize="0" autoFill="0" autoLine="0" autoPict="0">
                <anchor moveWithCells="1">
                  <from>
                    <xdr:col>6</xdr:col>
                    <xdr:colOff>1362075</xdr:colOff>
                    <xdr:row>287</xdr:row>
                    <xdr:rowOff>0</xdr:rowOff>
                  </from>
                  <to>
                    <xdr:col>6</xdr:col>
                    <xdr:colOff>1752600</xdr:colOff>
                    <xdr:row>292</xdr:row>
                    <xdr:rowOff>390525</xdr:rowOff>
                  </to>
                </anchor>
              </controlPr>
            </control>
          </mc:Choice>
        </mc:AlternateContent>
        <mc:AlternateContent xmlns:mc="http://schemas.openxmlformats.org/markup-compatibility/2006">
          <mc:Choice Requires="x14">
            <control shapeId="1285" r:id="rId244" name="Check Box 261">
              <controlPr locked="0" defaultSize="0" autoFill="0" autoLine="0" autoPict="0">
                <anchor moveWithCells="1">
                  <from>
                    <xdr:col>6</xdr:col>
                    <xdr:colOff>1362075</xdr:colOff>
                    <xdr:row>287</xdr:row>
                    <xdr:rowOff>0</xdr:rowOff>
                  </from>
                  <to>
                    <xdr:col>6</xdr:col>
                    <xdr:colOff>1752600</xdr:colOff>
                    <xdr:row>292</xdr:row>
                    <xdr:rowOff>390525</xdr:rowOff>
                  </to>
                </anchor>
              </controlPr>
            </control>
          </mc:Choice>
        </mc:AlternateContent>
        <mc:AlternateContent xmlns:mc="http://schemas.openxmlformats.org/markup-compatibility/2006">
          <mc:Choice Requires="x14">
            <control shapeId="1286" r:id="rId245" name="Check Box 262">
              <controlPr locked="0" defaultSize="0" autoFill="0" autoLine="0" autoPict="0">
                <anchor moveWithCells="1">
                  <from>
                    <xdr:col>6</xdr:col>
                    <xdr:colOff>1362075</xdr:colOff>
                    <xdr:row>287</xdr:row>
                    <xdr:rowOff>0</xdr:rowOff>
                  </from>
                  <to>
                    <xdr:col>6</xdr:col>
                    <xdr:colOff>1752600</xdr:colOff>
                    <xdr:row>292</xdr:row>
                    <xdr:rowOff>390525</xdr:rowOff>
                  </to>
                </anchor>
              </controlPr>
            </control>
          </mc:Choice>
        </mc:AlternateContent>
        <mc:AlternateContent xmlns:mc="http://schemas.openxmlformats.org/markup-compatibility/2006">
          <mc:Choice Requires="x14">
            <control shapeId="1287" r:id="rId246" name="Check Box 263">
              <controlPr locked="0" defaultSize="0" autoFill="0" autoLine="0" autoPict="0">
                <anchor moveWithCells="1">
                  <from>
                    <xdr:col>6</xdr:col>
                    <xdr:colOff>1362075</xdr:colOff>
                    <xdr:row>287</xdr:row>
                    <xdr:rowOff>0</xdr:rowOff>
                  </from>
                  <to>
                    <xdr:col>6</xdr:col>
                    <xdr:colOff>1752600</xdr:colOff>
                    <xdr:row>292</xdr:row>
                    <xdr:rowOff>390525</xdr:rowOff>
                  </to>
                </anchor>
              </controlPr>
            </control>
          </mc:Choice>
        </mc:AlternateContent>
        <mc:AlternateContent xmlns:mc="http://schemas.openxmlformats.org/markup-compatibility/2006">
          <mc:Choice Requires="x14">
            <control shapeId="1288" r:id="rId247" name="Check Box 264">
              <controlPr locked="0" defaultSize="0" autoFill="0" autoLine="0" autoPict="0">
                <anchor moveWithCells="1">
                  <from>
                    <xdr:col>6</xdr:col>
                    <xdr:colOff>1362075</xdr:colOff>
                    <xdr:row>256</xdr:row>
                    <xdr:rowOff>0</xdr:rowOff>
                  </from>
                  <to>
                    <xdr:col>6</xdr:col>
                    <xdr:colOff>1752600</xdr:colOff>
                    <xdr:row>257</xdr:row>
                    <xdr:rowOff>390525</xdr:rowOff>
                  </to>
                </anchor>
              </controlPr>
            </control>
          </mc:Choice>
        </mc:AlternateContent>
        <mc:AlternateContent xmlns:mc="http://schemas.openxmlformats.org/markup-compatibility/2006">
          <mc:Choice Requires="x14">
            <control shapeId="1289" r:id="rId248" name="Check Box 265">
              <controlPr locked="0" defaultSize="0" autoFill="0" autoLine="0" autoPict="0">
                <anchor moveWithCells="1">
                  <from>
                    <xdr:col>6</xdr:col>
                    <xdr:colOff>1362075</xdr:colOff>
                    <xdr:row>256</xdr:row>
                    <xdr:rowOff>0</xdr:rowOff>
                  </from>
                  <to>
                    <xdr:col>6</xdr:col>
                    <xdr:colOff>1752600</xdr:colOff>
                    <xdr:row>257</xdr:row>
                    <xdr:rowOff>390525</xdr:rowOff>
                  </to>
                </anchor>
              </controlPr>
            </control>
          </mc:Choice>
        </mc:AlternateContent>
        <mc:AlternateContent xmlns:mc="http://schemas.openxmlformats.org/markup-compatibility/2006">
          <mc:Choice Requires="x14">
            <control shapeId="1290" r:id="rId249" name="Check Box 266">
              <controlPr locked="0" defaultSize="0" autoFill="0" autoLine="0" autoPict="0">
                <anchor moveWithCells="1">
                  <from>
                    <xdr:col>6</xdr:col>
                    <xdr:colOff>1362075</xdr:colOff>
                    <xdr:row>256</xdr:row>
                    <xdr:rowOff>0</xdr:rowOff>
                  </from>
                  <to>
                    <xdr:col>6</xdr:col>
                    <xdr:colOff>1752600</xdr:colOff>
                    <xdr:row>257</xdr:row>
                    <xdr:rowOff>390525</xdr:rowOff>
                  </to>
                </anchor>
              </controlPr>
            </control>
          </mc:Choice>
        </mc:AlternateContent>
        <mc:AlternateContent xmlns:mc="http://schemas.openxmlformats.org/markup-compatibility/2006">
          <mc:Choice Requires="x14">
            <control shapeId="1291" r:id="rId250" name="Check Box 267">
              <controlPr locked="0" defaultSize="0" autoFill="0" autoLine="0" autoPict="0">
                <anchor moveWithCells="1">
                  <from>
                    <xdr:col>6</xdr:col>
                    <xdr:colOff>1362075</xdr:colOff>
                    <xdr:row>256</xdr:row>
                    <xdr:rowOff>0</xdr:rowOff>
                  </from>
                  <to>
                    <xdr:col>6</xdr:col>
                    <xdr:colOff>1752600</xdr:colOff>
                    <xdr:row>257</xdr:row>
                    <xdr:rowOff>390525</xdr:rowOff>
                  </to>
                </anchor>
              </controlPr>
            </control>
          </mc:Choice>
        </mc:AlternateContent>
        <mc:AlternateContent xmlns:mc="http://schemas.openxmlformats.org/markup-compatibility/2006">
          <mc:Choice Requires="x14">
            <control shapeId="1292" r:id="rId251" name="Check Box 268">
              <controlPr locked="0" defaultSize="0" autoFill="0" autoLine="0" autoPict="0">
                <anchor moveWithCells="1">
                  <from>
                    <xdr:col>6</xdr:col>
                    <xdr:colOff>1362075</xdr:colOff>
                    <xdr:row>258</xdr:row>
                    <xdr:rowOff>0</xdr:rowOff>
                  </from>
                  <to>
                    <xdr:col>6</xdr:col>
                    <xdr:colOff>1752600</xdr:colOff>
                    <xdr:row>261</xdr:row>
                    <xdr:rowOff>390525</xdr:rowOff>
                  </to>
                </anchor>
              </controlPr>
            </control>
          </mc:Choice>
        </mc:AlternateContent>
        <mc:AlternateContent xmlns:mc="http://schemas.openxmlformats.org/markup-compatibility/2006">
          <mc:Choice Requires="x14">
            <control shapeId="1293" r:id="rId252" name="Check Box 269">
              <controlPr locked="0" defaultSize="0" autoFill="0" autoLine="0" autoPict="0">
                <anchor moveWithCells="1">
                  <from>
                    <xdr:col>6</xdr:col>
                    <xdr:colOff>1362075</xdr:colOff>
                    <xdr:row>258</xdr:row>
                    <xdr:rowOff>0</xdr:rowOff>
                  </from>
                  <to>
                    <xdr:col>6</xdr:col>
                    <xdr:colOff>1752600</xdr:colOff>
                    <xdr:row>261</xdr:row>
                    <xdr:rowOff>390525</xdr:rowOff>
                  </to>
                </anchor>
              </controlPr>
            </control>
          </mc:Choice>
        </mc:AlternateContent>
        <mc:AlternateContent xmlns:mc="http://schemas.openxmlformats.org/markup-compatibility/2006">
          <mc:Choice Requires="x14">
            <control shapeId="1294" r:id="rId253" name="Check Box 270">
              <controlPr locked="0" defaultSize="0" autoFill="0" autoLine="0" autoPict="0">
                <anchor moveWithCells="1">
                  <from>
                    <xdr:col>6</xdr:col>
                    <xdr:colOff>1362075</xdr:colOff>
                    <xdr:row>258</xdr:row>
                    <xdr:rowOff>0</xdr:rowOff>
                  </from>
                  <to>
                    <xdr:col>6</xdr:col>
                    <xdr:colOff>1752600</xdr:colOff>
                    <xdr:row>261</xdr:row>
                    <xdr:rowOff>390525</xdr:rowOff>
                  </to>
                </anchor>
              </controlPr>
            </control>
          </mc:Choice>
        </mc:AlternateContent>
        <mc:AlternateContent xmlns:mc="http://schemas.openxmlformats.org/markup-compatibility/2006">
          <mc:Choice Requires="x14">
            <control shapeId="1295" r:id="rId254" name="Check Box 271">
              <controlPr locked="0" defaultSize="0" autoFill="0" autoLine="0" autoPict="0">
                <anchor moveWithCells="1">
                  <from>
                    <xdr:col>6</xdr:col>
                    <xdr:colOff>1362075</xdr:colOff>
                    <xdr:row>258</xdr:row>
                    <xdr:rowOff>0</xdr:rowOff>
                  </from>
                  <to>
                    <xdr:col>6</xdr:col>
                    <xdr:colOff>1752600</xdr:colOff>
                    <xdr:row>261</xdr:row>
                    <xdr:rowOff>390525</xdr:rowOff>
                  </to>
                </anchor>
              </controlPr>
            </control>
          </mc:Choice>
        </mc:AlternateContent>
        <mc:AlternateContent xmlns:mc="http://schemas.openxmlformats.org/markup-compatibility/2006">
          <mc:Choice Requires="x14">
            <control shapeId="1296" r:id="rId255" name="Check Box 272">
              <controlPr locked="0" defaultSize="0" autoFill="0" autoLine="0" autoPict="0">
                <anchor moveWithCells="1">
                  <from>
                    <xdr:col>6</xdr:col>
                    <xdr:colOff>1362075</xdr:colOff>
                    <xdr:row>221</xdr:row>
                    <xdr:rowOff>0</xdr:rowOff>
                  </from>
                  <to>
                    <xdr:col>6</xdr:col>
                    <xdr:colOff>1752600</xdr:colOff>
                    <xdr:row>234</xdr:row>
                    <xdr:rowOff>390525</xdr:rowOff>
                  </to>
                </anchor>
              </controlPr>
            </control>
          </mc:Choice>
        </mc:AlternateContent>
        <mc:AlternateContent xmlns:mc="http://schemas.openxmlformats.org/markup-compatibility/2006">
          <mc:Choice Requires="x14">
            <control shapeId="1297" r:id="rId256" name="Check Box 273">
              <controlPr locked="0" defaultSize="0" autoFill="0" autoLine="0" autoPict="0">
                <anchor moveWithCells="1">
                  <from>
                    <xdr:col>6</xdr:col>
                    <xdr:colOff>1362075</xdr:colOff>
                    <xdr:row>221</xdr:row>
                    <xdr:rowOff>0</xdr:rowOff>
                  </from>
                  <to>
                    <xdr:col>6</xdr:col>
                    <xdr:colOff>1752600</xdr:colOff>
                    <xdr:row>234</xdr:row>
                    <xdr:rowOff>390525</xdr:rowOff>
                  </to>
                </anchor>
              </controlPr>
            </control>
          </mc:Choice>
        </mc:AlternateContent>
        <mc:AlternateContent xmlns:mc="http://schemas.openxmlformats.org/markup-compatibility/2006">
          <mc:Choice Requires="x14">
            <control shapeId="1298" r:id="rId257" name="Check Box 274">
              <controlPr locked="0" defaultSize="0" autoFill="0" autoLine="0" autoPict="0">
                <anchor moveWithCells="1">
                  <from>
                    <xdr:col>6</xdr:col>
                    <xdr:colOff>1362075</xdr:colOff>
                    <xdr:row>221</xdr:row>
                    <xdr:rowOff>0</xdr:rowOff>
                  </from>
                  <to>
                    <xdr:col>6</xdr:col>
                    <xdr:colOff>1752600</xdr:colOff>
                    <xdr:row>234</xdr:row>
                    <xdr:rowOff>390525</xdr:rowOff>
                  </to>
                </anchor>
              </controlPr>
            </control>
          </mc:Choice>
        </mc:AlternateContent>
        <mc:AlternateContent xmlns:mc="http://schemas.openxmlformats.org/markup-compatibility/2006">
          <mc:Choice Requires="x14">
            <control shapeId="1299" r:id="rId258" name="Check Box 275">
              <controlPr locked="0" defaultSize="0" autoFill="0" autoLine="0" autoPict="0">
                <anchor moveWithCells="1">
                  <from>
                    <xdr:col>6</xdr:col>
                    <xdr:colOff>1362075</xdr:colOff>
                    <xdr:row>221</xdr:row>
                    <xdr:rowOff>0</xdr:rowOff>
                  </from>
                  <to>
                    <xdr:col>6</xdr:col>
                    <xdr:colOff>1752600</xdr:colOff>
                    <xdr:row>234</xdr:row>
                    <xdr:rowOff>390525</xdr:rowOff>
                  </to>
                </anchor>
              </controlPr>
            </control>
          </mc:Choice>
        </mc:AlternateContent>
        <mc:AlternateContent xmlns:mc="http://schemas.openxmlformats.org/markup-compatibility/2006">
          <mc:Choice Requires="x14">
            <control shapeId="1300" r:id="rId259" name="Check Box 276">
              <controlPr locked="0" defaultSize="0" autoFill="0" autoLine="0" autoPict="0">
                <anchor moveWithCells="1">
                  <from>
                    <xdr:col>6</xdr:col>
                    <xdr:colOff>1362075</xdr:colOff>
                    <xdr:row>221</xdr:row>
                    <xdr:rowOff>0</xdr:rowOff>
                  </from>
                  <to>
                    <xdr:col>6</xdr:col>
                    <xdr:colOff>1752600</xdr:colOff>
                    <xdr:row>234</xdr:row>
                    <xdr:rowOff>390525</xdr:rowOff>
                  </to>
                </anchor>
              </controlPr>
            </control>
          </mc:Choice>
        </mc:AlternateContent>
        <mc:AlternateContent xmlns:mc="http://schemas.openxmlformats.org/markup-compatibility/2006">
          <mc:Choice Requires="x14">
            <control shapeId="1301" r:id="rId260" name="Check Box 277">
              <controlPr locked="0" defaultSize="0" autoFill="0" autoLine="0" autoPict="0">
                <anchor moveWithCells="1">
                  <from>
                    <xdr:col>6</xdr:col>
                    <xdr:colOff>1362075</xdr:colOff>
                    <xdr:row>221</xdr:row>
                    <xdr:rowOff>0</xdr:rowOff>
                  </from>
                  <to>
                    <xdr:col>6</xdr:col>
                    <xdr:colOff>1752600</xdr:colOff>
                    <xdr:row>234</xdr:row>
                    <xdr:rowOff>390525</xdr:rowOff>
                  </to>
                </anchor>
              </controlPr>
            </control>
          </mc:Choice>
        </mc:AlternateContent>
        <mc:AlternateContent xmlns:mc="http://schemas.openxmlformats.org/markup-compatibility/2006">
          <mc:Choice Requires="x14">
            <control shapeId="1302" r:id="rId261" name="Check Box 278">
              <controlPr locked="0" defaultSize="0" autoFill="0" autoLine="0" autoPict="0">
                <anchor moveWithCells="1">
                  <from>
                    <xdr:col>6</xdr:col>
                    <xdr:colOff>1362075</xdr:colOff>
                    <xdr:row>221</xdr:row>
                    <xdr:rowOff>0</xdr:rowOff>
                  </from>
                  <to>
                    <xdr:col>6</xdr:col>
                    <xdr:colOff>1752600</xdr:colOff>
                    <xdr:row>234</xdr:row>
                    <xdr:rowOff>390525</xdr:rowOff>
                  </to>
                </anchor>
              </controlPr>
            </control>
          </mc:Choice>
        </mc:AlternateContent>
        <mc:AlternateContent xmlns:mc="http://schemas.openxmlformats.org/markup-compatibility/2006">
          <mc:Choice Requires="x14">
            <control shapeId="1303" r:id="rId262" name="Check Box 279">
              <controlPr locked="0" defaultSize="0" autoFill="0" autoLine="0" autoPict="0">
                <anchor moveWithCells="1">
                  <from>
                    <xdr:col>6</xdr:col>
                    <xdr:colOff>1362075</xdr:colOff>
                    <xdr:row>221</xdr:row>
                    <xdr:rowOff>0</xdr:rowOff>
                  </from>
                  <to>
                    <xdr:col>6</xdr:col>
                    <xdr:colOff>1752600</xdr:colOff>
                    <xdr:row>234</xdr:row>
                    <xdr:rowOff>390525</xdr:rowOff>
                  </to>
                </anchor>
              </controlPr>
            </control>
          </mc:Choice>
        </mc:AlternateContent>
        <mc:AlternateContent xmlns:mc="http://schemas.openxmlformats.org/markup-compatibility/2006">
          <mc:Choice Requires="x14">
            <control shapeId="1304" r:id="rId263" name="Check Box 280">
              <controlPr locked="0" defaultSize="0" autoFill="0" autoLine="0" autoPict="0">
                <anchor moveWithCells="1">
                  <from>
                    <xdr:col>6</xdr:col>
                    <xdr:colOff>1362075</xdr:colOff>
                    <xdr:row>219</xdr:row>
                    <xdr:rowOff>0</xdr:rowOff>
                  </from>
                  <to>
                    <xdr:col>6</xdr:col>
                    <xdr:colOff>1752600</xdr:colOff>
                    <xdr:row>220</xdr:row>
                    <xdr:rowOff>390525</xdr:rowOff>
                  </to>
                </anchor>
              </controlPr>
            </control>
          </mc:Choice>
        </mc:AlternateContent>
        <mc:AlternateContent xmlns:mc="http://schemas.openxmlformats.org/markup-compatibility/2006">
          <mc:Choice Requires="x14">
            <control shapeId="1305" r:id="rId264" name="Check Box 281">
              <controlPr locked="0" defaultSize="0" autoFill="0" autoLine="0" autoPict="0">
                <anchor moveWithCells="1">
                  <from>
                    <xdr:col>6</xdr:col>
                    <xdr:colOff>1362075</xdr:colOff>
                    <xdr:row>219</xdr:row>
                    <xdr:rowOff>0</xdr:rowOff>
                  </from>
                  <to>
                    <xdr:col>6</xdr:col>
                    <xdr:colOff>1752600</xdr:colOff>
                    <xdr:row>220</xdr:row>
                    <xdr:rowOff>390525</xdr:rowOff>
                  </to>
                </anchor>
              </controlPr>
            </control>
          </mc:Choice>
        </mc:AlternateContent>
        <mc:AlternateContent xmlns:mc="http://schemas.openxmlformats.org/markup-compatibility/2006">
          <mc:Choice Requires="x14">
            <control shapeId="1306" r:id="rId265" name="Check Box 282">
              <controlPr locked="0" defaultSize="0" autoFill="0" autoLine="0" autoPict="0">
                <anchor moveWithCells="1">
                  <from>
                    <xdr:col>6</xdr:col>
                    <xdr:colOff>1362075</xdr:colOff>
                    <xdr:row>219</xdr:row>
                    <xdr:rowOff>0</xdr:rowOff>
                  </from>
                  <to>
                    <xdr:col>6</xdr:col>
                    <xdr:colOff>1752600</xdr:colOff>
                    <xdr:row>220</xdr:row>
                    <xdr:rowOff>390525</xdr:rowOff>
                  </to>
                </anchor>
              </controlPr>
            </control>
          </mc:Choice>
        </mc:AlternateContent>
        <mc:AlternateContent xmlns:mc="http://schemas.openxmlformats.org/markup-compatibility/2006">
          <mc:Choice Requires="x14">
            <control shapeId="1307" r:id="rId266" name="Check Box 283">
              <controlPr locked="0" defaultSize="0" autoFill="0" autoLine="0" autoPict="0">
                <anchor moveWithCells="1">
                  <from>
                    <xdr:col>6</xdr:col>
                    <xdr:colOff>1362075</xdr:colOff>
                    <xdr:row>219</xdr:row>
                    <xdr:rowOff>0</xdr:rowOff>
                  </from>
                  <to>
                    <xdr:col>6</xdr:col>
                    <xdr:colOff>1752600</xdr:colOff>
                    <xdr:row>220</xdr:row>
                    <xdr:rowOff>390525</xdr:rowOff>
                  </to>
                </anchor>
              </controlPr>
            </control>
          </mc:Choice>
        </mc:AlternateContent>
        <mc:AlternateContent xmlns:mc="http://schemas.openxmlformats.org/markup-compatibility/2006">
          <mc:Choice Requires="x14">
            <control shapeId="1308" r:id="rId267" name="Check Box 284">
              <controlPr locked="0" defaultSize="0" autoFill="0" autoLine="0" autoPict="0">
                <anchor moveWithCells="1">
                  <from>
                    <xdr:col>6</xdr:col>
                    <xdr:colOff>1362075</xdr:colOff>
                    <xdr:row>199</xdr:row>
                    <xdr:rowOff>0</xdr:rowOff>
                  </from>
                  <to>
                    <xdr:col>6</xdr:col>
                    <xdr:colOff>1752600</xdr:colOff>
                    <xdr:row>204</xdr:row>
                    <xdr:rowOff>390525</xdr:rowOff>
                  </to>
                </anchor>
              </controlPr>
            </control>
          </mc:Choice>
        </mc:AlternateContent>
        <mc:AlternateContent xmlns:mc="http://schemas.openxmlformats.org/markup-compatibility/2006">
          <mc:Choice Requires="x14">
            <control shapeId="1309" r:id="rId268" name="Check Box 285">
              <controlPr locked="0" defaultSize="0" autoFill="0" autoLine="0" autoPict="0">
                <anchor moveWithCells="1">
                  <from>
                    <xdr:col>6</xdr:col>
                    <xdr:colOff>1362075</xdr:colOff>
                    <xdr:row>199</xdr:row>
                    <xdr:rowOff>0</xdr:rowOff>
                  </from>
                  <to>
                    <xdr:col>6</xdr:col>
                    <xdr:colOff>1752600</xdr:colOff>
                    <xdr:row>204</xdr:row>
                    <xdr:rowOff>390525</xdr:rowOff>
                  </to>
                </anchor>
              </controlPr>
            </control>
          </mc:Choice>
        </mc:AlternateContent>
        <mc:AlternateContent xmlns:mc="http://schemas.openxmlformats.org/markup-compatibility/2006">
          <mc:Choice Requires="x14">
            <control shapeId="1310" r:id="rId269" name="Check Box 286">
              <controlPr locked="0" defaultSize="0" autoFill="0" autoLine="0" autoPict="0">
                <anchor moveWithCells="1">
                  <from>
                    <xdr:col>6</xdr:col>
                    <xdr:colOff>1362075</xdr:colOff>
                    <xdr:row>199</xdr:row>
                    <xdr:rowOff>0</xdr:rowOff>
                  </from>
                  <to>
                    <xdr:col>6</xdr:col>
                    <xdr:colOff>1752600</xdr:colOff>
                    <xdr:row>204</xdr:row>
                    <xdr:rowOff>390525</xdr:rowOff>
                  </to>
                </anchor>
              </controlPr>
            </control>
          </mc:Choice>
        </mc:AlternateContent>
        <mc:AlternateContent xmlns:mc="http://schemas.openxmlformats.org/markup-compatibility/2006">
          <mc:Choice Requires="x14">
            <control shapeId="1311" r:id="rId270" name="Check Box 287">
              <controlPr locked="0" defaultSize="0" autoFill="0" autoLine="0" autoPict="0">
                <anchor moveWithCells="1">
                  <from>
                    <xdr:col>6</xdr:col>
                    <xdr:colOff>1362075</xdr:colOff>
                    <xdr:row>199</xdr:row>
                    <xdr:rowOff>0</xdr:rowOff>
                  </from>
                  <to>
                    <xdr:col>6</xdr:col>
                    <xdr:colOff>1752600</xdr:colOff>
                    <xdr:row>204</xdr:row>
                    <xdr:rowOff>390525</xdr:rowOff>
                  </to>
                </anchor>
              </controlPr>
            </control>
          </mc:Choice>
        </mc:AlternateContent>
        <mc:AlternateContent xmlns:mc="http://schemas.openxmlformats.org/markup-compatibility/2006">
          <mc:Choice Requires="x14">
            <control shapeId="1312" r:id="rId271" name="Check Box 288">
              <controlPr locked="0" defaultSize="0" autoFill="0" autoLine="0" autoPict="0">
                <anchor moveWithCells="1">
                  <from>
                    <xdr:col>6</xdr:col>
                    <xdr:colOff>1362075</xdr:colOff>
                    <xdr:row>194</xdr:row>
                    <xdr:rowOff>0</xdr:rowOff>
                  </from>
                  <to>
                    <xdr:col>6</xdr:col>
                    <xdr:colOff>1752600</xdr:colOff>
                    <xdr:row>198</xdr:row>
                    <xdr:rowOff>238125</xdr:rowOff>
                  </to>
                </anchor>
              </controlPr>
            </control>
          </mc:Choice>
        </mc:AlternateContent>
        <mc:AlternateContent xmlns:mc="http://schemas.openxmlformats.org/markup-compatibility/2006">
          <mc:Choice Requires="x14">
            <control shapeId="1313" r:id="rId272" name="Check Box 289">
              <controlPr locked="0" defaultSize="0" autoFill="0" autoLine="0" autoPict="0">
                <anchor moveWithCells="1">
                  <from>
                    <xdr:col>6</xdr:col>
                    <xdr:colOff>1362075</xdr:colOff>
                    <xdr:row>194</xdr:row>
                    <xdr:rowOff>0</xdr:rowOff>
                  </from>
                  <to>
                    <xdr:col>6</xdr:col>
                    <xdr:colOff>1752600</xdr:colOff>
                    <xdr:row>198</xdr:row>
                    <xdr:rowOff>238125</xdr:rowOff>
                  </to>
                </anchor>
              </controlPr>
            </control>
          </mc:Choice>
        </mc:AlternateContent>
        <mc:AlternateContent xmlns:mc="http://schemas.openxmlformats.org/markup-compatibility/2006">
          <mc:Choice Requires="x14">
            <control shapeId="1314" r:id="rId273" name="Check Box 290">
              <controlPr locked="0" defaultSize="0" autoFill="0" autoLine="0" autoPict="0">
                <anchor moveWithCells="1">
                  <from>
                    <xdr:col>6</xdr:col>
                    <xdr:colOff>1362075</xdr:colOff>
                    <xdr:row>194</xdr:row>
                    <xdr:rowOff>0</xdr:rowOff>
                  </from>
                  <to>
                    <xdr:col>6</xdr:col>
                    <xdr:colOff>1752600</xdr:colOff>
                    <xdr:row>198</xdr:row>
                    <xdr:rowOff>238125</xdr:rowOff>
                  </to>
                </anchor>
              </controlPr>
            </control>
          </mc:Choice>
        </mc:AlternateContent>
        <mc:AlternateContent xmlns:mc="http://schemas.openxmlformats.org/markup-compatibility/2006">
          <mc:Choice Requires="x14">
            <control shapeId="1315" r:id="rId274" name="Check Box 291">
              <controlPr locked="0" defaultSize="0" autoFill="0" autoLine="0" autoPict="0">
                <anchor moveWithCells="1">
                  <from>
                    <xdr:col>6</xdr:col>
                    <xdr:colOff>1362075</xdr:colOff>
                    <xdr:row>194</xdr:row>
                    <xdr:rowOff>0</xdr:rowOff>
                  </from>
                  <to>
                    <xdr:col>6</xdr:col>
                    <xdr:colOff>1752600</xdr:colOff>
                    <xdr:row>198</xdr:row>
                    <xdr:rowOff>238125</xdr:rowOff>
                  </to>
                </anchor>
              </controlPr>
            </control>
          </mc:Choice>
        </mc:AlternateContent>
        <mc:AlternateContent xmlns:mc="http://schemas.openxmlformats.org/markup-compatibility/2006">
          <mc:Choice Requires="x14">
            <control shapeId="1316" r:id="rId275" name="Check Box 292">
              <controlPr locked="0" defaultSize="0" autoFill="0" autoLine="0" autoPict="0">
                <anchor moveWithCells="1">
                  <from>
                    <xdr:col>6</xdr:col>
                    <xdr:colOff>1362075</xdr:colOff>
                    <xdr:row>178</xdr:row>
                    <xdr:rowOff>0</xdr:rowOff>
                  </from>
                  <to>
                    <xdr:col>6</xdr:col>
                    <xdr:colOff>1752600</xdr:colOff>
                    <xdr:row>181</xdr:row>
                    <xdr:rowOff>390525</xdr:rowOff>
                  </to>
                </anchor>
              </controlPr>
            </control>
          </mc:Choice>
        </mc:AlternateContent>
        <mc:AlternateContent xmlns:mc="http://schemas.openxmlformats.org/markup-compatibility/2006">
          <mc:Choice Requires="x14">
            <control shapeId="1317" r:id="rId276" name="Check Box 293">
              <controlPr locked="0" defaultSize="0" autoFill="0" autoLine="0" autoPict="0">
                <anchor moveWithCells="1">
                  <from>
                    <xdr:col>6</xdr:col>
                    <xdr:colOff>1362075</xdr:colOff>
                    <xdr:row>178</xdr:row>
                    <xdr:rowOff>0</xdr:rowOff>
                  </from>
                  <to>
                    <xdr:col>6</xdr:col>
                    <xdr:colOff>1752600</xdr:colOff>
                    <xdr:row>181</xdr:row>
                    <xdr:rowOff>390525</xdr:rowOff>
                  </to>
                </anchor>
              </controlPr>
            </control>
          </mc:Choice>
        </mc:AlternateContent>
        <mc:AlternateContent xmlns:mc="http://schemas.openxmlformats.org/markup-compatibility/2006">
          <mc:Choice Requires="x14">
            <control shapeId="1318" r:id="rId277" name="Check Box 294">
              <controlPr locked="0" defaultSize="0" autoFill="0" autoLine="0" autoPict="0">
                <anchor moveWithCells="1">
                  <from>
                    <xdr:col>6</xdr:col>
                    <xdr:colOff>1362075</xdr:colOff>
                    <xdr:row>178</xdr:row>
                    <xdr:rowOff>0</xdr:rowOff>
                  </from>
                  <to>
                    <xdr:col>6</xdr:col>
                    <xdr:colOff>1752600</xdr:colOff>
                    <xdr:row>181</xdr:row>
                    <xdr:rowOff>390525</xdr:rowOff>
                  </to>
                </anchor>
              </controlPr>
            </control>
          </mc:Choice>
        </mc:AlternateContent>
        <mc:AlternateContent xmlns:mc="http://schemas.openxmlformats.org/markup-compatibility/2006">
          <mc:Choice Requires="x14">
            <control shapeId="1319" r:id="rId278" name="Check Box 295">
              <controlPr locked="0" defaultSize="0" autoFill="0" autoLine="0" autoPict="0">
                <anchor moveWithCells="1">
                  <from>
                    <xdr:col>6</xdr:col>
                    <xdr:colOff>1362075</xdr:colOff>
                    <xdr:row>178</xdr:row>
                    <xdr:rowOff>0</xdr:rowOff>
                  </from>
                  <to>
                    <xdr:col>6</xdr:col>
                    <xdr:colOff>1752600</xdr:colOff>
                    <xdr:row>181</xdr:row>
                    <xdr:rowOff>390525</xdr:rowOff>
                  </to>
                </anchor>
              </controlPr>
            </control>
          </mc:Choice>
        </mc:AlternateContent>
        <mc:AlternateContent xmlns:mc="http://schemas.openxmlformats.org/markup-compatibility/2006">
          <mc:Choice Requires="x14">
            <control shapeId="1320" r:id="rId279" name="Check Box 296">
              <controlPr locked="0" defaultSize="0" autoFill="0" autoLine="0" autoPict="0">
                <anchor moveWithCells="1">
                  <from>
                    <xdr:col>6</xdr:col>
                    <xdr:colOff>1362075</xdr:colOff>
                    <xdr:row>166</xdr:row>
                    <xdr:rowOff>0</xdr:rowOff>
                  </from>
                  <to>
                    <xdr:col>6</xdr:col>
                    <xdr:colOff>1752600</xdr:colOff>
                    <xdr:row>177</xdr:row>
                    <xdr:rowOff>390525</xdr:rowOff>
                  </to>
                </anchor>
              </controlPr>
            </control>
          </mc:Choice>
        </mc:AlternateContent>
        <mc:AlternateContent xmlns:mc="http://schemas.openxmlformats.org/markup-compatibility/2006">
          <mc:Choice Requires="x14">
            <control shapeId="1321" r:id="rId280" name="Check Box 297">
              <controlPr locked="0" defaultSize="0" autoFill="0" autoLine="0" autoPict="0">
                <anchor moveWithCells="1">
                  <from>
                    <xdr:col>6</xdr:col>
                    <xdr:colOff>1362075</xdr:colOff>
                    <xdr:row>166</xdr:row>
                    <xdr:rowOff>0</xdr:rowOff>
                  </from>
                  <to>
                    <xdr:col>6</xdr:col>
                    <xdr:colOff>1752600</xdr:colOff>
                    <xdr:row>177</xdr:row>
                    <xdr:rowOff>390525</xdr:rowOff>
                  </to>
                </anchor>
              </controlPr>
            </control>
          </mc:Choice>
        </mc:AlternateContent>
        <mc:AlternateContent xmlns:mc="http://schemas.openxmlformats.org/markup-compatibility/2006">
          <mc:Choice Requires="x14">
            <control shapeId="1322" r:id="rId281" name="Check Box 298">
              <controlPr locked="0" defaultSize="0" autoFill="0" autoLine="0" autoPict="0">
                <anchor moveWithCells="1">
                  <from>
                    <xdr:col>6</xdr:col>
                    <xdr:colOff>1362075</xdr:colOff>
                    <xdr:row>166</xdr:row>
                    <xdr:rowOff>0</xdr:rowOff>
                  </from>
                  <to>
                    <xdr:col>6</xdr:col>
                    <xdr:colOff>1752600</xdr:colOff>
                    <xdr:row>177</xdr:row>
                    <xdr:rowOff>390525</xdr:rowOff>
                  </to>
                </anchor>
              </controlPr>
            </control>
          </mc:Choice>
        </mc:AlternateContent>
        <mc:AlternateContent xmlns:mc="http://schemas.openxmlformats.org/markup-compatibility/2006">
          <mc:Choice Requires="x14">
            <control shapeId="1323" r:id="rId282" name="Check Box 299">
              <controlPr locked="0" defaultSize="0" autoFill="0" autoLine="0" autoPict="0">
                <anchor moveWithCells="1">
                  <from>
                    <xdr:col>6</xdr:col>
                    <xdr:colOff>1362075</xdr:colOff>
                    <xdr:row>166</xdr:row>
                    <xdr:rowOff>0</xdr:rowOff>
                  </from>
                  <to>
                    <xdr:col>6</xdr:col>
                    <xdr:colOff>1752600</xdr:colOff>
                    <xdr:row>177</xdr:row>
                    <xdr:rowOff>390525</xdr:rowOff>
                  </to>
                </anchor>
              </controlPr>
            </control>
          </mc:Choice>
        </mc:AlternateContent>
        <mc:AlternateContent xmlns:mc="http://schemas.openxmlformats.org/markup-compatibility/2006">
          <mc:Choice Requires="x14">
            <control shapeId="1324" r:id="rId283" name="Check Box 300">
              <controlPr locked="0" defaultSize="0" autoFill="0" autoLine="0" autoPict="0">
                <anchor moveWithCells="1">
                  <from>
                    <xdr:col>6</xdr:col>
                    <xdr:colOff>1362075</xdr:colOff>
                    <xdr:row>147</xdr:row>
                    <xdr:rowOff>0</xdr:rowOff>
                  </from>
                  <to>
                    <xdr:col>6</xdr:col>
                    <xdr:colOff>1752600</xdr:colOff>
                    <xdr:row>150</xdr:row>
                    <xdr:rowOff>390525</xdr:rowOff>
                  </to>
                </anchor>
              </controlPr>
            </control>
          </mc:Choice>
        </mc:AlternateContent>
        <mc:AlternateContent xmlns:mc="http://schemas.openxmlformats.org/markup-compatibility/2006">
          <mc:Choice Requires="x14">
            <control shapeId="1325" r:id="rId284" name="Check Box 301">
              <controlPr locked="0" defaultSize="0" autoFill="0" autoLine="0" autoPict="0">
                <anchor moveWithCells="1">
                  <from>
                    <xdr:col>6</xdr:col>
                    <xdr:colOff>1362075</xdr:colOff>
                    <xdr:row>147</xdr:row>
                    <xdr:rowOff>0</xdr:rowOff>
                  </from>
                  <to>
                    <xdr:col>6</xdr:col>
                    <xdr:colOff>1752600</xdr:colOff>
                    <xdr:row>150</xdr:row>
                    <xdr:rowOff>390525</xdr:rowOff>
                  </to>
                </anchor>
              </controlPr>
            </control>
          </mc:Choice>
        </mc:AlternateContent>
        <mc:AlternateContent xmlns:mc="http://schemas.openxmlformats.org/markup-compatibility/2006">
          <mc:Choice Requires="x14">
            <control shapeId="1326" r:id="rId285" name="Check Box 302">
              <controlPr locked="0" defaultSize="0" autoFill="0" autoLine="0" autoPict="0">
                <anchor moveWithCells="1">
                  <from>
                    <xdr:col>6</xdr:col>
                    <xdr:colOff>1362075</xdr:colOff>
                    <xdr:row>147</xdr:row>
                    <xdr:rowOff>0</xdr:rowOff>
                  </from>
                  <to>
                    <xdr:col>6</xdr:col>
                    <xdr:colOff>1752600</xdr:colOff>
                    <xdr:row>150</xdr:row>
                    <xdr:rowOff>390525</xdr:rowOff>
                  </to>
                </anchor>
              </controlPr>
            </control>
          </mc:Choice>
        </mc:AlternateContent>
        <mc:AlternateContent xmlns:mc="http://schemas.openxmlformats.org/markup-compatibility/2006">
          <mc:Choice Requires="x14">
            <control shapeId="1327" r:id="rId286" name="Check Box 303">
              <controlPr locked="0" defaultSize="0" autoFill="0" autoLine="0" autoPict="0">
                <anchor moveWithCells="1">
                  <from>
                    <xdr:col>6</xdr:col>
                    <xdr:colOff>1362075</xdr:colOff>
                    <xdr:row>147</xdr:row>
                    <xdr:rowOff>0</xdr:rowOff>
                  </from>
                  <to>
                    <xdr:col>6</xdr:col>
                    <xdr:colOff>1752600</xdr:colOff>
                    <xdr:row>150</xdr:row>
                    <xdr:rowOff>390525</xdr:rowOff>
                  </to>
                </anchor>
              </controlPr>
            </control>
          </mc:Choice>
        </mc:AlternateContent>
        <mc:AlternateContent xmlns:mc="http://schemas.openxmlformats.org/markup-compatibility/2006">
          <mc:Choice Requires="x14">
            <control shapeId="1328" r:id="rId287" name="Check Box 304">
              <controlPr locked="0" defaultSize="0" autoFill="0" autoLine="0" autoPict="0">
                <anchor moveWithCells="1">
                  <from>
                    <xdr:col>6</xdr:col>
                    <xdr:colOff>1362075</xdr:colOff>
                    <xdr:row>93</xdr:row>
                    <xdr:rowOff>0</xdr:rowOff>
                  </from>
                  <to>
                    <xdr:col>6</xdr:col>
                    <xdr:colOff>1752600</xdr:colOff>
                    <xdr:row>94</xdr:row>
                    <xdr:rowOff>390525</xdr:rowOff>
                  </to>
                </anchor>
              </controlPr>
            </control>
          </mc:Choice>
        </mc:AlternateContent>
        <mc:AlternateContent xmlns:mc="http://schemas.openxmlformats.org/markup-compatibility/2006">
          <mc:Choice Requires="x14">
            <control shapeId="1329" r:id="rId288" name="Check Box 305">
              <controlPr locked="0" defaultSize="0" autoFill="0" autoLine="0" autoPict="0">
                <anchor moveWithCells="1">
                  <from>
                    <xdr:col>6</xdr:col>
                    <xdr:colOff>1362075</xdr:colOff>
                    <xdr:row>93</xdr:row>
                    <xdr:rowOff>0</xdr:rowOff>
                  </from>
                  <to>
                    <xdr:col>6</xdr:col>
                    <xdr:colOff>1752600</xdr:colOff>
                    <xdr:row>94</xdr:row>
                    <xdr:rowOff>390525</xdr:rowOff>
                  </to>
                </anchor>
              </controlPr>
            </control>
          </mc:Choice>
        </mc:AlternateContent>
        <mc:AlternateContent xmlns:mc="http://schemas.openxmlformats.org/markup-compatibility/2006">
          <mc:Choice Requires="x14">
            <control shapeId="1330" r:id="rId289" name="Check Box 306">
              <controlPr locked="0" defaultSize="0" autoFill="0" autoLine="0" autoPict="0">
                <anchor moveWithCells="1">
                  <from>
                    <xdr:col>6</xdr:col>
                    <xdr:colOff>1362075</xdr:colOff>
                    <xdr:row>93</xdr:row>
                    <xdr:rowOff>0</xdr:rowOff>
                  </from>
                  <to>
                    <xdr:col>6</xdr:col>
                    <xdr:colOff>1752600</xdr:colOff>
                    <xdr:row>94</xdr:row>
                    <xdr:rowOff>390525</xdr:rowOff>
                  </to>
                </anchor>
              </controlPr>
            </control>
          </mc:Choice>
        </mc:AlternateContent>
        <mc:AlternateContent xmlns:mc="http://schemas.openxmlformats.org/markup-compatibility/2006">
          <mc:Choice Requires="x14">
            <control shapeId="1331" r:id="rId290" name="Check Box 307">
              <controlPr locked="0" defaultSize="0" autoFill="0" autoLine="0" autoPict="0">
                <anchor moveWithCells="1">
                  <from>
                    <xdr:col>6</xdr:col>
                    <xdr:colOff>1362075</xdr:colOff>
                    <xdr:row>93</xdr:row>
                    <xdr:rowOff>0</xdr:rowOff>
                  </from>
                  <to>
                    <xdr:col>6</xdr:col>
                    <xdr:colOff>1752600</xdr:colOff>
                    <xdr:row>94</xdr:row>
                    <xdr:rowOff>390525</xdr:rowOff>
                  </to>
                </anchor>
              </controlPr>
            </control>
          </mc:Choice>
        </mc:AlternateContent>
        <mc:AlternateContent xmlns:mc="http://schemas.openxmlformats.org/markup-compatibility/2006">
          <mc:Choice Requires="x14">
            <control shapeId="1332" r:id="rId291" name="Check Box 308">
              <controlPr locked="0" defaultSize="0" autoFill="0" autoLine="0" autoPict="0">
                <anchor moveWithCells="1">
                  <from>
                    <xdr:col>6</xdr:col>
                    <xdr:colOff>1362075</xdr:colOff>
                    <xdr:row>67</xdr:row>
                    <xdr:rowOff>0</xdr:rowOff>
                  </from>
                  <to>
                    <xdr:col>6</xdr:col>
                    <xdr:colOff>1752600</xdr:colOff>
                    <xdr:row>71</xdr:row>
                    <xdr:rowOff>228600</xdr:rowOff>
                  </to>
                </anchor>
              </controlPr>
            </control>
          </mc:Choice>
        </mc:AlternateContent>
        <mc:AlternateContent xmlns:mc="http://schemas.openxmlformats.org/markup-compatibility/2006">
          <mc:Choice Requires="x14">
            <control shapeId="1333" r:id="rId292" name="Check Box 309">
              <controlPr locked="0" defaultSize="0" autoFill="0" autoLine="0" autoPict="0">
                <anchor moveWithCells="1">
                  <from>
                    <xdr:col>6</xdr:col>
                    <xdr:colOff>1362075</xdr:colOff>
                    <xdr:row>67</xdr:row>
                    <xdr:rowOff>0</xdr:rowOff>
                  </from>
                  <to>
                    <xdr:col>6</xdr:col>
                    <xdr:colOff>1752600</xdr:colOff>
                    <xdr:row>71</xdr:row>
                    <xdr:rowOff>228600</xdr:rowOff>
                  </to>
                </anchor>
              </controlPr>
            </control>
          </mc:Choice>
        </mc:AlternateContent>
        <mc:AlternateContent xmlns:mc="http://schemas.openxmlformats.org/markup-compatibility/2006">
          <mc:Choice Requires="x14">
            <control shapeId="1334" r:id="rId293" name="Check Box 310">
              <controlPr locked="0" defaultSize="0" autoFill="0" autoLine="0" autoPict="0">
                <anchor moveWithCells="1">
                  <from>
                    <xdr:col>6</xdr:col>
                    <xdr:colOff>1362075</xdr:colOff>
                    <xdr:row>67</xdr:row>
                    <xdr:rowOff>0</xdr:rowOff>
                  </from>
                  <to>
                    <xdr:col>6</xdr:col>
                    <xdr:colOff>1752600</xdr:colOff>
                    <xdr:row>71</xdr:row>
                    <xdr:rowOff>228600</xdr:rowOff>
                  </to>
                </anchor>
              </controlPr>
            </control>
          </mc:Choice>
        </mc:AlternateContent>
        <mc:AlternateContent xmlns:mc="http://schemas.openxmlformats.org/markup-compatibility/2006">
          <mc:Choice Requires="x14">
            <control shapeId="1335" r:id="rId294" name="Check Box 311">
              <controlPr locked="0" defaultSize="0" autoFill="0" autoLine="0" autoPict="0">
                <anchor moveWithCells="1">
                  <from>
                    <xdr:col>6</xdr:col>
                    <xdr:colOff>1362075</xdr:colOff>
                    <xdr:row>67</xdr:row>
                    <xdr:rowOff>0</xdr:rowOff>
                  </from>
                  <to>
                    <xdr:col>6</xdr:col>
                    <xdr:colOff>1752600</xdr:colOff>
                    <xdr:row>71</xdr:row>
                    <xdr:rowOff>228600</xdr:rowOff>
                  </to>
                </anchor>
              </controlPr>
            </control>
          </mc:Choice>
        </mc:AlternateContent>
        <mc:AlternateContent xmlns:mc="http://schemas.openxmlformats.org/markup-compatibility/2006">
          <mc:Choice Requires="x14">
            <control shapeId="1336" r:id="rId295" name="Check Box 312">
              <controlPr locked="0" defaultSize="0" autoFill="0" autoLine="0" autoPict="0">
                <anchor moveWithCells="1">
                  <from>
                    <xdr:col>6</xdr:col>
                    <xdr:colOff>1362075</xdr:colOff>
                    <xdr:row>72</xdr:row>
                    <xdr:rowOff>0</xdr:rowOff>
                  </from>
                  <to>
                    <xdr:col>6</xdr:col>
                    <xdr:colOff>1752600</xdr:colOff>
                    <xdr:row>75</xdr:row>
                    <xdr:rowOff>390525</xdr:rowOff>
                  </to>
                </anchor>
              </controlPr>
            </control>
          </mc:Choice>
        </mc:AlternateContent>
        <mc:AlternateContent xmlns:mc="http://schemas.openxmlformats.org/markup-compatibility/2006">
          <mc:Choice Requires="x14">
            <control shapeId="1337" r:id="rId296" name="Check Box 313">
              <controlPr locked="0" defaultSize="0" autoFill="0" autoLine="0" autoPict="0">
                <anchor moveWithCells="1">
                  <from>
                    <xdr:col>6</xdr:col>
                    <xdr:colOff>1362075</xdr:colOff>
                    <xdr:row>72</xdr:row>
                    <xdr:rowOff>0</xdr:rowOff>
                  </from>
                  <to>
                    <xdr:col>6</xdr:col>
                    <xdr:colOff>1752600</xdr:colOff>
                    <xdr:row>75</xdr:row>
                    <xdr:rowOff>390525</xdr:rowOff>
                  </to>
                </anchor>
              </controlPr>
            </control>
          </mc:Choice>
        </mc:AlternateContent>
        <mc:AlternateContent xmlns:mc="http://schemas.openxmlformats.org/markup-compatibility/2006">
          <mc:Choice Requires="x14">
            <control shapeId="1338" r:id="rId297" name="Check Box 314">
              <controlPr locked="0" defaultSize="0" autoFill="0" autoLine="0" autoPict="0">
                <anchor moveWithCells="1">
                  <from>
                    <xdr:col>6</xdr:col>
                    <xdr:colOff>1362075</xdr:colOff>
                    <xdr:row>72</xdr:row>
                    <xdr:rowOff>0</xdr:rowOff>
                  </from>
                  <to>
                    <xdr:col>6</xdr:col>
                    <xdr:colOff>1752600</xdr:colOff>
                    <xdr:row>75</xdr:row>
                    <xdr:rowOff>390525</xdr:rowOff>
                  </to>
                </anchor>
              </controlPr>
            </control>
          </mc:Choice>
        </mc:AlternateContent>
        <mc:AlternateContent xmlns:mc="http://schemas.openxmlformats.org/markup-compatibility/2006">
          <mc:Choice Requires="x14">
            <control shapeId="1339" r:id="rId298" name="Check Box 315">
              <controlPr locked="0" defaultSize="0" autoFill="0" autoLine="0" autoPict="0">
                <anchor moveWithCells="1">
                  <from>
                    <xdr:col>6</xdr:col>
                    <xdr:colOff>1362075</xdr:colOff>
                    <xdr:row>72</xdr:row>
                    <xdr:rowOff>0</xdr:rowOff>
                  </from>
                  <to>
                    <xdr:col>6</xdr:col>
                    <xdr:colOff>1752600</xdr:colOff>
                    <xdr:row>75</xdr:row>
                    <xdr:rowOff>390525</xdr:rowOff>
                  </to>
                </anchor>
              </controlPr>
            </control>
          </mc:Choice>
        </mc:AlternateContent>
        <mc:AlternateContent xmlns:mc="http://schemas.openxmlformats.org/markup-compatibility/2006">
          <mc:Choice Requires="x14">
            <control shapeId="1340" r:id="rId299" name="Check Box 316">
              <controlPr locked="0" defaultSize="0" autoFill="0" autoLine="0" autoPict="0">
                <anchor moveWithCells="1">
                  <from>
                    <xdr:col>6</xdr:col>
                    <xdr:colOff>1362075</xdr:colOff>
                    <xdr:row>34</xdr:row>
                    <xdr:rowOff>0</xdr:rowOff>
                  </from>
                  <to>
                    <xdr:col>6</xdr:col>
                    <xdr:colOff>1752600</xdr:colOff>
                    <xdr:row>37</xdr:row>
                    <xdr:rowOff>390525</xdr:rowOff>
                  </to>
                </anchor>
              </controlPr>
            </control>
          </mc:Choice>
        </mc:AlternateContent>
        <mc:AlternateContent xmlns:mc="http://schemas.openxmlformats.org/markup-compatibility/2006">
          <mc:Choice Requires="x14">
            <control shapeId="1341" r:id="rId300" name="Check Box 317">
              <controlPr locked="0" defaultSize="0" autoFill="0" autoLine="0" autoPict="0">
                <anchor moveWithCells="1">
                  <from>
                    <xdr:col>6</xdr:col>
                    <xdr:colOff>1362075</xdr:colOff>
                    <xdr:row>34</xdr:row>
                    <xdr:rowOff>0</xdr:rowOff>
                  </from>
                  <to>
                    <xdr:col>6</xdr:col>
                    <xdr:colOff>1752600</xdr:colOff>
                    <xdr:row>37</xdr:row>
                    <xdr:rowOff>390525</xdr:rowOff>
                  </to>
                </anchor>
              </controlPr>
            </control>
          </mc:Choice>
        </mc:AlternateContent>
        <mc:AlternateContent xmlns:mc="http://schemas.openxmlformats.org/markup-compatibility/2006">
          <mc:Choice Requires="x14">
            <control shapeId="1342" r:id="rId301" name="Check Box 318">
              <controlPr locked="0" defaultSize="0" autoFill="0" autoLine="0" autoPict="0">
                <anchor moveWithCells="1">
                  <from>
                    <xdr:col>6</xdr:col>
                    <xdr:colOff>1362075</xdr:colOff>
                    <xdr:row>34</xdr:row>
                    <xdr:rowOff>0</xdr:rowOff>
                  </from>
                  <to>
                    <xdr:col>6</xdr:col>
                    <xdr:colOff>1752600</xdr:colOff>
                    <xdr:row>37</xdr:row>
                    <xdr:rowOff>390525</xdr:rowOff>
                  </to>
                </anchor>
              </controlPr>
            </control>
          </mc:Choice>
        </mc:AlternateContent>
        <mc:AlternateContent xmlns:mc="http://schemas.openxmlformats.org/markup-compatibility/2006">
          <mc:Choice Requires="x14">
            <control shapeId="1343" r:id="rId302" name="Check Box 319">
              <controlPr locked="0" defaultSize="0" autoFill="0" autoLine="0" autoPict="0">
                <anchor moveWithCells="1">
                  <from>
                    <xdr:col>6</xdr:col>
                    <xdr:colOff>1362075</xdr:colOff>
                    <xdr:row>34</xdr:row>
                    <xdr:rowOff>0</xdr:rowOff>
                  </from>
                  <to>
                    <xdr:col>6</xdr:col>
                    <xdr:colOff>1752600</xdr:colOff>
                    <xdr:row>37</xdr:row>
                    <xdr:rowOff>390525</xdr:rowOff>
                  </to>
                </anchor>
              </controlPr>
            </control>
          </mc:Choice>
        </mc:AlternateContent>
        <mc:AlternateContent xmlns:mc="http://schemas.openxmlformats.org/markup-compatibility/2006">
          <mc:Choice Requires="x14">
            <control shapeId="1344" r:id="rId303" name="Check Box 320">
              <controlPr locked="0" defaultSize="0" autoFill="0" autoLine="0" autoPict="0">
                <anchor moveWithCells="1">
                  <from>
                    <xdr:col>6</xdr:col>
                    <xdr:colOff>1362075</xdr:colOff>
                    <xdr:row>34</xdr:row>
                    <xdr:rowOff>0</xdr:rowOff>
                  </from>
                  <to>
                    <xdr:col>6</xdr:col>
                    <xdr:colOff>1752600</xdr:colOff>
                    <xdr:row>37</xdr:row>
                    <xdr:rowOff>390525</xdr:rowOff>
                  </to>
                </anchor>
              </controlPr>
            </control>
          </mc:Choice>
        </mc:AlternateContent>
        <mc:AlternateContent xmlns:mc="http://schemas.openxmlformats.org/markup-compatibility/2006">
          <mc:Choice Requires="x14">
            <control shapeId="1345" r:id="rId304" name="Check Box 321">
              <controlPr locked="0" defaultSize="0" autoFill="0" autoLine="0" autoPict="0">
                <anchor moveWithCells="1">
                  <from>
                    <xdr:col>6</xdr:col>
                    <xdr:colOff>1362075</xdr:colOff>
                    <xdr:row>34</xdr:row>
                    <xdr:rowOff>0</xdr:rowOff>
                  </from>
                  <to>
                    <xdr:col>6</xdr:col>
                    <xdr:colOff>1752600</xdr:colOff>
                    <xdr:row>37</xdr:row>
                    <xdr:rowOff>390525</xdr:rowOff>
                  </to>
                </anchor>
              </controlPr>
            </control>
          </mc:Choice>
        </mc:AlternateContent>
        <mc:AlternateContent xmlns:mc="http://schemas.openxmlformats.org/markup-compatibility/2006">
          <mc:Choice Requires="x14">
            <control shapeId="1346" r:id="rId305" name="Check Box 322">
              <controlPr locked="0" defaultSize="0" autoFill="0" autoLine="0" autoPict="0">
                <anchor moveWithCells="1">
                  <from>
                    <xdr:col>6</xdr:col>
                    <xdr:colOff>1362075</xdr:colOff>
                    <xdr:row>34</xdr:row>
                    <xdr:rowOff>0</xdr:rowOff>
                  </from>
                  <to>
                    <xdr:col>6</xdr:col>
                    <xdr:colOff>1752600</xdr:colOff>
                    <xdr:row>37</xdr:row>
                    <xdr:rowOff>390525</xdr:rowOff>
                  </to>
                </anchor>
              </controlPr>
            </control>
          </mc:Choice>
        </mc:AlternateContent>
        <mc:AlternateContent xmlns:mc="http://schemas.openxmlformats.org/markup-compatibility/2006">
          <mc:Choice Requires="x14">
            <control shapeId="1347" r:id="rId306" name="Check Box 323">
              <controlPr locked="0" defaultSize="0" autoFill="0" autoLine="0" autoPict="0">
                <anchor moveWithCells="1">
                  <from>
                    <xdr:col>6</xdr:col>
                    <xdr:colOff>1362075</xdr:colOff>
                    <xdr:row>34</xdr:row>
                    <xdr:rowOff>0</xdr:rowOff>
                  </from>
                  <to>
                    <xdr:col>6</xdr:col>
                    <xdr:colOff>1752600</xdr:colOff>
                    <xdr:row>37</xdr:row>
                    <xdr:rowOff>390525</xdr:rowOff>
                  </to>
                </anchor>
              </controlPr>
            </control>
          </mc:Choice>
        </mc:AlternateContent>
        <mc:AlternateContent xmlns:mc="http://schemas.openxmlformats.org/markup-compatibility/2006">
          <mc:Choice Requires="x14">
            <control shapeId="1348" r:id="rId307" name="Check Box 324">
              <controlPr locked="0" defaultSize="0" autoFill="0" autoLine="0" autoPict="0">
                <anchor moveWithCells="1">
                  <from>
                    <xdr:col>4</xdr:col>
                    <xdr:colOff>1476375</xdr:colOff>
                    <xdr:row>95</xdr:row>
                    <xdr:rowOff>0</xdr:rowOff>
                  </from>
                  <to>
                    <xdr:col>4</xdr:col>
                    <xdr:colOff>1866900</xdr:colOff>
                    <xdr:row>104</xdr:row>
                    <xdr:rowOff>190500</xdr:rowOff>
                  </to>
                </anchor>
              </controlPr>
            </control>
          </mc:Choice>
        </mc:AlternateContent>
        <mc:AlternateContent xmlns:mc="http://schemas.openxmlformats.org/markup-compatibility/2006">
          <mc:Choice Requires="x14">
            <control shapeId="1349" r:id="rId308" name="Check Box 325">
              <controlPr locked="0" defaultSize="0" autoFill="0" autoLine="0" autoPict="0">
                <anchor moveWithCells="1" sizeWithCells="1">
                  <from>
                    <xdr:col>4</xdr:col>
                    <xdr:colOff>2371725</xdr:colOff>
                    <xdr:row>142</xdr:row>
                    <xdr:rowOff>371475</xdr:rowOff>
                  </from>
                  <to>
                    <xdr:col>4</xdr:col>
                    <xdr:colOff>2781300</xdr:colOff>
                    <xdr:row>142</xdr:row>
                    <xdr:rowOff>638175</xdr:rowOff>
                  </to>
                </anchor>
              </controlPr>
            </control>
          </mc:Choice>
        </mc:AlternateContent>
        <mc:AlternateContent xmlns:mc="http://schemas.openxmlformats.org/markup-compatibility/2006">
          <mc:Choice Requires="x14">
            <control shapeId="1350" r:id="rId309" name="Check Box 326">
              <controlPr locked="0" defaultSize="0" autoFill="0" autoLine="0" autoPict="0">
                <anchor moveWithCells="1" sizeWithCells="1">
                  <from>
                    <xdr:col>4</xdr:col>
                    <xdr:colOff>2352675</xdr:colOff>
                    <xdr:row>146</xdr:row>
                    <xdr:rowOff>371475</xdr:rowOff>
                  </from>
                  <to>
                    <xdr:col>4</xdr:col>
                    <xdr:colOff>2752725</xdr:colOff>
                    <xdr:row>146</xdr:row>
                    <xdr:rowOff>638175</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1:K19"/>
  <sheetViews>
    <sheetView workbookViewId="0"/>
  </sheetViews>
  <sheetFormatPr defaultColWidth="11.42578125" defaultRowHeight="15"/>
  <sheetData>
    <row r="11" spans="2:11" ht="15.75" thickBot="1"/>
    <row r="12" spans="2:11" ht="21.95" customHeight="1">
      <c r="B12" s="215" t="s">
        <v>358</v>
      </c>
      <c r="C12" s="216"/>
      <c r="D12" s="216"/>
      <c r="E12" s="216"/>
      <c r="F12" s="216"/>
      <c r="G12" s="216"/>
      <c r="H12" s="216"/>
      <c r="I12" s="216"/>
      <c r="J12" s="216"/>
      <c r="K12" s="217"/>
    </row>
    <row r="13" spans="2:11" ht="21.95" customHeight="1">
      <c r="B13" s="218"/>
      <c r="C13" s="219"/>
      <c r="D13" s="219"/>
      <c r="E13" s="219"/>
      <c r="F13" s="219"/>
      <c r="G13" s="219"/>
      <c r="H13" s="219"/>
      <c r="I13" s="219"/>
      <c r="J13" s="219"/>
      <c r="K13" s="220"/>
    </row>
    <row r="14" spans="2:11" ht="21.95" customHeight="1">
      <c r="B14" s="218"/>
      <c r="C14" s="219"/>
      <c r="D14" s="219"/>
      <c r="E14" s="219"/>
      <c r="F14" s="219"/>
      <c r="G14" s="219"/>
      <c r="H14" s="219"/>
      <c r="I14" s="219"/>
      <c r="J14" s="219"/>
      <c r="K14" s="220"/>
    </row>
    <row r="15" spans="2:11" ht="21.95" customHeight="1">
      <c r="B15" s="218"/>
      <c r="C15" s="219"/>
      <c r="D15" s="219"/>
      <c r="E15" s="219"/>
      <c r="F15" s="219"/>
      <c r="G15" s="219"/>
      <c r="H15" s="219"/>
      <c r="I15" s="219"/>
      <c r="J15" s="219"/>
      <c r="K15" s="220"/>
    </row>
    <row r="16" spans="2:11" ht="21.95" customHeight="1" thickBot="1">
      <c r="B16" s="221"/>
      <c r="C16" s="222"/>
      <c r="D16" s="222"/>
      <c r="E16" s="222"/>
      <c r="F16" s="222"/>
      <c r="G16" s="222"/>
      <c r="H16" s="222"/>
      <c r="I16" s="222"/>
      <c r="J16" s="222"/>
      <c r="K16" s="223"/>
    </row>
    <row r="19" spans="2:2">
      <c r="B19" s="214"/>
    </row>
  </sheetData>
  <mergeCells count="1">
    <mergeCell ref="B12:K16"/>
  </mergeCells>
  <pageMargins left="0.75" right="0.75" top="1" bottom="1" header="0.5" footer="0.5"/>
  <drawing r:id="rId1"/>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FBA3C808-E5CD-44E3-891C-2CB5443D27B9}">
  <ds:schemaRefs>
    <ds:schemaRef ds:uri="http://schemas.microsoft.com/sharepoint/v3/contenttype/forms"/>
  </ds:schemaRefs>
</ds:datastoreItem>
</file>

<file path=customXml/itemProps2.xml><?xml version="1.0" encoding="utf-8"?>
<ds:datastoreItem xmlns:ds="http://schemas.openxmlformats.org/officeDocument/2006/customXml" ds:itemID="{D1A0E504-442D-46F0-8202-FAC46E058276}">
  <ds:schemaRef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17FF9856-3E1C-4AD5-A240-91F7355BB266}"/>
</file>

<file path=customXml/itemProps4.xml><?xml version="1.0" encoding="utf-8"?>
<ds:datastoreItem xmlns:ds="http://schemas.openxmlformats.org/officeDocument/2006/customXml" ds:itemID="{6E31E0A7-F810-4EDC-B973-F1C8BD8BBB5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Introduction</vt:lpstr>
      <vt:lpstr>Company Information</vt:lpstr>
      <vt:lpstr>Project Information</vt:lpstr>
      <vt:lpstr>Security Questionnaire</vt:lpstr>
      <vt:lpstr>Attestation</vt:lpstr>
      <vt:lpstr>'Company Information'!Print_Area</vt:lpstr>
      <vt:lpstr>'Security Questionnaire'!Print_Area</vt:lpstr>
    </vt:vector>
  </TitlesOfParts>
  <Company>URMC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Pinch, Michael W</dc:creator>
  <cp:lastModifiedBy>James J. Purvis</cp:lastModifiedBy>
  <cp:lastPrinted>2012-07-13T17:00:49Z</cp:lastPrinted>
  <dcterms:created xsi:type="dcterms:W3CDTF">2012-07-13T12:38:33Z</dcterms:created>
  <dcterms:modified xsi:type="dcterms:W3CDTF">2015-12-18T13:56:45Z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1770846f-5ef8-43ea-b2fe-c789db03d76e</vt:lpwstr>
  </property>
  <property fmtid="{D5CDD505-2E9C-101B-9397-08002B2CF9AE}" pid="4" name="Order">
    <vt:r8>63800</vt:r8>
  </property>
  <property fmtid="{D5CDD505-2E9C-101B-9397-08002B2CF9AE}" pid="5" name="_ExtendedDescription">
    <vt:lpwstr/>
  </property>
</Properties>
</file>