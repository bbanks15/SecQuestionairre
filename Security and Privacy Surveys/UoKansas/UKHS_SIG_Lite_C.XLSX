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calcChain.xml" ContentType="application/vnd.openxmlformats-officedocument.spreadsheetml.calcChain+xml"/>
  <Override PartName="/docProps/custom.xml" ContentType="application/vnd.openxmlformats-officedocument.custom-properties+xml"/>
  <Override PartName="/docProps/app.xml" ContentType="application/vnd.openxmlformats-officedocument.extended-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codeName="ThisWorkbook" defaultThemeVersion="166925"/>
  <mc:AlternateContent xmlns:mc="http://schemas.openxmlformats.org/markup-compatibility/2006">
    <mc:Choice Requires="x15">
      <x15ac:absPath xmlns:x15ac="http://schemas.microsoft.com/office/spreadsheetml/2010/11/ac" url="C:\Users\Bruno Bendavid\PeriGen\PeriGen Corporate Portal - RFPs &amp; Surveys\Security and Privacy Surveys\UoKansas\"/>
    </mc:Choice>
  </mc:AlternateContent>
  <xr:revisionPtr revIDLastSave="40" documentId="8_{43A83CBC-06E3-4E7D-B4CC-F7F1C5A1B2F3}" xr6:coauthVersionLast="36" xr6:coauthVersionMax="36" xr10:uidLastSave="{3F6273BE-13E9-4DFB-A46B-91702E5ADD7D}"/>
  <bookViews>
    <workbookView xWindow="240" yWindow="90" windowWidth="11100" windowHeight="6705" xr2:uid="{00000000-000D-0000-FFFF-FFFF00000000}"/>
  </bookViews>
  <sheets>
    <sheet name="UKHS SIG Lite C" sheetId="1" r:id="rId1"/>
  </sheet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J54" i="1" l="1"/>
  <c r="M53" i="1"/>
  <c r="H53" i="1"/>
  <c r="J52" i="1"/>
  <c r="M51" i="1"/>
  <c r="H51" i="1"/>
  <c r="J50" i="1"/>
  <c r="M49" i="1"/>
  <c r="H49" i="1"/>
  <c r="J48" i="1"/>
  <c r="M47" i="1"/>
  <c r="H47" i="1"/>
  <c r="J46" i="1"/>
  <c r="M45" i="1"/>
  <c r="H45" i="1"/>
  <c r="J44" i="1"/>
  <c r="M43" i="1"/>
  <c r="H43" i="1"/>
  <c r="J42" i="1"/>
  <c r="M41" i="1"/>
  <c r="H41" i="1"/>
  <c r="J40" i="1"/>
  <c r="M39" i="1"/>
  <c r="H39" i="1"/>
  <c r="J38" i="1"/>
  <c r="M37" i="1"/>
  <c r="H37" i="1"/>
  <c r="J36" i="1"/>
  <c r="M35" i="1"/>
  <c r="H35" i="1"/>
  <c r="J34" i="1"/>
  <c r="M33" i="1"/>
  <c r="H33" i="1"/>
  <c r="J32" i="1"/>
  <c r="M31" i="1"/>
  <c r="H31" i="1"/>
  <c r="J30" i="1"/>
  <c r="M29" i="1"/>
  <c r="H29" i="1"/>
  <c r="J28" i="1"/>
  <c r="M27" i="1"/>
  <c r="H27" i="1"/>
  <c r="J26" i="1"/>
  <c r="M25" i="1"/>
  <c r="H25" i="1"/>
  <c r="J24" i="1"/>
  <c r="M23" i="1"/>
  <c r="H23" i="1"/>
  <c r="J22" i="1"/>
  <c r="M21" i="1"/>
  <c r="H21" i="1"/>
  <c r="J20" i="1"/>
  <c r="M19" i="1"/>
  <c r="H19" i="1"/>
</calcChain>
</file>

<file path=xl/sharedStrings.xml><?xml version="1.0" encoding="utf-8"?>
<sst xmlns="http://schemas.openxmlformats.org/spreadsheetml/2006/main" count="569" uniqueCount="103">
  <si>
    <t/>
  </si>
  <si>
    <t>HDR</t>
  </si>
  <si>
    <t>True</t>
  </si>
  <si>
    <t>Type:              UKHS SIG Lite C</t>
  </si>
  <si>
    <t>Name</t>
  </si>
  <si>
    <t>Enter the name</t>
  </si>
  <si>
    <t>Short Name</t>
  </si>
  <si>
    <t>Question / Description</t>
  </si>
  <si>
    <t>Answer / Value</t>
  </si>
  <si>
    <t>ATTR</t>
  </si>
  <si>
    <t>Additional Artifacts - UKHS SIG Lite C</t>
  </si>
  <si>
    <t>Administrative Use Only</t>
  </si>
  <si>
    <t>3746</t>
  </si>
  <si>
    <t>Comment</t>
  </si>
  <si>
    <t>S-H.2 Access Control (Unique IDs)</t>
  </si>
  <si>
    <t>Are unique system user IDs used for access?</t>
  </si>
  <si>
    <t>*</t>
  </si>
  <si>
    <t>CTRL</t>
  </si>
  <si>
    <t>549758</t>
  </si>
  <si>
    <t>S-H.3 Access Control (Passwords)</t>
  </si>
  <si>
    <t>Are passwords required to access systems transmitting, processing or storing Scoped Systems and Data?</t>
  </si>
  <si>
    <t>549953</t>
  </si>
  <si>
    <t>S-H.4 Access Control (Remote Access)</t>
  </si>
  <si>
    <t>Is remote access permitted into the environment?</t>
  </si>
  <si>
    <t>550116</t>
  </si>
  <si>
    <t>S-I.1 Info Sys AD&amp;M (Business Information Systems - Data)</t>
  </si>
  <si>
    <t>Are business information systems used for processing, storing or transmitting scoped systems and data?</t>
  </si>
  <si>
    <t>550183</t>
  </si>
  <si>
    <t>S-I.2 Info Sys AD&amp;M (App Dev)</t>
  </si>
  <si>
    <t>Is application development performed?</t>
  </si>
  <si>
    <t>550210</t>
  </si>
  <si>
    <t>S-I.2.8 Info Sys AD&amp;M (SDLC)</t>
  </si>
  <si>
    <t>Is there a formal Software Development Life Cycle (SDLC) process?</t>
  </si>
  <si>
    <t>550301</t>
  </si>
  <si>
    <t>S-I.6 Info Sys AD&amp;M (Web - Target Data)</t>
  </si>
  <si>
    <t>Is a web site supported, hosted or maintained that has access to Scoped Systems and Data?</t>
  </si>
  <si>
    <t>550795</t>
  </si>
  <si>
    <t>S-I.7 Info Sys AD&amp;M (Vulnerability Tests)</t>
  </si>
  <si>
    <t>Are vulnerability tests (internal/external) performed on all applications at least annually?</t>
  </si>
  <si>
    <t>550846</t>
  </si>
  <si>
    <t>S-I.8 Info Sys AD&amp;M (Encryption - Tool Mgmt.)</t>
  </si>
  <si>
    <t>Are encryption tools managed and maintained for Scoped Data?</t>
  </si>
  <si>
    <t>550873</t>
  </si>
  <si>
    <t>S-Q.1 Software Security (Software Availability)</t>
  </si>
  <si>
    <t>Is Software provided?</t>
  </si>
  <si>
    <t>553746</t>
  </si>
  <si>
    <t>S-Q.1.1 Software Security (SDLC Policy)</t>
  </si>
  <si>
    <t>Is there a secure software development lifecycle policy (including mobile software applications) that has been approved by management, communicated to appropriate constituents and an owner to maintain and review the policy?</t>
  </si>
  <si>
    <t>553757</t>
  </si>
  <si>
    <t>UKHS: Password Complexity</t>
  </si>
  <si>
    <t>Does the system have password complexity requirements?</t>
  </si>
  <si>
    <t>625448</t>
  </si>
  <si>
    <t>UKHS: Password Change Frequency</t>
  </si>
  <si>
    <t>Does the system require users to change their passwords frequently?</t>
  </si>
  <si>
    <t>625454</t>
  </si>
  <si>
    <t>UKHS: Remote Access Standard</t>
  </si>
  <si>
    <t>Can SecureLink be utilized for remote access?</t>
  </si>
  <si>
    <t>625460</t>
  </si>
  <si>
    <t>UKHS: Active Directory Integration</t>
  </si>
  <si>
    <t>Is the system capable of integrating with UKHS Active Directory?</t>
  </si>
  <si>
    <t>625466</t>
  </si>
  <si>
    <t>UKHS: System-Specific Credentials Management</t>
  </si>
  <si>
    <t>Can the system-specific end-user accounts be managed by UKHS?</t>
  </si>
  <si>
    <t>625472</t>
  </si>
  <si>
    <t>UKHS: Web Server Intranet Access</t>
  </si>
  <si>
    <t>Is the web server capable of being accessible within UKHS network only?</t>
  </si>
  <si>
    <t>625478</t>
  </si>
  <si>
    <t>UKHS: Mobile App</t>
  </si>
  <si>
    <t>Is a mobile application supported, hosted or maintained that has access to Scoped Systems and Data?</t>
  </si>
  <si>
    <t>625484</t>
  </si>
  <si>
    <t>FTR</t>
  </si>
  <si>
    <t>University of Kansas Hospital                                                                                                 Page 1 of 1                                                                                                                                      Confidential</t>
  </si>
  <si>
    <t>No</t>
  </si>
  <si>
    <t>Comments:</t>
  </si>
  <si>
    <t>Attach related documentation</t>
  </si>
  <si>
    <t>1</t>
  </si>
  <si>
    <t>No, with exceptions</t>
  </si>
  <si>
    <t>Yes, with exceptions</t>
  </si>
  <si>
    <t>Yes</t>
  </si>
  <si>
    <t>N/A</t>
  </si>
  <si>
    <t>Level 1: Informal ad hoc process without formal implementation</t>
  </si>
  <si>
    <t>Level 2: Partially in place with no approved plans to further implement</t>
  </si>
  <si>
    <t>Level 3: Partially in place with approved plans to further implement</t>
  </si>
  <si>
    <t>Level 4: In place with exclusions</t>
  </si>
  <si>
    <t>Level 5: In place with no exclusions</t>
  </si>
  <si>
    <t>Explain why this is not applicable</t>
  </si>
  <si>
    <t>Please explain</t>
  </si>
  <si>
    <t>2</t>
  </si>
  <si>
    <t>Please specify the password complexity requirements</t>
  </si>
  <si>
    <t>Please explain why this is not applicable</t>
  </si>
  <si>
    <t>Please state how often is the required password change</t>
  </si>
  <si>
    <t>Please specify what service is used and provide business justification</t>
  </si>
  <si>
    <t>Please specify who will be managing the end-user accounts</t>
  </si>
  <si>
    <t>ITPD 2019-24</t>
  </si>
  <si>
    <t>This document applies to the system sold by PeriGen to UKHS: PeriWatch Tracings.
It is strongly recommended to use AD authentication to access the system.</t>
  </si>
  <si>
    <t>Assumin AD authentication is used, no password are stored in the system.</t>
  </si>
  <si>
    <t>Only UKHS provides permission to PeriGen staff (via SecureLink) or clinical staff to access internal systems.</t>
  </si>
  <si>
    <t>Not clear on the question</t>
  </si>
  <si>
    <t>On KUHS provided server, certificates are required to encrypt all data between servers and clients (in transit). Data at rest is achieved with SQL TDE (also provided by KUHS) which can be controlled by the customer.</t>
  </si>
  <si>
    <t>No mobile support</t>
  </si>
  <si>
    <t>Assume AD authentication and all aspects of user accounts and password management  is controlled by KUHS</t>
  </si>
  <si>
    <t>SecureLink is PeriGen's default vendor for remote access</t>
  </si>
  <si>
    <t>To be determined during pre-install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</si>
</sst>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b/>
      <sz val="10"/>
      <name val="Arial"/>
      <family val="2"/>
    </font>
    <font>
      <b/>
      <sz val="26"/>
      <name val="Arial"/>
      <family val="2"/>
    </font>
    <font>
      <b/>
      <sz val="10"/>
      <color indexed="49"/>
      <name val="Arial"/>
      <family val="2"/>
    </font>
    <font>
      <sz val="10"/>
      <color indexed="9"/>
      <name val="Arial"/>
      <family val="2"/>
    </font>
    <font>
      <sz val="10"/>
      <color indexed="44"/>
      <name val="Arial"/>
      <family val="2"/>
    </font>
    <font>
      <sz val="10"/>
      <name val="Arial"/>
      <family val="2"/>
    </font>
  </fonts>
  <fills count="6">
    <fill>
      <patternFill patternType="none"/>
    </fill>
    <fill>
      <patternFill patternType="gray125"/>
    </fill>
    <fill>
      <patternFill patternType="solid">
        <fgColor indexed="22"/>
        <bgColor indexed="31"/>
      </patternFill>
    </fill>
    <fill>
      <patternFill patternType="solid">
        <fgColor indexed="54"/>
        <bgColor indexed="23"/>
      </patternFill>
    </fill>
    <fill>
      <patternFill patternType="solid">
        <fgColor indexed="44"/>
        <bgColor indexed="31"/>
      </patternFill>
    </fill>
    <fill>
      <patternFill patternType="solid">
        <fgColor indexed="43"/>
        <bgColor indexed="26"/>
      </patternFill>
    </fill>
  </fills>
  <borders count="8">
    <border>
      <left/>
      <right/>
      <top/>
      <bottom/>
      <diagonal/>
    </border>
    <border diagonalUp="1" diagonalDown="1">
      <left style="thin">
        <color auto="1"/>
      </left>
      <right/>
      <top/>
      <bottom/>
      <diagonal/>
    </border>
    <border diagonalUp="1" diagonalDown="1">
      <left style="thin">
        <color auto="1"/>
      </left>
      <right style="thin">
        <color auto="1"/>
      </right>
      <top style="thin">
        <color auto="1"/>
      </top>
      <bottom style="thin">
        <color auto="1"/>
      </bottom>
      <diagonal/>
    </border>
    <border diagonalUp="1" diagonalDown="1">
      <left/>
      <right style="thin">
        <color auto="1"/>
      </right>
      <top/>
      <bottom/>
      <diagonal/>
    </border>
    <border diagonalUp="1" diagonalDown="1">
      <left/>
      <right/>
      <top style="thin">
        <color auto="1"/>
      </top>
      <bottom/>
      <diagonal/>
    </border>
    <border diagonalUp="1" diagonalDown="1">
      <left style="thin">
        <color auto="1"/>
      </left>
      <right/>
      <top style="thin">
        <color auto="1"/>
      </top>
      <bottom style="thin">
        <color auto="1"/>
      </bottom>
      <diagonal/>
    </border>
    <border diagonalUp="1" diagonalDown="1">
      <left/>
      <right/>
      <top style="thin">
        <color auto="1"/>
      </top>
      <bottom style="thin">
        <color auto="1"/>
      </bottom>
      <diagonal/>
    </border>
    <border diagonalUp="1" diagonalDown="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0" fillId="0" borderId="0" xfId="0"/>
    <xf numFmtId="0" fontId="0" fillId="2" borderId="0" xfId="0" applyNumberFormat="1" applyFill="1" applyBorder="1" applyAlignment="1">
      <alignment wrapText="1"/>
    </xf>
    <xf numFmtId="0" fontId="0" fillId="2" borderId="0" xfId="0" applyNumberFormat="1" applyFont="1" applyFill="1" applyAlignment="1" applyProtection="1">
      <alignment wrapText="1"/>
    </xf>
    <xf numFmtId="0" fontId="0" fillId="2" borderId="1" xfId="0" applyNumberFormat="1" applyFont="1" applyFill="1" applyBorder="1" applyAlignment="1" applyProtection="1">
      <alignment wrapText="1"/>
    </xf>
    <xf numFmtId="0" fontId="1" fillId="4" borderId="0" xfId="0" applyNumberFormat="1" applyFont="1" applyFill="1" applyAlignment="1" applyProtection="1"/>
    <xf numFmtId="0" fontId="4" fillId="0" borderId="0" xfId="0" applyNumberFormat="1" applyFont="1" applyFill="1" applyAlignment="1" applyProtection="1"/>
    <xf numFmtId="0" fontId="0" fillId="0" borderId="2" xfId="0" applyNumberFormat="1" applyFont="1" applyFill="1" applyBorder="1" applyAlignment="1" applyProtection="1">
      <alignment wrapText="1"/>
      <protection locked="0"/>
    </xf>
    <xf numFmtId="0" fontId="0" fillId="2" borderId="3" xfId="0" applyNumberFormat="1" applyFont="1" applyFill="1" applyBorder="1" applyAlignment="1" applyProtection="1">
      <alignment wrapText="1"/>
    </xf>
    <xf numFmtId="0" fontId="1" fillId="5" borderId="4" xfId="0" applyNumberFormat="1" applyFont="1" applyFill="1" applyBorder="1" applyAlignment="1" applyProtection="1"/>
    <xf numFmtId="0" fontId="0" fillId="4" borderId="0" xfId="0" applyNumberFormat="1" applyFont="1" applyFill="1" applyAlignment="1" applyProtection="1"/>
    <xf numFmtId="0" fontId="0" fillId="4" borderId="0" xfId="0" applyNumberFormat="1" applyFont="1" applyFill="1" applyAlignment="1" applyProtection="1">
      <alignment wrapText="1"/>
    </xf>
    <xf numFmtId="49" fontId="0" fillId="4" borderId="0" xfId="0" applyNumberFormat="1" applyFont="1" applyFill="1" applyAlignment="1" applyProtection="1">
      <alignment wrapText="1"/>
    </xf>
    <xf numFmtId="49" fontId="4" fillId="0" borderId="0" xfId="0" applyNumberFormat="1" applyFont="1" applyFill="1" applyAlignment="1" applyProtection="1"/>
    <xf numFmtId="0" fontId="5" fillId="4" borderId="0" xfId="0" applyNumberFormat="1" applyFont="1" applyFill="1" applyAlignment="1" applyProtection="1">
      <alignment wrapText="1"/>
      <protection locked="0"/>
    </xf>
    <xf numFmtId="49" fontId="0" fillId="2" borderId="1" xfId="0" applyNumberFormat="1" applyFont="1" applyFill="1" applyBorder="1" applyAlignment="1" applyProtection="1">
      <alignment wrapText="1"/>
    </xf>
    <xf numFmtId="0" fontId="0" fillId="0" borderId="4" xfId="0" applyNumberFormat="1" applyFont="1" applyFill="1" applyBorder="1" applyAlignment="1" applyProtection="1"/>
    <xf numFmtId="0" fontId="6" fillId="0" borderId="2" xfId="0" applyNumberFormat="1" applyFont="1" applyFill="1" applyBorder="1" applyAlignment="1" applyProtection="1">
      <alignment wrapText="1"/>
      <protection locked="0"/>
    </xf>
    <xf numFmtId="0" fontId="1" fillId="4" borderId="0" xfId="0" applyNumberFormat="1" applyFont="1" applyFill="1" applyAlignment="1" applyProtection="1"/>
    <xf numFmtId="0" fontId="0" fillId="0" borderId="0" xfId="0" applyNumberFormat="1" applyFont="1" applyFill="1" applyAlignment="1" applyProtection="1"/>
    <xf numFmtId="0" fontId="0" fillId="4" borderId="0" xfId="0" applyNumberFormat="1" applyFont="1" applyFill="1" applyAlignment="1" applyProtection="1"/>
    <xf numFmtId="0" fontId="0" fillId="0" borderId="5" xfId="0" applyNumberFormat="1" applyFont="1" applyFill="1" applyBorder="1" applyAlignment="1" applyProtection="1">
      <alignment wrapText="1"/>
      <protection locked="0"/>
    </xf>
    <xf numFmtId="0" fontId="0" fillId="0" borderId="6" xfId="0" applyNumberFormat="1" applyFont="1" applyFill="1" applyBorder="1" applyAlignment="1" applyProtection="1">
      <alignment wrapText="1"/>
      <protection locked="0"/>
    </xf>
    <xf numFmtId="0" fontId="0" fillId="0" borderId="7" xfId="0" applyNumberFormat="1" applyFont="1" applyFill="1" applyBorder="1" applyAlignment="1" applyProtection="1">
      <alignment wrapText="1"/>
      <protection locked="0"/>
    </xf>
    <xf numFmtId="0" fontId="2" fillId="3" borderId="0" xfId="0" applyNumberFormat="1" applyFont="1" applyFill="1" applyBorder="1" applyAlignment="1">
      <alignment horizontal="center" vertical="center" wrapText="1"/>
    </xf>
    <xf numFmtId="0" fontId="1" fillId="3" borderId="0" xfId="0" applyNumberFormat="1" applyFont="1" applyFill="1" applyBorder="1" applyAlignment="1">
      <alignment wrapText="1"/>
    </xf>
    <xf numFmtId="0" fontId="3" fillId="3" borderId="0" xfId="0" applyNumberFormat="1" applyFont="1" applyFill="1" applyBorder="1" applyAlignment="1">
      <alignment horizontal="center"/>
    </xf>
  </cellXfs>
  <cellStyles count="1">
    <cellStyle name="Normal" xfId="0" builtinId="0"/>
  </cellStyles>
  <dxfs count="55">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10"/>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none">
          <bgColor indexed="1"/>
        </patternFill>
      </fill>
      <border>
        <left style="thin">
          <color auto="1"/>
        </left>
        <right style="thin">
          <color auto="1"/>
        </right>
        <top style="thin">
          <color auto="1"/>
        </top>
        <bottom style="thin">
          <color auto="1"/>
        </bottom>
      </border>
    </dxf>
    <dxf>
      <font>
        <color rgb="FF000000"/>
      </font>
      <fill>
        <patternFill patternType="solid">
          <bgColor indexed="22"/>
        </patternFill>
      </fill>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32099"/>
  <sheetViews>
    <sheetView tabSelected="1" topLeftCell="A24" zoomScale="85" zoomScaleNormal="85" workbookViewId="0">
      <selection activeCell="H50" sqref="H50"/>
    </sheetView>
  </sheetViews>
  <sheetFormatPr defaultColWidth="9.140625" defaultRowHeight="12.75" x14ac:dyDescent="0.2"/>
  <cols>
    <col min="1" max="1" width="3.85546875" style="1" customWidth="1"/>
    <col min="2" max="2" width="32.28515625" style="1" customWidth="1"/>
    <col min="3" max="3" width="2.5703125" style="1" customWidth="1"/>
    <col min="4" max="4" width="39" style="1" customWidth="1"/>
    <col min="5" max="5" width="3.5703125" style="1" customWidth="1"/>
    <col min="6" max="6" width="49.85546875" style="1" customWidth="1"/>
    <col min="7" max="7" width="3.5703125" style="1" customWidth="1"/>
    <col min="8" max="8" width="34.5703125" style="1" customWidth="1"/>
    <col min="9" max="9" width="3.85546875" style="1" customWidth="1"/>
    <col min="10" max="10" width="20.85546875" style="1" customWidth="1"/>
    <col min="11" max="11" width="3.28515625" style="1" customWidth="1"/>
  </cols>
  <sheetData>
    <row r="1" spans="1:14" x14ac:dyDescent="0.2">
      <c r="A1" s="2"/>
      <c r="B1" s="25"/>
      <c r="C1" s="25"/>
      <c r="D1" s="25"/>
      <c r="E1" s="25"/>
      <c r="F1" s="25"/>
      <c r="G1" s="25"/>
      <c r="H1" s="25"/>
      <c r="I1" s="25"/>
      <c r="J1" s="4"/>
      <c r="K1" s="3"/>
    </row>
    <row r="2" spans="1:14" x14ac:dyDescent="0.2">
      <c r="A2" s="2"/>
      <c r="B2" s="24"/>
      <c r="C2" s="24"/>
      <c r="D2" s="24"/>
      <c r="E2" s="24"/>
      <c r="F2" s="24"/>
      <c r="G2" s="24"/>
      <c r="H2" s="24"/>
      <c r="I2" s="24"/>
      <c r="J2" s="4"/>
      <c r="K2" s="3"/>
    </row>
    <row r="3" spans="1:14" x14ac:dyDescent="0.2">
      <c r="A3" s="2"/>
      <c r="B3" s="24"/>
      <c r="C3" s="24"/>
      <c r="D3" s="24"/>
      <c r="E3" s="24"/>
      <c r="F3" s="24"/>
      <c r="G3" s="24"/>
      <c r="H3" s="24"/>
      <c r="I3" s="24"/>
      <c r="J3" s="4"/>
      <c r="K3" s="3"/>
    </row>
    <row r="4" spans="1:14" x14ac:dyDescent="0.2">
      <c r="A4" s="2"/>
      <c r="B4" s="24"/>
      <c r="C4" s="24"/>
      <c r="D4" s="24"/>
      <c r="E4" s="24"/>
      <c r="F4" s="24"/>
      <c r="G4" s="24"/>
      <c r="H4" s="24"/>
      <c r="I4" s="24"/>
      <c r="J4" s="4"/>
      <c r="K4" s="3"/>
    </row>
    <row r="5" spans="1:14" x14ac:dyDescent="0.2">
      <c r="A5" s="2"/>
      <c r="B5" s="26"/>
      <c r="C5" s="26"/>
      <c r="D5" s="26"/>
      <c r="E5" s="26"/>
      <c r="F5" s="26"/>
      <c r="G5" s="26"/>
      <c r="H5" s="26"/>
      <c r="I5" s="26"/>
      <c r="J5" s="4"/>
      <c r="K5" s="3"/>
    </row>
    <row r="6" spans="1:14" x14ac:dyDescent="0.2">
      <c r="A6" s="3" t="s">
        <v>0</v>
      </c>
      <c r="B6" s="18" t="s">
        <v>0</v>
      </c>
      <c r="C6" s="18"/>
      <c r="D6" s="18"/>
      <c r="E6" s="18"/>
      <c r="F6" s="18"/>
      <c r="G6" s="18"/>
      <c r="H6" s="18"/>
      <c r="I6" s="18"/>
      <c r="J6" s="3"/>
      <c r="K6" s="3"/>
      <c r="L6" s="6" t="s">
        <v>1</v>
      </c>
      <c r="M6" s="6" t="s">
        <v>2</v>
      </c>
    </row>
    <row r="7" spans="1:14" x14ac:dyDescent="0.2">
      <c r="A7" s="3" t="s">
        <v>0</v>
      </c>
      <c r="B7" s="18" t="s">
        <v>3</v>
      </c>
      <c r="C7" s="18"/>
      <c r="D7" s="18"/>
      <c r="E7" s="18"/>
      <c r="F7" s="18"/>
      <c r="G7" s="18"/>
      <c r="H7" s="18"/>
      <c r="I7" s="18"/>
      <c r="J7" s="3"/>
      <c r="K7" s="3"/>
      <c r="L7" s="6" t="s">
        <v>1</v>
      </c>
      <c r="M7" s="6" t="s">
        <v>2</v>
      </c>
    </row>
    <row r="8" spans="1:14" x14ac:dyDescent="0.2">
      <c r="A8" s="3" t="s">
        <v>0</v>
      </c>
      <c r="B8" s="18" t="s">
        <v>0</v>
      </c>
      <c r="C8" s="18"/>
      <c r="D8" s="18"/>
      <c r="E8" s="18"/>
      <c r="F8" s="18"/>
      <c r="G8" s="18"/>
      <c r="H8" s="18"/>
      <c r="I8" s="18"/>
      <c r="J8" s="3"/>
      <c r="K8" s="3"/>
      <c r="L8" s="6" t="s">
        <v>1</v>
      </c>
      <c r="M8" s="6" t="s">
        <v>2</v>
      </c>
    </row>
    <row r="9" spans="1:14" x14ac:dyDescent="0.2">
      <c r="A9" s="3" t="s">
        <v>0</v>
      </c>
      <c r="B9" s="18" t="s">
        <v>0</v>
      </c>
      <c r="C9" s="18"/>
      <c r="D9" s="18"/>
      <c r="E9" s="18"/>
      <c r="F9" s="18"/>
      <c r="G9" s="18"/>
      <c r="H9" s="18"/>
      <c r="I9" s="18"/>
      <c r="J9" s="3"/>
      <c r="K9" s="3"/>
      <c r="L9" s="6" t="s">
        <v>1</v>
      </c>
      <c r="M9" s="6" t="s">
        <v>2</v>
      </c>
    </row>
    <row r="10" spans="1:14" x14ac:dyDescent="0.2">
      <c r="A10" s="3" t="s">
        <v>0</v>
      </c>
      <c r="B10" s="5" t="s">
        <v>4</v>
      </c>
      <c r="C10" s="5"/>
      <c r="D10" s="5" t="s">
        <v>5</v>
      </c>
      <c r="E10" s="5"/>
      <c r="F10" s="17" t="s">
        <v>93</v>
      </c>
      <c r="G10" s="5"/>
      <c r="H10" s="5"/>
      <c r="I10" s="5"/>
      <c r="J10" s="3"/>
      <c r="K10" s="3"/>
      <c r="L10" s="6" t="s">
        <v>1</v>
      </c>
      <c r="M10" s="6" t="s">
        <v>2</v>
      </c>
    </row>
    <row r="11" spans="1:14" x14ac:dyDescent="0.2">
      <c r="A11" s="3" t="s">
        <v>0</v>
      </c>
      <c r="B11" s="18" t="s">
        <v>0</v>
      </c>
      <c r="C11" s="18"/>
      <c r="D11" s="18"/>
      <c r="E11" s="18"/>
      <c r="F11" s="18"/>
      <c r="G11" s="18"/>
      <c r="H11" s="18"/>
      <c r="I11" s="18"/>
      <c r="J11" s="3"/>
      <c r="K11" s="3"/>
      <c r="L11" s="6" t="s">
        <v>1</v>
      </c>
      <c r="M11" s="6" t="s">
        <v>2</v>
      </c>
    </row>
    <row r="12" spans="1:14" x14ac:dyDescent="0.2">
      <c r="A12" s="8"/>
      <c r="B12" s="9" t="s">
        <v>6</v>
      </c>
      <c r="C12" s="9" t="s">
        <v>0</v>
      </c>
      <c r="D12" s="9" t="s">
        <v>7</v>
      </c>
      <c r="E12" s="9" t="s">
        <v>0</v>
      </c>
      <c r="F12" s="9" t="s">
        <v>8</v>
      </c>
      <c r="G12" s="9"/>
      <c r="H12" s="9"/>
      <c r="I12" s="9"/>
      <c r="J12" s="4"/>
      <c r="K12" s="3"/>
    </row>
    <row r="13" spans="1:14" ht="6.4" hidden="1" customHeight="1" x14ac:dyDescent="0.2">
      <c r="A13" s="8"/>
      <c r="B13" s="20"/>
      <c r="C13" s="20"/>
      <c r="D13" s="20"/>
      <c r="E13" s="20"/>
      <c r="F13" s="20"/>
      <c r="G13" s="20"/>
      <c r="H13" s="20"/>
      <c r="I13" s="20"/>
      <c r="J13" s="4"/>
      <c r="K13" s="3"/>
    </row>
    <row r="14" spans="1:14" hidden="1" x14ac:dyDescent="0.2">
      <c r="A14" s="8"/>
      <c r="B14" s="10" t="s">
        <v>4</v>
      </c>
      <c r="C14" s="10"/>
      <c r="D14" s="10" t="s">
        <v>5</v>
      </c>
      <c r="E14" s="10"/>
      <c r="F14" s="7"/>
      <c r="G14" s="10"/>
      <c r="H14" s="10"/>
      <c r="I14" s="10"/>
      <c r="J14" s="4"/>
      <c r="K14" s="3"/>
      <c r="L14" s="6" t="s">
        <v>9</v>
      </c>
    </row>
    <row r="15" spans="1:14" ht="6.4" customHeight="1" x14ac:dyDescent="0.2">
      <c r="A15" s="8"/>
      <c r="B15" s="20"/>
      <c r="C15" s="20"/>
      <c r="D15" s="20"/>
      <c r="E15" s="20"/>
      <c r="F15" s="20"/>
      <c r="G15" s="20"/>
      <c r="H15" s="20"/>
      <c r="I15" s="20"/>
      <c r="J15" s="4"/>
      <c r="K15" s="3"/>
    </row>
    <row r="16" spans="1:14" ht="25.5" x14ac:dyDescent="0.2">
      <c r="A16" s="8"/>
      <c r="B16" s="11" t="s">
        <v>10</v>
      </c>
      <c r="C16" s="10" t="s">
        <v>0</v>
      </c>
      <c r="D16" s="11" t="s">
        <v>11</v>
      </c>
      <c r="E16" s="10" t="s">
        <v>0</v>
      </c>
      <c r="F16" s="21"/>
      <c r="G16" s="22"/>
      <c r="H16" s="23"/>
      <c r="I16" s="10"/>
      <c r="J16" s="4"/>
      <c r="K16" s="3"/>
      <c r="L16" s="6" t="s">
        <v>9</v>
      </c>
      <c r="N16" s="6" t="s">
        <v>12</v>
      </c>
    </row>
    <row r="17" spans="1:14" ht="6.4" customHeight="1" x14ac:dyDescent="0.2">
      <c r="A17" s="8"/>
      <c r="B17" s="20"/>
      <c r="C17" s="20"/>
      <c r="D17" s="20"/>
      <c r="E17" s="20"/>
      <c r="F17" s="20"/>
      <c r="G17" s="20"/>
      <c r="H17" s="20"/>
      <c r="I17" s="20"/>
      <c r="J17" s="4"/>
      <c r="K17" s="3"/>
    </row>
    <row r="18" spans="1:14" x14ac:dyDescent="0.2">
      <c r="A18" s="8"/>
      <c r="B18" s="9" t="s">
        <v>6</v>
      </c>
      <c r="C18" s="9"/>
      <c r="D18" s="9" t="s">
        <v>7</v>
      </c>
      <c r="E18" s="9"/>
      <c r="F18" s="9" t="s">
        <v>8</v>
      </c>
      <c r="G18" s="9"/>
      <c r="H18" s="9" t="s">
        <v>13</v>
      </c>
      <c r="I18" s="9"/>
      <c r="J18" s="4"/>
      <c r="K18" s="3"/>
    </row>
    <row r="19" spans="1:14" x14ac:dyDescent="0.2">
      <c r="A19" s="8"/>
      <c r="B19" s="20"/>
      <c r="C19" s="20"/>
      <c r="D19" s="20"/>
      <c r="E19" s="20"/>
      <c r="F19" s="20"/>
      <c r="G19" s="20"/>
      <c r="H19" s="12" t="str">
        <f>IF(F20=B32000,C32000,"")&amp;IF(F20=B32001,C32001,"")&amp;IF(F20=B32002,C32002,"")&amp;IF(F20=B32003,C32003,"")&amp;IF(F20=B32004,C32004,"")</f>
        <v>Comments:</v>
      </c>
      <c r="I19" s="10"/>
      <c r="J19" s="4"/>
      <c r="K19" s="3"/>
      <c r="M19" s="13" t="str">
        <f>IF(F20=B32000,E32000,"")&amp;IF(F20=B32001,E32001,"")&amp;IF(F20=B32002,E32002,"")&amp;IF(F20=B32003,E32003,"")&amp;IF(F20=B32004,E32004,"")</f>
        <v>1</v>
      </c>
    </row>
    <row r="20" spans="1:14" ht="63.75" x14ac:dyDescent="0.2">
      <c r="A20" s="8"/>
      <c r="B20" s="11" t="s">
        <v>14</v>
      </c>
      <c r="C20" s="10"/>
      <c r="D20" s="11" t="s">
        <v>15</v>
      </c>
      <c r="E20" s="10"/>
      <c r="F20" s="7" t="s">
        <v>78</v>
      </c>
      <c r="G20" s="10" t="s">
        <v>16</v>
      </c>
      <c r="H20" s="14" t="s">
        <v>94</v>
      </c>
      <c r="I20" s="10"/>
      <c r="J20" s="15" t="str">
        <f>IF(F20=B32000,D32000,"")&amp;IF(F20=B32001,D32001,"")&amp;IF(F20=B32002,D32002,"")&amp;IF(F20=B32003,D32003,"")&amp;IF(F20=B32004,D32004,"")</f>
        <v>Attach related documentation</v>
      </c>
      <c r="K20" s="3"/>
      <c r="L20" s="6" t="s">
        <v>17</v>
      </c>
      <c r="N20" s="6" t="s">
        <v>18</v>
      </c>
    </row>
    <row r="21" spans="1:14" x14ac:dyDescent="0.2">
      <c r="A21" s="8"/>
      <c r="B21" s="20"/>
      <c r="C21" s="20"/>
      <c r="D21" s="20"/>
      <c r="E21" s="20"/>
      <c r="F21" s="20"/>
      <c r="G21" s="20"/>
      <c r="H21" s="12" t="str">
        <f>IF(F22=B32005,C32005,"")&amp;IF(F22=B32006,C32006,"")&amp;IF(F22=B32007,C32007,"")&amp;IF(F22=B32008,C32008,"")&amp;IF(F22=B32009,C32009,"")</f>
        <v>Comments:</v>
      </c>
      <c r="I21" s="10"/>
      <c r="J21" s="4"/>
      <c r="K21" s="3"/>
      <c r="M21" s="13" t="str">
        <f>IF(F22=B32005,E32005,"")&amp;IF(F22=B32006,E32006,"")&amp;IF(F22=B32007,E32007,"")&amp;IF(F22=B32008,E32008,"")&amp;IF(F22=B32009,E32009,"")</f>
        <v>1</v>
      </c>
    </row>
    <row r="22" spans="1:14" ht="38.25" x14ac:dyDescent="0.2">
      <c r="A22" s="8"/>
      <c r="B22" s="11" t="s">
        <v>19</v>
      </c>
      <c r="C22" s="10"/>
      <c r="D22" s="11" t="s">
        <v>20</v>
      </c>
      <c r="E22" s="10"/>
      <c r="F22" s="7" t="s">
        <v>76</v>
      </c>
      <c r="G22" s="10" t="s">
        <v>16</v>
      </c>
      <c r="H22" s="14" t="s">
        <v>95</v>
      </c>
      <c r="I22" s="10"/>
      <c r="J22" s="15" t="str">
        <f>IF(F22=B32005,D32005,"")&amp;IF(F22=B32006,D32006,"")&amp;IF(F22=B32007,D32007,"")&amp;IF(F22=B32008,D32008,"")&amp;IF(F22=B32009,D32009,"")</f>
        <v>Attach related documentation</v>
      </c>
      <c r="K22" s="3"/>
      <c r="L22" s="6" t="s">
        <v>17</v>
      </c>
      <c r="N22" s="6" t="s">
        <v>21</v>
      </c>
    </row>
    <row r="23" spans="1:14" x14ac:dyDescent="0.2">
      <c r="A23" s="8"/>
      <c r="B23" s="20"/>
      <c r="C23" s="20"/>
      <c r="D23" s="20"/>
      <c r="E23" s="20"/>
      <c r="F23" s="20"/>
      <c r="G23" s="20"/>
      <c r="H23" s="12" t="str">
        <f>IF(F24=B32010,C32010,"")&amp;IF(F24=B32011,C32011,"")&amp;IF(F24=B32012,C32012,"")&amp;IF(F24=B32013,C32013,"")&amp;IF(F24=B32014,C32014,"")</f>
        <v>Comments:</v>
      </c>
      <c r="I23" s="10"/>
      <c r="J23" s="4"/>
      <c r="K23" s="3"/>
      <c r="M23" s="13" t="str">
        <f>IF(F24=B32010,E32010,"")&amp;IF(F24=B32011,E32011,"")&amp;IF(F24=B32012,E32012,"")&amp;IF(F24=B32013,E32013,"")&amp;IF(F24=B32014,E32014,"")</f>
        <v>1</v>
      </c>
    </row>
    <row r="24" spans="1:14" ht="51" x14ac:dyDescent="0.2">
      <c r="A24" s="8"/>
      <c r="B24" s="11" t="s">
        <v>22</v>
      </c>
      <c r="C24" s="10"/>
      <c r="D24" s="11" t="s">
        <v>23</v>
      </c>
      <c r="E24" s="10"/>
      <c r="F24" s="7" t="s">
        <v>79</v>
      </c>
      <c r="G24" s="10" t="s">
        <v>16</v>
      </c>
      <c r="H24" s="14" t="s">
        <v>96</v>
      </c>
      <c r="I24" s="10"/>
      <c r="J24" s="15" t="str">
        <f>IF(F24=B32010,D32010,"")&amp;IF(F24=B32011,D32011,"")&amp;IF(F24=B32012,D32012,"")&amp;IF(F24=B32013,D32013,"")&amp;IF(F24=B32014,D32014,"")</f>
        <v>Attach related documentation</v>
      </c>
      <c r="K24" s="3"/>
      <c r="L24" s="6" t="s">
        <v>17</v>
      </c>
      <c r="N24" s="6" t="s">
        <v>24</v>
      </c>
    </row>
    <row r="25" spans="1:14" x14ac:dyDescent="0.2">
      <c r="A25" s="8"/>
      <c r="B25" s="20"/>
      <c r="C25" s="20"/>
      <c r="D25" s="20"/>
      <c r="E25" s="20"/>
      <c r="F25" s="20"/>
      <c r="G25" s="20"/>
      <c r="H25" s="12" t="str">
        <f>IF(F26=B32015,C32015,"")&amp;IF(F26=B32016,C32016,"")&amp;IF(F26=B32017,C32017,"")&amp;IF(F26=B32018,C32018,"")&amp;IF(F26=B32019,C32019,"")</f>
        <v>Comments:</v>
      </c>
      <c r="I25" s="10"/>
      <c r="J25" s="4"/>
      <c r="K25" s="3"/>
      <c r="M25" s="13" t="str">
        <f>IF(F26=B32015,E32015,"")&amp;IF(F26=B32016,E32016,"")&amp;IF(F26=B32017,E32017,"")&amp;IF(F26=B32018,E32018,"")&amp;IF(F26=B32019,E32019,"")</f>
        <v>1</v>
      </c>
    </row>
    <row r="26" spans="1:14" ht="38.25" x14ac:dyDescent="0.2">
      <c r="A26" s="8"/>
      <c r="B26" s="11" t="s">
        <v>25</v>
      </c>
      <c r="C26" s="10"/>
      <c r="D26" s="11" t="s">
        <v>26</v>
      </c>
      <c r="E26" s="10"/>
      <c r="F26" s="7" t="s">
        <v>72</v>
      </c>
      <c r="G26" s="10" t="s">
        <v>16</v>
      </c>
      <c r="H26" s="14" t="s">
        <v>97</v>
      </c>
      <c r="I26" s="10"/>
      <c r="J26" s="15" t="str">
        <f>IF(F26=B32015,D32015,"")&amp;IF(F26=B32016,D32016,"")&amp;IF(F26=B32017,D32017,"")&amp;IF(F26=B32018,D32018,"")&amp;IF(F26=B32019,D32019,"")</f>
        <v>Attach related documentation</v>
      </c>
      <c r="K26" s="3"/>
      <c r="L26" s="6" t="s">
        <v>17</v>
      </c>
      <c r="N26" s="6" t="s">
        <v>27</v>
      </c>
    </row>
    <row r="27" spans="1:14" x14ac:dyDescent="0.2">
      <c r="A27" s="8"/>
      <c r="B27" s="20"/>
      <c r="C27" s="20"/>
      <c r="D27" s="20"/>
      <c r="E27" s="20"/>
      <c r="F27" s="20"/>
      <c r="G27" s="20"/>
      <c r="H27" s="12" t="str">
        <f>IF(F28=B32020,C32020,"")&amp;IF(F28=B32021,C32021,"")&amp;IF(F28=B32022,C32022,"")&amp;IF(F28=B32023,C32023,"")&amp;IF(F28=B32024,C32024,"")&amp;IF(F28=B32025,C32025,"")&amp;IF(F28=B32026,C32026,"")</f>
        <v>Comments:</v>
      </c>
      <c r="I27" s="10"/>
      <c r="J27" s="4"/>
      <c r="K27" s="3"/>
      <c r="M27" s="13" t="str">
        <f>IF(F28=B32020,E32020,"")&amp;IF(F28=B32021,E32021,"")&amp;IF(F28=B32022,E32022,"")&amp;IF(F28=B32023,E32023,"")&amp;IF(F28=B32024,E32024,"")&amp;IF(F28=B32025,E32025,"")&amp;IF(F28=B32026,E32026,"")</f>
        <v>1</v>
      </c>
    </row>
    <row r="28" spans="1:14" ht="25.5" x14ac:dyDescent="0.2">
      <c r="A28" s="8"/>
      <c r="B28" s="11" t="s">
        <v>28</v>
      </c>
      <c r="C28" s="10"/>
      <c r="D28" s="11" t="s">
        <v>29</v>
      </c>
      <c r="E28" s="10"/>
      <c r="F28" s="7" t="s">
        <v>84</v>
      </c>
      <c r="G28" s="10" t="s">
        <v>16</v>
      </c>
      <c r="H28" s="14"/>
      <c r="I28" s="10"/>
      <c r="J28" s="15" t="str">
        <f>IF(F28=B32020,D32020,"")&amp;IF(F28=B32021,D32021,"")&amp;IF(F28=B32022,D32022,"")&amp;IF(F28=B32023,D32023,"")&amp;IF(F28=B32024,D32024,"")&amp;IF(F28=B32025,D32025,"")&amp;IF(F28=B32026,D32026,"")</f>
        <v>Attach related documentation</v>
      </c>
      <c r="K28" s="3"/>
      <c r="L28" s="6" t="s">
        <v>17</v>
      </c>
      <c r="N28" s="6" t="s">
        <v>30</v>
      </c>
    </row>
    <row r="29" spans="1:14" x14ac:dyDescent="0.2">
      <c r="A29" s="8"/>
      <c r="B29" s="20"/>
      <c r="C29" s="20"/>
      <c r="D29" s="20"/>
      <c r="E29" s="20"/>
      <c r="F29" s="20"/>
      <c r="G29" s="20"/>
      <c r="H29" s="12" t="str">
        <f>IF(F30=B32027,C32027,"")&amp;IF(F30=B32028,C32028,"")&amp;IF(F30=B32029,C32029,"")&amp;IF(F30=B32030,C32030,"")&amp;IF(F30=B32031,C32031,"")&amp;IF(F30=B32032,C32032,"")&amp;IF(F30=B32033,C32033,"")</f>
        <v>Comments:</v>
      </c>
      <c r="I29" s="10"/>
      <c r="J29" s="4"/>
      <c r="K29" s="3"/>
      <c r="M29" s="13" t="str">
        <f>IF(F30=B32027,E32027,"")&amp;IF(F30=B32028,E32028,"")&amp;IF(F30=B32029,E32029,"")&amp;IF(F30=B32030,E32030,"")&amp;IF(F30=B32031,E32031,"")&amp;IF(F30=B32032,E32032,"")&amp;IF(F30=B32033,E32033,"")</f>
        <v>1</v>
      </c>
    </row>
    <row r="30" spans="1:14" ht="25.5" x14ac:dyDescent="0.2">
      <c r="A30" s="8"/>
      <c r="B30" s="11" t="s">
        <v>31</v>
      </c>
      <c r="C30" s="10"/>
      <c r="D30" s="11" t="s">
        <v>32</v>
      </c>
      <c r="E30" s="10"/>
      <c r="F30" s="7" t="s">
        <v>84</v>
      </c>
      <c r="G30" s="10" t="s">
        <v>16</v>
      </c>
      <c r="H30" s="14"/>
      <c r="I30" s="10"/>
      <c r="J30" s="15" t="str">
        <f>IF(F30=B32027,D32027,"")&amp;IF(F30=B32028,D32028,"")&amp;IF(F30=B32029,D32029,"")&amp;IF(F30=B32030,D32030,"")&amp;IF(F30=B32031,D32031,"")&amp;IF(F30=B32032,D32032,"")&amp;IF(F30=B32033,D32033,"")</f>
        <v>Attach related documentation</v>
      </c>
      <c r="K30" s="3"/>
      <c r="L30" s="6" t="s">
        <v>17</v>
      </c>
      <c r="N30" s="6" t="s">
        <v>33</v>
      </c>
    </row>
    <row r="31" spans="1:14" x14ac:dyDescent="0.2">
      <c r="A31" s="8"/>
      <c r="B31" s="20"/>
      <c r="C31" s="20"/>
      <c r="D31" s="20"/>
      <c r="E31" s="20"/>
      <c r="F31" s="20"/>
      <c r="G31" s="20"/>
      <c r="H31" s="12" t="str">
        <f>IF(F32=B32034,C32034,"")&amp;IF(F32=B32035,C32035,"")&amp;IF(F32=B32036,C32036,"")&amp;IF(F32=B32037,C32037,"")&amp;IF(F32=B32038,C32038,"")</f>
        <v>Comments:</v>
      </c>
      <c r="I31" s="10"/>
      <c r="J31" s="4"/>
      <c r="K31" s="3"/>
      <c r="M31" s="13" t="str">
        <f>IF(F32=B32034,E32034,"")&amp;IF(F32=B32035,E32035,"")&amp;IF(F32=B32036,E32036,"")&amp;IF(F32=B32037,E32037,"")&amp;IF(F32=B32038,E32038,"")</f>
        <v>1</v>
      </c>
    </row>
    <row r="32" spans="1:14" ht="38.25" x14ac:dyDescent="0.2">
      <c r="A32" s="8"/>
      <c r="B32" s="11" t="s">
        <v>34</v>
      </c>
      <c r="C32" s="10"/>
      <c r="D32" s="11" t="s">
        <v>35</v>
      </c>
      <c r="E32" s="10"/>
      <c r="F32" s="7" t="s">
        <v>72</v>
      </c>
      <c r="G32" s="10" t="s">
        <v>16</v>
      </c>
      <c r="H32" s="14"/>
      <c r="I32" s="10"/>
      <c r="J32" s="15" t="str">
        <f>IF(F32=B32034,D32034,"")&amp;IF(F32=B32035,D32035,"")&amp;IF(F32=B32036,D32036,"")&amp;IF(F32=B32037,D32037,"")&amp;IF(F32=B32038,D32038,"")</f>
        <v>Attach related documentation</v>
      </c>
      <c r="K32" s="3"/>
      <c r="L32" s="6" t="s">
        <v>17</v>
      </c>
      <c r="N32" s="6" t="s">
        <v>36</v>
      </c>
    </row>
    <row r="33" spans="1:14" x14ac:dyDescent="0.2">
      <c r="A33" s="8"/>
      <c r="B33" s="20"/>
      <c r="C33" s="20"/>
      <c r="D33" s="20"/>
      <c r="E33" s="20"/>
      <c r="F33" s="20"/>
      <c r="G33" s="20"/>
      <c r="H33" s="12" t="str">
        <f>IF(F34=B32039,C32039,"")&amp;IF(F34=B32040,C32040,"")&amp;IF(F34=B32041,C32041,"")&amp;IF(F34=B32042,C32042,"")&amp;IF(F34=B32043,C32043,"")&amp;IF(F34=B32044,C32044,"")&amp;IF(F34=B32045,C32045,"")</f>
        <v>Comments:</v>
      </c>
      <c r="I33" s="10"/>
      <c r="J33" s="4"/>
      <c r="K33" s="3"/>
      <c r="M33" s="13" t="str">
        <f>IF(F34=B32039,E32039,"")&amp;IF(F34=B32040,E32040,"")&amp;IF(F34=B32041,E32041,"")&amp;IF(F34=B32042,E32042,"")&amp;IF(F34=B32043,E32043,"")&amp;IF(F34=B32044,E32044,"")&amp;IF(F34=B32045,E32045,"")</f>
        <v>1</v>
      </c>
    </row>
    <row r="34" spans="1:14" ht="38.25" x14ac:dyDescent="0.2">
      <c r="A34" s="8"/>
      <c r="B34" s="11" t="s">
        <v>37</v>
      </c>
      <c r="C34" s="10"/>
      <c r="D34" s="11" t="s">
        <v>38</v>
      </c>
      <c r="E34" s="10"/>
      <c r="F34" s="7" t="s">
        <v>82</v>
      </c>
      <c r="G34" s="10" t="s">
        <v>16</v>
      </c>
      <c r="H34" s="14"/>
      <c r="I34" s="10"/>
      <c r="J34" s="15" t="str">
        <f>IF(F34=B32039,D32039,"")&amp;IF(F34=B32040,D32040,"")&amp;IF(F34=B32041,D32041,"")&amp;IF(F34=B32042,D32042,"")&amp;IF(F34=B32043,D32043,"")&amp;IF(F34=B32044,D32044,"")&amp;IF(F34=B32045,D32045,"")</f>
        <v>Attach related documentation</v>
      </c>
      <c r="K34" s="3"/>
      <c r="L34" s="6" t="s">
        <v>17</v>
      </c>
      <c r="N34" s="6" t="s">
        <v>39</v>
      </c>
    </row>
    <row r="35" spans="1:14" x14ac:dyDescent="0.2">
      <c r="A35" s="8"/>
      <c r="B35" s="20"/>
      <c r="C35" s="20"/>
      <c r="D35" s="20"/>
      <c r="E35" s="20"/>
      <c r="F35" s="20"/>
      <c r="G35" s="20"/>
      <c r="H35" s="12" t="str">
        <f>IF(F36=B32046,C32046,"")&amp;IF(F36=B32047,C32047,"")&amp;IF(F36=B32048,C32048,"")&amp;IF(F36=B32049,C32049,"")&amp;IF(F36=B32050,C32050,"")&amp;IF(F36=B32051,C32051,"")&amp;IF(F36=B32052,C32052,"")</f>
        <v>Comments:</v>
      </c>
      <c r="I35" s="10"/>
      <c r="J35" s="4"/>
      <c r="K35" s="3"/>
      <c r="M35" s="13" t="str">
        <f>IF(F36=B32046,E32046,"")&amp;IF(F36=B32047,E32047,"")&amp;IF(F36=B32048,E32048,"")&amp;IF(F36=B32049,E32049,"")&amp;IF(F36=B32050,E32050,"")&amp;IF(F36=B32051,E32051,"")&amp;IF(F36=B32052,E32052,"")</f>
        <v>1</v>
      </c>
    </row>
    <row r="36" spans="1:14" ht="76.5" x14ac:dyDescent="0.2">
      <c r="A36" s="8"/>
      <c r="B36" s="11" t="s">
        <v>40</v>
      </c>
      <c r="C36" s="10"/>
      <c r="D36" s="11" t="s">
        <v>41</v>
      </c>
      <c r="E36" s="10"/>
      <c r="F36" s="7" t="s">
        <v>83</v>
      </c>
      <c r="G36" s="10" t="s">
        <v>16</v>
      </c>
      <c r="H36" s="14" t="s">
        <v>98</v>
      </c>
      <c r="I36" s="10"/>
      <c r="J36" s="15" t="str">
        <f>IF(F36=B32046,D32046,"")&amp;IF(F36=B32047,D32047,"")&amp;IF(F36=B32048,D32048,"")&amp;IF(F36=B32049,D32049,"")&amp;IF(F36=B32050,D32050,"")&amp;IF(F36=B32051,D32051,"")&amp;IF(F36=B32052,D32052,"")</f>
        <v>Attach related documentation</v>
      </c>
      <c r="K36" s="3"/>
      <c r="L36" s="6" t="s">
        <v>17</v>
      </c>
      <c r="N36" s="6" t="s">
        <v>42</v>
      </c>
    </row>
    <row r="37" spans="1:14" x14ac:dyDescent="0.2">
      <c r="A37" s="8"/>
      <c r="B37" s="20"/>
      <c r="C37" s="20"/>
      <c r="D37" s="20"/>
      <c r="E37" s="20"/>
      <c r="F37" s="20"/>
      <c r="G37" s="20"/>
      <c r="H37" s="12" t="str">
        <f>IF(F38=B32053,C32053,"")&amp;IF(F38=B32054,C32054,"")&amp;IF(F38=B32055,C32055,"")&amp;IF(F38=B32056,C32056,"")&amp;IF(F38=B32057,C32057,"")</f>
        <v>Comments:</v>
      </c>
      <c r="I37" s="10"/>
      <c r="J37" s="4"/>
      <c r="K37" s="3"/>
      <c r="M37" s="13" t="str">
        <f>IF(F38=B32053,E32053,"")&amp;IF(F38=B32054,E32054,"")&amp;IF(F38=B32055,E32055,"")&amp;IF(F38=B32056,E32056,"")&amp;IF(F38=B32057,E32057,"")</f>
        <v>1</v>
      </c>
    </row>
    <row r="38" spans="1:14" ht="25.5" x14ac:dyDescent="0.2">
      <c r="A38" s="8"/>
      <c r="B38" s="11" t="s">
        <v>43</v>
      </c>
      <c r="C38" s="10"/>
      <c r="D38" s="11" t="s">
        <v>44</v>
      </c>
      <c r="E38" s="10"/>
      <c r="F38" s="7" t="s">
        <v>78</v>
      </c>
      <c r="G38" s="10" t="s">
        <v>16</v>
      </c>
      <c r="H38" s="14"/>
      <c r="I38" s="10"/>
      <c r="J38" s="15" t="str">
        <f>IF(F38=B32053,D32053,"")&amp;IF(F38=B32054,D32054,"")&amp;IF(F38=B32055,D32055,"")&amp;IF(F38=B32056,D32056,"")&amp;IF(F38=B32057,D32057,"")</f>
        <v>Attach related documentation</v>
      </c>
      <c r="K38" s="3"/>
      <c r="L38" s="6" t="s">
        <v>17</v>
      </c>
      <c r="N38" s="6" t="s">
        <v>45</v>
      </c>
    </row>
    <row r="39" spans="1:14" x14ac:dyDescent="0.2">
      <c r="A39" s="8"/>
      <c r="B39" s="20"/>
      <c r="C39" s="20"/>
      <c r="D39" s="20"/>
      <c r="E39" s="20"/>
      <c r="F39" s="20"/>
      <c r="G39" s="20"/>
      <c r="H39" s="12" t="str">
        <f>IF(F40=B32058,C32058,"")&amp;IF(F40=B32059,C32059,"")&amp;IF(F40=B32060,C32060,"")&amp;IF(F40=B32061,C32061,"")&amp;IF(F40=B32062,C32062,"")&amp;IF(F40=B32063,C32063,"")&amp;IF(F40=B32064,C32064,"")</f>
        <v>Comments:</v>
      </c>
      <c r="I39" s="10"/>
      <c r="J39" s="4"/>
      <c r="K39" s="3"/>
      <c r="M39" s="13" t="str">
        <f>IF(F40=B32058,E32058,"")&amp;IF(F40=B32059,E32059,"")&amp;IF(F40=B32060,E32060,"")&amp;IF(F40=B32061,E32061,"")&amp;IF(F40=B32062,E32062,"")&amp;IF(F40=B32063,E32063,"")&amp;IF(F40=B32064,E32064,"")</f>
        <v>1</v>
      </c>
    </row>
    <row r="40" spans="1:14" ht="76.5" x14ac:dyDescent="0.2">
      <c r="A40" s="8"/>
      <c r="B40" s="11" t="s">
        <v>46</v>
      </c>
      <c r="C40" s="10"/>
      <c r="D40" s="11" t="s">
        <v>47</v>
      </c>
      <c r="E40" s="10"/>
      <c r="F40" s="7" t="s">
        <v>84</v>
      </c>
      <c r="G40" s="10" t="s">
        <v>16</v>
      </c>
      <c r="H40" s="14" t="s">
        <v>99</v>
      </c>
      <c r="I40" s="10"/>
      <c r="J40" s="15" t="str">
        <f>IF(F40=B32058,D32058,"")&amp;IF(F40=B32059,D32059,"")&amp;IF(F40=B32060,D32060,"")&amp;IF(F40=B32061,D32061,"")&amp;IF(F40=B32062,D32062,"")&amp;IF(F40=B32063,D32063,"")&amp;IF(F40=B32064,D32064,"")</f>
        <v>Attach related documentation</v>
      </c>
      <c r="K40" s="3"/>
      <c r="L40" s="6" t="s">
        <v>17</v>
      </c>
      <c r="N40" s="6" t="s">
        <v>48</v>
      </c>
    </row>
    <row r="41" spans="1:14" ht="25.5" x14ac:dyDescent="0.2">
      <c r="A41" s="8"/>
      <c r="B41" s="20"/>
      <c r="C41" s="20"/>
      <c r="D41" s="20"/>
      <c r="E41" s="20"/>
      <c r="F41" s="20"/>
      <c r="G41" s="20"/>
      <c r="H41" s="12" t="str">
        <f>IF(F42=B32065,C32065,"")&amp;IF(F42=B32066,C32066,"")&amp;IF(F42=B32067,C32067,"")&amp;IF(F42=B32068,C32068,"")&amp;IF(F42=B32069,C32069,"")</f>
        <v>Please specify the password complexity requirements</v>
      </c>
      <c r="I41" s="10"/>
      <c r="J41" s="4"/>
      <c r="K41" s="3"/>
      <c r="M41" s="13" t="str">
        <f>IF(F42=B32065,E32065,"")&amp;IF(F42=B32066,E32066,"")&amp;IF(F42=B32067,E32067,"")&amp;IF(F42=B32068,E32068,"")&amp;IF(F42=B32069,E32069,"")</f>
        <v>2</v>
      </c>
    </row>
    <row r="42" spans="1:14" ht="51" x14ac:dyDescent="0.2">
      <c r="A42" s="8"/>
      <c r="B42" s="11" t="s">
        <v>49</v>
      </c>
      <c r="C42" s="10"/>
      <c r="D42" s="11" t="s">
        <v>50</v>
      </c>
      <c r="E42" s="10"/>
      <c r="F42" s="7" t="s">
        <v>78</v>
      </c>
      <c r="G42" s="10" t="s">
        <v>16</v>
      </c>
      <c r="H42" s="14" t="s">
        <v>100</v>
      </c>
      <c r="I42" s="10"/>
      <c r="J42" s="15" t="str">
        <f>IF(F42=B32065,D32065,"")&amp;IF(F42=B32066,D32066,"")&amp;IF(F42=B32067,D32067,"")&amp;IF(F42=B32068,D32068,"")&amp;IF(F42=B32069,D32069,"")</f>
        <v>Attach related documentation</v>
      </c>
      <c r="K42" s="3"/>
      <c r="L42" s="6" t="s">
        <v>17</v>
      </c>
      <c r="N42" s="6" t="s">
        <v>51</v>
      </c>
    </row>
    <row r="43" spans="1:14" ht="25.5" x14ac:dyDescent="0.2">
      <c r="A43" s="8"/>
      <c r="B43" s="20"/>
      <c r="C43" s="20"/>
      <c r="D43" s="20"/>
      <c r="E43" s="20"/>
      <c r="F43" s="20"/>
      <c r="G43" s="20"/>
      <c r="H43" s="12" t="str">
        <f>IF(F44=B32070,C32070,"")&amp;IF(F44=B32071,C32071,"")&amp;IF(F44=B32072,C32072,"")&amp;IF(F44=B32073,C32073,"")&amp;IF(F44=B32074,C32074,"")</f>
        <v>Please state how often is the required password change</v>
      </c>
      <c r="I43" s="10"/>
      <c r="J43" s="4"/>
      <c r="K43" s="3"/>
      <c r="M43" s="13" t="str">
        <f>IF(F44=B32070,E32070,"")&amp;IF(F44=B32071,E32071,"")&amp;IF(F44=B32072,E32072,"")&amp;IF(F44=B32073,E32073,"")&amp;IF(F44=B32074,E32074,"")</f>
        <v>2</v>
      </c>
    </row>
    <row r="44" spans="1:14" ht="51" x14ac:dyDescent="0.2">
      <c r="A44" s="8"/>
      <c r="B44" s="11" t="s">
        <v>52</v>
      </c>
      <c r="C44" s="10"/>
      <c r="D44" s="11" t="s">
        <v>53</v>
      </c>
      <c r="E44" s="10"/>
      <c r="F44" s="7" t="s">
        <v>78</v>
      </c>
      <c r="G44" s="10" t="s">
        <v>16</v>
      </c>
      <c r="H44" s="14" t="s">
        <v>100</v>
      </c>
      <c r="I44" s="10"/>
      <c r="J44" s="15" t="str">
        <f>IF(F44=B32070,D32070,"")&amp;IF(F44=B32071,D32071,"")&amp;IF(F44=B32072,D32072,"")&amp;IF(F44=B32073,D32073,"")&amp;IF(F44=B32074,D32074,"")</f>
        <v>Attach related documentation</v>
      </c>
      <c r="K44" s="3"/>
      <c r="L44" s="6" t="s">
        <v>17</v>
      </c>
      <c r="N44" s="6" t="s">
        <v>54</v>
      </c>
    </row>
    <row r="45" spans="1:14" x14ac:dyDescent="0.2">
      <c r="A45" s="8"/>
      <c r="B45" s="20"/>
      <c r="C45" s="20"/>
      <c r="D45" s="20"/>
      <c r="E45" s="20"/>
      <c r="F45" s="20"/>
      <c r="G45" s="20"/>
      <c r="H45" s="12" t="str">
        <f>IF(F46=B32075,C32075,"")&amp;IF(F46=B32076,C32076,"")&amp;IF(F46=B32077,C32077,"")&amp;IF(F46=B32078,C32078,"")&amp;IF(F46=B32079,C32079,"")</f>
        <v>Please explain</v>
      </c>
      <c r="I45" s="10"/>
      <c r="J45" s="4"/>
      <c r="K45" s="3"/>
      <c r="M45" s="13" t="str">
        <f>IF(F46=B32075,E32075,"")&amp;IF(F46=B32076,E32076,"")&amp;IF(F46=B32077,E32077,"")&amp;IF(F46=B32078,E32078,"")&amp;IF(F46=B32079,E32079,"")</f>
        <v>1</v>
      </c>
    </row>
    <row r="46" spans="1:14" ht="25.5" x14ac:dyDescent="0.2">
      <c r="A46" s="8"/>
      <c r="B46" s="11" t="s">
        <v>55</v>
      </c>
      <c r="C46" s="10"/>
      <c r="D46" s="11" t="s">
        <v>56</v>
      </c>
      <c r="E46" s="10"/>
      <c r="F46" s="7" t="s">
        <v>78</v>
      </c>
      <c r="G46" s="10" t="s">
        <v>16</v>
      </c>
      <c r="H46" s="14" t="s">
        <v>101</v>
      </c>
      <c r="I46" s="10"/>
      <c r="J46" s="15" t="str">
        <f>IF(F46=B32075,D32075,"")&amp;IF(F46=B32076,D32076,"")&amp;IF(F46=B32077,D32077,"")&amp;IF(F46=B32078,D32078,"")&amp;IF(F46=B32079,D32079,"")</f>
        <v>Attach related documentation</v>
      </c>
      <c r="K46" s="3"/>
      <c r="L46" s="6" t="s">
        <v>17</v>
      </c>
      <c r="N46" s="6" t="s">
        <v>57</v>
      </c>
    </row>
    <row r="47" spans="1:14" x14ac:dyDescent="0.2">
      <c r="A47" s="8"/>
      <c r="B47" s="20"/>
      <c r="C47" s="20"/>
      <c r="D47" s="20"/>
      <c r="E47" s="20"/>
      <c r="F47" s="20"/>
      <c r="G47" s="20"/>
      <c r="H47" s="12" t="str">
        <f>IF(F48=B32080,C32080,"")&amp;IF(F48=B32081,C32081,"")&amp;IF(F48=B32082,C32082,"")&amp;IF(F48=B32083,C32083,"")&amp;IF(F48=B32084,C32084,"")</f>
        <v>Comments:</v>
      </c>
      <c r="I47" s="10"/>
      <c r="J47" s="4"/>
      <c r="K47" s="3"/>
      <c r="M47" s="13" t="str">
        <f>IF(F48=B32080,E32080,"")&amp;IF(F48=B32081,E32081,"")&amp;IF(F48=B32082,E32082,"")&amp;IF(F48=B32083,E32083,"")&amp;IF(F48=B32084,E32084,"")</f>
        <v>1</v>
      </c>
    </row>
    <row r="48" spans="1:14" ht="25.5" x14ac:dyDescent="0.2">
      <c r="A48" s="8"/>
      <c r="B48" s="11" t="s">
        <v>58</v>
      </c>
      <c r="C48" s="10"/>
      <c r="D48" s="11" t="s">
        <v>59</v>
      </c>
      <c r="E48" s="10"/>
      <c r="F48" s="7" t="s">
        <v>78</v>
      </c>
      <c r="G48" s="10" t="s">
        <v>16</v>
      </c>
      <c r="H48" s="14"/>
      <c r="I48" s="10"/>
      <c r="J48" s="15" t="str">
        <f>IF(F48=B32080,D32080,"")&amp;IF(F48=B32081,D32081,"")&amp;IF(F48=B32082,D32082,"")&amp;IF(F48=B32083,D32083,"")&amp;IF(F48=B32084,D32084,"")</f>
        <v>Attach related documentation</v>
      </c>
      <c r="K48" s="3"/>
      <c r="L48" s="6" t="s">
        <v>17</v>
      </c>
      <c r="N48" s="6" t="s">
        <v>60</v>
      </c>
    </row>
    <row r="49" spans="1:14" x14ac:dyDescent="0.2">
      <c r="A49" s="8"/>
      <c r="B49" s="20"/>
      <c r="C49" s="20"/>
      <c r="D49" s="20"/>
      <c r="E49" s="20"/>
      <c r="F49" s="20"/>
      <c r="G49" s="20"/>
      <c r="H49" s="12" t="str">
        <f>IF(F50=B32085,C32085,"")&amp;IF(F50=B32086,C32086,"")&amp;IF(F50=B32087,C32087,"")&amp;IF(F50=B32088,C32088,"")&amp;IF(F50=B32089,C32089,"")</f>
        <v>Please explain</v>
      </c>
      <c r="I49" s="10"/>
      <c r="J49" s="4"/>
      <c r="K49" s="3"/>
      <c r="M49" s="13" t="str">
        <f>IF(F50=B32085,E32085,"")&amp;IF(F50=B32086,E32086,"")&amp;IF(F50=B32087,E32087,"")&amp;IF(F50=B32088,E32088,"")&amp;IF(F50=B32089,E32089,"")</f>
        <v>2</v>
      </c>
    </row>
    <row r="50" spans="1:14" ht="25.5" x14ac:dyDescent="0.2">
      <c r="A50" s="8"/>
      <c r="B50" s="11" t="s">
        <v>61</v>
      </c>
      <c r="C50" s="10"/>
      <c r="D50" s="11" t="s">
        <v>62</v>
      </c>
      <c r="E50" s="10"/>
      <c r="F50" s="7" t="s">
        <v>77</v>
      </c>
      <c r="G50" s="10" t="s">
        <v>16</v>
      </c>
      <c r="H50" s="14" t="s">
        <v>102</v>
      </c>
      <c r="I50" s="10"/>
      <c r="J50" s="15" t="str">
        <f>IF(F50=B32085,D32085,"")&amp;IF(F50=B32086,D32086,"")&amp;IF(F50=B32087,D32087,"")&amp;IF(F50=B32088,D32088,"")&amp;IF(F50=B32089,D32089,"")</f>
        <v>Attach related documentation</v>
      </c>
      <c r="K50" s="3"/>
      <c r="L50" s="6" t="s">
        <v>17</v>
      </c>
      <c r="N50" s="6" t="s">
        <v>63</v>
      </c>
    </row>
    <row r="51" spans="1:14" x14ac:dyDescent="0.2">
      <c r="A51" s="8"/>
      <c r="B51" s="20"/>
      <c r="C51" s="20"/>
      <c r="D51" s="20"/>
      <c r="E51" s="20"/>
      <c r="F51" s="20"/>
      <c r="G51" s="20"/>
      <c r="H51" s="12" t="str">
        <f>IF(F52=B32090,C32090,"")&amp;IF(F52=B32091,C32091,"")&amp;IF(F52=B32092,C32092,"")&amp;IF(F52=B32093,C32093,"")&amp;IF(F52=B32094,C32094,"")</f>
        <v>Please explain</v>
      </c>
      <c r="I51" s="10"/>
      <c r="J51" s="4"/>
      <c r="K51" s="3"/>
      <c r="M51" s="13" t="str">
        <f>IF(F52=B32090,E32090,"")&amp;IF(F52=B32091,E32091,"")&amp;IF(F52=B32092,E32092,"")&amp;IF(F52=B32093,E32093,"")&amp;IF(F52=B32094,E32094,"")</f>
        <v>1</v>
      </c>
    </row>
    <row r="52" spans="1:14" ht="25.5" x14ac:dyDescent="0.2">
      <c r="A52" s="8"/>
      <c r="B52" s="11" t="s">
        <v>64</v>
      </c>
      <c r="C52" s="10"/>
      <c r="D52" s="11" t="s">
        <v>65</v>
      </c>
      <c r="E52" s="10"/>
      <c r="F52" s="7" t="s">
        <v>78</v>
      </c>
      <c r="G52" s="10" t="s">
        <v>16</v>
      </c>
      <c r="H52" s="14"/>
      <c r="I52" s="10"/>
      <c r="J52" s="15" t="str">
        <f>IF(F52=B32090,D32090,"")&amp;IF(F52=B32091,D32091,"")&amp;IF(F52=B32092,D32092,"")&amp;IF(F52=B32093,D32093,"")&amp;IF(F52=B32094,D32094,"")</f>
        <v>Attach related documentation</v>
      </c>
      <c r="K52" s="3"/>
      <c r="L52" s="6" t="s">
        <v>17</v>
      </c>
      <c r="N52" s="6" t="s">
        <v>66</v>
      </c>
    </row>
    <row r="53" spans="1:14" ht="25.5" x14ac:dyDescent="0.2">
      <c r="A53" s="8"/>
      <c r="B53" s="20"/>
      <c r="C53" s="20"/>
      <c r="D53" s="20"/>
      <c r="E53" s="20"/>
      <c r="F53" s="20"/>
      <c r="G53" s="20"/>
      <c r="H53" s="12" t="str">
        <f>IF(F54=B32095,C32095,"")&amp;IF(F54=B32096,C32096,"")&amp;IF(F54=B32097,C32097,"")&amp;IF(F54=B32098,C32098,"")&amp;IF(F54=B32099,C32099,"")</f>
        <v>Please explain why this is not applicable</v>
      </c>
      <c r="I53" s="10"/>
      <c r="J53" s="4"/>
      <c r="K53" s="3"/>
      <c r="M53" s="13" t="str">
        <f>IF(F54=B32095,E32095,"")&amp;IF(F54=B32096,E32096,"")&amp;IF(F54=B32097,E32097,"")&amp;IF(F54=B32098,E32098,"")&amp;IF(F54=B32099,E32099,"")</f>
        <v>1</v>
      </c>
    </row>
    <row r="54" spans="1:14" ht="38.25" x14ac:dyDescent="0.2">
      <c r="A54" s="8"/>
      <c r="B54" s="11" t="s">
        <v>67</v>
      </c>
      <c r="C54" s="10"/>
      <c r="D54" s="11" t="s">
        <v>68</v>
      </c>
      <c r="E54" s="10"/>
      <c r="F54" s="7" t="s">
        <v>79</v>
      </c>
      <c r="G54" s="10" t="s">
        <v>16</v>
      </c>
      <c r="H54" s="14" t="s">
        <v>99</v>
      </c>
      <c r="I54" s="10"/>
      <c r="J54" s="15" t="str">
        <f>IF(F54=B32095,D32095,"")&amp;IF(F54=B32096,D32096,"")&amp;IF(F54=B32097,D32097,"")&amp;IF(F54=B32098,D32098,"")&amp;IF(F54=B32099,D32099,"")</f>
        <v>Attach related documentation</v>
      </c>
      <c r="K54" s="3"/>
      <c r="L54" s="6" t="s">
        <v>17</v>
      </c>
      <c r="N54" s="6" t="s">
        <v>69</v>
      </c>
    </row>
    <row r="55" spans="1:14" ht="6.4" customHeight="1" x14ac:dyDescent="0.2">
      <c r="A55" s="8"/>
      <c r="B55" s="20"/>
      <c r="C55" s="20"/>
      <c r="D55" s="20"/>
      <c r="E55" s="20"/>
      <c r="F55" s="20"/>
      <c r="G55" s="20"/>
      <c r="H55" s="20"/>
      <c r="I55" s="20"/>
      <c r="J55" s="4"/>
      <c r="K55" s="3"/>
    </row>
    <row r="56" spans="1:14" x14ac:dyDescent="0.2">
      <c r="A56" s="8"/>
      <c r="J56" s="4"/>
      <c r="K56" s="3"/>
      <c r="L56" s="6" t="s">
        <v>70</v>
      </c>
    </row>
    <row r="57" spans="1:14" x14ac:dyDescent="0.2">
      <c r="A57" s="8"/>
      <c r="J57" s="4"/>
      <c r="K57" s="3"/>
      <c r="L57" s="6" t="s">
        <v>70</v>
      </c>
    </row>
    <row r="58" spans="1:14" x14ac:dyDescent="0.2">
      <c r="A58" s="8"/>
      <c r="J58" s="4"/>
      <c r="K58" s="3"/>
      <c r="L58" s="6" t="s">
        <v>70</v>
      </c>
    </row>
    <row r="59" spans="1:14" x14ac:dyDescent="0.2">
      <c r="A59" s="8"/>
      <c r="B59" s="18" t="s">
        <v>71</v>
      </c>
      <c r="C59" s="19"/>
      <c r="D59" s="19"/>
      <c r="E59" s="19"/>
      <c r="F59" s="19"/>
      <c r="G59" s="19"/>
      <c r="H59" s="19"/>
      <c r="I59" s="19"/>
      <c r="J59" s="4"/>
      <c r="K59" s="3"/>
      <c r="L59" s="6" t="s">
        <v>70</v>
      </c>
    </row>
    <row r="60" spans="1:14" x14ac:dyDescent="0.2">
      <c r="A60" s="8"/>
      <c r="J60" s="4"/>
      <c r="K60" s="3"/>
      <c r="L60" s="6" t="s">
        <v>70</v>
      </c>
    </row>
    <row r="61" spans="1:14" x14ac:dyDescent="0.2">
      <c r="B61" s="16"/>
      <c r="C61" s="16"/>
      <c r="D61" s="16"/>
      <c r="E61" s="16"/>
      <c r="F61" s="16"/>
      <c r="G61" s="16"/>
      <c r="H61" s="16"/>
      <c r="I61" s="16"/>
    </row>
    <row r="32000" spans="2:5" x14ac:dyDescent="0.2">
      <c r="B32000" s="6" t="s">
        <v>72</v>
      </c>
      <c r="C32000" s="6" t="s">
        <v>73</v>
      </c>
      <c r="D32000" s="6" t="s">
        <v>74</v>
      </c>
      <c r="E32000" s="6" t="s">
        <v>75</v>
      </c>
    </row>
    <row r="32001" spans="2:5" x14ac:dyDescent="0.2">
      <c r="B32001" s="6" t="s">
        <v>76</v>
      </c>
      <c r="C32001" s="6" t="s">
        <v>73</v>
      </c>
      <c r="D32001" s="6" t="s">
        <v>74</v>
      </c>
      <c r="E32001" s="6" t="s">
        <v>75</v>
      </c>
    </row>
    <row r="32002" spans="2:5" x14ac:dyDescent="0.2">
      <c r="B32002" s="6" t="s">
        <v>77</v>
      </c>
      <c r="C32002" s="6" t="s">
        <v>73</v>
      </c>
      <c r="D32002" s="6" t="s">
        <v>74</v>
      </c>
      <c r="E32002" s="6" t="s">
        <v>75</v>
      </c>
    </row>
    <row r="32003" spans="2:5" x14ac:dyDescent="0.2">
      <c r="B32003" s="6" t="s">
        <v>78</v>
      </c>
      <c r="C32003" s="6" t="s">
        <v>73</v>
      </c>
      <c r="D32003" s="6" t="s">
        <v>74</v>
      </c>
      <c r="E32003" s="6" t="s">
        <v>75</v>
      </c>
    </row>
    <row r="32004" spans="2:5" x14ac:dyDescent="0.2">
      <c r="B32004" s="6" t="s">
        <v>79</v>
      </c>
      <c r="C32004" s="6" t="s">
        <v>73</v>
      </c>
      <c r="D32004" s="6" t="s">
        <v>74</v>
      </c>
      <c r="E32004" s="6" t="s">
        <v>75</v>
      </c>
    </row>
    <row r="32005" spans="2:5" x14ac:dyDescent="0.2">
      <c r="B32005" s="6" t="s">
        <v>72</v>
      </c>
      <c r="C32005" s="6" t="s">
        <v>73</v>
      </c>
      <c r="D32005" s="6" t="s">
        <v>74</v>
      </c>
      <c r="E32005" s="6" t="s">
        <v>75</v>
      </c>
    </row>
    <row r="32006" spans="2:5" x14ac:dyDescent="0.2">
      <c r="B32006" s="6" t="s">
        <v>76</v>
      </c>
      <c r="C32006" s="6" t="s">
        <v>73</v>
      </c>
      <c r="D32006" s="6" t="s">
        <v>74</v>
      </c>
      <c r="E32006" s="6" t="s">
        <v>75</v>
      </c>
    </row>
    <row r="32007" spans="2:5" x14ac:dyDescent="0.2">
      <c r="B32007" s="6" t="s">
        <v>77</v>
      </c>
      <c r="C32007" s="6" t="s">
        <v>73</v>
      </c>
      <c r="D32007" s="6" t="s">
        <v>74</v>
      </c>
      <c r="E32007" s="6" t="s">
        <v>75</v>
      </c>
    </row>
    <row r="32008" spans="2:5" x14ac:dyDescent="0.2">
      <c r="B32008" s="6" t="s">
        <v>78</v>
      </c>
      <c r="C32008" s="6" t="s">
        <v>73</v>
      </c>
      <c r="D32008" s="6" t="s">
        <v>74</v>
      </c>
      <c r="E32008" s="6" t="s">
        <v>75</v>
      </c>
    </row>
    <row r="32009" spans="2:5" x14ac:dyDescent="0.2">
      <c r="B32009" s="6" t="s">
        <v>79</v>
      </c>
      <c r="C32009" s="6" t="s">
        <v>73</v>
      </c>
      <c r="D32009" s="6" t="s">
        <v>74</v>
      </c>
      <c r="E32009" s="6" t="s">
        <v>75</v>
      </c>
    </row>
    <row r="32010" spans="2:5" x14ac:dyDescent="0.2">
      <c r="B32010" s="6" t="s">
        <v>78</v>
      </c>
      <c r="C32010" s="6" t="s">
        <v>73</v>
      </c>
      <c r="D32010" s="6" t="s">
        <v>74</v>
      </c>
      <c r="E32010" s="6" t="s">
        <v>75</v>
      </c>
    </row>
    <row r="32011" spans="2:5" x14ac:dyDescent="0.2">
      <c r="B32011" s="6" t="s">
        <v>77</v>
      </c>
      <c r="C32011" s="6" t="s">
        <v>73</v>
      </c>
      <c r="D32011" s="6" t="s">
        <v>74</v>
      </c>
      <c r="E32011" s="6" t="s">
        <v>75</v>
      </c>
    </row>
    <row r="32012" spans="2:5" x14ac:dyDescent="0.2">
      <c r="B32012" s="6" t="s">
        <v>76</v>
      </c>
      <c r="C32012" s="6" t="s">
        <v>73</v>
      </c>
      <c r="D32012" s="6" t="s">
        <v>74</v>
      </c>
      <c r="E32012" s="6" t="s">
        <v>75</v>
      </c>
    </row>
    <row r="32013" spans="2:5" x14ac:dyDescent="0.2">
      <c r="B32013" s="6" t="s">
        <v>72</v>
      </c>
      <c r="C32013" s="6" t="s">
        <v>73</v>
      </c>
      <c r="D32013" s="6" t="s">
        <v>74</v>
      </c>
      <c r="E32013" s="6" t="s">
        <v>75</v>
      </c>
    </row>
    <row r="32014" spans="2:5" x14ac:dyDescent="0.2">
      <c r="B32014" s="6" t="s">
        <v>79</v>
      </c>
      <c r="C32014" s="6" t="s">
        <v>73</v>
      </c>
      <c r="D32014" s="6" t="s">
        <v>74</v>
      </c>
      <c r="E32014" s="6" t="s">
        <v>75</v>
      </c>
    </row>
    <row r="32015" spans="2:5" x14ac:dyDescent="0.2">
      <c r="B32015" s="6" t="s">
        <v>78</v>
      </c>
      <c r="C32015" s="6" t="s">
        <v>73</v>
      </c>
      <c r="D32015" s="6" t="s">
        <v>74</v>
      </c>
      <c r="E32015" s="6" t="s">
        <v>75</v>
      </c>
    </row>
    <row r="32016" spans="2:5" x14ac:dyDescent="0.2">
      <c r="B32016" s="6" t="s">
        <v>77</v>
      </c>
      <c r="C32016" s="6" t="s">
        <v>73</v>
      </c>
      <c r="D32016" s="6" t="s">
        <v>74</v>
      </c>
      <c r="E32016" s="6" t="s">
        <v>75</v>
      </c>
    </row>
    <row r="32017" spans="2:5" x14ac:dyDescent="0.2">
      <c r="B32017" s="6" t="s">
        <v>76</v>
      </c>
      <c r="C32017" s="6" t="s">
        <v>73</v>
      </c>
      <c r="D32017" s="6" t="s">
        <v>74</v>
      </c>
      <c r="E32017" s="6" t="s">
        <v>75</v>
      </c>
    </row>
    <row r="32018" spans="2:5" x14ac:dyDescent="0.2">
      <c r="B32018" s="6" t="s">
        <v>72</v>
      </c>
      <c r="C32018" s="6" t="s">
        <v>73</v>
      </c>
      <c r="D32018" s="6" t="s">
        <v>74</v>
      </c>
      <c r="E32018" s="6" t="s">
        <v>75</v>
      </c>
    </row>
    <row r="32019" spans="2:5" x14ac:dyDescent="0.2">
      <c r="B32019" s="6" t="s">
        <v>79</v>
      </c>
      <c r="C32019" s="6" t="s">
        <v>73</v>
      </c>
      <c r="D32019" s="6" t="s">
        <v>74</v>
      </c>
      <c r="E32019" s="6" t="s">
        <v>75</v>
      </c>
    </row>
    <row r="32020" spans="2:5" x14ac:dyDescent="0.2">
      <c r="B32020" s="6" t="s">
        <v>72</v>
      </c>
      <c r="C32020" s="6" t="s">
        <v>73</v>
      </c>
      <c r="D32020" s="6" t="s">
        <v>74</v>
      </c>
      <c r="E32020" s="6" t="s">
        <v>75</v>
      </c>
    </row>
    <row r="32021" spans="2:5" x14ac:dyDescent="0.2">
      <c r="B32021" s="6" t="s">
        <v>80</v>
      </c>
      <c r="C32021" s="6" t="s">
        <v>73</v>
      </c>
      <c r="D32021" s="6" t="s">
        <v>74</v>
      </c>
      <c r="E32021" s="6" t="s">
        <v>75</v>
      </c>
    </row>
    <row r="32022" spans="2:5" x14ac:dyDescent="0.2">
      <c r="B32022" s="6" t="s">
        <v>81</v>
      </c>
      <c r="C32022" s="6" t="s">
        <v>73</v>
      </c>
      <c r="D32022" s="6" t="s">
        <v>74</v>
      </c>
      <c r="E32022" s="6" t="s">
        <v>75</v>
      </c>
    </row>
    <row r="32023" spans="2:5" x14ac:dyDescent="0.2">
      <c r="B32023" s="6" t="s">
        <v>82</v>
      </c>
      <c r="C32023" s="6" t="s">
        <v>73</v>
      </c>
      <c r="D32023" s="6" t="s">
        <v>74</v>
      </c>
      <c r="E32023" s="6" t="s">
        <v>75</v>
      </c>
    </row>
    <row r="32024" spans="2:5" x14ac:dyDescent="0.2">
      <c r="B32024" s="6" t="s">
        <v>83</v>
      </c>
      <c r="C32024" s="6" t="s">
        <v>73</v>
      </c>
      <c r="D32024" s="6" t="s">
        <v>74</v>
      </c>
      <c r="E32024" s="6" t="s">
        <v>75</v>
      </c>
    </row>
    <row r="32025" spans="2:5" x14ac:dyDescent="0.2">
      <c r="B32025" s="6" t="s">
        <v>84</v>
      </c>
      <c r="C32025" s="6" t="s">
        <v>73</v>
      </c>
      <c r="D32025" s="6" t="s">
        <v>74</v>
      </c>
      <c r="E32025" s="6" t="s">
        <v>75</v>
      </c>
    </row>
    <row r="32026" spans="2:5" x14ac:dyDescent="0.2">
      <c r="B32026" s="6" t="s">
        <v>79</v>
      </c>
      <c r="C32026" s="6" t="s">
        <v>73</v>
      </c>
      <c r="D32026" s="6" t="s">
        <v>74</v>
      </c>
      <c r="E32026" s="6" t="s">
        <v>75</v>
      </c>
    </row>
    <row r="32027" spans="2:5" x14ac:dyDescent="0.2">
      <c r="B32027" s="6" t="s">
        <v>72</v>
      </c>
      <c r="C32027" s="6" t="s">
        <v>73</v>
      </c>
      <c r="D32027" s="6" t="s">
        <v>74</v>
      </c>
      <c r="E32027" s="6" t="s">
        <v>75</v>
      </c>
    </row>
    <row r="32028" spans="2:5" x14ac:dyDescent="0.2">
      <c r="B32028" s="6" t="s">
        <v>80</v>
      </c>
      <c r="C32028" s="6" t="s">
        <v>73</v>
      </c>
      <c r="D32028" s="6" t="s">
        <v>74</v>
      </c>
      <c r="E32028" s="6" t="s">
        <v>75</v>
      </c>
    </row>
    <row r="32029" spans="2:5" x14ac:dyDescent="0.2">
      <c r="B32029" s="6" t="s">
        <v>81</v>
      </c>
      <c r="C32029" s="6" t="s">
        <v>73</v>
      </c>
      <c r="D32029" s="6" t="s">
        <v>74</v>
      </c>
      <c r="E32029" s="6" t="s">
        <v>75</v>
      </c>
    </row>
    <row r="32030" spans="2:5" x14ac:dyDescent="0.2">
      <c r="B32030" s="6" t="s">
        <v>82</v>
      </c>
      <c r="C32030" s="6" t="s">
        <v>73</v>
      </c>
      <c r="D32030" s="6" t="s">
        <v>74</v>
      </c>
      <c r="E32030" s="6" t="s">
        <v>75</v>
      </c>
    </row>
    <row r="32031" spans="2:5" x14ac:dyDescent="0.2">
      <c r="B32031" s="6" t="s">
        <v>83</v>
      </c>
      <c r="C32031" s="6" t="s">
        <v>73</v>
      </c>
      <c r="D32031" s="6" t="s">
        <v>74</v>
      </c>
      <c r="E32031" s="6" t="s">
        <v>75</v>
      </c>
    </row>
    <row r="32032" spans="2:5" x14ac:dyDescent="0.2">
      <c r="B32032" s="6" t="s">
        <v>84</v>
      </c>
      <c r="C32032" s="6" t="s">
        <v>73</v>
      </c>
      <c r="D32032" s="6" t="s">
        <v>74</v>
      </c>
      <c r="E32032" s="6" t="s">
        <v>75</v>
      </c>
    </row>
    <row r="32033" spans="2:5" x14ac:dyDescent="0.2">
      <c r="B32033" s="6" t="s">
        <v>79</v>
      </c>
      <c r="C32033" s="6" t="s">
        <v>73</v>
      </c>
      <c r="D32033" s="6" t="s">
        <v>74</v>
      </c>
      <c r="E32033" s="6" t="s">
        <v>75</v>
      </c>
    </row>
    <row r="32034" spans="2:5" x14ac:dyDescent="0.2">
      <c r="B32034" s="6" t="s">
        <v>78</v>
      </c>
      <c r="C32034" s="6" t="s">
        <v>73</v>
      </c>
      <c r="D32034" s="6" t="s">
        <v>74</v>
      </c>
      <c r="E32034" s="6" t="s">
        <v>75</v>
      </c>
    </row>
    <row r="32035" spans="2:5" x14ac:dyDescent="0.2">
      <c r="B32035" s="6" t="s">
        <v>77</v>
      </c>
      <c r="C32035" s="6" t="s">
        <v>73</v>
      </c>
      <c r="D32035" s="6" t="s">
        <v>74</v>
      </c>
      <c r="E32035" s="6" t="s">
        <v>75</v>
      </c>
    </row>
    <row r="32036" spans="2:5" x14ac:dyDescent="0.2">
      <c r="B32036" s="6" t="s">
        <v>76</v>
      </c>
      <c r="C32036" s="6" t="s">
        <v>73</v>
      </c>
      <c r="D32036" s="6" t="s">
        <v>74</v>
      </c>
      <c r="E32036" s="6" t="s">
        <v>75</v>
      </c>
    </row>
    <row r="32037" spans="2:5" x14ac:dyDescent="0.2">
      <c r="B32037" s="6" t="s">
        <v>72</v>
      </c>
      <c r="C32037" s="6" t="s">
        <v>73</v>
      </c>
      <c r="D32037" s="6" t="s">
        <v>74</v>
      </c>
      <c r="E32037" s="6" t="s">
        <v>75</v>
      </c>
    </row>
    <row r="32038" spans="2:5" x14ac:dyDescent="0.2">
      <c r="B32038" s="6" t="s">
        <v>79</v>
      </c>
      <c r="C32038" s="6" t="s">
        <v>73</v>
      </c>
      <c r="D32038" s="6" t="s">
        <v>74</v>
      </c>
      <c r="E32038" s="6" t="s">
        <v>75</v>
      </c>
    </row>
    <row r="32039" spans="2:5" x14ac:dyDescent="0.2">
      <c r="B32039" s="6" t="s">
        <v>72</v>
      </c>
      <c r="C32039" s="6" t="s">
        <v>73</v>
      </c>
      <c r="D32039" s="6" t="s">
        <v>74</v>
      </c>
      <c r="E32039" s="6" t="s">
        <v>75</v>
      </c>
    </row>
    <row r="32040" spans="2:5" x14ac:dyDescent="0.2">
      <c r="B32040" s="6" t="s">
        <v>80</v>
      </c>
      <c r="C32040" s="6" t="s">
        <v>73</v>
      </c>
      <c r="D32040" s="6" t="s">
        <v>74</v>
      </c>
      <c r="E32040" s="6" t="s">
        <v>75</v>
      </c>
    </row>
    <row r="32041" spans="2:5" x14ac:dyDescent="0.2">
      <c r="B32041" s="6" t="s">
        <v>81</v>
      </c>
      <c r="C32041" s="6" t="s">
        <v>73</v>
      </c>
      <c r="D32041" s="6" t="s">
        <v>74</v>
      </c>
      <c r="E32041" s="6" t="s">
        <v>75</v>
      </c>
    </row>
    <row r="32042" spans="2:5" x14ac:dyDescent="0.2">
      <c r="B32042" s="6" t="s">
        <v>82</v>
      </c>
      <c r="C32042" s="6" t="s">
        <v>73</v>
      </c>
      <c r="D32042" s="6" t="s">
        <v>74</v>
      </c>
      <c r="E32042" s="6" t="s">
        <v>75</v>
      </c>
    </row>
    <row r="32043" spans="2:5" x14ac:dyDescent="0.2">
      <c r="B32043" s="6" t="s">
        <v>83</v>
      </c>
      <c r="C32043" s="6" t="s">
        <v>73</v>
      </c>
      <c r="D32043" s="6" t="s">
        <v>74</v>
      </c>
      <c r="E32043" s="6" t="s">
        <v>75</v>
      </c>
    </row>
    <row r="32044" spans="2:5" x14ac:dyDescent="0.2">
      <c r="B32044" s="6" t="s">
        <v>84</v>
      </c>
      <c r="C32044" s="6" t="s">
        <v>73</v>
      </c>
      <c r="D32044" s="6" t="s">
        <v>74</v>
      </c>
      <c r="E32044" s="6" t="s">
        <v>75</v>
      </c>
    </row>
    <row r="32045" spans="2:5" x14ac:dyDescent="0.2">
      <c r="B32045" s="6" t="s">
        <v>79</v>
      </c>
      <c r="C32045" s="6" t="s">
        <v>73</v>
      </c>
      <c r="D32045" s="6" t="s">
        <v>74</v>
      </c>
      <c r="E32045" s="6" t="s">
        <v>75</v>
      </c>
    </row>
    <row r="32046" spans="2:5" x14ac:dyDescent="0.2">
      <c r="B32046" s="6" t="s">
        <v>72</v>
      </c>
      <c r="C32046" s="6" t="s">
        <v>73</v>
      </c>
      <c r="D32046" s="6" t="s">
        <v>74</v>
      </c>
      <c r="E32046" s="6" t="s">
        <v>75</v>
      </c>
    </row>
    <row r="32047" spans="2:5" x14ac:dyDescent="0.2">
      <c r="B32047" s="6" t="s">
        <v>80</v>
      </c>
      <c r="C32047" s="6" t="s">
        <v>73</v>
      </c>
      <c r="D32047" s="6" t="s">
        <v>74</v>
      </c>
      <c r="E32047" s="6" t="s">
        <v>75</v>
      </c>
    </row>
    <row r="32048" spans="2:5" x14ac:dyDescent="0.2">
      <c r="B32048" s="6" t="s">
        <v>81</v>
      </c>
      <c r="C32048" s="6" t="s">
        <v>73</v>
      </c>
      <c r="D32048" s="6" t="s">
        <v>74</v>
      </c>
      <c r="E32048" s="6" t="s">
        <v>75</v>
      </c>
    </row>
    <row r="32049" spans="2:5" x14ac:dyDescent="0.2">
      <c r="B32049" s="6" t="s">
        <v>82</v>
      </c>
      <c r="C32049" s="6" t="s">
        <v>73</v>
      </c>
      <c r="D32049" s="6" t="s">
        <v>74</v>
      </c>
      <c r="E32049" s="6" t="s">
        <v>75</v>
      </c>
    </row>
    <row r="32050" spans="2:5" x14ac:dyDescent="0.2">
      <c r="B32050" s="6" t="s">
        <v>83</v>
      </c>
      <c r="C32050" s="6" t="s">
        <v>73</v>
      </c>
      <c r="D32050" s="6" t="s">
        <v>74</v>
      </c>
      <c r="E32050" s="6" t="s">
        <v>75</v>
      </c>
    </row>
    <row r="32051" spans="2:5" x14ac:dyDescent="0.2">
      <c r="B32051" s="6" t="s">
        <v>84</v>
      </c>
      <c r="C32051" s="6" t="s">
        <v>73</v>
      </c>
      <c r="D32051" s="6" t="s">
        <v>74</v>
      </c>
      <c r="E32051" s="6" t="s">
        <v>75</v>
      </c>
    </row>
    <row r="32052" spans="2:5" x14ac:dyDescent="0.2">
      <c r="B32052" s="6" t="s">
        <v>79</v>
      </c>
      <c r="C32052" s="6" t="s">
        <v>73</v>
      </c>
      <c r="D32052" s="6" t="s">
        <v>74</v>
      </c>
      <c r="E32052" s="6" t="s">
        <v>75</v>
      </c>
    </row>
    <row r="32053" spans="2:5" x14ac:dyDescent="0.2">
      <c r="B32053" s="6" t="s">
        <v>78</v>
      </c>
      <c r="C32053" s="6" t="s">
        <v>73</v>
      </c>
      <c r="D32053" s="6" t="s">
        <v>74</v>
      </c>
      <c r="E32053" s="6" t="s">
        <v>75</v>
      </c>
    </row>
    <row r="32054" spans="2:5" x14ac:dyDescent="0.2">
      <c r="B32054" s="6" t="s">
        <v>77</v>
      </c>
      <c r="C32054" s="6" t="s">
        <v>73</v>
      </c>
      <c r="D32054" s="6" t="s">
        <v>74</v>
      </c>
      <c r="E32054" s="6" t="s">
        <v>75</v>
      </c>
    </row>
    <row r="32055" spans="2:5" x14ac:dyDescent="0.2">
      <c r="B32055" s="6" t="s">
        <v>76</v>
      </c>
      <c r="C32055" s="6" t="s">
        <v>73</v>
      </c>
      <c r="D32055" s="6" t="s">
        <v>74</v>
      </c>
      <c r="E32055" s="6" t="s">
        <v>75</v>
      </c>
    </row>
    <row r="32056" spans="2:5" x14ac:dyDescent="0.2">
      <c r="B32056" s="6" t="s">
        <v>72</v>
      </c>
      <c r="C32056" s="6" t="s">
        <v>73</v>
      </c>
      <c r="D32056" s="6" t="s">
        <v>74</v>
      </c>
      <c r="E32056" s="6" t="s">
        <v>75</v>
      </c>
    </row>
    <row r="32057" spans="2:5" x14ac:dyDescent="0.2">
      <c r="B32057" s="6" t="s">
        <v>79</v>
      </c>
      <c r="C32057" s="6" t="s">
        <v>73</v>
      </c>
      <c r="D32057" s="6" t="s">
        <v>74</v>
      </c>
      <c r="E32057" s="6" t="s">
        <v>75</v>
      </c>
    </row>
    <row r="32058" spans="2:5" x14ac:dyDescent="0.2">
      <c r="B32058" s="6" t="s">
        <v>72</v>
      </c>
      <c r="C32058" s="6" t="s">
        <v>73</v>
      </c>
      <c r="D32058" s="6" t="s">
        <v>74</v>
      </c>
      <c r="E32058" s="6" t="s">
        <v>75</v>
      </c>
    </row>
    <row r="32059" spans="2:5" x14ac:dyDescent="0.2">
      <c r="B32059" s="6" t="s">
        <v>80</v>
      </c>
      <c r="C32059" s="6" t="s">
        <v>73</v>
      </c>
      <c r="D32059" s="6" t="s">
        <v>74</v>
      </c>
      <c r="E32059" s="6" t="s">
        <v>75</v>
      </c>
    </row>
    <row r="32060" spans="2:5" x14ac:dyDescent="0.2">
      <c r="B32060" s="6" t="s">
        <v>81</v>
      </c>
      <c r="C32060" s="6" t="s">
        <v>73</v>
      </c>
      <c r="D32060" s="6" t="s">
        <v>74</v>
      </c>
      <c r="E32060" s="6" t="s">
        <v>75</v>
      </c>
    </row>
    <row r="32061" spans="2:5" x14ac:dyDescent="0.2">
      <c r="B32061" s="6" t="s">
        <v>82</v>
      </c>
      <c r="C32061" s="6" t="s">
        <v>73</v>
      </c>
      <c r="D32061" s="6" t="s">
        <v>74</v>
      </c>
      <c r="E32061" s="6" t="s">
        <v>75</v>
      </c>
    </row>
    <row r="32062" spans="2:5" x14ac:dyDescent="0.2">
      <c r="B32062" s="6" t="s">
        <v>83</v>
      </c>
      <c r="C32062" s="6" t="s">
        <v>73</v>
      </c>
      <c r="D32062" s="6" t="s">
        <v>74</v>
      </c>
      <c r="E32062" s="6" t="s">
        <v>75</v>
      </c>
    </row>
    <row r="32063" spans="2:5" x14ac:dyDescent="0.2">
      <c r="B32063" s="6" t="s">
        <v>84</v>
      </c>
      <c r="C32063" s="6" t="s">
        <v>73</v>
      </c>
      <c r="D32063" s="6" t="s">
        <v>74</v>
      </c>
      <c r="E32063" s="6" t="s">
        <v>75</v>
      </c>
    </row>
    <row r="32064" spans="2:5" x14ac:dyDescent="0.2">
      <c r="B32064" s="6" t="s">
        <v>79</v>
      </c>
      <c r="C32064" s="6" t="s">
        <v>85</v>
      </c>
      <c r="D32064" s="6" t="s">
        <v>74</v>
      </c>
      <c r="E32064" s="6" t="s">
        <v>75</v>
      </c>
    </row>
    <row r="32065" spans="2:5" x14ac:dyDescent="0.2">
      <c r="B32065" s="6" t="s">
        <v>72</v>
      </c>
      <c r="C32065" s="6" t="s">
        <v>86</v>
      </c>
      <c r="D32065" s="6" t="s">
        <v>74</v>
      </c>
      <c r="E32065" s="6" t="s">
        <v>75</v>
      </c>
    </row>
    <row r="32066" spans="2:5" x14ac:dyDescent="0.2">
      <c r="B32066" s="6" t="s">
        <v>76</v>
      </c>
      <c r="C32066" s="6" t="s">
        <v>86</v>
      </c>
      <c r="D32066" s="6" t="s">
        <v>74</v>
      </c>
      <c r="E32066" s="6" t="s">
        <v>87</v>
      </c>
    </row>
    <row r="32067" spans="2:5" x14ac:dyDescent="0.2">
      <c r="B32067" s="6" t="s">
        <v>77</v>
      </c>
      <c r="C32067" s="6" t="s">
        <v>86</v>
      </c>
      <c r="D32067" s="6" t="s">
        <v>74</v>
      </c>
      <c r="E32067" s="6" t="s">
        <v>87</v>
      </c>
    </row>
    <row r="32068" spans="2:5" x14ac:dyDescent="0.2">
      <c r="B32068" s="6" t="s">
        <v>78</v>
      </c>
      <c r="C32068" s="6" t="s">
        <v>88</v>
      </c>
      <c r="D32068" s="6" t="s">
        <v>74</v>
      </c>
      <c r="E32068" s="6" t="s">
        <v>87</v>
      </c>
    </row>
    <row r="32069" spans="2:5" x14ac:dyDescent="0.2">
      <c r="B32069" s="6" t="s">
        <v>79</v>
      </c>
      <c r="C32069" s="6" t="s">
        <v>89</v>
      </c>
      <c r="D32069" s="6" t="s">
        <v>74</v>
      </c>
      <c r="E32069" s="6" t="s">
        <v>75</v>
      </c>
    </row>
    <row r="32070" spans="2:5" x14ac:dyDescent="0.2">
      <c r="B32070" s="6" t="s">
        <v>72</v>
      </c>
      <c r="C32070" s="6" t="s">
        <v>86</v>
      </c>
      <c r="D32070" s="6" t="s">
        <v>74</v>
      </c>
      <c r="E32070" s="6" t="s">
        <v>75</v>
      </c>
    </row>
    <row r="32071" spans="2:5" x14ac:dyDescent="0.2">
      <c r="B32071" s="6" t="s">
        <v>76</v>
      </c>
      <c r="C32071" s="6" t="s">
        <v>86</v>
      </c>
      <c r="D32071" s="6" t="s">
        <v>74</v>
      </c>
      <c r="E32071" s="6" t="s">
        <v>87</v>
      </c>
    </row>
    <row r="32072" spans="2:5" x14ac:dyDescent="0.2">
      <c r="B32072" s="6" t="s">
        <v>77</v>
      </c>
      <c r="C32072" s="6" t="s">
        <v>86</v>
      </c>
      <c r="D32072" s="6" t="s">
        <v>74</v>
      </c>
      <c r="E32072" s="6" t="s">
        <v>87</v>
      </c>
    </row>
    <row r="32073" spans="2:5" x14ac:dyDescent="0.2">
      <c r="B32073" s="6" t="s">
        <v>78</v>
      </c>
      <c r="C32073" s="6" t="s">
        <v>90</v>
      </c>
      <c r="D32073" s="6" t="s">
        <v>74</v>
      </c>
      <c r="E32073" s="6" t="s">
        <v>87</v>
      </c>
    </row>
    <row r="32074" spans="2:5" x14ac:dyDescent="0.2">
      <c r="B32074" s="6" t="s">
        <v>79</v>
      </c>
      <c r="C32074" s="6" t="s">
        <v>89</v>
      </c>
      <c r="D32074" s="6" t="s">
        <v>74</v>
      </c>
      <c r="E32074" s="6" t="s">
        <v>75</v>
      </c>
    </row>
    <row r="32075" spans="2:5" x14ac:dyDescent="0.2">
      <c r="B32075" s="6" t="s">
        <v>72</v>
      </c>
      <c r="C32075" s="6" t="s">
        <v>91</v>
      </c>
      <c r="D32075" s="6" t="s">
        <v>74</v>
      </c>
      <c r="E32075" s="6" t="s">
        <v>87</v>
      </c>
    </row>
    <row r="32076" spans="2:5" x14ac:dyDescent="0.2">
      <c r="B32076" s="6" t="s">
        <v>76</v>
      </c>
      <c r="C32076" s="6" t="s">
        <v>86</v>
      </c>
      <c r="D32076" s="6" t="s">
        <v>74</v>
      </c>
      <c r="E32076" s="6" t="s">
        <v>87</v>
      </c>
    </row>
    <row r="32077" spans="2:5" x14ac:dyDescent="0.2">
      <c r="B32077" s="6" t="s">
        <v>77</v>
      </c>
      <c r="C32077" s="6" t="s">
        <v>86</v>
      </c>
      <c r="D32077" s="6" t="s">
        <v>74</v>
      </c>
      <c r="E32077" s="6" t="s">
        <v>87</v>
      </c>
    </row>
    <row r="32078" spans="2:5" x14ac:dyDescent="0.2">
      <c r="B32078" s="6" t="s">
        <v>78</v>
      </c>
      <c r="C32078" s="6" t="s">
        <v>86</v>
      </c>
      <c r="D32078" s="6" t="s">
        <v>74</v>
      </c>
      <c r="E32078" s="6" t="s">
        <v>75</v>
      </c>
    </row>
    <row r="32079" spans="2:5" x14ac:dyDescent="0.2">
      <c r="B32079" s="6" t="s">
        <v>79</v>
      </c>
      <c r="C32079" s="6" t="s">
        <v>89</v>
      </c>
      <c r="D32079" s="6" t="s">
        <v>74</v>
      </c>
      <c r="E32079" s="6" t="s">
        <v>75</v>
      </c>
    </row>
    <row r="32080" spans="2:5" x14ac:dyDescent="0.2">
      <c r="B32080" s="6" t="s">
        <v>72</v>
      </c>
      <c r="C32080" s="6" t="s">
        <v>73</v>
      </c>
      <c r="D32080" s="6" t="s">
        <v>74</v>
      </c>
      <c r="E32080" s="6" t="s">
        <v>75</v>
      </c>
    </row>
    <row r="32081" spans="2:5" x14ac:dyDescent="0.2">
      <c r="B32081" s="6" t="s">
        <v>76</v>
      </c>
      <c r="C32081" s="6" t="s">
        <v>73</v>
      </c>
      <c r="D32081" s="6" t="s">
        <v>74</v>
      </c>
      <c r="E32081" s="6" t="s">
        <v>75</v>
      </c>
    </row>
    <row r="32082" spans="2:5" x14ac:dyDescent="0.2">
      <c r="B32082" s="6" t="s">
        <v>77</v>
      </c>
      <c r="C32082" s="6" t="s">
        <v>73</v>
      </c>
      <c r="D32082" s="6" t="s">
        <v>74</v>
      </c>
      <c r="E32082" s="6" t="s">
        <v>75</v>
      </c>
    </row>
    <row r="32083" spans="2:5" x14ac:dyDescent="0.2">
      <c r="B32083" s="6" t="s">
        <v>78</v>
      </c>
      <c r="C32083" s="6" t="s">
        <v>73</v>
      </c>
      <c r="D32083" s="6" t="s">
        <v>74</v>
      </c>
      <c r="E32083" s="6" t="s">
        <v>75</v>
      </c>
    </row>
    <row r="32084" spans="2:5" x14ac:dyDescent="0.2">
      <c r="B32084" s="6" t="s">
        <v>79</v>
      </c>
      <c r="C32084" s="6" t="s">
        <v>73</v>
      </c>
      <c r="D32084" s="6" t="s">
        <v>74</v>
      </c>
      <c r="E32084" s="6" t="s">
        <v>75</v>
      </c>
    </row>
    <row r="32085" spans="2:5" x14ac:dyDescent="0.2">
      <c r="B32085" s="6" t="s">
        <v>72</v>
      </c>
      <c r="C32085" s="6" t="s">
        <v>92</v>
      </c>
      <c r="D32085" s="6" t="s">
        <v>74</v>
      </c>
      <c r="E32085" s="6" t="s">
        <v>87</v>
      </c>
    </row>
    <row r="32086" spans="2:5" x14ac:dyDescent="0.2">
      <c r="B32086" s="6" t="s">
        <v>76</v>
      </c>
      <c r="C32086" s="6" t="s">
        <v>86</v>
      </c>
      <c r="D32086" s="6" t="s">
        <v>74</v>
      </c>
      <c r="E32086" s="6" t="s">
        <v>87</v>
      </c>
    </row>
    <row r="32087" spans="2:5" x14ac:dyDescent="0.2">
      <c r="B32087" s="6" t="s">
        <v>77</v>
      </c>
      <c r="C32087" s="6" t="s">
        <v>86</v>
      </c>
      <c r="D32087" s="6" t="s">
        <v>74</v>
      </c>
      <c r="E32087" s="6" t="s">
        <v>87</v>
      </c>
    </row>
    <row r="32088" spans="2:5" x14ac:dyDescent="0.2">
      <c r="B32088" s="6" t="s">
        <v>78</v>
      </c>
      <c r="C32088" s="6" t="s">
        <v>86</v>
      </c>
      <c r="D32088" s="6" t="s">
        <v>74</v>
      </c>
      <c r="E32088" s="6" t="s">
        <v>75</v>
      </c>
    </row>
    <row r="32089" spans="2:5" x14ac:dyDescent="0.2">
      <c r="B32089" s="6" t="s">
        <v>79</v>
      </c>
      <c r="C32089" s="6" t="s">
        <v>89</v>
      </c>
      <c r="D32089" s="6" t="s">
        <v>74</v>
      </c>
      <c r="E32089" s="6" t="s">
        <v>75</v>
      </c>
    </row>
    <row r="32090" spans="2:5" x14ac:dyDescent="0.2">
      <c r="B32090" s="6" t="s">
        <v>72</v>
      </c>
      <c r="C32090" s="6" t="s">
        <v>86</v>
      </c>
      <c r="D32090" s="6" t="s">
        <v>74</v>
      </c>
      <c r="E32090" s="6" t="s">
        <v>75</v>
      </c>
    </row>
    <row r="32091" spans="2:5" x14ac:dyDescent="0.2">
      <c r="B32091" s="6" t="s">
        <v>76</v>
      </c>
      <c r="C32091" s="6" t="s">
        <v>86</v>
      </c>
      <c r="D32091" s="6" t="s">
        <v>74</v>
      </c>
      <c r="E32091" s="6" t="s">
        <v>87</v>
      </c>
    </row>
    <row r="32092" spans="2:5" x14ac:dyDescent="0.2">
      <c r="B32092" s="6" t="s">
        <v>77</v>
      </c>
      <c r="C32092" s="6" t="s">
        <v>86</v>
      </c>
      <c r="D32092" s="6" t="s">
        <v>74</v>
      </c>
      <c r="E32092" s="6" t="s">
        <v>87</v>
      </c>
    </row>
    <row r="32093" spans="2:5" x14ac:dyDescent="0.2">
      <c r="B32093" s="6" t="s">
        <v>78</v>
      </c>
      <c r="C32093" s="6" t="s">
        <v>86</v>
      </c>
      <c r="D32093" s="6" t="s">
        <v>74</v>
      </c>
      <c r="E32093" s="6" t="s">
        <v>75</v>
      </c>
    </row>
    <row r="32094" spans="2:5" x14ac:dyDescent="0.2">
      <c r="B32094" s="6" t="s">
        <v>79</v>
      </c>
      <c r="C32094" s="6" t="s">
        <v>89</v>
      </c>
      <c r="D32094" s="6" t="s">
        <v>74</v>
      </c>
      <c r="E32094" s="6" t="s">
        <v>75</v>
      </c>
    </row>
    <row r="32095" spans="2:5" x14ac:dyDescent="0.2">
      <c r="B32095" s="6" t="s">
        <v>78</v>
      </c>
      <c r="C32095" s="6" t="s">
        <v>86</v>
      </c>
      <c r="D32095" s="6" t="s">
        <v>74</v>
      </c>
      <c r="E32095" s="6" t="s">
        <v>75</v>
      </c>
    </row>
    <row r="32096" spans="2:5" x14ac:dyDescent="0.2">
      <c r="B32096" s="6" t="s">
        <v>77</v>
      </c>
      <c r="C32096" s="6" t="s">
        <v>86</v>
      </c>
      <c r="D32096" s="6" t="s">
        <v>74</v>
      </c>
      <c r="E32096" s="6" t="s">
        <v>87</v>
      </c>
    </row>
    <row r="32097" spans="2:5" x14ac:dyDescent="0.2">
      <c r="B32097" s="6" t="s">
        <v>76</v>
      </c>
      <c r="C32097" s="6" t="s">
        <v>86</v>
      </c>
      <c r="D32097" s="6" t="s">
        <v>74</v>
      </c>
      <c r="E32097" s="6" t="s">
        <v>87</v>
      </c>
    </row>
    <row r="32098" spans="2:5" x14ac:dyDescent="0.2">
      <c r="B32098" s="6" t="s">
        <v>72</v>
      </c>
      <c r="C32098" s="6" t="s">
        <v>86</v>
      </c>
      <c r="D32098" s="6" t="s">
        <v>74</v>
      </c>
      <c r="E32098" s="6" t="s">
        <v>75</v>
      </c>
    </row>
    <row r="32099" spans="2:5" x14ac:dyDescent="0.2">
      <c r="B32099" s="6" t="s">
        <v>79</v>
      </c>
      <c r="C32099" s="6" t="s">
        <v>89</v>
      </c>
      <c r="D32099" s="6" t="s">
        <v>74</v>
      </c>
      <c r="E32099" s="6" t="s">
        <v>75</v>
      </c>
    </row>
  </sheetData>
  <sheetProtection password="C71F" sheet="1" objects="1" scenarios="1"/>
  <mergeCells count="32">
    <mergeCell ref="B2:I4"/>
    <mergeCell ref="B1:I1"/>
    <mergeCell ref="B9:I9"/>
    <mergeCell ref="B8:I8"/>
    <mergeCell ref="B7:I7"/>
    <mergeCell ref="B6:I6"/>
    <mergeCell ref="B5:I5"/>
    <mergeCell ref="B17:I17"/>
    <mergeCell ref="F16:H16"/>
    <mergeCell ref="B15:I15"/>
    <mergeCell ref="B13:I13"/>
    <mergeCell ref="B11:I11"/>
    <mergeCell ref="B27:G27"/>
    <mergeCell ref="B25:G25"/>
    <mergeCell ref="B23:G23"/>
    <mergeCell ref="B21:G21"/>
    <mergeCell ref="B19:G19"/>
    <mergeCell ref="B37:G37"/>
    <mergeCell ref="B35:G35"/>
    <mergeCell ref="B33:G33"/>
    <mergeCell ref="B31:G31"/>
    <mergeCell ref="B29:G29"/>
    <mergeCell ref="B47:G47"/>
    <mergeCell ref="B45:G45"/>
    <mergeCell ref="B43:G43"/>
    <mergeCell ref="B41:G41"/>
    <mergeCell ref="B39:G39"/>
    <mergeCell ref="B59:I59"/>
    <mergeCell ref="B55:I55"/>
    <mergeCell ref="B53:G53"/>
    <mergeCell ref="B49:G49"/>
    <mergeCell ref="B51:G51"/>
  </mergeCells>
  <conditionalFormatting sqref="H19 H21 H23 H25 H27 H29 H31 H33 H35 H37 H39 H41 H43 H45 H47 H49 H51 H53">
    <cfRule type="cellIs" dxfId="54" priority="7" operator="notEqual">
      <formula>""</formula>
    </cfRule>
  </conditionalFormatting>
  <conditionalFormatting sqref="H20">
    <cfRule type="expression" dxfId="53" priority="8">
      <formula>$M$19="2"</formula>
    </cfRule>
    <cfRule type="expression" dxfId="52" priority="9">
      <formula>$M$19="1"</formula>
    </cfRule>
  </conditionalFormatting>
  <conditionalFormatting sqref="J20">
    <cfRule type="expression" dxfId="51" priority="10">
      <formula>$J$20&lt;&gt;""</formula>
    </cfRule>
  </conditionalFormatting>
  <conditionalFormatting sqref="H22">
    <cfRule type="expression" dxfId="50" priority="11">
      <formula>$M$21="2"</formula>
    </cfRule>
    <cfRule type="expression" dxfId="49" priority="12">
      <formula>$M$21="1"</formula>
    </cfRule>
  </conditionalFormatting>
  <conditionalFormatting sqref="J22">
    <cfRule type="expression" dxfId="48" priority="13">
      <formula>$J$22&lt;&gt;""</formula>
    </cfRule>
  </conditionalFormatting>
  <conditionalFormatting sqref="H24">
    <cfRule type="expression" dxfId="47" priority="14">
      <formula>$M$23="2"</formula>
    </cfRule>
    <cfRule type="expression" dxfId="46" priority="15">
      <formula>$M$23="1"</formula>
    </cfRule>
  </conditionalFormatting>
  <conditionalFormatting sqref="J24">
    <cfRule type="expression" dxfId="45" priority="16">
      <formula>$J$24&lt;&gt;""</formula>
    </cfRule>
  </conditionalFormatting>
  <conditionalFormatting sqref="H26">
    <cfRule type="expression" dxfId="44" priority="17">
      <formula>$M$25="2"</formula>
    </cfRule>
    <cfRule type="expression" dxfId="43" priority="18">
      <formula>$M$25="1"</formula>
    </cfRule>
  </conditionalFormatting>
  <conditionalFormatting sqref="J26">
    <cfRule type="expression" dxfId="42" priority="19">
      <formula>$J$26&lt;&gt;""</formula>
    </cfRule>
  </conditionalFormatting>
  <conditionalFormatting sqref="H28">
    <cfRule type="expression" dxfId="41" priority="20">
      <formula>$M$27="2"</formula>
    </cfRule>
    <cfRule type="expression" dxfId="40" priority="21">
      <formula>$M$27="1"</formula>
    </cfRule>
  </conditionalFormatting>
  <conditionalFormatting sqref="J28">
    <cfRule type="expression" dxfId="39" priority="22">
      <formula>$J$28&lt;&gt;""</formula>
    </cfRule>
  </conditionalFormatting>
  <conditionalFormatting sqref="H30">
    <cfRule type="expression" dxfId="38" priority="23">
      <formula>$M$29="2"</formula>
    </cfRule>
    <cfRule type="expression" dxfId="37" priority="24">
      <formula>$M$29="1"</formula>
    </cfRule>
  </conditionalFormatting>
  <conditionalFormatting sqref="J30">
    <cfRule type="expression" dxfId="36" priority="25">
      <formula>$J$30&lt;&gt;""</formula>
    </cfRule>
  </conditionalFormatting>
  <conditionalFormatting sqref="H32">
    <cfRule type="expression" dxfId="35" priority="26">
      <formula>$M$31="2"</formula>
    </cfRule>
    <cfRule type="expression" dxfId="34" priority="27">
      <formula>$M$31="1"</formula>
    </cfRule>
  </conditionalFormatting>
  <conditionalFormatting sqref="J32">
    <cfRule type="expression" dxfId="33" priority="28">
      <formula>$J$32&lt;&gt;""</formula>
    </cfRule>
  </conditionalFormatting>
  <conditionalFormatting sqref="H34">
    <cfRule type="expression" dxfId="32" priority="29">
      <formula>$M$33="2"</formula>
    </cfRule>
    <cfRule type="expression" dxfId="31" priority="30">
      <formula>$M$33="1"</formula>
    </cfRule>
  </conditionalFormatting>
  <conditionalFormatting sqref="J34">
    <cfRule type="expression" dxfId="30" priority="31">
      <formula>$J$34&lt;&gt;""</formula>
    </cfRule>
  </conditionalFormatting>
  <conditionalFormatting sqref="H36">
    <cfRule type="expression" dxfId="29" priority="32">
      <formula>$M$35="2"</formula>
    </cfRule>
    <cfRule type="expression" dxfId="28" priority="33">
      <formula>$M$35="1"</formula>
    </cfRule>
  </conditionalFormatting>
  <conditionalFormatting sqref="J36">
    <cfRule type="expression" dxfId="27" priority="34">
      <formula>$J$36&lt;&gt;""</formula>
    </cfRule>
  </conditionalFormatting>
  <conditionalFormatting sqref="H38">
    <cfRule type="expression" dxfId="26" priority="35">
      <formula>$M$37="2"</formula>
    </cfRule>
    <cfRule type="expression" dxfId="25" priority="36">
      <formula>$M$37="1"</formula>
    </cfRule>
  </conditionalFormatting>
  <conditionalFormatting sqref="J38">
    <cfRule type="expression" dxfId="24" priority="37">
      <formula>$J$38&lt;&gt;""</formula>
    </cfRule>
  </conditionalFormatting>
  <conditionalFormatting sqref="H40">
    <cfRule type="expression" dxfId="23" priority="38">
      <formula>$M$39="2"</formula>
    </cfRule>
    <cfRule type="expression" dxfId="22" priority="39">
      <formula>$M$39="1"</formula>
    </cfRule>
  </conditionalFormatting>
  <conditionalFormatting sqref="J40">
    <cfRule type="expression" dxfId="21" priority="40">
      <formula>$J$40&lt;&gt;""</formula>
    </cfRule>
  </conditionalFormatting>
  <conditionalFormatting sqref="J42">
    <cfRule type="expression" dxfId="20" priority="43">
      <formula>$J$42&lt;&gt;""</formula>
    </cfRule>
  </conditionalFormatting>
  <conditionalFormatting sqref="J44">
    <cfRule type="expression" dxfId="19" priority="46">
      <formula>$J$44&lt;&gt;""</formula>
    </cfRule>
  </conditionalFormatting>
  <conditionalFormatting sqref="H46">
    <cfRule type="expression" dxfId="18" priority="47">
      <formula>$M$45="2"</formula>
    </cfRule>
    <cfRule type="expression" dxfId="17" priority="48">
      <formula>$M$45="1"</formula>
    </cfRule>
  </conditionalFormatting>
  <conditionalFormatting sqref="J46">
    <cfRule type="expression" dxfId="16" priority="49">
      <formula>$J$46&lt;&gt;""</formula>
    </cfRule>
  </conditionalFormatting>
  <conditionalFormatting sqref="H48">
    <cfRule type="expression" dxfId="15" priority="50">
      <formula>$M$47="2"</formula>
    </cfRule>
    <cfRule type="expression" dxfId="14" priority="51">
      <formula>$M$47="1"</formula>
    </cfRule>
  </conditionalFormatting>
  <conditionalFormatting sqref="J48">
    <cfRule type="expression" dxfId="13" priority="52">
      <formula>$J$48&lt;&gt;""</formula>
    </cfRule>
  </conditionalFormatting>
  <conditionalFormatting sqref="H50">
    <cfRule type="expression" dxfId="12" priority="53">
      <formula>$M$49="2"</formula>
    </cfRule>
    <cfRule type="expression" dxfId="11" priority="54">
      <formula>$M$49="1"</formula>
    </cfRule>
  </conditionalFormatting>
  <conditionalFormatting sqref="J50">
    <cfRule type="expression" dxfId="10" priority="55">
      <formula>$J$50&lt;&gt;""</formula>
    </cfRule>
  </conditionalFormatting>
  <conditionalFormatting sqref="H52">
    <cfRule type="expression" dxfId="9" priority="56">
      <formula>$M$51="2"</formula>
    </cfRule>
    <cfRule type="expression" dxfId="8" priority="57">
      <formula>$M$51="1"</formula>
    </cfRule>
  </conditionalFormatting>
  <conditionalFormatting sqref="J52">
    <cfRule type="expression" dxfId="7" priority="58">
      <formula>$J$52&lt;&gt;""</formula>
    </cfRule>
  </conditionalFormatting>
  <conditionalFormatting sqref="J54">
    <cfRule type="expression" dxfId="6" priority="61">
      <formula>$J$54&lt;&gt;""</formula>
    </cfRule>
  </conditionalFormatting>
  <conditionalFormatting sqref="H44">
    <cfRule type="expression" dxfId="5" priority="5">
      <formula>$M$41="2"</formula>
    </cfRule>
    <cfRule type="expression" dxfId="4" priority="6">
      <formula>$M$41="1"</formula>
    </cfRule>
  </conditionalFormatting>
  <conditionalFormatting sqref="H42">
    <cfRule type="expression" dxfId="3" priority="3">
      <formula>$M$41="2"</formula>
    </cfRule>
    <cfRule type="expression" dxfId="2" priority="4">
      <formula>$M$41="1"</formula>
    </cfRule>
  </conditionalFormatting>
  <conditionalFormatting sqref="H54">
    <cfRule type="expression" dxfId="1" priority="1">
      <formula>$M$39="2"</formula>
    </cfRule>
    <cfRule type="expression" dxfId="0" priority="2">
      <formula>$M$39="1"</formula>
    </cfRule>
  </conditionalFormatting>
  <dataValidations count="20">
    <dataValidation type="textLength" showInputMessage="1" showErrorMessage="1" errorTitle="RSAM" error="Maximum number of characters cannot exceed {0}" sqref="F16:H16" xr:uid="{00000000-0002-0000-0000-000000000000}">
      <formula1>0</formula1>
      <formula2>3900</formula2>
    </dataValidation>
    <dataValidation type="custom" showInputMessage="1" showErrorMessage="1" errorTitle="RSAM" error="You cannot enter Name having '%' character." sqref="F10" xr:uid="{00000000-0002-0000-0000-000001000000}">
      <formula1>IF(ISERROR(FIND("%",$F$10,1)),FALSE,TRUE)=FALSE</formula1>
    </dataValidation>
    <dataValidation type="list" showInputMessage="1" showErrorMessage="1" errorTitle="RSAM" error="Select an appropriate value from the list." sqref="F20" xr:uid="{00000000-0002-0000-0000-000002000000}">
      <formula1>$B$32000:$B$32004</formula1>
    </dataValidation>
    <dataValidation type="list" showInputMessage="1" showErrorMessage="1" errorTitle="RSAM" error="Select an appropriate value from the list." sqref="F22" xr:uid="{00000000-0002-0000-0000-000003000000}">
      <formula1>$B$32005:$B$32009</formula1>
    </dataValidation>
    <dataValidation type="list" showInputMessage="1" showErrorMessage="1" errorTitle="RSAM" error="Select an appropriate value from the list." sqref="F24" xr:uid="{00000000-0002-0000-0000-000004000000}">
      <formula1>$B$32010:$B$32014</formula1>
    </dataValidation>
    <dataValidation type="list" showInputMessage="1" showErrorMessage="1" errorTitle="RSAM" error="Select an appropriate value from the list." sqref="F26" xr:uid="{00000000-0002-0000-0000-000005000000}">
      <formula1>$B$32015:$B$32019</formula1>
    </dataValidation>
    <dataValidation type="list" showInputMessage="1" showErrorMessage="1" errorTitle="RSAM" error="Select an appropriate value from the list." sqref="F28" xr:uid="{00000000-0002-0000-0000-000006000000}">
      <formula1>$B$32020:$B$32026</formula1>
    </dataValidation>
    <dataValidation type="list" showInputMessage="1" showErrorMessage="1" errorTitle="RSAM" error="Select an appropriate value from the list." sqref="F30" xr:uid="{00000000-0002-0000-0000-000007000000}">
      <formula1>$B$32027:$B$32033</formula1>
    </dataValidation>
    <dataValidation type="list" showInputMessage="1" showErrorMessage="1" errorTitle="RSAM" error="Select an appropriate value from the list." sqref="F32" xr:uid="{00000000-0002-0000-0000-000008000000}">
      <formula1>$B$32034:$B$32038</formula1>
    </dataValidation>
    <dataValidation type="list" showInputMessage="1" showErrorMessage="1" errorTitle="RSAM" error="Select an appropriate value from the list." sqref="F34" xr:uid="{00000000-0002-0000-0000-000009000000}">
      <formula1>$B$32039:$B$32045</formula1>
    </dataValidation>
    <dataValidation type="list" showInputMessage="1" showErrorMessage="1" errorTitle="RSAM" error="Select an appropriate value from the list." sqref="F36" xr:uid="{00000000-0002-0000-0000-00000A000000}">
      <formula1>$B$32046:$B$32052</formula1>
    </dataValidation>
    <dataValidation type="list" showInputMessage="1" showErrorMessage="1" errorTitle="RSAM" error="Select an appropriate value from the list." sqref="F38" xr:uid="{00000000-0002-0000-0000-00000B000000}">
      <formula1>$B$32053:$B$32057</formula1>
    </dataValidation>
    <dataValidation type="list" showInputMessage="1" showErrorMessage="1" errorTitle="RSAM" error="Select an appropriate value from the list." sqref="F40" xr:uid="{00000000-0002-0000-0000-00000C000000}">
      <formula1>$B$32058:$B$32064</formula1>
    </dataValidation>
    <dataValidation type="list" showInputMessage="1" showErrorMessage="1" errorTitle="RSAM" error="Select an appropriate value from the list." sqref="F42" xr:uid="{00000000-0002-0000-0000-00000D000000}">
      <formula1>$B$32065:$B$32069</formula1>
    </dataValidation>
    <dataValidation type="list" showInputMessage="1" showErrorMessage="1" errorTitle="RSAM" error="Select an appropriate value from the list." sqref="F44" xr:uid="{00000000-0002-0000-0000-00000E000000}">
      <formula1>$B$32070:$B$32074</formula1>
    </dataValidation>
    <dataValidation type="list" showInputMessage="1" showErrorMessage="1" errorTitle="RSAM" error="Select an appropriate value from the list." sqref="F46" xr:uid="{00000000-0002-0000-0000-00000F000000}">
      <formula1>$B$32075:$B$32079</formula1>
    </dataValidation>
    <dataValidation type="list" showInputMessage="1" showErrorMessage="1" errorTitle="RSAM" error="Select an appropriate value from the list." sqref="F48" xr:uid="{00000000-0002-0000-0000-000010000000}">
      <formula1>$B$32080:$B$32084</formula1>
    </dataValidation>
    <dataValidation type="list" showInputMessage="1" showErrorMessage="1" errorTitle="RSAM" error="Select an appropriate value from the list." sqref="F50" xr:uid="{00000000-0002-0000-0000-000011000000}">
      <formula1>$B$32085:$B$32089</formula1>
    </dataValidation>
    <dataValidation type="list" showInputMessage="1" showErrorMessage="1" errorTitle="RSAM" error="Select an appropriate value from the list." sqref="F52" xr:uid="{00000000-0002-0000-0000-000012000000}">
      <formula1>$B$32090:$B$32094</formula1>
    </dataValidation>
    <dataValidation type="list" showInputMessage="1" showErrorMessage="1" errorTitle="RSAM" error="Select an appropriate value from the list." sqref="F54" xr:uid="{00000000-0002-0000-0000-000013000000}">
      <formula1>$B$32095:$B$32099</formula1>
    </dataValidation>
  </dataValidations>
  <printOptions gridLines="1"/>
  <pageMargins left="0.75" right="0.75" top="1" bottom="1" header="0.5" footer="0.5"/>
  <headerFooter>
    <oddHeader>&amp;C&amp;A</oddHeader>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11A4E08-AE63-41AA-9DBB-025F785EDD7D}">
  <ds:schemaRefs>
    <ds:schemaRef ds:uri="http://purl.org/dc/elements/1.1/"/>
    <ds:schemaRef ds:uri="http://schemas.microsoft.com/office/2006/metadata/properties"/>
    <ds:schemaRef ds:uri="14c339db-4fcb-4cbd-8633-1201a6f0e19b"/>
    <ds:schemaRef ds:uri="http://purl.org/dc/terms/"/>
    <ds:schemaRef ds:uri="63a6c59b-4122-478b-aef6-4fc0178e5f33"/>
    <ds:schemaRef ds:uri="http://schemas.microsoft.com/office/2006/documentManagement/types"/>
    <ds:schemaRef ds:uri="http://schemas.microsoft.com/office/infopath/2007/PartnerControls"/>
    <ds:schemaRef ds:uri="http://schemas.openxmlformats.org/package/2006/metadata/core-properties"/>
    <ds:schemaRef ds:uri="http://schemas.microsoft.com/sharepoint/v3/fields"/>
    <ds:schemaRef ds:uri="http://www.w3.org/XML/1998/namespace"/>
    <ds:schemaRef ds:uri="http://purl.org/dc/dcmitype/"/>
  </ds:schemaRefs>
</ds:datastoreItem>
</file>

<file path=customXml/itemProps2.xml><?xml version="1.0" encoding="utf-8"?>
<ds:datastoreItem xmlns:ds="http://schemas.openxmlformats.org/officeDocument/2006/customXml" ds:itemID="{10B7656D-9A6C-455C-83E2-38F44302A67E}"/>
</file>

<file path=customXml/itemProps3.xml><?xml version="1.0" encoding="utf-8"?>
<ds:datastoreItem xmlns:ds="http://schemas.openxmlformats.org/officeDocument/2006/customXml" ds:itemID="{D7029463-45BF-4A53-B2C9-D9DFDB525F16}">
  <ds:schemaRefs>
    <ds:schemaRef ds:uri="http://schemas.microsoft.com/sharepoint/v3/contenttype/forms"/>
  </ds:schemaRefs>
</ds:datastoreItem>
</file>

<file path=customXml/itemProps4.xml><?xml version="1.0" encoding="utf-8"?>
<ds:datastoreItem xmlns:ds="http://schemas.openxmlformats.org/officeDocument/2006/customXml" ds:itemID="{E994BD6D-4D41-40F6-B612-F9EF1020427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UKHS SIG Lite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Benjamin Reznak</dc:creator>
  <cp:lastModifiedBy>Bruno Bendavid</cp:lastModifiedBy>
  <dcterms:created xsi:type="dcterms:W3CDTF">2019-03-26T18:57:36Z</dcterms:created>
  <dcterms:modified xsi:type="dcterms:W3CDTF">2019-05-13T19:32:25Z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ded77fa9-ba41-4fcb-9ba6-4d526916263d</vt:lpwstr>
  </property>
  <property fmtid="{D5CDD505-2E9C-101B-9397-08002B2CF9AE}" pid="4" name="Order">
    <vt:r8>46400</vt:r8>
  </property>
  <property fmtid="{D5CDD505-2E9C-101B-9397-08002B2CF9AE}" pid="5" name="_ExtendedDescription">
    <vt:lpwstr/>
  </property>
</Properties>
</file>