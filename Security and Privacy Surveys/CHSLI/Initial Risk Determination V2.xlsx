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codeName="ThisWorkbook"/>
  <mc:AlternateContent xmlns:mc="http://schemas.openxmlformats.org/markup-compatibility/2006">
    <mc:Choice Requires="x15">
      <x15ac:absPath xmlns:x15ac="http://schemas.microsoft.com/office/spreadsheetml/2010/11/ac" url="C:\Users\Bruno Bendavid\PeriGen\PeriGen Corporate Portal - RFPs &amp; Surveys\Security and Privacy Surveys\Catholic Health Services of Long Island\"/>
    </mc:Choice>
  </mc:AlternateContent>
  <xr:revisionPtr revIDLastSave="39" documentId="13_ncr:1_{E60E6800-C756-4E94-8372-465929A81565}" xr6:coauthVersionLast="44" xr6:coauthVersionMax="44" xr10:uidLastSave="{0282EF98-8877-43E3-B3D1-3D40EA41568B}"/>
  <bookViews>
    <workbookView xWindow="-120" yWindow="-120" windowWidth="38640" windowHeight="21240" tabRatio="487" firstSheet="2" activeTab="3" xr2:uid="{00000000-000D-0000-FFFF-FFFF00000000}"/>
  </bookViews>
  <sheets>
    <sheet name="IRD Instructions" sheetId="2" r:id="rId1"/>
    <sheet name="Business Information" sheetId="5" r:id="rId2"/>
    <sheet name="Background Information" sheetId="3" r:id="rId3"/>
    <sheet name="Scoring Matrix" sheetId="4" r:id="rId4"/>
  </sheets>
  <definedNames>
    <definedName name="_xlnm._FilterDatabase" localSheetId="3" hidden="1">'Scoring Matrix'!$B$2:$E$20</definedName>
    <definedName name="_xlnm.Print_Area" localSheetId="2">'Background Information'!$B$2:$C$10</definedName>
    <definedName name="_xlnm.Print_Area" localSheetId="1">'Business Information'!$B$2:$C$37</definedName>
    <definedName name="_xlnm.Print_Area" localSheetId="3">'Scoring Matrix'!$B$2:$F$25</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9" i="4" l="1"/>
  <c r="E12" i="4" l="1"/>
  <c r="E11" i="4" l="1"/>
  <c r="E7" i="4" l="1"/>
  <c r="E20" i="4" l="1"/>
  <c r="E8" i="4"/>
  <c r="E4" i="4"/>
  <c r="E5" i="4"/>
  <c r="E13" i="4"/>
  <c r="E14" i="4"/>
  <c r="E18" i="4"/>
  <c r="E17" i="4"/>
  <c r="E16" i="4"/>
  <c r="E10" i="4"/>
  <c r="E9" i="4"/>
  <c r="E15" i="4"/>
  <c r="E3" i="4"/>
  <c r="E6" i="4"/>
  <c r="C22" i="4" l="1"/>
</calcChain>
</file>

<file path=xl/sharedStrings.xml><?xml version="1.0" encoding="utf-8"?>
<sst xmlns="http://schemas.openxmlformats.org/spreadsheetml/2006/main" count="115" uniqueCount="95">
  <si>
    <t>Final Score:</t>
  </si>
  <si>
    <t>Score</t>
  </si>
  <si>
    <t>Points For "Y" answers</t>
  </si>
  <si>
    <t>Is supplier's data processing environment outsourced to a third party?</t>
  </si>
  <si>
    <t>Will they be providing us services?</t>
  </si>
  <si>
    <t>Instructions</t>
  </si>
  <si>
    <t>Will the amount of records have the potential to grow using this vendor/solution? - "Y" OR Is this a point in time? "N" OR If no records will be added to this solution/vendor, "N/A"</t>
  </si>
  <si>
    <t>Will data be transferred, stored, processed, or accessed to or from a country outside the United States?</t>
  </si>
  <si>
    <t>Will the solution/vendor have access to 500 or more records? (for 0 records, "N/A" )</t>
  </si>
  <si>
    <t>Definitions</t>
  </si>
  <si>
    <t>v12.21.15</t>
  </si>
  <si>
    <r>
      <rPr>
        <b/>
        <sz val="9"/>
        <rFont val="Arial"/>
        <family val="2"/>
      </rPr>
      <t xml:space="preserve">PCI - </t>
    </r>
    <r>
      <rPr>
        <sz val="9"/>
        <rFont val="Arial"/>
        <family val="2"/>
      </rPr>
      <t>Payment Card Industry - Data and / or businesses associated with debit, credit, and other payment cards.</t>
    </r>
  </si>
  <si>
    <r>
      <rPr>
        <b/>
        <sz val="9"/>
        <rFont val="Arial"/>
        <family val="2"/>
      </rPr>
      <t xml:space="preserve">PHI - </t>
    </r>
    <r>
      <rPr>
        <sz val="9"/>
        <rFont val="Arial"/>
        <family val="2"/>
      </rPr>
      <t>Protected Health Information - Any information about health status, provision of health care, or payment for health care that can be linked to a specific individual.</t>
    </r>
  </si>
  <si>
    <r>
      <rPr>
        <b/>
        <sz val="9"/>
        <rFont val="Arial"/>
        <family val="2"/>
      </rPr>
      <t>PII -</t>
    </r>
    <r>
      <rPr>
        <sz val="9"/>
        <rFont val="Arial"/>
        <family val="2"/>
      </rPr>
      <t xml:space="preserve"> Personally Identifiable Information - Information that can be used on its own or with other information to identify, contact, or locate a single person, or to identify an individual in context.</t>
    </r>
  </si>
  <si>
    <r>
      <rPr>
        <b/>
        <sz val="9"/>
        <rFont val="Arial"/>
        <family val="2"/>
      </rPr>
      <t xml:space="preserve">TCA - </t>
    </r>
    <r>
      <rPr>
        <sz val="9"/>
        <rFont val="Arial"/>
        <family val="2"/>
      </rPr>
      <t>Technical Compliance Assessment - This LTHC tool consists of technical related questions about the potential vendor/supplier. It also lists supporting documentation (artifacts) that may be required for the assessment.</t>
    </r>
  </si>
  <si>
    <r>
      <rPr>
        <b/>
        <sz val="9"/>
        <rFont val="Arial"/>
        <family val="2"/>
      </rPr>
      <t>"Formally Documented" -</t>
    </r>
    <r>
      <rPr>
        <sz val="9"/>
        <rFont val="Arial"/>
        <family val="2"/>
      </rPr>
      <t xml:space="preserve"> "The creation and periodic maintenance of a document as part of a standard operating procedure, standard or policy."</t>
    </r>
  </si>
  <si>
    <r>
      <rPr>
        <b/>
        <sz val="9"/>
        <rFont val="Arial"/>
        <family val="2"/>
      </rPr>
      <t>"HIPAA Compliance Assessment" -</t>
    </r>
    <r>
      <rPr>
        <sz val="9"/>
        <rFont val="Arial"/>
        <family val="2"/>
      </rPr>
      <t xml:space="preserve"> as defined by Section 164.308(a)(1)(ii)(A) of the HIPAA Security Final Rule</t>
    </r>
  </si>
  <si>
    <r>
      <rPr>
        <b/>
        <sz val="9"/>
        <rFont val="Arial"/>
        <family val="2"/>
      </rPr>
      <t>"Scoped Systems and Data" -</t>
    </r>
    <r>
      <rPr>
        <sz val="9"/>
        <rFont val="Arial"/>
        <family val="2"/>
      </rPr>
      <t xml:space="preserve"> Systems that process, store, transmit, or receive scoped LTHC data.</t>
    </r>
  </si>
  <si>
    <r>
      <rPr>
        <b/>
        <sz val="10"/>
        <color theme="1"/>
        <rFont val="Arial"/>
        <family val="2"/>
      </rPr>
      <t>Data Classification Level - Public Data</t>
    </r>
    <r>
      <rPr>
        <sz val="10"/>
        <color theme="1"/>
        <rFont val="Arial"/>
        <family val="2"/>
      </rPr>
      <t xml:space="preserve"> is data that requires no special care or handling. If disclosed to others within or outside of the Corporation, there would be little or no impact on the Corporation, its members, employees, or business associates. Examples of Public Data include, but are not limited to, general information available on our Web sites, internal information posted on bulletin boards, including general information such as training classes, cafeteria menus, etc.</t>
    </r>
  </si>
  <si>
    <r>
      <rPr>
        <b/>
        <sz val="10"/>
        <color theme="1"/>
        <rFont val="Arial"/>
        <family val="2"/>
      </rPr>
      <t>Data Classification Level - INTERNAL DATA</t>
    </r>
    <r>
      <rPr>
        <sz val="10"/>
        <color theme="1"/>
        <rFont val="Arial"/>
        <family val="2"/>
      </rPr>
      <t xml:space="preserve"> is data that requires an appropriate level of protection from disclosure or modification. This data, if modified or disclosed, would have some impact on the Corporation's operating environment, its members, employees, or business associates. Examples of Internal Data include, but are not limited to, announcements, telephone directories, program source code, operating procedures, policies and standards.</t>
    </r>
  </si>
  <si>
    <t>y = All criteria in question is true
n = All or some of the criteria in question is NOT true
n/a = not applicable due to circumstances with engagement</t>
  </si>
  <si>
    <r>
      <t xml:space="preserve">Please proceed to the </t>
    </r>
    <r>
      <rPr>
        <b/>
        <sz val="18"/>
        <color indexed="53"/>
        <rFont val="Arial"/>
        <family val="2"/>
      </rPr>
      <t>BACKGROUND INFORMATION</t>
    </r>
    <r>
      <rPr>
        <b/>
        <sz val="18"/>
        <rFont val="Arial"/>
        <family val="2"/>
      </rPr>
      <t xml:space="preserve"> tab</t>
    </r>
  </si>
  <si>
    <t>Scope Question</t>
  </si>
  <si>
    <r>
      <rPr>
        <b/>
        <sz val="18"/>
        <rFont val="Arial"/>
        <family val="2"/>
      </rPr>
      <t>Please proceed to the</t>
    </r>
    <r>
      <rPr>
        <b/>
        <sz val="18"/>
        <color indexed="10"/>
        <rFont val="Arial"/>
        <family val="2"/>
      </rPr>
      <t xml:space="preserve"> </t>
    </r>
    <r>
      <rPr>
        <b/>
        <sz val="18"/>
        <color indexed="17"/>
        <rFont val="Arial"/>
        <family val="2"/>
      </rPr>
      <t>SCORING MATRIX</t>
    </r>
    <r>
      <rPr>
        <b/>
        <sz val="18"/>
        <color indexed="10"/>
        <rFont val="Arial"/>
        <family val="2"/>
      </rPr>
      <t xml:space="preserve"> </t>
    </r>
    <r>
      <rPr>
        <b/>
        <sz val="18"/>
        <rFont val="Arial"/>
        <family val="2"/>
      </rPr>
      <t>tab</t>
    </r>
  </si>
  <si>
    <t>2Q16</t>
  </si>
  <si>
    <r>
      <rPr>
        <b/>
        <sz val="9"/>
        <color theme="1"/>
        <rFont val="Arial"/>
        <family val="2"/>
      </rPr>
      <t>Data Classification Level - CONFIDENTIAL DATA</t>
    </r>
    <r>
      <rPr>
        <sz val="9"/>
        <color theme="1"/>
        <rFont val="Arial"/>
        <family val="2"/>
      </rPr>
      <t xml:space="preserve"> requires controlled access provided on a ‘need to know basis.’ This data, if modified or disclosed, would have a direct and immediate impact on the Corporation, potentially causing serious damage to the Corporation, its members, employees, or business associates. Modification or disclosure may also be against the law. Examples of Confidential Data include, but are not limited to data restricted by regulation, protected health information (PHI), member information, personal identifiable information (PII), employee information, business plans, legal contracts, and financial information. The Corporation employs a ‘zero tolerance’ policy regarding the unauthorized access, modification, and disclosure of Confidential Data.</t>
    </r>
  </si>
  <si>
    <r>
      <t xml:space="preserve">Is this a </t>
    </r>
    <r>
      <rPr>
        <u/>
        <sz val="9"/>
        <rFont val="Arial"/>
        <family val="2"/>
      </rPr>
      <t>new</t>
    </r>
    <r>
      <rPr>
        <sz val="9"/>
        <rFont val="Arial"/>
        <family val="2"/>
      </rPr>
      <t xml:space="preserve"> vendor that we will be doing business with?</t>
    </r>
  </si>
  <si>
    <r>
      <t xml:space="preserve">Are we adding </t>
    </r>
    <r>
      <rPr>
        <u/>
        <sz val="9"/>
        <rFont val="Arial"/>
        <family val="2"/>
      </rPr>
      <t>new</t>
    </r>
    <r>
      <rPr>
        <sz val="9"/>
        <rFont val="Arial"/>
        <family val="2"/>
      </rPr>
      <t xml:space="preserve"> software or hardware to our environment?</t>
    </r>
  </si>
  <si>
    <t xml:space="preserve"> Question/Request</t>
  </si>
  <si>
    <t>Response</t>
  </si>
  <si>
    <t>Will any company confidential data be available via a publically accessible website?</t>
  </si>
  <si>
    <t>Additional Information</t>
  </si>
  <si>
    <t>Please provide the below responses to establish the scope</t>
  </si>
  <si>
    <t xml:space="preserve">&lt;Add Scope summary here&gt;                                     
Please provide a summary of the services and any background information on the supplier. </t>
  </si>
  <si>
    <t>If this item is a re-assessment, has the scope or services/project changed from last assessment?</t>
  </si>
  <si>
    <t>Will any non-United States resident (off-shore) personnel be involved in implementing, development, and/or support of this solution? (not including contractual maintenance and support)</t>
  </si>
  <si>
    <t xml:space="preserve">Has the vendor/supplier organization experienced any security breaches within the past 5 years resulting in disclosure of client information? </t>
  </si>
  <si>
    <r>
      <t xml:space="preserve">Please provide completed results of the assessment and all supporting documentation to </t>
    </r>
    <r>
      <rPr>
        <sz val="9"/>
        <color indexed="10"/>
        <rFont val="Arial"/>
        <family val="2"/>
      </rPr>
      <t>(Security Assessment email)</t>
    </r>
  </si>
  <si>
    <r>
      <rPr>
        <b/>
        <sz val="9"/>
        <rFont val="Arial"/>
        <family val="2"/>
      </rPr>
      <t>All following questions are required to be answered either Y, N, or N/A. N/A answers may require additional follow up.</t>
    </r>
    <r>
      <rPr>
        <sz val="9"/>
        <rFont val="Arial"/>
        <family val="2"/>
      </rPr>
      <t xml:space="preserve">
If you have any questions about completing this assessment please contact </t>
    </r>
    <r>
      <rPr>
        <sz val="9"/>
        <color indexed="10"/>
        <rFont val="Arial"/>
        <family val="2"/>
      </rPr>
      <t>(Security Assessment email)</t>
    </r>
    <r>
      <rPr>
        <sz val="9"/>
        <rFont val="Arial"/>
        <family val="2"/>
      </rPr>
      <t xml:space="preserve"> with your contact information and questions and a member of the Technical Security Team will contact you to address your inquiry.</t>
    </r>
  </si>
  <si>
    <r>
      <rPr>
        <b/>
        <sz val="9"/>
        <rFont val="Arial"/>
        <family val="2"/>
      </rPr>
      <t xml:space="preserve">BCA - </t>
    </r>
    <r>
      <rPr>
        <sz val="9"/>
        <rFont val="Arial"/>
        <family val="2"/>
      </rPr>
      <t>Business Compliance Assessment – This CHS tool consists of business related questions about the potential vendor/supplier.  It also lists supporting documentation (artifacts) that may be required for the assessment.</t>
    </r>
  </si>
  <si>
    <r>
      <rPr>
        <b/>
        <sz val="9"/>
        <rFont val="Arial"/>
        <family val="2"/>
      </rPr>
      <t xml:space="preserve">IRD - </t>
    </r>
    <r>
      <rPr>
        <sz val="9"/>
        <rFont val="Arial"/>
        <family val="2"/>
      </rPr>
      <t>Initial Risk Determination – This CHS tool will assist in determining if a “Full Assessment” is required.</t>
    </r>
  </si>
  <si>
    <r>
      <rPr>
        <b/>
        <sz val="9"/>
        <rFont val="Arial"/>
        <family val="2"/>
      </rPr>
      <t>CHS-</t>
    </r>
    <r>
      <rPr>
        <sz val="9"/>
        <rFont val="Arial"/>
        <family val="2"/>
      </rPr>
      <t xml:space="preserve"> Catholic Health Services</t>
    </r>
  </si>
  <si>
    <r>
      <t>You have been provided with this Initial Risk Determination sheet in order for us to evaluate the "initial" risk a potential vendor/supplier may pose to a particular project and/or to the overall security of CHS.   Please complete all questions on the "</t>
    </r>
    <r>
      <rPr>
        <b/>
        <sz val="9"/>
        <color theme="9" tint="-0.249977111117893"/>
        <rFont val="Arial"/>
        <family val="2"/>
      </rPr>
      <t>Background Information</t>
    </r>
    <r>
      <rPr>
        <sz val="9"/>
        <rFont val="Arial"/>
        <family val="2"/>
      </rPr>
      <t>" and "</t>
    </r>
    <r>
      <rPr>
        <b/>
        <sz val="9"/>
        <color rgb="FF00B050"/>
        <rFont val="Arial"/>
        <family val="2"/>
      </rPr>
      <t>Scoring Matrix</t>
    </r>
    <r>
      <rPr>
        <sz val="9"/>
        <rFont val="Arial"/>
        <family val="2"/>
      </rPr>
      <t xml:space="preserve">" tabs. 
When providing responses, please respond using the "drop down list" on the cell following the question.    </t>
    </r>
    <r>
      <rPr>
        <b/>
        <sz val="10"/>
        <color rgb="FFFF0000"/>
        <rFont val="Arial"/>
        <family val="2"/>
      </rPr>
      <t/>
    </r>
  </si>
  <si>
    <t>Are user accounts for the solution maintained or modified (added/removed) by non CHS processes or staff?</t>
  </si>
  <si>
    <t>Will any part of this project/solution (including ongoing activities beyond completion) be supported by non-CHS personnel? (not including contractual maintenance and support)</t>
  </si>
  <si>
    <t>Will data storage and/or processing activities concerning CHS data take place off-site at the supplier's location?</t>
  </si>
  <si>
    <t>Will the solution/vendor have access to Personally Identifiable Information (PII) data owned by CHS?
If no PII data is available to solution/vendor, "N/A"</t>
  </si>
  <si>
    <t>Will the solution/vendor have access to Protected Health Information  (PHI) data owned by CHS?
If no PHI data is available to solution/vendor, "N/A"</t>
  </si>
  <si>
    <t>Will the solution/vendor have access to Payment Card Industry (PCI) data owned by CHS?
If no PCI data is available to solution/vendor, "N/A"</t>
  </si>
  <si>
    <t>Will this project/solution facilitate access to CHS applications and/or infrastructure by non-CHS personnel?</t>
  </si>
  <si>
    <t>Will non-CHS owned equipment connect to the CHS network?
ex: Laptops, Servers, etc. For software, "N/A"</t>
  </si>
  <si>
    <t>CHSLI reserves the right to request additional assessment information regardless of Final Score outcome</t>
  </si>
  <si>
    <t>Is any portion of this solution hosted on infrastructure that resides outside of the CHSLI network?</t>
  </si>
  <si>
    <t>Will CHS data be stored (including backups) for equal to or greater than 2 years?  -" Y"   OR  Will CHS data be stored (including backups) for less than 2 years - "N" OR no CHS data will be stored "N/A"</t>
  </si>
  <si>
    <t>Business Information</t>
  </si>
  <si>
    <t>Responder Full Name</t>
  </si>
  <si>
    <t>Responder Job Title</t>
  </si>
  <si>
    <t>Responder Email Address</t>
  </si>
  <si>
    <t>Responder Phone Number</t>
  </si>
  <si>
    <t>Today's Date MM/DD/YYYY format</t>
  </si>
  <si>
    <t>Company Profile</t>
  </si>
  <si>
    <t>Company/business name</t>
  </si>
  <si>
    <t>Name of the holding or parent company if applicable</t>
  </si>
  <si>
    <t>Publicly or privately held company</t>
  </si>
  <si>
    <t>State of incorporation (Please spell out state)</t>
  </si>
  <si>
    <t>Are there any material claims or judgments against the company</t>
  </si>
  <si>
    <t xml:space="preserve"> - If yes, describe the impact it may have on the services in scope of this document</t>
  </si>
  <si>
    <r>
      <t xml:space="preserve">Information Technology Environment Details
</t>
    </r>
    <r>
      <rPr>
        <b/>
        <i/>
        <sz val="12"/>
        <rFont val="Arial"/>
        <family val="2"/>
      </rPr>
      <t>(relative to scope of services provided)</t>
    </r>
  </si>
  <si>
    <t xml:space="preserve">Production site physical address, city, state, zip, country </t>
  </si>
  <si>
    <t>Secondary / Backup site physical address, city, state, zip, country</t>
  </si>
  <si>
    <t>Any additional locations where Scoped Systems and Data is stored</t>
  </si>
  <si>
    <t xml:space="preserve"> If so, provide locations (address, city, state, zip, country).</t>
  </si>
  <si>
    <t>Provide details in the following areas:</t>
  </si>
  <si>
    <t>- Operating systems used (ex: Windows 2012 R2, Windows 7)</t>
  </si>
  <si>
    <t>- Workstations (# of devices)</t>
  </si>
  <si>
    <t>- Servers (# of devices)</t>
  </si>
  <si>
    <t>- List Applications in scope</t>
  </si>
  <si>
    <t>- Number of employees by function (e.g., development, systems operations, information security)</t>
  </si>
  <si>
    <r>
      <rPr>
        <sz val="9"/>
        <color indexed="8"/>
        <rFont val="Arial"/>
        <family val="2"/>
      </rPr>
      <t>N</t>
    </r>
    <r>
      <rPr>
        <sz val="9"/>
        <rFont val="Arial"/>
        <family val="2"/>
      </rPr>
      <t>ame and description of service (relative to scope of this questionnaire)</t>
    </r>
  </si>
  <si>
    <t>Type of service provided: (ex: hosted services, professional services, advisory services)</t>
  </si>
  <si>
    <r>
      <rPr>
        <b/>
        <sz val="18"/>
        <rFont val="Arial"/>
        <family val="2"/>
      </rPr>
      <t>Please proceed to the</t>
    </r>
    <r>
      <rPr>
        <b/>
        <sz val="18"/>
        <color indexed="10"/>
        <rFont val="Arial"/>
        <family val="2"/>
      </rPr>
      <t xml:space="preserve"> </t>
    </r>
    <r>
      <rPr>
        <b/>
        <sz val="18"/>
        <color indexed="17"/>
        <rFont val="Arial"/>
        <family val="2"/>
      </rPr>
      <t>BACKGROUND INFORMATION</t>
    </r>
    <r>
      <rPr>
        <b/>
        <sz val="18"/>
        <color indexed="10"/>
        <rFont val="Arial"/>
        <family val="2"/>
      </rPr>
      <t xml:space="preserve"> </t>
    </r>
    <r>
      <rPr>
        <b/>
        <sz val="18"/>
        <rFont val="Arial"/>
        <family val="2"/>
      </rPr>
      <t>tab</t>
    </r>
  </si>
  <si>
    <t>Assessment Profile</t>
  </si>
  <si>
    <t>CHSLI Assessor Name</t>
  </si>
  <si>
    <t>Assessor Job Title</t>
  </si>
  <si>
    <t>IRD Assessment Start Date</t>
  </si>
  <si>
    <t>IRD Assessment Completed Date</t>
  </si>
  <si>
    <t xml:space="preserve">If using Contingent/Non-CHSEmployees, Will the individual be working remotely?  -" Y"   OR  Will the individual be working on-site - "N"… If no Contingent/Non-CHS Employees are used, "N/A" </t>
  </si>
  <si>
    <t>y</t>
  </si>
  <si>
    <t>n</t>
  </si>
  <si>
    <t>N/A</t>
  </si>
  <si>
    <t>Customer decision</t>
  </si>
  <si>
    <t>PeriGen has a development shop in Israel but all support activity is done from the US based HQ.</t>
  </si>
  <si>
    <t>The Vigilance solution provides early warning system for all mothers is labor. A good rule of thumb for total records created is based on the "annual birth rate" x 1.3 to account for all pre-natal visits.</t>
  </si>
  <si>
    <t>DB Records can be maintained without limit or purged according to a customer defined need.</t>
  </si>
  <si>
    <t>All data is stored on CHS provided servers on the CHS netwrok.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</si>
</sst>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31" x14ac:knownFonts="1">
    <font>
      <sz val="10"/>
      <name val="Arial"/>
    </font>
    <font>
      <sz val="11"/>
      <color theme="1"/>
      <name val="Calibri"/>
      <family val="2"/>
      <scheme val="minor"/>
    </font>
    <font>
      <i/>
      <sz val="9"/>
      <name val="Arial"/>
      <family val="2"/>
    </font>
    <font>
      <sz val="10"/>
      <name val="Arial"/>
      <family val="2"/>
    </font>
    <font>
      <b/>
      <i/>
      <sz val="12"/>
      <name val="Arial"/>
      <family val="2"/>
    </font>
    <font>
      <i/>
      <sz val="12"/>
      <name val="Arial"/>
      <family val="2"/>
    </font>
    <font>
      <sz val="12"/>
      <name val="Arial"/>
      <family val="2"/>
    </font>
    <font>
      <b/>
      <sz val="12"/>
      <name val="Arial"/>
      <family val="2"/>
    </font>
    <font>
      <b/>
      <i/>
      <sz val="18"/>
      <name val="Arial"/>
      <family val="2"/>
    </font>
    <font>
      <b/>
      <sz val="11"/>
      <name val="Arial"/>
      <family val="2"/>
    </font>
    <font>
      <b/>
      <sz val="10"/>
      <color rgb="FFFF0000"/>
      <name val="Arial"/>
      <family val="2"/>
    </font>
    <font>
      <sz val="10"/>
      <color theme="0"/>
      <name val="Arial"/>
      <family val="2"/>
    </font>
    <font>
      <sz val="11"/>
      <color theme="0"/>
      <name val="Calibri"/>
      <family val="2"/>
      <scheme val="minor"/>
    </font>
    <font>
      <sz val="9"/>
      <name val="Arial"/>
      <family val="2"/>
    </font>
    <font>
      <b/>
      <sz val="9"/>
      <name val="Arial"/>
      <family val="2"/>
    </font>
    <font>
      <sz val="10"/>
      <color theme="1"/>
      <name val="Arial"/>
      <family val="2"/>
    </font>
    <font>
      <b/>
      <sz val="10"/>
      <color theme="1"/>
      <name val="Arial"/>
      <family val="2"/>
    </font>
    <font>
      <sz val="9"/>
      <color indexed="10"/>
      <name val="Arial"/>
      <family val="2"/>
    </font>
    <font>
      <b/>
      <sz val="18"/>
      <name val="Arial"/>
      <family val="2"/>
    </font>
    <font>
      <b/>
      <sz val="18"/>
      <color indexed="53"/>
      <name val="Arial"/>
      <family val="2"/>
    </font>
    <font>
      <sz val="9"/>
      <color theme="1"/>
      <name val="Arial"/>
      <family val="2"/>
    </font>
    <font>
      <b/>
      <sz val="18"/>
      <color rgb="FFFF0000"/>
      <name val="Arial"/>
      <family val="2"/>
    </font>
    <font>
      <b/>
      <sz val="18"/>
      <color indexed="10"/>
      <name val="Arial"/>
      <family val="2"/>
    </font>
    <font>
      <b/>
      <sz val="18"/>
      <color indexed="17"/>
      <name val="Arial"/>
      <family val="2"/>
    </font>
    <font>
      <b/>
      <sz val="9"/>
      <color theme="1"/>
      <name val="Arial"/>
      <family val="2"/>
    </font>
    <font>
      <b/>
      <sz val="9"/>
      <color theme="9" tint="-0.249977111117893"/>
      <name val="Arial"/>
      <family val="2"/>
    </font>
    <font>
      <b/>
      <sz val="9"/>
      <color rgb="FF00B050"/>
      <name val="Arial"/>
      <family val="2"/>
    </font>
    <font>
      <u/>
      <sz val="9"/>
      <name val="Arial"/>
      <family val="2"/>
    </font>
    <font>
      <b/>
      <sz val="14"/>
      <color rgb="FFFF0000"/>
      <name val="Arial"/>
      <family val="2"/>
    </font>
    <font>
      <sz val="9"/>
      <color indexed="8"/>
      <name val="Arial"/>
      <family val="2"/>
    </font>
    <font>
      <sz val="1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14996795556505021"/>
        <bgColor indexed="64"/>
      </patternFill>
    </fill>
    <fill>
      <patternFill patternType="mediumGray">
        <fgColor indexed="22"/>
      </patternFill>
    </fill>
    <fill>
      <patternFill patternType="solid">
        <fgColor theme="4" tint="0.79998168889431442"/>
        <bgColor theme="4" tint="0.79998168889431442"/>
      </patternFill>
    </fill>
  </fills>
  <borders count="31">
    <border>
      <left/>
      <right/>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theme="4" tint="0.39997558519241921"/>
      </top>
      <bottom style="thin">
        <color theme="4" tint="0.39997558519241921"/>
      </bottom>
      <diagonal/>
    </border>
    <border>
      <left style="medium">
        <color indexed="64"/>
      </left>
      <right style="medium">
        <color indexed="64"/>
      </right>
      <top style="thin">
        <color theme="4" tint="0.39997558519241921"/>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95">
    <xf numFmtId="0" fontId="0" fillId="0" borderId="0" xfId="0"/>
    <xf numFmtId="0" fontId="0" fillId="0" borderId="0" xfId="0" applyAlignment="1">
      <alignment wrapText="1"/>
    </xf>
    <xf numFmtId="0" fontId="8" fillId="3" borderId="2" xfId="0" applyFont="1" applyFill="1" applyBorder="1" applyAlignment="1">
      <alignment horizontal="center" vertical="center" wrapText="1"/>
    </xf>
    <xf numFmtId="0" fontId="0" fillId="2" borderId="0" xfId="0" applyFill="1"/>
    <xf numFmtId="0" fontId="6" fillId="2" borderId="0" xfId="0" applyFont="1" applyFill="1" applyBorder="1"/>
    <xf numFmtId="0" fontId="6" fillId="2" borderId="0" xfId="0" applyFont="1" applyFill="1" applyBorder="1" applyAlignment="1">
      <alignment horizontal="center"/>
    </xf>
    <xf numFmtId="0" fontId="0" fillId="2" borderId="0" xfId="0" applyFill="1" applyBorder="1"/>
    <xf numFmtId="0" fontId="6" fillId="2" borderId="0" xfId="0" applyFont="1" applyFill="1"/>
    <xf numFmtId="0" fontId="6" fillId="2" borderId="0" xfId="0" applyFont="1" applyFill="1" applyAlignment="1">
      <alignment horizontal="right"/>
    </xf>
    <xf numFmtId="0" fontId="0" fillId="2" borderId="0" xfId="0" applyFill="1" applyAlignment="1">
      <alignment horizontal="right"/>
    </xf>
    <xf numFmtId="0" fontId="3" fillId="2" borderId="0" xfId="0" applyFont="1" applyFill="1" applyAlignment="1">
      <alignment horizontal="center"/>
    </xf>
    <xf numFmtId="0" fontId="6" fillId="2" borderId="0" xfId="0" applyFont="1" applyFill="1" applyBorder="1" applyAlignment="1">
      <alignment horizontal="right"/>
    </xf>
    <xf numFmtId="0" fontId="5" fillId="2" borderId="6" xfId="0" applyFont="1" applyFill="1" applyBorder="1" applyAlignment="1" applyProtection="1">
      <alignment horizontal="center"/>
      <protection locked="0"/>
    </xf>
    <xf numFmtId="0" fontId="6" fillId="2" borderId="10" xfId="0" applyFont="1" applyFill="1" applyBorder="1" applyAlignment="1">
      <alignment horizontal="center"/>
    </xf>
    <xf numFmtId="0" fontId="7" fillId="2" borderId="6" xfId="0" applyFont="1" applyFill="1" applyBorder="1" applyAlignment="1">
      <alignment horizontal="left" vertical="top" wrapText="1"/>
    </xf>
    <xf numFmtId="0" fontId="0" fillId="2" borderId="0" xfId="0" applyFill="1" applyAlignment="1">
      <alignment horizontal="left" vertical="top" wrapText="1"/>
    </xf>
    <xf numFmtId="0" fontId="6" fillId="2" borderId="0" xfId="0" applyFont="1" applyFill="1" applyBorder="1" applyAlignment="1">
      <alignment horizontal="left" vertical="top" wrapText="1"/>
    </xf>
    <xf numFmtId="0" fontId="11" fillId="0" borderId="0" xfId="0" applyFont="1"/>
    <xf numFmtId="0" fontId="18" fillId="0" borderId="0" xfId="0" applyFont="1" applyFill="1" applyBorder="1" applyAlignment="1"/>
    <xf numFmtId="0" fontId="20" fillId="0" borderId="0" xfId="0" applyFont="1" applyAlignment="1">
      <alignment vertical="top" wrapText="1"/>
    </xf>
    <xf numFmtId="0" fontId="0" fillId="0" borderId="0" xfId="0" applyAlignment="1">
      <alignment horizontal="left" vertical="top"/>
    </xf>
    <xf numFmtId="0" fontId="20" fillId="0" borderId="2" xfId="0" applyFont="1" applyBorder="1" applyAlignment="1">
      <alignment horizontal="left" vertical="top" wrapText="1"/>
    </xf>
    <xf numFmtId="0" fontId="11" fillId="0" borderId="0" xfId="0" applyFont="1" applyAlignment="1">
      <alignment wrapText="1"/>
    </xf>
    <xf numFmtId="0" fontId="13" fillId="0" borderId="6" xfId="0" applyFont="1" applyFill="1" applyBorder="1" applyAlignment="1">
      <alignment wrapText="1"/>
    </xf>
    <xf numFmtId="0" fontId="18" fillId="4" borderId="7" xfId="0" applyFont="1" applyFill="1" applyBorder="1" applyAlignment="1" applyProtection="1">
      <alignment horizontal="center" vertical="center" wrapText="1"/>
    </xf>
    <xf numFmtId="0" fontId="11" fillId="2" borderId="0" xfId="0" applyFont="1" applyFill="1" applyAlignment="1">
      <alignment horizontal="left" vertical="top" wrapText="1"/>
    </xf>
    <xf numFmtId="0" fontId="4" fillId="2" borderId="17" xfId="0" applyFont="1" applyFill="1" applyBorder="1" applyAlignment="1">
      <alignment horizontal="center"/>
    </xf>
    <xf numFmtId="0" fontId="4" fillId="2" borderId="18" xfId="0" applyFont="1" applyFill="1" applyBorder="1" applyAlignment="1">
      <alignment horizontal="center"/>
    </xf>
    <xf numFmtId="0" fontId="18" fillId="4" borderId="21" xfId="0" applyFont="1" applyFill="1" applyBorder="1" applyAlignment="1" applyProtection="1">
      <alignment horizontal="center" vertical="center" wrapText="1"/>
    </xf>
    <xf numFmtId="0" fontId="18" fillId="4" borderId="22" xfId="0" applyFont="1" applyFill="1" applyBorder="1" applyAlignment="1" applyProtection="1">
      <alignment horizontal="left" vertical="top" wrapText="1"/>
    </xf>
    <xf numFmtId="0" fontId="13" fillId="0" borderId="2" xfId="0" applyFont="1" applyBorder="1" applyAlignment="1">
      <alignment horizontal="left" vertical="top" wrapText="1"/>
    </xf>
    <xf numFmtId="0" fontId="1" fillId="0" borderId="0" xfId="1"/>
    <xf numFmtId="0" fontId="1" fillId="0" borderId="0" xfId="1" applyAlignment="1">
      <alignment horizontal="left" vertical="top"/>
    </xf>
    <xf numFmtId="0" fontId="13" fillId="0" borderId="25" xfId="1" applyFont="1" applyFill="1" applyBorder="1" applyAlignment="1" applyProtection="1">
      <alignment horizontal="left" vertical="top" indent="2"/>
    </xf>
    <xf numFmtId="0" fontId="13" fillId="0" borderId="7" xfId="1" applyFont="1" applyFill="1" applyBorder="1" applyAlignment="1" applyProtection="1">
      <alignment wrapText="1"/>
      <protection locked="0"/>
    </xf>
    <xf numFmtId="0" fontId="13" fillId="0" borderId="26" xfId="1" applyFont="1" applyFill="1" applyBorder="1" applyAlignment="1" applyProtection="1">
      <alignment horizontal="left" vertical="top" indent="2"/>
    </xf>
    <xf numFmtId="0" fontId="14" fillId="0" borderId="4" xfId="1" applyFont="1" applyFill="1" applyBorder="1" applyAlignment="1" applyProtection="1">
      <alignment wrapText="1"/>
      <protection locked="0"/>
    </xf>
    <xf numFmtId="0" fontId="13" fillId="0" borderId="27" xfId="1" applyFont="1" applyFill="1" applyBorder="1" applyAlignment="1" applyProtection="1">
      <alignment horizontal="left" vertical="top" indent="2"/>
    </xf>
    <xf numFmtId="164" fontId="14" fillId="0" borderId="5" xfId="1" applyNumberFormat="1" applyFont="1" applyFill="1" applyBorder="1" applyAlignment="1" applyProtection="1">
      <alignment wrapText="1"/>
      <protection locked="0"/>
    </xf>
    <xf numFmtId="0" fontId="13" fillId="0" borderId="25" xfId="1" applyFont="1" applyFill="1" applyBorder="1" applyAlignment="1" applyProtection="1">
      <alignment horizontal="left" vertical="top" wrapText="1" indent="2"/>
    </xf>
    <xf numFmtId="0" fontId="14" fillId="0" borderId="7" xfId="1" applyFont="1" applyFill="1" applyBorder="1" applyAlignment="1" applyProtection="1">
      <alignment wrapText="1"/>
      <protection locked="0"/>
    </xf>
    <xf numFmtId="0" fontId="13" fillId="0" borderId="26" xfId="1" applyFont="1" applyFill="1" applyBorder="1" applyAlignment="1" applyProtection="1">
      <alignment horizontal="left" vertical="top" wrapText="1" indent="2"/>
    </xf>
    <xf numFmtId="0" fontId="14" fillId="0" borderId="4" xfId="1" applyFont="1" applyFill="1" applyBorder="1" applyAlignment="1" applyProtection="1">
      <alignment horizontal="center" vertical="center" wrapText="1"/>
      <protection locked="0"/>
    </xf>
    <xf numFmtId="0" fontId="13" fillId="0" borderId="27" xfId="1" applyFont="1" applyFill="1" applyBorder="1" applyAlignment="1" applyProtection="1">
      <alignment horizontal="left" vertical="top" wrapText="1" indent="2"/>
    </xf>
    <xf numFmtId="0" fontId="14" fillId="0" borderId="5" xfId="1" applyFont="1" applyFill="1" applyBorder="1" applyAlignment="1" applyProtection="1">
      <alignment wrapText="1"/>
      <protection locked="0"/>
    </xf>
    <xf numFmtId="0" fontId="13" fillId="0" borderId="26" xfId="1" applyFont="1" applyBorder="1" applyAlignment="1" applyProtection="1">
      <alignment horizontal="left" vertical="top" wrapText="1" indent="2"/>
    </xf>
    <xf numFmtId="0" fontId="13" fillId="0" borderId="30" xfId="1" applyFont="1" applyBorder="1" applyAlignment="1" applyProtection="1">
      <alignment horizontal="left" vertical="top" wrapText="1" indent="2"/>
    </xf>
    <xf numFmtId="0" fontId="1" fillId="0" borderId="4" xfId="1" applyBorder="1"/>
    <xf numFmtId="0" fontId="13" fillId="0" borderId="26" xfId="1" quotePrefix="1" applyFont="1" applyBorder="1" applyAlignment="1" applyProtection="1">
      <alignment horizontal="left" vertical="top" wrapText="1" indent="2"/>
    </xf>
    <xf numFmtId="0" fontId="13" fillId="0" borderId="27" xfId="1" quotePrefix="1" applyFont="1" applyBorder="1" applyAlignment="1" applyProtection="1">
      <alignment horizontal="left" vertical="top" wrapText="1" indent="2"/>
    </xf>
    <xf numFmtId="0" fontId="13" fillId="0" borderId="25" xfId="1" applyFont="1" applyBorder="1" applyAlignment="1" applyProtection="1">
      <alignment horizontal="left" vertical="top" wrapText="1" indent="2"/>
    </xf>
    <xf numFmtId="0" fontId="12" fillId="0" borderId="0" xfId="1" applyFont="1" applyAlignment="1">
      <alignment horizontal="left" vertical="top"/>
    </xf>
    <xf numFmtId="14" fontId="3" fillId="2" borderId="0" xfId="0" applyNumberFormat="1" applyFont="1" applyFill="1" applyAlignment="1">
      <alignment horizontal="center"/>
    </xf>
    <xf numFmtId="0" fontId="20" fillId="5" borderId="23" xfId="0" applyFont="1" applyFill="1" applyBorder="1" applyAlignment="1">
      <alignment horizontal="left" vertical="top" wrapText="1"/>
    </xf>
    <xf numFmtId="0" fontId="5" fillId="0" borderId="21" xfId="0" applyFont="1" applyFill="1" applyBorder="1" applyAlignment="1" applyProtection="1">
      <alignment horizontal="center" vertical="top"/>
      <protection locked="0"/>
    </xf>
    <xf numFmtId="0" fontId="6" fillId="2" borderId="15" xfId="0" applyFont="1" applyFill="1" applyBorder="1" applyAlignment="1">
      <alignment vertical="top"/>
    </xf>
    <xf numFmtId="0" fontId="6" fillId="2" borderId="4" xfId="0" applyFont="1" applyFill="1" applyBorder="1" applyAlignment="1">
      <alignment horizontal="right" vertical="top"/>
    </xf>
    <xf numFmtId="0" fontId="12" fillId="2" borderId="4" xfId="0" applyFont="1" applyFill="1" applyBorder="1" applyAlignment="1">
      <alignment horizontal="center" vertical="top"/>
    </xf>
    <xf numFmtId="0" fontId="0" fillId="2" borderId="0" xfId="0" applyFill="1" applyAlignment="1">
      <alignment vertical="top"/>
    </xf>
    <xf numFmtId="0" fontId="20" fillId="0" borderId="23" xfId="0" applyFont="1" applyBorder="1" applyAlignment="1">
      <alignment horizontal="left" vertical="top" wrapText="1"/>
    </xf>
    <xf numFmtId="0" fontId="6" fillId="2" borderId="9" xfId="0" applyFont="1" applyFill="1" applyBorder="1" applyAlignment="1">
      <alignment horizontal="right" vertical="top"/>
    </xf>
    <xf numFmtId="0" fontId="0" fillId="2" borderId="0" xfId="0" applyFill="1" applyBorder="1" applyAlignment="1">
      <alignment vertical="top"/>
    </xf>
    <xf numFmtId="0" fontId="6" fillId="2" borderId="16" xfId="0" applyFont="1" applyFill="1" applyBorder="1" applyAlignment="1">
      <alignment vertical="top"/>
    </xf>
    <xf numFmtId="0" fontId="6" fillId="2" borderId="3" xfId="0" applyFont="1" applyFill="1" applyBorder="1" applyAlignment="1">
      <alignment horizontal="right" vertical="top"/>
    </xf>
    <xf numFmtId="0" fontId="13" fillId="5" borderId="23" xfId="0" applyFont="1" applyFill="1" applyBorder="1" applyAlignment="1">
      <alignment horizontal="left" vertical="top" wrapText="1"/>
    </xf>
    <xf numFmtId="0" fontId="6" fillId="2" borderId="7" xfId="0" applyFont="1" applyFill="1" applyBorder="1" applyAlignment="1">
      <alignment horizontal="right" vertical="top"/>
    </xf>
    <xf numFmtId="0" fontId="6" fillId="2" borderId="5" xfId="0" applyFont="1" applyFill="1" applyBorder="1" applyAlignment="1">
      <alignment horizontal="right" vertical="top"/>
    </xf>
    <xf numFmtId="0" fontId="6" fillId="2" borderId="8" xfId="0" applyFont="1" applyFill="1" applyBorder="1" applyAlignment="1">
      <alignment horizontal="right" vertical="top"/>
    </xf>
    <xf numFmtId="0" fontId="20" fillId="0" borderId="24" xfId="0" applyFont="1" applyBorder="1" applyAlignment="1">
      <alignment horizontal="left" vertical="top" wrapText="1"/>
    </xf>
    <xf numFmtId="0" fontId="5" fillId="0" borderId="10" xfId="0" applyFont="1" applyFill="1" applyBorder="1" applyAlignment="1" applyProtection="1">
      <alignment horizontal="center" vertical="top"/>
      <protection locked="0"/>
    </xf>
    <xf numFmtId="0" fontId="6" fillId="2" borderId="19" xfId="0" applyFont="1" applyFill="1" applyBorder="1" applyAlignment="1">
      <alignment vertical="top"/>
    </xf>
    <xf numFmtId="0" fontId="6" fillId="2" borderId="20" xfId="0" applyFont="1" applyFill="1" applyBorder="1" applyAlignment="1">
      <alignment horizontal="right" vertical="top"/>
    </xf>
    <xf numFmtId="0" fontId="12" fillId="2" borderId="5" xfId="0" applyFont="1" applyFill="1" applyBorder="1" applyAlignment="1">
      <alignment horizontal="center" vertical="top"/>
    </xf>
    <xf numFmtId="0" fontId="7" fillId="2" borderId="0" xfId="0" applyFont="1" applyFill="1" applyBorder="1" applyAlignment="1">
      <alignment horizontal="left" vertical="top" wrapText="1"/>
    </xf>
    <xf numFmtId="0" fontId="9" fillId="2" borderId="0" xfId="0" applyFont="1" applyFill="1" applyAlignment="1">
      <alignment horizontal="left" vertical="top"/>
    </xf>
    <xf numFmtId="0" fontId="30" fillId="2" borderId="4" xfId="0" applyFont="1" applyFill="1" applyBorder="1" applyAlignment="1">
      <alignment horizontal="center" vertical="top"/>
    </xf>
    <xf numFmtId="0" fontId="30" fillId="2" borderId="4" xfId="0" applyFont="1" applyFill="1" applyBorder="1" applyAlignment="1">
      <alignment horizontal="center" vertical="top" wrapText="1"/>
    </xf>
    <xf numFmtId="0" fontId="2" fillId="4" borderId="13" xfId="1" applyFont="1" applyFill="1" applyBorder="1" applyAlignment="1" applyProtection="1">
      <alignment horizontal="center" vertical="top"/>
    </xf>
    <xf numFmtId="0" fontId="2" fillId="4" borderId="14" xfId="1" applyFont="1" applyFill="1" applyBorder="1" applyAlignment="1" applyProtection="1">
      <alignment horizontal="center" vertical="top"/>
    </xf>
    <xf numFmtId="0" fontId="21" fillId="0" borderId="11" xfId="1" applyFont="1" applyBorder="1" applyAlignment="1">
      <alignment horizontal="center"/>
    </xf>
    <xf numFmtId="0" fontId="21" fillId="0" borderId="10" xfId="1" applyFont="1" applyBorder="1" applyAlignment="1">
      <alignment horizontal="center"/>
    </xf>
    <xf numFmtId="0" fontId="8" fillId="3" borderId="12" xfId="1" applyFont="1" applyFill="1" applyBorder="1" applyAlignment="1">
      <alignment horizontal="center" vertical="center" wrapText="1"/>
    </xf>
    <xf numFmtId="0" fontId="8" fillId="3" borderId="1" xfId="1" applyFont="1" applyFill="1" applyBorder="1" applyAlignment="1">
      <alignment horizontal="center" vertical="center" wrapText="1"/>
    </xf>
    <xf numFmtId="0" fontId="8" fillId="3" borderId="28" xfId="1" applyFont="1" applyFill="1" applyBorder="1" applyAlignment="1">
      <alignment horizontal="center" vertical="center" wrapText="1"/>
    </xf>
    <xf numFmtId="0" fontId="8" fillId="3" borderId="29" xfId="1" applyFont="1" applyFill="1" applyBorder="1" applyAlignment="1">
      <alignment horizontal="center" vertical="center" wrapText="1"/>
    </xf>
    <xf numFmtId="0" fontId="18" fillId="4" borderId="12" xfId="1" applyFont="1" applyFill="1" applyBorder="1" applyAlignment="1" applyProtection="1">
      <alignment horizontal="center" vertical="center"/>
    </xf>
    <xf numFmtId="0" fontId="18" fillId="4" borderId="1" xfId="1" applyFont="1" applyFill="1" applyBorder="1" applyAlignment="1" applyProtection="1">
      <alignment horizontal="center" vertical="center"/>
    </xf>
    <xf numFmtId="0" fontId="21" fillId="0" borderId="11" xfId="0" applyFont="1" applyBorder="1" applyAlignment="1">
      <alignment horizontal="center"/>
    </xf>
    <xf numFmtId="0" fontId="21" fillId="0" borderId="10" xfId="0" applyFont="1" applyBorder="1" applyAlignment="1">
      <alignment horizontal="center"/>
    </xf>
    <xf numFmtId="0" fontId="18" fillId="4" borderId="12" xfId="0" applyFont="1" applyFill="1" applyBorder="1" applyAlignment="1" applyProtection="1">
      <alignment horizontal="center" vertical="center"/>
    </xf>
    <xf numFmtId="0" fontId="18" fillId="4" borderId="1" xfId="0" applyFont="1" applyFill="1" applyBorder="1" applyAlignment="1" applyProtection="1">
      <alignment horizontal="center" vertical="center"/>
    </xf>
    <xf numFmtId="0" fontId="2" fillId="4" borderId="13" xfId="0" applyFont="1" applyFill="1" applyBorder="1" applyAlignment="1" applyProtection="1">
      <alignment horizontal="center" vertical="top"/>
    </xf>
    <xf numFmtId="0" fontId="2" fillId="4" borderId="14" xfId="0" applyFont="1" applyFill="1" applyBorder="1" applyAlignment="1" applyProtection="1">
      <alignment horizontal="center" vertical="top"/>
    </xf>
    <xf numFmtId="0" fontId="28" fillId="0" borderId="11" xfId="0" applyFont="1" applyBorder="1" applyAlignment="1">
      <alignment horizontal="left" vertical="top" wrapText="1"/>
    </xf>
    <xf numFmtId="0" fontId="28" fillId="0" borderId="10" xfId="0" applyFont="1" applyBorder="1" applyAlignment="1">
      <alignment horizontal="left" vertical="top" wrapText="1"/>
    </xf>
  </cellXfs>
  <cellStyles count="2">
    <cellStyle name="Normal" xfId="0" builtinId="0"/>
    <cellStyle name="Normal 2" xfId="1" xr:uid="{00000000-0005-0000-0000-000001000000}"/>
  </cellStyles>
  <dxfs count="14">
    <dxf>
      <font>
        <color theme="1"/>
      </font>
      <fill>
        <patternFill>
          <bgColor theme="9" tint="0.59996337778862885"/>
        </patternFill>
      </fill>
    </dxf>
    <dxf>
      <font>
        <color theme="1"/>
      </font>
      <fill>
        <patternFill>
          <bgColor theme="9" tint="-0.24994659260841701"/>
        </patternFill>
      </fill>
    </dxf>
    <dxf>
      <font>
        <color theme="1"/>
      </font>
      <fill>
        <patternFill>
          <bgColor theme="9" tint="0.59996337778862885"/>
        </patternFill>
      </fill>
    </dxf>
    <dxf>
      <font>
        <color theme="1"/>
      </font>
      <fill>
        <patternFill>
          <bgColor theme="9" tint="-0.24994659260841701"/>
        </patternFill>
      </fill>
    </dxf>
    <dxf>
      <fill>
        <patternFill>
          <bgColor rgb="FFFFFF99"/>
        </patternFill>
      </fill>
    </dxf>
    <dxf>
      <font>
        <b/>
        <i val="0"/>
        <color rgb="FF00B0F0"/>
      </font>
    </dxf>
    <dxf>
      <fill>
        <patternFill>
          <bgColor rgb="FFFFFF99"/>
        </patternFill>
      </fill>
    </dxf>
    <dxf>
      <fill>
        <patternFill>
          <bgColor rgb="FFFFFF99"/>
        </patternFill>
      </fill>
    </dxf>
    <dxf>
      <font>
        <color theme="1"/>
      </font>
    </dxf>
    <dxf>
      <fill>
        <patternFill>
          <bgColor rgb="FFFFFF99"/>
        </patternFill>
      </fill>
    </dxf>
    <dxf>
      <fill>
        <patternFill>
          <bgColor rgb="FFFFFF99"/>
        </patternFill>
      </fill>
    </dxf>
    <dxf>
      <fill>
        <patternFill>
          <bgColor theme="1"/>
        </patternFill>
      </fill>
    </dxf>
    <dxf>
      <fill>
        <patternFill>
          <bgColor theme="1"/>
        </patternFill>
      </fill>
    </dxf>
    <dxf>
      <fill>
        <patternFill>
          <bgColor rgb="FFFFFF99"/>
        </patternFill>
      </fill>
    </dxf>
  </dxfs>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501"/>
  <sheetViews>
    <sheetView zoomScaleNormal="100" workbookViewId="0">
      <selection activeCell="D11" sqref="D11"/>
    </sheetView>
  </sheetViews>
  <sheetFormatPr defaultRowHeight="12.75" x14ac:dyDescent="0.2"/>
  <cols>
    <col min="1" max="1" width="3.7109375" customWidth="1"/>
    <col min="2" max="2" width="60.7109375" style="1" customWidth="1"/>
    <col min="3" max="3" width="9.140625" customWidth="1"/>
    <col min="4" max="4" width="97" bestFit="1" customWidth="1"/>
  </cols>
  <sheetData>
    <row r="1" spans="2:4" ht="15" customHeight="1" x14ac:dyDescent="0.2"/>
    <row r="2" spans="2:4" ht="23.25" x14ac:dyDescent="0.2">
      <c r="B2" s="2" t="s">
        <v>5</v>
      </c>
    </row>
    <row r="3" spans="2:4" ht="72" x14ac:dyDescent="0.2">
      <c r="B3" s="21" t="s">
        <v>42</v>
      </c>
    </row>
    <row r="4" spans="2:4" ht="24" x14ac:dyDescent="0.35">
      <c r="B4" s="21" t="s">
        <v>37</v>
      </c>
      <c r="D4" s="18" t="s">
        <v>21</v>
      </c>
    </row>
    <row r="5" spans="2:4" ht="84" x14ac:dyDescent="0.2">
      <c r="B5" s="21" t="s">
        <v>38</v>
      </c>
      <c r="D5" s="19" t="s">
        <v>20</v>
      </c>
    </row>
    <row r="6" spans="2:4" ht="23.25" x14ac:dyDescent="0.2">
      <c r="B6" s="2" t="s">
        <v>9</v>
      </c>
    </row>
    <row r="7" spans="2:4" ht="49.5" customHeight="1" x14ac:dyDescent="0.2">
      <c r="B7" s="30" t="s">
        <v>39</v>
      </c>
    </row>
    <row r="8" spans="2:4" ht="24" x14ac:dyDescent="0.2">
      <c r="B8" s="30" t="s">
        <v>40</v>
      </c>
    </row>
    <row r="9" spans="2:4" x14ac:dyDescent="0.2">
      <c r="B9" s="30" t="s">
        <v>41</v>
      </c>
    </row>
    <row r="10" spans="2:4" ht="24" x14ac:dyDescent="0.2">
      <c r="B10" s="21" t="s">
        <v>11</v>
      </c>
    </row>
    <row r="11" spans="2:4" ht="36" x14ac:dyDescent="0.2">
      <c r="B11" s="21" t="s">
        <v>12</v>
      </c>
    </row>
    <row r="12" spans="2:4" ht="36" x14ac:dyDescent="0.2">
      <c r="B12" s="21" t="s">
        <v>13</v>
      </c>
    </row>
    <row r="13" spans="2:4" ht="48" x14ac:dyDescent="0.2">
      <c r="B13" s="21" t="s">
        <v>14</v>
      </c>
    </row>
    <row r="14" spans="2:4" ht="24" x14ac:dyDescent="0.2">
      <c r="B14" s="21" t="s">
        <v>15</v>
      </c>
    </row>
    <row r="15" spans="2:4" ht="24" x14ac:dyDescent="0.2">
      <c r="B15" s="21" t="s">
        <v>16</v>
      </c>
    </row>
    <row r="16" spans="2:4" ht="24" x14ac:dyDescent="0.2">
      <c r="B16" s="21" t="s">
        <v>17</v>
      </c>
    </row>
    <row r="17" spans="2:2" ht="89.25" x14ac:dyDescent="0.2">
      <c r="B17" s="21" t="s">
        <v>18</v>
      </c>
    </row>
    <row r="18" spans="2:2" ht="89.25" x14ac:dyDescent="0.2">
      <c r="B18" s="21" t="s">
        <v>19</v>
      </c>
    </row>
    <row r="19" spans="2:2" ht="132" x14ac:dyDescent="0.2">
      <c r="B19" s="21" t="s">
        <v>25</v>
      </c>
    </row>
    <row r="6500" spans="1:2" x14ac:dyDescent="0.2">
      <c r="B6500" s="22" t="s">
        <v>24</v>
      </c>
    </row>
    <row r="6501" spans="1:2" x14ac:dyDescent="0.2">
      <c r="A6501" s="17" t="s">
        <v>10</v>
      </c>
    </row>
  </sheetData>
  <pageMargins left="0.7" right="0.7" top="0.75" bottom="0.75" header="0.3" footer="0.3"/>
  <pageSetup orientation="portrait" r:id="rId1"/>
  <headerFooter>
    <oddFooter>&amp;CV12.21.15
Approved by: ISGR
Approved date: 12/21/15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B1:C6505"/>
  <sheetViews>
    <sheetView zoomScaleNormal="100" workbookViewId="0">
      <selection activeCell="B35" sqref="B35"/>
    </sheetView>
  </sheetViews>
  <sheetFormatPr defaultColWidth="8.85546875" defaultRowHeight="15" x14ac:dyDescent="0.25"/>
  <cols>
    <col min="1" max="1" width="3.7109375" style="31" customWidth="1"/>
    <col min="2" max="2" width="71.5703125" style="32" customWidth="1"/>
    <col min="3" max="3" width="39.28515625" style="31" customWidth="1"/>
    <col min="4" max="4" width="14.7109375" style="31" customWidth="1"/>
    <col min="5" max="6" width="9.140625" style="31" customWidth="1"/>
    <col min="7" max="16384" width="8.85546875" style="31"/>
  </cols>
  <sheetData>
    <row r="1" spans="2:3" ht="15.75" thickBot="1" x14ac:dyDescent="0.3"/>
    <row r="2" spans="2:3" ht="24" thickBot="1" x14ac:dyDescent="0.3">
      <c r="B2" s="81" t="s">
        <v>81</v>
      </c>
      <c r="C2" s="82"/>
    </row>
    <row r="3" spans="2:3" x14ac:dyDescent="0.25">
      <c r="B3" s="33" t="s">
        <v>82</v>
      </c>
      <c r="C3" s="34"/>
    </row>
    <row r="4" spans="2:3" x14ac:dyDescent="0.25">
      <c r="B4" s="35" t="s">
        <v>83</v>
      </c>
      <c r="C4" s="36"/>
    </row>
    <row r="5" spans="2:3" x14ac:dyDescent="0.25">
      <c r="B5" s="35" t="s">
        <v>84</v>
      </c>
      <c r="C5" s="36"/>
    </row>
    <row r="6" spans="2:3" ht="15.75" thickBot="1" x14ac:dyDescent="0.3">
      <c r="B6" s="35" t="s">
        <v>85</v>
      </c>
      <c r="C6" s="36"/>
    </row>
    <row r="7" spans="2:3" ht="24" thickBot="1" x14ac:dyDescent="0.3">
      <c r="B7" s="81" t="s">
        <v>54</v>
      </c>
      <c r="C7" s="82"/>
    </row>
    <row r="8" spans="2:3" x14ac:dyDescent="0.25">
      <c r="B8" s="33" t="s">
        <v>55</v>
      </c>
      <c r="C8" s="34"/>
    </row>
    <row r="9" spans="2:3" x14ac:dyDescent="0.25">
      <c r="B9" s="35" t="s">
        <v>56</v>
      </c>
      <c r="C9" s="36"/>
    </row>
    <row r="10" spans="2:3" x14ac:dyDescent="0.25">
      <c r="B10" s="35" t="s">
        <v>57</v>
      </c>
      <c r="C10" s="36"/>
    </row>
    <row r="11" spans="2:3" x14ac:dyDescent="0.25">
      <c r="B11" s="35" t="s">
        <v>58</v>
      </c>
      <c r="C11" s="36"/>
    </row>
    <row r="12" spans="2:3" ht="15.75" thickBot="1" x14ac:dyDescent="0.3">
      <c r="B12" s="37" t="s">
        <v>59</v>
      </c>
      <c r="C12" s="38"/>
    </row>
    <row r="13" spans="2:3" ht="24" thickBot="1" x14ac:dyDescent="0.3">
      <c r="B13" s="83" t="s">
        <v>60</v>
      </c>
      <c r="C13" s="84"/>
    </row>
    <row r="14" spans="2:3" x14ac:dyDescent="0.25">
      <c r="B14" s="39" t="s">
        <v>61</v>
      </c>
      <c r="C14" s="40"/>
    </row>
    <row r="15" spans="2:3" x14ac:dyDescent="0.25">
      <c r="B15" s="41" t="s">
        <v>62</v>
      </c>
      <c r="C15" s="36"/>
    </row>
    <row r="16" spans="2:3" x14ac:dyDescent="0.25">
      <c r="B16" s="41" t="s">
        <v>63</v>
      </c>
      <c r="C16" s="42"/>
    </row>
    <row r="17" spans="2:3" x14ac:dyDescent="0.25">
      <c r="B17" s="41" t="s">
        <v>64</v>
      </c>
      <c r="C17" s="36"/>
    </row>
    <row r="18" spans="2:3" x14ac:dyDescent="0.25">
      <c r="B18" s="41" t="s">
        <v>65</v>
      </c>
      <c r="C18" s="36"/>
    </row>
    <row r="19" spans="2:3" ht="15.75" thickBot="1" x14ac:dyDescent="0.3">
      <c r="B19" s="43" t="s">
        <v>66</v>
      </c>
      <c r="C19" s="44"/>
    </row>
    <row r="20" spans="2:3" ht="24" thickBot="1" x14ac:dyDescent="0.3">
      <c r="B20" s="83" t="s">
        <v>67</v>
      </c>
      <c r="C20" s="84"/>
    </row>
    <row r="21" spans="2:3" x14ac:dyDescent="0.25">
      <c r="B21" s="39" t="s">
        <v>68</v>
      </c>
      <c r="C21" s="40"/>
    </row>
    <row r="22" spans="2:3" x14ac:dyDescent="0.25">
      <c r="B22" s="45" t="s">
        <v>69</v>
      </c>
      <c r="C22" s="36"/>
    </row>
    <row r="23" spans="2:3" x14ac:dyDescent="0.25">
      <c r="B23" s="45" t="s">
        <v>70</v>
      </c>
      <c r="C23" s="36"/>
    </row>
    <row r="24" spans="2:3" x14ac:dyDescent="0.25">
      <c r="B24" s="45" t="s">
        <v>71</v>
      </c>
      <c r="C24" s="36"/>
    </row>
    <row r="25" spans="2:3" x14ac:dyDescent="0.25">
      <c r="B25" s="46" t="s">
        <v>72</v>
      </c>
      <c r="C25" s="47"/>
    </row>
    <row r="26" spans="2:3" x14ac:dyDescent="0.25">
      <c r="B26" s="48" t="s">
        <v>73</v>
      </c>
      <c r="C26" s="36"/>
    </row>
    <row r="27" spans="2:3" x14ac:dyDescent="0.25">
      <c r="B27" s="48" t="s">
        <v>74</v>
      </c>
      <c r="C27" s="36"/>
    </row>
    <row r="28" spans="2:3" x14ac:dyDescent="0.25">
      <c r="B28" s="48" t="s">
        <v>75</v>
      </c>
      <c r="C28" s="36"/>
    </row>
    <row r="29" spans="2:3" x14ac:dyDescent="0.25">
      <c r="B29" s="48" t="s">
        <v>76</v>
      </c>
      <c r="C29" s="36"/>
    </row>
    <row r="30" spans="2:3" ht="24.75" thickBot="1" x14ac:dyDescent="0.3">
      <c r="B30" s="49" t="s">
        <v>77</v>
      </c>
      <c r="C30" s="44"/>
    </row>
    <row r="31" spans="2:3" ht="23.25" x14ac:dyDescent="0.25">
      <c r="B31" s="85" t="s">
        <v>22</v>
      </c>
      <c r="C31" s="86"/>
    </row>
    <row r="32" spans="2:3" ht="15.75" thickBot="1" x14ac:dyDescent="0.3">
      <c r="B32" s="77" t="s">
        <v>32</v>
      </c>
      <c r="C32" s="78"/>
    </row>
    <row r="33" spans="2:3" x14ac:dyDescent="0.25">
      <c r="B33" s="50" t="s">
        <v>78</v>
      </c>
      <c r="C33" s="40"/>
    </row>
    <row r="34" spans="2:3" ht="24" x14ac:dyDescent="0.25">
      <c r="B34" s="45" t="s">
        <v>79</v>
      </c>
      <c r="C34" s="47"/>
    </row>
    <row r="35" spans="2:3" ht="15.75" thickBot="1" x14ac:dyDescent="0.3"/>
    <row r="36" spans="2:3" ht="24" thickBot="1" x14ac:dyDescent="0.4">
      <c r="B36" s="79" t="s">
        <v>80</v>
      </c>
      <c r="C36" s="80"/>
    </row>
    <row r="6505" spans="2:2" x14ac:dyDescent="0.25">
      <c r="B6505" s="51" t="s">
        <v>24</v>
      </c>
    </row>
  </sheetData>
  <mergeCells count="7">
    <mergeCell ref="B32:C32"/>
    <mergeCell ref="B36:C36"/>
    <mergeCell ref="B2:C2"/>
    <mergeCell ref="B7:C7"/>
    <mergeCell ref="B13:C13"/>
    <mergeCell ref="B20:C20"/>
    <mergeCell ref="B31:C31"/>
  </mergeCells>
  <conditionalFormatting sqref="C8:C12 C21:C30 C33:C34 C14:C19">
    <cfRule type="cellIs" dxfId="13" priority="4" stopIfTrue="1" operator="equal">
      <formula>""</formula>
    </cfRule>
  </conditionalFormatting>
  <conditionalFormatting sqref="B19:C19">
    <cfRule type="expression" dxfId="12" priority="2" stopIfTrue="1">
      <formula>$C$18="N/A"</formula>
    </cfRule>
    <cfRule type="expression" dxfId="11" priority="3" stopIfTrue="1">
      <formula>$C$18="n"</formula>
    </cfRule>
  </conditionalFormatting>
  <conditionalFormatting sqref="C3:C6">
    <cfRule type="cellIs" dxfId="10" priority="1" stopIfTrue="1" operator="equal">
      <formula>""</formula>
    </cfRule>
  </conditionalFormatting>
  <dataValidations count="3">
    <dataValidation type="list" allowBlank="1" showInputMessage="1" showErrorMessage="1" sqref="C18" xr:uid="{00000000-0002-0000-0100-000000000000}">
      <formula1>"y,n,N/A"</formula1>
    </dataValidation>
    <dataValidation type="date" operator="greaterThan" allowBlank="1" showInputMessage="1" showErrorMessage="1" errorTitle="incorrect information" error="Please supply a date in the format of MM/DD/YYYY" promptTitle="Date" prompt="Please supply a date in the formate MM/DD/YYYY" sqref="C12" xr:uid="{00000000-0002-0000-0100-000001000000}">
      <formula1>42370</formula1>
    </dataValidation>
    <dataValidation type="list" allowBlank="1" showInputMessage="1" showErrorMessage="1" sqref="C16" xr:uid="{00000000-0002-0000-0100-000002000000}">
      <formula1>"Privately held, Publically held"</formula1>
    </dataValidation>
  </dataValidations>
  <pageMargins left="0.7" right="0.45" top="0.5" bottom="0.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249977111117893"/>
  </sheetPr>
  <dimension ref="B1:C6500"/>
  <sheetViews>
    <sheetView workbookViewId="0">
      <selection activeCell="B7" sqref="B7"/>
    </sheetView>
  </sheetViews>
  <sheetFormatPr defaultRowHeight="12.75" x14ac:dyDescent="0.2"/>
  <cols>
    <col min="1" max="1" width="3.7109375" customWidth="1"/>
    <col min="2" max="2" width="44.28515625" customWidth="1"/>
    <col min="3" max="3" width="55" customWidth="1"/>
    <col min="4" max="4" width="4.85546875" customWidth="1"/>
  </cols>
  <sheetData>
    <row r="1" spans="2:3" ht="15" customHeight="1" thickBot="1" x14ac:dyDescent="0.25"/>
    <row r="2" spans="2:3" ht="23.25" x14ac:dyDescent="0.2">
      <c r="B2" s="89" t="s">
        <v>22</v>
      </c>
      <c r="C2" s="90"/>
    </row>
    <row r="3" spans="2:3" ht="13.5" thickBot="1" x14ac:dyDescent="0.25">
      <c r="B3" s="91" t="s">
        <v>32</v>
      </c>
      <c r="C3" s="92"/>
    </row>
    <row r="4" spans="2:3" ht="90.75" customHeight="1" thickBot="1" x14ac:dyDescent="0.25">
      <c r="B4" s="93" t="s">
        <v>33</v>
      </c>
      <c r="C4" s="94"/>
    </row>
    <row r="5" spans="2:3" ht="30" customHeight="1" thickBot="1" x14ac:dyDescent="0.25">
      <c r="B5" s="23" t="s">
        <v>26</v>
      </c>
      <c r="C5" s="12"/>
    </row>
    <row r="6" spans="2:3" ht="30" customHeight="1" thickBot="1" x14ac:dyDescent="0.25">
      <c r="B6" s="23" t="s">
        <v>27</v>
      </c>
      <c r="C6" s="12"/>
    </row>
    <row r="7" spans="2:3" ht="30" customHeight="1" thickBot="1" x14ac:dyDescent="0.25">
      <c r="B7" s="23" t="s">
        <v>4</v>
      </c>
      <c r="C7" s="12"/>
    </row>
    <row r="8" spans="2:3" ht="30" customHeight="1" thickBot="1" x14ac:dyDescent="0.25">
      <c r="B8" s="23" t="s">
        <v>34</v>
      </c>
      <c r="C8" s="12"/>
    </row>
    <row r="9" spans="2:3" ht="13.5" thickBot="1" x14ac:dyDescent="0.25">
      <c r="B9" s="20"/>
    </row>
    <row r="10" spans="2:3" ht="24" thickBot="1" x14ac:dyDescent="0.4">
      <c r="B10" s="87" t="s">
        <v>23</v>
      </c>
      <c r="C10" s="88"/>
    </row>
    <row r="11" spans="2:3" x14ac:dyDescent="0.2">
      <c r="B11" s="20"/>
    </row>
    <row r="12" spans="2:3" x14ac:dyDescent="0.2">
      <c r="B12" s="20"/>
    </row>
    <row r="6500" spans="2:2" x14ac:dyDescent="0.2">
      <c r="B6500" s="17" t="s">
        <v>24</v>
      </c>
    </row>
  </sheetData>
  <mergeCells count="4">
    <mergeCell ref="B10:C10"/>
    <mergeCell ref="B2:C2"/>
    <mergeCell ref="B3:C3"/>
    <mergeCell ref="B4:C4"/>
  </mergeCells>
  <conditionalFormatting sqref="C5">
    <cfRule type="cellIs" dxfId="9" priority="7" operator="equal">
      <formula>""</formula>
    </cfRule>
  </conditionalFormatting>
  <conditionalFormatting sqref="B4:C4">
    <cfRule type="notContainsText" dxfId="8" priority="6" operator="notContains" text="&lt;Add Scope summary here&gt;">
      <formula>ISERROR(SEARCH("&lt;Add Scope summary here&gt;",B4))</formula>
    </cfRule>
  </conditionalFormatting>
  <conditionalFormatting sqref="C6:C8">
    <cfRule type="cellIs" dxfId="7" priority="2" operator="equal">
      <formula>""</formula>
    </cfRule>
  </conditionalFormatting>
  <dataValidations count="1">
    <dataValidation type="list" allowBlank="1" showInputMessage="1" showErrorMessage="1" sqref="C5:C8" xr:uid="{00000000-0002-0000-0200-000000000000}">
      <formula1>"y,n"</formula1>
    </dataValidation>
  </dataValidations>
  <pageMargins left="0.7" right="0.7" top="0.75" bottom="0.75" header="0.3" footer="0.3"/>
  <pageSetup orientation="landscape" r:id="rId1"/>
  <extLst>
    <ext xmlns:x14="http://schemas.microsoft.com/office/spreadsheetml/2009/9/main" uri="{78C0D931-6437-407d-A8EE-F0AAD7539E65}">
      <x14:conditionalFormattings>
        <x14:conditionalFormatting xmlns:xm="http://schemas.microsoft.com/office/excel/2006/main">
          <x14:cfRule type="containsText" priority="1" stopIfTrue="1" operator="containsText" id="{FD886DAF-7E51-42D2-B74C-2916801E63CB}">
            <xm:f>NOT(ISERROR(SEARCH("&lt;Add Scope summary here&gt;",B4)))</xm:f>
            <xm:f>"&lt;Add Scope summary here&gt;"</xm:f>
            <x14:dxf>
              <fill>
                <patternFill>
                  <bgColor rgb="FFFFFF99"/>
                </patternFill>
              </fill>
            </x14:dxf>
          </x14:cfRule>
          <xm:sqref>B4:C4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pageSetUpPr fitToPage="1"/>
  </sheetPr>
  <dimension ref="B1:F6501"/>
  <sheetViews>
    <sheetView tabSelected="1" zoomScaleNormal="100" workbookViewId="0">
      <selection activeCell="K13" sqref="K13"/>
    </sheetView>
  </sheetViews>
  <sheetFormatPr defaultColWidth="8.85546875" defaultRowHeight="12.75" x14ac:dyDescent="0.2"/>
  <cols>
    <col min="1" max="1" width="3.7109375" style="3" customWidth="1"/>
    <col min="2" max="2" width="81.28515625" style="15" customWidth="1"/>
    <col min="3" max="3" width="19" style="10" customWidth="1"/>
    <col min="4" max="4" width="14.140625" style="3" hidden="1" customWidth="1"/>
    <col min="5" max="5" width="13" style="9" hidden="1" customWidth="1"/>
    <col min="6" max="6" width="44.140625" style="3" customWidth="1"/>
    <col min="7" max="16384" width="8.85546875" style="3"/>
  </cols>
  <sheetData>
    <row r="1" spans="2:6" ht="13.5" thickBot="1" x14ac:dyDescent="0.25"/>
    <row r="2" spans="2:6" ht="24" thickBot="1" x14ac:dyDescent="0.25">
      <c r="B2" s="29" t="s">
        <v>28</v>
      </c>
      <c r="C2" s="28" t="s">
        <v>29</v>
      </c>
      <c r="D2" s="26" t="s">
        <v>2</v>
      </c>
      <c r="E2" s="27" t="s">
        <v>1</v>
      </c>
      <c r="F2" s="24" t="s">
        <v>31</v>
      </c>
    </row>
    <row r="3" spans="2:6" s="58" customFormat="1" ht="27" customHeight="1" thickBot="1" x14ac:dyDescent="0.25">
      <c r="B3" s="53" t="s">
        <v>50</v>
      </c>
      <c r="C3" s="54" t="s">
        <v>88</v>
      </c>
      <c r="D3" s="55">
        <v>100</v>
      </c>
      <c r="E3" s="56">
        <f t="shared" ref="E3:E8" si="0">IF(C3="Y",D3,0)</f>
        <v>0</v>
      </c>
      <c r="F3" s="57"/>
    </row>
    <row r="4" spans="2:6" s="61" customFormat="1" ht="27" customHeight="1" thickBot="1" x14ac:dyDescent="0.25">
      <c r="B4" s="59" t="s">
        <v>44</v>
      </c>
      <c r="C4" s="54" t="s">
        <v>88</v>
      </c>
      <c r="D4" s="55">
        <v>100</v>
      </c>
      <c r="E4" s="60">
        <f t="shared" si="0"/>
        <v>0</v>
      </c>
      <c r="F4" s="57"/>
    </row>
    <row r="5" spans="2:6" s="61" customFormat="1" ht="45.75" thickBot="1" x14ac:dyDescent="0.25">
      <c r="B5" s="53" t="s">
        <v>35</v>
      </c>
      <c r="C5" s="54" t="s">
        <v>87</v>
      </c>
      <c r="D5" s="55">
        <v>100</v>
      </c>
      <c r="E5" s="60">
        <f t="shared" si="0"/>
        <v>100</v>
      </c>
      <c r="F5" s="76" t="s">
        <v>91</v>
      </c>
    </row>
    <row r="6" spans="2:6" s="58" customFormat="1" ht="27" customHeight="1" thickBot="1" x14ac:dyDescent="0.25">
      <c r="B6" s="59" t="s">
        <v>86</v>
      </c>
      <c r="C6" s="54" t="s">
        <v>89</v>
      </c>
      <c r="D6" s="62">
        <v>50</v>
      </c>
      <c r="E6" s="63">
        <f t="shared" si="0"/>
        <v>0</v>
      </c>
      <c r="F6" s="57"/>
    </row>
    <row r="7" spans="2:6" s="58" customFormat="1" ht="27" customHeight="1" thickBot="1" x14ac:dyDescent="0.25">
      <c r="B7" s="64" t="s">
        <v>43</v>
      </c>
      <c r="C7" s="54" t="s">
        <v>88</v>
      </c>
      <c r="D7" s="62">
        <v>50</v>
      </c>
      <c r="E7" s="60">
        <f t="shared" si="0"/>
        <v>0</v>
      </c>
      <c r="F7" s="57"/>
    </row>
    <row r="8" spans="2:6" s="61" customFormat="1" ht="27" customHeight="1" thickBot="1" x14ac:dyDescent="0.25">
      <c r="B8" s="59" t="s">
        <v>49</v>
      </c>
      <c r="C8" s="54" t="s">
        <v>88</v>
      </c>
      <c r="D8" s="62">
        <v>50</v>
      </c>
      <c r="E8" s="60">
        <f t="shared" si="0"/>
        <v>0</v>
      </c>
      <c r="F8" s="57"/>
    </row>
    <row r="9" spans="2:6" s="61" customFormat="1" ht="42" customHeight="1" thickBot="1" x14ac:dyDescent="0.25">
      <c r="B9" s="53" t="s">
        <v>45</v>
      </c>
      <c r="C9" s="54" t="s">
        <v>88</v>
      </c>
      <c r="D9" s="55">
        <v>100</v>
      </c>
      <c r="E9" s="65">
        <f t="shared" ref="E9:E19" si="1">IF(C9="Y",D9,0)</f>
        <v>0</v>
      </c>
      <c r="F9" s="76" t="s">
        <v>94</v>
      </c>
    </row>
    <row r="10" spans="2:6" s="61" customFormat="1" ht="27" customHeight="1" thickBot="1" x14ac:dyDescent="0.25">
      <c r="B10" s="59" t="s">
        <v>3</v>
      </c>
      <c r="C10" s="54" t="s">
        <v>88</v>
      </c>
      <c r="D10" s="55">
        <v>100</v>
      </c>
      <c r="E10" s="66">
        <f t="shared" si="1"/>
        <v>0</v>
      </c>
      <c r="F10" s="57"/>
    </row>
    <row r="11" spans="2:6" s="61" customFormat="1" ht="27" customHeight="1" thickBot="1" x14ac:dyDescent="0.25">
      <c r="B11" s="53" t="s">
        <v>53</v>
      </c>
      <c r="C11" s="54" t="s">
        <v>88</v>
      </c>
      <c r="D11" s="62">
        <v>50</v>
      </c>
      <c r="E11" s="66">
        <f t="shared" si="1"/>
        <v>0</v>
      </c>
      <c r="F11" s="75" t="s">
        <v>90</v>
      </c>
    </row>
    <row r="12" spans="2:6" s="58" customFormat="1" ht="74.25" customHeight="1" thickBot="1" x14ac:dyDescent="0.25">
      <c r="B12" s="59" t="s">
        <v>8</v>
      </c>
      <c r="C12" s="54" t="s">
        <v>87</v>
      </c>
      <c r="D12" s="55">
        <v>100</v>
      </c>
      <c r="E12" s="56">
        <f>IF(C12="y",D12,0)</f>
        <v>100</v>
      </c>
      <c r="F12" s="76" t="s">
        <v>92</v>
      </c>
    </row>
    <row r="13" spans="2:6" s="58" customFormat="1" ht="60" customHeight="1" thickBot="1" x14ac:dyDescent="0.25">
      <c r="B13" s="64" t="s">
        <v>6</v>
      </c>
      <c r="C13" s="54" t="s">
        <v>87</v>
      </c>
      <c r="D13" s="55">
        <v>100</v>
      </c>
      <c r="E13" s="66">
        <f>IF(C13="Y",D13,0)</f>
        <v>100</v>
      </c>
      <c r="F13" s="76" t="s">
        <v>93</v>
      </c>
    </row>
    <row r="14" spans="2:6" s="58" customFormat="1" ht="27" customHeight="1" thickBot="1" x14ac:dyDescent="0.25">
      <c r="B14" s="59" t="s">
        <v>7</v>
      </c>
      <c r="C14" s="54" t="s">
        <v>88</v>
      </c>
      <c r="D14" s="55">
        <v>100</v>
      </c>
      <c r="E14" s="67">
        <f>IF(C14="Y",D14,0)</f>
        <v>0</v>
      </c>
      <c r="F14" s="57"/>
    </row>
    <row r="15" spans="2:6" s="58" customFormat="1" ht="27" customHeight="1" thickBot="1" x14ac:dyDescent="0.25">
      <c r="B15" s="53" t="s">
        <v>52</v>
      </c>
      <c r="C15" s="54" t="s">
        <v>88</v>
      </c>
      <c r="D15" s="55">
        <v>100</v>
      </c>
      <c r="E15" s="56">
        <f t="shared" ref="E15" si="2">IF(C15="Y",D15,0)</f>
        <v>0</v>
      </c>
      <c r="F15" s="57"/>
    </row>
    <row r="16" spans="2:6" s="58" customFormat="1" ht="27" customHeight="1" thickBot="1" x14ac:dyDescent="0.25">
      <c r="B16" s="59" t="s">
        <v>46</v>
      </c>
      <c r="C16" s="54" t="s">
        <v>87</v>
      </c>
      <c r="D16" s="55">
        <v>100</v>
      </c>
      <c r="E16" s="56">
        <f t="shared" si="1"/>
        <v>100</v>
      </c>
      <c r="F16" s="57"/>
    </row>
    <row r="17" spans="2:6" s="58" customFormat="1" ht="27" customHeight="1" thickBot="1" x14ac:dyDescent="0.25">
      <c r="B17" s="53" t="s">
        <v>47</v>
      </c>
      <c r="C17" s="54" t="s">
        <v>87</v>
      </c>
      <c r="D17" s="55">
        <v>100</v>
      </c>
      <c r="E17" s="56">
        <f t="shared" si="1"/>
        <v>100</v>
      </c>
      <c r="F17" s="57"/>
    </row>
    <row r="18" spans="2:6" s="58" customFormat="1" ht="27" customHeight="1" thickBot="1" x14ac:dyDescent="0.25">
      <c r="B18" s="59" t="s">
        <v>48</v>
      </c>
      <c r="C18" s="54" t="s">
        <v>88</v>
      </c>
      <c r="D18" s="55">
        <v>100</v>
      </c>
      <c r="E18" s="56">
        <f t="shared" si="1"/>
        <v>0</v>
      </c>
      <c r="F18" s="57"/>
    </row>
    <row r="19" spans="2:6" s="58" customFormat="1" ht="27" customHeight="1" thickBot="1" x14ac:dyDescent="0.25">
      <c r="B19" s="64" t="s">
        <v>36</v>
      </c>
      <c r="C19" s="54" t="s">
        <v>88</v>
      </c>
      <c r="D19" s="55">
        <v>100</v>
      </c>
      <c r="E19" s="56">
        <f t="shared" si="1"/>
        <v>0</v>
      </c>
      <c r="F19" s="57"/>
    </row>
    <row r="20" spans="2:6" s="61" customFormat="1" ht="27" customHeight="1" thickBot="1" x14ac:dyDescent="0.25">
      <c r="B20" s="68" t="s">
        <v>30</v>
      </c>
      <c r="C20" s="69" t="s">
        <v>88</v>
      </c>
      <c r="D20" s="70">
        <v>100</v>
      </c>
      <c r="E20" s="71">
        <f t="shared" ref="E20" si="3">IF(C20="Y",D20,0)</f>
        <v>0</v>
      </c>
      <c r="F20" s="72"/>
    </row>
    <row r="21" spans="2:6" s="6" customFormat="1" ht="15.75" thickBot="1" x14ac:dyDescent="0.25">
      <c r="B21" s="16"/>
      <c r="C21" s="5"/>
      <c r="D21" s="4"/>
      <c r="E21" s="11"/>
    </row>
    <row r="22" spans="2:6" ht="16.5" thickBot="1" x14ac:dyDescent="0.25">
      <c r="B22" s="14" t="s">
        <v>0</v>
      </c>
      <c r="C22" s="13">
        <f>SUM(E3:E20)</f>
        <v>500</v>
      </c>
      <c r="D22" s="7"/>
      <c r="E22" s="8"/>
    </row>
    <row r="23" spans="2:6" ht="15.75" x14ac:dyDescent="0.2">
      <c r="B23" s="73"/>
      <c r="C23" s="5"/>
      <c r="D23" s="7"/>
      <c r="E23" s="8"/>
    </row>
    <row r="24" spans="2:6" ht="15" x14ac:dyDescent="0.2">
      <c r="B24" s="74" t="s">
        <v>51</v>
      </c>
    </row>
    <row r="27" spans="2:6" x14ac:dyDescent="0.2">
      <c r="C27" s="52"/>
    </row>
    <row r="6501" spans="2:2" x14ac:dyDescent="0.2">
      <c r="B6501" s="25" t="s">
        <v>24</v>
      </c>
    </row>
  </sheetData>
  <sheetProtection formatColumns="0" formatRows="0" selectLockedCells="1" autoFilter="0" pivotTables="0"/>
  <conditionalFormatting sqref="C3:C20">
    <cfRule type="cellIs" dxfId="5" priority="6" operator="equal">
      <formula>"N/A"</formula>
    </cfRule>
    <cfRule type="cellIs" dxfId="4" priority="7" operator="equal">
      <formula>""</formula>
    </cfRule>
  </conditionalFormatting>
  <conditionalFormatting sqref="F3:F19">
    <cfRule type="expression" dxfId="3" priority="3" stopIfTrue="1">
      <formula>E3="n/a"</formula>
    </cfRule>
    <cfRule type="expression" dxfId="2" priority="4" stopIfTrue="1">
      <formula>E3="n"</formula>
    </cfRule>
  </conditionalFormatting>
  <conditionalFormatting sqref="F20">
    <cfRule type="expression" dxfId="1" priority="1" stopIfTrue="1">
      <formula>E20="n/a"</formula>
    </cfRule>
    <cfRule type="expression" dxfId="0" priority="2" stopIfTrue="1">
      <formula>E20="n"</formula>
    </cfRule>
  </conditionalFormatting>
  <dataValidations count="3">
    <dataValidation type="list" allowBlank="1" showInputMessage="1" sqref="C8:C11 C13:C20" xr:uid="{00000000-0002-0000-0300-000000000000}">
      <formula1>"y, n, N/A"</formula1>
    </dataValidation>
    <dataValidation type="list" operator="greaterThanOrEqual" allowBlank="1" showInputMessage="1" showErrorMessage="1" error="Only whole numbers are allowed" sqref="C12" xr:uid="{00000000-0002-0000-0300-000001000000}">
      <formula1>"y, n, N/A"</formula1>
    </dataValidation>
    <dataValidation type="list" allowBlank="1" showInputMessage="1" showErrorMessage="1" error="Input requires y, n or N/A response. _x000a_Please make selection from drop-down box." sqref="C3:C7" xr:uid="{00000000-0002-0000-0300-000002000000}">
      <formula1>"y,n, N/A"</formula1>
    </dataValidation>
  </dataValidations>
  <printOptions horizontalCentered="1"/>
  <pageMargins left="0.18" right="0.18" top="0.64" bottom="0.4" header="0.43" footer="0.18"/>
  <pageSetup scale="95" orientation="landscape" r:id="rId1"/>
  <headerFooter alignWithMargins="0">
    <oddHeader>&amp;C&amp;"Arial,Bold"&amp;12 3rd Party Assessment Level Evaluation (IRD)</oddHeader>
    <oddFooter>&amp;LSept 2018&amp;RVersion  2.0</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71B9FED-F366-426F-A39F-2DE9868DE4A9}"/>
</file>

<file path=customXml/itemProps2.xml><?xml version="1.0" encoding="utf-8"?>
<ds:datastoreItem xmlns:ds="http://schemas.openxmlformats.org/officeDocument/2006/customXml" ds:itemID="{2C68AFD3-2D45-4808-912E-2CBEC108A379}">
  <ds:schemaRefs>
    <ds:schemaRef ds:uri="http://schemas.microsoft.com/sharepoint/v3/contenttype/forms"/>
  </ds:schemaRefs>
</ds:datastoreItem>
</file>

<file path=customXml/itemProps3.xml><?xml version="1.0" encoding="utf-8"?>
<ds:datastoreItem xmlns:ds="http://schemas.openxmlformats.org/officeDocument/2006/customXml" ds:itemID="{70C40EEB-C527-412D-876D-B2B15B082461}">
  <ds:schemaRefs>
    <ds:schemaRef ds:uri="http://purl.org/dc/elements/1.1/"/>
    <ds:schemaRef ds:uri="http://schemas.microsoft.com/office/2006/metadata/properties"/>
    <ds:schemaRef ds:uri="http://schemas.microsoft.com/office/2006/documentManagement/types"/>
    <ds:schemaRef ds:uri="http://schemas.microsoft.com/office/infopath/2007/PartnerControls"/>
    <ds:schemaRef ds:uri="14c339db-4fcb-4cbd-8633-1201a6f0e19b"/>
    <ds:schemaRef ds:uri="http://purl.org/dc/terms/"/>
    <ds:schemaRef ds:uri="63a6c59b-4122-478b-aef6-4fc0178e5f33"/>
    <ds:schemaRef ds:uri="http://purl.org/dc/dcmitype/"/>
    <ds:schemaRef ds:uri="http://schemas.openxmlformats.org/package/2006/metadata/core-properties"/>
    <ds:schemaRef ds:uri="http://schemas.microsoft.com/sharepoint/v3/fields"/>
    <ds:schemaRef ds:uri="http://www.w3.org/XML/1998/namespace"/>
  </ds:schemaRefs>
</ds:datastoreItem>
</file>

<file path=customXml/itemProps4.xml><?xml version="1.0" encoding="utf-8"?>
<ds:datastoreItem xmlns:ds="http://schemas.openxmlformats.org/officeDocument/2006/customXml" ds:itemID="{B86887E8-ACF2-4B57-A45F-5575024B2A9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IRD Instructions</vt:lpstr>
      <vt:lpstr>Business Information</vt:lpstr>
      <vt:lpstr>Background Information</vt:lpstr>
      <vt:lpstr>Scoring Matrix</vt:lpstr>
      <vt:lpstr>'Background Information'!Print_Area</vt:lpstr>
      <vt:lpstr>'Business Information'!Print_Area</vt:lpstr>
      <vt:lpstr>'Scoring Matrix'!Print_Area</vt:lpstr>
    </vt:vector>
  </TitlesOfParts>
  <Company>Eastman Kodak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Tim Swope</dc:creator>
  <cp:lastModifiedBy>Bruno Bendavid</cp:lastModifiedBy>
  <cp:lastPrinted>2018-09-06T13:14:09Z</cp:lastPrinted>
  <dcterms:created xsi:type="dcterms:W3CDTF">2003-04-08T18:31:06Z</dcterms:created>
  <dcterms:modified xsi:type="dcterms:W3CDTF">2020-03-16T16:36:54Z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b407e8a2-33d1-43c3-a361-9ae507df1f4e</vt:lpwstr>
  </property>
  <property fmtid="{D5CDD505-2E9C-101B-9397-08002B2CF9AE}" pid="4" name="Order">
    <vt:r8>59200</vt:r8>
  </property>
  <property fmtid="{D5CDD505-2E9C-101B-9397-08002B2CF9AE}" pid="5" name="_ExtendedDescription">
    <vt:lpwstr/>
  </property>
</Properties>
</file>