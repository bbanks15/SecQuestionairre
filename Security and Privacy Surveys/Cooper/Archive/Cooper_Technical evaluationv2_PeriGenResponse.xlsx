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C:\Users\BrunoBendavid\PeriGen\PeriGen Corporate Portal - RFPs &amp; Surveys\Security and Privacy Surveys\Cooper\"/>
    </mc:Choice>
  </mc:AlternateContent>
  <xr:revisionPtr revIDLastSave="145" documentId="13_ncr:1_{AC35A99D-2F0C-4AE8-845D-F980218FD0B2}" xr6:coauthVersionLast="41" xr6:coauthVersionMax="41" xr10:uidLastSave="{0C0064D8-74F5-4479-A537-137E3AB00399}"/>
  <bookViews>
    <workbookView xWindow="-108" yWindow="-108" windowWidth="20376" windowHeight="12216" firstSheet="3" activeTab="8" xr2:uid="{00000000-000D-0000-FFFF-FFFF00000000}"/>
  </bookViews>
  <sheets>
    <sheet name="General" sheetId="5" r:id="rId1"/>
    <sheet name="Application" sheetId="6" r:id="rId2"/>
    <sheet name="Support" sheetId="8" r:id="rId3"/>
    <sheet name="Servers" sheetId="1" r:id="rId4"/>
    <sheet name="Databases" sheetId="7" r:id="rId5"/>
    <sheet name="Interfaces" sheetId="9" r:id="rId6"/>
    <sheet name="Client" sheetId="10" r:id="rId7"/>
    <sheet name="Network" sheetId="11" r:id="rId8"/>
    <sheet name="Security &amp; Compliance" sheetId="12" r:id="rId9"/>
    <sheet name="Cooper Participants" sheetId="13" state="hidden" r:id="rId10"/>
    <sheet name="Cost of ownership" sheetId="14" r:id="rId11"/>
    <sheet name="References" sheetId="15" state="hidden" r:id="rId12"/>
    <sheet name="Sheet1" sheetId="16" r:id="rId13"/>
    <sheet name="Sheet2" sheetId="17" r:id="rId14"/>
  </sheets>
  <definedNames>
    <definedName name="_Toc167765425" localSheetId="1">Application!$H$2</definedName>
    <definedName name="_Toc167765427" localSheetId="3">Servers!$L$2</definedName>
    <definedName name="_Toc167765428" localSheetId="8">'Security &amp; Compliance'!$H$3</definedName>
    <definedName name="_Toc167765429" localSheetId="5">Interfaces!$J$3</definedName>
    <definedName name="_Toc167765430" localSheetId="7">Network!$H$3</definedName>
    <definedName name="ADMINACCESS">References!$A$57:$A$59</definedName>
    <definedName name="Application_Analyst">'Cooper Participants'!$D$6</definedName>
    <definedName name="Bandwidth">References!$A$223:$A$225</definedName>
    <definedName name="Bugfixes">References!$A$213:$A$215</definedName>
    <definedName name="Clienthardware">References!$A$228:$A$230</definedName>
    <definedName name="CPU">References!$A$43:$A$45</definedName>
    <definedName name="Database_Analyst">'Cooper Participants'!$D$7</definedName>
    <definedName name="DBAudit">References!$A$187:$A$190</definedName>
    <definedName name="DBAuthentication">References!$A$164:$A$167</definedName>
    <definedName name="DBHA">References!$A$181:$A$184</definedName>
    <definedName name="DBManagement">References!$A$175:$A$178</definedName>
    <definedName name="DBServiceAcct">References!$A$170:$A$172</definedName>
    <definedName name="DBVersions">References!$A$99:$A$104</definedName>
    <definedName name="DE_Analyst">'Cooper Participants'!$D$8</definedName>
    <definedName name="Desktop_Engineer">'Cooper Participants'!$D$9</definedName>
    <definedName name="DisasterRecovery">References!$A$233:$A$235</definedName>
    <definedName name="Facilitator">'Cooper Participants'!$D$13</definedName>
    <definedName name="IA_Analyst">'Cooper Participants'!$D$10</definedName>
    <definedName name="IEVERSION">References!$A$197:$A$200</definedName>
    <definedName name="IFACE_Applist">References!$A$128:$A$135</definedName>
    <definedName name="IFACE_data">References!$A$107:$A$115</definedName>
    <definedName name="IFACE_Format">References!$A$118:$A$125</definedName>
    <definedName name="IFACE_Freq">References!$A$148:$A$149</definedName>
    <definedName name="IFACE_Transport">References!$A$138:$A$145</definedName>
    <definedName name="location">References!$A$15:$A$17</definedName>
    <definedName name="Network_Engineer">'Cooper Participants'!$D$11</definedName>
    <definedName name="Networkconnections">References!$A$82:$A$85</definedName>
    <definedName name="Networktype">References!$A$93:$A$96</definedName>
    <definedName name="NOEXPLAIN">References!$A$78:$A$79</definedName>
    <definedName name="Patching">References!$A$62:$A$67</definedName>
    <definedName name="PORTSPEED">References!$A$88:$A$90</definedName>
    <definedName name="RAM">References!$A$48:$A$54</definedName>
    <definedName name="Seecomments">References!$A$209:$A$210</definedName>
    <definedName name="Serverhardware">References!$A$27:$A$31</definedName>
    <definedName name="Serverinstance">References!$A$152:$A$161</definedName>
    <definedName name="Serveros">References!$A$34:$A$40</definedName>
    <definedName name="Serverrole">References!$A$20:$A$24</definedName>
    <definedName name="SPQualification">References!$A$193:$A$194</definedName>
    <definedName name="System_Engineer">'Cooper Participants'!$D$12</definedName>
    <definedName name="timeline">References!$A$203:$A$206</definedName>
    <definedName name="Totalnumber">References!$A$2:$A$12</definedName>
    <definedName name="YESEXPLAIN">References!$A$74:$A$75</definedName>
    <definedName name="YESNO">References!$A$70:$A$71</definedName>
    <definedName name="Yesnona">References!$A$218:$A$220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42" i="14" l="1"/>
  <c r="I37" i="14"/>
  <c r="H37" i="14"/>
  <c r="I29" i="14"/>
  <c r="I24" i="14"/>
  <c r="I17" i="14"/>
  <c r="H17" i="14"/>
  <c r="G41" i="14"/>
  <c r="G40" i="14"/>
  <c r="G28" i="14"/>
  <c r="G27" i="14"/>
  <c r="G23" i="14"/>
  <c r="G22" i="14"/>
  <c r="G21" i="14"/>
  <c r="G20" i="14"/>
  <c r="G66" i="14"/>
  <c r="G65" i="14"/>
  <c r="G64" i="14"/>
  <c r="G63" i="14"/>
  <c r="F59" i="14"/>
  <c r="F58" i="14"/>
  <c r="F57" i="14"/>
  <c r="G53" i="14"/>
  <c r="G52" i="14"/>
  <c r="D6" i="14" l="1"/>
  <c r="H42" i="14"/>
  <c r="H24" i="14"/>
  <c r="H49" i="14"/>
  <c r="H60" i="14"/>
  <c r="H29" i="14"/>
  <c r="H67" i="14"/>
  <c r="H54" i="14"/>
  <c r="D7" i="14" l="1"/>
  <c r="B12" i="11" l="1"/>
  <c r="B13" i="11" s="1"/>
  <c r="B14" i="11" s="1"/>
  <c r="B15" i="11" s="1"/>
  <c r="D3" i="12"/>
  <c r="D3" i="11"/>
  <c r="D3" i="10"/>
  <c r="E3" i="9"/>
  <c r="E3" i="7"/>
  <c r="D3" i="8"/>
  <c r="D3" i="6"/>
  <c r="D3" i="5"/>
  <c r="B36" i="12"/>
  <c r="B37" i="12" s="1"/>
  <c r="B38" i="12" s="1"/>
  <c r="B39" i="12" s="1"/>
  <c r="B41" i="12" s="1"/>
  <c r="B42" i="12" s="1"/>
  <c r="B43" i="12" s="1"/>
  <c r="B44" i="12" s="1"/>
  <c r="B45" i="12" s="1"/>
  <c r="B46" i="12" s="1"/>
  <c r="B54" i="12" s="1"/>
  <c r="B55" i="12" s="1"/>
  <c r="B57" i="12" s="1"/>
  <c r="B58" i="12" s="1"/>
  <c r="B7" i="11"/>
  <c r="B8" i="11" s="1"/>
  <c r="B9" i="11" s="1"/>
  <c r="B10" i="11" s="1"/>
  <c r="B9" i="10"/>
  <c r="B10" i="10" s="1"/>
  <c r="B11" i="10" s="1"/>
  <c r="B12" i="10" s="1"/>
  <c r="B14" i="10" s="1"/>
  <c r="B15" i="10" s="1"/>
  <c r="B16" i="10" s="1"/>
  <c r="B17" i="10" s="1"/>
  <c r="B18" i="10" s="1"/>
  <c r="B19" i="10" s="1"/>
  <c r="B21" i="10" s="1"/>
  <c r="B22" i="10" s="1"/>
  <c r="B23" i="10" s="1"/>
  <c r="B24" i="10" s="1"/>
  <c r="B25" i="10" s="1"/>
  <c r="B26" i="10" s="1"/>
  <c r="B27" i="10" s="1"/>
  <c r="B29" i="10" s="1"/>
  <c r="B30" i="10" s="1"/>
  <c r="B31" i="10" s="1"/>
  <c r="B33" i="10" s="1"/>
  <c r="B34" i="10" s="1"/>
  <c r="B35" i="10" s="1"/>
  <c r="B8" i="8"/>
  <c r="B9" i="8" s="1"/>
  <c r="B10" i="8" s="1"/>
  <c r="B11" i="8" s="1"/>
  <c r="B12" i="8" s="1"/>
  <c r="B13" i="8" s="1"/>
  <c r="B14" i="8" s="1"/>
  <c r="B15" i="8" s="1"/>
  <c r="B17" i="8" s="1"/>
  <c r="B18" i="8" s="1"/>
  <c r="B19" i="8" s="1"/>
  <c r="B20" i="8" s="1"/>
  <c r="B22" i="8" s="1"/>
  <c r="B23" i="8" s="1"/>
  <c r="B24" i="8" s="1"/>
  <c r="B26" i="8" s="1"/>
  <c r="B27" i="8" s="1"/>
  <c r="B29" i="8" s="1"/>
  <c r="B30" i="8" s="1"/>
  <c r="B31" i="8" s="1"/>
  <c r="B32" i="8" s="1"/>
  <c r="B33" i="8" s="1"/>
  <c r="B34" i="8" s="1"/>
  <c r="B35" i="8" s="1"/>
  <c r="B36" i="8" s="1"/>
  <c r="B37" i="8" s="1"/>
  <c r="B38" i="8" s="1"/>
  <c r="B39" i="8" s="1"/>
  <c r="B40" i="8" s="1"/>
  <c r="B41" i="8" s="1"/>
  <c r="B42" i="8" s="1"/>
  <c r="B43" i="8" s="1"/>
  <c r="B35" i="7"/>
  <c r="B37" i="7" s="1"/>
  <c r="B39" i="7" s="1"/>
  <c r="B29" i="1"/>
  <c r="B31" i="1" s="1"/>
  <c r="B32" i="1" s="1"/>
  <c r="B33" i="1" s="1"/>
  <c r="B34" i="1" s="1"/>
  <c r="B35" i="1" s="1"/>
  <c r="B36" i="1" s="1"/>
  <c r="B37" i="1" s="1"/>
  <c r="B39" i="1" s="1"/>
  <c r="B40" i="1" s="1"/>
  <c r="B42" i="1" s="1"/>
  <c r="B43" i="1" s="1"/>
  <c r="B44" i="1" s="1"/>
  <c r="B45" i="1" s="1"/>
  <c r="B46" i="1" s="1"/>
  <c r="B47" i="1" s="1"/>
  <c r="B48" i="1" s="1"/>
  <c r="B49" i="1" s="1"/>
  <c r="B50" i="1" s="1"/>
  <c r="B51" i="1" s="1"/>
  <c r="B52" i="1" s="1"/>
  <c r="B54" i="1" s="1"/>
  <c r="B55" i="1" s="1"/>
  <c r="B56" i="1" s="1"/>
  <c r="B57" i="1" s="1"/>
  <c r="B58" i="1" s="1"/>
  <c r="B59" i="1" s="1"/>
  <c r="B60" i="1" s="1"/>
  <c r="B61" i="1" s="1"/>
  <c r="B62" i="1" s="1"/>
  <c r="B63" i="1" s="1"/>
  <c r="B10" i="1"/>
  <c r="B11" i="1" s="1"/>
  <c r="B12" i="1" s="1"/>
  <c r="B13" i="1" s="1"/>
  <c r="B14" i="1" s="1"/>
  <c r="B15" i="1" s="1"/>
  <c r="B16" i="1" s="1"/>
  <c r="B17" i="1" s="1"/>
  <c r="B18" i="1" s="1"/>
  <c r="B19" i="1" s="1"/>
  <c r="B20" i="1" s="1"/>
  <c r="B21" i="1" s="1"/>
  <c r="B22" i="1" s="1"/>
  <c r="B23" i="1" s="1"/>
  <c r="B40" i="7" l="1"/>
  <c r="B41" i="7" s="1"/>
  <c r="B42" i="7" s="1"/>
  <c r="B43" i="7" s="1"/>
  <c r="B45" i="7" s="1"/>
  <c r="B46" i="7" s="1"/>
  <c r="B47" i="7" s="1"/>
  <c r="B48" i="7" s="1"/>
  <c r="B50" i="7" s="1"/>
  <c r="B51" i="7" s="1"/>
  <c r="B52" i="7" s="1"/>
  <c r="B53" i="7" s="1"/>
  <c r="B54" i="7" s="1"/>
  <c r="B55" i="7" s="1"/>
  <c r="B56" i="7" s="1"/>
  <c r="B57" i="7" s="1"/>
  <c r="B58" i="7" s="1"/>
  <c r="B60" i="7" s="1"/>
  <c r="B61" i="7" s="1"/>
  <c r="B62" i="7" s="1"/>
  <c r="B48" i="12"/>
  <c r="B49" i="12" s="1"/>
  <c r="B50" i="12" s="1"/>
  <c r="B51" i="12" s="1"/>
  <c r="B52" i="12" s="1"/>
  <c r="B59" i="12"/>
  <c r="B60" i="12" s="1"/>
  <c r="B61" i="12" s="1"/>
  <c r="B62" i="12" s="1"/>
  <c r="B63" i="12" s="1"/>
  <c r="B64" i="12" s="1"/>
  <c r="B65" i="12" s="1"/>
  <c r="B66" i="12" s="1"/>
  <c r="B67" i="12" s="1"/>
  <c r="B68" i="12" s="1"/>
  <c r="B69" i="12" s="1"/>
  <c r="B70" i="12" s="1"/>
  <c r="B71" i="12" s="1"/>
  <c r="B72" i="12" s="1"/>
  <c r="B73" i="12" s="1"/>
  <c r="B74" i="12" s="1"/>
  <c r="B76" i="12" l="1"/>
  <c r="B77" i="12" s="1"/>
  <c r="B79" i="12" s="1"/>
  <c r="B80" i="12" s="1"/>
  <c r="B81" i="12" s="1"/>
</calcChain>
</file>

<file path=xl/sharedStrings.xml><?xml version="1.0" encoding="utf-8"?>
<sst xmlns="http://schemas.openxmlformats.org/spreadsheetml/2006/main" count="863" uniqueCount="652">
  <si>
    <t>Servers</t>
  </si>
  <si>
    <t>Total Production Servers</t>
  </si>
  <si>
    <t>Total Non-Production Servers</t>
  </si>
  <si>
    <t>Server Location:</t>
  </si>
  <si>
    <t>Planned Server Role:</t>
  </si>
  <si>
    <t>Server Hardware Platform:</t>
  </si>
  <si>
    <t>Server OS:</t>
  </si>
  <si>
    <t>OS Administrative Access:</t>
  </si>
  <si>
    <t>OS Support Responsibility:</t>
  </si>
  <si>
    <t>Hardware Support Responsibility:</t>
  </si>
  <si>
    <t>OS Patching Responsibility and Frequency:</t>
  </si>
  <si>
    <t>OS Service Pack Certification:</t>
  </si>
  <si>
    <t>Minimum CPUs:</t>
  </si>
  <si>
    <t>Minimum RAM:</t>
  </si>
  <si>
    <t>Recommended CPUs:</t>
  </si>
  <si>
    <t>Recommended RAM:</t>
  </si>
  <si>
    <t>Estimated Storage for 3 Years of Data (GB):</t>
  </si>
  <si>
    <r>
      <rPr>
        <b/>
        <sz val="11"/>
        <color rgb="FFFF0000"/>
        <rFont val="Calibri"/>
        <family val="2"/>
        <scheme val="minor"/>
      </rPr>
      <t>Minimum</t>
    </r>
    <r>
      <rPr>
        <b/>
        <sz val="11"/>
        <color theme="1"/>
        <rFont val="Calibri"/>
        <family val="2"/>
        <scheme val="minor"/>
      </rPr>
      <t xml:space="preserve"> CPUs:</t>
    </r>
  </si>
  <si>
    <r>
      <rPr>
        <b/>
        <sz val="11"/>
        <color rgb="FFFF0000"/>
        <rFont val="Calibri"/>
        <family val="2"/>
        <scheme val="minor"/>
      </rPr>
      <t>Minimum</t>
    </r>
    <r>
      <rPr>
        <b/>
        <sz val="11"/>
        <color theme="1"/>
        <rFont val="Calibri"/>
        <family val="2"/>
        <scheme val="minor"/>
      </rPr>
      <t xml:space="preserve"> RAM:</t>
    </r>
  </si>
  <si>
    <r>
      <rPr>
        <b/>
        <sz val="11"/>
        <color rgb="FFFF0000"/>
        <rFont val="Calibri"/>
        <family val="2"/>
        <scheme val="minor"/>
      </rPr>
      <t xml:space="preserve">Minimum </t>
    </r>
    <r>
      <rPr>
        <b/>
        <sz val="11"/>
        <color theme="1"/>
        <rFont val="Calibri"/>
        <family val="2"/>
        <scheme val="minor"/>
      </rPr>
      <t>Storage for 1 Year of Data (GB):</t>
    </r>
  </si>
  <si>
    <r>
      <rPr>
        <b/>
        <sz val="11"/>
        <color theme="3" tint="-0.249977111117893"/>
        <rFont val="Calibri"/>
        <family val="2"/>
        <scheme val="minor"/>
      </rPr>
      <t>Recommended</t>
    </r>
    <r>
      <rPr>
        <b/>
        <sz val="11"/>
        <color theme="1"/>
        <rFont val="Calibri"/>
        <family val="2"/>
        <scheme val="minor"/>
      </rPr>
      <t xml:space="preserve"> CPUs:</t>
    </r>
  </si>
  <si>
    <r>
      <rPr>
        <b/>
        <sz val="11"/>
        <color theme="3" tint="-0.249977111117893"/>
        <rFont val="Calibri"/>
        <family val="2"/>
        <scheme val="minor"/>
      </rPr>
      <t xml:space="preserve">Recommended </t>
    </r>
    <r>
      <rPr>
        <b/>
        <sz val="11"/>
        <color theme="1"/>
        <rFont val="Calibri"/>
        <family val="2"/>
        <scheme val="minor"/>
      </rPr>
      <t>RAM:</t>
    </r>
  </si>
  <si>
    <t>Comments</t>
  </si>
  <si>
    <t>Server #1</t>
  </si>
  <si>
    <t>Description of Solution</t>
  </si>
  <si>
    <t>Describe the solution you are proposing (i.e. IaaS, PaaS or SaaS).</t>
  </si>
  <si>
    <t>Is this a private or public cloud solution?</t>
  </si>
  <si>
    <t>Location</t>
  </si>
  <si>
    <t>Where are your Data Center's located?</t>
  </si>
  <si>
    <t>Need to understand potential network latency on Data Center location and where data is stored.</t>
  </si>
  <si>
    <t>Do you offer co-location services as part of this solution and if so where is the co-location facility located?</t>
  </si>
  <si>
    <t>Where will XXX data be stored?</t>
  </si>
  <si>
    <t>What are the data protection laws in those areas? How about the areas they traverse?</t>
  </si>
  <si>
    <t>Will our data only live in these areas for the length of our agreement? If new areas are added, what is the notification and acceptance process?</t>
  </si>
  <si>
    <t>What, if any, outside agencies have access to our data? Are you currently bound by any agreements that prevent you from answering this?</t>
  </si>
  <si>
    <t>Technology Specifics</t>
  </si>
  <si>
    <t>What is your specific platforms for this cloud solution including all hardware, software, and technology areas and ensure all areas that are highlighted include all details such as model number, release level, etc.</t>
  </si>
  <si>
    <t>Are the technology platforms we will be using dedicated or shared?  If any are shared, please specify which ones are to be shared.</t>
  </si>
  <si>
    <t xml:space="preserve">Reviewed by:  </t>
  </si>
  <si>
    <t>Can a tour of your hosting facilities be arranged?</t>
  </si>
  <si>
    <t>General</t>
  </si>
  <si>
    <t>General Information</t>
  </si>
  <si>
    <t>Date of Technical Evaluation Call</t>
  </si>
  <si>
    <t>Product Name</t>
  </si>
  <si>
    <t>Product Version</t>
  </si>
  <si>
    <t>Vendor Name</t>
  </si>
  <si>
    <t>Vendor Address</t>
  </si>
  <si>
    <t>Vendor Contact Information</t>
  </si>
  <si>
    <t>Name, Title and contact information for individual completing this form</t>
  </si>
  <si>
    <t>Provide a general description of the recommended/offered system model (SaaS, Client Server, etc.)</t>
  </si>
  <si>
    <t>Describe the user license model</t>
  </si>
  <si>
    <t xml:space="preserve">Support </t>
  </si>
  <si>
    <t>How will support be handled?  What tool do you use to track support incidents?</t>
  </si>
  <si>
    <t>What are your support hours and response times?</t>
  </si>
  <si>
    <t>Could this tool integrate with our support tracking tool?</t>
  </si>
  <si>
    <t>Where is your Help Desk located and what are the hours of operation?</t>
  </si>
  <si>
    <t>How do you handle emergencies that are outside of normal operating hours?</t>
  </si>
  <si>
    <t>What are the SLAs and metrics for your Help Desk/Call Center?</t>
  </si>
  <si>
    <t>Do you have published operations procedures and can they be reviewed?</t>
  </si>
  <si>
    <t>What is your product Recovery Time Objective (RTO)</t>
  </si>
  <si>
    <t>What is your Recovery Point Objective (RPO)</t>
  </si>
  <si>
    <t>Resources</t>
  </si>
  <si>
    <t>How many full-time resources  will be dedicated to Cooper to support this solution?</t>
  </si>
  <si>
    <t xml:space="preserve">What are the backgrounds of the resources that will be providing the solution?  Please provide sample resumes of the resources. </t>
  </si>
  <si>
    <t>Where are the resources located?</t>
  </si>
  <si>
    <t>Are these resources employees, contractors, or a mix?  Please specify if mix and what company if contractors.</t>
  </si>
  <si>
    <t>Roles/Responsibilities</t>
  </si>
  <si>
    <t>What are the specific support roles and responsibilities you will be performing?</t>
  </si>
  <si>
    <t>What are the specific support roles and responsibilities you expect we will be performing?</t>
  </si>
  <si>
    <t>Please supply detailed tasks that you will be performing to ensure we are aligned and in agreement on all applicable roles and responsibilities.</t>
  </si>
  <si>
    <t>Change Management</t>
  </si>
  <si>
    <t>How is change management handled and what tool is used to track changes?</t>
  </si>
  <si>
    <t>Are there existing coding standards and QA processes (OWASP)</t>
  </si>
  <si>
    <t>Answer</t>
  </si>
  <si>
    <t>Server #2</t>
  </si>
  <si>
    <t>Server #3</t>
  </si>
  <si>
    <t>Server #4</t>
  </si>
  <si>
    <t>Server #5</t>
  </si>
  <si>
    <t>Server #6</t>
  </si>
  <si>
    <t>Application Analyst</t>
  </si>
  <si>
    <t>Application</t>
  </si>
  <si>
    <t>Business Area</t>
  </si>
  <si>
    <t>Business Owner/Sponsor</t>
  </si>
  <si>
    <t>Who would be the primary users of this system</t>
  </si>
  <si>
    <t>What are the intended functions of this system</t>
  </si>
  <si>
    <t>Do you have current customers who are using this solution and who we may contact?  Please provide a minimum of three customers in our market space.</t>
  </si>
  <si>
    <r>
      <rPr>
        <b/>
        <sz val="12"/>
        <color indexed="8"/>
        <rFont val="Arial Narrow"/>
        <family val="2"/>
      </rPr>
      <t>Strategic</t>
    </r>
    <r>
      <rPr>
        <sz val="12"/>
        <color indexed="8"/>
        <rFont val="Arial Narrow"/>
        <family val="2"/>
      </rPr>
      <t xml:space="preserve">
Strategic applications are not necessary for the survival, but have significant contribution to the bottom line.  The loss would cause disruption of some hospital services, but the hospital could still deliver primary services.  Resumption of computer processing support begins only when resources are available in excess of the requirements for the Mission Critical category.  Example: Material Management.</t>
    </r>
  </si>
  <si>
    <r>
      <rPr>
        <b/>
        <sz val="12"/>
        <color indexed="8"/>
        <rFont val="Arial Narrow"/>
        <family val="2"/>
      </rPr>
      <t>Important</t>
    </r>
    <r>
      <rPr>
        <sz val="12"/>
        <color indexed="8"/>
        <rFont val="Arial Narrow"/>
        <family val="2"/>
      </rPr>
      <t xml:space="preserve">
Applications deemed important enough to be supported by IT.  The function can be suspended for an extended period of time.  Resumption of processing begins again when full computer capability is restored.  These are mostly departmental applications enhancing productivity.</t>
    </r>
  </si>
  <si>
    <t>How is available uptime calculated?</t>
  </si>
  <si>
    <t>Do you measure performance in the cloud?  If so, can you provide statistics such as network utilization, memory, and disk capacity, disk I/O, etc.</t>
  </si>
  <si>
    <t>Do you offer any availability warranty?</t>
  </si>
  <si>
    <t>Do you have SLAs and/or metrics regarding performance, response times, bandwidth, and/or reliability for this solution?  If yes, how do you measure and how do you address if not being met?</t>
  </si>
  <si>
    <t>Are credits offered if don't meet your SLA's and how are they obtained?</t>
  </si>
  <si>
    <t>Does this solution provide redundancy or fail over capability?</t>
  </si>
  <si>
    <t xml:space="preserve">Do you use multiple ISPs? </t>
  </si>
  <si>
    <t>Do you have DDoS protection?</t>
  </si>
  <si>
    <t>Can you provide availability historical data?</t>
  </si>
  <si>
    <t>Do you backup our data?  How often and what tool do you use?</t>
  </si>
  <si>
    <t>Do you store our data offsite?  If yes, how often and where is it stored?</t>
  </si>
  <si>
    <t>At application retirement - How are data archives made available?</t>
  </si>
  <si>
    <t>Availability</t>
  </si>
  <si>
    <t>What is the application availability SLA?</t>
  </si>
  <si>
    <t>How will Cooper be notified of outages, scheduled and unscheduled, and are their SLA's for this process?</t>
  </si>
  <si>
    <t>What is the process for backup rotation?  Would Cooper data be backed-up on a storage unit with another client?  Or would another clients data be backed up on a storage unit previously used to backup Cooper data</t>
  </si>
  <si>
    <t>Support Information</t>
  </si>
  <si>
    <t>Provide a product overview and how it would be implemented at Cooper</t>
  </si>
  <si>
    <t>Databases</t>
  </si>
  <si>
    <t>Total Production Databases</t>
  </si>
  <si>
    <t>Total Non-production Databases</t>
  </si>
  <si>
    <t>Database #1</t>
  </si>
  <si>
    <t>Database #2</t>
  </si>
  <si>
    <t>Database #3</t>
  </si>
  <si>
    <t>Database #4</t>
  </si>
  <si>
    <t>Database #5</t>
  </si>
  <si>
    <t>Database #6</t>
  </si>
  <si>
    <t>DB Platform:</t>
  </si>
  <si>
    <t>Requirement for any APP and DB components to reside on the same server instance?</t>
  </si>
  <si>
    <t>DB can be located on a pre-existing shared service platform (ex. enterprise SQL cluster)?</t>
  </si>
  <si>
    <t>What High Availability (HA) solutions are supported?</t>
  </si>
  <si>
    <t>Do you support using separate drive partitions for data and logs?</t>
  </si>
  <si>
    <t>How is authentication to the DB provided?</t>
  </si>
  <si>
    <t>How is the DB managed?</t>
  </si>
  <si>
    <t>Is encrypted communication between the DB and clients supported?</t>
  </si>
  <si>
    <t>DB User/Service Account Name &amp; Password Generation:</t>
  </si>
  <si>
    <t>What level of DB access auditing is provided?</t>
  </si>
  <si>
    <t>DB Administrative Access:</t>
  </si>
  <si>
    <t>DB Support Responsibility:</t>
  </si>
  <si>
    <t>DB Patching Responsibility and Frequency:</t>
  </si>
  <si>
    <t>DB Service Pack Certification:</t>
  </si>
  <si>
    <t>Initial Size (GB):</t>
  </si>
  <si>
    <t>Estimated Size after 1 year (GB):</t>
  </si>
  <si>
    <t>Estimated Size after 3 years (GB):</t>
  </si>
  <si>
    <t>Initial # of Concurrent Users:</t>
  </si>
  <si>
    <t>Estimated # of Concurrent Users after 1 year:</t>
  </si>
  <si>
    <t>Estimated # of Concurrent Users after 3 years:</t>
  </si>
  <si>
    <r>
      <t>Database Information</t>
    </r>
    <r>
      <rPr>
        <b/>
        <sz val="11"/>
        <color theme="0"/>
        <rFont val="Times New Roman"/>
        <family val="1"/>
      </rPr>
      <t xml:space="preserve"> (Skip this section if cloud based)</t>
    </r>
  </si>
  <si>
    <t>Cloud base Systems</t>
  </si>
  <si>
    <r>
      <t>Server Information</t>
    </r>
    <r>
      <rPr>
        <b/>
        <sz val="11"/>
        <color theme="0"/>
        <rFont val="Times New Roman"/>
        <family val="1"/>
      </rPr>
      <t xml:space="preserve"> (Skip this section if cloud based)</t>
    </r>
  </si>
  <si>
    <t>DE Analyst</t>
  </si>
  <si>
    <t>Interfaces</t>
  </si>
  <si>
    <t>#</t>
  </si>
  <si>
    <t>Inbound Interface Information</t>
  </si>
  <si>
    <t>Interface Data Type:</t>
  </si>
  <si>
    <t>Interface Frequency:</t>
  </si>
  <si>
    <t>Interface Message Format:</t>
  </si>
  <si>
    <t>Expected Source Application:</t>
  </si>
  <si>
    <t>Transport Method:</t>
  </si>
  <si>
    <t>What tool is available for control (i.e. start, stop, etc.) of this interface?</t>
  </si>
  <si>
    <t>What tool is available for sending/reprocessing of interface data?</t>
  </si>
  <si>
    <t>Are interface transactions logged?</t>
  </si>
  <si>
    <t>Inbound #2</t>
  </si>
  <si>
    <t>Inbound #3</t>
  </si>
  <si>
    <t>Inbound #4</t>
  </si>
  <si>
    <t>Inbound #1</t>
  </si>
  <si>
    <t>Check here if there are no interfaces</t>
  </si>
  <si>
    <t>Check here if product is Cloud based</t>
  </si>
  <si>
    <t>Outbound Interface Information</t>
  </si>
  <si>
    <t>Outbound #1</t>
  </si>
  <si>
    <t>Outbound #2</t>
  </si>
  <si>
    <t>Outbound #3</t>
  </si>
  <si>
    <t>Outbound #4</t>
  </si>
  <si>
    <t>Desktop Engineer</t>
  </si>
  <si>
    <t>Clients</t>
  </si>
  <si>
    <t>Client Information</t>
  </si>
  <si>
    <t>Hardware Requirements</t>
  </si>
  <si>
    <t>What hardware is the client application going to be running on?</t>
  </si>
  <si>
    <t>Do you support running the client application on a virtual machine?</t>
  </si>
  <si>
    <t>General App Requirements</t>
  </si>
  <si>
    <t>Do you support Windows 7 with latest service pack and patches applied?</t>
  </si>
  <si>
    <t xml:space="preserve">Do you support Windows 8.1 with latest update and patches applied? </t>
  </si>
  <si>
    <t>Do you support the client application running on both 32 bit and 64 bit client operating systems?</t>
  </si>
  <si>
    <t>Do you support the client application being sequenced with Microsoft App-V?</t>
  </si>
  <si>
    <t>Do you support running the client application on Citrix?</t>
  </si>
  <si>
    <t>We deploy new Microsoft updates on a monthly basis to our systems. Do you support this on systems running the client application?</t>
  </si>
  <si>
    <t>We do not grant users administrator rights to their machines. Are there any file or registry permissions that are required for the client application to run in a standard user context?</t>
  </si>
  <si>
    <t>Web-Based App Requirements</t>
  </si>
  <si>
    <t>Do you support IE8?</t>
  </si>
  <si>
    <t>What is the latest version of IE you support?</t>
  </si>
  <si>
    <t>If the latest release of IE is not supported, what is your planned timeline to provide support for it?</t>
  </si>
  <si>
    <t>If any ActiveX controls are required on the client, do you have a standalone installer for them so they can be deployed through SCCM?</t>
  </si>
  <si>
    <t>Do you require any web browser configuration or security changes? If so, please provide details on the changes required in comments section.</t>
  </si>
  <si>
    <t>Other Requirements</t>
  </si>
  <si>
    <t>Is there a dependency on .Net Framework? If so, please specify details in comments section.</t>
  </si>
  <si>
    <t>Is there a dependency on Java Runtime? If so, please specify details in comments section.</t>
  </si>
  <si>
    <t>Any other external dependencies required? If so, please specify details in comments section.</t>
  </si>
  <si>
    <t>Install/Upgrade</t>
  </si>
  <si>
    <t>Can you provide us with your client install documentation before purchase so we can review  the install/configuration procedure?</t>
  </si>
  <si>
    <t>Do you provide a client installer that supports a fully automated install so we can deploy through SCCM?</t>
  </si>
  <si>
    <t>When client upgrades are released are they also released in a format that supports a fully automated upgrade so we can deploy through SCCM?</t>
  </si>
  <si>
    <t>Complete this section if not cloud based</t>
  </si>
  <si>
    <t>Network</t>
  </si>
  <si>
    <t>Network Engineer</t>
  </si>
  <si>
    <t>What are the application's typical bandwidth requirements?</t>
  </si>
  <si>
    <t>Cooper's network runs 100-basetx Ethernet. Does your application support this?</t>
  </si>
  <si>
    <t>Cooper's wireless network uses 802.1x PEAP authentication and WPA2.  Does your application support this?</t>
  </si>
  <si>
    <t>Does this solution involve a site-to site IPSec VPN?</t>
  </si>
  <si>
    <t>If network traffic must leave Cooper's local LAN (VPN or PTP link) what network ports and services must be allowed over the connection?</t>
  </si>
  <si>
    <t>IA Analyst</t>
  </si>
  <si>
    <t>Security &amp; Compliance</t>
  </si>
  <si>
    <t>Security &amp; Compliance Information</t>
  </si>
  <si>
    <t>AD Domain Membership</t>
  </si>
  <si>
    <t>Do you support Active Directory domain membership and management for any required Windows servers?</t>
  </si>
  <si>
    <t>Do you support Active Directory domain membership and management for any required Windows workstations?</t>
  </si>
  <si>
    <t>Remote Access</t>
  </si>
  <si>
    <t>Do you require remote access for support or maintenance?</t>
  </si>
  <si>
    <t>What is your preferred remote access method?</t>
  </si>
  <si>
    <t>Anti-Malware</t>
  </si>
  <si>
    <t>Will you support ForeFront End Point Protection installed and managed by Cooper IT on all clients and servers?</t>
  </si>
  <si>
    <t>User Access &amp; Provisioning</t>
  </si>
  <si>
    <t>How do users log on to the system?</t>
  </si>
  <si>
    <t xml:space="preserve">Do you support Cooper management of user accounts for the system (create, delete, modify)?  </t>
  </si>
  <si>
    <t>May Cooper receive a monthly, e-mailed report containing user id, name and last logon date?</t>
  </si>
  <si>
    <t>Can we use an external user database such as Active Directory or Radius?  Does this require any changes to your user database?</t>
  </si>
  <si>
    <t>If there is no external authentication database, how are user credentials (passwords) secured in your application?</t>
  </si>
  <si>
    <t xml:space="preserve">Will your application support the use of Cooper created role-based access controls?                   </t>
  </si>
  <si>
    <t>If roles are pre-configured, can you supply a matrix of each role and the permissions/access of that role within the application?</t>
  </si>
  <si>
    <t>Do you provide training on user account management at no additional charge?</t>
  </si>
  <si>
    <t>Can accounts be configured to use our corporate naming convention?</t>
  </si>
  <si>
    <t>Can accounts be configured to auto disable after a specified period of inactivity?</t>
  </si>
  <si>
    <t xml:space="preserve">Can a minimum password length be enforced? </t>
  </si>
  <si>
    <t xml:space="preserve">Can a maximum password length be enforced? </t>
  </si>
  <si>
    <t>Are password history restrictions enforced?</t>
  </si>
  <si>
    <t>Can complex passwords be enforced?</t>
  </si>
  <si>
    <t>Can a minimum password age be enforced?</t>
  </si>
  <si>
    <t>May we force a password change?</t>
  </si>
  <si>
    <t>May we force the user to contact the help desk for a password reset?</t>
  </si>
  <si>
    <t>Can system access be limited by time of day?</t>
  </si>
  <si>
    <t>Can system access be limited by physical location?</t>
  </si>
  <si>
    <t>Can system access be limited by network subnet?</t>
  </si>
  <si>
    <t>Upon successful logon, does a message indicate time of last logon?</t>
  </si>
  <si>
    <t>Upon logon failure, does the error message describe the cause of the failure (invalid password, invalid User ID, etc.)?</t>
  </si>
  <si>
    <t>Are unique User IDs required for access?</t>
  </si>
  <si>
    <t>Monitoring and Reporting</t>
  </si>
  <si>
    <t>What application events are logged for auditing?</t>
  </si>
  <si>
    <t>How does Cooper access logging information?</t>
  </si>
  <si>
    <t>How does Cooper generate auditing reports?</t>
  </si>
  <si>
    <t>Does your audit trail log view only access and access reports?</t>
  </si>
  <si>
    <t>For applications containing protected health information (PHI), describe how your application supports the HIPAA Privacy Rule Accounting of Disclosures?</t>
  </si>
  <si>
    <t>What is your process for placing retention holds for legal cases?</t>
  </si>
  <si>
    <t>Encryption</t>
  </si>
  <si>
    <t>Does you application support encryption at rest?</t>
  </si>
  <si>
    <t>Does your application support encryption in transit?</t>
  </si>
  <si>
    <t>Software Security Assurance</t>
  </si>
  <si>
    <t>Who is responsible for security assurance in the organization?</t>
  </si>
  <si>
    <t>Are security requirements expressed in the definition and design phases before coding starts?</t>
  </si>
  <si>
    <t>Is software assurance considered in all phases of development?</t>
  </si>
  <si>
    <t>Do you have developers that possess software security related certifications?</t>
  </si>
  <si>
    <t>Describe the training your company offers related to defining secure coding practices and security testing?</t>
  </si>
  <si>
    <t>Are tools provided to help developers verify the software they have produced is software that is minimized of weaknesses that could lead to exploitable vulnerabilities?</t>
  </si>
  <si>
    <t>When and by whom are security tests performed on the product?  Are tests performed by an internal test team, by an independent third party or both?</t>
  </si>
  <si>
    <t>Do you have formal procedures to work with customers, partners, or security researchers when dealing with security bugs?</t>
  </si>
  <si>
    <t>How will patches and/or service packs be distributed?</t>
  </si>
  <si>
    <t>How extensively are patches and service packs tested before they are released?</t>
  </si>
  <si>
    <t>Can patches and service packs be uninstalled in either an automated or manual process?</t>
  </si>
  <si>
    <t>How often are security bug fixes released?</t>
  </si>
  <si>
    <t>If security bug fixes are released are on a fixed scheduled, do you have the ability to issue one-off security fixes for critical bugs?</t>
  </si>
  <si>
    <t>Will configuration changes (if needed for the installation to be completed) be reset to what was there before the patch was applied?</t>
  </si>
  <si>
    <t xml:space="preserve">Are your version control and configuration management policies and procedures the same throughout your organization?  </t>
  </si>
  <si>
    <t>Are third party vendors contractually required to follow your version control and configuration management policies and procedures?</t>
  </si>
  <si>
    <t>Has your application gone through a third party code review?</t>
  </si>
  <si>
    <t>Is vendor assistance required to recover the application in a DR or DR test scenario?</t>
  </si>
  <si>
    <t xml:space="preserve">Are additional licenses required for dedicated test and/or DR environments?  </t>
  </si>
  <si>
    <t>Attendees</t>
  </si>
  <si>
    <t>System Engineer</t>
  </si>
  <si>
    <t>Database Analyst</t>
  </si>
  <si>
    <t>Tim Holtz</t>
  </si>
  <si>
    <t>Charles Meade</t>
  </si>
  <si>
    <t>Bill Rowley</t>
  </si>
  <si>
    <t>Ryan Dallas</t>
  </si>
  <si>
    <t>Joe Collins</t>
  </si>
  <si>
    <t>Diane Stanton</t>
  </si>
  <si>
    <t>Facilitator</t>
  </si>
  <si>
    <t>Phil Curran</t>
  </si>
  <si>
    <t xml:space="preserve">How do you separate Cooper data from other customers' data and what controls are in place? </t>
  </si>
  <si>
    <t xml:space="preserve">How are privileged user (OS and database) access to Cooper data monitored </t>
  </si>
  <si>
    <t xml:space="preserve">What protections are in place to prevent privileged users from manipulating Cooper data </t>
  </si>
  <si>
    <t xml:space="preserve">Where do you store Cooper data? </t>
  </si>
  <si>
    <t>Data Segregation</t>
  </si>
  <si>
    <t>General Guidelines</t>
  </si>
  <si>
    <t>What are your standard security guidelines, policies, and procedures?</t>
  </si>
  <si>
    <t>Have you had any security breaches and, if so, please specify all details?</t>
  </si>
  <si>
    <t>Please describe your security awareness program?  Is it mandatory for all employees?</t>
  </si>
  <si>
    <t>Do you perform a Risk Assessment?  What is the frequency?  How are the risks mitigated?</t>
  </si>
  <si>
    <t>Are 3rd party contractors required to comply with policies and customer agreements?</t>
  </si>
  <si>
    <t xml:space="preserve">Do you deploy DLP solutions and, if so, can specific rules be constructed for Cooper data?  </t>
  </si>
  <si>
    <t xml:space="preserve">Can any third party (your service providers) access Cooper data, and if so, how? </t>
  </si>
  <si>
    <t>Can you ensure that all our data is erased at the end of the contract period?  Please explain process in place.</t>
  </si>
  <si>
    <t>Ensure how we "safe-harbor" our data to guard against data loss or cloud provider ceasing business or service.</t>
  </si>
  <si>
    <t>Data Protection</t>
  </si>
  <si>
    <t xml:space="preserve">Do you have any DR and BC planning documents, and if so, can Cooper review them? </t>
  </si>
  <si>
    <t xml:space="preserve">Where are your recovery data centers located? </t>
  </si>
  <si>
    <t xml:space="preserve">What service-level guarantee can you offer under DR conditions? </t>
  </si>
  <si>
    <t>Application DR/BCP - Cooper Datacenter</t>
  </si>
  <si>
    <t xml:space="preserve">Can you accommodate timely forensic investigation (e.g., eDiscovery/Legal Discovery)? </t>
  </si>
  <si>
    <t xml:space="preserve">Can Cooper agree on provisions in the SLA for investigation? </t>
  </si>
  <si>
    <t xml:space="preserve">How long do you keep logs and audit trails? </t>
  </si>
  <si>
    <t>Can Cooper have dedicated storage of logs and audit trails?</t>
  </si>
  <si>
    <t>Can you show evidence of tamper-proofing for logs and audit trails?</t>
  </si>
  <si>
    <t>Monitoring and Reporting - Cloud based systems</t>
  </si>
  <si>
    <t>Are there logon banners that cannot be rebranded with Cooper logos, etc.?</t>
  </si>
  <si>
    <t>Have you obtained Common Criteria or FIPS validation for your product?</t>
  </si>
  <si>
    <t>Application DR/BCP -  Cloud based</t>
  </si>
  <si>
    <t>Are your data centers under local compliance requirements? If so, which ones?</t>
  </si>
  <si>
    <t>Are you compliant with the following:</t>
  </si>
  <si>
    <t>- SOC1 SSAE16</t>
  </si>
  <si>
    <t>- ISO-27001</t>
  </si>
  <si>
    <t>- California A.B. 211</t>
  </si>
  <si>
    <t>- PCI 2.0/3.0</t>
  </si>
  <si>
    <t>- HIPAA</t>
  </si>
  <si>
    <t>- Basel II</t>
  </si>
  <si>
    <t>Is there a Right to Audit clause in the contract?</t>
  </si>
  <si>
    <t>Who is responsible for regulatory compliance regarding this solution?</t>
  </si>
  <si>
    <t>Facility</t>
  </si>
  <si>
    <t>What are the default permissions assigned to End-User/Consumer created objects and files?</t>
  </si>
  <si>
    <t>Who can edit these permissions? Are those edits logged?</t>
  </si>
  <si>
    <t>File/Object Security</t>
  </si>
  <si>
    <t>Can you show evidence of your vulnerability management program?</t>
  </si>
  <si>
    <t xml:space="preserve">How often do you scan for vulnerabilities on your network and applications? </t>
  </si>
  <si>
    <t xml:space="preserve">What is your vulnerability remediation process? </t>
  </si>
  <si>
    <t>How often are penetration tests performed and what is the remediation process?</t>
  </si>
  <si>
    <t>Network Information - Cloud based</t>
  </si>
  <si>
    <t>Is Anti-virus deployed?  How are definitions kept current and deployed.</t>
  </si>
  <si>
    <t>Do you deploy IDS/IPS and FIM solutions?  Please describe.</t>
  </si>
  <si>
    <t>How are alerts monitored and reacted to?</t>
  </si>
  <si>
    <t>How is database activity monitored?</t>
  </si>
  <si>
    <t>Data Integrity</t>
  </si>
  <si>
    <t>Is there restricted and monitored access to critical assets 24x7?</t>
  </si>
  <si>
    <t xml:space="preserve">How is access to the data center monitored, i.e. badge reader?  How is the badge reader access provisioned and de-provisioned?  How often is the access reviewed? </t>
  </si>
  <si>
    <t>How are visitors granted access to the data center?</t>
  </si>
  <si>
    <t>Are video camera in place monitoring the data center?  How long are video tapes kept?</t>
  </si>
  <si>
    <t>How is physical access to Networks controlled?</t>
  </si>
  <si>
    <t>Is wireless access to data center hosts permitted in your environment?</t>
  </si>
  <si>
    <t>Describe all environmental controls in place for the Data Center including fire suppression; temperature controls and humidity controls, etc.</t>
  </si>
  <si>
    <t>Is there an emergency generator?   How long can it support the business in the case of electric outage?</t>
  </si>
  <si>
    <t>In what country will the data physically reside?   Are there regional laws restricting cross border flow of data?</t>
  </si>
  <si>
    <t xml:space="preserve">Do you perform background checks on all relevant personnel? </t>
  </si>
  <si>
    <t>Physical and Personnel Security</t>
  </si>
  <si>
    <t xml:space="preserve">What are your procedures for declaring and handling a data breach? </t>
  </si>
  <si>
    <t xml:space="preserve">What data do you collect about us (logs, etc.)? How is it stored? How is the data used? How long will it be stored? </t>
  </si>
  <si>
    <t xml:space="preserve">Under what conditions might third parties, including government agencies, have access to our data? </t>
  </si>
  <si>
    <t>Privacy</t>
  </si>
  <si>
    <t>What is the Application Disaster Recovery Priority (Select one of the options below)</t>
  </si>
  <si>
    <t>Business Owner(s) participating in tech evaluation call</t>
  </si>
  <si>
    <r>
      <rPr>
        <b/>
        <sz val="12"/>
        <color indexed="8"/>
        <rFont val="Arial Narrow"/>
        <family val="2"/>
      </rPr>
      <t xml:space="preserve">Mission Critical: </t>
    </r>
    <r>
      <rPr>
        <sz val="12"/>
        <color indexed="8"/>
        <rFont val="Arial Narrow"/>
        <family val="2"/>
      </rPr>
      <t xml:space="preserve">
An application is considered mission critical if it is necessary for the survival of the institution, e.g., the hospital will suffer a material impact within seven days.  Loss of a mission critical application leads to serious damage and potentially irreparable damage or closure of business.  Example: Billing and registration. If an application is deemed Mission Critical, the business owner must provide a justification for the application being deemed mission critical. All Mission Critical applications must be approved by Senior Leadership</t>
    </r>
  </si>
  <si>
    <t>Associated Server Instance (from Completed "Servers" tab):</t>
  </si>
  <si>
    <t>Do you have hardening standards for Operating System and database.   What is the source of the hardening standards (i.e. NIST, CIS, etc.)</t>
  </si>
  <si>
    <t xml:space="preserve">How do you ensure that critical data (i.e., payment card number) is properly masked and that only authorized individuals have access to the entirety of the data. </t>
  </si>
  <si>
    <t>Total Cost of Ownership Calculation</t>
    <phoneticPr fontId="3" type="noConversion"/>
  </si>
  <si>
    <t>Annual Total Cost of Ownership</t>
    <phoneticPr fontId="3" type="noConversion"/>
  </si>
  <si>
    <t>Annual Cost</t>
    <phoneticPr fontId="3" type="noConversion"/>
  </si>
  <si>
    <t>Hardware expenses</t>
    <phoneticPr fontId="3" type="noConversion"/>
  </si>
  <si>
    <t xml:space="preserve">Direct Hardware </t>
    <phoneticPr fontId="3" type="noConversion"/>
  </si>
  <si>
    <t>Purchase cost</t>
    <phoneticPr fontId="3" type="noConversion"/>
  </si>
  <si>
    <t>Annual Maint</t>
    <phoneticPr fontId="3" type="noConversion"/>
  </si>
  <si>
    <t>&lt;List Servers and HW&gt;</t>
    <phoneticPr fontId="3" type="noConversion"/>
  </si>
  <si>
    <t>Total Direct Hardware</t>
    <phoneticPr fontId="3" type="noConversion"/>
  </si>
  <si>
    <t>Network</t>
    <phoneticPr fontId="3" type="noConversion"/>
  </si>
  <si>
    <t>Percent allocation</t>
    <phoneticPr fontId="3" type="noConversion"/>
  </si>
  <si>
    <t xml:space="preserve">Total Network </t>
    <phoneticPr fontId="3" type="noConversion"/>
  </si>
  <si>
    <t>Other Indirect Hardware</t>
    <phoneticPr fontId="3" type="noConversion"/>
  </si>
  <si>
    <t>Total Other Indirect</t>
    <phoneticPr fontId="3" type="noConversion"/>
  </si>
  <si>
    <t>Software Costs</t>
    <phoneticPr fontId="3" type="noConversion"/>
  </si>
  <si>
    <t xml:space="preserve">Direct Software </t>
    <phoneticPr fontId="3" type="noConversion"/>
  </si>
  <si>
    <t>&lt;List S/W that is only used for application</t>
    <phoneticPr fontId="3" type="noConversion"/>
  </si>
  <si>
    <t>Total Direct Software</t>
    <phoneticPr fontId="3" type="noConversion"/>
  </si>
  <si>
    <t>Indirect Software</t>
    <phoneticPr fontId="3" type="noConversion"/>
  </si>
  <si>
    <t>Total Indirect Software</t>
    <phoneticPr fontId="3" type="noConversion"/>
  </si>
  <si>
    <t>Personnel Costs</t>
    <phoneticPr fontId="3" type="noConversion"/>
  </si>
  <si>
    <t>Dedicated Internal Resources</t>
    <phoneticPr fontId="3" type="noConversion"/>
  </si>
  <si>
    <t>Annual Salary</t>
    <phoneticPr fontId="3" type="noConversion"/>
  </si>
  <si>
    <t>&lt;List People dedicated to app&gt;</t>
    <phoneticPr fontId="3" type="noConversion"/>
  </si>
  <si>
    <t>Total Dedicated Internal Resources</t>
    <phoneticPr fontId="3" type="noConversion"/>
  </si>
  <si>
    <t>Partial Internal Resources</t>
    <phoneticPr fontId="3" type="noConversion"/>
  </si>
  <si>
    <t>Percent Allocated</t>
    <phoneticPr fontId="3" type="noConversion"/>
  </si>
  <si>
    <t>&lt;List internal resources &gt;</t>
    <phoneticPr fontId="3" type="noConversion"/>
  </si>
  <si>
    <t>Total Partial Internal Resources</t>
    <phoneticPr fontId="3" type="noConversion"/>
  </si>
  <si>
    <t>External Resources</t>
    <phoneticPr fontId="3" type="noConversion"/>
  </si>
  <si>
    <t>Hourly Rate</t>
    <phoneticPr fontId="3" type="noConversion"/>
  </si>
  <si>
    <t>Annual hours used</t>
    <phoneticPr fontId="3" type="noConversion"/>
  </si>
  <si>
    <t>Annual Cost</t>
    <phoneticPr fontId="3" type="noConversion"/>
  </si>
  <si>
    <t>Total External Resources</t>
    <phoneticPr fontId="3" type="noConversion"/>
  </si>
  <si>
    <t>Other associated Costs</t>
    <phoneticPr fontId="3" type="noConversion"/>
  </si>
  <si>
    <t>Percentage Allocated</t>
    <phoneticPr fontId="3" type="noConversion"/>
  </si>
  <si>
    <t>Allocated Annual Cost</t>
    <phoneticPr fontId="3" type="noConversion"/>
  </si>
  <si>
    <t>Total Other Costs</t>
    <phoneticPr fontId="3" type="noConversion"/>
  </si>
  <si>
    <t>Total Purchase Costs</t>
  </si>
  <si>
    <t>Purchase</t>
  </si>
  <si>
    <t>A</t>
  </si>
  <si>
    <t>B</t>
  </si>
  <si>
    <t>C</t>
  </si>
  <si>
    <t>D</t>
  </si>
  <si>
    <t>Application Expense Area</t>
  </si>
  <si>
    <t>How long are logs saved?</t>
  </si>
  <si>
    <r>
      <t xml:space="preserve">Total Interfaces </t>
    </r>
    <r>
      <rPr>
        <b/>
        <sz val="14"/>
        <color theme="1"/>
        <rFont val="Calibri"/>
        <family val="2"/>
        <scheme val="minor"/>
      </rPr>
      <t xml:space="preserve">Inbound to your application </t>
    </r>
  </si>
  <si>
    <t>Total Interfaces Outbound from your application</t>
  </si>
  <si>
    <t>Expected Target Application:</t>
  </si>
  <si>
    <t>What tool is available for operational monitoring (i.e. status, last record processed, etc.) of this interface?</t>
  </si>
  <si>
    <t>Please provide a high-level data flow diagram</t>
  </si>
  <si>
    <t>Do you have a specification document?</t>
  </si>
  <si>
    <t>CPU</t>
  </si>
  <si>
    <t>DBHA</t>
  </si>
  <si>
    <t>TOTALNUMBER</t>
  </si>
  <si>
    <t>LOCATION</t>
  </si>
  <si>
    <t>Cooper Datacenter</t>
  </si>
  <si>
    <t>Vendor Datacenter</t>
  </si>
  <si>
    <t>Other (Please Explain in "Comments")</t>
  </si>
  <si>
    <t>SERVERROLE</t>
  </si>
  <si>
    <t>Web Tier</t>
  </si>
  <si>
    <t>Application Tier</t>
  </si>
  <si>
    <t>Database Tier</t>
  </si>
  <si>
    <t>Multifunction (Please Explain in "Comments")</t>
  </si>
  <si>
    <t>SERVERHARDWARE</t>
  </si>
  <si>
    <t>Virtual Server (Preferred)</t>
  </si>
  <si>
    <t>Physical Server; Cooper Supplied (Vendor Requirement - Please Explain in "Comments")</t>
  </si>
  <si>
    <t>Physical Server; Vendor Supplied (Vendor Requirement - Please Explain in "Comments")</t>
  </si>
  <si>
    <t>Virtual Appliance</t>
  </si>
  <si>
    <t>Physical Appliance</t>
  </si>
  <si>
    <t>SERVEROS</t>
  </si>
  <si>
    <t>Windows 2008 R2 Standard, 64-bit</t>
  </si>
  <si>
    <t>Windows 2008 R2 Enterprise, 64-bit</t>
  </si>
  <si>
    <t>Windows - Other (Please Specify Version in "Comments")</t>
  </si>
  <si>
    <t>Linux - Proprietary Distribution (Please Specify in "Comments")</t>
  </si>
  <si>
    <t>Linux - Standard Distribution (Please Specify in "Comments")</t>
  </si>
  <si>
    <t>AIX (Please Specify Version in "Comments")</t>
  </si>
  <si>
    <t>Other (Please Specify in "Comments")</t>
  </si>
  <si>
    <t>RAM</t>
  </si>
  <si>
    <t>512 MB</t>
  </si>
  <si>
    <t>1 GB</t>
  </si>
  <si>
    <t>2 GB</t>
  </si>
  <si>
    <t>4 GB</t>
  </si>
  <si>
    <t>8 GB</t>
  </si>
  <si>
    <t>16 GB</t>
  </si>
  <si>
    <t>32 GB</t>
  </si>
  <si>
    <t>ADMINACCESS</t>
  </si>
  <si>
    <t>Cooper Only</t>
  </si>
  <si>
    <t>Vendor Only (Please Explain in "Comments")</t>
  </si>
  <si>
    <t>Cooper and Vendor (Please Explain in "Comments")</t>
  </si>
  <si>
    <t>PATCHING</t>
  </si>
  <si>
    <t>Cooper; Only After Certified by Vendor (Please Specify Timelines in "Comments")</t>
  </si>
  <si>
    <t>Cooper; On Standard Cooper Schedule</t>
  </si>
  <si>
    <t>Shared</t>
  </si>
  <si>
    <t>Vendor; Quarterly</t>
  </si>
  <si>
    <t>Vendor; Ad Hoc or Other (Please Specify in "Comments")</t>
  </si>
  <si>
    <t>YESNO</t>
  </si>
  <si>
    <t>Yes</t>
  </si>
  <si>
    <t>No</t>
  </si>
  <si>
    <t>YESEXPLAIN</t>
  </si>
  <si>
    <t>Yes (Please Explain in "Comments")</t>
  </si>
  <si>
    <t>NOEXPLAIN</t>
  </si>
  <si>
    <t>No (Please Explain in "Comments")</t>
  </si>
  <si>
    <t>NETWORKCONNECTIONS</t>
  </si>
  <si>
    <t>2 (Please Explain in "Comments")</t>
  </si>
  <si>
    <t>3 (Please Explain in "Comments")</t>
  </si>
  <si>
    <t>4+ (Please Explain in "Comments")</t>
  </si>
  <si>
    <t>PORTSPEED</t>
  </si>
  <si>
    <t>100 MB</t>
  </si>
  <si>
    <t>Combination (Please Explain in "Comments")</t>
  </si>
  <si>
    <t>NETWORKTYPE</t>
  </si>
  <si>
    <t>Cooper Internal Network</t>
  </si>
  <si>
    <t>Cooper DMZ</t>
  </si>
  <si>
    <t>Vendor Network</t>
  </si>
  <si>
    <t>DBVERSIONS</t>
  </si>
  <si>
    <t>SQL Server 2008 R2 Standard, 64-bit</t>
  </si>
  <si>
    <t>SQL Server 2008 R2 Enterprise, 64-bit</t>
  </si>
  <si>
    <t>SQL Server - Other (Please Specify Version in "Comments")</t>
  </si>
  <si>
    <t>Oracle (Please Specify Version in "Comments")</t>
  </si>
  <si>
    <t>Cooper Choice (Please Specify in "Comments")</t>
  </si>
  <si>
    <t>IFACE_DATA</t>
  </si>
  <si>
    <t>ADT</t>
  </si>
  <si>
    <t>Charge Data</t>
  </si>
  <si>
    <t>Master File Maintenance</t>
  </si>
  <si>
    <t>Order Entry</t>
  </si>
  <si>
    <t>Transcribed Reports</t>
  </si>
  <si>
    <t>Results Reporting</t>
  </si>
  <si>
    <t>Scheduling</t>
  </si>
  <si>
    <t>Imaging</t>
  </si>
  <si>
    <t>IFACE_FORMAT</t>
  </si>
  <si>
    <t>HL7 - v2.x</t>
  </si>
  <si>
    <t>HL7 - v3</t>
  </si>
  <si>
    <t>DICOM</t>
  </si>
  <si>
    <t>NCPDP</t>
  </si>
  <si>
    <t>XML</t>
  </si>
  <si>
    <t>X12</t>
  </si>
  <si>
    <t>Proprietary (Please Describe in "Comments")</t>
  </si>
  <si>
    <t>IFACE_APPLIST</t>
  </si>
  <si>
    <t>Registration / Scheduling Application</t>
  </si>
  <si>
    <t>EMR (Order Entry / Results Reporting)</t>
  </si>
  <si>
    <t>Ancillary Clinical</t>
  </si>
  <si>
    <t>HIE</t>
  </si>
  <si>
    <t>Patient Billing</t>
  </si>
  <si>
    <t>ERP</t>
  </si>
  <si>
    <t>HRIS</t>
  </si>
  <si>
    <t>IFACE_TRANSPORT</t>
  </si>
  <si>
    <t>TCP/IP</t>
  </si>
  <si>
    <t>HTTP</t>
  </si>
  <si>
    <t>HTTPS</t>
  </si>
  <si>
    <t>File / FTP</t>
  </si>
  <si>
    <t>SFTP</t>
  </si>
  <si>
    <t>SNA</t>
  </si>
  <si>
    <t>Serial (RS-232)</t>
  </si>
  <si>
    <t>IFACE_FREQ</t>
  </si>
  <si>
    <t>Real-time</t>
  </si>
  <si>
    <t>Batch</t>
  </si>
  <si>
    <t>SERVERINSTANCE</t>
  </si>
  <si>
    <t>Server #7</t>
  </si>
  <si>
    <t>Server #8</t>
  </si>
  <si>
    <t>Server #9</t>
  </si>
  <si>
    <t>Server #10</t>
  </si>
  <si>
    <t>DBAUTHENTICATION</t>
  </si>
  <si>
    <t>via External Source; Active Directory</t>
  </si>
  <si>
    <t>via External Source; Other (Please Specify in "Comments")</t>
  </si>
  <si>
    <t>via Internal Source, Specified DB User Accounts</t>
  </si>
  <si>
    <t>Combination of External &amp; Internal Sources (Please Describe in "Comments")</t>
  </si>
  <si>
    <t>DBSERVICEACCT</t>
  </si>
  <si>
    <t>Cooper Responsibility (Preferred)</t>
  </si>
  <si>
    <t>Vendor Responsibility (Please Explain in "Comments")</t>
  </si>
  <si>
    <t>Shared Responsibility (Please Explain in "Comments")</t>
  </si>
  <si>
    <t>DBMANAGEMENT</t>
  </si>
  <si>
    <t>via Native DB Tools</t>
  </si>
  <si>
    <t>via Application-based Tools</t>
  </si>
  <si>
    <t>via Combination of Native DB &amp; Application-based Tools</t>
  </si>
  <si>
    <t>via Other (Please Specify in "Comments")</t>
  </si>
  <si>
    <t>Native DB Clustering (Microsoft Clustering, Oracle RAC, etc.)</t>
  </si>
  <si>
    <t>Proprietary Clustering (Please Specify in "Comments")</t>
  </si>
  <si>
    <t>None (Please Explain in "Comments")</t>
  </si>
  <si>
    <t>DBAUDIT</t>
  </si>
  <si>
    <t>Native DB Access Logging</t>
  </si>
  <si>
    <t>Application Access Logging</t>
  </si>
  <si>
    <t>Both Native DB and Application Access Logging</t>
  </si>
  <si>
    <t>SPQUALIFICATION</t>
  </si>
  <si>
    <t>Vendor Certification Required Prior to Installation</t>
  </si>
  <si>
    <t>No Vendor Certification Required Prior to Installation</t>
  </si>
  <si>
    <t>IEVERSION</t>
  </si>
  <si>
    <t>TIMELINE</t>
  </si>
  <si>
    <t>Within 6 Months</t>
  </si>
  <si>
    <t>Within 12 Months</t>
  </si>
  <si>
    <t>12 Months or Later</t>
  </si>
  <si>
    <t>No Plans</t>
  </si>
  <si>
    <t>SEECOMMENTS</t>
  </si>
  <si>
    <t>Please Explain in "Comments"</t>
  </si>
  <si>
    <t>N/A</t>
  </si>
  <si>
    <t>BUGFIXES</t>
  </si>
  <si>
    <t>Quarterly</t>
  </si>
  <si>
    <t>Monthly</t>
  </si>
  <si>
    <t>Ad Hoc</t>
  </si>
  <si>
    <t>YESNONA</t>
  </si>
  <si>
    <t>BANDWIDTH</t>
  </si>
  <si>
    <t>Minimal</t>
  </si>
  <si>
    <t>Average</t>
  </si>
  <si>
    <t>High (Please Explain in "Comments")</t>
  </si>
  <si>
    <t>CLIENTHARDWARE</t>
  </si>
  <si>
    <t>Vendor provided, Vendor Supported (Please Provide Hardware Details in "Comments")</t>
  </si>
  <si>
    <t>Vendor provided, Cooper Supported (Please Provide Hardware Details in "Comments")</t>
  </si>
  <si>
    <t>Cooper provided, Cooper Supported (Please Provide Hardware Requirements in "Comments")</t>
  </si>
  <si>
    <t>DisasterRecovery</t>
  </si>
  <si>
    <t>Mission Critical</t>
  </si>
  <si>
    <t>Strategic</t>
  </si>
  <si>
    <t>Important</t>
  </si>
  <si>
    <t>Vendor; Monthly</t>
  </si>
  <si>
    <t>Not Web-based</t>
  </si>
  <si>
    <r>
      <t>1.</t>
    </r>
    <r>
      <rPr>
        <b/>
        <sz val="7"/>
        <color theme="1"/>
        <rFont val="Times New Roman"/>
        <family val="1"/>
      </rPr>
      <t xml:space="preserve">   </t>
    </r>
    <r>
      <rPr>
        <b/>
        <sz val="14"/>
        <color theme="1"/>
        <rFont val="Arial Narrow"/>
        <family val="2"/>
      </rPr>
      <t>Application Availability / Recovery</t>
    </r>
  </si>
  <si>
    <t>Risk:</t>
  </si>
  <si>
    <t>List all the risks with the severity level in this section</t>
  </si>
  <si>
    <r>
      <t>Severity:</t>
    </r>
    <r>
      <rPr>
        <sz val="12"/>
        <color theme="1"/>
        <rFont val="Arial Narrow"/>
        <family val="2"/>
      </rPr>
      <t xml:space="preserve">  LOW, MEDIUM, HIGH</t>
    </r>
  </si>
  <si>
    <r>
      <t>Scope:</t>
    </r>
    <r>
      <rPr>
        <sz val="12"/>
        <color theme="1"/>
        <rFont val="Arial Narrow"/>
        <family val="2"/>
      </rPr>
      <t xml:space="preserve">  All Application Components</t>
    </r>
  </si>
  <si>
    <t>Impact:</t>
  </si>
  <si>
    <t>Mitigate Risk:</t>
  </si>
  <si>
    <r>
      <t>1.</t>
    </r>
    <r>
      <rPr>
        <b/>
        <sz val="7"/>
        <color theme="1"/>
        <rFont val="Times New Roman"/>
        <family val="1"/>
      </rPr>
      <t xml:space="preserve">   </t>
    </r>
    <r>
      <rPr>
        <b/>
        <sz val="14"/>
        <color theme="1"/>
        <rFont val="Arial Narrow"/>
        <family val="2"/>
      </rPr>
      <t>Server Risks</t>
    </r>
  </si>
  <si>
    <t>List all the risk in relation to Infrastructure in terms of supporting this system</t>
  </si>
  <si>
    <t>Scope:</t>
  </si>
  <si>
    <t>COOPER ONLY</t>
  </si>
  <si>
    <r>
      <t>1.</t>
    </r>
    <r>
      <rPr>
        <b/>
        <sz val="7"/>
        <color theme="1"/>
        <rFont val="Times New Roman"/>
        <family val="1"/>
      </rPr>
      <t xml:space="preserve">   </t>
    </r>
    <r>
      <rPr>
        <b/>
        <sz val="14"/>
        <color theme="1"/>
        <rFont val="Arial Narrow"/>
        <family val="2"/>
      </rPr>
      <t>Database Risks</t>
    </r>
  </si>
  <si>
    <t>Cooper only</t>
  </si>
  <si>
    <r>
      <t>Severity:</t>
    </r>
    <r>
      <rPr>
        <sz val="12"/>
        <color theme="1"/>
        <rFont val="Arial Narrow"/>
        <family val="2"/>
      </rPr>
      <t xml:space="preserve">  </t>
    </r>
  </si>
  <si>
    <r>
      <t>1.</t>
    </r>
    <r>
      <rPr>
        <b/>
        <sz val="7"/>
        <color theme="1"/>
        <rFont val="Times New Roman"/>
        <family val="1"/>
      </rPr>
      <t xml:space="preserve">   </t>
    </r>
    <r>
      <rPr>
        <b/>
        <sz val="14"/>
        <color theme="1"/>
        <rFont val="Arial Narrow"/>
        <family val="2"/>
      </rPr>
      <t>Interface Risks</t>
    </r>
  </si>
  <si>
    <t>List all the risk in relation to system integration (building any type of interface)</t>
  </si>
  <si>
    <r>
      <t>1.</t>
    </r>
    <r>
      <rPr>
        <b/>
        <sz val="7"/>
        <color theme="1"/>
        <rFont val="Times New Roman"/>
        <family val="1"/>
      </rPr>
      <t xml:space="preserve">   </t>
    </r>
    <r>
      <rPr>
        <b/>
        <sz val="14"/>
        <color theme="1"/>
        <rFont val="Arial Narrow"/>
        <family val="2"/>
      </rPr>
      <t>Client Risks</t>
    </r>
  </si>
  <si>
    <r>
      <t>1.</t>
    </r>
    <r>
      <rPr>
        <b/>
        <sz val="7"/>
        <color theme="1"/>
        <rFont val="Times New Roman"/>
        <family val="1"/>
      </rPr>
      <t xml:space="preserve">   </t>
    </r>
    <r>
      <rPr>
        <b/>
        <sz val="14"/>
        <color theme="1"/>
        <rFont val="Arial Narrow"/>
        <family val="2"/>
      </rPr>
      <t>Network Risks</t>
    </r>
  </si>
  <si>
    <t>List all the risk in relation to networking (i.e. VPN connection, other special types of settings)</t>
  </si>
  <si>
    <r>
      <t>1.</t>
    </r>
    <r>
      <rPr>
        <b/>
        <sz val="7"/>
        <color theme="1"/>
        <rFont val="Times New Roman"/>
        <family val="1"/>
      </rPr>
      <t xml:space="preserve">   </t>
    </r>
    <r>
      <rPr>
        <b/>
        <sz val="14"/>
        <color theme="1"/>
        <rFont val="Arial Narrow"/>
        <family val="2"/>
      </rPr>
      <t>Information Assurance and Privacy Risks</t>
    </r>
  </si>
  <si>
    <r>
      <t>Severity = Likelihood X Impact:</t>
    </r>
    <r>
      <rPr>
        <sz val="12"/>
        <color theme="1"/>
        <rFont val="Arial Narrow"/>
        <family val="2"/>
      </rPr>
      <t xml:space="preserve">  LOW, MEDIUM,.</t>
    </r>
  </si>
  <si>
    <t xml:space="preserve">Likelihood – 1 through 5: </t>
  </si>
  <si>
    <t xml:space="preserve">Impact – 1 through 5 : </t>
  </si>
  <si>
    <t xml:space="preserve">Mitigate Risk:  </t>
  </si>
  <si>
    <t>Cooper Oly</t>
  </si>
  <si>
    <t>TBD</t>
  </si>
  <si>
    <t>PeriGen</t>
  </si>
  <si>
    <t>100 Regency Forest Drive, Suite 200, Cary NC 27518</t>
  </si>
  <si>
    <t>Cate Chace (sales) 802 343 0571 / Michelle Flowers (clinical) 850 324 6353</t>
  </si>
  <si>
    <t>As above</t>
  </si>
  <si>
    <t>Fetal surveillance, tracings, documentation and archiving. This is an upgrade to our existing system in place since 2014 at Cooper.</t>
  </si>
  <si>
    <t>Subscription based on 5 year contract term, with maintenance.</t>
  </si>
  <si>
    <t>Labor &amp; Delivery / OB</t>
  </si>
  <si>
    <t>Cooper is a current customer.</t>
  </si>
  <si>
    <t xml:space="preserve">You have an existing maintenance agreement for both ESA and SMA </t>
  </si>
  <si>
    <t>You have an existing maintenance agreement so you have 24x7 coverage</t>
  </si>
  <si>
    <t>24x7 in Cary, North Carolina (Our HQ)</t>
  </si>
  <si>
    <t>24x7 coverage</t>
  </si>
  <si>
    <t>Cary, NC</t>
  </si>
  <si>
    <t>help desk employees</t>
  </si>
  <si>
    <t>business hours ET, but you have ESA for 24x7</t>
  </si>
  <si>
    <t>We perform an extraction,  for a cost whent the last patient is discharged. You will need this data</t>
  </si>
  <si>
    <t>See your Agreement, there is a Change Control process</t>
  </si>
  <si>
    <t>No, it's on your servers or on VMs</t>
  </si>
  <si>
    <t>PeriWatch Tracings</t>
  </si>
  <si>
    <t>2019.1.01</t>
  </si>
  <si>
    <t xml:space="preserve">Hospital hosted Client/Server model identical to the current architecture. Vmware supported. </t>
  </si>
  <si>
    <t>This whole section is not applicable</t>
  </si>
  <si>
    <t>MS SQL</t>
  </si>
  <si>
    <t>as a 24x7 system, perigen provides several tiers of service. All require access to the server for remote support. This is normally done with an industry standard system - SecureLink</t>
  </si>
  <si>
    <t>SecureLink</t>
  </si>
  <si>
    <t>full audit of user access, screen viewed and actions all stored in SQL DB.</t>
  </si>
  <si>
    <t>Can be created as a DB query or report by the customer.</t>
  </si>
  <si>
    <t>AD supported only.</t>
  </si>
  <si>
    <t>Customer can configure access control inside the app based on AD user membership to fit their own policy. The system does not support the use of external role based controls.</t>
  </si>
  <si>
    <t>This is already setup in the current instance of the application.</t>
  </si>
  <si>
    <t>All based on AD accounts</t>
  </si>
  <si>
    <t>AD controlled</t>
  </si>
  <si>
    <t>Not natively but possible via AD policies</t>
  </si>
  <si>
    <t>A generic error appears</t>
  </si>
  <si>
    <t>Since AD authentication is the preferred mode of authentication, unique IDs are assumed.</t>
  </si>
  <si>
    <t>Success auth, screen viewed, data changed/entered. Separate exception logs are available for login failures</t>
  </si>
  <si>
    <t>Via the application of by directly querying the SQL audit log tables</t>
  </si>
  <si>
    <t>We proivde 24X7 coverage - the agreement doesn't include SLA</t>
  </si>
  <si>
    <t>???</t>
  </si>
  <si>
    <t>We have a help desk of 7 people who support our solutions</t>
  </si>
  <si>
    <t>Our resources have certificates in MS support, several have worked on solution support helpdesks and our average tenure is 4 years.</t>
  </si>
  <si>
    <t>Supporting Perigen's Applications</t>
  </si>
  <si>
    <t>Supporting network, hardware and OS</t>
  </si>
  <si>
    <t>We will continue to collaborate as we have always done</t>
  </si>
  <si>
    <t>You host your servers</t>
  </si>
  <si>
    <t xml:space="preserve">No  </t>
  </si>
  <si>
    <t>Phone call to primary contact</t>
  </si>
  <si>
    <t>You are responsible for your data backups</t>
  </si>
  <si>
    <t>You host your own servers and VMs</t>
  </si>
  <si>
    <t>Data is effectively written and never deleted from the database. That and the full audit trail provide a full account of the episode of care in the event of a legal case</t>
  </si>
  <si>
    <t>Not applicable. Our system is hosted at the customer site</t>
  </si>
  <si>
    <t>Supported as part of MS SQL TDE built into SQL Enterprise or Data Center editions</t>
  </si>
  <si>
    <t xml:space="preserve">All inter-server and client server APIs areTLS  encrypted using certificates provided by the site. </t>
  </si>
  <si>
    <t>SVP Product Management</t>
  </si>
  <si>
    <t>Training is/was provided but without an official security certification</t>
  </si>
  <si>
    <t>Veracode, OWASP ZAP</t>
  </si>
  <si>
    <t>Presently by internal resources. 3rd party audit is planned by early 2020</t>
  </si>
  <si>
    <t>All aspects of work items follow the same process of prioretization and scheduling for product roadmap</t>
  </si>
  <si>
    <t>Depending of risk and severity, patches or maintenance releases are made available to certain or all customers. There are generally 2 maintenance releases a year. Patches or hot-fixes are typically only released for more urgent problems.</t>
  </si>
  <si>
    <t>fully</t>
  </si>
  <si>
    <t>This may not be automatic but is part of the process followed by PeriGen personnel in the event of a roll-back</t>
  </si>
  <si>
    <t>"roll-back" can be done on the server by PeriGen personnel if needed. From there, clients are updated automatically.</t>
  </si>
  <si>
    <t>That depends on the configuration of the system (ex: if SQL cluster is used or not). To be further discussed.</t>
  </si>
  <si>
    <t>Not for PeriGen software. 3rd party licenses will be required. Ex: SQL server license</t>
  </si>
  <si>
    <t>NA</t>
  </si>
  <si>
    <t>Application hosted by Cooper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</si>
</sst>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9" x14ac:knownFonts="1">
    <font>
      <sz val="11"/>
      <color theme="1"/>
      <name val="Calibri"/>
      <family val="2"/>
      <scheme val="minor"/>
    </font>
    <font>
      <b/>
      <sz val="11"/>
      <color theme="1"/>
      <name val="Calibri"/>
      <family val="2"/>
      <scheme val="minor"/>
    </font>
    <font>
      <b/>
      <sz val="28"/>
      <color theme="1"/>
      <name val="Calibri"/>
      <family val="2"/>
      <scheme val="minor"/>
    </font>
    <font>
      <sz val="12"/>
      <color indexed="8"/>
      <name val="Arial Narrow"/>
      <family val="2"/>
    </font>
    <font>
      <b/>
      <sz val="12"/>
      <color indexed="8"/>
      <name val="Arial Narrow"/>
      <family val="2"/>
    </font>
    <font>
      <sz val="10"/>
      <name val="Arial"/>
      <family val="2"/>
    </font>
    <font>
      <b/>
      <sz val="11"/>
      <color rgb="FFFF0000"/>
      <name val="Calibri"/>
      <family val="2"/>
      <scheme val="minor"/>
    </font>
    <font>
      <b/>
      <sz val="14"/>
      <color theme="0"/>
      <name val="Times New Roman"/>
      <family val="1"/>
    </font>
    <font>
      <b/>
      <sz val="11"/>
      <color theme="1"/>
      <name val="Times New Roman"/>
      <family val="1"/>
    </font>
    <font>
      <b/>
      <sz val="11"/>
      <color theme="0"/>
      <name val="Times New Roman"/>
      <family val="1"/>
    </font>
    <font>
      <sz val="12"/>
      <color rgb="FF000000"/>
      <name val="Arial Narrow"/>
      <family val="2"/>
    </font>
    <font>
      <sz val="11"/>
      <name val="Calibri"/>
      <family val="2"/>
      <scheme val="minor"/>
    </font>
    <font>
      <b/>
      <i/>
      <sz val="11"/>
      <name val="Calibri"/>
      <family val="2"/>
      <scheme val="minor"/>
    </font>
    <font>
      <b/>
      <sz val="11"/>
      <color theme="3" tint="-0.249977111117893"/>
      <name val="Calibri"/>
      <family val="2"/>
      <scheme val="minor"/>
    </font>
    <font>
      <sz val="10"/>
      <name val="Arial"/>
    </font>
    <font>
      <sz val="14"/>
      <color theme="1"/>
      <name val="Calibri"/>
      <family val="2"/>
      <scheme val="minor"/>
    </font>
    <font>
      <b/>
      <sz val="14"/>
      <color theme="1"/>
      <name val="Calibri"/>
      <family val="2"/>
      <scheme val="minor"/>
    </font>
    <font>
      <sz val="11"/>
      <color theme="1"/>
      <name val="Calibri"/>
      <family val="2"/>
      <scheme val="minor"/>
    </font>
    <font>
      <b/>
      <sz val="14"/>
      <name val="Verdana"/>
      <family val="2"/>
    </font>
    <font>
      <b/>
      <sz val="10"/>
      <name val="Verdana"/>
    </font>
    <font>
      <sz val="14"/>
      <color theme="0"/>
      <name val="Times New Roman"/>
      <family val="1"/>
    </font>
    <font>
      <b/>
      <sz val="10"/>
      <name val="Verdana"/>
      <family val="2"/>
    </font>
    <font>
      <sz val="11"/>
      <color rgb="FF1F497D"/>
      <name val="Calibri"/>
      <family val="2"/>
      <scheme val="minor"/>
    </font>
    <font>
      <b/>
      <sz val="14"/>
      <color theme="1"/>
      <name val="Arial Narrow"/>
      <family val="2"/>
    </font>
    <font>
      <b/>
      <sz val="7"/>
      <color theme="1"/>
      <name val="Times New Roman"/>
      <family val="1"/>
    </font>
    <font>
      <sz val="12"/>
      <color theme="1"/>
      <name val="Arial Narrow"/>
      <family val="2"/>
    </font>
    <font>
      <b/>
      <sz val="12"/>
      <color theme="1"/>
      <name val="Arial Narrow"/>
      <family val="2"/>
    </font>
    <font>
      <b/>
      <u/>
      <sz val="14"/>
      <color theme="1"/>
      <name val="Arial Narrow"/>
      <family val="2"/>
    </font>
    <font>
      <u/>
      <sz val="14"/>
      <color theme="1"/>
      <name val="Arial Narrow"/>
      <family val="2"/>
    </font>
  </fonts>
  <fills count="8">
    <fill>
      <patternFill patternType="none"/>
    </fill>
    <fill>
      <patternFill patternType="gray125"/>
    </fill>
    <fill>
      <patternFill patternType="solid">
        <fgColor theme="0" tint="-0.249977111117893"/>
        <bgColor indexed="64"/>
      </patternFill>
    </fill>
    <fill>
      <patternFill patternType="solid">
        <fgColor rgb="FFC10538"/>
        <bgColor indexed="64"/>
      </patternFill>
    </fill>
    <fill>
      <patternFill patternType="solid">
        <fgColor rgb="FFFFFFCC"/>
        <bgColor indexed="64"/>
      </patternFill>
    </fill>
    <fill>
      <patternFill patternType="solid">
        <fgColor indexed="26"/>
        <bgColor indexed="64"/>
      </patternFill>
    </fill>
    <fill>
      <patternFill patternType="solid">
        <fgColor indexed="31"/>
        <bgColor indexed="64"/>
      </patternFill>
    </fill>
    <fill>
      <patternFill patternType="solid">
        <fgColor rgb="FFFFFF00"/>
        <bgColor indexed="64"/>
      </patternFill>
    </fill>
  </fills>
  <borders count="24">
    <border>
      <left/>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5" fillId="0" borderId="0"/>
    <xf numFmtId="9" fontId="5" fillId="0" borderId="0" applyFont="0" applyFill="0" applyBorder="0" applyAlignment="0" applyProtection="0"/>
    <xf numFmtId="0" fontId="14" fillId="0" borderId="0"/>
    <xf numFmtId="0" fontId="5" fillId="0" borderId="0"/>
    <xf numFmtId="44" fontId="17" fillId="0" borderId="0" applyFont="0" applyFill="0" applyBorder="0" applyAlignment="0" applyProtection="0"/>
    <xf numFmtId="9" fontId="17" fillId="0" borderId="0" applyFont="0" applyFill="0" applyBorder="0" applyAlignment="0" applyProtection="0"/>
  </cellStyleXfs>
  <cellXfs count="181">
    <xf numFmtId="0" fontId="0" fillId="0" borderId="0" xfId="0"/>
    <xf numFmtId="0" fontId="7" fillId="3" borderId="9" xfId="0" applyFont="1" applyFill="1" applyBorder="1" applyAlignment="1" applyProtection="1">
      <alignment horizontal="center" vertical="center"/>
    </xf>
    <xf numFmtId="0" fontId="7" fillId="3" borderId="9" xfId="0" applyFont="1" applyFill="1" applyBorder="1" applyAlignment="1" applyProtection="1">
      <alignment vertical="center"/>
    </xf>
    <xf numFmtId="0" fontId="12" fillId="4" borderId="10" xfId="1" applyFont="1" applyFill="1" applyBorder="1" applyAlignment="1">
      <alignment horizontal="center" vertical="top" wrapText="1"/>
    </xf>
    <xf numFmtId="0" fontId="0" fillId="2" borderId="0" xfId="0" applyFill="1" applyBorder="1"/>
    <xf numFmtId="0" fontId="0" fillId="0" borderId="0" xfId="0" applyFill="1" applyBorder="1"/>
    <xf numFmtId="0" fontId="0" fillId="0" borderId="0" xfId="0" applyBorder="1"/>
    <xf numFmtId="0" fontId="2" fillId="0" borderId="0" xfId="0" applyFont="1" applyBorder="1" applyAlignment="1">
      <alignment horizontal="center"/>
    </xf>
    <xf numFmtId="0" fontId="1" fillId="0" borderId="0" xfId="0" applyFont="1" applyBorder="1"/>
    <xf numFmtId="0" fontId="1" fillId="2" borderId="0" xfId="0" applyFont="1" applyFill="1" applyBorder="1"/>
    <xf numFmtId="0" fontId="0" fillId="0" borderId="9" xfId="0" applyBorder="1"/>
    <xf numFmtId="0" fontId="0" fillId="0" borderId="2" xfId="0" applyBorder="1"/>
    <xf numFmtId="0" fontId="1" fillId="0" borderId="9" xfId="0" applyFont="1" applyBorder="1"/>
    <xf numFmtId="0" fontId="1" fillId="0" borderId="0" xfId="0" applyFont="1" applyFill="1" applyBorder="1"/>
    <xf numFmtId="0" fontId="7" fillId="0" borderId="0" xfId="0" applyFont="1" applyFill="1" applyBorder="1" applyAlignment="1" applyProtection="1">
      <alignment horizontal="center" vertical="center"/>
    </xf>
    <xf numFmtId="0" fontId="0" fillId="0" borderId="0" xfId="0" applyBorder="1" applyAlignment="1">
      <alignment horizontal="right"/>
    </xf>
    <xf numFmtId="0" fontId="12" fillId="4" borderId="4" xfId="1" applyFont="1" applyFill="1" applyBorder="1" applyAlignment="1">
      <alignment horizontal="center" vertical="top" wrapText="1"/>
    </xf>
    <xf numFmtId="49" fontId="8" fillId="0" borderId="9" xfId="0" applyNumberFormat="1" applyFont="1" applyFill="1" applyBorder="1" applyAlignment="1" applyProtection="1">
      <alignment vertical="center" wrapText="1"/>
    </xf>
    <xf numFmtId="49" fontId="7" fillId="3" borderId="9" xfId="0" applyNumberFormat="1" applyFont="1" applyFill="1" applyBorder="1" applyAlignment="1" applyProtection="1">
      <alignment vertical="center" wrapText="1"/>
    </xf>
    <xf numFmtId="0" fontId="7" fillId="3" borderId="9"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7" fillId="3" borderId="9"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0" fillId="0" borderId="9" xfId="0" applyBorder="1" applyAlignment="1">
      <alignment horizontal="center"/>
    </xf>
    <xf numFmtId="0" fontId="0" fillId="2" borderId="9" xfId="0" applyFill="1" applyBorder="1"/>
    <xf numFmtId="0" fontId="7" fillId="2" borderId="9" xfId="0" applyFont="1" applyFill="1" applyBorder="1" applyAlignment="1" applyProtection="1">
      <alignment vertical="center"/>
    </xf>
    <xf numFmtId="0" fontId="15" fillId="0" borderId="2" xfId="0" applyFont="1" applyBorder="1" applyAlignment="1">
      <alignment horizontal="left"/>
    </xf>
    <xf numFmtId="0" fontId="0" fillId="0" borderId="0" xfId="0" applyBorder="1" applyAlignment="1">
      <alignment horizontal="left"/>
    </xf>
    <xf numFmtId="49" fontId="8" fillId="0" borderId="7" xfId="0" applyNumberFormat="1" applyFont="1" applyFill="1" applyBorder="1" applyAlignment="1" applyProtection="1">
      <alignment wrapText="1"/>
    </xf>
    <xf numFmtId="0" fontId="7" fillId="3" borderId="9"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7" fillId="3" borderId="9"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11" fillId="0" borderId="9" xfId="0" applyFont="1" applyBorder="1" applyAlignment="1">
      <alignment horizontal="left" vertical="top" wrapText="1"/>
    </xf>
    <xf numFmtId="0" fontId="12" fillId="4" borderId="9" xfId="1" applyFont="1" applyFill="1" applyBorder="1" applyAlignment="1">
      <alignment horizontal="center" vertical="top" wrapText="1"/>
    </xf>
    <xf numFmtId="0" fontId="11" fillId="0" borderId="9" xfId="1" applyFont="1" applyBorder="1" applyAlignment="1">
      <alignment horizontal="left" vertical="top" wrapText="1"/>
    </xf>
    <xf numFmtId="0" fontId="11" fillId="0" borderId="9" xfId="1" applyFont="1" applyFill="1" applyBorder="1" applyAlignment="1">
      <alignment horizontal="left" vertical="top" wrapText="1"/>
    </xf>
    <xf numFmtId="0" fontId="0" fillId="0" borderId="8" xfId="0" applyBorder="1"/>
    <xf numFmtId="0" fontId="15" fillId="0" borderId="13" xfId="0" applyFont="1" applyBorder="1" applyAlignment="1">
      <alignment horizontal="left"/>
    </xf>
    <xf numFmtId="0" fontId="1" fillId="0" borderId="9" xfId="0" applyFont="1" applyBorder="1" applyAlignment="1">
      <alignment wrapText="1"/>
    </xf>
    <xf numFmtId="0" fontId="7" fillId="3" borderId="9" xfId="0" applyFont="1" applyFill="1" applyBorder="1" applyAlignment="1" applyProtection="1">
      <alignment horizontal="center" vertical="center"/>
    </xf>
    <xf numFmtId="0" fontId="7" fillId="3" borderId="9" xfId="0" applyFont="1" applyFill="1" applyBorder="1" applyAlignment="1" applyProtection="1">
      <alignment vertical="center"/>
    </xf>
    <xf numFmtId="0" fontId="2" fillId="0" borderId="2" xfId="0" applyFont="1" applyBorder="1" applyAlignment="1">
      <alignment horizontal="center"/>
    </xf>
    <xf numFmtId="0" fontId="15" fillId="0" borderId="8" xfId="0" applyFont="1" applyBorder="1" applyAlignment="1">
      <alignment horizontal="left"/>
    </xf>
    <xf numFmtId="0" fontId="7" fillId="3" borderId="9"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7" fillId="3" borderId="9"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11" fillId="0" borderId="9" xfId="1" applyFont="1" applyBorder="1" applyAlignment="1">
      <alignment horizontal="left" vertical="top" wrapText="1"/>
    </xf>
    <xf numFmtId="0" fontId="11" fillId="0" borderId="9" xfId="0" applyFont="1" applyBorder="1" applyAlignment="1">
      <alignment horizontal="left" vertical="top" wrapText="1"/>
    </xf>
    <xf numFmtId="0" fontId="12" fillId="4" borderId="9" xfId="1" applyFont="1" applyFill="1" applyBorder="1" applyAlignment="1">
      <alignment horizontal="center" vertical="top" wrapText="1"/>
    </xf>
    <xf numFmtId="0" fontId="0" fillId="0" borderId="14" xfId="0" applyBorder="1"/>
    <xf numFmtId="0" fontId="7" fillId="2" borderId="11" xfId="0" applyFont="1" applyFill="1" applyBorder="1" applyAlignment="1" applyProtection="1">
      <alignment vertical="center"/>
    </xf>
    <xf numFmtId="0" fontId="0" fillId="2" borderId="11" xfId="0" applyFill="1" applyBorder="1"/>
    <xf numFmtId="0" fontId="0" fillId="2" borderId="6" xfId="0" applyFill="1" applyBorder="1"/>
    <xf numFmtId="0" fontId="7" fillId="2" borderId="12" xfId="0" applyFont="1" applyFill="1" applyBorder="1" applyAlignment="1" applyProtection="1">
      <alignment vertical="center"/>
    </xf>
    <xf numFmtId="0" fontId="0" fillId="2" borderId="12" xfId="0" applyFill="1" applyBorder="1"/>
    <xf numFmtId="0" fontId="0" fillId="2" borderId="3" xfId="0" applyFill="1" applyBorder="1"/>
    <xf numFmtId="0" fontId="7" fillId="2" borderId="0" xfId="0" applyFont="1" applyFill="1" applyBorder="1" applyAlignment="1" applyProtection="1">
      <alignment vertical="center"/>
    </xf>
    <xf numFmtId="0" fontId="0" fillId="2" borderId="1" xfId="0" applyFill="1" applyBorder="1"/>
    <xf numFmtId="0" fontId="0" fillId="0" borderId="0" xfId="0" applyFill="1" applyBorder="1" applyAlignment="1">
      <alignment horizontal="left"/>
    </xf>
    <xf numFmtId="0" fontId="15" fillId="0" borderId="15" xfId="0" applyFont="1" applyFill="1" applyBorder="1" applyAlignment="1">
      <alignment horizontal="left"/>
    </xf>
    <xf numFmtId="0" fontId="15" fillId="0" borderId="13" xfId="0" applyFont="1" applyFill="1" applyBorder="1" applyAlignment="1">
      <alignment horizontal="left"/>
    </xf>
    <xf numFmtId="0" fontId="7" fillId="3" borderId="9"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7" fillId="2" borderId="0" xfId="0" applyFont="1" applyFill="1" applyBorder="1" applyAlignment="1" applyProtection="1">
      <alignment horizontal="center" vertical="center"/>
    </xf>
    <xf numFmtId="0" fontId="11" fillId="0" borderId="9" xfId="1" applyFont="1" applyBorder="1" applyAlignment="1">
      <alignment horizontal="left" vertical="top" wrapText="1"/>
    </xf>
    <xf numFmtId="0" fontId="11" fillId="0" borderId="9" xfId="0" applyFont="1" applyBorder="1" applyAlignment="1">
      <alignment horizontal="left" vertical="top" wrapText="1"/>
    </xf>
    <xf numFmtId="0" fontId="12" fillId="4" borderId="9" xfId="1" applyFont="1" applyFill="1" applyBorder="1" applyAlignment="1">
      <alignment horizontal="center" vertical="top" wrapText="1"/>
    </xf>
    <xf numFmtId="0" fontId="12" fillId="0" borderId="9" xfId="1" applyFont="1" applyFill="1" applyBorder="1" applyAlignment="1">
      <alignment horizontal="center" vertical="top" wrapText="1"/>
    </xf>
    <xf numFmtId="0" fontId="0" fillId="0" borderId="9" xfId="0" applyBorder="1" applyAlignment="1">
      <alignment wrapText="1"/>
    </xf>
    <xf numFmtId="0" fontId="0" fillId="0" borderId="9" xfId="0" applyFill="1" applyBorder="1" applyAlignment="1">
      <alignment wrapText="1"/>
    </xf>
    <xf numFmtId="0" fontId="7" fillId="3" borderId="9" xfId="0" applyFont="1" applyFill="1" applyBorder="1" applyAlignment="1" applyProtection="1">
      <alignment horizontal="center" vertical="center"/>
    </xf>
    <xf numFmtId="0" fontId="9" fillId="3" borderId="9" xfId="0" applyFont="1" applyFill="1" applyBorder="1" applyAlignment="1" applyProtection="1">
      <alignment horizontal="center" vertical="center"/>
    </xf>
    <xf numFmtId="0" fontId="7" fillId="3" borderId="9" xfId="0" applyFont="1" applyFill="1" applyBorder="1" applyAlignment="1" applyProtection="1">
      <alignment vertical="center"/>
    </xf>
    <xf numFmtId="0" fontId="7" fillId="2" borderId="0" xfId="0" applyFont="1" applyFill="1" applyBorder="1" applyAlignment="1" applyProtection="1">
      <alignment horizontal="center" vertical="center"/>
    </xf>
    <xf numFmtId="49" fontId="8" fillId="0" borderId="2" xfId="0" applyNumberFormat="1" applyFont="1" applyFill="1" applyBorder="1" applyAlignment="1" applyProtection="1">
      <alignment vertical="center" wrapText="1"/>
    </xf>
    <xf numFmtId="0" fontId="11" fillId="0" borderId="9" xfId="1" applyFont="1" applyBorder="1" applyAlignment="1">
      <alignment horizontal="left" vertical="top" wrapText="1"/>
    </xf>
    <xf numFmtId="0" fontId="11" fillId="0" borderId="9" xfId="0" applyFont="1" applyBorder="1" applyAlignment="1">
      <alignment horizontal="left" vertical="top" wrapText="1"/>
    </xf>
    <xf numFmtId="0" fontId="12" fillId="4" borderId="9" xfId="1" applyFont="1" applyFill="1" applyBorder="1" applyAlignment="1">
      <alignment horizontal="center" vertical="top" wrapText="1"/>
    </xf>
    <xf numFmtId="0" fontId="11" fillId="0" borderId="9" xfId="0" applyFont="1" applyFill="1" applyBorder="1" applyAlignment="1">
      <alignment horizontal="left" vertical="top" wrapText="1"/>
    </xf>
    <xf numFmtId="0" fontId="11" fillId="0" borderId="9" xfId="1" applyFont="1" applyBorder="1" applyAlignment="1">
      <alignment horizontal="left" vertical="top" wrapText="1"/>
    </xf>
    <xf numFmtId="9" fontId="11" fillId="0" borderId="9" xfId="1" applyNumberFormat="1" applyFont="1" applyFill="1" applyBorder="1" applyAlignment="1">
      <alignment horizontal="left" vertical="top" wrapText="1"/>
    </xf>
    <xf numFmtId="0" fontId="11" fillId="0" borderId="9" xfId="1" applyFont="1" applyBorder="1" applyAlignment="1">
      <alignment horizontal="left" vertical="top" wrapText="1"/>
    </xf>
    <xf numFmtId="0" fontId="3" fillId="0" borderId="9" xfId="0" applyFont="1" applyBorder="1" applyAlignment="1">
      <alignment vertical="top" wrapText="1"/>
    </xf>
    <xf numFmtId="0" fontId="10" fillId="0" borderId="9" xfId="0" applyFont="1" applyBorder="1" applyAlignment="1">
      <alignment vertical="top" wrapText="1"/>
    </xf>
    <xf numFmtId="0" fontId="18" fillId="0" borderId="0" xfId="0" applyFont="1"/>
    <xf numFmtId="0" fontId="0" fillId="0" borderId="0" xfId="0" applyAlignment="1">
      <alignment horizontal="center"/>
    </xf>
    <xf numFmtId="0" fontId="0" fillId="2" borderId="0" xfId="0" applyFill="1"/>
    <xf numFmtId="0" fontId="0" fillId="2" borderId="0" xfId="0" applyFill="1" applyAlignment="1">
      <alignment horizontal="center"/>
    </xf>
    <xf numFmtId="0" fontId="20" fillId="3" borderId="9" xfId="0" applyFont="1" applyFill="1" applyBorder="1" applyAlignment="1" applyProtection="1">
      <alignment horizontal="center" vertical="center"/>
    </xf>
    <xf numFmtId="0" fontId="19" fillId="6" borderId="9" xfId="0" applyFont="1" applyFill="1" applyBorder="1"/>
    <xf numFmtId="44" fontId="19" fillId="6" borderId="9" xfId="0" applyNumberFormat="1" applyFont="1" applyFill="1" applyBorder="1" applyAlignment="1">
      <alignment horizontal="center"/>
    </xf>
    <xf numFmtId="0" fontId="19" fillId="0" borderId="9" xfId="0" applyFont="1" applyFill="1" applyBorder="1"/>
    <xf numFmtId="44" fontId="19" fillId="0" borderId="9" xfId="0" applyNumberFormat="1" applyFont="1" applyFill="1" applyBorder="1" applyAlignment="1">
      <alignment horizontal="center"/>
    </xf>
    <xf numFmtId="0" fontId="19" fillId="5" borderId="9" xfId="0" applyFont="1" applyFill="1" applyBorder="1" applyAlignment="1">
      <alignment horizontal="center"/>
    </xf>
    <xf numFmtId="0" fontId="0" fillId="5" borderId="9" xfId="0" applyFill="1" applyBorder="1" applyAlignment="1">
      <alignment horizontal="center"/>
    </xf>
    <xf numFmtId="0" fontId="0" fillId="5" borderId="9" xfId="0" applyFill="1" applyBorder="1"/>
    <xf numFmtId="0" fontId="19" fillId="0" borderId="9" xfId="0" applyFont="1" applyBorder="1"/>
    <xf numFmtId="0" fontId="19" fillId="0" borderId="9" xfId="0" applyFont="1" applyBorder="1" applyAlignment="1">
      <alignment horizontal="left" indent="1"/>
    </xf>
    <xf numFmtId="0" fontId="19" fillId="0" borderId="9" xfId="0" applyFont="1" applyBorder="1" applyAlignment="1">
      <alignment horizontal="center"/>
    </xf>
    <xf numFmtId="0" fontId="0" fillId="0" borderId="9" xfId="0" applyBorder="1" applyAlignment="1">
      <alignment horizontal="left" indent="2"/>
    </xf>
    <xf numFmtId="44" fontId="0" fillId="0" borderId="9" xfId="5" applyFont="1" applyBorder="1" applyAlignment="1">
      <alignment horizontal="center"/>
    </xf>
    <xf numFmtId="0" fontId="0" fillId="0" borderId="9" xfId="0" applyBorder="1" applyAlignment="1">
      <alignment horizontal="left" indent="4"/>
    </xf>
    <xf numFmtId="44" fontId="19" fillId="0" borderId="9" xfId="0" applyNumberFormat="1" applyFont="1" applyBorder="1"/>
    <xf numFmtId="0" fontId="0" fillId="0" borderId="9" xfId="0" applyBorder="1" applyAlignment="1">
      <alignment horizontal="left" indent="1"/>
    </xf>
    <xf numFmtId="0" fontId="0" fillId="0" borderId="9" xfId="0" applyBorder="1" applyAlignment="1">
      <alignment horizontal="left" indent="3"/>
    </xf>
    <xf numFmtId="9" fontId="0" fillId="0" borderId="9" xfId="6" applyFont="1" applyBorder="1" applyAlignment="1">
      <alignment horizontal="center"/>
    </xf>
    <xf numFmtId="44" fontId="0" fillId="0" borderId="9" xfId="5" applyFont="1" applyBorder="1"/>
    <xf numFmtId="0" fontId="19" fillId="2" borderId="9" xfId="0" applyFont="1" applyFill="1" applyBorder="1" applyAlignment="1">
      <alignment horizontal="left" indent="1"/>
    </xf>
    <xf numFmtId="0" fontId="19" fillId="2" borderId="9" xfId="0" applyFont="1" applyFill="1" applyBorder="1" applyAlignment="1">
      <alignment horizontal="center"/>
    </xf>
    <xf numFmtId="0" fontId="19" fillId="2" borderId="9" xfId="0" applyFont="1" applyFill="1" applyBorder="1"/>
    <xf numFmtId="44" fontId="19" fillId="2" borderId="9" xfId="0" applyNumberFormat="1" applyFont="1" applyFill="1" applyBorder="1"/>
    <xf numFmtId="0" fontId="19" fillId="0" borderId="9" xfId="0" applyFont="1" applyBorder="1" applyAlignment="1">
      <alignment horizontal="left"/>
    </xf>
    <xf numFmtId="0" fontId="0" fillId="2" borderId="9" xfId="0" applyFill="1" applyBorder="1" applyAlignment="1">
      <alignment horizontal="center"/>
    </xf>
    <xf numFmtId="44" fontId="0" fillId="0" borderId="9" xfId="0" applyNumberFormat="1" applyBorder="1"/>
    <xf numFmtId="0" fontId="19" fillId="0" borderId="9" xfId="0" applyFont="1" applyBorder="1" applyAlignment="1">
      <alignment horizontal="center" wrapText="1"/>
    </xf>
    <xf numFmtId="0" fontId="21" fillId="5" borderId="9" xfId="0" applyFont="1" applyFill="1" applyBorder="1" applyAlignment="1">
      <alignment horizontal="center"/>
    </xf>
    <xf numFmtId="0" fontId="11" fillId="0" borderId="9" xfId="1" applyFont="1" applyBorder="1" applyAlignment="1">
      <alignment horizontal="left" vertical="top" wrapText="1"/>
    </xf>
    <xf numFmtId="0" fontId="7" fillId="3" borderId="11" xfId="0" applyFont="1" applyFill="1" applyBorder="1" applyAlignment="1" applyProtection="1">
      <alignment vertical="center"/>
    </xf>
    <xf numFmtId="0" fontId="0" fillId="0" borderId="6" xfId="0" applyBorder="1"/>
    <xf numFmtId="0" fontId="15" fillId="0" borderId="13" xfId="0" applyFont="1" applyBorder="1" applyAlignment="1">
      <alignment horizontal="left" wrapText="1"/>
    </xf>
    <xf numFmtId="0" fontId="15" fillId="0" borderId="8" xfId="0" applyFont="1" applyBorder="1" applyAlignment="1">
      <alignment horizontal="left" wrapText="1"/>
    </xf>
    <xf numFmtId="0" fontId="15" fillId="0" borderId="2" xfId="0" applyFont="1" applyBorder="1" applyAlignment="1">
      <alignment horizontal="left" wrapText="1"/>
    </xf>
    <xf numFmtId="0" fontId="0" fillId="0" borderId="0" xfId="0"/>
    <xf numFmtId="0" fontId="0" fillId="0" borderId="0" xfId="0" applyFont="1" applyAlignment="1">
      <alignment horizontal="left"/>
    </xf>
    <xf numFmtId="0" fontId="0" fillId="0" borderId="0" xfId="0" applyAlignment="1">
      <alignment horizontal="left"/>
    </xf>
    <xf numFmtId="0" fontId="6" fillId="0" borderId="0" xfId="0" applyFont="1" applyAlignment="1">
      <alignment horizontal="left"/>
    </xf>
    <xf numFmtId="0" fontId="12" fillId="4" borderId="9" xfId="1" applyFont="1" applyFill="1" applyBorder="1" applyAlignment="1">
      <alignment horizontal="center" vertical="top" wrapText="1"/>
    </xf>
    <xf numFmtId="0" fontId="11" fillId="0" borderId="9" xfId="1" applyFont="1" applyBorder="1" applyAlignment="1">
      <alignment horizontal="left" vertical="top" wrapText="1"/>
    </xf>
    <xf numFmtId="9" fontId="11" fillId="0" borderId="9" xfId="1" applyNumberFormat="1" applyFont="1" applyFill="1" applyBorder="1" applyAlignment="1">
      <alignment horizontal="left" vertical="top" wrapText="1"/>
    </xf>
    <xf numFmtId="14" fontId="0" fillId="0" borderId="9" xfId="0" applyNumberFormat="1" applyBorder="1"/>
    <xf numFmtId="0" fontId="22" fillId="0" borderId="0" xfId="0" applyFont="1"/>
    <xf numFmtId="0" fontId="25" fillId="0" borderId="0" xfId="0" applyFont="1"/>
    <xf numFmtId="0" fontId="0" fillId="0" borderId="16" xfId="0" applyBorder="1"/>
    <xf numFmtId="0" fontId="0" fillId="0" borderId="17" xfId="0" applyBorder="1"/>
    <xf numFmtId="0" fontId="0" fillId="0" borderId="18" xfId="0" applyBorder="1"/>
    <xf numFmtId="0" fontId="23" fillId="0" borderId="19" xfId="0" applyFont="1" applyBorder="1" applyAlignment="1">
      <alignment horizontal="left" vertical="center" indent="2"/>
    </xf>
    <xf numFmtId="0" fontId="0" fillId="0" borderId="20" xfId="0" applyBorder="1"/>
    <xf numFmtId="0" fontId="27" fillId="0" borderId="19" xfId="0" applyFont="1" applyBorder="1" applyAlignment="1">
      <alignment horizontal="left" vertical="center" indent="5"/>
    </xf>
    <xf numFmtId="0" fontId="28" fillId="0" borderId="0" xfId="0" applyFont="1" applyBorder="1" applyAlignment="1">
      <alignment vertical="center"/>
    </xf>
    <xf numFmtId="0" fontId="0" fillId="0" borderId="19" xfId="0" applyBorder="1"/>
    <xf numFmtId="0" fontId="26" fillId="0" borderId="0" xfId="0" applyFont="1" applyBorder="1" applyAlignment="1">
      <alignment vertical="center"/>
    </xf>
    <xf numFmtId="0" fontId="0" fillId="0" borderId="21" xfId="0" applyBorder="1"/>
    <xf numFmtId="0" fontId="26" fillId="0" borderId="22" xfId="0" applyFont="1" applyBorder="1" applyAlignment="1">
      <alignment vertical="center"/>
    </xf>
    <xf numFmtId="0" fontId="0" fillId="0" borderId="22" xfId="0" applyBorder="1"/>
    <xf numFmtId="0" fontId="0" fillId="0" borderId="23" xfId="0" applyBorder="1"/>
    <xf numFmtId="0" fontId="0" fillId="0" borderId="20" xfId="0" applyBorder="1" applyAlignment="1"/>
    <xf numFmtId="0" fontId="25" fillId="0" borderId="20" xfId="0" applyFont="1" applyBorder="1" applyAlignment="1">
      <alignment vertical="center"/>
    </xf>
    <xf numFmtId="0" fontId="26" fillId="0" borderId="23" xfId="0" applyFont="1" applyBorder="1" applyAlignment="1">
      <alignment vertical="center"/>
    </xf>
    <xf numFmtId="0" fontId="27" fillId="0" borderId="19" xfId="0" applyFont="1" applyBorder="1" applyAlignment="1">
      <alignment vertical="center"/>
    </xf>
    <xf numFmtId="0" fontId="28" fillId="0" borderId="20" xfId="0" applyFont="1" applyBorder="1" applyAlignment="1">
      <alignment vertical="center"/>
    </xf>
    <xf numFmtId="0" fontId="26" fillId="0" borderId="20" xfId="0" applyFont="1" applyBorder="1" applyAlignment="1">
      <alignment vertical="center"/>
    </xf>
    <xf numFmtId="0" fontId="0" fillId="0" borderId="16" xfId="0" applyFill="1" applyBorder="1"/>
    <xf numFmtId="0" fontId="0" fillId="0" borderId="18" xfId="0" applyFill="1" applyBorder="1"/>
    <xf numFmtId="0" fontId="0" fillId="0" borderId="19" xfId="0" applyFill="1" applyBorder="1"/>
    <xf numFmtId="0" fontId="0" fillId="0" borderId="21" xfId="0" applyFill="1" applyBorder="1"/>
    <xf numFmtId="0" fontId="25" fillId="0" borderId="0" xfId="0" applyFont="1" applyAlignment="1">
      <alignment horizontal="left" vertical="center" indent="10"/>
    </xf>
    <xf numFmtId="0" fontId="26" fillId="0" borderId="19" xfId="0" applyFont="1" applyBorder="1" applyAlignment="1">
      <alignment vertical="center"/>
    </xf>
    <xf numFmtId="9" fontId="11" fillId="0" borderId="9" xfId="1" applyNumberFormat="1" applyFont="1" applyFill="1" applyBorder="1" applyAlignment="1">
      <alignment horizontal="left" vertical="top" wrapText="1"/>
    </xf>
    <xf numFmtId="0" fontId="11" fillId="0" borderId="9" xfId="1" applyFont="1" applyBorder="1" applyAlignment="1">
      <alignment horizontal="left" vertical="top" wrapText="1"/>
    </xf>
    <xf numFmtId="0" fontId="12" fillId="4" borderId="9" xfId="1" applyFont="1" applyFill="1" applyBorder="1" applyAlignment="1">
      <alignment horizontal="center" vertical="top" wrapText="1"/>
    </xf>
    <xf numFmtId="0" fontId="0" fillId="0" borderId="0" xfId="0" applyBorder="1" applyAlignment="1">
      <alignment horizontal="right"/>
    </xf>
    <xf numFmtId="0" fontId="12" fillId="4" borderId="10" xfId="1" applyFont="1" applyFill="1" applyBorder="1" applyAlignment="1">
      <alignment horizontal="center" vertical="top" wrapText="1"/>
    </xf>
    <xf numFmtId="0" fontId="12" fillId="4" borderId="4" xfId="1" applyFont="1" applyFill="1" applyBorder="1" applyAlignment="1">
      <alignment horizontal="center" vertical="top" wrapText="1"/>
    </xf>
    <xf numFmtId="0" fontId="11" fillId="0" borderId="9" xfId="1" applyFont="1" applyBorder="1" applyAlignment="1">
      <alignment horizontal="left" vertical="top" wrapText="1"/>
    </xf>
    <xf numFmtId="0" fontId="0" fillId="0" borderId="9" xfId="0" applyBorder="1" applyAlignment="1">
      <alignment horizontal="center"/>
    </xf>
    <xf numFmtId="0" fontId="0" fillId="3" borderId="9" xfId="0" applyFill="1" applyBorder="1" applyAlignment="1">
      <alignment horizontal="center"/>
    </xf>
    <xf numFmtId="0" fontId="1" fillId="0" borderId="9" xfId="0" applyFont="1" applyBorder="1" applyAlignment="1">
      <alignment horizontal="center"/>
    </xf>
    <xf numFmtId="9" fontId="11" fillId="0" borderId="5" xfId="1" applyNumberFormat="1" applyFont="1" applyFill="1" applyBorder="1" applyAlignment="1">
      <alignment horizontal="left" vertical="top" wrapText="1"/>
    </xf>
    <xf numFmtId="9" fontId="11" fillId="0" borderId="6" xfId="1" applyNumberFormat="1" applyFont="1" applyFill="1" applyBorder="1" applyAlignment="1">
      <alignment horizontal="left" vertical="top" wrapText="1"/>
    </xf>
    <xf numFmtId="0" fontId="0" fillId="0" borderId="10" xfId="0" applyBorder="1" applyAlignment="1">
      <alignment horizontal="left"/>
    </xf>
    <xf numFmtId="0" fontId="0" fillId="0" borderId="4" xfId="0" applyBorder="1" applyAlignment="1">
      <alignment horizontal="left"/>
    </xf>
    <xf numFmtId="0" fontId="11" fillId="0" borderId="9" xfId="3" applyFont="1" applyBorder="1" applyAlignment="1">
      <alignment horizontal="left" vertical="top" wrapText="1"/>
    </xf>
    <xf numFmtId="9" fontId="11" fillId="0" borderId="9" xfId="1" applyNumberFormat="1" applyFont="1" applyFill="1" applyBorder="1" applyAlignment="1">
      <alignment horizontal="left" vertical="top" wrapText="1"/>
    </xf>
    <xf numFmtId="0" fontId="11" fillId="0" borderId="10" xfId="1" applyFont="1" applyBorder="1" applyAlignment="1">
      <alignment horizontal="left" vertical="top" wrapText="1"/>
    </xf>
    <xf numFmtId="0" fontId="11" fillId="0" borderId="4" xfId="1" applyFont="1" applyBorder="1" applyAlignment="1">
      <alignment horizontal="left" vertical="top" wrapText="1"/>
    </xf>
    <xf numFmtId="0" fontId="1" fillId="0" borderId="10" xfId="0" applyFont="1" applyBorder="1" applyAlignment="1">
      <alignment horizontal="left" wrapText="1"/>
    </xf>
    <xf numFmtId="0" fontId="1" fillId="0" borderId="4" xfId="0" applyFont="1" applyBorder="1" applyAlignment="1">
      <alignment horizontal="left" wrapText="1"/>
    </xf>
    <xf numFmtId="9" fontId="11" fillId="7" borderId="9" xfId="1" applyNumberFormat="1" applyFont="1" applyFill="1" applyBorder="1" applyAlignment="1">
      <alignment horizontal="left" vertical="top" wrapText="1"/>
    </xf>
    <xf numFmtId="0" fontId="0" fillId="7" borderId="9" xfId="0" applyFill="1" applyBorder="1" applyAlignment="1">
      <alignment wrapText="1"/>
    </xf>
  </cellXfs>
  <cellStyles count="7">
    <cellStyle name="Currency" xfId="5" builtinId="4"/>
    <cellStyle name="Normal" xfId="0" builtinId="0"/>
    <cellStyle name="Normal 2" xfId="1" xr:uid="{00000000-0005-0000-0000-000002000000}"/>
    <cellStyle name="Normal 3" xfId="3" xr:uid="{00000000-0005-0000-0000-000003000000}"/>
    <cellStyle name="Normal 3 2" xfId="4" xr:uid="{00000000-0005-0000-0000-000004000000}"/>
    <cellStyle name="Percent" xfId="6" builtinId="5"/>
    <cellStyle name="Percent 2" xfId="2" xr:uid="{00000000-0005-0000-0000-000006000000}"/>
  </cellStyles>
  <dxfs count="0"/>
  <tableStyles count="0" defaultTableStyle="TableStyleMedium2" defaultPivotStyle="PivotStyleLight16"/>
  <colors>
    <mruColors>
      <color rgb="FFC105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0"/>
          <a:ext cx="4624578" cy="13898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twoCellAnchor editAs="oneCell">
    <xdr:from>
      <xdr:col>2</xdr:col>
      <xdr:colOff>0</xdr:colOff>
      <xdr:row>1</xdr:row>
      <xdr:rowOff>0</xdr:rowOff>
    </xdr:from>
    <xdr:to>
      <xdr:col>3</xdr:col>
      <xdr:colOff>528828</xdr:colOff>
      <xdr:row>2</xdr:row>
      <xdr:rowOff>27813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757428</xdr:colOff>
      <xdr:row>2</xdr:row>
      <xdr:rowOff>27813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624578" cy="13898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175260</xdr:rowOff>
    </xdr:from>
    <xdr:to>
      <xdr:col>4</xdr:col>
      <xdr:colOff>757428</xdr:colOff>
      <xdr:row>2</xdr:row>
      <xdr:rowOff>12573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3920" y="175260"/>
          <a:ext cx="4735068" cy="13841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481203</xdr:colOff>
      <xdr:row>2</xdr:row>
      <xdr:rowOff>27813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528828</xdr:colOff>
      <xdr:row>2</xdr:row>
      <xdr:rowOff>27813</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90500"/>
          <a:ext cx="4624578" cy="13898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776478</xdr:colOff>
      <xdr:row>2</xdr:row>
      <xdr:rowOff>27813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190500"/>
          <a:ext cx="4624578" cy="13898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M16"/>
  <sheetViews>
    <sheetView topLeftCell="A3" workbookViewId="0">
      <selection activeCell="D14" sqref="D14"/>
    </sheetView>
  </sheetViews>
  <sheetFormatPr defaultColWidth="9.109375" defaultRowHeight="14.4" x14ac:dyDescent="0.3"/>
  <cols>
    <col min="1" max="2" width="6.44140625" style="5" customWidth="1"/>
    <col min="3" max="3" width="61.44140625" style="6" customWidth="1"/>
    <col min="4" max="4" width="72.88671875" style="6" customWidth="1"/>
    <col min="5" max="7" width="10.77734375" style="5" customWidth="1"/>
    <col min="8" max="10" width="50.77734375" style="5" customWidth="1"/>
    <col min="11" max="13" width="9.109375" style="5"/>
    <col min="14" max="16384" width="9.109375" style="6"/>
  </cols>
  <sheetData>
    <row r="1" spans="1:10" x14ac:dyDescent="0.3">
      <c r="A1" s="4"/>
      <c r="B1" s="4"/>
      <c r="C1" s="4"/>
      <c r="D1" s="4"/>
      <c r="E1" s="4"/>
      <c r="F1" s="4"/>
      <c r="G1" s="4"/>
    </row>
    <row r="2" spans="1:10" ht="107.25" customHeight="1" x14ac:dyDescent="0.3">
      <c r="A2" s="4"/>
      <c r="E2" s="4"/>
      <c r="F2" s="4"/>
      <c r="G2" s="4"/>
    </row>
    <row r="3" spans="1:10" x14ac:dyDescent="0.3">
      <c r="A3" s="4"/>
      <c r="C3" s="15" t="s">
        <v>38</v>
      </c>
      <c r="D3" s="27" t="str">
        <f>Application_Analyst</f>
        <v>Tim Holtz</v>
      </c>
      <c r="E3" s="4"/>
      <c r="F3" s="4"/>
      <c r="G3" s="4"/>
    </row>
    <row r="4" spans="1:10" ht="36.6" x14ac:dyDescent="0.7">
      <c r="A4" s="4"/>
      <c r="C4" s="7" t="s">
        <v>40</v>
      </c>
      <c r="E4" s="4"/>
      <c r="F4" s="4"/>
      <c r="G4" s="4"/>
    </row>
    <row r="5" spans="1:10" ht="17.399999999999999" x14ac:dyDescent="0.3">
      <c r="A5" s="4"/>
      <c r="B5" s="19"/>
      <c r="C5" s="18" t="s">
        <v>41</v>
      </c>
      <c r="D5" s="19" t="s">
        <v>73</v>
      </c>
      <c r="E5" s="22"/>
      <c r="F5" s="22"/>
      <c r="G5" s="22"/>
      <c r="H5" s="14"/>
      <c r="I5" s="14"/>
      <c r="J5" s="14"/>
    </row>
    <row r="6" spans="1:10" ht="15.9" customHeight="1" x14ac:dyDescent="0.3">
      <c r="A6" s="4"/>
      <c r="B6" s="20">
        <v>1</v>
      </c>
      <c r="C6" s="17" t="s">
        <v>42</v>
      </c>
      <c r="D6" s="131" t="s">
        <v>585</v>
      </c>
      <c r="E6" s="4"/>
      <c r="F6" s="4"/>
      <c r="G6" s="4"/>
    </row>
    <row r="7" spans="1:10" ht="15.9" customHeight="1" x14ac:dyDescent="0.3">
      <c r="A7" s="4"/>
      <c r="B7" s="20">
        <v>2</v>
      </c>
      <c r="C7" s="17" t="s">
        <v>43</v>
      </c>
      <c r="D7" s="17" t="s">
        <v>604</v>
      </c>
      <c r="E7" s="4"/>
      <c r="F7" s="4"/>
      <c r="G7" s="4"/>
    </row>
    <row r="8" spans="1:10" ht="15.9" customHeight="1" x14ac:dyDescent="0.3">
      <c r="A8" s="4"/>
      <c r="B8" s="20">
        <v>3</v>
      </c>
      <c r="C8" s="17" t="s">
        <v>44</v>
      </c>
      <c r="D8" s="17" t="s">
        <v>605</v>
      </c>
      <c r="E8" s="4"/>
      <c r="F8" s="4"/>
      <c r="G8" s="4"/>
    </row>
    <row r="9" spans="1:10" ht="15.9" customHeight="1" x14ac:dyDescent="0.3">
      <c r="A9" s="4"/>
      <c r="B9" s="20">
        <v>4</v>
      </c>
      <c r="C9" s="17" t="s">
        <v>45</v>
      </c>
      <c r="D9" s="17" t="s">
        <v>586</v>
      </c>
      <c r="E9" s="4"/>
      <c r="F9" s="4"/>
      <c r="G9" s="4"/>
    </row>
    <row r="10" spans="1:10" ht="15.9" customHeight="1" x14ac:dyDescent="0.3">
      <c r="A10" s="4"/>
      <c r="B10" s="20">
        <v>5</v>
      </c>
      <c r="C10" s="17" t="s">
        <v>46</v>
      </c>
      <c r="D10" s="17" t="s">
        <v>587</v>
      </c>
      <c r="E10" s="4"/>
      <c r="F10" s="4"/>
      <c r="G10" s="4"/>
    </row>
    <row r="11" spans="1:10" ht="15.9" customHeight="1" x14ac:dyDescent="0.3">
      <c r="A11" s="4"/>
      <c r="B11" s="20">
        <v>6</v>
      </c>
      <c r="C11" s="17" t="s">
        <v>47</v>
      </c>
      <c r="D11" s="17" t="s">
        <v>588</v>
      </c>
      <c r="E11" s="4"/>
      <c r="F11" s="4"/>
      <c r="G11" s="4"/>
    </row>
    <row r="12" spans="1:10" ht="36" customHeight="1" x14ac:dyDescent="0.3">
      <c r="A12" s="4"/>
      <c r="B12" s="20">
        <v>7</v>
      </c>
      <c r="C12" s="17" t="s">
        <v>48</v>
      </c>
      <c r="D12" s="17" t="s">
        <v>589</v>
      </c>
      <c r="E12" s="4"/>
      <c r="F12" s="4"/>
      <c r="G12" s="4"/>
    </row>
    <row r="13" spans="1:10" ht="36" customHeight="1" x14ac:dyDescent="0.3">
      <c r="A13" s="4"/>
      <c r="B13" s="20">
        <v>8</v>
      </c>
      <c r="C13" s="17" t="s">
        <v>105</v>
      </c>
      <c r="D13" s="17" t="s">
        <v>590</v>
      </c>
      <c r="E13" s="4"/>
      <c r="F13" s="4"/>
      <c r="G13" s="4"/>
    </row>
    <row r="14" spans="1:10" ht="36" customHeight="1" x14ac:dyDescent="0.3">
      <c r="A14" s="4"/>
      <c r="B14" s="20">
        <v>9</v>
      </c>
      <c r="C14" s="17" t="s">
        <v>49</v>
      </c>
      <c r="D14" s="17" t="s">
        <v>606</v>
      </c>
      <c r="E14" s="4"/>
      <c r="F14" s="4"/>
      <c r="G14" s="4"/>
    </row>
    <row r="15" spans="1:10" ht="15.9" customHeight="1" x14ac:dyDescent="0.3">
      <c r="A15" s="4"/>
      <c r="B15" s="20">
        <v>10</v>
      </c>
      <c r="C15" s="17" t="s">
        <v>50</v>
      </c>
      <c r="D15" s="17" t="s">
        <v>591</v>
      </c>
      <c r="E15" s="4"/>
      <c r="F15" s="4"/>
      <c r="G15" s="4"/>
    </row>
    <row r="16" spans="1:10" x14ac:dyDescent="0.3">
      <c r="A16" s="4"/>
      <c r="B16" s="4"/>
      <c r="C16" s="4"/>
      <c r="D16" s="4"/>
      <c r="E16" s="4"/>
      <c r="F16" s="4"/>
      <c r="G16" s="4"/>
    </row>
  </sheetData>
  <pageMargins left="0.25" right="0.25" top="0.75" bottom="0.75" header="0.3" footer="0.3"/>
  <pageSetup scale="7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M21"/>
  <sheetViews>
    <sheetView topLeftCell="C10" workbookViewId="0">
      <selection activeCell="D17" sqref="D17"/>
    </sheetView>
  </sheetViews>
  <sheetFormatPr defaultColWidth="9.109375" defaultRowHeight="14.4" x14ac:dyDescent="0.3"/>
  <cols>
    <col min="1" max="2" width="6.44140625" style="5" customWidth="1"/>
    <col min="3" max="3" width="61.44140625" style="6" customWidth="1"/>
    <col min="4" max="4" width="72.88671875" style="6" customWidth="1"/>
    <col min="5" max="5" width="51" style="5" customWidth="1"/>
    <col min="6" max="7" width="10.77734375" style="5" customWidth="1"/>
    <col min="8" max="8" width="11.21875" style="5" customWidth="1"/>
    <col min="9" max="9" width="86" style="5" customWidth="1"/>
    <col min="10" max="10" width="50.77734375" style="5" customWidth="1"/>
    <col min="11" max="13" width="9.109375" style="5"/>
    <col min="14" max="16384" width="9.109375" style="6"/>
  </cols>
  <sheetData>
    <row r="1" spans="1:10" x14ac:dyDescent="0.3">
      <c r="A1" s="4"/>
      <c r="B1" s="4"/>
      <c r="C1" s="4"/>
      <c r="D1" s="4"/>
      <c r="E1" s="4"/>
      <c r="F1" s="4"/>
      <c r="G1" s="4"/>
      <c r="H1" s="153" t="s">
        <v>584</v>
      </c>
      <c r="I1" s="154"/>
    </row>
    <row r="2" spans="1:10" ht="107.25" customHeight="1" x14ac:dyDescent="0.3">
      <c r="A2" s="4"/>
      <c r="E2" s="4"/>
      <c r="F2" s="4"/>
      <c r="G2" s="4"/>
      <c r="H2" s="137" t="s">
        <v>560</v>
      </c>
      <c r="I2" s="138"/>
    </row>
    <row r="3" spans="1:10" ht="15.6" x14ac:dyDescent="0.3">
      <c r="A3" s="4"/>
      <c r="C3" s="15" t="s">
        <v>38</v>
      </c>
      <c r="D3" s="27" t="str">
        <f>Application_Analyst</f>
        <v>Tim Holtz</v>
      </c>
      <c r="E3" s="4"/>
      <c r="F3" s="4"/>
      <c r="G3" s="4"/>
      <c r="H3" s="158"/>
      <c r="I3" s="138"/>
    </row>
    <row r="4" spans="1:10" ht="36.6" x14ac:dyDescent="0.7">
      <c r="A4" s="4"/>
      <c r="C4" s="7" t="s">
        <v>80</v>
      </c>
      <c r="E4" s="4"/>
      <c r="F4" s="4"/>
      <c r="G4" s="4"/>
      <c r="H4" s="150" t="s">
        <v>561</v>
      </c>
      <c r="I4" s="151" t="s">
        <v>562</v>
      </c>
    </row>
    <row r="5" spans="1:10" ht="17.399999999999999" x14ac:dyDescent="0.3">
      <c r="A5" s="4"/>
      <c r="B5" s="19"/>
      <c r="C5" s="18" t="s">
        <v>41</v>
      </c>
      <c r="D5" s="19" t="s">
        <v>73</v>
      </c>
      <c r="E5" s="22"/>
      <c r="F5" s="22"/>
      <c r="G5" s="22"/>
      <c r="H5" s="155"/>
      <c r="I5" s="152" t="s">
        <v>563</v>
      </c>
      <c r="J5" s="14"/>
    </row>
    <row r="6" spans="1:10" ht="15.9" customHeight="1" x14ac:dyDescent="0.3">
      <c r="A6" s="4"/>
      <c r="B6" s="73">
        <v>1</v>
      </c>
      <c r="C6" s="17" t="s">
        <v>81</v>
      </c>
      <c r="D6" s="10" t="s">
        <v>592</v>
      </c>
      <c r="E6" s="4"/>
      <c r="F6" s="4"/>
      <c r="G6" s="4"/>
      <c r="H6" s="155"/>
      <c r="I6" s="152" t="s">
        <v>564</v>
      </c>
    </row>
    <row r="7" spans="1:10" ht="15.9" customHeight="1" x14ac:dyDescent="0.3">
      <c r="A7" s="4"/>
      <c r="B7" s="73">
        <v>2</v>
      </c>
      <c r="C7" s="17" t="s">
        <v>82</v>
      </c>
      <c r="D7" s="132"/>
      <c r="E7" s="4"/>
      <c r="F7" s="4"/>
      <c r="G7" s="4"/>
      <c r="H7" s="155"/>
      <c r="I7" s="152" t="s">
        <v>565</v>
      </c>
    </row>
    <row r="8" spans="1:10" ht="15.9" customHeight="1" thickBot="1" x14ac:dyDescent="0.35">
      <c r="A8" s="4"/>
      <c r="B8" s="73">
        <v>3</v>
      </c>
      <c r="C8" s="17" t="s">
        <v>83</v>
      </c>
      <c r="D8" s="17" t="s">
        <v>592</v>
      </c>
      <c r="E8" s="4"/>
      <c r="F8" s="4"/>
      <c r="G8" s="4"/>
      <c r="H8" s="156"/>
      <c r="I8" s="149" t="s">
        <v>566</v>
      </c>
    </row>
    <row r="9" spans="1:10" ht="82.5" customHeight="1" x14ac:dyDescent="0.3">
      <c r="A9" s="4"/>
      <c r="B9" s="73">
        <v>4</v>
      </c>
      <c r="C9" s="17" t="s">
        <v>84</v>
      </c>
      <c r="D9" s="17" t="s">
        <v>590</v>
      </c>
      <c r="E9" s="4"/>
      <c r="F9" s="4"/>
      <c r="G9" s="4"/>
    </row>
    <row r="10" spans="1:10" ht="22.5" customHeight="1" x14ac:dyDescent="0.3">
      <c r="A10" s="4"/>
      <c r="B10" s="73">
        <v>5</v>
      </c>
      <c r="C10" s="17" t="s">
        <v>342</v>
      </c>
      <c r="D10" s="17" t="s">
        <v>585</v>
      </c>
      <c r="E10" s="4"/>
      <c r="F10" s="4"/>
      <c r="G10" s="4"/>
    </row>
    <row r="11" spans="1:10" ht="47.25" customHeight="1" x14ac:dyDescent="0.3">
      <c r="A11" s="4"/>
      <c r="B11" s="73">
        <v>6</v>
      </c>
      <c r="C11" s="17" t="s">
        <v>85</v>
      </c>
      <c r="D11" s="17" t="s">
        <v>593</v>
      </c>
      <c r="E11" s="4"/>
      <c r="F11" s="4"/>
      <c r="G11" s="4"/>
    </row>
    <row r="12" spans="1:10" s="5" customFormat="1" ht="36" customHeight="1" x14ac:dyDescent="0.3">
      <c r="A12" s="4"/>
      <c r="B12" s="20">
        <v>8</v>
      </c>
      <c r="C12" s="28" t="s">
        <v>341</v>
      </c>
      <c r="D12" s="76" t="s">
        <v>556</v>
      </c>
      <c r="E12" s="4"/>
      <c r="F12" s="4"/>
      <c r="G12" s="4"/>
    </row>
    <row r="13" spans="1:10" s="5" customFormat="1" ht="152.25" customHeight="1" x14ac:dyDescent="0.3">
      <c r="A13" s="4"/>
      <c r="B13" s="20">
        <v>9</v>
      </c>
      <c r="C13" s="84" t="s">
        <v>343</v>
      </c>
      <c r="D13" s="85" t="s">
        <v>86</v>
      </c>
      <c r="E13" s="85" t="s">
        <v>87</v>
      </c>
      <c r="F13" s="4"/>
      <c r="G13" s="4"/>
    </row>
    <row r="14" spans="1:10" s="5" customFormat="1" x14ac:dyDescent="0.3">
      <c r="A14" s="4"/>
      <c r="B14" s="4"/>
      <c r="C14" s="4"/>
      <c r="D14" s="4"/>
      <c r="E14" s="4"/>
      <c r="F14" s="4"/>
      <c r="G14" s="4"/>
    </row>
    <row r="15" spans="1:10" s="5" customFormat="1" x14ac:dyDescent="0.3">
      <c r="A15" s="4"/>
      <c r="B15" s="4"/>
      <c r="C15" s="4"/>
      <c r="D15" s="4"/>
      <c r="E15" s="4"/>
      <c r="F15" s="4"/>
      <c r="G15" s="4"/>
    </row>
    <row r="16" spans="1:10" s="5" customFormat="1" x14ac:dyDescent="0.3">
      <c r="A16" s="4"/>
      <c r="B16" s="4"/>
      <c r="C16" s="4"/>
      <c r="D16" s="4"/>
      <c r="E16" s="4"/>
      <c r="F16" s="4"/>
      <c r="G16" s="4"/>
    </row>
    <row r="17" spans="1:7" s="5" customFormat="1" x14ac:dyDescent="0.3">
      <c r="A17" s="4"/>
      <c r="B17" s="4"/>
      <c r="C17" s="4"/>
      <c r="D17" s="4"/>
      <c r="E17" s="4"/>
      <c r="F17" s="4"/>
      <c r="G17" s="4"/>
    </row>
    <row r="18" spans="1:7" s="5" customFormat="1" x14ac:dyDescent="0.3">
      <c r="A18" s="4"/>
      <c r="B18" s="4"/>
      <c r="C18" s="4"/>
      <c r="D18" s="4"/>
      <c r="E18" s="4"/>
      <c r="F18" s="4"/>
      <c r="G18" s="4"/>
    </row>
    <row r="19" spans="1:7" s="5" customFormat="1" x14ac:dyDescent="0.3">
      <c r="A19" s="4"/>
      <c r="B19" s="4"/>
      <c r="C19" s="4"/>
      <c r="D19" s="4"/>
      <c r="E19" s="4"/>
      <c r="F19" s="4"/>
      <c r="G19" s="4"/>
    </row>
    <row r="20" spans="1:7" s="5" customFormat="1" x14ac:dyDescent="0.3">
      <c r="A20" s="4"/>
      <c r="B20" s="4"/>
      <c r="C20" s="4"/>
      <c r="D20" s="4"/>
      <c r="E20" s="4"/>
      <c r="F20" s="4"/>
      <c r="G20" s="4"/>
    </row>
    <row r="21" spans="1:7" s="5" customFormat="1" x14ac:dyDescent="0.3">
      <c r="A21" s="4"/>
      <c r="B21" s="4"/>
      <c r="C21" s="4"/>
      <c r="D21" s="4"/>
      <c r="E21" s="4"/>
      <c r="F21" s="4"/>
      <c r="G21" s="4"/>
    </row>
  </sheetData>
  <dataValidations count="1">
    <dataValidation type="list" allowBlank="1" showInputMessage="1" showErrorMessage="1" sqref="D12" xr:uid="{00000000-0002-0000-0100-000000000000}">
      <formula1>DisasterRecovery</formula1>
    </dataValidation>
  </dataValidations>
  <pageMargins left="0.25" right="0.25" top="0.75" bottom="0.75" header="0.3" footer="0.3"/>
  <pageSetup scale="6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L44"/>
  <sheetViews>
    <sheetView workbookViewId="0">
      <selection activeCell="D42" sqref="D42"/>
    </sheetView>
  </sheetViews>
  <sheetFormatPr defaultColWidth="9.109375" defaultRowHeight="14.4" x14ac:dyDescent="0.3"/>
  <cols>
    <col min="1" max="2" width="6.44140625" style="5" customWidth="1"/>
    <col min="3" max="3" width="61.44140625" style="6" customWidth="1"/>
    <col min="4" max="4" width="72.88671875" style="6" customWidth="1"/>
    <col min="5" max="6" width="10.77734375" style="5" customWidth="1"/>
    <col min="7" max="9" width="50.77734375" style="5" customWidth="1"/>
    <col min="10" max="12" width="9.109375" style="5"/>
    <col min="13" max="16384" width="9.109375" style="6"/>
  </cols>
  <sheetData>
    <row r="1" spans="1:12" x14ac:dyDescent="0.3">
      <c r="A1" s="4"/>
      <c r="B1" s="4"/>
      <c r="C1" s="4"/>
      <c r="D1" s="4"/>
      <c r="E1" s="4"/>
      <c r="F1" s="4"/>
    </row>
    <row r="2" spans="1:12" ht="107.25" customHeight="1" x14ac:dyDescent="0.3">
      <c r="A2" s="4"/>
      <c r="E2" s="4"/>
      <c r="F2" s="4"/>
    </row>
    <row r="3" spans="1:12" x14ac:dyDescent="0.3">
      <c r="A3" s="4"/>
      <c r="C3" s="15" t="s">
        <v>38</v>
      </c>
      <c r="D3" s="27" t="str">
        <f>Application_Analyst</f>
        <v>Tim Holtz</v>
      </c>
      <c r="E3" s="4"/>
      <c r="F3" s="4"/>
    </row>
    <row r="4" spans="1:12" ht="36.6" x14ac:dyDescent="0.7">
      <c r="A4" s="4"/>
      <c r="C4" s="7" t="s">
        <v>51</v>
      </c>
      <c r="E4" s="4"/>
      <c r="F4" s="4"/>
    </row>
    <row r="5" spans="1:12" ht="17.399999999999999" x14ac:dyDescent="0.3">
      <c r="A5" s="4"/>
      <c r="B5" s="29"/>
      <c r="C5" s="18" t="s">
        <v>104</v>
      </c>
      <c r="D5" s="29" t="s">
        <v>73</v>
      </c>
      <c r="E5" s="32"/>
      <c r="F5" s="32"/>
      <c r="G5" s="14"/>
      <c r="H5" s="14"/>
      <c r="I5" s="14"/>
    </row>
    <row r="6" spans="1:12" s="5" customFormat="1" ht="15.9" customHeight="1" x14ac:dyDescent="0.3">
      <c r="A6" s="4"/>
      <c r="B6" s="30"/>
      <c r="C6" s="34" t="s">
        <v>51</v>
      </c>
      <c r="D6" s="34"/>
      <c r="E6" s="4"/>
      <c r="F6" s="4"/>
    </row>
    <row r="7" spans="1:12" ht="15.9" customHeight="1" x14ac:dyDescent="0.3">
      <c r="A7" s="4"/>
      <c r="B7" s="30">
        <v>1</v>
      </c>
      <c r="C7" s="35" t="s">
        <v>52</v>
      </c>
      <c r="D7" s="35" t="s">
        <v>594</v>
      </c>
      <c r="E7" s="4"/>
      <c r="F7" s="4"/>
    </row>
    <row r="8" spans="1:12" ht="15.9" customHeight="1" x14ac:dyDescent="0.3">
      <c r="A8" s="4"/>
      <c r="B8" s="30">
        <f>SUM(B7+1)</f>
        <v>2</v>
      </c>
      <c r="C8" s="35" t="s">
        <v>53</v>
      </c>
      <c r="D8" s="35" t="s">
        <v>595</v>
      </c>
      <c r="E8" s="4"/>
      <c r="F8" s="4"/>
    </row>
    <row r="9" spans="1:12" ht="15.9" customHeight="1" x14ac:dyDescent="0.3">
      <c r="A9" s="4"/>
      <c r="B9" s="30">
        <f t="shared" ref="B9:B15" si="0">SUM(B8+1)</f>
        <v>3</v>
      </c>
      <c r="C9" s="35" t="s">
        <v>54</v>
      </c>
      <c r="D9" s="35"/>
      <c r="E9" s="4"/>
      <c r="F9" s="4"/>
    </row>
    <row r="10" spans="1:12" ht="34.5" customHeight="1" x14ac:dyDescent="0.3">
      <c r="A10" s="4"/>
      <c r="B10" s="30">
        <f t="shared" si="0"/>
        <v>4</v>
      </c>
      <c r="C10" s="35" t="s">
        <v>55</v>
      </c>
      <c r="D10" s="35" t="s">
        <v>596</v>
      </c>
      <c r="E10" s="4"/>
      <c r="F10" s="4"/>
    </row>
    <row r="11" spans="1:12" ht="28.8" x14ac:dyDescent="0.3">
      <c r="A11" s="4"/>
      <c r="B11" s="30">
        <f t="shared" si="0"/>
        <v>5</v>
      </c>
      <c r="C11" s="35" t="s">
        <v>56</v>
      </c>
      <c r="D11" s="35" t="s">
        <v>597</v>
      </c>
      <c r="E11" s="32"/>
      <c r="F11" s="32"/>
      <c r="G11" s="14"/>
      <c r="H11" s="14"/>
      <c r="I11" s="14"/>
    </row>
    <row r="12" spans="1:12" ht="15.9" customHeight="1" x14ac:dyDescent="0.3">
      <c r="A12" s="4"/>
      <c r="B12" s="30">
        <f t="shared" si="0"/>
        <v>6</v>
      </c>
      <c r="C12" s="35" t="s">
        <v>57</v>
      </c>
      <c r="D12" s="35" t="s">
        <v>623</v>
      </c>
      <c r="E12" s="4"/>
      <c r="F12" s="4"/>
    </row>
    <row r="13" spans="1:12" x14ac:dyDescent="0.3">
      <c r="A13" s="4"/>
      <c r="B13" s="30">
        <f t="shared" si="0"/>
        <v>7</v>
      </c>
      <c r="C13" s="35" t="s">
        <v>58</v>
      </c>
      <c r="D13" s="35" t="s">
        <v>444</v>
      </c>
      <c r="E13" s="4"/>
      <c r="F13" s="4"/>
    </row>
    <row r="14" spans="1:12" x14ac:dyDescent="0.3">
      <c r="A14" s="4"/>
      <c r="B14" s="30">
        <f t="shared" si="0"/>
        <v>8</v>
      </c>
      <c r="C14" s="35" t="s">
        <v>59</v>
      </c>
      <c r="D14" s="35" t="s">
        <v>624</v>
      </c>
      <c r="E14" s="4"/>
      <c r="F14" s="4"/>
    </row>
    <row r="15" spans="1:12" s="8" customFormat="1" ht="15.9" customHeight="1" x14ac:dyDescent="0.3">
      <c r="A15" s="9"/>
      <c r="B15" s="30">
        <f t="shared" si="0"/>
        <v>9</v>
      </c>
      <c r="C15" s="35" t="s">
        <v>60</v>
      </c>
      <c r="D15" s="35" t="s">
        <v>624</v>
      </c>
      <c r="E15" s="9"/>
      <c r="F15" s="9"/>
      <c r="G15" s="13"/>
      <c r="H15" s="13"/>
      <c r="I15" s="13"/>
      <c r="J15" s="13"/>
      <c r="K15" s="13"/>
      <c r="L15" s="13"/>
    </row>
    <row r="16" spans="1:12" x14ac:dyDescent="0.3">
      <c r="A16" s="4"/>
      <c r="B16" s="30"/>
      <c r="C16" s="34" t="s">
        <v>61</v>
      </c>
      <c r="D16" s="34"/>
      <c r="E16" s="4"/>
      <c r="F16" s="4"/>
    </row>
    <row r="17" spans="1:6" ht="28.8" x14ac:dyDescent="0.3">
      <c r="A17" s="4"/>
      <c r="B17" s="30">
        <f>SUM(B15+1)</f>
        <v>10</v>
      </c>
      <c r="C17" s="33" t="s">
        <v>62</v>
      </c>
      <c r="D17" s="33" t="s">
        <v>625</v>
      </c>
      <c r="E17" s="4"/>
      <c r="F17" s="4"/>
    </row>
    <row r="18" spans="1:6" ht="28.8" x14ac:dyDescent="0.3">
      <c r="A18" s="4"/>
      <c r="B18" s="30">
        <f>SUM(B17+1)</f>
        <v>11</v>
      </c>
      <c r="C18" s="33" t="s">
        <v>63</v>
      </c>
      <c r="D18" s="33" t="s">
        <v>626</v>
      </c>
      <c r="E18" s="4"/>
      <c r="F18" s="4"/>
    </row>
    <row r="19" spans="1:6" ht="18.75" customHeight="1" x14ac:dyDescent="0.3">
      <c r="A19" s="4"/>
      <c r="B19" s="30">
        <f t="shared" ref="B19:B20" si="1">SUM(B18+1)</f>
        <v>12</v>
      </c>
      <c r="C19" s="33" t="s">
        <v>64</v>
      </c>
      <c r="D19" s="33" t="s">
        <v>598</v>
      </c>
      <c r="E19" s="4"/>
      <c r="F19" s="4"/>
    </row>
    <row r="20" spans="1:6" ht="18.75" customHeight="1" x14ac:dyDescent="0.3">
      <c r="A20" s="4"/>
      <c r="B20" s="30">
        <f t="shared" si="1"/>
        <v>13</v>
      </c>
      <c r="C20" s="33" t="s">
        <v>65</v>
      </c>
      <c r="D20" s="33" t="s">
        <v>599</v>
      </c>
      <c r="E20" s="4"/>
      <c r="F20" s="4"/>
    </row>
    <row r="21" spans="1:6" x14ac:dyDescent="0.3">
      <c r="A21" s="4"/>
      <c r="B21" s="30"/>
      <c r="C21" s="34" t="s">
        <v>66</v>
      </c>
      <c r="D21" s="34"/>
      <c r="E21" s="4"/>
      <c r="F21" s="4"/>
    </row>
    <row r="22" spans="1:6" ht="31.5" customHeight="1" x14ac:dyDescent="0.3">
      <c r="A22" s="4"/>
      <c r="B22" s="30">
        <f>SUM(B20+1)</f>
        <v>14</v>
      </c>
      <c r="C22" s="33" t="s">
        <v>67</v>
      </c>
      <c r="D22" s="78" t="s">
        <v>627</v>
      </c>
      <c r="E22" s="4"/>
      <c r="F22" s="4"/>
    </row>
    <row r="23" spans="1:6" ht="28.5" customHeight="1" x14ac:dyDescent="0.3">
      <c r="A23" s="4"/>
      <c r="B23" s="30">
        <f>SUM(B22+1)</f>
        <v>15</v>
      </c>
      <c r="C23" s="33" t="s">
        <v>68</v>
      </c>
      <c r="D23" s="78" t="s">
        <v>628</v>
      </c>
      <c r="E23" s="4"/>
      <c r="F23" s="4"/>
    </row>
    <row r="24" spans="1:6" ht="48.75" customHeight="1" x14ac:dyDescent="0.3">
      <c r="A24" s="4"/>
      <c r="B24" s="30">
        <f t="shared" ref="B24" si="2">SUM(B23+1)</f>
        <v>16</v>
      </c>
      <c r="C24" s="33" t="s">
        <v>69</v>
      </c>
      <c r="D24" s="78" t="s">
        <v>629</v>
      </c>
      <c r="E24" s="4"/>
      <c r="F24" s="4"/>
    </row>
    <row r="25" spans="1:6" x14ac:dyDescent="0.3">
      <c r="A25" s="4"/>
      <c r="B25" s="30"/>
      <c r="C25" s="34" t="s">
        <v>70</v>
      </c>
      <c r="D25" s="34"/>
      <c r="E25" s="4"/>
      <c r="F25" s="4"/>
    </row>
    <row r="26" spans="1:6" ht="30" customHeight="1" x14ac:dyDescent="0.3">
      <c r="A26" s="4"/>
      <c r="B26" s="30">
        <f>SUM(B24+1)</f>
        <v>17</v>
      </c>
      <c r="C26" s="33" t="s">
        <v>71</v>
      </c>
      <c r="D26" s="78" t="s">
        <v>602</v>
      </c>
      <c r="E26" s="4"/>
      <c r="F26" s="4"/>
    </row>
    <row r="27" spans="1:6" ht="19.5" customHeight="1" x14ac:dyDescent="0.3">
      <c r="A27" s="4"/>
      <c r="B27" s="30">
        <f>SUM(B26+1)</f>
        <v>18</v>
      </c>
      <c r="C27" s="33" t="s">
        <v>72</v>
      </c>
      <c r="D27" s="78" t="s">
        <v>444</v>
      </c>
      <c r="E27" s="4"/>
      <c r="F27" s="4"/>
    </row>
    <row r="28" spans="1:6" x14ac:dyDescent="0.3">
      <c r="A28" s="4"/>
      <c r="B28" s="30"/>
      <c r="C28" s="34" t="s">
        <v>100</v>
      </c>
      <c r="D28" s="34"/>
      <c r="E28" s="4"/>
      <c r="F28" s="4"/>
    </row>
    <row r="29" spans="1:6" x14ac:dyDescent="0.3">
      <c r="A29" s="4"/>
      <c r="B29" s="30">
        <f>SUM(B27+1)</f>
        <v>19</v>
      </c>
      <c r="C29" s="35" t="s">
        <v>101</v>
      </c>
      <c r="D29" s="78" t="s">
        <v>600</v>
      </c>
      <c r="E29" s="4"/>
      <c r="F29" s="4"/>
    </row>
    <row r="30" spans="1:6" x14ac:dyDescent="0.3">
      <c r="A30" s="4"/>
      <c r="B30" s="30">
        <f>SUM(B29+1)</f>
        <v>20</v>
      </c>
      <c r="C30" s="35" t="s">
        <v>88</v>
      </c>
      <c r="D30" s="78" t="s">
        <v>630</v>
      </c>
      <c r="E30" s="4"/>
      <c r="F30" s="4"/>
    </row>
    <row r="31" spans="1:6" ht="43.2" x14ac:dyDescent="0.3">
      <c r="A31" s="4"/>
      <c r="B31" s="30">
        <f t="shared" ref="B31:B43" si="3">SUM(B30+1)</f>
        <v>21</v>
      </c>
      <c r="C31" s="35" t="s">
        <v>89</v>
      </c>
      <c r="D31" s="78" t="s">
        <v>540</v>
      </c>
      <c r="E31" s="4"/>
      <c r="F31" s="4"/>
    </row>
    <row r="32" spans="1:6" x14ac:dyDescent="0.3">
      <c r="A32" s="4"/>
      <c r="B32" s="30">
        <f t="shared" si="3"/>
        <v>22</v>
      </c>
      <c r="C32" s="35" t="s">
        <v>90</v>
      </c>
      <c r="D32" s="78" t="s">
        <v>631</v>
      </c>
      <c r="E32" s="4"/>
      <c r="F32" s="4"/>
    </row>
    <row r="33" spans="1:6" ht="43.2" x14ac:dyDescent="0.3">
      <c r="A33" s="4"/>
      <c r="B33" s="30">
        <f>SUM(B32+1)</f>
        <v>23</v>
      </c>
      <c r="C33" s="35" t="s">
        <v>91</v>
      </c>
      <c r="D33" s="78" t="s">
        <v>445</v>
      </c>
      <c r="E33" s="4"/>
      <c r="F33" s="4"/>
    </row>
    <row r="34" spans="1:6" x14ac:dyDescent="0.3">
      <c r="A34" s="4"/>
      <c r="B34" s="30">
        <f t="shared" si="3"/>
        <v>24</v>
      </c>
      <c r="C34" s="35" t="s">
        <v>92</v>
      </c>
      <c r="D34" s="78" t="s">
        <v>445</v>
      </c>
      <c r="E34" s="4"/>
      <c r="F34" s="4"/>
    </row>
    <row r="35" spans="1:6" ht="28.8" x14ac:dyDescent="0.3">
      <c r="A35" s="4"/>
      <c r="B35" s="30">
        <f t="shared" si="3"/>
        <v>25</v>
      </c>
      <c r="C35" s="35" t="s">
        <v>102</v>
      </c>
      <c r="D35" s="78" t="s">
        <v>632</v>
      </c>
      <c r="E35" s="4"/>
      <c r="F35" s="4"/>
    </row>
    <row r="36" spans="1:6" x14ac:dyDescent="0.3">
      <c r="A36" s="4"/>
      <c r="B36" s="30">
        <f>SUM(B35+1)</f>
        <v>26</v>
      </c>
      <c r="C36" s="35" t="s">
        <v>93</v>
      </c>
      <c r="D36" s="78" t="s">
        <v>444</v>
      </c>
      <c r="E36" s="4"/>
      <c r="F36" s="4"/>
    </row>
    <row r="37" spans="1:6" x14ac:dyDescent="0.3">
      <c r="A37" s="4"/>
      <c r="B37" s="30">
        <f t="shared" si="3"/>
        <v>27</v>
      </c>
      <c r="C37" s="35" t="s">
        <v>94</v>
      </c>
      <c r="D37" s="78" t="s">
        <v>445</v>
      </c>
      <c r="E37" s="4"/>
      <c r="F37" s="4"/>
    </row>
    <row r="38" spans="1:6" x14ac:dyDescent="0.3">
      <c r="A38" s="4"/>
      <c r="B38" s="30">
        <f t="shared" si="3"/>
        <v>28</v>
      </c>
      <c r="C38" s="35" t="s">
        <v>95</v>
      </c>
      <c r="D38" s="78"/>
      <c r="E38" s="4"/>
      <c r="F38" s="4"/>
    </row>
    <row r="39" spans="1:6" x14ac:dyDescent="0.3">
      <c r="A39" s="4"/>
      <c r="B39" s="30">
        <f>SUM(B38+1)</f>
        <v>29</v>
      </c>
      <c r="C39" s="35" t="s">
        <v>96</v>
      </c>
      <c r="D39" s="78"/>
      <c r="E39" s="4"/>
      <c r="F39" s="4"/>
    </row>
    <row r="40" spans="1:6" x14ac:dyDescent="0.3">
      <c r="A40" s="4"/>
      <c r="B40" s="30">
        <f t="shared" si="3"/>
        <v>30</v>
      </c>
      <c r="C40" s="35" t="s">
        <v>97</v>
      </c>
      <c r="D40" s="78" t="s">
        <v>633</v>
      </c>
      <c r="E40" s="4"/>
      <c r="F40" s="4"/>
    </row>
    <row r="41" spans="1:6" x14ac:dyDescent="0.3">
      <c r="A41" s="4"/>
      <c r="B41" s="30">
        <f t="shared" si="3"/>
        <v>31</v>
      </c>
      <c r="C41" s="35" t="s">
        <v>98</v>
      </c>
      <c r="D41" s="78" t="s">
        <v>603</v>
      </c>
      <c r="E41" s="4"/>
      <c r="F41" s="4"/>
    </row>
    <row r="42" spans="1:6" ht="43.2" x14ac:dyDescent="0.3">
      <c r="A42" s="4"/>
      <c r="B42" s="30">
        <f>SUM(B41+1)</f>
        <v>32</v>
      </c>
      <c r="C42" s="35" t="s">
        <v>103</v>
      </c>
      <c r="D42" s="78"/>
      <c r="E42" s="4"/>
      <c r="F42" s="4"/>
    </row>
    <row r="43" spans="1:6" ht="28.8" x14ac:dyDescent="0.3">
      <c r="A43" s="4"/>
      <c r="B43" s="30">
        <f t="shared" si="3"/>
        <v>33</v>
      </c>
      <c r="C43" s="35" t="s">
        <v>99</v>
      </c>
      <c r="D43" s="78" t="s">
        <v>601</v>
      </c>
      <c r="E43" s="4"/>
      <c r="F43" s="4"/>
    </row>
    <row r="44" spans="1:6" x14ac:dyDescent="0.3">
      <c r="A44" s="4"/>
      <c r="B44" s="4"/>
      <c r="C44" s="4"/>
      <c r="D44" s="4"/>
      <c r="E44" s="4"/>
      <c r="F44" s="4"/>
    </row>
  </sheetData>
  <pageMargins left="0.25" right="0.25" top="0.75" bottom="0.75" header="0.3" footer="0.3"/>
  <pageSetup scale="7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pageSetUpPr fitToPage="1"/>
  </sheetPr>
  <dimension ref="A1:O64"/>
  <sheetViews>
    <sheetView topLeftCell="A5" workbookViewId="0">
      <selection activeCell="F25" sqref="F25"/>
    </sheetView>
  </sheetViews>
  <sheetFormatPr defaultColWidth="9.109375" defaultRowHeight="14.4" x14ac:dyDescent="0.3"/>
  <cols>
    <col min="1" max="2" width="6.44140625" style="5" customWidth="1"/>
    <col min="3" max="3" width="48.88671875" style="6" customWidth="1"/>
    <col min="4" max="4" width="9.109375" style="6"/>
    <col min="5" max="10" width="30.77734375" style="6" customWidth="1"/>
    <col min="11" max="11" width="9.109375" style="6"/>
    <col min="12" max="12" width="21.21875" style="6" customWidth="1"/>
    <col min="13" max="13" width="57.88671875" style="6" customWidth="1"/>
    <col min="14" max="16384" width="9.109375" style="6"/>
  </cols>
  <sheetData>
    <row r="1" spans="1:15" x14ac:dyDescent="0.3">
      <c r="A1" s="4"/>
      <c r="B1" s="4"/>
      <c r="C1" s="4"/>
      <c r="D1" s="4"/>
      <c r="E1" s="4"/>
      <c r="F1" s="4"/>
      <c r="G1" s="4"/>
      <c r="H1" s="4"/>
      <c r="I1" s="4"/>
      <c r="J1" s="4"/>
      <c r="K1" s="4"/>
      <c r="L1" s="134" t="s">
        <v>570</v>
      </c>
      <c r="M1" s="135"/>
      <c r="N1" s="135"/>
      <c r="O1" s="136"/>
    </row>
    <row r="2" spans="1:15" ht="107.25" customHeight="1" x14ac:dyDescent="0.3">
      <c r="A2" s="4"/>
      <c r="F2" s="4"/>
      <c r="G2" s="4"/>
      <c r="H2" s="4"/>
      <c r="I2" s="4"/>
      <c r="J2" s="4"/>
      <c r="K2" s="4"/>
      <c r="L2" s="137" t="s">
        <v>567</v>
      </c>
      <c r="O2" s="138"/>
    </row>
    <row r="3" spans="1:15" ht="18" x14ac:dyDescent="0.3">
      <c r="A3" s="4"/>
      <c r="C3" s="162" t="s">
        <v>38</v>
      </c>
      <c r="D3" s="162"/>
      <c r="E3" s="6" t="s">
        <v>607</v>
      </c>
      <c r="F3" s="4"/>
      <c r="G3" s="4"/>
      <c r="H3" s="4"/>
      <c r="I3" s="4"/>
      <c r="J3" s="4"/>
      <c r="K3" s="4"/>
      <c r="L3" s="139" t="s">
        <v>561</v>
      </c>
      <c r="M3" s="140" t="s">
        <v>568</v>
      </c>
      <c r="O3" s="138"/>
    </row>
    <row r="4" spans="1:15" ht="37.200000000000003" thickBot="1" x14ac:dyDescent="0.75">
      <c r="A4" s="4"/>
      <c r="C4" s="42" t="s">
        <v>0</v>
      </c>
      <c r="D4" s="11"/>
      <c r="E4" s="5"/>
      <c r="F4" s="4"/>
      <c r="G4" s="4"/>
      <c r="H4" s="4"/>
      <c r="I4" s="4"/>
      <c r="J4" s="4"/>
      <c r="K4" s="4"/>
      <c r="L4" s="141"/>
      <c r="M4" s="142" t="s">
        <v>563</v>
      </c>
      <c r="O4" s="138"/>
    </row>
    <row r="5" spans="1:15" ht="18.600000000000001" thickBot="1" x14ac:dyDescent="0.4">
      <c r="A5" s="4"/>
      <c r="C5" s="38" t="s">
        <v>155</v>
      </c>
      <c r="D5" s="51"/>
      <c r="E5" s="5"/>
      <c r="F5" s="4"/>
      <c r="G5" s="4"/>
      <c r="H5" s="4"/>
      <c r="I5" s="4"/>
      <c r="J5" s="4"/>
      <c r="K5" s="4"/>
      <c r="L5" s="141"/>
      <c r="M5" s="142" t="s">
        <v>569</v>
      </c>
      <c r="O5" s="138"/>
    </row>
    <row r="6" spans="1:15" ht="18" x14ac:dyDescent="0.35">
      <c r="A6" s="4"/>
      <c r="C6" s="43" t="s">
        <v>1</v>
      </c>
      <c r="D6" s="37"/>
      <c r="E6" s="5"/>
      <c r="F6" s="4"/>
      <c r="G6" s="4"/>
      <c r="H6" s="4"/>
      <c r="I6" s="4"/>
      <c r="J6" s="4"/>
      <c r="K6" s="4"/>
      <c r="L6" s="141"/>
      <c r="M6" s="142" t="s">
        <v>565</v>
      </c>
      <c r="O6" s="138"/>
    </row>
    <row r="7" spans="1:15" ht="18.600000000000001" thickBot="1" x14ac:dyDescent="0.4">
      <c r="A7" s="4"/>
      <c r="C7" s="26" t="s">
        <v>2</v>
      </c>
      <c r="D7" s="11"/>
      <c r="E7" s="5"/>
      <c r="F7" s="4"/>
      <c r="G7" s="4"/>
      <c r="H7" s="4"/>
      <c r="I7" s="4"/>
      <c r="J7" s="4"/>
      <c r="K7" s="4"/>
      <c r="L7" s="143"/>
      <c r="M7" s="144" t="s">
        <v>566</v>
      </c>
      <c r="N7" s="145"/>
      <c r="O7" s="146"/>
    </row>
    <row r="8" spans="1:15" ht="17.399999999999999" x14ac:dyDescent="0.3">
      <c r="A8" s="4"/>
      <c r="B8" s="2"/>
      <c r="C8" s="2" t="s">
        <v>137</v>
      </c>
      <c r="D8" s="2"/>
      <c r="E8" s="1" t="s">
        <v>23</v>
      </c>
      <c r="F8" s="1" t="s">
        <v>74</v>
      </c>
      <c r="G8" s="1" t="s">
        <v>75</v>
      </c>
      <c r="H8" s="1" t="s">
        <v>76</v>
      </c>
      <c r="I8" s="1" t="s">
        <v>77</v>
      </c>
      <c r="J8" s="1" t="s">
        <v>78</v>
      </c>
      <c r="K8" s="4"/>
    </row>
    <row r="9" spans="1:15" ht="15.9" customHeight="1" x14ac:dyDescent="0.3">
      <c r="A9" s="4"/>
      <c r="B9" s="2">
        <v>1</v>
      </c>
      <c r="C9" s="12" t="s">
        <v>3</v>
      </c>
      <c r="D9" s="10"/>
      <c r="E9" s="10"/>
      <c r="F9" s="10"/>
      <c r="G9" s="10"/>
      <c r="H9" s="10"/>
      <c r="I9" s="10"/>
      <c r="J9" s="10"/>
      <c r="K9" s="4"/>
    </row>
    <row r="10" spans="1:15" ht="15.9" customHeight="1" x14ac:dyDescent="0.3">
      <c r="A10" s="4"/>
      <c r="B10" s="2">
        <f>B9+1</f>
        <v>2</v>
      </c>
      <c r="C10" s="12" t="s">
        <v>4</v>
      </c>
      <c r="D10" s="10"/>
      <c r="E10" s="10"/>
      <c r="F10" s="10"/>
      <c r="G10" s="10"/>
      <c r="H10" s="10"/>
      <c r="I10" s="10"/>
      <c r="J10" s="10"/>
      <c r="K10" s="4"/>
    </row>
    <row r="11" spans="1:15" ht="15.9" customHeight="1" x14ac:dyDescent="0.3">
      <c r="A11" s="4"/>
      <c r="B11" s="2">
        <f t="shared" ref="B11:B23" si="0">B10+1</f>
        <v>3</v>
      </c>
      <c r="C11" s="12" t="s">
        <v>5</v>
      </c>
      <c r="D11" s="10"/>
      <c r="E11" s="10"/>
      <c r="F11" s="10"/>
      <c r="G11" s="10"/>
      <c r="H11" s="10"/>
      <c r="I11" s="10"/>
      <c r="J11" s="10"/>
      <c r="K11" s="4"/>
    </row>
    <row r="12" spans="1:15" ht="15.9" customHeight="1" x14ac:dyDescent="0.3">
      <c r="A12" s="4"/>
      <c r="B12" s="2">
        <f t="shared" si="0"/>
        <v>4</v>
      </c>
      <c r="C12" s="12" t="s">
        <v>6</v>
      </c>
      <c r="D12" s="10"/>
      <c r="E12" s="10"/>
      <c r="F12" s="10"/>
      <c r="G12" s="10"/>
      <c r="H12" s="10"/>
      <c r="I12" s="10"/>
      <c r="J12" s="10"/>
      <c r="K12" s="4"/>
    </row>
    <row r="13" spans="1:15" ht="15.9" customHeight="1" x14ac:dyDescent="0.3">
      <c r="A13" s="4"/>
      <c r="B13" s="2">
        <f t="shared" si="0"/>
        <v>5</v>
      </c>
      <c r="C13" s="12" t="s">
        <v>17</v>
      </c>
      <c r="D13" s="10"/>
      <c r="E13" s="10"/>
      <c r="F13" s="10"/>
      <c r="G13" s="10"/>
      <c r="H13" s="10"/>
      <c r="I13" s="10"/>
      <c r="J13" s="10"/>
      <c r="K13" s="4"/>
    </row>
    <row r="14" spans="1:15" ht="15.9" customHeight="1" x14ac:dyDescent="0.3">
      <c r="A14" s="4"/>
      <c r="B14" s="2">
        <f t="shared" si="0"/>
        <v>6</v>
      </c>
      <c r="C14" s="12" t="s">
        <v>18</v>
      </c>
      <c r="D14" s="10"/>
      <c r="E14" s="10"/>
      <c r="F14" s="10"/>
      <c r="G14" s="10"/>
      <c r="H14" s="10"/>
      <c r="I14" s="10"/>
      <c r="J14" s="10"/>
      <c r="K14" s="4"/>
    </row>
    <row r="15" spans="1:15" ht="15.9" customHeight="1" x14ac:dyDescent="0.3">
      <c r="A15" s="4"/>
      <c r="B15" s="2">
        <f t="shared" si="0"/>
        <v>7</v>
      </c>
      <c r="C15" s="12" t="s">
        <v>20</v>
      </c>
      <c r="D15" s="10"/>
      <c r="E15" s="10"/>
      <c r="F15" s="10"/>
      <c r="G15" s="10"/>
      <c r="H15" s="10"/>
      <c r="I15" s="10"/>
      <c r="J15" s="10"/>
      <c r="K15" s="4"/>
    </row>
    <row r="16" spans="1:15" ht="15.9" customHeight="1" x14ac:dyDescent="0.3">
      <c r="A16" s="4"/>
      <c r="B16" s="2">
        <f t="shared" si="0"/>
        <v>8</v>
      </c>
      <c r="C16" s="12" t="s">
        <v>21</v>
      </c>
      <c r="D16" s="10"/>
      <c r="E16" s="10"/>
      <c r="F16" s="10"/>
      <c r="G16" s="10"/>
      <c r="H16" s="10"/>
      <c r="I16" s="10"/>
      <c r="J16" s="10"/>
      <c r="K16" s="4"/>
    </row>
    <row r="17" spans="1:11" ht="15.9" customHeight="1" x14ac:dyDescent="0.3">
      <c r="A17" s="4"/>
      <c r="B17" s="2">
        <f t="shared" si="0"/>
        <v>9</v>
      </c>
      <c r="C17" s="12" t="s">
        <v>19</v>
      </c>
      <c r="D17" s="10"/>
      <c r="E17" s="10"/>
      <c r="F17" s="10"/>
      <c r="G17" s="10"/>
      <c r="H17" s="10"/>
      <c r="I17" s="10"/>
      <c r="J17" s="10"/>
      <c r="K17" s="4"/>
    </row>
    <row r="18" spans="1:11" ht="15.9" customHeight="1" x14ac:dyDescent="0.3">
      <c r="A18" s="4"/>
      <c r="B18" s="2">
        <f t="shared" si="0"/>
        <v>10</v>
      </c>
      <c r="C18" s="12" t="s">
        <v>16</v>
      </c>
      <c r="D18" s="10"/>
      <c r="E18" s="10"/>
      <c r="F18" s="10"/>
      <c r="G18" s="10"/>
      <c r="H18" s="10"/>
      <c r="I18" s="10"/>
      <c r="J18" s="10"/>
      <c r="K18" s="4"/>
    </row>
    <row r="19" spans="1:11" ht="15.9" customHeight="1" x14ac:dyDescent="0.3">
      <c r="A19" s="4"/>
      <c r="B19" s="2">
        <f t="shared" si="0"/>
        <v>11</v>
      </c>
      <c r="C19" s="12" t="s">
        <v>7</v>
      </c>
      <c r="D19" s="10"/>
      <c r="E19" s="10"/>
      <c r="F19" s="10"/>
      <c r="G19" s="10"/>
      <c r="H19" s="10"/>
      <c r="I19" s="10"/>
      <c r="J19" s="10"/>
      <c r="K19" s="4"/>
    </row>
    <row r="20" spans="1:11" ht="15.9" customHeight="1" x14ac:dyDescent="0.3">
      <c r="A20" s="4"/>
      <c r="B20" s="2">
        <f t="shared" si="0"/>
        <v>12</v>
      </c>
      <c r="C20" s="12" t="s">
        <v>8</v>
      </c>
      <c r="D20" s="10"/>
      <c r="E20" s="10"/>
      <c r="F20" s="10"/>
      <c r="G20" s="10"/>
      <c r="H20" s="10"/>
      <c r="I20" s="10"/>
      <c r="J20" s="10"/>
      <c r="K20" s="4"/>
    </row>
    <row r="21" spans="1:11" ht="15.9" customHeight="1" x14ac:dyDescent="0.3">
      <c r="A21" s="4"/>
      <c r="B21" s="2">
        <f t="shared" si="0"/>
        <v>13</v>
      </c>
      <c r="C21" s="12" t="s">
        <v>9</v>
      </c>
      <c r="D21" s="10"/>
      <c r="E21" s="10"/>
      <c r="F21" s="10"/>
      <c r="G21" s="10"/>
      <c r="H21" s="10"/>
      <c r="I21" s="10"/>
      <c r="J21" s="10"/>
      <c r="K21" s="4"/>
    </row>
    <row r="22" spans="1:11" ht="15.9" customHeight="1" x14ac:dyDescent="0.3">
      <c r="A22" s="4"/>
      <c r="B22" s="2">
        <f t="shared" si="0"/>
        <v>14</v>
      </c>
      <c r="C22" s="12" t="s">
        <v>10</v>
      </c>
      <c r="D22" s="10"/>
      <c r="E22" s="10"/>
      <c r="F22" s="10"/>
      <c r="G22" s="10"/>
      <c r="H22" s="10"/>
      <c r="I22" s="10"/>
      <c r="J22" s="10"/>
      <c r="K22" s="4"/>
    </row>
    <row r="23" spans="1:11" ht="15.9" customHeight="1" x14ac:dyDescent="0.3">
      <c r="A23" s="4"/>
      <c r="B23" s="2">
        <f t="shared" si="0"/>
        <v>15</v>
      </c>
      <c r="C23" s="12" t="s">
        <v>11</v>
      </c>
      <c r="D23" s="10"/>
      <c r="E23" s="10"/>
      <c r="F23" s="10"/>
      <c r="G23" s="10"/>
      <c r="H23" s="10"/>
      <c r="I23" s="10"/>
      <c r="J23" s="10"/>
      <c r="K23" s="4"/>
    </row>
    <row r="24" spans="1:11" ht="17.399999999999999" x14ac:dyDescent="0.3">
      <c r="A24" s="4"/>
      <c r="B24" s="25"/>
      <c r="C24" s="24"/>
      <c r="D24" s="24"/>
      <c r="E24" s="1" t="s">
        <v>22</v>
      </c>
      <c r="F24" s="1" t="s">
        <v>22</v>
      </c>
      <c r="G24" s="1" t="s">
        <v>22</v>
      </c>
      <c r="H24" s="1" t="s">
        <v>22</v>
      </c>
      <c r="I24" s="1" t="s">
        <v>22</v>
      </c>
      <c r="J24" s="1" t="s">
        <v>22</v>
      </c>
      <c r="K24" s="4"/>
    </row>
    <row r="25" spans="1:11" ht="70.5" customHeight="1" x14ac:dyDescent="0.3">
      <c r="A25" s="4"/>
      <c r="B25" s="25"/>
      <c r="C25" s="24"/>
      <c r="D25" s="24"/>
      <c r="E25" s="10" t="s">
        <v>634</v>
      </c>
      <c r="F25" s="10"/>
      <c r="G25" s="10"/>
      <c r="H25" s="10"/>
      <c r="I25" s="10"/>
      <c r="J25" s="10"/>
      <c r="K25" s="4"/>
    </row>
    <row r="26" spans="1:11" ht="17.399999999999999" x14ac:dyDescent="0.3">
      <c r="A26" s="4"/>
      <c r="B26" s="2"/>
      <c r="C26" s="2" t="s">
        <v>136</v>
      </c>
      <c r="D26" s="2"/>
      <c r="E26" s="167"/>
      <c r="F26" s="167"/>
      <c r="G26" s="4"/>
      <c r="H26" s="4"/>
      <c r="I26" s="4"/>
      <c r="J26" s="4"/>
      <c r="K26" s="4"/>
    </row>
    <row r="27" spans="1:11" ht="17.399999999999999" x14ac:dyDescent="0.3">
      <c r="A27" s="4"/>
      <c r="B27" s="2"/>
      <c r="C27" s="161" t="s">
        <v>24</v>
      </c>
      <c r="D27" s="161"/>
      <c r="E27" s="161"/>
      <c r="F27" s="161"/>
      <c r="G27" s="4"/>
      <c r="H27" s="4"/>
      <c r="I27" s="4"/>
      <c r="J27" s="4"/>
      <c r="K27" s="4"/>
    </row>
    <row r="28" spans="1:11" s="8" customFormat="1" ht="30" customHeight="1" x14ac:dyDescent="0.3">
      <c r="A28" s="9"/>
      <c r="B28" s="2">
        <v>1</v>
      </c>
      <c r="C28" s="165" t="s">
        <v>25</v>
      </c>
      <c r="D28" s="165"/>
      <c r="E28" s="168"/>
      <c r="F28" s="168"/>
      <c r="G28" s="9"/>
      <c r="H28" s="9"/>
      <c r="I28" s="9"/>
      <c r="J28" s="9"/>
      <c r="K28" s="9"/>
    </row>
    <row r="29" spans="1:11" ht="17.399999999999999" x14ac:dyDescent="0.3">
      <c r="A29" s="4"/>
      <c r="B29" s="2">
        <f>SUM(B28+1)</f>
        <v>2</v>
      </c>
      <c r="C29" s="165" t="s">
        <v>26</v>
      </c>
      <c r="D29" s="165"/>
      <c r="E29" s="166"/>
      <c r="F29" s="166"/>
      <c r="G29" s="4"/>
      <c r="H29" s="4"/>
      <c r="I29" s="4"/>
      <c r="J29" s="4"/>
      <c r="K29" s="4"/>
    </row>
    <row r="30" spans="1:11" ht="17.399999999999999" x14ac:dyDescent="0.3">
      <c r="A30" s="4"/>
      <c r="B30" s="2"/>
      <c r="C30" s="163" t="s">
        <v>27</v>
      </c>
      <c r="D30" s="164"/>
      <c r="E30" s="161"/>
      <c r="F30" s="161"/>
      <c r="G30" s="4"/>
      <c r="H30" s="4"/>
      <c r="I30" s="4"/>
      <c r="J30" s="4"/>
      <c r="K30" s="4"/>
    </row>
    <row r="31" spans="1:11" ht="17.399999999999999" x14ac:dyDescent="0.3">
      <c r="A31" s="4"/>
      <c r="B31" s="2">
        <f>SUM(B29+1)</f>
        <v>3</v>
      </c>
      <c r="C31" s="165" t="s">
        <v>28</v>
      </c>
      <c r="D31" s="165"/>
      <c r="E31" s="166"/>
      <c r="F31" s="166"/>
      <c r="G31" s="4"/>
      <c r="H31" s="4"/>
      <c r="I31" s="4"/>
      <c r="J31" s="4"/>
      <c r="K31" s="4"/>
    </row>
    <row r="32" spans="1:11" ht="17.399999999999999" x14ac:dyDescent="0.3">
      <c r="A32" s="4"/>
      <c r="B32" s="21">
        <f t="shared" ref="B32:B37" si="1">SUM(B31+1)</f>
        <v>4</v>
      </c>
      <c r="C32" s="165" t="s">
        <v>29</v>
      </c>
      <c r="D32" s="165"/>
      <c r="E32" s="166"/>
      <c r="F32" s="166"/>
      <c r="G32" s="4"/>
      <c r="H32" s="4"/>
      <c r="I32" s="4"/>
      <c r="J32" s="4"/>
      <c r="K32" s="4"/>
    </row>
    <row r="33" spans="1:11" ht="17.399999999999999" x14ac:dyDescent="0.3">
      <c r="A33" s="4"/>
      <c r="B33" s="21">
        <f t="shared" si="1"/>
        <v>5</v>
      </c>
      <c r="C33" s="165" t="s">
        <v>30</v>
      </c>
      <c r="D33" s="165"/>
      <c r="E33" s="166"/>
      <c r="F33" s="166"/>
      <c r="G33" s="4"/>
      <c r="H33" s="4"/>
      <c r="I33" s="4"/>
      <c r="J33" s="4"/>
      <c r="K33" s="4"/>
    </row>
    <row r="34" spans="1:11" ht="17.399999999999999" x14ac:dyDescent="0.3">
      <c r="A34" s="4"/>
      <c r="B34" s="21">
        <f t="shared" si="1"/>
        <v>6</v>
      </c>
      <c r="C34" s="165" t="s">
        <v>31</v>
      </c>
      <c r="D34" s="165"/>
      <c r="E34" s="166"/>
      <c r="F34" s="166"/>
      <c r="G34" s="4"/>
      <c r="H34" s="4"/>
      <c r="I34" s="4"/>
      <c r="J34" s="4"/>
      <c r="K34" s="4"/>
    </row>
    <row r="35" spans="1:11" ht="17.399999999999999" x14ac:dyDescent="0.3">
      <c r="A35" s="4"/>
      <c r="B35" s="21">
        <f t="shared" si="1"/>
        <v>7</v>
      </c>
      <c r="C35" s="165" t="s">
        <v>32</v>
      </c>
      <c r="D35" s="165"/>
      <c r="E35" s="166"/>
      <c r="F35" s="166"/>
      <c r="G35" s="4"/>
      <c r="H35" s="4"/>
      <c r="I35" s="4"/>
      <c r="J35" s="4"/>
      <c r="K35" s="4"/>
    </row>
    <row r="36" spans="1:11" ht="17.399999999999999" x14ac:dyDescent="0.3">
      <c r="A36" s="4"/>
      <c r="B36" s="21">
        <f t="shared" si="1"/>
        <v>8</v>
      </c>
      <c r="C36" s="165" t="s">
        <v>33</v>
      </c>
      <c r="D36" s="165"/>
      <c r="E36" s="166"/>
      <c r="F36" s="166"/>
      <c r="G36" s="4"/>
      <c r="H36" s="4"/>
      <c r="I36" s="4"/>
      <c r="J36" s="4"/>
      <c r="K36" s="4"/>
    </row>
    <row r="37" spans="1:11" ht="17.399999999999999" x14ac:dyDescent="0.3">
      <c r="A37" s="4"/>
      <c r="B37" s="21">
        <f t="shared" si="1"/>
        <v>9</v>
      </c>
      <c r="C37" s="165" t="s">
        <v>34</v>
      </c>
      <c r="D37" s="165"/>
      <c r="E37" s="166"/>
      <c r="F37" s="166"/>
      <c r="G37" s="4"/>
      <c r="H37" s="4"/>
      <c r="I37" s="4"/>
      <c r="J37" s="4"/>
      <c r="K37" s="4"/>
    </row>
    <row r="38" spans="1:11" ht="17.399999999999999" x14ac:dyDescent="0.3">
      <c r="A38" s="4"/>
      <c r="B38" s="2"/>
      <c r="C38" s="163" t="s">
        <v>35</v>
      </c>
      <c r="D38" s="164"/>
      <c r="E38" s="161"/>
      <c r="F38" s="161"/>
      <c r="G38" s="4"/>
      <c r="H38" s="4"/>
      <c r="I38" s="4"/>
      <c r="J38" s="4"/>
      <c r="K38" s="4"/>
    </row>
    <row r="39" spans="1:11" ht="17.399999999999999" x14ac:dyDescent="0.3">
      <c r="A39" s="4"/>
      <c r="B39" s="21">
        <f>SUM(B37+1)</f>
        <v>10</v>
      </c>
      <c r="C39" s="165" t="s">
        <v>36</v>
      </c>
      <c r="D39" s="165"/>
      <c r="E39" s="166"/>
      <c r="F39" s="166"/>
      <c r="G39" s="4"/>
      <c r="H39" s="4"/>
      <c r="I39" s="4"/>
      <c r="J39" s="4"/>
      <c r="K39" s="4"/>
    </row>
    <row r="40" spans="1:11" ht="17.399999999999999" x14ac:dyDescent="0.3">
      <c r="A40" s="4"/>
      <c r="B40" s="21">
        <f t="shared" ref="B40" si="2">SUM(B39+1)</f>
        <v>11</v>
      </c>
      <c r="C40" s="165" t="s">
        <v>37</v>
      </c>
      <c r="D40" s="165"/>
      <c r="E40" s="166"/>
      <c r="F40" s="166"/>
      <c r="G40" s="4"/>
      <c r="H40" s="4"/>
      <c r="I40" s="4"/>
      <c r="J40" s="4"/>
      <c r="K40" s="4"/>
    </row>
    <row r="41" spans="1:11" ht="17.399999999999999" x14ac:dyDescent="0.3">
      <c r="A41" s="4"/>
      <c r="B41" s="21"/>
      <c r="C41" s="161" t="s">
        <v>312</v>
      </c>
      <c r="D41" s="161"/>
      <c r="E41" s="161"/>
      <c r="F41" s="161"/>
      <c r="G41" s="4"/>
      <c r="H41" s="4"/>
      <c r="I41" s="4"/>
      <c r="J41" s="4"/>
      <c r="K41" s="4"/>
    </row>
    <row r="42" spans="1:11" ht="17.399999999999999" x14ac:dyDescent="0.3">
      <c r="A42" s="4"/>
      <c r="B42" s="21">
        <f>SUM(B40+1)</f>
        <v>12</v>
      </c>
      <c r="C42" s="173" t="s">
        <v>39</v>
      </c>
      <c r="D42" s="173"/>
      <c r="E42" s="171"/>
      <c r="F42" s="172"/>
      <c r="G42" s="4"/>
      <c r="H42" s="4"/>
      <c r="I42" s="4"/>
      <c r="J42" s="4"/>
      <c r="K42" s="4"/>
    </row>
    <row r="43" spans="1:11" ht="30" customHeight="1" x14ac:dyDescent="0.3">
      <c r="A43" s="4"/>
      <c r="B43" s="74">
        <f t="shared" ref="B43:B52" si="3">SUM(B42+1)</f>
        <v>13</v>
      </c>
      <c r="C43" s="169" t="s">
        <v>302</v>
      </c>
      <c r="D43" s="170"/>
      <c r="E43" s="171"/>
      <c r="F43" s="172"/>
      <c r="G43" s="4"/>
      <c r="H43" s="4"/>
      <c r="I43" s="4"/>
      <c r="J43" s="4"/>
      <c r="K43" s="4"/>
    </row>
    <row r="44" spans="1:11" ht="17.399999999999999" x14ac:dyDescent="0.3">
      <c r="A44" s="4"/>
      <c r="B44" s="74">
        <f t="shared" si="3"/>
        <v>14</v>
      </c>
      <c r="C44" s="169" t="s">
        <v>303</v>
      </c>
      <c r="D44" s="170"/>
      <c r="E44" s="171"/>
      <c r="F44" s="172"/>
      <c r="G44" s="4"/>
      <c r="H44" s="4"/>
      <c r="I44" s="4"/>
      <c r="J44" s="4"/>
      <c r="K44" s="4"/>
    </row>
    <row r="45" spans="1:11" ht="17.399999999999999" x14ac:dyDescent="0.3">
      <c r="A45" s="4"/>
      <c r="B45" s="74">
        <f t="shared" si="3"/>
        <v>15</v>
      </c>
      <c r="C45" s="169" t="s">
        <v>304</v>
      </c>
      <c r="D45" s="170"/>
      <c r="E45" s="171"/>
      <c r="F45" s="172"/>
      <c r="G45" s="4"/>
      <c r="H45" s="4"/>
      <c r="I45" s="4"/>
      <c r="J45" s="4"/>
      <c r="K45" s="4"/>
    </row>
    <row r="46" spans="1:11" ht="17.399999999999999" x14ac:dyDescent="0.3">
      <c r="A46" s="4"/>
      <c r="B46" s="74">
        <f t="shared" si="3"/>
        <v>16</v>
      </c>
      <c r="C46" s="169" t="s">
        <v>305</v>
      </c>
      <c r="D46" s="170"/>
      <c r="E46" s="171"/>
      <c r="F46" s="172"/>
      <c r="G46" s="4"/>
      <c r="H46" s="4"/>
      <c r="I46" s="4"/>
      <c r="J46" s="4"/>
      <c r="K46" s="4"/>
    </row>
    <row r="47" spans="1:11" ht="17.399999999999999" x14ac:dyDescent="0.3">
      <c r="A47" s="4"/>
      <c r="B47" s="74">
        <f t="shared" si="3"/>
        <v>17</v>
      </c>
      <c r="C47" s="169" t="s">
        <v>306</v>
      </c>
      <c r="D47" s="170"/>
      <c r="E47" s="171"/>
      <c r="F47" s="172"/>
      <c r="G47" s="4"/>
      <c r="H47" s="4"/>
      <c r="I47" s="4"/>
      <c r="J47" s="4"/>
      <c r="K47" s="4"/>
    </row>
    <row r="48" spans="1:11" ht="17.399999999999999" x14ac:dyDescent="0.3">
      <c r="A48" s="4"/>
      <c r="B48" s="74">
        <f t="shared" si="3"/>
        <v>18</v>
      </c>
      <c r="C48" s="169" t="s">
        <v>307</v>
      </c>
      <c r="D48" s="170"/>
      <c r="E48" s="171"/>
      <c r="F48" s="172"/>
      <c r="G48" s="4"/>
      <c r="H48" s="4"/>
      <c r="I48" s="4"/>
      <c r="J48" s="4"/>
      <c r="K48" s="4"/>
    </row>
    <row r="49" spans="1:11" ht="17.399999999999999" x14ac:dyDescent="0.3">
      <c r="A49" s="4"/>
      <c r="B49" s="74">
        <f t="shared" si="3"/>
        <v>19</v>
      </c>
      <c r="C49" s="169" t="s">
        <v>308</v>
      </c>
      <c r="D49" s="170"/>
      <c r="E49" s="171"/>
      <c r="F49" s="172"/>
      <c r="G49" s="4"/>
      <c r="H49" s="4"/>
      <c r="I49" s="4"/>
      <c r="J49" s="4"/>
      <c r="K49" s="4"/>
    </row>
    <row r="50" spans="1:11" ht="17.399999999999999" x14ac:dyDescent="0.3">
      <c r="A50" s="4"/>
      <c r="B50" s="74">
        <f t="shared" si="3"/>
        <v>20</v>
      </c>
      <c r="C50" s="169" t="s">
        <v>309</v>
      </c>
      <c r="D50" s="170"/>
      <c r="E50" s="171"/>
      <c r="F50" s="172"/>
      <c r="G50" s="4"/>
      <c r="H50" s="4"/>
      <c r="I50" s="4"/>
      <c r="J50" s="4"/>
      <c r="K50" s="4"/>
    </row>
    <row r="51" spans="1:11" ht="17.399999999999999" x14ac:dyDescent="0.3">
      <c r="A51" s="4"/>
      <c r="B51" s="74">
        <f t="shared" si="3"/>
        <v>21</v>
      </c>
      <c r="C51" s="169" t="s">
        <v>310</v>
      </c>
      <c r="D51" s="170"/>
      <c r="E51" s="171"/>
      <c r="F51" s="172"/>
      <c r="G51" s="4"/>
      <c r="H51" s="4"/>
      <c r="I51" s="4"/>
      <c r="J51" s="4"/>
      <c r="K51" s="4"/>
    </row>
    <row r="52" spans="1:11" ht="17.399999999999999" x14ac:dyDescent="0.3">
      <c r="A52" s="4"/>
      <c r="B52" s="74">
        <f t="shared" si="3"/>
        <v>22</v>
      </c>
      <c r="C52" s="174" t="s">
        <v>311</v>
      </c>
      <c r="D52" s="174"/>
      <c r="E52" s="171"/>
      <c r="F52" s="172"/>
      <c r="G52" s="4"/>
      <c r="H52" s="4"/>
      <c r="I52" s="4"/>
      <c r="J52" s="4"/>
      <c r="K52" s="4"/>
    </row>
    <row r="53" spans="1:11" ht="17.399999999999999" x14ac:dyDescent="0.3">
      <c r="A53" s="4"/>
      <c r="B53" s="74"/>
      <c r="C53" s="161" t="s">
        <v>336</v>
      </c>
      <c r="D53" s="161"/>
      <c r="E53" s="161"/>
      <c r="F53" s="161"/>
      <c r="G53" s="4"/>
      <c r="H53" s="4"/>
      <c r="I53" s="4"/>
      <c r="J53" s="4"/>
      <c r="K53" s="4"/>
    </row>
    <row r="54" spans="1:11" ht="17.399999999999999" x14ac:dyDescent="0.3">
      <c r="A54" s="4"/>
      <c r="B54" s="74">
        <f>SUM(B52+1)</f>
        <v>23</v>
      </c>
      <c r="C54" s="174" t="s">
        <v>326</v>
      </c>
      <c r="D54" s="174"/>
      <c r="E54" s="171"/>
      <c r="F54" s="172"/>
      <c r="G54" s="4"/>
      <c r="H54" s="4"/>
      <c r="I54" s="4"/>
      <c r="J54" s="4"/>
      <c r="K54" s="4"/>
    </row>
    <row r="55" spans="1:11" ht="17.399999999999999" x14ac:dyDescent="0.3">
      <c r="A55" s="4"/>
      <c r="B55" s="74">
        <f t="shared" ref="B55:B63" si="4">SUM(B54+1)</f>
        <v>24</v>
      </c>
      <c r="C55" s="174" t="s">
        <v>327</v>
      </c>
      <c r="D55" s="174"/>
      <c r="E55" s="171"/>
      <c r="F55" s="172"/>
      <c r="G55" s="4"/>
      <c r="H55" s="4"/>
      <c r="I55" s="4"/>
      <c r="J55" s="4"/>
      <c r="K55" s="4"/>
    </row>
    <row r="56" spans="1:11" ht="17.399999999999999" x14ac:dyDescent="0.3">
      <c r="A56" s="4"/>
      <c r="B56" s="74">
        <f t="shared" si="4"/>
        <v>25</v>
      </c>
      <c r="C56" s="174" t="s">
        <v>328</v>
      </c>
      <c r="D56" s="174"/>
      <c r="E56" s="171"/>
      <c r="F56" s="172"/>
      <c r="G56" s="4"/>
      <c r="H56" s="4"/>
      <c r="I56" s="4"/>
      <c r="J56" s="4"/>
      <c r="K56" s="4"/>
    </row>
    <row r="57" spans="1:11" ht="17.399999999999999" x14ac:dyDescent="0.3">
      <c r="A57" s="4"/>
      <c r="B57" s="74">
        <f t="shared" si="4"/>
        <v>26</v>
      </c>
      <c r="C57" s="174" t="s">
        <v>329</v>
      </c>
      <c r="D57" s="174"/>
      <c r="E57" s="171"/>
      <c r="F57" s="172"/>
      <c r="G57" s="4"/>
      <c r="H57" s="4"/>
      <c r="I57" s="4"/>
      <c r="J57" s="4"/>
      <c r="K57" s="4"/>
    </row>
    <row r="58" spans="1:11" ht="17.399999999999999" x14ac:dyDescent="0.3">
      <c r="A58" s="4"/>
      <c r="B58" s="74">
        <f t="shared" si="4"/>
        <v>27</v>
      </c>
      <c r="C58" s="174" t="s">
        <v>330</v>
      </c>
      <c r="D58" s="174"/>
      <c r="E58" s="171"/>
      <c r="F58" s="172"/>
      <c r="G58" s="4"/>
      <c r="H58" s="4"/>
      <c r="I58" s="4"/>
      <c r="J58" s="4"/>
      <c r="K58" s="4"/>
    </row>
    <row r="59" spans="1:11" ht="17.399999999999999" x14ac:dyDescent="0.3">
      <c r="A59" s="4"/>
      <c r="B59" s="74">
        <f t="shared" si="4"/>
        <v>28</v>
      </c>
      <c r="C59" s="174" t="s">
        <v>331</v>
      </c>
      <c r="D59" s="174"/>
      <c r="E59" s="171"/>
      <c r="F59" s="172"/>
      <c r="G59" s="4"/>
      <c r="H59" s="4"/>
      <c r="I59" s="4"/>
      <c r="J59" s="4"/>
      <c r="K59" s="4"/>
    </row>
    <row r="60" spans="1:11" ht="17.399999999999999" x14ac:dyDescent="0.3">
      <c r="A60" s="4"/>
      <c r="B60" s="74">
        <f t="shared" si="4"/>
        <v>29</v>
      </c>
      <c r="C60" s="174" t="s">
        <v>332</v>
      </c>
      <c r="D60" s="174"/>
      <c r="E60" s="171"/>
      <c r="F60" s="172"/>
      <c r="G60" s="4"/>
      <c r="H60" s="4"/>
      <c r="I60" s="4"/>
      <c r="J60" s="4"/>
      <c r="K60" s="4"/>
    </row>
    <row r="61" spans="1:11" ht="17.399999999999999" x14ac:dyDescent="0.3">
      <c r="A61" s="4"/>
      <c r="B61" s="74">
        <f t="shared" si="4"/>
        <v>30</v>
      </c>
      <c r="C61" s="174" t="s">
        <v>333</v>
      </c>
      <c r="D61" s="174"/>
      <c r="E61" s="171"/>
      <c r="F61" s="172"/>
      <c r="G61" s="4"/>
      <c r="H61" s="4"/>
      <c r="I61" s="4"/>
      <c r="J61" s="4"/>
      <c r="K61" s="4"/>
    </row>
    <row r="62" spans="1:11" ht="17.399999999999999" x14ac:dyDescent="0.3">
      <c r="A62" s="4"/>
      <c r="B62" s="74">
        <f t="shared" si="4"/>
        <v>31</v>
      </c>
      <c r="C62" s="174" t="s">
        <v>334</v>
      </c>
      <c r="D62" s="174"/>
      <c r="E62" s="171"/>
      <c r="F62" s="172"/>
      <c r="G62" s="4"/>
      <c r="H62" s="4"/>
      <c r="I62" s="4"/>
      <c r="J62" s="4"/>
      <c r="K62" s="4"/>
    </row>
    <row r="63" spans="1:11" ht="17.399999999999999" x14ac:dyDescent="0.3">
      <c r="A63" s="4"/>
      <c r="B63" s="74">
        <f t="shared" si="4"/>
        <v>32</v>
      </c>
      <c r="C63" s="174" t="s">
        <v>335</v>
      </c>
      <c r="D63" s="174"/>
      <c r="E63" s="171"/>
      <c r="F63" s="172"/>
      <c r="G63" s="4"/>
      <c r="H63" s="4"/>
      <c r="I63" s="4"/>
      <c r="J63" s="4"/>
      <c r="K63" s="4"/>
    </row>
    <row r="64" spans="1:11" x14ac:dyDescent="0.3">
      <c r="A64" s="4"/>
      <c r="B64" s="4"/>
      <c r="C64" s="4"/>
      <c r="D64" s="4"/>
      <c r="E64" s="4"/>
      <c r="F64" s="4"/>
      <c r="G64" s="4"/>
      <c r="H64" s="4"/>
      <c r="I64" s="4"/>
      <c r="J64" s="4"/>
      <c r="K64" s="4"/>
    </row>
  </sheetData>
  <mergeCells count="76">
    <mergeCell ref="C62:D62"/>
    <mergeCell ref="C63:D63"/>
    <mergeCell ref="E54:F54"/>
    <mergeCell ref="E55:F55"/>
    <mergeCell ref="E56:F56"/>
    <mergeCell ref="E57:F57"/>
    <mergeCell ref="E58:F58"/>
    <mergeCell ref="E59:F59"/>
    <mergeCell ref="E60:F60"/>
    <mergeCell ref="E61:F61"/>
    <mergeCell ref="E62:F62"/>
    <mergeCell ref="E63:F63"/>
    <mergeCell ref="C57:D57"/>
    <mergeCell ref="C58:D58"/>
    <mergeCell ref="C59:D59"/>
    <mergeCell ref="C60:D60"/>
    <mergeCell ref="C61:D61"/>
    <mergeCell ref="C53:D53"/>
    <mergeCell ref="E53:F53"/>
    <mergeCell ref="C54:D54"/>
    <mergeCell ref="C55:D55"/>
    <mergeCell ref="C56:D56"/>
    <mergeCell ref="C50:D50"/>
    <mergeCell ref="C51:D51"/>
    <mergeCell ref="C52:D52"/>
    <mergeCell ref="E43:F43"/>
    <mergeCell ref="E44:F44"/>
    <mergeCell ref="E45:F45"/>
    <mergeCell ref="E46:F46"/>
    <mergeCell ref="E47:F47"/>
    <mergeCell ref="E48:F48"/>
    <mergeCell ref="E49:F49"/>
    <mergeCell ref="E50:F50"/>
    <mergeCell ref="E51:F51"/>
    <mergeCell ref="E52:F52"/>
    <mergeCell ref="C45:D45"/>
    <mergeCell ref="C46:D46"/>
    <mergeCell ref="C47:D47"/>
    <mergeCell ref="C48:D48"/>
    <mergeCell ref="C49:D49"/>
    <mergeCell ref="E40:F40"/>
    <mergeCell ref="E41:F41"/>
    <mergeCell ref="E42:F42"/>
    <mergeCell ref="C43:D43"/>
    <mergeCell ref="C44:D44"/>
    <mergeCell ref="C41:D41"/>
    <mergeCell ref="C42:D42"/>
    <mergeCell ref="C40:D40"/>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C39:D39"/>
    <mergeCell ref="C27:D27"/>
    <mergeCell ref="C3:D3"/>
    <mergeCell ref="C30:D30"/>
    <mergeCell ref="C38:D38"/>
    <mergeCell ref="C28:D28"/>
    <mergeCell ref="C29:D29"/>
    <mergeCell ref="C31:D31"/>
    <mergeCell ref="C32:D32"/>
    <mergeCell ref="C33:D33"/>
    <mergeCell ref="C34:D34"/>
    <mergeCell ref="C35:D35"/>
    <mergeCell ref="C36:D36"/>
    <mergeCell ref="C37:D37"/>
  </mergeCells>
  <dataValidations count="9">
    <dataValidation type="list" allowBlank="1" showInputMessage="1" showErrorMessage="1" sqref="E9:J9" xr:uid="{00000000-0002-0000-0300-000000000000}">
      <formula1>location</formula1>
    </dataValidation>
    <dataValidation type="list" allowBlank="1" showInputMessage="1" showErrorMessage="1" sqref="E10:J10" xr:uid="{00000000-0002-0000-0300-000001000000}">
      <formula1>Serverrole</formula1>
    </dataValidation>
    <dataValidation type="list" allowBlank="1" showInputMessage="1" showErrorMessage="1" sqref="E11:J11" xr:uid="{00000000-0002-0000-0300-000002000000}">
      <formula1>Serverhardware</formula1>
    </dataValidation>
    <dataValidation type="list" allowBlank="1" showInputMessage="1" showErrorMessage="1" sqref="E12:J12" xr:uid="{00000000-0002-0000-0300-000003000000}">
      <formula1>Serveros</formula1>
    </dataValidation>
    <dataValidation type="list" allowBlank="1" showInputMessage="1" showErrorMessage="1" sqref="E13:J13 E15:J15" xr:uid="{00000000-0002-0000-0300-000004000000}">
      <formula1>CPU</formula1>
    </dataValidation>
    <dataValidation type="list" allowBlank="1" showInputMessage="1" showErrorMessage="1" sqref="E14:J14 E16:J16" xr:uid="{00000000-0002-0000-0300-000005000000}">
      <formula1>RAM</formula1>
    </dataValidation>
    <dataValidation type="list" allowBlank="1" showInputMessage="1" showErrorMessage="1" sqref="E19:J21" xr:uid="{00000000-0002-0000-0300-000006000000}">
      <formula1>ADMINACCESS</formula1>
    </dataValidation>
    <dataValidation type="list" allowBlank="1" showInputMessage="1" showErrorMessage="1" sqref="E22:J22" xr:uid="{00000000-0002-0000-0300-000007000000}">
      <formula1>Patching</formula1>
    </dataValidation>
    <dataValidation type="list" allowBlank="1" showInputMessage="1" showErrorMessage="1" sqref="E23:J23" xr:uid="{00000000-0002-0000-0300-000008000000}">
      <formula1>SPQualification</formula1>
    </dataValidation>
  </dataValidations>
  <pageMargins left="0.25" right="0.25" top="0.75" bottom="0.75" header="0.3" footer="0.3"/>
  <pageSetup paperSize="5" scale="6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N63"/>
  <sheetViews>
    <sheetView topLeftCell="A49" workbookViewId="0">
      <selection activeCell="E58" sqref="E58:F58"/>
    </sheetView>
  </sheetViews>
  <sheetFormatPr defaultColWidth="9.109375" defaultRowHeight="14.4" x14ac:dyDescent="0.3"/>
  <cols>
    <col min="1" max="2" width="6.44140625" style="5" customWidth="1"/>
    <col min="3" max="3" width="48.88671875" style="6" customWidth="1"/>
    <col min="4" max="4" width="9.109375" style="6"/>
    <col min="5" max="5" width="36" style="6" customWidth="1"/>
    <col min="6" max="10" width="30.77734375" style="6" customWidth="1"/>
    <col min="11" max="11" width="9.109375" style="6"/>
    <col min="12" max="12" width="20.77734375" style="6" customWidth="1"/>
    <col min="13" max="13" width="66.5546875" style="6" customWidth="1"/>
    <col min="14" max="16384" width="9.109375" style="6"/>
  </cols>
  <sheetData>
    <row r="1" spans="1:14" ht="15" thickBot="1" x14ac:dyDescent="0.35">
      <c r="A1" s="4"/>
      <c r="B1" s="4"/>
      <c r="C1" s="4"/>
      <c r="D1" s="4"/>
      <c r="E1" s="4"/>
      <c r="F1" s="4"/>
      <c r="G1" s="4"/>
      <c r="H1" s="4"/>
      <c r="I1" s="4"/>
      <c r="J1" s="4"/>
      <c r="K1" s="4"/>
    </row>
    <row r="2" spans="1:14" ht="107.25" customHeight="1" x14ac:dyDescent="0.3">
      <c r="A2" s="4"/>
      <c r="F2" s="4"/>
      <c r="G2" s="4"/>
      <c r="H2" s="4"/>
      <c r="I2" s="4"/>
      <c r="J2" s="4"/>
      <c r="K2" s="4"/>
      <c r="L2" s="134" t="s">
        <v>572</v>
      </c>
      <c r="M2" s="135"/>
      <c r="N2" s="136"/>
    </row>
    <row r="3" spans="1:14" ht="18" x14ac:dyDescent="0.3">
      <c r="A3" s="4"/>
      <c r="C3" s="162" t="s">
        <v>38</v>
      </c>
      <c r="D3" s="162"/>
      <c r="E3" s="6" t="str">
        <f>Database_Analyst</f>
        <v>Charles Meade</v>
      </c>
      <c r="F3" s="4"/>
      <c r="G3" s="4"/>
      <c r="H3" s="4"/>
      <c r="I3" s="4"/>
      <c r="J3" s="4"/>
      <c r="K3" s="4"/>
      <c r="L3" s="137" t="s">
        <v>571</v>
      </c>
      <c r="N3" s="138"/>
    </row>
    <row r="4" spans="1:14" ht="37.200000000000003" thickBot="1" x14ac:dyDescent="0.75">
      <c r="A4" s="4"/>
      <c r="C4" s="42" t="s">
        <v>106</v>
      </c>
      <c r="D4" s="11"/>
      <c r="E4" s="5" t="s">
        <v>608</v>
      </c>
      <c r="F4" s="4"/>
      <c r="G4" s="4"/>
      <c r="H4" s="4"/>
      <c r="I4" s="4"/>
      <c r="J4" s="4"/>
      <c r="K4" s="4"/>
      <c r="L4" s="139" t="s">
        <v>561</v>
      </c>
      <c r="M4" s="140" t="s">
        <v>568</v>
      </c>
      <c r="N4" s="138"/>
    </row>
    <row r="5" spans="1:14" ht="18.600000000000001" thickBot="1" x14ac:dyDescent="0.4">
      <c r="A5" s="4"/>
      <c r="C5" s="38" t="s">
        <v>155</v>
      </c>
      <c r="D5" s="51"/>
      <c r="E5" s="5"/>
      <c r="F5" s="4"/>
      <c r="G5" s="4"/>
      <c r="H5" s="4"/>
      <c r="I5" s="4"/>
      <c r="J5" s="4"/>
      <c r="K5" s="4"/>
      <c r="L5" s="141"/>
      <c r="M5" s="142" t="s">
        <v>573</v>
      </c>
      <c r="N5" s="147"/>
    </row>
    <row r="6" spans="1:14" ht="18" x14ac:dyDescent="0.35">
      <c r="A6" s="4"/>
      <c r="C6" s="43" t="s">
        <v>107</v>
      </c>
      <c r="D6" s="37">
        <v>1</v>
      </c>
      <c r="E6" s="5"/>
      <c r="F6" s="4"/>
      <c r="G6" s="4"/>
      <c r="H6" s="4"/>
      <c r="I6" s="4"/>
      <c r="J6" s="4"/>
      <c r="K6" s="4"/>
      <c r="L6" s="141"/>
      <c r="M6" s="142" t="s">
        <v>569</v>
      </c>
      <c r="N6" s="148"/>
    </row>
    <row r="7" spans="1:14" ht="18" x14ac:dyDescent="0.35">
      <c r="A7" s="4"/>
      <c r="C7" s="26" t="s">
        <v>108</v>
      </c>
      <c r="D7" s="11">
        <v>1</v>
      </c>
      <c r="E7" s="5"/>
      <c r="F7" s="4"/>
      <c r="G7" s="4"/>
      <c r="H7" s="4"/>
      <c r="I7" s="4"/>
      <c r="J7" s="4"/>
      <c r="K7" s="4"/>
      <c r="L7" s="141"/>
      <c r="M7" s="142" t="s">
        <v>565</v>
      </c>
      <c r="N7" s="148"/>
    </row>
    <row r="8" spans="1:14" ht="18" thickBot="1" x14ac:dyDescent="0.35">
      <c r="A8" s="4"/>
      <c r="B8" s="31"/>
      <c r="C8" s="31" t="s">
        <v>135</v>
      </c>
      <c r="D8" s="31"/>
      <c r="E8" s="29" t="s">
        <v>109</v>
      </c>
      <c r="F8" s="29" t="s">
        <v>110</v>
      </c>
      <c r="G8" s="29" t="s">
        <v>111</v>
      </c>
      <c r="H8" s="29" t="s">
        <v>112</v>
      </c>
      <c r="I8" s="29" t="s">
        <v>113</v>
      </c>
      <c r="J8" s="29" t="s">
        <v>114</v>
      </c>
      <c r="K8" s="4"/>
      <c r="L8" s="143"/>
      <c r="M8" s="144" t="s">
        <v>566</v>
      </c>
      <c r="N8" s="149"/>
    </row>
    <row r="9" spans="1:14" ht="18.75" customHeight="1" x14ac:dyDescent="0.3">
      <c r="A9" s="4"/>
      <c r="B9" s="41">
        <v>1</v>
      </c>
      <c r="C9" s="177" t="s">
        <v>344</v>
      </c>
      <c r="D9" s="178"/>
      <c r="E9" s="10"/>
      <c r="F9" s="10"/>
      <c r="G9" s="10"/>
      <c r="H9" s="10"/>
      <c r="I9" s="10"/>
      <c r="J9" s="10"/>
      <c r="K9" s="4"/>
    </row>
    <row r="10" spans="1:14" ht="15.9" customHeight="1" x14ac:dyDescent="0.3">
      <c r="A10" s="4"/>
      <c r="B10" s="41">
        <v>2</v>
      </c>
      <c r="C10" s="177" t="s">
        <v>115</v>
      </c>
      <c r="D10" s="178"/>
      <c r="E10" s="10"/>
      <c r="F10" s="10"/>
      <c r="G10" s="10"/>
      <c r="H10" s="10"/>
      <c r="I10" s="10"/>
      <c r="J10" s="10"/>
      <c r="K10" s="4"/>
    </row>
    <row r="11" spans="1:14" ht="32.1" customHeight="1" x14ac:dyDescent="0.3">
      <c r="A11" s="4"/>
      <c r="B11" s="41">
        <v>3</v>
      </c>
      <c r="C11" s="177" t="s">
        <v>116</v>
      </c>
      <c r="D11" s="178"/>
      <c r="E11" s="10"/>
      <c r="F11" s="10"/>
      <c r="G11" s="10"/>
      <c r="H11" s="10"/>
      <c r="I11" s="10"/>
      <c r="J11" s="10"/>
      <c r="K11" s="4"/>
    </row>
    <row r="12" spans="1:14" ht="32.1" customHeight="1" x14ac:dyDescent="0.3">
      <c r="A12" s="4"/>
      <c r="B12" s="41">
        <v>4</v>
      </c>
      <c r="C12" s="177" t="s">
        <v>117</v>
      </c>
      <c r="D12" s="178"/>
      <c r="E12" s="10"/>
      <c r="F12" s="10"/>
      <c r="G12" s="10"/>
      <c r="H12" s="10"/>
      <c r="I12" s="10"/>
      <c r="J12" s="10"/>
      <c r="K12" s="4"/>
    </row>
    <row r="13" spans="1:14" ht="15.9" customHeight="1" x14ac:dyDescent="0.3">
      <c r="A13" s="4"/>
      <c r="B13" s="41">
        <v>5</v>
      </c>
      <c r="C13" s="177" t="s">
        <v>118</v>
      </c>
      <c r="D13" s="178"/>
      <c r="E13" s="10"/>
      <c r="F13" s="10"/>
      <c r="G13" s="10"/>
      <c r="H13" s="10"/>
      <c r="I13" s="10"/>
      <c r="J13" s="10"/>
      <c r="K13" s="4"/>
    </row>
    <row r="14" spans="1:14" ht="15.9" customHeight="1" x14ac:dyDescent="0.3">
      <c r="A14" s="4"/>
      <c r="B14" s="41">
        <v>6</v>
      </c>
      <c r="C14" s="177" t="s">
        <v>129</v>
      </c>
      <c r="D14" s="178"/>
      <c r="E14" s="10"/>
      <c r="F14" s="10"/>
      <c r="G14" s="10"/>
      <c r="H14" s="10"/>
      <c r="I14" s="10"/>
      <c r="J14" s="10"/>
      <c r="K14" s="4"/>
    </row>
    <row r="15" spans="1:14" ht="15.9" customHeight="1" x14ac:dyDescent="0.3">
      <c r="A15" s="4"/>
      <c r="B15" s="41">
        <v>7</v>
      </c>
      <c r="C15" s="177" t="s">
        <v>130</v>
      </c>
      <c r="D15" s="178"/>
      <c r="E15" s="10"/>
      <c r="F15" s="10"/>
      <c r="G15" s="10"/>
      <c r="H15" s="10"/>
      <c r="I15" s="10"/>
      <c r="J15" s="10"/>
      <c r="K15" s="4"/>
    </row>
    <row r="16" spans="1:14" ht="15.9" customHeight="1" x14ac:dyDescent="0.3">
      <c r="A16" s="4"/>
      <c r="B16" s="41">
        <v>8</v>
      </c>
      <c r="C16" s="177" t="s">
        <v>131</v>
      </c>
      <c r="D16" s="178"/>
      <c r="E16" s="10"/>
      <c r="F16" s="10"/>
      <c r="G16" s="10"/>
      <c r="H16" s="10"/>
      <c r="I16" s="10"/>
      <c r="J16" s="10"/>
      <c r="K16" s="4"/>
    </row>
    <row r="17" spans="1:11" ht="15.9" customHeight="1" x14ac:dyDescent="0.3">
      <c r="A17" s="4"/>
      <c r="B17" s="41">
        <v>9</v>
      </c>
      <c r="C17" s="177" t="s">
        <v>132</v>
      </c>
      <c r="D17" s="178"/>
      <c r="E17" s="10"/>
      <c r="F17" s="10"/>
      <c r="G17" s="10"/>
      <c r="H17" s="10"/>
      <c r="I17" s="10"/>
      <c r="J17" s="10"/>
      <c r="K17" s="4"/>
    </row>
    <row r="18" spans="1:11" ht="15.9" customHeight="1" x14ac:dyDescent="0.3">
      <c r="A18" s="4"/>
      <c r="B18" s="41">
        <v>10</v>
      </c>
      <c r="C18" s="177" t="s">
        <v>133</v>
      </c>
      <c r="D18" s="178"/>
      <c r="E18" s="10"/>
      <c r="F18" s="10"/>
      <c r="G18" s="10"/>
      <c r="H18" s="10"/>
      <c r="I18" s="10"/>
      <c r="J18" s="10"/>
      <c r="K18" s="4"/>
    </row>
    <row r="19" spans="1:11" ht="15.9" customHeight="1" x14ac:dyDescent="0.3">
      <c r="A19" s="4"/>
      <c r="B19" s="41">
        <v>11</v>
      </c>
      <c r="C19" s="177" t="s">
        <v>134</v>
      </c>
      <c r="D19" s="178"/>
      <c r="E19" s="10"/>
      <c r="F19" s="10"/>
      <c r="G19" s="10"/>
      <c r="H19" s="10"/>
      <c r="I19" s="10"/>
      <c r="J19" s="10"/>
      <c r="K19" s="4"/>
    </row>
    <row r="20" spans="1:11" ht="18" customHeight="1" x14ac:dyDescent="0.3">
      <c r="A20" s="4"/>
      <c r="B20" s="41">
        <v>12</v>
      </c>
      <c r="C20" s="177" t="s">
        <v>119</v>
      </c>
      <c r="D20" s="178"/>
      <c r="E20" s="10"/>
      <c r="F20" s="10"/>
      <c r="G20" s="10"/>
      <c r="H20" s="10"/>
      <c r="I20" s="10"/>
      <c r="J20" s="10"/>
      <c r="K20" s="4"/>
    </row>
    <row r="21" spans="1:11" ht="15.9" customHeight="1" x14ac:dyDescent="0.3">
      <c r="A21" s="4"/>
      <c r="B21" s="41">
        <v>13</v>
      </c>
      <c r="C21" s="177" t="s">
        <v>120</v>
      </c>
      <c r="D21" s="178"/>
      <c r="E21" s="10"/>
      <c r="F21" s="10"/>
      <c r="G21" s="10"/>
      <c r="H21" s="10"/>
      <c r="I21" s="10"/>
      <c r="J21" s="10"/>
      <c r="K21" s="4"/>
    </row>
    <row r="22" spans="1:11" ht="15.9" customHeight="1" x14ac:dyDescent="0.3">
      <c r="A22" s="4"/>
      <c r="B22" s="41">
        <v>14</v>
      </c>
      <c r="C22" s="177" t="s">
        <v>121</v>
      </c>
      <c r="D22" s="178"/>
      <c r="E22" s="10"/>
      <c r="F22" s="10"/>
      <c r="G22" s="10"/>
      <c r="H22" s="10"/>
      <c r="I22" s="10"/>
      <c r="J22" s="10"/>
      <c r="K22" s="4"/>
    </row>
    <row r="23" spans="1:11" ht="32.1" customHeight="1" x14ac:dyDescent="0.3">
      <c r="A23" s="4"/>
      <c r="B23" s="41">
        <v>15</v>
      </c>
      <c r="C23" s="177" t="s">
        <v>122</v>
      </c>
      <c r="D23" s="178"/>
      <c r="E23" s="10"/>
      <c r="F23" s="10"/>
      <c r="G23" s="10"/>
      <c r="H23" s="10"/>
      <c r="I23" s="10"/>
      <c r="J23" s="10"/>
      <c r="K23" s="4"/>
    </row>
    <row r="24" spans="1:11" ht="19.5" customHeight="1" x14ac:dyDescent="0.3">
      <c r="A24" s="4"/>
      <c r="B24" s="41">
        <v>16</v>
      </c>
      <c r="C24" s="177" t="s">
        <v>123</v>
      </c>
      <c r="D24" s="178"/>
      <c r="E24" s="10"/>
      <c r="F24" s="10"/>
      <c r="G24" s="10"/>
      <c r="H24" s="10"/>
      <c r="I24" s="10"/>
      <c r="J24" s="10"/>
      <c r="K24" s="4"/>
    </row>
    <row r="25" spans="1:11" ht="15.9" customHeight="1" x14ac:dyDescent="0.3">
      <c r="A25" s="4"/>
      <c r="B25" s="41">
        <v>17</v>
      </c>
      <c r="C25" s="177" t="s">
        <v>124</v>
      </c>
      <c r="D25" s="178"/>
      <c r="E25" s="10"/>
      <c r="F25" s="10"/>
      <c r="G25" s="10"/>
      <c r="H25" s="10"/>
      <c r="I25" s="10"/>
      <c r="J25" s="10"/>
      <c r="K25" s="4"/>
    </row>
    <row r="26" spans="1:11" ht="15.9" customHeight="1" x14ac:dyDescent="0.3">
      <c r="A26" s="4"/>
      <c r="B26" s="41">
        <v>18</v>
      </c>
      <c r="C26" s="177" t="s">
        <v>125</v>
      </c>
      <c r="D26" s="178"/>
      <c r="E26" s="10"/>
      <c r="F26" s="10"/>
      <c r="G26" s="10"/>
      <c r="H26" s="10"/>
      <c r="I26" s="10"/>
      <c r="J26" s="10"/>
      <c r="K26" s="4"/>
    </row>
    <row r="27" spans="1:11" ht="15.9" customHeight="1" x14ac:dyDescent="0.3">
      <c r="A27" s="4"/>
      <c r="B27" s="41">
        <v>19</v>
      </c>
      <c r="C27" s="177" t="s">
        <v>126</v>
      </c>
      <c r="D27" s="178"/>
      <c r="E27" s="10"/>
      <c r="F27" s="10"/>
      <c r="G27" s="10"/>
      <c r="H27" s="10"/>
      <c r="I27" s="10"/>
      <c r="J27" s="10"/>
      <c r="K27" s="4"/>
    </row>
    <row r="28" spans="1:11" ht="15.9" customHeight="1" x14ac:dyDescent="0.3">
      <c r="A28" s="4"/>
      <c r="B28" s="41">
        <v>20</v>
      </c>
      <c r="C28" s="177" t="s">
        <v>127</v>
      </c>
      <c r="D28" s="178"/>
      <c r="E28" s="10"/>
      <c r="F28" s="10"/>
      <c r="G28" s="10"/>
      <c r="H28" s="10"/>
      <c r="I28" s="10"/>
      <c r="J28" s="10"/>
      <c r="K28" s="4"/>
    </row>
    <row r="29" spans="1:11" ht="36" customHeight="1" x14ac:dyDescent="0.3">
      <c r="A29" s="4"/>
      <c r="B29" s="41">
        <v>21</v>
      </c>
      <c r="C29" s="177" t="s">
        <v>128</v>
      </c>
      <c r="D29" s="178"/>
      <c r="E29" s="10"/>
      <c r="F29" s="10"/>
      <c r="G29" s="10"/>
      <c r="H29" s="10"/>
      <c r="I29" s="10"/>
      <c r="J29" s="10"/>
      <c r="K29" s="4"/>
    </row>
    <row r="30" spans="1:11" ht="17.399999999999999" x14ac:dyDescent="0.3">
      <c r="A30" s="4"/>
      <c r="B30" s="52"/>
      <c r="C30" s="53"/>
      <c r="D30" s="54"/>
      <c r="E30" s="29" t="s">
        <v>22</v>
      </c>
      <c r="F30" s="29" t="s">
        <v>22</v>
      </c>
      <c r="G30" s="29" t="s">
        <v>22</v>
      </c>
      <c r="H30" s="29" t="s">
        <v>22</v>
      </c>
      <c r="I30" s="29" t="s">
        <v>22</v>
      </c>
      <c r="J30" s="29" t="s">
        <v>22</v>
      </c>
      <c r="K30" s="4"/>
    </row>
    <row r="31" spans="1:11" ht="70.5" customHeight="1" x14ac:dyDescent="0.3">
      <c r="A31" s="4"/>
      <c r="B31" s="55"/>
      <c r="C31" s="56"/>
      <c r="D31" s="57"/>
      <c r="E31" s="10"/>
      <c r="F31" s="10"/>
      <c r="G31" s="10"/>
      <c r="H31" s="10"/>
      <c r="I31" s="10"/>
      <c r="J31" s="10"/>
      <c r="K31" s="4"/>
    </row>
    <row r="32" spans="1:11" ht="17.399999999999999" x14ac:dyDescent="0.3">
      <c r="A32" s="4"/>
      <c r="B32" s="31"/>
      <c r="C32" s="31" t="s">
        <v>136</v>
      </c>
      <c r="D32" s="31"/>
      <c r="E32" s="167"/>
      <c r="F32" s="167"/>
      <c r="G32" s="4"/>
      <c r="H32" s="4"/>
      <c r="I32" s="4"/>
      <c r="J32" s="4"/>
      <c r="K32" s="4"/>
    </row>
    <row r="33" spans="1:11" ht="17.399999999999999" x14ac:dyDescent="0.3">
      <c r="A33" s="4"/>
      <c r="B33" s="31"/>
      <c r="C33" s="161" t="s">
        <v>277</v>
      </c>
      <c r="D33" s="161"/>
      <c r="E33" s="161"/>
      <c r="F33" s="161"/>
      <c r="G33" s="4"/>
      <c r="H33" s="4"/>
      <c r="I33" s="4"/>
      <c r="J33" s="4"/>
      <c r="K33" s="4"/>
    </row>
    <row r="34" spans="1:11" s="8" customFormat="1" ht="30" customHeight="1" x14ac:dyDescent="0.3">
      <c r="A34" s="9"/>
      <c r="B34" s="31">
        <v>1</v>
      </c>
      <c r="C34" s="175" t="s">
        <v>273</v>
      </c>
      <c r="D34" s="176"/>
      <c r="E34" s="168"/>
      <c r="F34" s="168"/>
      <c r="G34" s="9"/>
      <c r="H34" s="9"/>
      <c r="I34" s="9"/>
      <c r="J34" s="9"/>
      <c r="K34" s="9"/>
    </row>
    <row r="35" spans="1:11" ht="17.399999999999999" x14ac:dyDescent="0.3">
      <c r="A35" s="4"/>
      <c r="B35" s="31">
        <f>SUM(B34+1)</f>
        <v>2</v>
      </c>
      <c r="C35" s="175" t="s">
        <v>274</v>
      </c>
      <c r="D35" s="176"/>
      <c r="E35" s="166"/>
      <c r="F35" s="166"/>
      <c r="G35" s="4"/>
      <c r="H35" s="4"/>
      <c r="I35" s="4"/>
      <c r="J35" s="4"/>
      <c r="K35" s="4"/>
    </row>
    <row r="36" spans="1:11" ht="17.399999999999999" x14ac:dyDescent="0.3">
      <c r="A36" s="4"/>
      <c r="B36" s="31"/>
      <c r="C36" s="175" t="s">
        <v>275</v>
      </c>
      <c r="D36" s="176"/>
      <c r="E36" s="168"/>
      <c r="F36" s="168"/>
      <c r="G36" s="4"/>
      <c r="H36" s="4"/>
      <c r="I36" s="4"/>
      <c r="J36" s="4"/>
      <c r="K36" s="4"/>
    </row>
    <row r="37" spans="1:11" ht="17.399999999999999" x14ac:dyDescent="0.3">
      <c r="A37" s="4"/>
      <c r="B37" s="31">
        <f>SUM(B35+1)</f>
        <v>3</v>
      </c>
      <c r="C37" s="175" t="s">
        <v>276</v>
      </c>
      <c r="D37" s="176"/>
      <c r="E37" s="166"/>
      <c r="F37" s="166"/>
      <c r="G37" s="4"/>
      <c r="H37" s="4"/>
      <c r="I37" s="4"/>
      <c r="J37" s="4"/>
      <c r="K37" s="4"/>
    </row>
    <row r="38" spans="1:11" ht="17.399999999999999" x14ac:dyDescent="0.3">
      <c r="A38" s="4"/>
      <c r="B38" s="31"/>
      <c r="C38" s="161" t="s">
        <v>278</v>
      </c>
      <c r="D38" s="161"/>
      <c r="E38" s="161"/>
      <c r="F38" s="161"/>
      <c r="G38" s="4"/>
      <c r="H38" s="4"/>
      <c r="I38" s="4"/>
      <c r="J38" s="4"/>
      <c r="K38" s="4"/>
    </row>
    <row r="39" spans="1:11" ht="17.399999999999999" x14ac:dyDescent="0.3">
      <c r="A39" s="4"/>
      <c r="B39" s="31">
        <f>SUM(B37+1)</f>
        <v>4</v>
      </c>
      <c r="C39" s="175" t="s">
        <v>279</v>
      </c>
      <c r="D39" s="176"/>
      <c r="E39" s="166"/>
      <c r="F39" s="166"/>
      <c r="G39" s="4"/>
      <c r="H39" s="4"/>
      <c r="I39" s="4"/>
      <c r="J39" s="4"/>
      <c r="K39" s="4"/>
    </row>
    <row r="40" spans="1:11" ht="17.399999999999999" x14ac:dyDescent="0.3">
      <c r="A40" s="4"/>
      <c r="B40" s="31">
        <f t="shared" ref="B40:B43" si="0">SUM(B39+1)</f>
        <v>5</v>
      </c>
      <c r="C40" s="175" t="s">
        <v>280</v>
      </c>
      <c r="D40" s="176"/>
      <c r="E40" s="166"/>
      <c r="F40" s="166"/>
      <c r="G40" s="4"/>
      <c r="H40" s="4"/>
      <c r="I40" s="4"/>
      <c r="J40" s="4"/>
      <c r="K40" s="4"/>
    </row>
    <row r="41" spans="1:11" ht="17.399999999999999" x14ac:dyDescent="0.3">
      <c r="A41" s="4"/>
      <c r="B41" s="31">
        <f t="shared" si="0"/>
        <v>6</v>
      </c>
      <c r="C41" s="175" t="s">
        <v>281</v>
      </c>
      <c r="D41" s="176"/>
      <c r="E41" s="166"/>
      <c r="F41" s="166"/>
      <c r="G41" s="4"/>
      <c r="H41" s="4"/>
      <c r="I41" s="4"/>
      <c r="J41" s="4"/>
      <c r="K41" s="4"/>
    </row>
    <row r="42" spans="1:11" ht="17.399999999999999" x14ac:dyDescent="0.3">
      <c r="A42" s="4"/>
      <c r="B42" s="31">
        <f t="shared" si="0"/>
        <v>7</v>
      </c>
      <c r="C42" s="175" t="s">
        <v>282</v>
      </c>
      <c r="D42" s="176"/>
      <c r="E42" s="166"/>
      <c r="F42" s="166"/>
      <c r="G42" s="4"/>
      <c r="H42" s="4"/>
      <c r="I42" s="4"/>
      <c r="J42" s="4"/>
      <c r="K42" s="4"/>
    </row>
    <row r="43" spans="1:11" ht="17.399999999999999" x14ac:dyDescent="0.3">
      <c r="A43" s="4"/>
      <c r="B43" s="31">
        <f t="shared" si="0"/>
        <v>8</v>
      </c>
      <c r="C43" s="175" t="s">
        <v>283</v>
      </c>
      <c r="D43" s="176"/>
      <c r="E43" s="166"/>
      <c r="F43" s="166"/>
      <c r="G43" s="4"/>
      <c r="H43" s="4"/>
      <c r="I43" s="4"/>
      <c r="J43" s="4"/>
      <c r="K43" s="4"/>
    </row>
    <row r="44" spans="1:11" ht="17.399999999999999" x14ac:dyDescent="0.3">
      <c r="A44" s="4"/>
      <c r="B44" s="31"/>
      <c r="C44" s="3" t="s">
        <v>288</v>
      </c>
      <c r="D44" s="16"/>
      <c r="E44" s="161"/>
      <c r="F44" s="161"/>
      <c r="G44" s="4"/>
      <c r="H44" s="4"/>
      <c r="I44" s="4"/>
      <c r="J44" s="4"/>
      <c r="K44" s="4"/>
    </row>
    <row r="45" spans="1:11" ht="17.399999999999999" x14ac:dyDescent="0.3">
      <c r="A45" s="4"/>
      <c r="B45" s="74">
        <f>SUM(B43+1)</f>
        <v>9</v>
      </c>
      <c r="C45" s="175" t="s">
        <v>284</v>
      </c>
      <c r="D45" s="176"/>
      <c r="E45" s="166"/>
      <c r="F45" s="166"/>
      <c r="G45" s="4"/>
      <c r="H45" s="4"/>
      <c r="I45" s="4"/>
      <c r="J45" s="4"/>
      <c r="K45" s="4"/>
    </row>
    <row r="46" spans="1:11" ht="17.399999999999999" x14ac:dyDescent="0.3">
      <c r="A46" s="4"/>
      <c r="B46" s="74">
        <f t="shared" ref="B46:B48" si="1">SUM(B45+1)</f>
        <v>10</v>
      </c>
      <c r="C46" s="175" t="s">
        <v>285</v>
      </c>
      <c r="D46" s="176"/>
      <c r="E46" s="166"/>
      <c r="F46" s="166"/>
      <c r="G46" s="4"/>
      <c r="H46" s="4"/>
      <c r="I46" s="4"/>
      <c r="J46" s="4"/>
      <c r="K46" s="4"/>
    </row>
    <row r="47" spans="1:11" ht="17.399999999999999" x14ac:dyDescent="0.3">
      <c r="A47" s="4"/>
      <c r="B47" s="74">
        <f t="shared" si="1"/>
        <v>11</v>
      </c>
      <c r="C47" s="175" t="s">
        <v>286</v>
      </c>
      <c r="D47" s="176"/>
      <c r="E47" s="168"/>
      <c r="F47" s="168"/>
      <c r="G47" s="4"/>
      <c r="H47" s="4"/>
      <c r="I47" s="4"/>
      <c r="J47" s="4"/>
      <c r="K47" s="4"/>
    </row>
    <row r="48" spans="1:11" ht="17.399999999999999" x14ac:dyDescent="0.3">
      <c r="A48" s="4"/>
      <c r="B48" s="74">
        <f t="shared" si="1"/>
        <v>12</v>
      </c>
      <c r="C48" s="175" t="s">
        <v>287</v>
      </c>
      <c r="D48" s="176"/>
      <c r="E48" s="166"/>
      <c r="F48" s="166"/>
      <c r="G48" s="4"/>
      <c r="H48" s="4"/>
      <c r="I48" s="4"/>
      <c r="J48" s="4"/>
      <c r="K48" s="4"/>
    </row>
    <row r="49" spans="1:11" ht="17.399999999999999" x14ac:dyDescent="0.3">
      <c r="A49" s="4"/>
      <c r="B49" s="74"/>
      <c r="C49" s="3" t="s">
        <v>315</v>
      </c>
      <c r="D49" s="16"/>
      <c r="E49" s="161"/>
      <c r="F49" s="161"/>
      <c r="G49" s="4"/>
      <c r="H49" s="4"/>
      <c r="I49" s="4"/>
      <c r="J49" s="4"/>
      <c r="K49" s="4"/>
    </row>
    <row r="50" spans="1:11" ht="17.399999999999999" x14ac:dyDescent="0.3">
      <c r="A50" s="4"/>
      <c r="B50" s="74">
        <f>SUM(B48+1)</f>
        <v>13</v>
      </c>
      <c r="C50" s="175" t="s">
        <v>313</v>
      </c>
      <c r="D50" s="176"/>
      <c r="E50" s="168"/>
      <c r="F50" s="168"/>
      <c r="G50" s="4"/>
      <c r="H50" s="4"/>
      <c r="I50" s="4"/>
      <c r="J50" s="4"/>
      <c r="K50" s="4"/>
    </row>
    <row r="51" spans="1:11" ht="17.399999999999999" x14ac:dyDescent="0.3">
      <c r="A51" s="4"/>
      <c r="B51" s="74">
        <f t="shared" ref="B51:B62" si="2">SUM(B50+1)</f>
        <v>14</v>
      </c>
      <c r="C51" s="175" t="s">
        <v>314</v>
      </c>
      <c r="D51" s="176"/>
      <c r="E51" s="168"/>
      <c r="F51" s="168"/>
      <c r="G51" s="4"/>
      <c r="H51" s="4"/>
      <c r="I51" s="4"/>
      <c r="J51" s="4"/>
      <c r="K51" s="4"/>
    </row>
    <row r="52" spans="1:11" ht="17.399999999999999" x14ac:dyDescent="0.3">
      <c r="A52" s="4"/>
      <c r="B52" s="74">
        <f t="shared" si="2"/>
        <v>15</v>
      </c>
      <c r="C52" s="175" t="s">
        <v>325</v>
      </c>
      <c r="D52" s="176"/>
      <c r="E52" s="168"/>
      <c r="F52" s="168"/>
      <c r="G52" s="4"/>
      <c r="H52" s="4"/>
      <c r="I52" s="4"/>
      <c r="J52" s="4"/>
      <c r="K52" s="4"/>
    </row>
    <row r="53" spans="1:11" ht="17.399999999999999" x14ac:dyDescent="0.3">
      <c r="A53" s="4"/>
      <c r="B53" s="74">
        <f t="shared" si="2"/>
        <v>16</v>
      </c>
      <c r="C53" s="175" t="s">
        <v>321</v>
      </c>
      <c r="D53" s="176"/>
      <c r="E53" s="168"/>
      <c r="F53" s="168"/>
      <c r="G53" s="4"/>
      <c r="H53" s="4"/>
      <c r="I53" s="4"/>
      <c r="J53" s="4"/>
      <c r="K53" s="4"/>
    </row>
    <row r="54" spans="1:11" ht="17.399999999999999" x14ac:dyDescent="0.3">
      <c r="A54" s="4"/>
      <c r="B54" s="74">
        <f t="shared" si="2"/>
        <v>17</v>
      </c>
      <c r="C54" s="175" t="s">
        <v>322</v>
      </c>
      <c r="D54" s="176"/>
      <c r="E54" s="168"/>
      <c r="F54" s="168"/>
      <c r="G54" s="4"/>
      <c r="H54" s="4"/>
      <c r="I54" s="4"/>
      <c r="J54" s="4"/>
      <c r="K54" s="4"/>
    </row>
    <row r="55" spans="1:11" ht="17.399999999999999" x14ac:dyDescent="0.3">
      <c r="A55" s="4"/>
      <c r="B55" s="74">
        <f t="shared" si="2"/>
        <v>18</v>
      </c>
      <c r="C55" s="175" t="s">
        <v>323</v>
      </c>
      <c r="D55" s="176"/>
      <c r="E55" s="168"/>
      <c r="F55" s="168"/>
      <c r="G55" s="4"/>
      <c r="H55" s="4"/>
      <c r="I55" s="4"/>
      <c r="J55" s="4"/>
      <c r="K55" s="4"/>
    </row>
    <row r="56" spans="1:11" ht="17.399999999999999" x14ac:dyDescent="0.3">
      <c r="A56" s="4"/>
      <c r="B56" s="74">
        <f t="shared" si="2"/>
        <v>19</v>
      </c>
      <c r="C56" s="175" t="s">
        <v>324</v>
      </c>
      <c r="D56" s="176"/>
      <c r="E56" s="168"/>
      <c r="F56" s="168"/>
      <c r="G56" s="4"/>
      <c r="H56" s="4"/>
      <c r="I56" s="4"/>
      <c r="J56" s="4"/>
      <c r="K56" s="4"/>
    </row>
    <row r="57" spans="1:11" ht="17.399999999999999" x14ac:dyDescent="0.3">
      <c r="A57" s="4"/>
      <c r="B57" s="74">
        <f t="shared" si="2"/>
        <v>20</v>
      </c>
      <c r="C57" s="175" t="s">
        <v>345</v>
      </c>
      <c r="D57" s="176"/>
      <c r="E57" s="168"/>
      <c r="F57" s="168"/>
      <c r="G57" s="4"/>
      <c r="H57" s="4"/>
      <c r="I57" s="4"/>
      <c r="J57" s="4"/>
      <c r="K57" s="4"/>
    </row>
    <row r="58" spans="1:11" ht="17.399999999999999" x14ac:dyDescent="0.3">
      <c r="A58" s="4"/>
      <c r="B58" s="74">
        <f t="shared" si="2"/>
        <v>21</v>
      </c>
      <c r="C58" s="175" t="s">
        <v>337</v>
      </c>
      <c r="D58" s="176"/>
      <c r="E58" s="168"/>
      <c r="F58" s="168"/>
      <c r="G58" s="4"/>
      <c r="H58" s="4"/>
      <c r="I58" s="4"/>
      <c r="J58" s="4"/>
      <c r="K58" s="4"/>
    </row>
    <row r="59" spans="1:11" ht="17.399999999999999" x14ac:dyDescent="0.3">
      <c r="A59" s="4"/>
      <c r="B59" s="74"/>
      <c r="C59" s="3" t="s">
        <v>340</v>
      </c>
      <c r="D59" s="16"/>
      <c r="E59" s="161"/>
      <c r="F59" s="161"/>
      <c r="G59" s="4"/>
      <c r="H59" s="4"/>
      <c r="I59" s="4"/>
      <c r="J59" s="4"/>
      <c r="K59" s="4"/>
    </row>
    <row r="60" spans="1:11" ht="17.399999999999999" x14ac:dyDescent="0.3">
      <c r="A60" s="4"/>
      <c r="B60" s="74">
        <f>SUM(B58+1)</f>
        <v>22</v>
      </c>
      <c r="C60" s="165" t="s">
        <v>346</v>
      </c>
      <c r="D60" s="165"/>
      <c r="E60" s="168"/>
      <c r="F60" s="168"/>
      <c r="G60" s="4"/>
      <c r="H60" s="4"/>
      <c r="I60" s="4"/>
      <c r="J60" s="4"/>
      <c r="K60" s="4"/>
    </row>
    <row r="61" spans="1:11" ht="45" customHeight="1" x14ac:dyDescent="0.3">
      <c r="A61" s="4"/>
      <c r="B61" s="74">
        <f t="shared" si="2"/>
        <v>23</v>
      </c>
      <c r="C61" s="165" t="s">
        <v>338</v>
      </c>
      <c r="D61" s="165"/>
      <c r="E61" s="168"/>
      <c r="F61" s="168"/>
      <c r="G61" s="4"/>
      <c r="H61" s="4"/>
      <c r="I61" s="4"/>
      <c r="J61" s="4"/>
      <c r="K61" s="4"/>
    </row>
    <row r="62" spans="1:11" ht="30" customHeight="1" x14ac:dyDescent="0.3">
      <c r="A62" s="4"/>
      <c r="B62" s="74">
        <f t="shared" si="2"/>
        <v>24</v>
      </c>
      <c r="C62" s="165" t="s">
        <v>339</v>
      </c>
      <c r="D62" s="165"/>
      <c r="E62" s="168"/>
      <c r="F62" s="168"/>
      <c r="G62" s="4"/>
      <c r="H62" s="4"/>
      <c r="I62" s="4"/>
      <c r="J62" s="4"/>
      <c r="K62" s="4"/>
    </row>
    <row r="63" spans="1:11" x14ac:dyDescent="0.3">
      <c r="A63" s="4"/>
      <c r="B63" s="4"/>
      <c r="C63" s="4"/>
      <c r="D63" s="4"/>
      <c r="E63" s="4"/>
      <c r="F63" s="4"/>
      <c r="G63" s="4"/>
      <c r="H63" s="4"/>
      <c r="I63" s="4"/>
      <c r="J63" s="4"/>
      <c r="K63" s="4"/>
    </row>
  </sheetData>
  <mergeCells count="80">
    <mergeCell ref="E61:F61"/>
    <mergeCell ref="E62:F62"/>
    <mergeCell ref="C61:D61"/>
    <mergeCell ref="C62:D62"/>
    <mergeCell ref="C60:D60"/>
    <mergeCell ref="E49:F49"/>
    <mergeCell ref="E50:F50"/>
    <mergeCell ref="E51:F51"/>
    <mergeCell ref="E52:F52"/>
    <mergeCell ref="E53:F53"/>
    <mergeCell ref="E59:F59"/>
    <mergeCell ref="E60:F60"/>
    <mergeCell ref="C54:D54"/>
    <mergeCell ref="C55:D55"/>
    <mergeCell ref="C56:D56"/>
    <mergeCell ref="C57:D57"/>
    <mergeCell ref="C58:D58"/>
    <mergeCell ref="E54:F54"/>
    <mergeCell ref="E55:F55"/>
    <mergeCell ref="E56:F56"/>
    <mergeCell ref="E57:F57"/>
    <mergeCell ref="E58:F58"/>
    <mergeCell ref="C29:D29"/>
    <mergeCell ref="C50:D50"/>
    <mergeCell ref="C51:D51"/>
    <mergeCell ref="C52:D52"/>
    <mergeCell ref="C53:D53"/>
    <mergeCell ref="C47:D47"/>
    <mergeCell ref="C41:D41"/>
    <mergeCell ref="C38:D38"/>
    <mergeCell ref="C35:D35"/>
    <mergeCell ref="C24:D24"/>
    <mergeCell ref="C25:D25"/>
    <mergeCell ref="C26:D26"/>
    <mergeCell ref="C27:D27"/>
    <mergeCell ref="C28:D28"/>
    <mergeCell ref="C19:D19"/>
    <mergeCell ref="C20:D20"/>
    <mergeCell ref="C21:D21"/>
    <mergeCell ref="C22:D22"/>
    <mergeCell ref="C23:D23"/>
    <mergeCell ref="E47:F47"/>
    <mergeCell ref="C48:D48"/>
    <mergeCell ref="E48:F48"/>
    <mergeCell ref="E44:F44"/>
    <mergeCell ref="C45:D45"/>
    <mergeCell ref="E45:F45"/>
    <mergeCell ref="C46:D46"/>
    <mergeCell ref="E46:F46"/>
    <mergeCell ref="E41:F41"/>
    <mergeCell ref="C42:D42"/>
    <mergeCell ref="E42:F42"/>
    <mergeCell ref="C43:D43"/>
    <mergeCell ref="E43:F43"/>
    <mergeCell ref="E38:F38"/>
    <mergeCell ref="C39:D39"/>
    <mergeCell ref="E39:F39"/>
    <mergeCell ref="C40:D40"/>
    <mergeCell ref="E40:F40"/>
    <mergeCell ref="E35:F35"/>
    <mergeCell ref="C36:D36"/>
    <mergeCell ref="E36:F36"/>
    <mergeCell ref="C37:D37"/>
    <mergeCell ref="E37:F37"/>
    <mergeCell ref="C3:D3"/>
    <mergeCell ref="E32:F32"/>
    <mergeCell ref="C33:D33"/>
    <mergeCell ref="E33:F33"/>
    <mergeCell ref="C34:D34"/>
    <mergeCell ref="E34:F34"/>
    <mergeCell ref="C9:D9"/>
    <mergeCell ref="C10:D10"/>
    <mergeCell ref="C11:D11"/>
    <mergeCell ref="C12:D12"/>
    <mergeCell ref="C13:D13"/>
    <mergeCell ref="C14:D14"/>
    <mergeCell ref="C15:D15"/>
    <mergeCell ref="C16:D16"/>
    <mergeCell ref="C17:D17"/>
    <mergeCell ref="C18:D18"/>
  </mergeCells>
  <dataValidations count="12">
    <dataValidation type="list" allowBlank="1" showInputMessage="1" showErrorMessage="1" sqref="E9:J9" xr:uid="{00000000-0002-0000-0400-000000000000}">
      <formula1>Serverinstance</formula1>
    </dataValidation>
    <dataValidation type="list" allowBlank="1" showInputMessage="1" showErrorMessage="1" sqref="E10:J10" xr:uid="{00000000-0002-0000-0400-000001000000}">
      <formula1>DBVersions</formula1>
    </dataValidation>
    <dataValidation type="list" allowBlank="1" showInputMessage="1" showErrorMessage="1" sqref="E11:J12" xr:uid="{00000000-0002-0000-0400-000002000000}">
      <formula1>YESEXPLAIN</formula1>
    </dataValidation>
    <dataValidation type="list" allowBlank="1" showInputMessage="1" showErrorMessage="1" sqref="E13:J13" xr:uid="{00000000-0002-0000-0400-000003000000}">
      <formula1>DBHA</formula1>
    </dataValidation>
    <dataValidation type="list" allowBlank="1" showInputMessage="1" showErrorMessage="1" sqref="E20:J20 E23:J23" xr:uid="{00000000-0002-0000-0400-000004000000}">
      <formula1>NOEXPLAIN</formula1>
    </dataValidation>
    <dataValidation type="list" allowBlank="1" showInputMessage="1" showErrorMessage="1" sqref="E21:J21" xr:uid="{00000000-0002-0000-0400-000005000000}">
      <formula1>DBAuthentication</formula1>
    </dataValidation>
    <dataValidation type="list" allowBlank="1" showInputMessage="1" showErrorMessage="1" sqref="E22:J22" xr:uid="{00000000-0002-0000-0400-000006000000}">
      <formula1>DBManagement</formula1>
    </dataValidation>
    <dataValidation type="list" allowBlank="1" showInputMessage="1" showErrorMessage="1" sqref="E24:J24" xr:uid="{00000000-0002-0000-0400-000007000000}">
      <formula1>DBServiceAcct</formula1>
    </dataValidation>
    <dataValidation type="list" allowBlank="1" showInputMessage="1" showErrorMessage="1" sqref="E25:J25" xr:uid="{00000000-0002-0000-0400-000008000000}">
      <formula1>DBAudit</formula1>
    </dataValidation>
    <dataValidation type="list" allowBlank="1" showInputMessage="1" showErrorMessage="1" sqref="E26:J27" xr:uid="{00000000-0002-0000-0400-000009000000}">
      <formula1>ADMINACCESS</formula1>
    </dataValidation>
    <dataValidation type="list" allowBlank="1" showInputMessage="1" showErrorMessage="1" sqref="E28:J28" xr:uid="{00000000-0002-0000-0400-00000A000000}">
      <formula1>Patching</formula1>
    </dataValidation>
    <dataValidation type="list" allowBlank="1" showInputMessage="1" showErrorMessage="1" sqref="E29:J29" xr:uid="{00000000-0002-0000-0400-00000B000000}">
      <formula1>SPQualification</formula1>
    </dataValidation>
  </dataValidations>
  <pageMargins left="0.25" right="0.25" top="0.75" bottom="0.75" header="0.3" footer="0.3"/>
  <pageSetup paperSize="5" scale="65"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249977111117893"/>
    <pageSetUpPr fitToPage="1"/>
  </sheetPr>
  <dimension ref="A1:K37"/>
  <sheetViews>
    <sheetView workbookViewId="0">
      <selection activeCell="K17" sqref="K17"/>
    </sheetView>
  </sheetViews>
  <sheetFormatPr defaultColWidth="9.109375" defaultRowHeight="14.4" x14ac:dyDescent="0.3"/>
  <cols>
    <col min="1" max="2" width="6.44140625" style="5" customWidth="1"/>
    <col min="3" max="3" width="53" style="6" customWidth="1"/>
    <col min="4" max="4" width="9.109375" style="6"/>
    <col min="5" max="8" width="30.77734375" style="6" customWidth="1"/>
    <col min="9" max="9" width="9.109375" style="6"/>
    <col min="10" max="10" width="15.21875" style="6" customWidth="1"/>
    <col min="11" max="11" width="69.77734375" style="6" customWidth="1"/>
    <col min="12" max="16384" width="9.109375" style="6"/>
  </cols>
  <sheetData>
    <row r="1" spans="1:11" ht="15" thickBot="1" x14ac:dyDescent="0.35">
      <c r="A1" s="4"/>
      <c r="B1" s="4"/>
      <c r="C1" s="4"/>
      <c r="D1" s="4"/>
      <c r="E1" s="4"/>
      <c r="F1" s="4"/>
      <c r="G1" s="4"/>
      <c r="H1" s="4"/>
      <c r="I1" s="4"/>
    </row>
    <row r="2" spans="1:11" ht="107.25" customHeight="1" x14ac:dyDescent="0.3">
      <c r="A2" s="4"/>
      <c r="F2" s="4"/>
      <c r="G2" s="4"/>
      <c r="H2" s="4"/>
      <c r="I2" s="4"/>
      <c r="J2" s="134" t="s">
        <v>570</v>
      </c>
      <c r="K2" s="136"/>
    </row>
    <row r="3" spans="1:11" ht="18" x14ac:dyDescent="0.3">
      <c r="A3" s="4"/>
      <c r="C3" s="162" t="s">
        <v>38</v>
      </c>
      <c r="D3" s="162"/>
      <c r="E3" s="6" t="str">
        <f>DE_Analyst</f>
        <v>Bill Rowley</v>
      </c>
      <c r="F3" s="4"/>
      <c r="G3" s="4"/>
      <c r="H3" s="4"/>
      <c r="I3" s="4"/>
      <c r="J3" s="137" t="s">
        <v>574</v>
      </c>
      <c r="K3" s="138"/>
    </row>
    <row r="4" spans="1:11" ht="37.200000000000003" thickBot="1" x14ac:dyDescent="0.75">
      <c r="A4" s="4"/>
      <c r="C4" s="42" t="s">
        <v>139</v>
      </c>
      <c r="D4" s="11"/>
      <c r="E4" s="5"/>
      <c r="F4" s="4"/>
      <c r="G4" s="4"/>
      <c r="H4" s="4"/>
      <c r="I4" s="4"/>
      <c r="J4" s="150" t="s">
        <v>561</v>
      </c>
      <c r="K4" s="151" t="s">
        <v>575</v>
      </c>
    </row>
    <row r="5" spans="1:11" ht="18.600000000000001" thickBot="1" x14ac:dyDescent="0.4">
      <c r="A5" s="4"/>
      <c r="C5" s="121" t="s">
        <v>154</v>
      </c>
      <c r="D5" s="51"/>
      <c r="E5" s="5"/>
      <c r="F5" s="4"/>
      <c r="G5" s="4"/>
      <c r="H5" s="4"/>
      <c r="I5" s="4"/>
      <c r="J5" s="141"/>
      <c r="K5" s="152" t="s">
        <v>563</v>
      </c>
    </row>
    <row r="6" spans="1:11" ht="18" x14ac:dyDescent="0.35">
      <c r="A6" s="4"/>
      <c r="C6" s="122" t="s">
        <v>393</v>
      </c>
      <c r="D6" s="37"/>
      <c r="E6" s="5"/>
      <c r="F6" s="4"/>
      <c r="G6" s="4"/>
      <c r="H6" s="4"/>
      <c r="I6" s="4"/>
      <c r="J6" s="141"/>
      <c r="K6" s="152" t="s">
        <v>569</v>
      </c>
    </row>
    <row r="7" spans="1:11" ht="18" x14ac:dyDescent="0.35">
      <c r="A7" s="4"/>
      <c r="C7" s="123" t="s">
        <v>394</v>
      </c>
      <c r="D7" s="11"/>
      <c r="E7" s="5"/>
      <c r="F7" s="4"/>
      <c r="G7" s="4"/>
      <c r="H7" s="4"/>
      <c r="I7" s="4"/>
      <c r="J7" s="141"/>
      <c r="K7" s="152" t="s">
        <v>565</v>
      </c>
    </row>
    <row r="8" spans="1:11" ht="18.600000000000001" thickBot="1" x14ac:dyDescent="0.4">
      <c r="A8" s="4"/>
      <c r="C8" s="123" t="s">
        <v>397</v>
      </c>
      <c r="D8" s="11"/>
      <c r="E8" s="5"/>
      <c r="F8" s="4"/>
      <c r="G8" s="4"/>
      <c r="H8" s="4"/>
      <c r="I8" s="4"/>
      <c r="J8" s="143"/>
      <c r="K8" s="149" t="s">
        <v>566</v>
      </c>
    </row>
    <row r="9" spans="1:11" ht="17.399999999999999" x14ac:dyDescent="0.3">
      <c r="A9" s="4"/>
      <c r="B9" s="46" t="s">
        <v>140</v>
      </c>
      <c r="C9" s="46" t="s">
        <v>141</v>
      </c>
      <c r="D9" s="41"/>
      <c r="E9" s="44" t="s">
        <v>153</v>
      </c>
      <c r="F9" s="40" t="s">
        <v>150</v>
      </c>
      <c r="G9" s="40" t="s">
        <v>151</v>
      </c>
      <c r="H9" s="40" t="s">
        <v>152</v>
      </c>
      <c r="I9" s="4"/>
    </row>
    <row r="10" spans="1:11" ht="17.399999999999999" x14ac:dyDescent="0.3">
      <c r="A10" s="4"/>
      <c r="B10" s="46">
        <v>1</v>
      </c>
      <c r="C10" s="39" t="s">
        <v>142</v>
      </c>
      <c r="D10" s="10"/>
      <c r="E10" s="10"/>
      <c r="F10" s="10"/>
      <c r="G10" s="10"/>
      <c r="H10" s="10"/>
      <c r="I10" s="4"/>
    </row>
    <row r="11" spans="1:11" ht="15.9" customHeight="1" x14ac:dyDescent="0.3">
      <c r="A11" s="4"/>
      <c r="B11" s="46">
        <v>2</v>
      </c>
      <c r="C11" s="39" t="s">
        <v>143</v>
      </c>
      <c r="D11" s="10"/>
      <c r="E11" s="10"/>
      <c r="F11" s="10"/>
      <c r="G11" s="10"/>
      <c r="H11" s="10"/>
      <c r="I11" s="4"/>
    </row>
    <row r="12" spans="1:11" ht="17.399999999999999" x14ac:dyDescent="0.3">
      <c r="A12" s="4"/>
      <c r="B12" s="46">
        <v>3</v>
      </c>
      <c r="C12" s="39" t="s">
        <v>144</v>
      </c>
      <c r="D12" s="10"/>
      <c r="E12" s="10"/>
      <c r="F12" s="10"/>
      <c r="G12" s="10"/>
      <c r="H12" s="10"/>
      <c r="I12" s="4"/>
    </row>
    <row r="13" spans="1:11" ht="17.399999999999999" x14ac:dyDescent="0.3">
      <c r="A13" s="4"/>
      <c r="B13" s="74">
        <v>4</v>
      </c>
      <c r="C13" s="39" t="s">
        <v>398</v>
      </c>
      <c r="D13" s="10"/>
      <c r="E13" s="10"/>
      <c r="F13" s="10"/>
      <c r="G13" s="10"/>
      <c r="H13" s="10"/>
      <c r="I13" s="4"/>
    </row>
    <row r="14" spans="1:11" ht="17.399999999999999" x14ac:dyDescent="0.3">
      <c r="A14" s="4"/>
      <c r="B14" s="46">
        <v>5</v>
      </c>
      <c r="C14" s="39" t="s">
        <v>145</v>
      </c>
      <c r="D14" s="10"/>
      <c r="E14" s="10"/>
      <c r="F14" s="10"/>
      <c r="G14" s="10"/>
      <c r="H14" s="10"/>
      <c r="I14" s="4"/>
    </row>
    <row r="15" spans="1:11" ht="15.9" customHeight="1" x14ac:dyDescent="0.3">
      <c r="A15" s="4"/>
      <c r="B15" s="46">
        <v>6</v>
      </c>
      <c r="C15" s="39" t="s">
        <v>146</v>
      </c>
      <c r="D15" s="10"/>
      <c r="E15" s="10"/>
      <c r="F15" s="10"/>
      <c r="G15" s="10"/>
      <c r="H15" s="10"/>
      <c r="I15" s="4"/>
    </row>
    <row r="16" spans="1:11" ht="28.8" x14ac:dyDescent="0.3">
      <c r="A16" s="4"/>
      <c r="B16" s="46">
        <v>7</v>
      </c>
      <c r="C16" s="39" t="s">
        <v>396</v>
      </c>
      <c r="D16" s="10"/>
      <c r="E16" s="10"/>
      <c r="F16" s="10"/>
      <c r="G16" s="10"/>
      <c r="H16" s="10"/>
      <c r="I16" s="4"/>
    </row>
    <row r="17" spans="1:9" ht="28.8" x14ac:dyDescent="0.3">
      <c r="A17" s="4"/>
      <c r="B17" s="46">
        <v>8</v>
      </c>
      <c r="C17" s="39" t="s">
        <v>147</v>
      </c>
      <c r="D17" s="10"/>
      <c r="E17" s="10"/>
      <c r="F17" s="10"/>
      <c r="G17" s="10"/>
      <c r="H17" s="10"/>
      <c r="I17" s="4"/>
    </row>
    <row r="18" spans="1:9" ht="28.8" x14ac:dyDescent="0.3">
      <c r="A18" s="4"/>
      <c r="B18" s="46">
        <v>9</v>
      </c>
      <c r="C18" s="39" t="s">
        <v>148</v>
      </c>
      <c r="D18" s="10"/>
      <c r="E18" s="10"/>
      <c r="F18" s="10"/>
      <c r="G18" s="10"/>
      <c r="H18" s="10"/>
      <c r="I18" s="4"/>
    </row>
    <row r="19" spans="1:9" ht="15.9" customHeight="1" x14ac:dyDescent="0.3">
      <c r="A19" s="4"/>
      <c r="B19" s="46">
        <v>10</v>
      </c>
      <c r="C19" s="39" t="s">
        <v>149</v>
      </c>
      <c r="D19" s="10"/>
      <c r="E19" s="10"/>
      <c r="F19" s="10"/>
      <c r="G19" s="10"/>
      <c r="H19" s="10"/>
      <c r="I19" s="4"/>
    </row>
    <row r="20" spans="1:9" ht="15.9" customHeight="1" x14ac:dyDescent="0.3">
      <c r="A20" s="4"/>
      <c r="B20" s="119">
        <v>11</v>
      </c>
      <c r="C20" s="39" t="s">
        <v>392</v>
      </c>
      <c r="D20" s="120"/>
      <c r="E20" s="10"/>
      <c r="F20" s="10"/>
      <c r="G20" s="10"/>
      <c r="H20" s="10"/>
      <c r="I20" s="4"/>
    </row>
    <row r="21" spans="1:9" ht="17.399999999999999" x14ac:dyDescent="0.3">
      <c r="A21" s="4"/>
      <c r="B21" s="52"/>
      <c r="C21" s="53"/>
      <c r="D21" s="54"/>
      <c r="E21" s="40" t="s">
        <v>22</v>
      </c>
      <c r="F21" s="40" t="s">
        <v>22</v>
      </c>
      <c r="G21" s="40" t="s">
        <v>22</v>
      </c>
      <c r="H21" s="40" t="s">
        <v>22</v>
      </c>
      <c r="I21" s="4"/>
    </row>
    <row r="22" spans="1:9" ht="70.5" customHeight="1" x14ac:dyDescent="0.3">
      <c r="A22" s="4"/>
      <c r="B22" s="55"/>
      <c r="C22" s="56"/>
      <c r="D22" s="57"/>
      <c r="E22" s="10"/>
      <c r="F22" s="10"/>
      <c r="G22" s="10"/>
      <c r="H22" s="10"/>
      <c r="I22" s="4"/>
    </row>
    <row r="23" spans="1:9" ht="17.399999999999999" x14ac:dyDescent="0.3">
      <c r="A23" s="4"/>
      <c r="B23" s="46" t="s">
        <v>140</v>
      </c>
      <c r="C23" s="46" t="s">
        <v>156</v>
      </c>
      <c r="D23" s="46"/>
      <c r="E23" s="44" t="s">
        <v>157</v>
      </c>
      <c r="F23" s="44" t="s">
        <v>158</v>
      </c>
      <c r="G23" s="44" t="s">
        <v>159</v>
      </c>
      <c r="H23" s="44" t="s">
        <v>160</v>
      </c>
      <c r="I23" s="4"/>
    </row>
    <row r="24" spans="1:9" ht="17.399999999999999" x14ac:dyDescent="0.3">
      <c r="A24" s="4"/>
      <c r="B24" s="46">
        <v>1</v>
      </c>
      <c r="C24" s="39" t="s">
        <v>142</v>
      </c>
      <c r="D24" s="10"/>
      <c r="E24" s="10"/>
      <c r="F24" s="10"/>
      <c r="G24" s="10"/>
      <c r="H24" s="10"/>
      <c r="I24" s="4"/>
    </row>
    <row r="25" spans="1:9" ht="17.399999999999999" x14ac:dyDescent="0.3">
      <c r="A25" s="4"/>
      <c r="B25" s="46">
        <v>2</v>
      </c>
      <c r="C25" s="39" t="s">
        <v>143</v>
      </c>
      <c r="D25" s="10"/>
      <c r="E25" s="10"/>
      <c r="F25" s="10"/>
      <c r="G25" s="10"/>
      <c r="H25" s="10"/>
      <c r="I25" s="4"/>
    </row>
    <row r="26" spans="1:9" ht="17.399999999999999" x14ac:dyDescent="0.3">
      <c r="A26" s="4"/>
      <c r="B26" s="46">
        <v>3</v>
      </c>
      <c r="C26" s="39" t="s">
        <v>144</v>
      </c>
      <c r="D26" s="10"/>
      <c r="E26" s="10"/>
      <c r="F26" s="10"/>
      <c r="G26" s="10"/>
      <c r="H26" s="10"/>
      <c r="I26" s="4"/>
    </row>
    <row r="27" spans="1:9" ht="17.399999999999999" x14ac:dyDescent="0.3">
      <c r="A27" s="4"/>
      <c r="B27" s="74">
        <v>4</v>
      </c>
      <c r="C27" s="39" t="s">
        <v>398</v>
      </c>
      <c r="D27" s="10"/>
      <c r="E27" s="10"/>
      <c r="F27" s="10"/>
      <c r="G27" s="10"/>
      <c r="H27" s="10"/>
      <c r="I27" s="4"/>
    </row>
    <row r="28" spans="1:9" ht="17.399999999999999" x14ac:dyDescent="0.3">
      <c r="A28" s="4"/>
      <c r="B28" s="46">
        <v>5</v>
      </c>
      <c r="C28" s="39" t="s">
        <v>395</v>
      </c>
      <c r="D28" s="10"/>
      <c r="E28" s="10"/>
      <c r="F28" s="10"/>
      <c r="G28" s="10"/>
      <c r="H28" s="10"/>
      <c r="I28" s="4"/>
    </row>
    <row r="29" spans="1:9" ht="17.399999999999999" x14ac:dyDescent="0.3">
      <c r="A29" s="4"/>
      <c r="B29" s="46">
        <v>6</v>
      </c>
      <c r="C29" s="39" t="s">
        <v>146</v>
      </c>
      <c r="D29" s="10"/>
      <c r="E29" s="10"/>
      <c r="F29" s="10"/>
      <c r="G29" s="10"/>
      <c r="H29" s="10"/>
      <c r="I29" s="4"/>
    </row>
    <row r="30" spans="1:9" ht="28.8" x14ac:dyDescent="0.3">
      <c r="A30" s="4"/>
      <c r="B30" s="46">
        <v>7</v>
      </c>
      <c r="C30" s="39" t="s">
        <v>396</v>
      </c>
      <c r="D30" s="10"/>
      <c r="E30" s="10"/>
      <c r="F30" s="10"/>
      <c r="G30" s="10"/>
      <c r="H30" s="10"/>
      <c r="I30" s="4"/>
    </row>
    <row r="31" spans="1:9" ht="28.8" x14ac:dyDescent="0.3">
      <c r="A31" s="4"/>
      <c r="B31" s="46">
        <v>8</v>
      </c>
      <c r="C31" s="39" t="s">
        <v>147</v>
      </c>
      <c r="D31" s="10"/>
      <c r="E31" s="10"/>
      <c r="F31" s="10"/>
      <c r="G31" s="10"/>
      <c r="H31" s="10"/>
      <c r="I31" s="4"/>
    </row>
    <row r="32" spans="1:9" ht="28.8" x14ac:dyDescent="0.3">
      <c r="A32" s="4"/>
      <c r="B32" s="46">
        <v>9</v>
      </c>
      <c r="C32" s="39" t="s">
        <v>148</v>
      </c>
      <c r="D32" s="10"/>
      <c r="E32" s="10"/>
      <c r="F32" s="10"/>
      <c r="G32" s="10"/>
      <c r="H32" s="10"/>
      <c r="I32" s="4"/>
    </row>
    <row r="33" spans="1:9" ht="17.399999999999999" x14ac:dyDescent="0.3">
      <c r="A33" s="4"/>
      <c r="B33" s="46">
        <v>10</v>
      </c>
      <c r="C33" s="39" t="s">
        <v>149</v>
      </c>
      <c r="D33" s="10"/>
      <c r="E33" s="10"/>
      <c r="F33" s="10"/>
      <c r="G33" s="10"/>
      <c r="H33" s="10"/>
      <c r="I33" s="4"/>
    </row>
    <row r="34" spans="1:9" ht="17.399999999999999" x14ac:dyDescent="0.3">
      <c r="A34" s="4"/>
      <c r="B34" s="119">
        <v>11</v>
      </c>
      <c r="C34" s="39" t="s">
        <v>392</v>
      </c>
      <c r="D34" s="120"/>
      <c r="E34" s="10"/>
      <c r="F34" s="10"/>
      <c r="G34" s="10"/>
      <c r="H34" s="10"/>
      <c r="I34" s="4"/>
    </row>
    <row r="35" spans="1:9" ht="17.399999999999999" x14ac:dyDescent="0.3">
      <c r="A35" s="4"/>
      <c r="B35" s="52"/>
      <c r="C35" s="53"/>
      <c r="D35" s="54"/>
      <c r="E35" s="44" t="s">
        <v>22</v>
      </c>
      <c r="F35" s="44" t="s">
        <v>22</v>
      </c>
      <c r="G35" s="44" t="s">
        <v>22</v>
      </c>
      <c r="H35" s="44" t="s">
        <v>22</v>
      </c>
      <c r="I35" s="4"/>
    </row>
    <row r="36" spans="1:9" ht="70.5" customHeight="1" x14ac:dyDescent="0.3">
      <c r="A36" s="4"/>
      <c r="B36" s="58"/>
      <c r="C36" s="4"/>
      <c r="D36" s="59"/>
      <c r="E36" s="10"/>
      <c r="F36" s="10"/>
      <c r="G36" s="10"/>
      <c r="H36" s="10"/>
      <c r="I36" s="4"/>
    </row>
    <row r="37" spans="1:9" x14ac:dyDescent="0.3">
      <c r="A37" s="4"/>
      <c r="B37" s="4"/>
      <c r="C37" s="4"/>
      <c r="D37" s="4"/>
      <c r="E37" s="4"/>
      <c r="F37" s="4"/>
      <c r="G37" s="4"/>
      <c r="H37" s="4"/>
      <c r="I37" s="4"/>
    </row>
  </sheetData>
  <mergeCells count="1">
    <mergeCell ref="C3:D3"/>
  </mergeCells>
  <dataValidations count="6">
    <dataValidation type="list" allowBlank="1" showInputMessage="1" showErrorMessage="1" sqref="E10:H10 E24:H24" xr:uid="{00000000-0002-0000-0500-000000000000}">
      <formula1>IFACE_data</formula1>
    </dataValidation>
    <dataValidation type="list" allowBlank="1" showInputMessage="1" showErrorMessage="1" sqref="E11:H11 E25:H25" xr:uid="{00000000-0002-0000-0500-000001000000}">
      <formula1>IFACE_Freq</formula1>
    </dataValidation>
    <dataValidation type="list" allowBlank="1" showInputMessage="1" showErrorMessage="1" sqref="E12:H12 E26:H26" xr:uid="{00000000-0002-0000-0500-000002000000}">
      <formula1>IFACE_Format</formula1>
    </dataValidation>
    <dataValidation type="list" allowBlank="1" showInputMessage="1" showErrorMessage="1" sqref="E13:H13 E19:H19 E27:H27 E33:H33" xr:uid="{00000000-0002-0000-0500-000003000000}">
      <formula1>YESNO</formula1>
    </dataValidation>
    <dataValidation type="list" allowBlank="1" showInputMessage="1" showErrorMessage="1" sqref="E14:H14 E28:H28" xr:uid="{00000000-0002-0000-0500-000004000000}">
      <formula1>IFACE_Applist</formula1>
    </dataValidation>
    <dataValidation type="list" allowBlank="1" showInputMessage="1" showErrorMessage="1" sqref="E15:H15 E29:H29" xr:uid="{00000000-0002-0000-0500-000005000000}">
      <formula1>IFACE_Transport</formula1>
    </dataValidation>
  </dataValidations>
  <pageMargins left="0.25" right="0.25" top="0.75" bottom="0.75" header="0.3" footer="0.3"/>
  <pageSetup paperSize="5" scale="84"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pageSetUpPr fitToPage="1"/>
  </sheetPr>
  <dimension ref="A1:L36"/>
  <sheetViews>
    <sheetView workbookViewId="0">
      <selection activeCell="G11" sqref="G11"/>
    </sheetView>
  </sheetViews>
  <sheetFormatPr defaultColWidth="9.109375" defaultRowHeight="14.4" x14ac:dyDescent="0.3"/>
  <cols>
    <col min="1" max="2" width="6.44140625" style="5" customWidth="1"/>
    <col min="3" max="3" width="61.44140625" style="6" customWidth="1"/>
    <col min="4" max="5" width="50.77734375" style="6" customWidth="1"/>
    <col min="6" max="6" width="10.77734375" style="5" customWidth="1"/>
    <col min="7" max="7" width="20.5546875" style="5" customWidth="1"/>
    <col min="8" max="8" width="76.77734375" style="5" customWidth="1"/>
    <col min="9" max="9" width="50.77734375" style="5" customWidth="1"/>
    <col min="10" max="12" width="9.109375" style="5"/>
    <col min="13" max="16384" width="9.109375" style="6"/>
  </cols>
  <sheetData>
    <row r="1" spans="1:9" ht="15" thickBot="1" x14ac:dyDescent="0.35">
      <c r="A1" s="4"/>
      <c r="B1" s="4"/>
      <c r="C1" s="4"/>
      <c r="D1" s="4"/>
      <c r="E1" s="4"/>
      <c r="F1" s="4"/>
    </row>
    <row r="2" spans="1:9" ht="107.25" customHeight="1" x14ac:dyDescent="0.3">
      <c r="A2" s="4"/>
      <c r="F2" s="4"/>
      <c r="G2" s="153" t="s">
        <v>570</v>
      </c>
      <c r="H2" s="154"/>
    </row>
    <row r="3" spans="1:9" ht="18" x14ac:dyDescent="0.3">
      <c r="A3" s="4"/>
      <c r="C3" s="15" t="s">
        <v>38</v>
      </c>
      <c r="D3" s="27" t="str">
        <f>Desktop_Engineer</f>
        <v>Ryan Dallas</v>
      </c>
      <c r="F3" s="4"/>
      <c r="G3" s="137" t="s">
        <v>576</v>
      </c>
      <c r="H3" s="138"/>
    </row>
    <row r="4" spans="1:9" ht="37.200000000000003" thickBot="1" x14ac:dyDescent="0.75">
      <c r="A4" s="4"/>
      <c r="C4" s="7" t="s">
        <v>162</v>
      </c>
      <c r="D4" s="7"/>
      <c r="E4" s="27"/>
      <c r="F4" s="4"/>
      <c r="G4" s="139" t="s">
        <v>561</v>
      </c>
      <c r="H4" s="151" t="s">
        <v>568</v>
      </c>
    </row>
    <row r="5" spans="1:9" s="5" customFormat="1" ht="18.600000000000001" thickBot="1" x14ac:dyDescent="0.4">
      <c r="A5" s="4"/>
      <c r="C5" s="62" t="s">
        <v>155</v>
      </c>
      <c r="D5" s="61"/>
      <c r="E5" s="60"/>
      <c r="F5" s="4"/>
      <c r="G5" s="155"/>
      <c r="H5" s="152" t="s">
        <v>563</v>
      </c>
    </row>
    <row r="6" spans="1:9" ht="17.399999999999999" x14ac:dyDescent="0.3">
      <c r="A6" s="4"/>
      <c r="B6" s="44" t="s">
        <v>140</v>
      </c>
      <c r="C6" s="18" t="s">
        <v>163</v>
      </c>
      <c r="D6" s="44" t="s">
        <v>73</v>
      </c>
      <c r="E6" s="44" t="s">
        <v>22</v>
      </c>
      <c r="F6" s="47"/>
      <c r="G6" s="155"/>
      <c r="H6" s="152" t="s">
        <v>569</v>
      </c>
      <c r="I6" s="14"/>
    </row>
    <row r="7" spans="1:9" s="5" customFormat="1" ht="15.6" x14ac:dyDescent="0.3">
      <c r="A7" s="4"/>
      <c r="B7" s="45"/>
      <c r="C7" s="68" t="s">
        <v>175</v>
      </c>
      <c r="D7" s="128" t="s">
        <v>559</v>
      </c>
      <c r="E7" s="68"/>
      <c r="F7" s="4"/>
      <c r="G7" s="155"/>
      <c r="H7" s="152" t="s">
        <v>565</v>
      </c>
    </row>
    <row r="8" spans="1:9" s="5" customFormat="1" ht="18.75" customHeight="1" thickBot="1" x14ac:dyDescent="0.35">
      <c r="A8" s="4"/>
      <c r="B8" s="45">
        <v>1</v>
      </c>
      <c r="C8" s="67" t="s">
        <v>176</v>
      </c>
      <c r="D8" s="67"/>
      <c r="E8" s="67"/>
      <c r="F8" s="4"/>
      <c r="G8" s="156"/>
      <c r="H8" s="149" t="s">
        <v>566</v>
      </c>
    </row>
    <row r="9" spans="1:9" s="5" customFormat="1" ht="18.75" customHeight="1" x14ac:dyDescent="0.3">
      <c r="A9" s="4"/>
      <c r="B9" s="45">
        <f>SUM(B8+1)</f>
        <v>2</v>
      </c>
      <c r="C9" s="67" t="s">
        <v>177</v>
      </c>
      <c r="D9" s="67"/>
      <c r="E9" s="67"/>
      <c r="F9" s="4"/>
      <c r="G9" s="133"/>
      <c r="H9"/>
    </row>
    <row r="10" spans="1:9" s="5" customFormat="1" ht="36" customHeight="1" x14ac:dyDescent="0.3">
      <c r="A10" s="4"/>
      <c r="B10" s="64">
        <f>SUM(B9+1)</f>
        <v>3</v>
      </c>
      <c r="C10" s="67" t="s">
        <v>178</v>
      </c>
      <c r="D10" s="67"/>
      <c r="E10" s="67"/>
      <c r="F10" s="4"/>
    </row>
    <row r="11" spans="1:9" s="5" customFormat="1" ht="28.8" x14ac:dyDescent="0.3">
      <c r="A11" s="4"/>
      <c r="B11" s="64">
        <f>SUM(B10+1)</f>
        <v>4</v>
      </c>
      <c r="C11" s="67" t="s">
        <v>179</v>
      </c>
      <c r="D11" s="67"/>
      <c r="E11" s="67"/>
      <c r="F11" s="4"/>
    </row>
    <row r="12" spans="1:9" s="5" customFormat="1" ht="28.8" x14ac:dyDescent="0.3">
      <c r="A12" s="4"/>
      <c r="B12" s="64">
        <f>SUM(B11+1)</f>
        <v>5</v>
      </c>
      <c r="C12" s="67" t="s">
        <v>180</v>
      </c>
      <c r="D12" s="67"/>
      <c r="E12" s="67"/>
      <c r="F12" s="4"/>
    </row>
    <row r="13" spans="1:9" s="5" customFormat="1" ht="15.9" customHeight="1" x14ac:dyDescent="0.3">
      <c r="A13" s="4"/>
      <c r="B13" s="45"/>
      <c r="C13" s="50" t="s">
        <v>164</v>
      </c>
      <c r="D13" s="50" t="s">
        <v>189</v>
      </c>
      <c r="E13" s="50"/>
      <c r="F13" s="4"/>
    </row>
    <row r="14" spans="1:9" ht="15.9" customHeight="1" x14ac:dyDescent="0.3">
      <c r="A14" s="4"/>
      <c r="B14" s="45">
        <f>SUM(B12+1)</f>
        <v>6</v>
      </c>
      <c r="C14" s="48" t="s">
        <v>12</v>
      </c>
      <c r="D14" s="48"/>
      <c r="E14" s="48"/>
      <c r="F14" s="4"/>
    </row>
    <row r="15" spans="1:9" ht="15.9" customHeight="1" x14ac:dyDescent="0.3">
      <c r="A15" s="4"/>
      <c r="B15" s="64">
        <f t="shared" ref="B15:B19" si="0">SUM(B14+1)</f>
        <v>7</v>
      </c>
      <c r="C15" s="48" t="s">
        <v>13</v>
      </c>
      <c r="D15" s="48"/>
      <c r="E15" s="48"/>
      <c r="F15" s="4"/>
    </row>
    <row r="16" spans="1:9" ht="15.9" customHeight="1" x14ac:dyDescent="0.3">
      <c r="A16" s="4"/>
      <c r="B16" s="64">
        <f t="shared" si="0"/>
        <v>8</v>
      </c>
      <c r="C16" s="48" t="s">
        <v>14</v>
      </c>
      <c r="D16" s="118"/>
      <c r="E16" s="48"/>
      <c r="F16" s="4"/>
    </row>
    <row r="17" spans="1:12" ht="15.9" customHeight="1" x14ac:dyDescent="0.3">
      <c r="A17" s="4"/>
      <c r="B17" s="64">
        <f t="shared" si="0"/>
        <v>9</v>
      </c>
      <c r="C17" s="48" t="s">
        <v>15</v>
      </c>
      <c r="D17" s="118"/>
      <c r="E17" s="48"/>
      <c r="F17" s="4"/>
    </row>
    <row r="18" spans="1:12" ht="18.75" customHeight="1" x14ac:dyDescent="0.3">
      <c r="A18" s="4"/>
      <c r="B18" s="64">
        <f t="shared" si="0"/>
        <v>10</v>
      </c>
      <c r="C18" s="48" t="s">
        <v>165</v>
      </c>
      <c r="D18" s="48"/>
      <c r="E18" s="129"/>
      <c r="F18" s="47"/>
      <c r="G18" s="14"/>
      <c r="H18" s="14"/>
      <c r="I18" s="14"/>
    </row>
    <row r="19" spans="1:12" ht="15.9" customHeight="1" x14ac:dyDescent="0.3">
      <c r="A19" s="4"/>
      <c r="B19" s="64">
        <f t="shared" si="0"/>
        <v>11</v>
      </c>
      <c r="C19" s="48" t="s">
        <v>166</v>
      </c>
      <c r="D19" s="48"/>
      <c r="E19" s="129"/>
      <c r="F19" s="4"/>
    </row>
    <row r="20" spans="1:12" x14ac:dyDescent="0.3">
      <c r="A20" s="4"/>
      <c r="B20" s="45"/>
      <c r="C20" s="68" t="s">
        <v>167</v>
      </c>
      <c r="D20" s="68" t="s">
        <v>189</v>
      </c>
      <c r="E20" s="68"/>
      <c r="F20" s="4"/>
    </row>
    <row r="21" spans="1:12" ht="28.5" customHeight="1" x14ac:dyDescent="0.3">
      <c r="A21" s="4"/>
      <c r="B21" s="64">
        <f>SUM(B19+1)</f>
        <v>12</v>
      </c>
      <c r="C21" s="48" t="s">
        <v>168</v>
      </c>
      <c r="D21" s="118"/>
      <c r="E21" s="48"/>
      <c r="F21" s="4"/>
    </row>
    <row r="22" spans="1:12" s="8" customFormat="1" ht="31.5" customHeight="1" x14ac:dyDescent="0.3">
      <c r="A22" s="9"/>
      <c r="B22" s="64">
        <f t="shared" ref="B22:B27" si="1">SUM(B21+1)</f>
        <v>13</v>
      </c>
      <c r="C22" s="48" t="s">
        <v>169</v>
      </c>
      <c r="D22" s="118"/>
      <c r="E22" s="48"/>
      <c r="F22" s="9"/>
      <c r="G22" s="13"/>
      <c r="H22" s="13"/>
      <c r="I22" s="13"/>
      <c r="J22" s="13"/>
      <c r="K22" s="13"/>
      <c r="L22" s="13"/>
    </row>
    <row r="23" spans="1:12" ht="28.8" x14ac:dyDescent="0.3">
      <c r="A23" s="4"/>
      <c r="B23" s="64">
        <f t="shared" si="1"/>
        <v>14</v>
      </c>
      <c r="C23" s="66" t="s">
        <v>170</v>
      </c>
      <c r="D23" s="118"/>
      <c r="E23" s="66"/>
      <c r="F23" s="4"/>
    </row>
    <row r="24" spans="1:12" s="5" customFormat="1" ht="28.8" x14ac:dyDescent="0.3">
      <c r="A24" s="4"/>
      <c r="B24" s="64">
        <f t="shared" si="1"/>
        <v>15</v>
      </c>
      <c r="C24" s="66" t="s">
        <v>171</v>
      </c>
      <c r="D24" s="118"/>
      <c r="E24" s="129"/>
      <c r="F24" s="4"/>
    </row>
    <row r="25" spans="1:12" s="5" customFormat="1" x14ac:dyDescent="0.3">
      <c r="A25" s="4"/>
      <c r="B25" s="64">
        <f t="shared" si="1"/>
        <v>16</v>
      </c>
      <c r="C25" s="67" t="s">
        <v>172</v>
      </c>
      <c r="D25" s="118"/>
      <c r="E25" s="78"/>
      <c r="F25" s="4"/>
    </row>
    <row r="26" spans="1:12" s="5" customFormat="1" ht="50.25" customHeight="1" x14ac:dyDescent="0.3">
      <c r="A26" s="4"/>
      <c r="B26" s="64">
        <f t="shared" si="1"/>
        <v>17</v>
      </c>
      <c r="C26" s="67" t="s">
        <v>173</v>
      </c>
      <c r="D26" s="118"/>
      <c r="E26" s="67"/>
      <c r="F26" s="4"/>
    </row>
    <row r="27" spans="1:12" s="5" customFormat="1" ht="46.5" customHeight="1" x14ac:dyDescent="0.3">
      <c r="A27" s="4"/>
      <c r="B27" s="64">
        <f t="shared" si="1"/>
        <v>18</v>
      </c>
      <c r="C27" s="67" t="s">
        <v>174</v>
      </c>
      <c r="D27" s="118"/>
      <c r="E27" s="67"/>
      <c r="F27" s="4"/>
    </row>
    <row r="28" spans="1:12" s="5" customFormat="1" ht="18.75" customHeight="1" x14ac:dyDescent="0.3">
      <c r="A28" s="4"/>
      <c r="B28" s="45"/>
      <c r="C28" s="68" t="s">
        <v>181</v>
      </c>
      <c r="D28" s="68" t="s">
        <v>189</v>
      </c>
      <c r="E28" s="68"/>
      <c r="F28" s="4"/>
    </row>
    <row r="29" spans="1:12" s="5" customFormat="1" ht="28.8" x14ac:dyDescent="0.3">
      <c r="A29" s="4"/>
      <c r="B29" s="64">
        <f>SUM(B27+1)</f>
        <v>19</v>
      </c>
      <c r="C29" s="67" t="s">
        <v>182</v>
      </c>
      <c r="D29" s="67"/>
      <c r="E29" s="67"/>
      <c r="F29" s="4"/>
    </row>
    <row r="30" spans="1:12" s="5" customFormat="1" ht="28.8" x14ac:dyDescent="0.3">
      <c r="A30" s="4"/>
      <c r="B30" s="64">
        <f t="shared" ref="B30:B35" si="2">SUM(B29+1)</f>
        <v>20</v>
      </c>
      <c r="C30" s="67" t="s">
        <v>183</v>
      </c>
      <c r="D30" s="78"/>
      <c r="E30" s="67"/>
      <c r="F30" s="4"/>
    </row>
    <row r="31" spans="1:12" s="5" customFormat="1" ht="30.75" customHeight="1" x14ac:dyDescent="0.3">
      <c r="A31" s="4"/>
      <c r="B31" s="64">
        <f t="shared" si="2"/>
        <v>21</v>
      </c>
      <c r="C31" s="48" t="s">
        <v>184</v>
      </c>
      <c r="D31" s="78"/>
      <c r="E31" s="49"/>
      <c r="F31" s="4"/>
    </row>
    <row r="32" spans="1:12" s="5" customFormat="1" x14ac:dyDescent="0.3">
      <c r="A32" s="4"/>
      <c r="B32" s="64"/>
      <c r="C32" s="68" t="s">
        <v>185</v>
      </c>
      <c r="D32" s="68" t="s">
        <v>189</v>
      </c>
      <c r="E32" s="68"/>
      <c r="F32" s="4"/>
    </row>
    <row r="33" spans="1:6" s="5" customFormat="1" ht="31.5" customHeight="1" x14ac:dyDescent="0.3">
      <c r="A33" s="4"/>
      <c r="B33" s="64">
        <f>SUM(B31+1)</f>
        <v>22</v>
      </c>
      <c r="C33" s="48" t="s">
        <v>186</v>
      </c>
      <c r="D33" s="118"/>
      <c r="E33" s="49"/>
      <c r="F33" s="4"/>
    </row>
    <row r="34" spans="1:6" s="5" customFormat="1" ht="33" customHeight="1" x14ac:dyDescent="0.3">
      <c r="A34" s="4"/>
      <c r="B34" s="64">
        <f t="shared" si="2"/>
        <v>23</v>
      </c>
      <c r="C34" s="48" t="s">
        <v>187</v>
      </c>
      <c r="D34" s="118"/>
      <c r="E34" s="49"/>
      <c r="F34" s="4"/>
    </row>
    <row r="35" spans="1:6" s="5" customFormat="1" ht="45.75" customHeight="1" x14ac:dyDescent="0.3">
      <c r="A35" s="4"/>
      <c r="B35" s="64">
        <f t="shared" si="2"/>
        <v>24</v>
      </c>
      <c r="C35" s="48" t="s">
        <v>188</v>
      </c>
      <c r="D35" s="118"/>
      <c r="E35" s="49"/>
      <c r="F35" s="4"/>
    </row>
    <row r="36" spans="1:6" s="5" customFormat="1" x14ac:dyDescent="0.3">
      <c r="A36" s="4"/>
      <c r="B36" s="4"/>
      <c r="C36" s="4"/>
      <c r="D36" s="4"/>
      <c r="E36" s="4"/>
      <c r="F36" s="4"/>
    </row>
  </sheetData>
  <dataValidations count="7">
    <dataValidation type="list" allowBlank="1" showInputMessage="1" showErrorMessage="1" sqref="D8 D12 D29:D31" xr:uid="{00000000-0002-0000-0600-000000000000}">
      <formula1>YESEXPLAIN</formula1>
    </dataValidation>
    <dataValidation type="list" allowBlank="1" showInputMessage="1" showErrorMessage="1" sqref="D9" xr:uid="{00000000-0002-0000-0600-000001000000}">
      <formula1>IEVERSION</formula1>
    </dataValidation>
    <dataValidation type="list" allowBlank="1" showInputMessage="1" showErrorMessage="1" sqref="D10" xr:uid="{00000000-0002-0000-0600-000002000000}">
      <formula1>timeline</formula1>
    </dataValidation>
    <dataValidation type="list" allowBlank="1" showInputMessage="1" showErrorMessage="1" sqref="D11 D19 D21:D27 D33:D35" xr:uid="{00000000-0002-0000-0600-000003000000}">
      <formula1>NOEXPLAIN</formula1>
    </dataValidation>
    <dataValidation type="list" allowBlank="1" showInputMessage="1" showErrorMessage="1" sqref="D14 D16" xr:uid="{00000000-0002-0000-0600-000004000000}">
      <formula1>CPU</formula1>
    </dataValidation>
    <dataValidation type="list" allowBlank="1" showInputMessage="1" showErrorMessage="1" sqref="D15 D17" xr:uid="{00000000-0002-0000-0600-000005000000}">
      <formula1>RAM</formula1>
    </dataValidation>
    <dataValidation type="list" allowBlank="1" showInputMessage="1" showErrorMessage="1" sqref="D18" xr:uid="{00000000-0002-0000-0600-000006000000}">
      <formula1>Clienthardware</formula1>
    </dataValidation>
  </dataValidations>
  <pageMargins left="0.25" right="0.25" top="0.75" bottom="0.75" header="0.3" footer="0.3"/>
  <pageSetup scale="36"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1:M16"/>
  <sheetViews>
    <sheetView workbookViewId="0">
      <selection activeCell="A2" sqref="A2"/>
    </sheetView>
  </sheetViews>
  <sheetFormatPr defaultColWidth="9.109375" defaultRowHeight="14.4" x14ac:dyDescent="0.3"/>
  <cols>
    <col min="1" max="2" width="6.44140625" style="5" customWidth="1"/>
    <col min="3" max="3" width="61.44140625" style="6" customWidth="1"/>
    <col min="4" max="5" width="50.77734375" style="6" customWidth="1"/>
    <col min="6" max="7" width="10.77734375" style="5" customWidth="1"/>
    <col min="8" max="8" width="18.77734375" style="5" customWidth="1"/>
    <col min="9" max="9" width="84.21875" style="5" customWidth="1"/>
    <col min="10" max="10" width="50.77734375" style="5" customWidth="1"/>
    <col min="11" max="13" width="9.109375" style="5"/>
    <col min="14" max="16384" width="9.109375" style="6"/>
  </cols>
  <sheetData>
    <row r="1" spans="1:10" ht="15" thickBot="1" x14ac:dyDescent="0.35">
      <c r="A1" s="4"/>
      <c r="B1" s="4"/>
      <c r="C1" s="4"/>
      <c r="D1" s="4"/>
      <c r="E1" s="4"/>
      <c r="F1" s="4"/>
      <c r="G1" s="4"/>
    </row>
    <row r="2" spans="1:10" ht="107.25" customHeight="1" x14ac:dyDescent="0.3">
      <c r="A2" s="4"/>
      <c r="F2" s="4"/>
      <c r="G2" s="4"/>
      <c r="H2" s="153" t="s">
        <v>570</v>
      </c>
      <c r="I2" s="154"/>
    </row>
    <row r="3" spans="1:10" ht="18" x14ac:dyDescent="0.3">
      <c r="A3" s="4"/>
      <c r="C3" s="15" t="s">
        <v>38</v>
      </c>
      <c r="D3" s="27" t="str">
        <f>Network_Engineer</f>
        <v>Joe Collins</v>
      </c>
      <c r="F3" s="4"/>
      <c r="G3" s="4"/>
      <c r="H3" s="137" t="s">
        <v>577</v>
      </c>
      <c r="I3" s="138"/>
    </row>
    <row r="4" spans="1:10" ht="36.6" x14ac:dyDescent="0.7">
      <c r="A4" s="4"/>
      <c r="C4" s="7" t="s">
        <v>190</v>
      </c>
      <c r="D4" s="7"/>
      <c r="E4" s="27"/>
      <c r="F4" s="4"/>
      <c r="G4" s="4"/>
      <c r="H4" s="139" t="s">
        <v>561</v>
      </c>
      <c r="I4" s="151" t="s">
        <v>578</v>
      </c>
    </row>
    <row r="5" spans="1:10" s="5" customFormat="1" ht="17.399999999999999" x14ac:dyDescent="0.3">
      <c r="A5" s="4"/>
      <c r="B5" s="63" t="s">
        <v>140</v>
      </c>
      <c r="C5" s="18" t="s">
        <v>163</v>
      </c>
      <c r="D5" s="63" t="s">
        <v>73</v>
      </c>
      <c r="E5" s="63" t="s">
        <v>22</v>
      </c>
      <c r="F5" s="65"/>
      <c r="G5" s="65"/>
      <c r="H5" s="155"/>
      <c r="I5" s="152" t="s">
        <v>563</v>
      </c>
      <c r="J5" s="14"/>
    </row>
    <row r="6" spans="1:10" s="5" customFormat="1" ht="15.9" customHeight="1" x14ac:dyDescent="0.3">
      <c r="A6" s="4"/>
      <c r="B6" s="64">
        <v>1</v>
      </c>
      <c r="C6" s="17" t="s">
        <v>192</v>
      </c>
      <c r="D6" s="67"/>
      <c r="E6" s="78"/>
      <c r="F6" s="4"/>
      <c r="G6" s="4"/>
      <c r="H6" s="155"/>
      <c r="I6" s="152" t="s">
        <v>569</v>
      </c>
    </row>
    <row r="7" spans="1:10" s="5" customFormat="1" ht="32.1" customHeight="1" x14ac:dyDescent="0.3">
      <c r="A7" s="4"/>
      <c r="B7" s="64">
        <f>SUM(B6+1)</f>
        <v>2</v>
      </c>
      <c r="C7" s="17" t="s">
        <v>193</v>
      </c>
      <c r="D7" s="67"/>
      <c r="E7" s="67"/>
      <c r="F7" s="4"/>
      <c r="G7" s="4"/>
      <c r="H7" s="155"/>
      <c r="I7" s="152" t="s">
        <v>565</v>
      </c>
    </row>
    <row r="8" spans="1:10" s="5" customFormat="1" ht="32.1" customHeight="1" thickBot="1" x14ac:dyDescent="0.35">
      <c r="A8" s="4"/>
      <c r="B8" s="64">
        <f>SUM(B7+1)</f>
        <v>3</v>
      </c>
      <c r="C8" s="17" t="s">
        <v>194</v>
      </c>
      <c r="D8" s="78"/>
      <c r="E8" s="67"/>
      <c r="F8" s="4"/>
      <c r="G8" s="4"/>
      <c r="H8" s="156"/>
      <c r="I8" s="149" t="s">
        <v>566</v>
      </c>
    </row>
    <row r="9" spans="1:10" s="5" customFormat="1" ht="15.9" customHeight="1" x14ac:dyDescent="0.3">
      <c r="A9" s="4"/>
      <c r="B9" s="64">
        <f>SUM(B8+1)</f>
        <v>4</v>
      </c>
      <c r="C9" s="17" t="s">
        <v>195</v>
      </c>
      <c r="D9" s="78"/>
      <c r="E9" s="67"/>
      <c r="F9" s="4"/>
      <c r="G9" s="4"/>
    </row>
    <row r="10" spans="1:10" s="5" customFormat="1" ht="47.25" customHeight="1" x14ac:dyDescent="0.3">
      <c r="A10" s="4"/>
      <c r="B10" s="64">
        <f>SUM(B9+1)</f>
        <v>5</v>
      </c>
      <c r="C10" s="17" t="s">
        <v>196</v>
      </c>
      <c r="D10" s="67"/>
      <c r="E10" s="78"/>
      <c r="F10" s="4"/>
      <c r="G10" s="4"/>
    </row>
    <row r="11" spans="1:10" s="5" customFormat="1" ht="17.399999999999999" x14ac:dyDescent="0.3">
      <c r="A11" s="4"/>
      <c r="B11" s="73"/>
      <c r="C11" s="18" t="s">
        <v>320</v>
      </c>
      <c r="D11" s="72" t="s">
        <v>73</v>
      </c>
      <c r="E11" s="72" t="s">
        <v>22</v>
      </c>
      <c r="F11" s="75"/>
      <c r="G11" s="75"/>
    </row>
    <row r="12" spans="1:10" ht="19.5" customHeight="1" x14ac:dyDescent="0.3">
      <c r="A12" s="4"/>
      <c r="B12" s="73">
        <f t="shared" ref="B12:B15" si="0">SUM(B11+1)</f>
        <v>1</v>
      </c>
      <c r="C12" s="83" t="s">
        <v>316</v>
      </c>
      <c r="D12" s="78"/>
      <c r="E12" s="10"/>
      <c r="F12" s="75"/>
      <c r="G12" s="75"/>
    </row>
    <row r="13" spans="1:10" ht="28.8" x14ac:dyDescent="0.3">
      <c r="A13" s="4"/>
      <c r="B13" s="73">
        <f t="shared" si="0"/>
        <v>2</v>
      </c>
      <c r="C13" s="83" t="s">
        <v>317</v>
      </c>
      <c r="D13" s="10"/>
      <c r="E13" s="10"/>
      <c r="F13" s="75"/>
      <c r="G13" s="75"/>
    </row>
    <row r="14" spans="1:10" ht="17.399999999999999" x14ac:dyDescent="0.3">
      <c r="A14" s="4"/>
      <c r="B14" s="73">
        <f t="shared" si="0"/>
        <v>3</v>
      </c>
      <c r="C14" s="83" t="s">
        <v>318</v>
      </c>
      <c r="D14" s="10"/>
      <c r="E14" s="10"/>
      <c r="F14" s="75"/>
      <c r="G14" s="75"/>
    </row>
    <row r="15" spans="1:10" ht="28.8" x14ac:dyDescent="0.3">
      <c r="A15" s="4"/>
      <c r="B15" s="73">
        <f t="shared" si="0"/>
        <v>4</v>
      </c>
      <c r="C15" s="83" t="s">
        <v>319</v>
      </c>
      <c r="D15" s="10"/>
      <c r="E15" s="10"/>
      <c r="F15" s="75"/>
      <c r="G15" s="75"/>
    </row>
    <row r="16" spans="1:10" ht="17.399999999999999" x14ac:dyDescent="0.3">
      <c r="A16" s="4"/>
      <c r="B16" s="4"/>
      <c r="C16" s="4"/>
      <c r="D16" s="4"/>
      <c r="E16" s="4"/>
      <c r="F16" s="75"/>
      <c r="G16" s="75"/>
    </row>
  </sheetData>
  <dataValidations count="4">
    <dataValidation type="list" allowBlank="1" showInputMessage="1" showErrorMessage="1" sqref="D6" xr:uid="{00000000-0002-0000-0700-000000000000}">
      <formula1>Bandwidth</formula1>
    </dataValidation>
    <dataValidation type="list" allowBlank="1" showInputMessage="1" showErrorMessage="1" sqref="D7:D9" xr:uid="{00000000-0002-0000-0700-000001000000}">
      <formula1>NOEXPLAIN</formula1>
    </dataValidation>
    <dataValidation type="list" allowBlank="1" showInputMessage="1" showErrorMessage="1" sqref="D10" xr:uid="{00000000-0002-0000-0700-000002000000}">
      <formula1>Seecomments</formula1>
    </dataValidation>
    <dataValidation type="list" allowBlank="1" showInputMessage="1" showErrorMessage="1" sqref="D12" xr:uid="{00000000-0002-0000-0700-000003000000}">
      <formula1>YESEXPLAIN</formula1>
    </dataValidation>
  </dataValidations>
  <pageMargins left="0.25" right="0.25" top="0.75" bottom="0.75" header="0.3" footer="0.3"/>
  <pageSetup scale="67"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A1:M82"/>
  <sheetViews>
    <sheetView tabSelected="1" topLeftCell="A69" workbookViewId="0">
      <selection activeCell="E82" sqref="E82"/>
    </sheetView>
  </sheetViews>
  <sheetFormatPr defaultColWidth="9.109375" defaultRowHeight="14.4" x14ac:dyDescent="0.3"/>
  <cols>
    <col min="1" max="2" width="6.44140625" style="5" customWidth="1"/>
    <col min="3" max="3" width="61.44140625" style="6" customWidth="1"/>
    <col min="4" max="5" width="50.77734375" style="6" customWidth="1"/>
    <col min="6" max="7" width="10.77734375" style="5" customWidth="1"/>
    <col min="8" max="8" width="17.77734375" style="5" customWidth="1"/>
    <col min="9" max="9" width="73.44140625" style="5" customWidth="1"/>
    <col min="10" max="10" width="50.77734375" style="5" customWidth="1"/>
    <col min="11" max="13" width="9.109375" style="5"/>
    <col min="14" max="16384" width="9.109375" style="6"/>
  </cols>
  <sheetData>
    <row r="1" spans="1:10" ht="15" thickBot="1" x14ac:dyDescent="0.35">
      <c r="A1" s="4"/>
      <c r="B1" s="4"/>
      <c r="C1" s="4"/>
      <c r="D1" s="4"/>
      <c r="E1" s="4"/>
      <c r="F1" s="4"/>
      <c r="G1" s="4"/>
    </row>
    <row r="2" spans="1:10" ht="107.25" customHeight="1" x14ac:dyDescent="0.3">
      <c r="A2" s="4"/>
      <c r="F2" s="4"/>
      <c r="G2" s="4"/>
      <c r="H2" s="153" t="s">
        <v>570</v>
      </c>
      <c r="I2" s="154"/>
    </row>
    <row r="3" spans="1:10" ht="18" x14ac:dyDescent="0.3">
      <c r="A3" s="4"/>
      <c r="C3" s="15" t="s">
        <v>38</v>
      </c>
      <c r="D3" s="27" t="str">
        <f>IA_Analyst</f>
        <v>Phil Curran</v>
      </c>
      <c r="F3" s="4"/>
      <c r="G3" s="4"/>
      <c r="H3" s="137" t="s">
        <v>579</v>
      </c>
      <c r="I3" s="138"/>
    </row>
    <row r="4" spans="1:10" ht="37.200000000000003" thickBot="1" x14ac:dyDescent="0.75">
      <c r="A4" s="4"/>
      <c r="C4" s="7" t="s">
        <v>198</v>
      </c>
      <c r="D4" s="7"/>
      <c r="E4" s="27"/>
      <c r="F4" s="4"/>
      <c r="G4" s="4"/>
      <c r="H4" s="139" t="s">
        <v>561</v>
      </c>
      <c r="I4" s="151" t="s">
        <v>568</v>
      </c>
    </row>
    <row r="5" spans="1:10" s="5" customFormat="1" ht="18.600000000000001" thickBot="1" x14ac:dyDescent="0.4">
      <c r="A5" s="4"/>
      <c r="C5" s="62" t="s">
        <v>155</v>
      </c>
      <c r="D5" s="61"/>
      <c r="E5" s="60"/>
      <c r="F5" s="4"/>
      <c r="G5" s="4"/>
      <c r="H5" s="155"/>
      <c r="I5" s="152" t="s">
        <v>580</v>
      </c>
    </row>
    <row r="6" spans="1:10" ht="17.399999999999999" x14ac:dyDescent="0.3">
      <c r="A6" s="4"/>
      <c r="B6" s="72" t="s">
        <v>140</v>
      </c>
      <c r="C6" s="18" t="s">
        <v>199</v>
      </c>
      <c r="D6" s="72" t="s">
        <v>73</v>
      </c>
      <c r="E6" s="72" t="s">
        <v>22</v>
      </c>
      <c r="F6" s="75"/>
      <c r="G6" s="75"/>
      <c r="H6" s="155"/>
      <c r="I6" s="152" t="s">
        <v>581</v>
      </c>
      <c r="J6" s="14"/>
    </row>
    <row r="7" spans="1:10" s="5" customFormat="1" ht="15.6" x14ac:dyDescent="0.3">
      <c r="A7" s="4"/>
      <c r="B7" s="73"/>
      <c r="C7" s="79" t="s">
        <v>200</v>
      </c>
      <c r="D7" s="79"/>
      <c r="E7" s="79"/>
      <c r="F7" s="4"/>
      <c r="G7" s="4"/>
      <c r="H7" s="155"/>
      <c r="I7" s="152" t="s">
        <v>582</v>
      </c>
    </row>
    <row r="8" spans="1:10" s="5" customFormat="1" ht="32.1" customHeight="1" thickBot="1" x14ac:dyDescent="0.35">
      <c r="A8" s="4"/>
      <c r="B8" s="73">
        <v>1</v>
      </c>
      <c r="C8" s="78" t="s">
        <v>201</v>
      </c>
      <c r="D8" s="78" t="s">
        <v>444</v>
      </c>
      <c r="E8" s="78"/>
      <c r="F8" s="4"/>
      <c r="G8" s="4"/>
      <c r="H8" s="156"/>
      <c r="I8" s="149" t="s">
        <v>583</v>
      </c>
    </row>
    <row r="9" spans="1:10" s="5" customFormat="1" ht="32.1" customHeight="1" x14ac:dyDescent="0.3">
      <c r="A9" s="4"/>
      <c r="B9" s="73">
        <v>2</v>
      </c>
      <c r="C9" s="78" t="s">
        <v>202</v>
      </c>
      <c r="D9" s="78" t="s">
        <v>444</v>
      </c>
      <c r="E9" s="78"/>
      <c r="F9" s="4"/>
      <c r="G9" s="4"/>
      <c r="H9" s="157"/>
      <c r="I9"/>
    </row>
    <row r="10" spans="1:10" s="5" customFormat="1" ht="15.9" customHeight="1" x14ac:dyDescent="0.3">
      <c r="A10" s="4"/>
      <c r="B10" s="73"/>
      <c r="C10" s="79" t="s">
        <v>203</v>
      </c>
      <c r="D10" s="79"/>
      <c r="E10" s="79"/>
      <c r="F10" s="4"/>
      <c r="G10" s="4"/>
    </row>
    <row r="11" spans="1:10" s="5" customFormat="1" ht="57.6" x14ac:dyDescent="0.3">
      <c r="A11" s="4"/>
      <c r="B11" s="73">
        <v>3</v>
      </c>
      <c r="C11" s="78" t="s">
        <v>204</v>
      </c>
      <c r="D11" s="78" t="s">
        <v>447</v>
      </c>
      <c r="E11" s="78" t="s">
        <v>609</v>
      </c>
      <c r="F11" s="4"/>
      <c r="G11" s="4"/>
    </row>
    <row r="12" spans="1:10" s="5" customFormat="1" ht="18.75" customHeight="1" x14ac:dyDescent="0.3">
      <c r="A12" s="4"/>
      <c r="B12" s="73">
        <v>4</v>
      </c>
      <c r="C12" s="78" t="s">
        <v>205</v>
      </c>
      <c r="D12" s="78" t="s">
        <v>539</v>
      </c>
      <c r="E12" s="78" t="s">
        <v>610</v>
      </c>
      <c r="F12" s="4"/>
      <c r="G12" s="4"/>
    </row>
    <row r="13" spans="1:10" s="5" customFormat="1" ht="15.9" customHeight="1" x14ac:dyDescent="0.3">
      <c r="A13" s="4"/>
      <c r="B13" s="73"/>
      <c r="C13" s="79" t="s">
        <v>206</v>
      </c>
      <c r="D13" s="79"/>
      <c r="E13" s="79"/>
      <c r="F13" s="4"/>
      <c r="G13" s="4"/>
    </row>
    <row r="14" spans="1:10" ht="15.9" customHeight="1" x14ac:dyDescent="0.3">
      <c r="A14" s="4"/>
      <c r="B14" s="73">
        <v>5</v>
      </c>
      <c r="C14" s="77" t="s">
        <v>207</v>
      </c>
      <c r="D14" s="77" t="s">
        <v>444</v>
      </c>
      <c r="E14" s="77"/>
      <c r="F14" s="4"/>
      <c r="G14" s="4"/>
    </row>
    <row r="15" spans="1:10" ht="15.9" customHeight="1" x14ac:dyDescent="0.3">
      <c r="A15" s="4"/>
      <c r="B15" s="73"/>
      <c r="C15" s="79" t="s">
        <v>208</v>
      </c>
      <c r="D15" s="79"/>
      <c r="E15" s="79"/>
      <c r="F15" s="4"/>
      <c r="G15" s="4"/>
    </row>
    <row r="16" spans="1:10" ht="15.9" customHeight="1" x14ac:dyDescent="0.3">
      <c r="A16" s="4"/>
      <c r="B16" s="73">
        <v>6</v>
      </c>
      <c r="C16" s="77" t="s">
        <v>209</v>
      </c>
      <c r="D16" s="78" t="s">
        <v>539</v>
      </c>
      <c r="E16" s="129" t="s">
        <v>611</v>
      </c>
      <c r="F16" s="4"/>
      <c r="G16" s="4"/>
    </row>
    <row r="17" spans="1:13" ht="30.75" customHeight="1" x14ac:dyDescent="0.3">
      <c r="A17" s="4"/>
      <c r="B17" s="73">
        <v>7</v>
      </c>
      <c r="C17" s="36" t="s">
        <v>210</v>
      </c>
      <c r="D17" s="118" t="s">
        <v>444</v>
      </c>
      <c r="E17" s="36"/>
      <c r="F17" s="4"/>
      <c r="G17" s="4"/>
    </row>
    <row r="18" spans="1:13" ht="30.75" customHeight="1" x14ac:dyDescent="0.3">
      <c r="A18" s="4"/>
      <c r="B18" s="73">
        <v>8</v>
      </c>
      <c r="C18" s="36" t="s">
        <v>211</v>
      </c>
      <c r="D18" s="118" t="s">
        <v>449</v>
      </c>
      <c r="E18" s="36" t="s">
        <v>612</v>
      </c>
      <c r="F18" s="75"/>
      <c r="G18" s="75"/>
      <c r="H18" s="14"/>
      <c r="I18" s="14"/>
      <c r="J18" s="14"/>
    </row>
    <row r="19" spans="1:13" ht="30" customHeight="1" x14ac:dyDescent="0.3">
      <c r="A19" s="4"/>
      <c r="B19" s="73">
        <v>9</v>
      </c>
      <c r="C19" s="36" t="s">
        <v>212</v>
      </c>
      <c r="D19" s="118" t="s">
        <v>444</v>
      </c>
      <c r="E19" s="36" t="s">
        <v>613</v>
      </c>
      <c r="F19" s="4"/>
      <c r="G19" s="4"/>
    </row>
    <row r="20" spans="1:13" ht="28.8" x14ac:dyDescent="0.3">
      <c r="A20" s="4"/>
      <c r="B20" s="73">
        <v>10</v>
      </c>
      <c r="C20" s="36" t="s">
        <v>213</v>
      </c>
      <c r="D20" s="118" t="s">
        <v>540</v>
      </c>
      <c r="E20" s="69"/>
      <c r="F20" s="4"/>
      <c r="G20" s="4"/>
    </row>
    <row r="21" spans="1:13" ht="28.5" customHeight="1" x14ac:dyDescent="0.3">
      <c r="A21" s="4"/>
      <c r="B21" s="73">
        <v>11</v>
      </c>
      <c r="C21" s="36" t="s">
        <v>214</v>
      </c>
      <c r="D21" s="118" t="s">
        <v>449</v>
      </c>
      <c r="E21" s="36" t="s">
        <v>614</v>
      </c>
      <c r="F21" s="4"/>
      <c r="G21" s="4"/>
    </row>
    <row r="22" spans="1:13" s="8" customFormat="1" ht="31.5" customHeight="1" x14ac:dyDescent="0.3">
      <c r="A22" s="9"/>
      <c r="B22" s="73">
        <v>12</v>
      </c>
      <c r="C22" s="36" t="s">
        <v>215</v>
      </c>
      <c r="D22" s="118" t="s">
        <v>444</v>
      </c>
      <c r="E22" s="36" t="s">
        <v>615</v>
      </c>
      <c r="F22" s="9"/>
      <c r="G22" s="9"/>
      <c r="H22" s="13"/>
      <c r="I22" s="13"/>
      <c r="J22" s="13"/>
      <c r="K22" s="13"/>
      <c r="L22" s="13"/>
      <c r="M22" s="13"/>
    </row>
    <row r="23" spans="1:13" ht="28.8" x14ac:dyDescent="0.3">
      <c r="A23" s="4"/>
      <c r="B23" s="73">
        <v>13</v>
      </c>
      <c r="C23" s="36" t="s">
        <v>216</v>
      </c>
      <c r="D23" s="118" t="s">
        <v>444</v>
      </c>
      <c r="E23" s="36"/>
      <c r="F23" s="4"/>
      <c r="G23" s="4"/>
    </row>
    <row r="24" spans="1:13" s="5" customFormat="1" x14ac:dyDescent="0.3">
      <c r="A24" s="4"/>
      <c r="B24" s="73">
        <v>14</v>
      </c>
      <c r="C24" s="36" t="s">
        <v>217</v>
      </c>
      <c r="D24" s="118" t="s">
        <v>449</v>
      </c>
      <c r="E24" s="36" t="s">
        <v>616</v>
      </c>
      <c r="F24" s="4"/>
      <c r="G24" s="4"/>
    </row>
    <row r="25" spans="1:13" s="5" customFormat="1" ht="28.8" x14ac:dyDescent="0.3">
      <c r="A25" s="4"/>
      <c r="B25" s="73">
        <v>15</v>
      </c>
      <c r="C25" s="36" t="s">
        <v>218</v>
      </c>
      <c r="D25" s="118" t="s">
        <v>444</v>
      </c>
      <c r="E25" s="80"/>
      <c r="F25" s="4"/>
      <c r="G25" s="4"/>
    </row>
    <row r="26" spans="1:13" s="5" customFormat="1" ht="15.9" customHeight="1" x14ac:dyDescent="0.3">
      <c r="A26" s="4"/>
      <c r="B26" s="73">
        <v>16</v>
      </c>
      <c r="C26" s="36" t="s">
        <v>219</v>
      </c>
      <c r="D26" s="118" t="s">
        <v>444</v>
      </c>
      <c r="E26" s="80" t="s">
        <v>617</v>
      </c>
      <c r="F26" s="4"/>
      <c r="G26" s="4"/>
    </row>
    <row r="27" spans="1:13" s="5" customFormat="1" ht="15.9" customHeight="1" x14ac:dyDescent="0.3">
      <c r="A27" s="4"/>
      <c r="B27" s="73">
        <v>17</v>
      </c>
      <c r="C27" s="36" t="s">
        <v>220</v>
      </c>
      <c r="D27" s="160" t="s">
        <v>444</v>
      </c>
      <c r="E27" s="80" t="s">
        <v>617</v>
      </c>
      <c r="F27" s="4"/>
      <c r="G27" s="4"/>
    </row>
    <row r="28" spans="1:13" s="5" customFormat="1" ht="18.75" customHeight="1" x14ac:dyDescent="0.3">
      <c r="A28" s="4"/>
      <c r="B28" s="73">
        <v>18</v>
      </c>
      <c r="C28" s="36" t="s">
        <v>221</v>
      </c>
      <c r="D28" s="160" t="s">
        <v>444</v>
      </c>
      <c r="E28" s="80" t="s">
        <v>617</v>
      </c>
      <c r="F28" s="4"/>
      <c r="G28" s="4"/>
    </row>
    <row r="29" spans="1:13" s="5" customFormat="1" x14ac:dyDescent="0.3">
      <c r="A29" s="4"/>
      <c r="B29" s="73">
        <v>19</v>
      </c>
      <c r="C29" s="36" t="s">
        <v>222</v>
      </c>
      <c r="D29" s="160" t="s">
        <v>444</v>
      </c>
      <c r="E29" s="80" t="s">
        <v>617</v>
      </c>
      <c r="F29" s="4"/>
      <c r="G29" s="4"/>
    </row>
    <row r="30" spans="1:13" s="5" customFormat="1" x14ac:dyDescent="0.3">
      <c r="A30" s="4"/>
      <c r="B30" s="73">
        <v>20</v>
      </c>
      <c r="C30" s="36" t="s">
        <v>223</v>
      </c>
      <c r="D30" s="160" t="s">
        <v>444</v>
      </c>
      <c r="E30" s="80" t="s">
        <v>617</v>
      </c>
      <c r="F30" s="4"/>
      <c r="G30" s="4"/>
    </row>
    <row r="31" spans="1:13" s="5" customFormat="1" ht="15.9" customHeight="1" x14ac:dyDescent="0.3">
      <c r="A31" s="4"/>
      <c r="B31" s="73">
        <v>21</v>
      </c>
      <c r="C31" s="36" t="s">
        <v>224</v>
      </c>
      <c r="D31" s="160" t="s">
        <v>444</v>
      </c>
      <c r="E31" s="80" t="s">
        <v>617</v>
      </c>
      <c r="F31" s="4"/>
      <c r="G31" s="4"/>
    </row>
    <row r="32" spans="1:13" s="5" customFormat="1" ht="15.9" customHeight="1" x14ac:dyDescent="0.3">
      <c r="A32" s="4"/>
      <c r="B32" s="73">
        <v>22</v>
      </c>
      <c r="C32" s="36" t="s">
        <v>225</v>
      </c>
      <c r="D32" s="160" t="s">
        <v>444</v>
      </c>
      <c r="E32" s="80" t="s">
        <v>617</v>
      </c>
      <c r="F32" s="4"/>
      <c r="G32" s="4"/>
    </row>
    <row r="33" spans="1:7" s="5" customFormat="1" ht="15.9" customHeight="1" x14ac:dyDescent="0.3">
      <c r="A33" s="4"/>
      <c r="B33" s="73">
        <v>23</v>
      </c>
      <c r="C33" s="36" t="s">
        <v>226</v>
      </c>
      <c r="D33" s="118" t="s">
        <v>445</v>
      </c>
      <c r="E33" s="80" t="s">
        <v>618</v>
      </c>
      <c r="F33" s="4"/>
      <c r="G33" s="4"/>
    </row>
    <row r="34" spans="1:7" s="5" customFormat="1" ht="15.9" customHeight="1" x14ac:dyDescent="0.3">
      <c r="A34" s="4"/>
      <c r="B34" s="73">
        <v>24</v>
      </c>
      <c r="C34" s="36" t="s">
        <v>227</v>
      </c>
      <c r="D34" s="160" t="s">
        <v>445</v>
      </c>
      <c r="E34" s="80" t="s">
        <v>618</v>
      </c>
      <c r="F34" s="4"/>
      <c r="G34" s="4"/>
    </row>
    <row r="35" spans="1:7" s="5" customFormat="1" ht="15.9" customHeight="1" x14ac:dyDescent="0.3">
      <c r="A35" s="4"/>
      <c r="B35" s="73">
        <v>25</v>
      </c>
      <c r="C35" s="36" t="s">
        <v>228</v>
      </c>
      <c r="D35" s="160" t="s">
        <v>445</v>
      </c>
      <c r="E35" s="80" t="s">
        <v>618</v>
      </c>
      <c r="F35" s="4"/>
      <c r="G35" s="4"/>
    </row>
    <row r="36" spans="1:7" s="5" customFormat="1" ht="28.8" x14ac:dyDescent="0.3">
      <c r="A36" s="4"/>
      <c r="B36" s="73">
        <f>SUM(B35+1)</f>
        <v>26</v>
      </c>
      <c r="C36" s="36" t="s">
        <v>299</v>
      </c>
      <c r="D36" s="118" t="s">
        <v>445</v>
      </c>
      <c r="E36" s="71"/>
      <c r="F36" s="4"/>
      <c r="G36" s="4"/>
    </row>
    <row r="37" spans="1:7" ht="15.9" customHeight="1" x14ac:dyDescent="0.3">
      <c r="A37" s="4"/>
      <c r="B37" s="73">
        <f t="shared" ref="B37:B39" si="0">SUM(B36+1)</f>
        <v>27</v>
      </c>
      <c r="C37" s="36" t="s">
        <v>229</v>
      </c>
      <c r="D37" s="118" t="s">
        <v>445</v>
      </c>
      <c r="E37" s="71"/>
      <c r="F37" s="4"/>
      <c r="G37" s="4"/>
    </row>
    <row r="38" spans="1:7" ht="28.8" x14ac:dyDescent="0.3">
      <c r="A38" s="4"/>
      <c r="B38" s="73">
        <f t="shared" si="0"/>
        <v>28</v>
      </c>
      <c r="C38" s="36" t="s">
        <v>230</v>
      </c>
      <c r="D38" s="118" t="s">
        <v>445</v>
      </c>
      <c r="E38" s="71" t="s">
        <v>619</v>
      </c>
      <c r="F38" s="4"/>
      <c r="G38" s="4"/>
    </row>
    <row r="39" spans="1:7" ht="28.8" x14ac:dyDescent="0.3">
      <c r="A39" s="4"/>
      <c r="B39" s="73">
        <f t="shared" si="0"/>
        <v>29</v>
      </c>
      <c r="C39" s="36" t="s">
        <v>231</v>
      </c>
      <c r="D39" s="118" t="s">
        <v>447</v>
      </c>
      <c r="E39" s="71" t="s">
        <v>620</v>
      </c>
      <c r="F39" s="4"/>
      <c r="G39" s="4"/>
    </row>
    <row r="40" spans="1:7" x14ac:dyDescent="0.3">
      <c r="A40" s="4"/>
      <c r="B40" s="73"/>
      <c r="C40" s="79" t="s">
        <v>232</v>
      </c>
      <c r="D40" s="79"/>
      <c r="E40" s="79"/>
      <c r="F40" s="4"/>
      <c r="G40" s="4"/>
    </row>
    <row r="41" spans="1:7" ht="28.8" x14ac:dyDescent="0.3">
      <c r="A41" s="4"/>
      <c r="B41" s="73">
        <f>SUM(B39+1)</f>
        <v>30</v>
      </c>
      <c r="C41" s="36" t="s">
        <v>233</v>
      </c>
      <c r="D41" s="71" t="s">
        <v>539</v>
      </c>
      <c r="E41" s="130" t="s">
        <v>621</v>
      </c>
      <c r="F41" s="4"/>
      <c r="G41" s="4"/>
    </row>
    <row r="42" spans="1:7" ht="28.8" x14ac:dyDescent="0.3">
      <c r="A42" s="4"/>
      <c r="B42" s="73">
        <f t="shared" ref="B42:B77" si="1">SUM(B41+1)</f>
        <v>31</v>
      </c>
      <c r="C42" s="36" t="s">
        <v>234</v>
      </c>
      <c r="D42" s="71" t="s">
        <v>539</v>
      </c>
      <c r="E42" s="82" t="s">
        <v>622</v>
      </c>
      <c r="F42" s="4"/>
      <c r="G42" s="4"/>
    </row>
    <row r="43" spans="1:7" ht="28.8" x14ac:dyDescent="0.3">
      <c r="A43" s="4"/>
      <c r="B43" s="73">
        <f t="shared" si="1"/>
        <v>32</v>
      </c>
      <c r="C43" s="36" t="s">
        <v>235</v>
      </c>
      <c r="D43" s="71" t="s">
        <v>539</v>
      </c>
      <c r="E43" s="159" t="s">
        <v>622</v>
      </c>
      <c r="F43" s="4"/>
      <c r="G43" s="4"/>
    </row>
    <row r="44" spans="1:7" x14ac:dyDescent="0.3">
      <c r="A44" s="4"/>
      <c r="B44" s="73">
        <f t="shared" si="1"/>
        <v>33</v>
      </c>
      <c r="C44" s="36" t="s">
        <v>236</v>
      </c>
      <c r="D44" s="71" t="s">
        <v>444</v>
      </c>
      <c r="E44" s="82"/>
      <c r="F44" s="4"/>
      <c r="G44" s="4"/>
    </row>
    <row r="45" spans="1:7" ht="43.2" x14ac:dyDescent="0.3">
      <c r="A45" s="4"/>
      <c r="B45" s="73">
        <f t="shared" si="1"/>
        <v>34</v>
      </c>
      <c r="C45" s="36" t="s">
        <v>237</v>
      </c>
      <c r="D45" s="71" t="s">
        <v>539</v>
      </c>
      <c r="E45" s="179"/>
      <c r="F45" s="4"/>
      <c r="G45" s="4"/>
    </row>
    <row r="46" spans="1:7" ht="43.2" x14ac:dyDescent="0.3">
      <c r="A46" s="4"/>
      <c r="B46" s="73">
        <f>SUM(B45+1)</f>
        <v>35</v>
      </c>
      <c r="C46" s="36" t="s">
        <v>238</v>
      </c>
      <c r="D46" s="71" t="s">
        <v>539</v>
      </c>
      <c r="E46" s="180" t="s">
        <v>635</v>
      </c>
      <c r="F46" s="4"/>
      <c r="G46" s="4"/>
    </row>
    <row r="47" spans="1:7" x14ac:dyDescent="0.3">
      <c r="A47" s="4"/>
      <c r="B47" s="73"/>
      <c r="C47" s="79" t="s">
        <v>298</v>
      </c>
      <c r="D47" s="79"/>
      <c r="E47" s="79"/>
      <c r="F47" s="4"/>
      <c r="G47" s="4"/>
    </row>
    <row r="48" spans="1:7" ht="28.8" x14ac:dyDescent="0.3">
      <c r="A48" s="4"/>
      <c r="B48" s="73">
        <f>SUM(B45+1)</f>
        <v>35</v>
      </c>
      <c r="C48" s="82" t="s">
        <v>293</v>
      </c>
      <c r="D48" s="71"/>
      <c r="E48" s="82" t="s">
        <v>636</v>
      </c>
      <c r="F48" s="4"/>
      <c r="G48" s="4"/>
    </row>
    <row r="49" spans="1:7" x14ac:dyDescent="0.3">
      <c r="A49" s="4"/>
      <c r="B49" s="73">
        <f t="shared" ref="B49:B52" si="2">SUM(B48+1)</f>
        <v>36</v>
      </c>
      <c r="C49" s="82" t="s">
        <v>294</v>
      </c>
      <c r="D49" s="71"/>
      <c r="E49" s="159" t="s">
        <v>636</v>
      </c>
      <c r="F49" s="4"/>
      <c r="G49" s="4"/>
    </row>
    <row r="50" spans="1:7" x14ac:dyDescent="0.3">
      <c r="A50" s="4"/>
      <c r="B50" s="73">
        <f t="shared" si="2"/>
        <v>37</v>
      </c>
      <c r="C50" s="82" t="s">
        <v>295</v>
      </c>
      <c r="D50" s="71"/>
      <c r="E50" s="159" t="s">
        <v>636</v>
      </c>
      <c r="F50" s="4"/>
      <c r="G50" s="4"/>
    </row>
    <row r="51" spans="1:7" x14ac:dyDescent="0.3">
      <c r="A51" s="4"/>
      <c r="B51" s="73">
        <f t="shared" si="2"/>
        <v>38</v>
      </c>
      <c r="C51" s="82" t="s">
        <v>296</v>
      </c>
      <c r="D51" s="71"/>
      <c r="E51" s="159" t="s">
        <v>636</v>
      </c>
      <c r="F51" s="4"/>
      <c r="G51" s="4"/>
    </row>
    <row r="52" spans="1:7" ht="22.5" customHeight="1" x14ac:dyDescent="0.3">
      <c r="A52" s="4"/>
      <c r="B52" s="73">
        <f t="shared" si="2"/>
        <v>39</v>
      </c>
      <c r="C52" s="82" t="s">
        <v>297</v>
      </c>
      <c r="D52" s="71"/>
      <c r="E52" s="159" t="s">
        <v>636</v>
      </c>
      <c r="F52" s="4"/>
      <c r="G52" s="4"/>
    </row>
    <row r="53" spans="1:7" x14ac:dyDescent="0.3">
      <c r="A53" s="4"/>
      <c r="B53" s="73"/>
      <c r="C53" s="79" t="s">
        <v>239</v>
      </c>
      <c r="D53" s="79"/>
      <c r="E53" s="79"/>
      <c r="F53" s="4"/>
      <c r="G53" s="4"/>
    </row>
    <row r="54" spans="1:7" ht="28.8" x14ac:dyDescent="0.3">
      <c r="A54" s="4"/>
      <c r="B54" s="73">
        <f>SUM(B46+1)</f>
        <v>36</v>
      </c>
      <c r="C54" s="36" t="s">
        <v>240</v>
      </c>
      <c r="D54" s="71" t="s">
        <v>444</v>
      </c>
      <c r="E54" s="70" t="s">
        <v>637</v>
      </c>
      <c r="F54" s="4"/>
      <c r="G54" s="4"/>
    </row>
    <row r="55" spans="1:7" ht="28.8" x14ac:dyDescent="0.3">
      <c r="A55" s="4"/>
      <c r="B55" s="73">
        <f t="shared" si="1"/>
        <v>37</v>
      </c>
      <c r="C55" s="36" t="s">
        <v>241</v>
      </c>
      <c r="D55" s="71" t="s">
        <v>444</v>
      </c>
      <c r="E55" s="70" t="s">
        <v>638</v>
      </c>
      <c r="F55" s="4"/>
      <c r="G55" s="4"/>
    </row>
    <row r="56" spans="1:7" x14ac:dyDescent="0.3">
      <c r="A56" s="4"/>
      <c r="B56" s="73"/>
      <c r="C56" s="79" t="s">
        <v>242</v>
      </c>
      <c r="D56" s="79"/>
      <c r="E56" s="79"/>
      <c r="F56" s="4"/>
      <c r="G56" s="4"/>
    </row>
    <row r="57" spans="1:7" x14ac:dyDescent="0.3">
      <c r="A57" s="4"/>
      <c r="B57" s="73">
        <f>SUM(B55+1)</f>
        <v>38</v>
      </c>
      <c r="C57" s="36" t="s">
        <v>243</v>
      </c>
      <c r="D57" s="70" t="s">
        <v>639</v>
      </c>
      <c r="E57" s="70"/>
      <c r="F57" s="4"/>
      <c r="G57" s="4"/>
    </row>
    <row r="58" spans="1:7" ht="28.8" x14ac:dyDescent="0.3">
      <c r="A58" s="4"/>
      <c r="B58" s="73">
        <f t="shared" si="1"/>
        <v>39</v>
      </c>
      <c r="C58" s="36" t="s">
        <v>244</v>
      </c>
      <c r="D58" s="70" t="s">
        <v>444</v>
      </c>
      <c r="E58" s="70"/>
      <c r="F58" s="4"/>
      <c r="G58" s="4"/>
    </row>
    <row r="59" spans="1:7" x14ac:dyDescent="0.3">
      <c r="A59" s="4"/>
      <c r="B59" s="73">
        <f t="shared" si="1"/>
        <v>40</v>
      </c>
      <c r="C59" s="36" t="s">
        <v>245</v>
      </c>
      <c r="D59" s="70" t="s">
        <v>444</v>
      </c>
      <c r="E59" s="70"/>
      <c r="F59" s="4"/>
      <c r="G59" s="4"/>
    </row>
    <row r="60" spans="1:7" ht="28.8" x14ac:dyDescent="0.3">
      <c r="A60" s="4"/>
      <c r="B60" s="73">
        <f t="shared" si="1"/>
        <v>41</v>
      </c>
      <c r="C60" s="36" t="s">
        <v>246</v>
      </c>
      <c r="D60" s="70" t="s">
        <v>445</v>
      </c>
      <c r="E60" s="70" t="s">
        <v>640</v>
      </c>
      <c r="F60" s="4"/>
      <c r="G60" s="4"/>
    </row>
    <row r="61" spans="1:7" ht="28.8" x14ac:dyDescent="0.3">
      <c r="A61" s="4"/>
      <c r="B61" s="73">
        <f t="shared" si="1"/>
        <v>42</v>
      </c>
      <c r="C61" s="36" t="s">
        <v>247</v>
      </c>
      <c r="D61" s="70"/>
      <c r="E61" s="180"/>
      <c r="F61" s="4"/>
      <c r="G61" s="4"/>
    </row>
    <row r="62" spans="1:7" ht="43.2" x14ac:dyDescent="0.3">
      <c r="A62" s="4"/>
      <c r="B62" s="73">
        <f t="shared" si="1"/>
        <v>43</v>
      </c>
      <c r="C62" s="36" t="s">
        <v>248</v>
      </c>
      <c r="D62" s="70" t="s">
        <v>447</v>
      </c>
      <c r="E62" s="70" t="s">
        <v>641</v>
      </c>
      <c r="F62" s="4"/>
      <c r="G62" s="4"/>
    </row>
    <row r="63" spans="1:7" ht="43.2" x14ac:dyDescent="0.3">
      <c r="A63" s="4"/>
      <c r="B63" s="73">
        <f t="shared" si="1"/>
        <v>44</v>
      </c>
      <c r="C63" s="36" t="s">
        <v>249</v>
      </c>
      <c r="D63" s="70" t="s">
        <v>642</v>
      </c>
      <c r="E63" s="70"/>
      <c r="F63" s="4"/>
      <c r="G63" s="4"/>
    </row>
    <row r="64" spans="1:7" ht="28.8" x14ac:dyDescent="0.3">
      <c r="A64" s="4"/>
      <c r="B64" s="73">
        <f t="shared" si="1"/>
        <v>45</v>
      </c>
      <c r="C64" s="36" t="s">
        <v>250</v>
      </c>
      <c r="D64" s="70" t="s">
        <v>445</v>
      </c>
      <c r="E64" s="70" t="s">
        <v>643</v>
      </c>
      <c r="F64" s="4"/>
      <c r="G64" s="4"/>
    </row>
    <row r="65" spans="1:7" ht="72" x14ac:dyDescent="0.3">
      <c r="A65" s="4"/>
      <c r="B65" s="73">
        <f t="shared" si="1"/>
        <v>46</v>
      </c>
      <c r="C65" s="36" t="s">
        <v>251</v>
      </c>
      <c r="D65" s="70" t="s">
        <v>644</v>
      </c>
      <c r="E65" s="70"/>
      <c r="F65" s="4"/>
      <c r="G65" s="4"/>
    </row>
    <row r="66" spans="1:7" ht="28.8" x14ac:dyDescent="0.3">
      <c r="A66" s="4"/>
      <c r="B66" s="73">
        <f t="shared" si="1"/>
        <v>47</v>
      </c>
      <c r="C66" s="36" t="s">
        <v>252</v>
      </c>
      <c r="D66" s="70" t="s">
        <v>645</v>
      </c>
      <c r="E66" s="70"/>
      <c r="F66" s="4"/>
      <c r="G66" s="4"/>
    </row>
    <row r="67" spans="1:7" ht="28.8" x14ac:dyDescent="0.3">
      <c r="A67" s="4"/>
      <c r="B67" s="73">
        <f t="shared" si="1"/>
        <v>48</v>
      </c>
      <c r="C67" s="36" t="s">
        <v>253</v>
      </c>
      <c r="D67" s="70" t="s">
        <v>447</v>
      </c>
      <c r="E67" s="70" t="s">
        <v>647</v>
      </c>
      <c r="F67" s="4"/>
      <c r="G67" s="4"/>
    </row>
    <row r="68" spans="1:7" x14ac:dyDescent="0.3">
      <c r="A68" s="4"/>
      <c r="B68" s="73">
        <f t="shared" si="1"/>
        <v>49</v>
      </c>
      <c r="C68" s="36" t="s">
        <v>254</v>
      </c>
      <c r="D68" s="70" t="s">
        <v>544</v>
      </c>
      <c r="E68" s="70"/>
      <c r="F68" s="4"/>
      <c r="G68" s="4"/>
    </row>
    <row r="69" spans="1:7" ht="28.8" x14ac:dyDescent="0.3">
      <c r="A69" s="4"/>
      <c r="B69" s="73">
        <f t="shared" si="1"/>
        <v>50</v>
      </c>
      <c r="C69" s="36" t="s">
        <v>255</v>
      </c>
      <c r="D69" s="70" t="s">
        <v>444</v>
      </c>
      <c r="E69" s="70"/>
      <c r="F69" s="4"/>
      <c r="G69" s="4"/>
    </row>
    <row r="70" spans="1:7" ht="28.8" x14ac:dyDescent="0.3">
      <c r="A70" s="4"/>
      <c r="B70" s="73">
        <f t="shared" si="1"/>
        <v>51</v>
      </c>
      <c r="C70" s="36" t="s">
        <v>256</v>
      </c>
      <c r="D70" s="70" t="s">
        <v>444</v>
      </c>
      <c r="E70" s="70" t="s">
        <v>646</v>
      </c>
      <c r="F70" s="4"/>
      <c r="G70" s="4"/>
    </row>
    <row r="71" spans="1:7" ht="28.8" x14ac:dyDescent="0.3">
      <c r="A71" s="4"/>
      <c r="B71" s="73">
        <f t="shared" si="1"/>
        <v>52</v>
      </c>
      <c r="C71" s="36" t="s">
        <v>257</v>
      </c>
      <c r="D71" s="70" t="s">
        <v>444</v>
      </c>
      <c r="E71" s="70"/>
      <c r="F71" s="4"/>
      <c r="G71" s="4"/>
    </row>
    <row r="72" spans="1:7" ht="36.75" customHeight="1" x14ac:dyDescent="0.3">
      <c r="A72" s="4"/>
      <c r="B72" s="73">
        <f t="shared" si="1"/>
        <v>53</v>
      </c>
      <c r="C72" s="36" t="s">
        <v>258</v>
      </c>
      <c r="D72" s="70" t="s">
        <v>445</v>
      </c>
      <c r="E72" s="70"/>
      <c r="F72" s="4"/>
      <c r="G72" s="4"/>
    </row>
    <row r="73" spans="1:7" x14ac:dyDescent="0.3">
      <c r="A73" s="4"/>
      <c r="B73" s="73">
        <f t="shared" si="1"/>
        <v>54</v>
      </c>
      <c r="C73" s="36" t="s">
        <v>300</v>
      </c>
      <c r="D73" s="70" t="s">
        <v>449</v>
      </c>
      <c r="E73" s="70"/>
      <c r="F73" s="4"/>
      <c r="G73" s="4"/>
    </row>
    <row r="74" spans="1:7" x14ac:dyDescent="0.3">
      <c r="A74" s="4"/>
      <c r="B74" s="73">
        <f t="shared" si="1"/>
        <v>55</v>
      </c>
      <c r="C74" s="36" t="s">
        <v>259</v>
      </c>
      <c r="D74" s="70" t="s">
        <v>445</v>
      </c>
      <c r="E74" s="70"/>
      <c r="F74" s="4"/>
      <c r="G74" s="4"/>
    </row>
    <row r="75" spans="1:7" x14ac:dyDescent="0.3">
      <c r="A75" s="4"/>
      <c r="B75" s="73"/>
      <c r="C75" s="79" t="s">
        <v>292</v>
      </c>
      <c r="D75" s="79"/>
      <c r="E75" s="79"/>
      <c r="F75" s="4"/>
      <c r="G75" s="4"/>
    </row>
    <row r="76" spans="1:7" ht="28.8" x14ac:dyDescent="0.3">
      <c r="A76" s="4"/>
      <c r="B76" s="73">
        <f>SUM(B74+1)</f>
        <v>56</v>
      </c>
      <c r="C76" s="36" t="s">
        <v>260</v>
      </c>
      <c r="D76" s="70" t="s">
        <v>444</v>
      </c>
      <c r="E76" s="70" t="s">
        <v>648</v>
      </c>
      <c r="F76" s="4"/>
      <c r="G76" s="4"/>
    </row>
    <row r="77" spans="1:7" ht="28.8" x14ac:dyDescent="0.3">
      <c r="A77" s="4"/>
      <c r="B77" s="73">
        <f t="shared" si="1"/>
        <v>57</v>
      </c>
      <c r="C77" s="36" t="s">
        <v>261</v>
      </c>
      <c r="D77" s="70" t="s">
        <v>445</v>
      </c>
      <c r="E77" s="70" t="s">
        <v>649</v>
      </c>
      <c r="F77" s="4"/>
      <c r="G77" s="4"/>
    </row>
    <row r="78" spans="1:7" x14ac:dyDescent="0.3">
      <c r="A78" s="4"/>
      <c r="B78" s="73"/>
      <c r="C78" s="79" t="s">
        <v>301</v>
      </c>
      <c r="D78" s="79"/>
      <c r="E78" s="79"/>
      <c r="F78" s="4"/>
      <c r="G78" s="4"/>
    </row>
    <row r="79" spans="1:7" ht="28.8" x14ac:dyDescent="0.3">
      <c r="A79" s="4"/>
      <c r="B79" s="73">
        <f>SUM(B77+1)</f>
        <v>58</v>
      </c>
      <c r="C79" s="81" t="s">
        <v>289</v>
      </c>
      <c r="D79" s="70" t="s">
        <v>650</v>
      </c>
      <c r="E79" s="70" t="s">
        <v>651</v>
      </c>
      <c r="F79" s="4"/>
      <c r="G79" s="4"/>
    </row>
    <row r="80" spans="1:7" x14ac:dyDescent="0.3">
      <c r="A80" s="4"/>
      <c r="B80" s="73">
        <f t="shared" ref="B80:B81" si="3">SUM(B79+1)</f>
        <v>59</v>
      </c>
      <c r="C80" s="81" t="s">
        <v>290</v>
      </c>
      <c r="D80" s="70" t="s">
        <v>650</v>
      </c>
      <c r="E80" s="70" t="s">
        <v>651</v>
      </c>
      <c r="F80" s="4"/>
      <c r="G80" s="4"/>
    </row>
    <row r="81" spans="1:7" x14ac:dyDescent="0.3">
      <c r="A81" s="4"/>
      <c r="B81" s="73">
        <f t="shared" si="3"/>
        <v>60</v>
      </c>
      <c r="C81" s="81" t="s">
        <v>291</v>
      </c>
      <c r="D81" s="70" t="s">
        <v>650</v>
      </c>
      <c r="E81" s="70" t="s">
        <v>651</v>
      </c>
      <c r="F81" s="4"/>
      <c r="G81" s="4"/>
    </row>
    <row r="82" spans="1:7" x14ac:dyDescent="0.3">
      <c r="A82" s="4"/>
      <c r="B82" s="4"/>
      <c r="C82" s="4"/>
      <c r="D82" s="4"/>
      <c r="E82" s="4"/>
      <c r="F82" s="4"/>
      <c r="G82" s="4"/>
    </row>
  </sheetData>
  <dataValidations count="6">
    <dataValidation type="list" allowBlank="1" showInputMessage="1" showErrorMessage="1" sqref="D8:D9" xr:uid="{00000000-0002-0000-0800-000000000000}">
      <formula1>Yesnona</formula1>
    </dataValidation>
    <dataValidation type="list" allowBlank="1" showInputMessage="1" showErrorMessage="1" sqref="D11 D62 D60 D74 D72 D67 D64 D33:D39" xr:uid="{00000000-0002-0000-0800-000001000000}">
      <formula1>YESEXPLAIN</formula1>
    </dataValidation>
    <dataValidation type="list" allowBlank="1" showInputMessage="1" showErrorMessage="1" sqref="D12 D16 D20 D45:D46 D41:D43" xr:uid="{00000000-0002-0000-0800-000002000000}">
      <formula1>Seecomments</formula1>
    </dataValidation>
    <dataValidation type="list" allowBlank="1" showInputMessage="1" showErrorMessage="1" sqref="D14 D17:D19 D69:D71 D44 D21:D32 D54:D55 D58:D59 D73 D48:D52" xr:uid="{00000000-0002-0000-0800-000003000000}">
      <formula1>NOEXPLAIN</formula1>
    </dataValidation>
    <dataValidation type="list" allowBlank="1" showInputMessage="1" showErrorMessage="1" sqref="D76:D77" xr:uid="{00000000-0002-0000-0800-000004000000}">
      <formula1>YESNO</formula1>
    </dataValidation>
    <dataValidation type="list" allowBlank="1" showInputMessage="1" showErrorMessage="1" sqref="D68" xr:uid="{00000000-0002-0000-0800-000005000000}">
      <formula1>Bugfixes</formula1>
    </dataValidation>
  </dataValidations>
  <pageMargins left="0.25" right="0.25" top="0.75" bottom="0.75" header="0.3" footer="0.3"/>
  <pageSetup scale="67"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K16"/>
  <sheetViews>
    <sheetView workbookViewId="0">
      <selection activeCell="D6" sqref="D6"/>
    </sheetView>
  </sheetViews>
  <sheetFormatPr defaultColWidth="9.109375" defaultRowHeight="14.4" x14ac:dyDescent="0.3"/>
  <cols>
    <col min="1" max="2" width="6.44140625" style="5" customWidth="1"/>
    <col min="3" max="3" width="61.44140625" style="6" customWidth="1"/>
    <col min="4" max="4" width="72.88671875" style="6" customWidth="1"/>
    <col min="5" max="5" width="10.77734375" style="5" customWidth="1"/>
    <col min="6" max="8" width="50.77734375" style="5" customWidth="1"/>
    <col min="9" max="11" width="9.109375" style="5"/>
    <col min="12" max="16384" width="9.109375" style="6"/>
  </cols>
  <sheetData>
    <row r="1" spans="1:8" x14ac:dyDescent="0.3">
      <c r="A1" s="4"/>
      <c r="B1" s="4"/>
      <c r="C1" s="4"/>
      <c r="D1" s="4"/>
      <c r="E1" s="4"/>
    </row>
    <row r="2" spans="1:8" ht="107.25" customHeight="1" x14ac:dyDescent="0.3">
      <c r="A2" s="4"/>
      <c r="E2" s="4"/>
    </row>
    <row r="3" spans="1:8" x14ac:dyDescent="0.3">
      <c r="A3" s="4"/>
      <c r="C3" s="15"/>
      <c r="D3" s="27"/>
      <c r="E3" s="4"/>
    </row>
    <row r="4" spans="1:8" ht="36.6" x14ac:dyDescent="0.7">
      <c r="A4" s="4"/>
      <c r="C4" s="7" t="s">
        <v>262</v>
      </c>
      <c r="E4" s="4"/>
    </row>
    <row r="5" spans="1:8" ht="17.399999999999999" x14ac:dyDescent="0.3">
      <c r="A5" s="4"/>
      <c r="B5" s="72"/>
      <c r="C5" s="18"/>
      <c r="D5" s="72"/>
      <c r="E5" s="75"/>
      <c r="F5" s="14"/>
      <c r="G5" s="14"/>
      <c r="H5" s="14"/>
    </row>
    <row r="6" spans="1:8" ht="15.9" customHeight="1" x14ac:dyDescent="0.3">
      <c r="A6" s="4"/>
      <c r="B6" s="73">
        <v>1</v>
      </c>
      <c r="C6" s="17" t="s">
        <v>79</v>
      </c>
      <c r="D6" s="17" t="s">
        <v>265</v>
      </c>
      <c r="E6" s="4"/>
    </row>
    <row r="7" spans="1:8" ht="15.9" customHeight="1" x14ac:dyDescent="0.3">
      <c r="A7" s="4"/>
      <c r="B7" s="73">
        <v>2</v>
      </c>
      <c r="C7" s="17" t="s">
        <v>264</v>
      </c>
      <c r="D7" s="17" t="s">
        <v>266</v>
      </c>
      <c r="E7" s="4"/>
    </row>
    <row r="8" spans="1:8" ht="15.9" customHeight="1" x14ac:dyDescent="0.3">
      <c r="A8" s="4"/>
      <c r="B8" s="73">
        <v>3</v>
      </c>
      <c r="C8" s="17" t="s">
        <v>138</v>
      </c>
      <c r="D8" s="17" t="s">
        <v>267</v>
      </c>
      <c r="E8" s="4"/>
    </row>
    <row r="9" spans="1:8" ht="15.9" customHeight="1" x14ac:dyDescent="0.3">
      <c r="A9" s="4"/>
      <c r="B9" s="73">
        <v>4</v>
      </c>
      <c r="C9" s="17" t="s">
        <v>161</v>
      </c>
      <c r="D9" s="17" t="s">
        <v>268</v>
      </c>
      <c r="E9" s="4"/>
    </row>
    <row r="10" spans="1:8" ht="15.9" customHeight="1" x14ac:dyDescent="0.3">
      <c r="A10" s="4"/>
      <c r="B10" s="73">
        <v>5</v>
      </c>
      <c r="C10" s="17" t="s">
        <v>197</v>
      </c>
      <c r="D10" s="17" t="s">
        <v>272</v>
      </c>
      <c r="E10" s="4"/>
    </row>
    <row r="11" spans="1:8" ht="15.9" customHeight="1" x14ac:dyDescent="0.3">
      <c r="A11" s="4"/>
      <c r="B11" s="73">
        <v>6</v>
      </c>
      <c r="C11" s="17" t="s">
        <v>191</v>
      </c>
      <c r="D11" s="17" t="s">
        <v>269</v>
      </c>
      <c r="E11" s="4"/>
    </row>
    <row r="12" spans="1:8" ht="15.9" customHeight="1" x14ac:dyDescent="0.3">
      <c r="A12" s="4"/>
      <c r="B12" s="73">
        <v>7</v>
      </c>
      <c r="C12" s="17" t="s">
        <v>263</v>
      </c>
      <c r="D12" s="17" t="s">
        <v>269</v>
      </c>
      <c r="E12" s="4"/>
    </row>
    <row r="13" spans="1:8" ht="15.9" customHeight="1" x14ac:dyDescent="0.3">
      <c r="A13" s="4"/>
      <c r="B13" s="73">
        <v>8</v>
      </c>
      <c r="C13" s="17" t="s">
        <v>271</v>
      </c>
      <c r="D13" s="17" t="s">
        <v>270</v>
      </c>
      <c r="E13" s="4"/>
    </row>
    <row r="14" spans="1:8" ht="15.9" customHeight="1" x14ac:dyDescent="0.3">
      <c r="A14" s="4"/>
      <c r="B14" s="73">
        <v>9</v>
      </c>
      <c r="C14" s="17"/>
      <c r="D14" s="17"/>
      <c r="E14" s="4"/>
    </row>
    <row r="15" spans="1:8" ht="15.9" customHeight="1" x14ac:dyDescent="0.3">
      <c r="A15" s="4"/>
      <c r="B15" s="73">
        <v>10</v>
      </c>
      <c r="C15" s="17"/>
      <c r="D15" s="17"/>
      <c r="E15" s="4"/>
    </row>
    <row r="16" spans="1:8" x14ac:dyDescent="0.3">
      <c r="A16" s="4"/>
      <c r="B16" s="4"/>
      <c r="C16" s="4"/>
      <c r="D16" s="4"/>
      <c r="E16" s="4"/>
    </row>
  </sheetData>
  <sortState xmlns:xlrd2="http://schemas.microsoft.com/office/spreadsheetml/2017/richdata2" ref="C6:C12">
    <sortCondition ref="C6:C12"/>
  </sortState>
  <pageMargins left="0.25" right="0.25" top="0.75" bottom="0.75" header="0.3" footer="0.3"/>
  <pageSetup scale="84"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K79"/>
  <sheetViews>
    <sheetView workbookViewId="0">
      <selection activeCell="D6" sqref="D6"/>
    </sheetView>
  </sheetViews>
  <sheetFormatPr defaultRowHeight="14.4" x14ac:dyDescent="0.3"/>
  <cols>
    <col min="1" max="1" width="6.44140625" customWidth="1"/>
    <col min="2" max="2" width="5" customWidth="1"/>
    <col min="3" max="3" width="37" style="87" customWidth="1"/>
    <col min="4" max="4" width="20.77734375" style="87" customWidth="1"/>
    <col min="5" max="5" width="15.77734375" style="87" customWidth="1"/>
    <col min="6" max="8" width="15.77734375" customWidth="1"/>
    <col min="9" max="9" width="20.77734375" customWidth="1"/>
  </cols>
  <sheetData>
    <row r="1" spans="1:11" s="6" customFormat="1" x14ac:dyDescent="0.3">
      <c r="A1" s="4"/>
      <c r="B1" s="4"/>
      <c r="C1" s="4"/>
      <c r="D1" s="4"/>
      <c r="E1" s="4"/>
      <c r="F1" s="4"/>
      <c r="G1" s="4"/>
      <c r="H1" s="4"/>
      <c r="I1" s="4"/>
      <c r="J1" s="4"/>
      <c r="K1" s="5"/>
    </row>
    <row r="2" spans="1:11" s="6" customFormat="1" ht="107.25" customHeight="1" x14ac:dyDescent="0.3">
      <c r="A2" s="4"/>
      <c r="B2" s="5"/>
      <c r="E2" s="4"/>
      <c r="F2" s="4"/>
      <c r="G2" s="4"/>
      <c r="H2" s="4"/>
      <c r="I2" s="4"/>
      <c r="J2" s="4"/>
      <c r="K2" s="5"/>
    </row>
    <row r="3" spans="1:11" s="6" customFormat="1" x14ac:dyDescent="0.3">
      <c r="A3" s="4"/>
      <c r="B3" s="5"/>
      <c r="C3" s="15"/>
      <c r="D3" s="27"/>
      <c r="E3" s="4"/>
      <c r="F3" s="4"/>
      <c r="G3" s="4"/>
      <c r="H3" s="4"/>
      <c r="I3" s="4"/>
      <c r="J3" s="4"/>
      <c r="K3" s="5"/>
    </row>
    <row r="4" spans="1:11" s="6" customFormat="1" ht="17.399999999999999" x14ac:dyDescent="0.3">
      <c r="A4" s="4"/>
      <c r="B4" s="5"/>
      <c r="C4" s="86" t="s">
        <v>347</v>
      </c>
      <c r="E4" s="4"/>
      <c r="F4" s="4"/>
      <c r="G4" s="4"/>
      <c r="H4" s="4"/>
      <c r="I4" s="4"/>
      <c r="J4" s="4"/>
      <c r="K4" s="5"/>
    </row>
    <row r="5" spans="1:11" s="6" customFormat="1" ht="17.399999999999999" x14ac:dyDescent="0.3">
      <c r="A5" s="4"/>
      <c r="B5" s="72"/>
      <c r="C5" s="18"/>
      <c r="D5" s="72"/>
      <c r="E5" s="4"/>
      <c r="F5" s="4"/>
      <c r="G5" s="4"/>
      <c r="H5" s="4"/>
      <c r="I5" s="4"/>
      <c r="J5" s="4"/>
      <c r="K5" s="5"/>
    </row>
    <row r="6" spans="1:11" ht="17.399999999999999" x14ac:dyDescent="0.3">
      <c r="A6" s="4"/>
      <c r="B6" s="72"/>
      <c r="C6" s="91" t="s">
        <v>385</v>
      </c>
      <c r="D6" s="92">
        <f>SUM(I16:I42)</f>
        <v>0</v>
      </c>
      <c r="E6" s="23"/>
      <c r="F6" s="23"/>
      <c r="G6" s="10"/>
      <c r="H6" s="10"/>
      <c r="I6" s="10"/>
      <c r="J6" s="4"/>
    </row>
    <row r="7" spans="1:11" ht="17.399999999999999" x14ac:dyDescent="0.3">
      <c r="A7" s="88"/>
      <c r="B7" s="72"/>
      <c r="C7" s="91" t="s">
        <v>348</v>
      </c>
      <c r="D7" s="92">
        <f>SUM(H16:H67)</f>
        <v>0</v>
      </c>
      <c r="E7" s="23"/>
      <c r="F7" s="23"/>
      <c r="G7" s="10"/>
      <c r="H7" s="10"/>
      <c r="I7" s="10"/>
      <c r="J7" s="4"/>
    </row>
    <row r="8" spans="1:11" ht="17.399999999999999" x14ac:dyDescent="0.3">
      <c r="A8" s="88"/>
      <c r="B8" s="72"/>
      <c r="C8" s="93"/>
      <c r="D8" s="94"/>
      <c r="E8" s="23"/>
      <c r="F8" s="23"/>
      <c r="G8" s="10"/>
      <c r="H8" s="10"/>
      <c r="I8" s="10"/>
      <c r="J8" s="4"/>
    </row>
    <row r="9" spans="1:11" ht="17.399999999999999" x14ac:dyDescent="0.3">
      <c r="A9" s="88"/>
      <c r="B9" s="72"/>
      <c r="C9" s="117" t="s">
        <v>391</v>
      </c>
      <c r="D9" s="96"/>
      <c r="E9" s="96"/>
      <c r="F9" s="96"/>
      <c r="G9" s="97"/>
      <c r="H9" s="95" t="s">
        <v>349</v>
      </c>
      <c r="I9" s="95" t="s">
        <v>386</v>
      </c>
      <c r="J9" s="4"/>
    </row>
    <row r="10" spans="1:11" ht="17.399999999999999" x14ac:dyDescent="0.3">
      <c r="A10" s="88"/>
      <c r="B10" s="72" t="s">
        <v>387</v>
      </c>
      <c r="C10" s="98" t="s">
        <v>350</v>
      </c>
      <c r="D10" s="23"/>
      <c r="E10" s="23"/>
      <c r="F10" s="23"/>
      <c r="G10" s="10"/>
      <c r="H10" s="10"/>
      <c r="I10" s="10"/>
      <c r="J10" s="4"/>
    </row>
    <row r="11" spans="1:11" ht="17.399999999999999" x14ac:dyDescent="0.3">
      <c r="A11" s="88"/>
      <c r="B11" s="72"/>
      <c r="C11" s="10"/>
      <c r="D11" s="23"/>
      <c r="E11" s="23"/>
      <c r="F11" s="23"/>
      <c r="G11" s="10"/>
      <c r="H11" s="10"/>
      <c r="I11" s="10"/>
      <c r="J11" s="4"/>
    </row>
    <row r="12" spans="1:11" ht="17.399999999999999" x14ac:dyDescent="0.3">
      <c r="A12" s="88"/>
      <c r="B12" s="72">
        <v>1</v>
      </c>
      <c r="C12" s="99" t="s">
        <v>351</v>
      </c>
      <c r="D12" s="100" t="s">
        <v>352</v>
      </c>
      <c r="E12" s="100" t="s">
        <v>353</v>
      </c>
      <c r="F12" s="100"/>
      <c r="G12" s="10"/>
      <c r="H12" s="10"/>
      <c r="I12" s="10"/>
      <c r="J12" s="4"/>
    </row>
    <row r="13" spans="1:11" ht="17.399999999999999" x14ac:dyDescent="0.3">
      <c r="A13" s="88"/>
      <c r="B13" s="72"/>
      <c r="C13" s="101" t="s">
        <v>354</v>
      </c>
      <c r="D13" s="102">
        <v>0</v>
      </c>
      <c r="E13" s="102">
        <v>0</v>
      </c>
      <c r="F13" s="102"/>
      <c r="G13" s="10"/>
      <c r="H13" s="10"/>
      <c r="I13" s="10"/>
      <c r="J13" s="4"/>
    </row>
    <row r="14" spans="1:11" ht="17.399999999999999" x14ac:dyDescent="0.3">
      <c r="A14" s="88"/>
      <c r="B14" s="72"/>
      <c r="C14" s="103"/>
      <c r="D14" s="102">
        <v>0</v>
      </c>
      <c r="E14" s="102">
        <v>0</v>
      </c>
      <c r="F14" s="102"/>
      <c r="G14" s="10"/>
      <c r="H14" s="10"/>
      <c r="I14" s="10"/>
      <c r="J14" s="4"/>
    </row>
    <row r="15" spans="1:11" ht="17.399999999999999" x14ac:dyDescent="0.3">
      <c r="A15" s="88"/>
      <c r="B15" s="72"/>
      <c r="C15" s="103"/>
      <c r="D15" s="102">
        <v>0</v>
      </c>
      <c r="E15" s="102">
        <v>0</v>
      </c>
      <c r="F15" s="102"/>
      <c r="G15" s="10"/>
      <c r="H15" s="10"/>
      <c r="I15" s="10"/>
      <c r="J15" s="4"/>
    </row>
    <row r="16" spans="1:11" ht="17.399999999999999" x14ac:dyDescent="0.3">
      <c r="A16" s="88"/>
      <c r="B16" s="72"/>
      <c r="C16" s="103"/>
      <c r="D16" s="102">
        <v>0</v>
      </c>
      <c r="E16" s="102">
        <v>0</v>
      </c>
      <c r="F16" s="102"/>
      <c r="G16" s="10"/>
      <c r="H16" s="10"/>
      <c r="I16" s="10"/>
      <c r="J16" s="4"/>
    </row>
    <row r="17" spans="1:10" ht="17.399999999999999" x14ac:dyDescent="0.3">
      <c r="A17" s="88"/>
      <c r="B17" s="72"/>
      <c r="C17" s="99" t="s">
        <v>355</v>
      </c>
      <c r="D17" s="100"/>
      <c r="E17" s="100"/>
      <c r="F17" s="100"/>
      <c r="G17" s="98"/>
      <c r="H17" s="104">
        <f>SUM(E13:E16)</f>
        <v>0</v>
      </c>
      <c r="I17" s="104">
        <f>SUM(D13:D16)</f>
        <v>0</v>
      </c>
      <c r="J17" s="4"/>
    </row>
    <row r="18" spans="1:10" ht="17.399999999999999" x14ac:dyDescent="0.3">
      <c r="A18" s="88"/>
      <c r="B18" s="72"/>
      <c r="C18" s="105"/>
      <c r="D18" s="23"/>
      <c r="E18" s="23"/>
      <c r="F18" s="23"/>
      <c r="G18" s="10"/>
      <c r="H18" s="10"/>
      <c r="I18" s="10"/>
      <c r="J18" s="4"/>
    </row>
    <row r="19" spans="1:10" ht="17.399999999999999" x14ac:dyDescent="0.3">
      <c r="A19" s="88"/>
      <c r="B19" s="72">
        <v>2</v>
      </c>
      <c r="C19" s="99" t="s">
        <v>356</v>
      </c>
      <c r="D19" s="100" t="s">
        <v>352</v>
      </c>
      <c r="E19" s="100" t="s">
        <v>353</v>
      </c>
      <c r="F19" s="100" t="s">
        <v>357</v>
      </c>
      <c r="G19" s="100" t="s">
        <v>349</v>
      </c>
      <c r="H19" s="10"/>
      <c r="I19" s="10"/>
      <c r="J19" s="4"/>
    </row>
    <row r="20" spans="1:10" ht="17.399999999999999" x14ac:dyDescent="0.3">
      <c r="A20" s="88"/>
      <c r="B20" s="72"/>
      <c r="C20" s="106"/>
      <c r="D20" s="102">
        <v>0</v>
      </c>
      <c r="E20" s="102">
        <v>0</v>
      </c>
      <c r="F20" s="107"/>
      <c r="G20" s="108">
        <f>E20*F20</f>
        <v>0</v>
      </c>
      <c r="H20" s="10"/>
      <c r="I20" s="10"/>
      <c r="J20" s="4"/>
    </row>
    <row r="21" spans="1:10" ht="17.399999999999999" x14ac:dyDescent="0.3">
      <c r="A21" s="88"/>
      <c r="B21" s="72"/>
      <c r="C21" s="106"/>
      <c r="D21" s="102">
        <v>0</v>
      </c>
      <c r="E21" s="102">
        <v>0</v>
      </c>
      <c r="F21" s="107"/>
      <c r="G21" s="108">
        <f t="shared" ref="G21:G23" si="0">E21*F21</f>
        <v>0</v>
      </c>
      <c r="H21" s="10"/>
      <c r="I21" s="10"/>
      <c r="J21" s="4"/>
    </row>
    <row r="22" spans="1:10" ht="17.399999999999999" x14ac:dyDescent="0.3">
      <c r="A22" s="88"/>
      <c r="B22" s="72"/>
      <c r="C22" s="106"/>
      <c r="D22" s="102">
        <v>0</v>
      </c>
      <c r="E22" s="102">
        <v>0</v>
      </c>
      <c r="F22" s="107"/>
      <c r="G22" s="108">
        <f t="shared" si="0"/>
        <v>0</v>
      </c>
      <c r="H22" s="10"/>
      <c r="I22" s="10"/>
      <c r="J22" s="4"/>
    </row>
    <row r="23" spans="1:10" ht="17.399999999999999" x14ac:dyDescent="0.3">
      <c r="A23" s="88"/>
      <c r="B23" s="72"/>
      <c r="C23" s="106"/>
      <c r="D23" s="102">
        <v>0</v>
      </c>
      <c r="E23" s="102">
        <v>0</v>
      </c>
      <c r="F23" s="107"/>
      <c r="G23" s="108">
        <f t="shared" si="0"/>
        <v>0</v>
      </c>
      <c r="H23" s="10"/>
      <c r="I23" s="10"/>
      <c r="J23" s="4"/>
    </row>
    <row r="24" spans="1:10" ht="17.399999999999999" x14ac:dyDescent="0.3">
      <c r="A24" s="88"/>
      <c r="B24" s="72"/>
      <c r="C24" s="99" t="s">
        <v>358</v>
      </c>
      <c r="D24" s="100"/>
      <c r="E24" s="100"/>
      <c r="F24" s="100"/>
      <c r="G24" s="98"/>
      <c r="H24" s="104">
        <f>SUM(G20:G23)</f>
        <v>0</v>
      </c>
      <c r="I24" s="104">
        <f>SUM(D20:D23)</f>
        <v>0</v>
      </c>
      <c r="J24" s="4"/>
    </row>
    <row r="25" spans="1:10" ht="17.399999999999999" x14ac:dyDescent="0.3">
      <c r="A25" s="88"/>
      <c r="B25" s="72"/>
      <c r="C25" s="99"/>
      <c r="D25" s="100"/>
      <c r="E25" s="100"/>
      <c r="F25" s="100"/>
      <c r="G25" s="98"/>
      <c r="H25" s="104"/>
      <c r="I25" s="10"/>
      <c r="J25" s="4"/>
    </row>
    <row r="26" spans="1:10" ht="17.399999999999999" x14ac:dyDescent="0.3">
      <c r="A26" s="88"/>
      <c r="B26" s="72">
        <v>3</v>
      </c>
      <c r="C26" s="99" t="s">
        <v>359</v>
      </c>
      <c r="D26" s="100" t="s">
        <v>352</v>
      </c>
      <c r="E26" s="100" t="s">
        <v>353</v>
      </c>
      <c r="F26" s="100" t="s">
        <v>357</v>
      </c>
      <c r="G26" s="100" t="s">
        <v>349</v>
      </c>
      <c r="H26" s="10"/>
      <c r="I26" s="10"/>
      <c r="J26" s="4"/>
    </row>
    <row r="27" spans="1:10" ht="17.399999999999999" x14ac:dyDescent="0.3">
      <c r="A27" s="88"/>
      <c r="B27" s="72"/>
      <c r="C27" s="106"/>
      <c r="D27" s="102">
        <v>0</v>
      </c>
      <c r="E27" s="102">
        <v>0</v>
      </c>
      <c r="F27" s="107"/>
      <c r="G27" s="108">
        <f>E27*F27</f>
        <v>0</v>
      </c>
      <c r="H27" s="10"/>
      <c r="I27" s="10"/>
      <c r="J27" s="4"/>
    </row>
    <row r="28" spans="1:10" ht="17.399999999999999" x14ac:dyDescent="0.3">
      <c r="A28" s="88"/>
      <c r="B28" s="72"/>
      <c r="C28" s="106"/>
      <c r="D28" s="102">
        <v>0</v>
      </c>
      <c r="E28" s="102">
        <v>0</v>
      </c>
      <c r="F28" s="107"/>
      <c r="G28" s="108">
        <f t="shared" ref="G28" si="1">E28*F28</f>
        <v>0</v>
      </c>
      <c r="H28" s="10"/>
      <c r="I28" s="10"/>
      <c r="J28" s="4"/>
    </row>
    <row r="29" spans="1:10" ht="17.399999999999999" x14ac:dyDescent="0.3">
      <c r="A29" s="88"/>
      <c r="B29" s="72"/>
      <c r="C29" s="99" t="s">
        <v>360</v>
      </c>
      <c r="D29" s="100"/>
      <c r="E29" s="100"/>
      <c r="F29" s="100"/>
      <c r="G29" s="98"/>
      <c r="H29" s="104">
        <f>SUM(G27:G28)</f>
        <v>0</v>
      </c>
      <c r="I29" s="104">
        <f>SUM(D27:D28)</f>
        <v>0</v>
      </c>
      <c r="J29" s="4"/>
    </row>
    <row r="30" spans="1:10" ht="17.399999999999999" x14ac:dyDescent="0.3">
      <c r="A30" s="88"/>
      <c r="B30" s="72"/>
      <c r="C30" s="109"/>
      <c r="D30" s="110"/>
      <c r="E30" s="110"/>
      <c r="F30" s="110"/>
      <c r="G30" s="111"/>
      <c r="H30" s="112"/>
      <c r="I30" s="24"/>
      <c r="J30" s="4"/>
    </row>
    <row r="31" spans="1:10" ht="18" x14ac:dyDescent="0.3">
      <c r="A31" s="88"/>
      <c r="B31" s="90" t="s">
        <v>388</v>
      </c>
      <c r="C31" s="113" t="s">
        <v>361</v>
      </c>
      <c r="D31" s="100"/>
      <c r="E31" s="100"/>
      <c r="F31" s="100"/>
      <c r="G31" s="98"/>
      <c r="H31" s="104"/>
      <c r="I31" s="10"/>
      <c r="J31" s="4"/>
    </row>
    <row r="32" spans="1:10" ht="17.399999999999999" x14ac:dyDescent="0.3">
      <c r="A32" s="88"/>
      <c r="B32" s="72"/>
      <c r="C32" s="99"/>
      <c r="D32" s="100"/>
      <c r="E32" s="100"/>
      <c r="F32" s="100"/>
      <c r="G32" s="98"/>
      <c r="H32" s="104"/>
      <c r="I32" s="10"/>
      <c r="J32" s="4"/>
    </row>
    <row r="33" spans="1:10" ht="17.399999999999999" x14ac:dyDescent="0.3">
      <c r="A33" s="88"/>
      <c r="B33" s="72">
        <v>1</v>
      </c>
      <c r="C33" s="99" t="s">
        <v>362</v>
      </c>
      <c r="D33" s="100" t="s">
        <v>352</v>
      </c>
      <c r="E33" s="100" t="s">
        <v>353</v>
      </c>
      <c r="F33" s="100"/>
      <c r="G33" s="10"/>
      <c r="H33" s="10"/>
      <c r="I33" s="10"/>
      <c r="J33" s="4"/>
    </row>
    <row r="34" spans="1:10" ht="17.399999999999999" x14ac:dyDescent="0.3">
      <c r="A34" s="88"/>
      <c r="B34" s="72"/>
      <c r="C34" s="101" t="s">
        <v>363</v>
      </c>
      <c r="D34" s="102">
        <v>0</v>
      </c>
      <c r="E34" s="102">
        <v>0</v>
      </c>
      <c r="F34" s="102"/>
      <c r="G34" s="10"/>
      <c r="H34" s="10"/>
      <c r="I34" s="10"/>
      <c r="J34" s="4"/>
    </row>
    <row r="35" spans="1:10" ht="17.399999999999999" x14ac:dyDescent="0.3">
      <c r="A35" s="88"/>
      <c r="B35" s="72"/>
      <c r="C35" s="103"/>
      <c r="D35" s="102">
        <v>0</v>
      </c>
      <c r="E35" s="102">
        <v>0</v>
      </c>
      <c r="F35" s="102"/>
      <c r="G35" s="10"/>
      <c r="H35" s="10"/>
      <c r="I35" s="10"/>
      <c r="J35" s="4"/>
    </row>
    <row r="36" spans="1:10" ht="17.399999999999999" x14ac:dyDescent="0.3">
      <c r="A36" s="88"/>
      <c r="B36" s="72"/>
      <c r="C36" s="103"/>
      <c r="D36" s="102">
        <v>0</v>
      </c>
      <c r="E36" s="102">
        <v>0</v>
      </c>
      <c r="F36" s="102"/>
      <c r="G36" s="10"/>
      <c r="H36" s="10"/>
      <c r="I36" s="10"/>
      <c r="J36" s="4"/>
    </row>
    <row r="37" spans="1:10" ht="17.399999999999999" x14ac:dyDescent="0.3">
      <c r="A37" s="88"/>
      <c r="B37" s="72"/>
      <c r="C37" s="99" t="s">
        <v>364</v>
      </c>
      <c r="D37" s="100"/>
      <c r="E37" s="102">
        <v>0</v>
      </c>
      <c r="F37" s="100"/>
      <c r="G37" s="98"/>
      <c r="H37" s="104">
        <f>SUM(E34:E36)</f>
        <v>0</v>
      </c>
      <c r="I37" s="104">
        <f>SUM(D34:D36)</f>
        <v>0</v>
      </c>
      <c r="J37" s="4"/>
    </row>
    <row r="38" spans="1:10" ht="17.399999999999999" x14ac:dyDescent="0.3">
      <c r="A38" s="88"/>
      <c r="B38" s="72"/>
      <c r="C38" s="10"/>
      <c r="D38" s="23"/>
      <c r="E38" s="23"/>
      <c r="F38" s="23"/>
      <c r="G38" s="10"/>
      <c r="H38" s="10"/>
      <c r="I38" s="10"/>
      <c r="J38" s="4"/>
    </row>
    <row r="39" spans="1:10" ht="17.399999999999999" x14ac:dyDescent="0.3">
      <c r="A39" s="88"/>
      <c r="B39" s="72">
        <v>2</v>
      </c>
      <c r="C39" s="99" t="s">
        <v>365</v>
      </c>
      <c r="D39" s="100" t="s">
        <v>352</v>
      </c>
      <c r="E39" s="100" t="s">
        <v>353</v>
      </c>
      <c r="F39" s="100" t="s">
        <v>357</v>
      </c>
      <c r="G39" s="100" t="s">
        <v>349</v>
      </c>
      <c r="H39" s="10"/>
      <c r="I39" s="10"/>
      <c r="J39" s="4"/>
    </row>
    <row r="40" spans="1:10" ht="17.399999999999999" x14ac:dyDescent="0.3">
      <c r="A40" s="88"/>
      <c r="B40" s="72"/>
      <c r="C40" s="106"/>
      <c r="D40" s="102">
        <v>0</v>
      </c>
      <c r="E40" s="102">
        <v>0</v>
      </c>
      <c r="F40" s="107"/>
      <c r="G40" s="108">
        <f>E40*F40</f>
        <v>0</v>
      </c>
      <c r="H40" s="10"/>
      <c r="I40" s="10"/>
      <c r="J40" s="4"/>
    </row>
    <row r="41" spans="1:10" ht="17.399999999999999" x14ac:dyDescent="0.3">
      <c r="A41" s="88"/>
      <c r="B41" s="72"/>
      <c r="C41" s="106"/>
      <c r="D41" s="102">
        <v>0</v>
      </c>
      <c r="E41" s="102">
        <v>0</v>
      </c>
      <c r="F41" s="107"/>
      <c r="G41" s="108">
        <f t="shared" ref="G41" si="2">E41*F41</f>
        <v>0</v>
      </c>
      <c r="H41" s="10"/>
      <c r="I41" s="10"/>
      <c r="J41" s="4"/>
    </row>
    <row r="42" spans="1:10" ht="17.399999999999999" x14ac:dyDescent="0.3">
      <c r="A42" s="88"/>
      <c r="B42" s="72"/>
      <c r="C42" s="99" t="s">
        <v>366</v>
      </c>
      <c r="D42" s="100"/>
      <c r="E42" s="100"/>
      <c r="F42" s="100"/>
      <c r="G42" s="98"/>
      <c r="H42" s="104">
        <f>SUM(G40:G41)</f>
        <v>0</v>
      </c>
      <c r="I42" s="104">
        <f>SUM(D40:D41)</f>
        <v>0</v>
      </c>
      <c r="J42" s="4"/>
    </row>
    <row r="43" spans="1:10" ht="17.399999999999999" x14ac:dyDescent="0.3">
      <c r="A43" s="88"/>
      <c r="B43" s="72"/>
      <c r="C43" s="24"/>
      <c r="D43" s="114"/>
      <c r="E43" s="114"/>
      <c r="F43" s="114"/>
      <c r="G43" s="24"/>
      <c r="H43" s="24"/>
      <c r="I43" s="24"/>
      <c r="J43" s="4"/>
    </row>
    <row r="44" spans="1:10" ht="17.399999999999999" x14ac:dyDescent="0.3">
      <c r="A44" s="88"/>
      <c r="B44" s="72" t="s">
        <v>389</v>
      </c>
      <c r="C44" s="98" t="s">
        <v>367</v>
      </c>
      <c r="D44" s="23"/>
      <c r="E44" s="23"/>
      <c r="F44" s="23"/>
      <c r="G44" s="10"/>
      <c r="H44" s="10"/>
      <c r="I44" s="10"/>
      <c r="J44" s="4"/>
    </row>
    <row r="45" spans="1:10" ht="17.399999999999999" x14ac:dyDescent="0.3">
      <c r="A45" s="88"/>
      <c r="B45" s="72"/>
      <c r="C45" s="10"/>
      <c r="D45" s="23"/>
      <c r="E45" s="23"/>
      <c r="F45" s="23"/>
      <c r="G45" s="10"/>
      <c r="H45" s="10"/>
      <c r="I45" s="10"/>
      <c r="J45" s="4"/>
    </row>
    <row r="46" spans="1:10" ht="17.399999999999999" x14ac:dyDescent="0.3">
      <c r="A46" s="88"/>
      <c r="B46" s="72">
        <v>1</v>
      </c>
      <c r="C46" s="99" t="s">
        <v>368</v>
      </c>
      <c r="D46" s="23"/>
      <c r="E46" s="100" t="s">
        <v>369</v>
      </c>
      <c r="F46" s="23"/>
      <c r="G46" s="10"/>
      <c r="H46" s="10"/>
      <c r="I46" s="10"/>
      <c r="J46" s="4"/>
    </row>
    <row r="47" spans="1:10" ht="17.399999999999999" x14ac:dyDescent="0.3">
      <c r="A47" s="88"/>
      <c r="B47" s="72"/>
      <c r="C47" s="101" t="s">
        <v>370</v>
      </c>
      <c r="D47" s="102"/>
      <c r="E47" s="102">
        <v>0</v>
      </c>
      <c r="F47" s="23"/>
      <c r="G47" s="10"/>
      <c r="H47" s="10"/>
      <c r="I47" s="10"/>
      <c r="J47" s="4"/>
    </row>
    <row r="48" spans="1:10" ht="17.399999999999999" x14ac:dyDescent="0.3">
      <c r="A48" s="88"/>
      <c r="B48" s="72"/>
      <c r="C48" s="101"/>
      <c r="D48" s="102"/>
      <c r="E48" s="102">
        <v>0</v>
      </c>
      <c r="F48" s="23"/>
      <c r="G48" s="10"/>
      <c r="H48" s="10"/>
      <c r="I48" s="10"/>
      <c r="J48" s="4"/>
    </row>
    <row r="49" spans="1:10" ht="17.399999999999999" x14ac:dyDescent="0.3">
      <c r="A49" s="88"/>
      <c r="B49" s="72"/>
      <c r="C49" s="99" t="s">
        <v>371</v>
      </c>
      <c r="D49" s="100"/>
      <c r="E49" s="100"/>
      <c r="F49" s="100"/>
      <c r="G49" s="98"/>
      <c r="H49" s="104">
        <f>SUM(E47:E48)</f>
        <v>0</v>
      </c>
      <c r="I49" s="10"/>
      <c r="J49" s="4"/>
    </row>
    <row r="50" spans="1:10" ht="17.399999999999999" x14ac:dyDescent="0.3">
      <c r="A50" s="88"/>
      <c r="B50" s="72"/>
      <c r="C50" s="10"/>
      <c r="D50" s="23"/>
      <c r="E50" s="23"/>
      <c r="F50" s="23"/>
      <c r="G50" s="10"/>
      <c r="H50" s="10"/>
      <c r="I50" s="10"/>
      <c r="J50" s="4"/>
    </row>
    <row r="51" spans="1:10" ht="17.399999999999999" x14ac:dyDescent="0.3">
      <c r="A51" s="88"/>
      <c r="B51" s="72">
        <v>2</v>
      </c>
      <c r="C51" s="99" t="s">
        <v>372</v>
      </c>
      <c r="D51" s="23"/>
      <c r="E51" s="100" t="s">
        <v>369</v>
      </c>
      <c r="F51" s="100" t="s">
        <v>373</v>
      </c>
      <c r="G51" s="100" t="s">
        <v>349</v>
      </c>
      <c r="H51" s="10"/>
      <c r="I51" s="10"/>
      <c r="J51" s="4"/>
    </row>
    <row r="52" spans="1:10" ht="17.399999999999999" x14ac:dyDescent="0.3">
      <c r="A52" s="88"/>
      <c r="B52" s="72"/>
      <c r="C52" s="101" t="s">
        <v>374</v>
      </c>
      <c r="D52" s="102"/>
      <c r="E52" s="102">
        <v>0</v>
      </c>
      <c r="F52" s="107"/>
      <c r="G52" s="115">
        <f>E52*F52</f>
        <v>0</v>
      </c>
      <c r="H52" s="10"/>
      <c r="I52" s="10"/>
      <c r="J52" s="4"/>
    </row>
    <row r="53" spans="1:10" ht="17.399999999999999" x14ac:dyDescent="0.3">
      <c r="A53" s="88"/>
      <c r="B53" s="72"/>
      <c r="C53" s="101"/>
      <c r="D53" s="102"/>
      <c r="E53" s="102">
        <v>0</v>
      </c>
      <c r="F53" s="107"/>
      <c r="G53" s="115">
        <f t="shared" ref="G53" si="3">E53*F53</f>
        <v>0</v>
      </c>
      <c r="H53" s="10"/>
      <c r="I53" s="10"/>
      <c r="J53" s="4"/>
    </row>
    <row r="54" spans="1:10" ht="17.399999999999999" x14ac:dyDescent="0.3">
      <c r="A54" s="88"/>
      <c r="B54" s="72"/>
      <c r="C54" s="99" t="s">
        <v>375</v>
      </c>
      <c r="D54" s="100"/>
      <c r="E54" s="100"/>
      <c r="F54" s="100"/>
      <c r="G54" s="98"/>
      <c r="H54" s="104">
        <f>SUM(G52:G53)</f>
        <v>0</v>
      </c>
      <c r="I54" s="10"/>
      <c r="J54" s="4"/>
    </row>
    <row r="55" spans="1:10" ht="17.399999999999999" x14ac:dyDescent="0.3">
      <c r="A55" s="88"/>
      <c r="B55" s="72"/>
      <c r="C55" s="10"/>
      <c r="D55" s="23"/>
      <c r="E55" s="23"/>
      <c r="F55" s="23"/>
      <c r="G55" s="10"/>
      <c r="H55" s="10"/>
      <c r="I55" s="10"/>
      <c r="J55" s="4"/>
    </row>
    <row r="56" spans="1:10" ht="26.4" x14ac:dyDescent="0.3">
      <c r="A56" s="88"/>
      <c r="B56" s="72">
        <v>3</v>
      </c>
      <c r="C56" s="99" t="s">
        <v>376</v>
      </c>
      <c r="D56" s="100" t="s">
        <v>377</v>
      </c>
      <c r="E56" s="116" t="s">
        <v>378</v>
      </c>
      <c r="F56" s="100" t="s">
        <v>379</v>
      </c>
      <c r="G56" s="10"/>
      <c r="H56" s="10"/>
      <c r="I56" s="10"/>
      <c r="J56" s="4"/>
    </row>
    <row r="57" spans="1:10" ht="17.399999999999999" x14ac:dyDescent="0.3">
      <c r="A57" s="88"/>
      <c r="B57" s="72"/>
      <c r="C57" s="101"/>
      <c r="D57" s="102">
        <v>0</v>
      </c>
      <c r="E57" s="23">
        <v>0</v>
      </c>
      <c r="F57" s="102">
        <f>D57*E57</f>
        <v>0</v>
      </c>
      <c r="G57" s="10"/>
      <c r="H57" s="10"/>
      <c r="I57" s="10"/>
      <c r="J57" s="4"/>
    </row>
    <row r="58" spans="1:10" ht="17.399999999999999" x14ac:dyDescent="0.3">
      <c r="A58" s="88"/>
      <c r="B58" s="72"/>
      <c r="C58" s="101"/>
      <c r="D58" s="102">
        <v>0</v>
      </c>
      <c r="E58" s="23">
        <v>0</v>
      </c>
      <c r="F58" s="102">
        <f t="shared" ref="F58:F59" si="4">D58*E58</f>
        <v>0</v>
      </c>
      <c r="G58" s="10"/>
      <c r="H58" s="10"/>
      <c r="I58" s="10"/>
      <c r="J58" s="4"/>
    </row>
    <row r="59" spans="1:10" ht="17.399999999999999" x14ac:dyDescent="0.3">
      <c r="A59" s="88"/>
      <c r="B59" s="72"/>
      <c r="C59" s="101"/>
      <c r="D59" s="102"/>
      <c r="E59" s="23"/>
      <c r="F59" s="102">
        <f t="shared" si="4"/>
        <v>0</v>
      </c>
      <c r="G59" s="10"/>
      <c r="H59" s="10"/>
      <c r="I59" s="10"/>
      <c r="J59" s="4"/>
    </row>
    <row r="60" spans="1:10" ht="17.399999999999999" x14ac:dyDescent="0.3">
      <c r="A60" s="88"/>
      <c r="B60" s="72"/>
      <c r="C60" s="99" t="s">
        <v>380</v>
      </c>
      <c r="D60" s="100"/>
      <c r="E60" s="100"/>
      <c r="F60" s="100"/>
      <c r="G60" s="98"/>
      <c r="H60" s="104">
        <f>SUM(F57:F59)</f>
        <v>0</v>
      </c>
      <c r="I60" s="10"/>
      <c r="J60" s="4"/>
    </row>
    <row r="61" spans="1:10" ht="17.399999999999999" x14ac:dyDescent="0.3">
      <c r="A61" s="88"/>
      <c r="B61" s="72"/>
      <c r="C61" s="24"/>
      <c r="D61" s="114"/>
      <c r="E61" s="114"/>
      <c r="F61" s="114"/>
      <c r="G61" s="24"/>
      <c r="H61" s="24"/>
      <c r="I61" s="24"/>
      <c r="J61" s="4"/>
    </row>
    <row r="62" spans="1:10" ht="26.4" x14ac:dyDescent="0.3">
      <c r="A62" s="88"/>
      <c r="B62" s="72" t="s">
        <v>390</v>
      </c>
      <c r="C62" s="99" t="s">
        <v>381</v>
      </c>
      <c r="D62" s="23"/>
      <c r="E62" s="116" t="s">
        <v>379</v>
      </c>
      <c r="F62" s="116" t="s">
        <v>382</v>
      </c>
      <c r="G62" s="116" t="s">
        <v>383</v>
      </c>
      <c r="H62" s="10"/>
      <c r="I62" s="10"/>
      <c r="J62" s="4"/>
    </row>
    <row r="63" spans="1:10" ht="17.399999999999999" x14ac:dyDescent="0.3">
      <c r="A63" s="88"/>
      <c r="B63" s="72"/>
      <c r="C63" s="101"/>
      <c r="D63" s="23"/>
      <c r="E63" s="102">
        <v>0</v>
      </c>
      <c r="F63" s="107"/>
      <c r="G63" s="102">
        <f>F63*E63</f>
        <v>0</v>
      </c>
      <c r="H63" s="10"/>
      <c r="I63" s="10"/>
      <c r="J63" s="4"/>
    </row>
    <row r="64" spans="1:10" ht="17.399999999999999" x14ac:dyDescent="0.3">
      <c r="A64" s="88"/>
      <c r="B64" s="72"/>
      <c r="C64" s="101"/>
      <c r="D64" s="23"/>
      <c r="E64" s="102">
        <v>0</v>
      </c>
      <c r="F64" s="107"/>
      <c r="G64" s="102">
        <f t="shared" ref="G64:G66" si="5">F64*E64</f>
        <v>0</v>
      </c>
      <c r="H64" s="10"/>
      <c r="I64" s="10"/>
      <c r="J64" s="4"/>
    </row>
    <row r="65" spans="1:10" ht="17.399999999999999" x14ac:dyDescent="0.3">
      <c r="A65" s="88"/>
      <c r="B65" s="72"/>
      <c r="C65" s="101"/>
      <c r="D65" s="23"/>
      <c r="E65" s="102">
        <v>0</v>
      </c>
      <c r="F65" s="107"/>
      <c r="G65" s="102">
        <f t="shared" si="5"/>
        <v>0</v>
      </c>
      <c r="H65" s="10"/>
      <c r="I65" s="10"/>
      <c r="J65" s="4"/>
    </row>
    <row r="66" spans="1:10" ht="17.399999999999999" x14ac:dyDescent="0.3">
      <c r="A66" s="88"/>
      <c r="B66" s="72"/>
      <c r="C66" s="101"/>
      <c r="D66" s="23"/>
      <c r="E66" s="102"/>
      <c r="F66" s="107"/>
      <c r="G66" s="102">
        <f t="shared" si="5"/>
        <v>0</v>
      </c>
      <c r="H66" s="10"/>
      <c r="I66" s="10"/>
      <c r="J66" s="4"/>
    </row>
    <row r="67" spans="1:10" ht="17.399999999999999" x14ac:dyDescent="0.3">
      <c r="A67" s="88"/>
      <c r="B67" s="72"/>
      <c r="C67" s="98" t="s">
        <v>384</v>
      </c>
      <c r="D67" s="100"/>
      <c r="E67" s="100"/>
      <c r="F67" s="100"/>
      <c r="G67" s="98"/>
      <c r="H67" s="104">
        <f>SUM(G63:G66)</f>
        <v>0</v>
      </c>
      <c r="I67" s="10"/>
      <c r="J67" s="4"/>
    </row>
    <row r="68" spans="1:10" x14ac:dyDescent="0.3">
      <c r="A68" s="88"/>
      <c r="B68" s="4"/>
      <c r="C68" s="88"/>
      <c r="D68" s="89"/>
      <c r="E68" s="89"/>
      <c r="F68" s="89"/>
      <c r="G68" s="88"/>
      <c r="H68" s="88"/>
      <c r="I68" s="88"/>
      <c r="J68" s="88"/>
    </row>
    <row r="69" spans="1:10" x14ac:dyDescent="0.3">
      <c r="C69"/>
      <c r="F69" s="87"/>
    </row>
    <row r="70" spans="1:10" x14ac:dyDescent="0.3">
      <c r="C70"/>
      <c r="F70" s="87"/>
    </row>
    <row r="71" spans="1:10" x14ac:dyDescent="0.3">
      <c r="C71"/>
      <c r="F71" s="87"/>
    </row>
    <row r="72" spans="1:10" x14ac:dyDescent="0.3">
      <c r="C72"/>
      <c r="F72" s="87"/>
    </row>
    <row r="73" spans="1:10" x14ac:dyDescent="0.3">
      <c r="C73"/>
      <c r="F73" s="87"/>
    </row>
    <row r="74" spans="1:10" x14ac:dyDescent="0.3">
      <c r="C74"/>
      <c r="F74" s="87"/>
    </row>
    <row r="75" spans="1:10" x14ac:dyDescent="0.3">
      <c r="C75"/>
      <c r="F75" s="87"/>
    </row>
    <row r="76" spans="1:10" x14ac:dyDescent="0.3">
      <c r="C76"/>
      <c r="F76" s="87"/>
    </row>
    <row r="77" spans="1:10" x14ac:dyDescent="0.3">
      <c r="C77"/>
      <c r="F77" s="87"/>
    </row>
    <row r="78" spans="1:10" x14ac:dyDescent="0.3">
      <c r="C78"/>
      <c r="F78" s="87"/>
    </row>
    <row r="79" spans="1:10" x14ac:dyDescent="0.3">
      <c r="C79"/>
      <c r="F79" s="87"/>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35"/>
  <sheetViews>
    <sheetView topLeftCell="A78" workbookViewId="0">
      <selection activeCell="AB95" sqref="AB95"/>
    </sheetView>
  </sheetViews>
  <sheetFormatPr defaultRowHeight="14.4" x14ac:dyDescent="0.3"/>
  <sheetData>
    <row r="1" spans="1:1" x14ac:dyDescent="0.3">
      <c r="A1" s="127" t="s">
        <v>401</v>
      </c>
    </row>
    <row r="2" spans="1:1" x14ac:dyDescent="0.3">
      <c r="A2" s="126">
        <v>0</v>
      </c>
    </row>
    <row r="3" spans="1:1" x14ac:dyDescent="0.3">
      <c r="A3" s="126">
        <v>1</v>
      </c>
    </row>
    <row r="4" spans="1:1" x14ac:dyDescent="0.3">
      <c r="A4" s="126">
        <v>2</v>
      </c>
    </row>
    <row r="5" spans="1:1" x14ac:dyDescent="0.3">
      <c r="A5" s="126">
        <v>3</v>
      </c>
    </row>
    <row r="6" spans="1:1" x14ac:dyDescent="0.3">
      <c r="A6" s="126">
        <v>4</v>
      </c>
    </row>
    <row r="7" spans="1:1" x14ac:dyDescent="0.3">
      <c r="A7" s="126">
        <v>5</v>
      </c>
    </row>
    <row r="8" spans="1:1" x14ac:dyDescent="0.3">
      <c r="A8" s="126">
        <v>6</v>
      </c>
    </row>
    <row r="9" spans="1:1" x14ac:dyDescent="0.3">
      <c r="A9" s="126">
        <v>7</v>
      </c>
    </row>
    <row r="10" spans="1:1" x14ac:dyDescent="0.3">
      <c r="A10" s="126">
        <v>8</v>
      </c>
    </row>
    <row r="11" spans="1:1" x14ac:dyDescent="0.3">
      <c r="A11" s="126">
        <v>9</v>
      </c>
    </row>
    <row r="12" spans="1:1" x14ac:dyDescent="0.3">
      <c r="A12" s="126">
        <v>10</v>
      </c>
    </row>
    <row r="14" spans="1:1" x14ac:dyDescent="0.3">
      <c r="A14" s="127" t="s">
        <v>402</v>
      </c>
    </row>
    <row r="15" spans="1:1" x14ac:dyDescent="0.3">
      <c r="A15" s="126" t="s">
        <v>403</v>
      </c>
    </row>
    <row r="16" spans="1:1" x14ac:dyDescent="0.3">
      <c r="A16" s="126" t="s">
        <v>404</v>
      </c>
    </row>
    <row r="17" spans="1:1" x14ac:dyDescent="0.3">
      <c r="A17" s="126" t="s">
        <v>405</v>
      </c>
    </row>
    <row r="19" spans="1:1" x14ac:dyDescent="0.3">
      <c r="A19" s="127" t="s">
        <v>406</v>
      </c>
    </row>
    <row r="20" spans="1:1" x14ac:dyDescent="0.3">
      <c r="A20" s="125" t="s">
        <v>407</v>
      </c>
    </row>
    <row r="21" spans="1:1" x14ac:dyDescent="0.3">
      <c r="A21" s="125" t="s">
        <v>408</v>
      </c>
    </row>
    <row r="22" spans="1:1" x14ac:dyDescent="0.3">
      <c r="A22" s="125" t="s">
        <v>409</v>
      </c>
    </row>
    <row r="23" spans="1:1" x14ac:dyDescent="0.3">
      <c r="A23" s="125" t="s">
        <v>410</v>
      </c>
    </row>
    <row r="24" spans="1:1" x14ac:dyDescent="0.3">
      <c r="A24" s="125" t="s">
        <v>405</v>
      </c>
    </row>
    <row r="25" spans="1:1" x14ac:dyDescent="0.3">
      <c r="A25" s="125"/>
    </row>
    <row r="26" spans="1:1" x14ac:dyDescent="0.3">
      <c r="A26" s="127" t="s">
        <v>411</v>
      </c>
    </row>
    <row r="27" spans="1:1" x14ac:dyDescent="0.3">
      <c r="A27" s="126" t="s">
        <v>412</v>
      </c>
    </row>
    <row r="28" spans="1:1" x14ac:dyDescent="0.3">
      <c r="A28" s="126" t="s">
        <v>413</v>
      </c>
    </row>
    <row r="29" spans="1:1" x14ac:dyDescent="0.3">
      <c r="A29" s="126" t="s">
        <v>414</v>
      </c>
    </row>
    <row r="30" spans="1:1" x14ac:dyDescent="0.3">
      <c r="A30" s="126" t="s">
        <v>415</v>
      </c>
    </row>
    <row r="31" spans="1:1" x14ac:dyDescent="0.3">
      <c r="A31" s="126" t="s">
        <v>416</v>
      </c>
    </row>
    <row r="33" spans="1:1" x14ac:dyDescent="0.3">
      <c r="A33" s="127" t="s">
        <v>417</v>
      </c>
    </row>
    <row r="34" spans="1:1" x14ac:dyDescent="0.3">
      <c r="A34" s="126" t="s">
        <v>418</v>
      </c>
    </row>
    <row r="35" spans="1:1" x14ac:dyDescent="0.3">
      <c r="A35" s="126" t="s">
        <v>419</v>
      </c>
    </row>
    <row r="36" spans="1:1" x14ac:dyDescent="0.3">
      <c r="A36" s="126" t="s">
        <v>420</v>
      </c>
    </row>
    <row r="37" spans="1:1" x14ac:dyDescent="0.3">
      <c r="A37" s="126" t="s">
        <v>421</v>
      </c>
    </row>
    <row r="38" spans="1:1" x14ac:dyDescent="0.3">
      <c r="A38" s="126" t="s">
        <v>422</v>
      </c>
    </row>
    <row r="39" spans="1:1" x14ac:dyDescent="0.3">
      <c r="A39" s="126" t="s">
        <v>423</v>
      </c>
    </row>
    <row r="40" spans="1:1" x14ac:dyDescent="0.3">
      <c r="A40" s="125" t="s">
        <v>424</v>
      </c>
    </row>
    <row r="42" spans="1:1" x14ac:dyDescent="0.3">
      <c r="A42" s="127" t="s">
        <v>399</v>
      </c>
    </row>
    <row r="43" spans="1:1" x14ac:dyDescent="0.3">
      <c r="A43" s="126">
        <v>1</v>
      </c>
    </row>
    <row r="44" spans="1:1" x14ac:dyDescent="0.3">
      <c r="A44" s="126">
        <v>2</v>
      </c>
    </row>
    <row r="45" spans="1:1" x14ac:dyDescent="0.3">
      <c r="A45" s="126">
        <v>4</v>
      </c>
    </row>
    <row r="46" spans="1:1" x14ac:dyDescent="0.3">
      <c r="A46" s="126"/>
    </row>
    <row r="47" spans="1:1" x14ac:dyDescent="0.3">
      <c r="A47" s="127" t="s">
        <v>425</v>
      </c>
    </row>
    <row r="48" spans="1:1" x14ac:dyDescent="0.3">
      <c r="A48" s="126" t="s">
        <v>426</v>
      </c>
    </row>
    <row r="49" spans="1:1" x14ac:dyDescent="0.3">
      <c r="A49" s="126" t="s">
        <v>427</v>
      </c>
    </row>
    <row r="50" spans="1:1" x14ac:dyDescent="0.3">
      <c r="A50" s="126" t="s">
        <v>428</v>
      </c>
    </row>
    <row r="51" spans="1:1" x14ac:dyDescent="0.3">
      <c r="A51" s="126" t="s">
        <v>429</v>
      </c>
    </row>
    <row r="52" spans="1:1" x14ac:dyDescent="0.3">
      <c r="A52" s="126" t="s">
        <v>430</v>
      </c>
    </row>
    <row r="53" spans="1:1" x14ac:dyDescent="0.3">
      <c r="A53" s="126" t="s">
        <v>431</v>
      </c>
    </row>
    <row r="54" spans="1:1" x14ac:dyDescent="0.3">
      <c r="A54" s="126" t="s">
        <v>432</v>
      </c>
    </row>
    <row r="56" spans="1:1" x14ac:dyDescent="0.3">
      <c r="A56" s="127" t="s">
        <v>433</v>
      </c>
    </row>
    <row r="57" spans="1:1" x14ac:dyDescent="0.3">
      <c r="A57" s="125" t="s">
        <v>434</v>
      </c>
    </row>
    <row r="58" spans="1:1" x14ac:dyDescent="0.3">
      <c r="A58" s="125" t="s">
        <v>435</v>
      </c>
    </row>
    <row r="59" spans="1:1" x14ac:dyDescent="0.3">
      <c r="A59" s="126" t="s">
        <v>436</v>
      </c>
    </row>
    <row r="61" spans="1:1" x14ac:dyDescent="0.3">
      <c r="A61" s="127" t="s">
        <v>437</v>
      </c>
    </row>
    <row r="62" spans="1:1" x14ac:dyDescent="0.3">
      <c r="A62" s="125" t="s">
        <v>438</v>
      </c>
    </row>
    <row r="63" spans="1:1" x14ac:dyDescent="0.3">
      <c r="A63" s="125" t="s">
        <v>439</v>
      </c>
    </row>
    <row r="64" spans="1:1" x14ac:dyDescent="0.3">
      <c r="A64" s="125" t="s">
        <v>440</v>
      </c>
    </row>
    <row r="65" spans="1:1" x14ac:dyDescent="0.3">
      <c r="A65" s="125" t="s">
        <v>441</v>
      </c>
    </row>
    <row r="66" spans="1:1" x14ac:dyDescent="0.3">
      <c r="A66" s="125" t="s">
        <v>558</v>
      </c>
    </row>
    <row r="67" spans="1:1" x14ac:dyDescent="0.3">
      <c r="A67" s="125" t="s">
        <v>442</v>
      </c>
    </row>
    <row r="68" spans="1:1" x14ac:dyDescent="0.3">
      <c r="A68" s="125"/>
    </row>
    <row r="69" spans="1:1" x14ac:dyDescent="0.3">
      <c r="A69" s="127" t="s">
        <v>443</v>
      </c>
    </row>
    <row r="70" spans="1:1" x14ac:dyDescent="0.3">
      <c r="A70" s="126" t="s">
        <v>444</v>
      </c>
    </row>
    <row r="71" spans="1:1" x14ac:dyDescent="0.3">
      <c r="A71" s="126" t="s">
        <v>445</v>
      </c>
    </row>
    <row r="73" spans="1:1" x14ac:dyDescent="0.3">
      <c r="A73" s="127" t="s">
        <v>446</v>
      </c>
    </row>
    <row r="74" spans="1:1" x14ac:dyDescent="0.3">
      <c r="A74" s="126" t="s">
        <v>447</v>
      </c>
    </row>
    <row r="75" spans="1:1" x14ac:dyDescent="0.3">
      <c r="A75" s="126" t="s">
        <v>445</v>
      </c>
    </row>
    <row r="77" spans="1:1" x14ac:dyDescent="0.3">
      <c r="A77" s="127" t="s">
        <v>448</v>
      </c>
    </row>
    <row r="78" spans="1:1" x14ac:dyDescent="0.3">
      <c r="A78" s="126" t="s">
        <v>444</v>
      </c>
    </row>
    <row r="79" spans="1:1" x14ac:dyDescent="0.3">
      <c r="A79" s="126" t="s">
        <v>449</v>
      </c>
    </row>
    <row r="81" spans="1:1" x14ac:dyDescent="0.3">
      <c r="A81" s="127" t="s">
        <v>450</v>
      </c>
    </row>
    <row r="82" spans="1:1" x14ac:dyDescent="0.3">
      <c r="A82" s="126">
        <v>1</v>
      </c>
    </row>
    <row r="83" spans="1:1" x14ac:dyDescent="0.3">
      <c r="A83" s="126" t="s">
        <v>451</v>
      </c>
    </row>
    <row r="84" spans="1:1" x14ac:dyDescent="0.3">
      <c r="A84" s="126" t="s">
        <v>452</v>
      </c>
    </row>
    <row r="85" spans="1:1" x14ac:dyDescent="0.3">
      <c r="A85" s="126" t="s">
        <v>453</v>
      </c>
    </row>
    <row r="87" spans="1:1" x14ac:dyDescent="0.3">
      <c r="A87" s="127" t="s">
        <v>454</v>
      </c>
    </row>
    <row r="88" spans="1:1" x14ac:dyDescent="0.3">
      <c r="A88" s="126" t="s">
        <v>455</v>
      </c>
    </row>
    <row r="89" spans="1:1" x14ac:dyDescent="0.3">
      <c r="A89" s="126" t="s">
        <v>427</v>
      </c>
    </row>
    <row r="90" spans="1:1" x14ac:dyDescent="0.3">
      <c r="A90" s="126" t="s">
        <v>456</v>
      </c>
    </row>
    <row r="92" spans="1:1" x14ac:dyDescent="0.3">
      <c r="A92" s="127" t="s">
        <v>457</v>
      </c>
    </row>
    <row r="93" spans="1:1" x14ac:dyDescent="0.3">
      <c r="A93" s="126" t="s">
        <v>458</v>
      </c>
    </row>
    <row r="94" spans="1:1" x14ac:dyDescent="0.3">
      <c r="A94" s="126" t="s">
        <v>459</v>
      </c>
    </row>
    <row r="95" spans="1:1" x14ac:dyDescent="0.3">
      <c r="A95" s="126" t="s">
        <v>460</v>
      </c>
    </row>
    <row r="96" spans="1:1" x14ac:dyDescent="0.3">
      <c r="A96" s="126" t="s">
        <v>405</v>
      </c>
    </row>
    <row r="98" spans="1:1" x14ac:dyDescent="0.3">
      <c r="A98" s="127" t="s">
        <v>461</v>
      </c>
    </row>
    <row r="99" spans="1:1" x14ac:dyDescent="0.3">
      <c r="A99" s="126" t="s">
        <v>462</v>
      </c>
    </row>
    <row r="100" spans="1:1" x14ac:dyDescent="0.3">
      <c r="A100" s="126" t="s">
        <v>463</v>
      </c>
    </row>
    <row r="101" spans="1:1" x14ac:dyDescent="0.3">
      <c r="A101" s="126" t="s">
        <v>464</v>
      </c>
    </row>
    <row r="102" spans="1:1" x14ac:dyDescent="0.3">
      <c r="A102" s="126" t="s">
        <v>465</v>
      </c>
    </row>
    <row r="103" spans="1:1" x14ac:dyDescent="0.3">
      <c r="A103" s="126" t="s">
        <v>424</v>
      </c>
    </row>
    <row r="104" spans="1:1" x14ac:dyDescent="0.3">
      <c r="A104" s="126" t="s">
        <v>466</v>
      </c>
    </row>
    <row r="106" spans="1:1" x14ac:dyDescent="0.3">
      <c r="A106" s="127" t="s">
        <v>467</v>
      </c>
    </row>
    <row r="107" spans="1:1" x14ac:dyDescent="0.3">
      <c r="A107" s="124" t="s">
        <v>468</v>
      </c>
    </row>
    <row r="108" spans="1:1" x14ac:dyDescent="0.3">
      <c r="A108" s="124" t="s">
        <v>469</v>
      </c>
    </row>
    <row r="109" spans="1:1" x14ac:dyDescent="0.3">
      <c r="A109" s="124" t="s">
        <v>470</v>
      </c>
    </row>
    <row r="110" spans="1:1" x14ac:dyDescent="0.3">
      <c r="A110" s="124" t="s">
        <v>471</v>
      </c>
    </row>
    <row r="111" spans="1:1" x14ac:dyDescent="0.3">
      <c r="A111" s="124" t="s">
        <v>472</v>
      </c>
    </row>
    <row r="112" spans="1:1" x14ac:dyDescent="0.3">
      <c r="A112" s="124" t="s">
        <v>473</v>
      </c>
    </row>
    <row r="113" spans="1:1" x14ac:dyDescent="0.3">
      <c r="A113" s="124" t="s">
        <v>474</v>
      </c>
    </row>
    <row r="114" spans="1:1" x14ac:dyDescent="0.3">
      <c r="A114" s="124" t="s">
        <v>475</v>
      </c>
    </row>
    <row r="115" spans="1:1" x14ac:dyDescent="0.3">
      <c r="A115" s="126" t="s">
        <v>424</v>
      </c>
    </row>
    <row r="117" spans="1:1" x14ac:dyDescent="0.3">
      <c r="A117" s="127" t="s">
        <v>476</v>
      </c>
    </row>
    <row r="118" spans="1:1" x14ac:dyDescent="0.3">
      <c r="A118" s="126" t="s">
        <v>477</v>
      </c>
    </row>
    <row r="119" spans="1:1" x14ac:dyDescent="0.3">
      <c r="A119" s="126" t="s">
        <v>478</v>
      </c>
    </row>
    <row r="120" spans="1:1" x14ac:dyDescent="0.3">
      <c r="A120" s="126" t="s">
        <v>479</v>
      </c>
    </row>
    <row r="121" spans="1:1" x14ac:dyDescent="0.3">
      <c r="A121" s="126" t="s">
        <v>480</v>
      </c>
    </row>
    <row r="122" spans="1:1" x14ac:dyDescent="0.3">
      <c r="A122" s="126" t="s">
        <v>481</v>
      </c>
    </row>
    <row r="123" spans="1:1" x14ac:dyDescent="0.3">
      <c r="A123" s="126" t="s">
        <v>482</v>
      </c>
    </row>
    <row r="124" spans="1:1" x14ac:dyDescent="0.3">
      <c r="A124" s="126" t="s">
        <v>483</v>
      </c>
    </row>
    <row r="125" spans="1:1" x14ac:dyDescent="0.3">
      <c r="A125" s="126" t="s">
        <v>424</v>
      </c>
    </row>
    <row r="127" spans="1:1" x14ac:dyDescent="0.3">
      <c r="A127" s="127" t="s">
        <v>484</v>
      </c>
    </row>
    <row r="128" spans="1:1" x14ac:dyDescent="0.3">
      <c r="A128" s="126" t="s">
        <v>485</v>
      </c>
    </row>
    <row r="129" spans="1:1" x14ac:dyDescent="0.3">
      <c r="A129" s="126" t="s">
        <v>486</v>
      </c>
    </row>
    <row r="130" spans="1:1" x14ac:dyDescent="0.3">
      <c r="A130" s="126" t="s">
        <v>487</v>
      </c>
    </row>
    <row r="131" spans="1:1" x14ac:dyDescent="0.3">
      <c r="A131" s="126" t="s">
        <v>488</v>
      </c>
    </row>
    <row r="132" spans="1:1" x14ac:dyDescent="0.3">
      <c r="A132" s="126" t="s">
        <v>489</v>
      </c>
    </row>
    <row r="133" spans="1:1" x14ac:dyDescent="0.3">
      <c r="A133" s="126" t="s">
        <v>490</v>
      </c>
    </row>
    <row r="134" spans="1:1" x14ac:dyDescent="0.3">
      <c r="A134" s="126" t="s">
        <v>491</v>
      </c>
    </row>
    <row r="135" spans="1:1" x14ac:dyDescent="0.3">
      <c r="A135" s="126" t="s">
        <v>424</v>
      </c>
    </row>
    <row r="137" spans="1:1" x14ac:dyDescent="0.3">
      <c r="A137" s="127" t="s">
        <v>492</v>
      </c>
    </row>
    <row r="138" spans="1:1" x14ac:dyDescent="0.3">
      <c r="A138" s="126" t="s">
        <v>493</v>
      </c>
    </row>
    <row r="139" spans="1:1" x14ac:dyDescent="0.3">
      <c r="A139" s="126" t="s">
        <v>494</v>
      </c>
    </row>
    <row r="140" spans="1:1" x14ac:dyDescent="0.3">
      <c r="A140" s="126" t="s">
        <v>495</v>
      </c>
    </row>
    <row r="141" spans="1:1" x14ac:dyDescent="0.3">
      <c r="A141" s="126" t="s">
        <v>496</v>
      </c>
    </row>
    <row r="142" spans="1:1" x14ac:dyDescent="0.3">
      <c r="A142" s="126" t="s">
        <v>497</v>
      </c>
    </row>
    <row r="143" spans="1:1" x14ac:dyDescent="0.3">
      <c r="A143" s="126" t="s">
        <v>498</v>
      </c>
    </row>
    <row r="144" spans="1:1" x14ac:dyDescent="0.3">
      <c r="A144" s="126" t="s">
        <v>499</v>
      </c>
    </row>
    <row r="145" spans="1:1" x14ac:dyDescent="0.3">
      <c r="A145" s="126" t="s">
        <v>424</v>
      </c>
    </row>
    <row r="147" spans="1:1" x14ac:dyDescent="0.3">
      <c r="A147" s="127" t="s">
        <v>500</v>
      </c>
    </row>
    <row r="148" spans="1:1" x14ac:dyDescent="0.3">
      <c r="A148" s="126" t="s">
        <v>501</v>
      </c>
    </row>
    <row r="149" spans="1:1" x14ac:dyDescent="0.3">
      <c r="A149" s="126" t="s">
        <v>502</v>
      </c>
    </row>
    <row r="151" spans="1:1" x14ac:dyDescent="0.3">
      <c r="A151" s="127" t="s">
        <v>503</v>
      </c>
    </row>
    <row r="152" spans="1:1" x14ac:dyDescent="0.3">
      <c r="A152" s="126" t="s">
        <v>23</v>
      </c>
    </row>
    <row r="153" spans="1:1" x14ac:dyDescent="0.3">
      <c r="A153" s="126" t="s">
        <v>74</v>
      </c>
    </row>
    <row r="154" spans="1:1" x14ac:dyDescent="0.3">
      <c r="A154" s="126" t="s">
        <v>75</v>
      </c>
    </row>
    <row r="155" spans="1:1" x14ac:dyDescent="0.3">
      <c r="A155" s="126" t="s">
        <v>76</v>
      </c>
    </row>
    <row r="156" spans="1:1" x14ac:dyDescent="0.3">
      <c r="A156" s="126" t="s">
        <v>77</v>
      </c>
    </row>
    <row r="157" spans="1:1" x14ac:dyDescent="0.3">
      <c r="A157" s="126" t="s">
        <v>78</v>
      </c>
    </row>
    <row r="158" spans="1:1" x14ac:dyDescent="0.3">
      <c r="A158" s="126" t="s">
        <v>504</v>
      </c>
    </row>
    <row r="159" spans="1:1" x14ac:dyDescent="0.3">
      <c r="A159" s="126" t="s">
        <v>505</v>
      </c>
    </row>
    <row r="160" spans="1:1" x14ac:dyDescent="0.3">
      <c r="A160" s="126" t="s">
        <v>506</v>
      </c>
    </row>
    <row r="161" spans="1:1" x14ac:dyDescent="0.3">
      <c r="A161" s="126" t="s">
        <v>507</v>
      </c>
    </row>
    <row r="163" spans="1:1" x14ac:dyDescent="0.3">
      <c r="A163" s="127" t="s">
        <v>508</v>
      </c>
    </row>
    <row r="164" spans="1:1" x14ac:dyDescent="0.3">
      <c r="A164" s="126" t="s">
        <v>509</v>
      </c>
    </row>
    <row r="165" spans="1:1" x14ac:dyDescent="0.3">
      <c r="A165" s="126" t="s">
        <v>510</v>
      </c>
    </row>
    <row r="166" spans="1:1" x14ac:dyDescent="0.3">
      <c r="A166" s="126" t="s">
        <v>511</v>
      </c>
    </row>
    <row r="167" spans="1:1" x14ac:dyDescent="0.3">
      <c r="A167" s="126" t="s">
        <v>512</v>
      </c>
    </row>
    <row r="169" spans="1:1" x14ac:dyDescent="0.3">
      <c r="A169" s="127" t="s">
        <v>513</v>
      </c>
    </row>
    <row r="170" spans="1:1" x14ac:dyDescent="0.3">
      <c r="A170" s="126" t="s">
        <v>514</v>
      </c>
    </row>
    <row r="171" spans="1:1" x14ac:dyDescent="0.3">
      <c r="A171" s="126" t="s">
        <v>515</v>
      </c>
    </row>
    <row r="172" spans="1:1" x14ac:dyDescent="0.3">
      <c r="A172" s="126" t="s">
        <v>516</v>
      </c>
    </row>
    <row r="174" spans="1:1" x14ac:dyDescent="0.3">
      <c r="A174" s="127" t="s">
        <v>517</v>
      </c>
    </row>
    <row r="175" spans="1:1" x14ac:dyDescent="0.3">
      <c r="A175" s="126" t="s">
        <v>518</v>
      </c>
    </row>
    <row r="176" spans="1:1" x14ac:dyDescent="0.3">
      <c r="A176" s="126" t="s">
        <v>519</v>
      </c>
    </row>
    <row r="177" spans="1:1" x14ac:dyDescent="0.3">
      <c r="A177" s="126" t="s">
        <v>520</v>
      </c>
    </row>
    <row r="178" spans="1:1" x14ac:dyDescent="0.3">
      <c r="A178" s="126" t="s">
        <v>521</v>
      </c>
    </row>
    <row r="180" spans="1:1" x14ac:dyDescent="0.3">
      <c r="A180" s="127" t="s">
        <v>400</v>
      </c>
    </row>
    <row r="181" spans="1:1" x14ac:dyDescent="0.3">
      <c r="A181" s="126" t="s">
        <v>522</v>
      </c>
    </row>
    <row r="182" spans="1:1" x14ac:dyDescent="0.3">
      <c r="A182" s="126" t="s">
        <v>523</v>
      </c>
    </row>
    <row r="183" spans="1:1" x14ac:dyDescent="0.3">
      <c r="A183" s="126" t="s">
        <v>424</v>
      </c>
    </row>
    <row r="184" spans="1:1" x14ac:dyDescent="0.3">
      <c r="A184" s="126" t="s">
        <v>524</v>
      </c>
    </row>
    <row r="186" spans="1:1" x14ac:dyDescent="0.3">
      <c r="A186" s="127" t="s">
        <v>525</v>
      </c>
    </row>
    <row r="187" spans="1:1" x14ac:dyDescent="0.3">
      <c r="A187" s="126" t="s">
        <v>526</v>
      </c>
    </row>
    <row r="188" spans="1:1" x14ac:dyDescent="0.3">
      <c r="A188" s="126" t="s">
        <v>527</v>
      </c>
    </row>
    <row r="189" spans="1:1" x14ac:dyDescent="0.3">
      <c r="A189" s="126" t="s">
        <v>528</v>
      </c>
    </row>
    <row r="190" spans="1:1" x14ac:dyDescent="0.3">
      <c r="A190" s="126" t="s">
        <v>524</v>
      </c>
    </row>
    <row r="192" spans="1:1" x14ac:dyDescent="0.3">
      <c r="A192" s="127" t="s">
        <v>529</v>
      </c>
    </row>
    <row r="193" spans="1:1" x14ac:dyDescent="0.3">
      <c r="A193" s="126" t="s">
        <v>530</v>
      </c>
    </row>
    <row r="194" spans="1:1" x14ac:dyDescent="0.3">
      <c r="A194" s="126" t="s">
        <v>531</v>
      </c>
    </row>
    <row r="196" spans="1:1" x14ac:dyDescent="0.3">
      <c r="A196" s="127" t="s">
        <v>532</v>
      </c>
    </row>
    <row r="197" spans="1:1" x14ac:dyDescent="0.3">
      <c r="A197" s="126">
        <v>8</v>
      </c>
    </row>
    <row r="198" spans="1:1" x14ac:dyDescent="0.3">
      <c r="A198" s="126">
        <v>9</v>
      </c>
    </row>
    <row r="199" spans="1:1" x14ac:dyDescent="0.3">
      <c r="A199" s="126">
        <v>10</v>
      </c>
    </row>
    <row r="200" spans="1:1" x14ac:dyDescent="0.3">
      <c r="A200" s="126">
        <v>11</v>
      </c>
    </row>
    <row r="202" spans="1:1" x14ac:dyDescent="0.3">
      <c r="A202" s="127" t="s">
        <v>533</v>
      </c>
    </row>
    <row r="203" spans="1:1" x14ac:dyDescent="0.3">
      <c r="A203" s="126" t="s">
        <v>534</v>
      </c>
    </row>
    <row r="204" spans="1:1" x14ac:dyDescent="0.3">
      <c r="A204" s="126" t="s">
        <v>535</v>
      </c>
    </row>
    <row r="205" spans="1:1" x14ac:dyDescent="0.3">
      <c r="A205" s="126" t="s">
        <v>536</v>
      </c>
    </row>
    <row r="206" spans="1:1" x14ac:dyDescent="0.3">
      <c r="A206" s="126" t="s">
        <v>537</v>
      </c>
    </row>
    <row r="208" spans="1:1" x14ac:dyDescent="0.3">
      <c r="A208" s="127" t="s">
        <v>538</v>
      </c>
    </row>
    <row r="209" spans="1:1" x14ac:dyDescent="0.3">
      <c r="A209" s="126" t="s">
        <v>539</v>
      </c>
    </row>
    <row r="210" spans="1:1" x14ac:dyDescent="0.3">
      <c r="A210" s="126" t="s">
        <v>540</v>
      </c>
    </row>
    <row r="212" spans="1:1" x14ac:dyDescent="0.3">
      <c r="A212" s="127" t="s">
        <v>541</v>
      </c>
    </row>
    <row r="213" spans="1:1" x14ac:dyDescent="0.3">
      <c r="A213" s="126" t="s">
        <v>542</v>
      </c>
    </row>
    <row r="214" spans="1:1" x14ac:dyDescent="0.3">
      <c r="A214" s="126" t="s">
        <v>543</v>
      </c>
    </row>
    <row r="215" spans="1:1" x14ac:dyDescent="0.3">
      <c r="A215" s="126" t="s">
        <v>544</v>
      </c>
    </row>
    <row r="217" spans="1:1" x14ac:dyDescent="0.3">
      <c r="A217" s="127" t="s">
        <v>545</v>
      </c>
    </row>
    <row r="218" spans="1:1" x14ac:dyDescent="0.3">
      <c r="A218" s="126" t="s">
        <v>444</v>
      </c>
    </row>
    <row r="219" spans="1:1" x14ac:dyDescent="0.3">
      <c r="A219" s="126" t="s">
        <v>445</v>
      </c>
    </row>
    <row r="220" spans="1:1" x14ac:dyDescent="0.3">
      <c r="A220" s="126" t="s">
        <v>540</v>
      </c>
    </row>
    <row r="222" spans="1:1" x14ac:dyDescent="0.3">
      <c r="A222" s="127" t="s">
        <v>546</v>
      </c>
    </row>
    <row r="223" spans="1:1" x14ac:dyDescent="0.3">
      <c r="A223" s="126" t="s">
        <v>547</v>
      </c>
    </row>
    <row r="224" spans="1:1" x14ac:dyDescent="0.3">
      <c r="A224" s="126" t="s">
        <v>548</v>
      </c>
    </row>
    <row r="225" spans="1:1" x14ac:dyDescent="0.3">
      <c r="A225" s="126" t="s">
        <v>549</v>
      </c>
    </row>
    <row r="227" spans="1:1" x14ac:dyDescent="0.3">
      <c r="A227" s="127" t="s">
        <v>550</v>
      </c>
    </row>
    <row r="228" spans="1:1" x14ac:dyDescent="0.3">
      <c r="A228" s="126" t="s">
        <v>551</v>
      </c>
    </row>
    <row r="229" spans="1:1" x14ac:dyDescent="0.3">
      <c r="A229" s="126" t="s">
        <v>552</v>
      </c>
    </row>
    <row r="230" spans="1:1" x14ac:dyDescent="0.3">
      <c r="A230" s="126" t="s">
        <v>553</v>
      </c>
    </row>
    <row r="232" spans="1:1" x14ac:dyDescent="0.3">
      <c r="A232" s="127" t="s">
        <v>554</v>
      </c>
    </row>
    <row r="233" spans="1:1" x14ac:dyDescent="0.3">
      <c r="A233" s="126" t="s">
        <v>555</v>
      </c>
    </row>
    <row r="234" spans="1:1" x14ac:dyDescent="0.3">
      <c r="A234" s="126" t="s">
        <v>556</v>
      </c>
    </row>
    <row r="235" spans="1:1" x14ac:dyDescent="0.3">
      <c r="A235" s="126" t="s">
        <v>557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U17" sqref="U17"/>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0C58D93-3D2B-4EA7-9A44-F8C8CABED463}">
  <ds:schemaRef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http://purl.org/dc/dcmitype/"/>
    <ds:schemaRef ds:uri="http://schemas.openxmlformats.org/package/2006/metadata/core-properties"/>
    <ds:schemaRef ds:uri="14c339db-4fcb-4cbd-8633-1201a6f0e19b"/>
    <ds:schemaRef ds:uri="63a6c59b-4122-478b-aef6-4fc0178e5f33"/>
    <ds:schemaRef ds:uri="http://schemas.microsoft.com/sharepoint/v3/fields"/>
  </ds:schemaRefs>
</ds:datastoreItem>
</file>

<file path=customXml/itemProps2.xml><?xml version="1.0" encoding="utf-8"?>
<ds:datastoreItem xmlns:ds="http://schemas.openxmlformats.org/officeDocument/2006/customXml" ds:itemID="{8B75DEE6-609E-4C64-818F-AF06BCD70D25}"/>
</file>

<file path=customXml/itemProps3.xml><?xml version="1.0" encoding="utf-8"?>
<ds:datastoreItem xmlns:ds="http://schemas.openxmlformats.org/officeDocument/2006/customXml" ds:itemID="{0C48725B-2F46-4A7F-8837-94A995A964B5}">
  <ds:schemaRefs>
    <ds:schemaRef ds:uri="http://schemas.microsoft.com/sharepoint/v3/contenttype/forms"/>
  </ds:schemaRefs>
</ds:datastoreItem>
</file>

<file path=customXml/itemProps4.xml><?xml version="1.0" encoding="utf-8"?>
<ds:datastoreItem xmlns:ds="http://schemas.openxmlformats.org/officeDocument/2006/customXml" ds:itemID="{D8586BCC-CC51-4A38-9C30-57A6C7A2A7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General</vt:lpstr>
      <vt:lpstr>Application</vt:lpstr>
      <vt:lpstr>Support</vt:lpstr>
      <vt:lpstr>Servers</vt:lpstr>
      <vt:lpstr>Databases</vt:lpstr>
      <vt:lpstr>Interfaces</vt:lpstr>
      <vt:lpstr>Client</vt:lpstr>
      <vt:lpstr>Network</vt:lpstr>
      <vt:lpstr>Security &amp; Compliance</vt:lpstr>
      <vt:lpstr>Cooper Participants</vt:lpstr>
      <vt:lpstr>Cost of ownership</vt:lpstr>
      <vt:lpstr>References</vt:lpstr>
      <vt:lpstr>Sheet1</vt:lpstr>
      <vt:lpstr>Sheet2</vt:lpstr>
      <vt:lpstr>Application!_Toc167765425</vt:lpstr>
      <vt:lpstr>Servers!_Toc167765427</vt:lpstr>
      <vt:lpstr>'Security &amp; Compliance'!_Toc167765428</vt:lpstr>
      <vt:lpstr>Interfaces!_Toc167765429</vt:lpstr>
      <vt:lpstr>Network!_Toc167765430</vt:lpstr>
      <vt:lpstr>ADMINACCESS</vt:lpstr>
      <vt:lpstr>Application_Analyst</vt:lpstr>
      <vt:lpstr>Bandwidth</vt:lpstr>
      <vt:lpstr>Bugfixes</vt:lpstr>
      <vt:lpstr>Clienthardware</vt:lpstr>
      <vt:lpstr>CPU</vt:lpstr>
      <vt:lpstr>Database_Analyst</vt:lpstr>
      <vt:lpstr>DBAudit</vt:lpstr>
      <vt:lpstr>DBAuthentication</vt:lpstr>
      <vt:lpstr>DBHA</vt:lpstr>
      <vt:lpstr>DBManagement</vt:lpstr>
      <vt:lpstr>DBServiceAcct</vt:lpstr>
      <vt:lpstr>DBVersions</vt:lpstr>
      <vt:lpstr>DE_Analyst</vt:lpstr>
      <vt:lpstr>Desktop_Engineer</vt:lpstr>
      <vt:lpstr>DisasterRecovery</vt:lpstr>
      <vt:lpstr>Facilitator</vt:lpstr>
      <vt:lpstr>IA_Analyst</vt:lpstr>
      <vt:lpstr>IEVERSION</vt:lpstr>
      <vt:lpstr>IFACE_Applist</vt:lpstr>
      <vt:lpstr>IFACE_data</vt:lpstr>
      <vt:lpstr>IFACE_Format</vt:lpstr>
      <vt:lpstr>IFACE_Freq</vt:lpstr>
      <vt:lpstr>IFACE_Transport</vt:lpstr>
      <vt:lpstr>location</vt:lpstr>
      <vt:lpstr>Network_Engineer</vt:lpstr>
      <vt:lpstr>Networkconnections</vt:lpstr>
      <vt:lpstr>Networktype</vt:lpstr>
      <vt:lpstr>NOEXPLAIN</vt:lpstr>
      <vt:lpstr>Patching</vt:lpstr>
      <vt:lpstr>PORTSPEED</vt:lpstr>
      <vt:lpstr>RAM</vt:lpstr>
      <vt:lpstr>Seecomments</vt:lpstr>
      <vt:lpstr>Serverhardware</vt:lpstr>
      <vt:lpstr>Serverinstance</vt:lpstr>
      <vt:lpstr>Serveros</vt:lpstr>
      <vt:lpstr>Serverrole</vt:lpstr>
      <vt:lpstr>SPQualification</vt:lpstr>
      <vt:lpstr>System_Engineer</vt:lpstr>
      <vt:lpstr>timeline</vt:lpstr>
      <vt:lpstr>Totalnumber</vt:lpstr>
      <vt:lpstr>YESEXPLAIN</vt:lpstr>
      <vt:lpstr>YESNO</vt:lpstr>
      <vt:lpstr>Yesnona</vt:lpstr>
    </vt:vector>
  </TitlesOfParts>
  <Company>Cooper University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Stanton, Diane</dc:creator>
  <cp:lastModifiedBy>Bruno Bendavid</cp:lastModifiedBy>
  <cp:lastPrinted>2015-10-13T18:54:13Z</cp:lastPrinted>
  <dcterms:created xsi:type="dcterms:W3CDTF">2015-10-13T16:31:09Z</dcterms:created>
  <dcterms:modified xsi:type="dcterms:W3CDTF">2019-08-11T08:53:50Z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d718f31f-1ea6-437b-91bb-9b6726836283</vt:lpwstr>
  </property>
  <property fmtid="{D5CDD505-2E9C-101B-9397-08002B2CF9AE}" pid="4" name="Order">
    <vt:r8>50800</vt:r8>
  </property>
  <property fmtid="{D5CDD505-2E9C-101B-9397-08002B2CF9AE}" pid="5" name="_ExtendedDescription">
    <vt:lpwstr/>
  </property>
</Properties>
</file>