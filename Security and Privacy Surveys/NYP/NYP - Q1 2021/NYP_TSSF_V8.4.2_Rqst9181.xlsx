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5.xml" ContentType="application/vnd.openxmlformats-officedocument.spreadsheetml.worksheet+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calcChain.xml" ContentType="application/vnd.openxmlformats-officedocument.spreadsheetml.calcChain+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codeName="ThisWorkbook" defaultThemeVersion="166925"/>
  <mc:AlternateContent xmlns:mc="http://schemas.openxmlformats.org/markup-compatibility/2006">
    <mc:Choice Requires="x15">
      <x15ac:absPath xmlns:x15ac="http://schemas.microsoft.com/office/spreadsheetml/2010/11/ac" url="C:\Users\Bruno Bendavid\PeriGen\PeriGen Corporate Portal - RFPs &amp; Surveys\Security and Privacy Surveys\NYP\NYP - Q1 2021\"/>
    </mc:Choice>
  </mc:AlternateContent>
  <xr:revisionPtr revIDLastSave="0" documentId="13_ncr:1_{AA517FF3-D93B-4D70-9708-F0C096DFE08D}" xr6:coauthVersionLast="47" xr6:coauthVersionMax="47" xr10:uidLastSave="{00000000-0000-0000-0000-000000000000}"/>
  <workbookProtection workbookAlgorithmName="SHA-512" workbookHashValue="3a/NenwdRS5Cqy7e5JEuZ+8pN7imsgrjObZ1mwN4KDMA3i2vWWFfoFotduceexnehkr7sVtm+WZgNW4lPByeqQ==" workbookSaltValue="P4y68Y7GdbYYF+b/eF/mQw==" workbookSpinCount="100000" lockStructure="1"/>
  <bookViews>
    <workbookView xWindow="-120" yWindow="-120" windowWidth="38640" windowHeight="21240" tabRatio="707" firstSheet="1" activeTab="1" xr2:uid="{00000000-000D-0000-FFFF-FFFF00000000}"/>
  </bookViews>
  <sheets>
    <sheet name="NYP General Assessment" sheetId="1" state="hidden" r:id="rId1"/>
    <sheet name="GENERAL" sheetId="3" r:id="rId2"/>
    <sheet name="BCDR" sheetId="5" r:id="rId3"/>
    <sheet name="MEDICAL DEVICE" sheetId="9" r:id="rId4"/>
    <sheet name="SECURITY" sheetId="6" r:id="rId5"/>
    <sheet name="VENDOR HOSTED" sheetId="8" r:id="rId6"/>
    <sheet name="DESIGN" sheetId="2" r:id="rId7"/>
    <sheet name="Values-DoNotDelete" sheetId="4" state="hidden" r:id="rId8"/>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3" l="1"/>
  <c r="AF16" i="6" l="1"/>
  <c r="G16" i="6"/>
  <c r="AF34" i="3"/>
  <c r="W148" i="8" l="1"/>
  <c r="I142" i="9"/>
  <c r="H166" i="1" l="1"/>
  <c r="AG101" i="9"/>
  <c r="I100" i="9"/>
  <c r="I115" i="9"/>
  <c r="I104" i="9"/>
  <c r="I98" i="9"/>
  <c r="I30" i="9"/>
  <c r="G66" i="6"/>
  <c r="H621" i="1" l="1"/>
  <c r="H613" i="1"/>
  <c r="H589" i="1"/>
  <c r="H587" i="1"/>
  <c r="H583" i="1"/>
  <c r="H581" i="1"/>
  <c r="H579" i="1"/>
  <c r="H607" i="1" l="1"/>
  <c r="F607" i="1"/>
  <c r="F595" i="1"/>
  <c r="H245" i="1"/>
  <c r="H243" i="1"/>
  <c r="H212" i="1"/>
  <c r="H369" i="1" l="1"/>
  <c r="AG133" i="9"/>
  <c r="I132" i="9"/>
  <c r="H343" i="1"/>
  <c r="H341" i="1"/>
  <c r="H339" i="1"/>
  <c r="AG116" i="9"/>
  <c r="AG114" i="9"/>
  <c r="AG112" i="9"/>
  <c r="AG109" i="9"/>
  <c r="AG107" i="9"/>
  <c r="AG105" i="9"/>
  <c r="AG103" i="9"/>
  <c r="I113" i="9"/>
  <c r="I111" i="9"/>
  <c r="H337" i="1" l="1"/>
  <c r="H335" i="1"/>
  <c r="H333" i="1"/>
  <c r="H331" i="1"/>
  <c r="H329" i="1"/>
  <c r="H327" i="1"/>
  <c r="H325" i="1"/>
  <c r="H323" i="1" l="1"/>
  <c r="AG99" i="9"/>
  <c r="I108" i="9"/>
  <c r="I106" i="9"/>
  <c r="I102" i="9"/>
  <c r="AG97" i="9"/>
  <c r="I96" i="9"/>
  <c r="AG81" i="9"/>
  <c r="I80" i="9"/>
  <c r="I83" i="9"/>
  <c r="I88" i="9" l="1"/>
  <c r="I72" i="9" l="1"/>
  <c r="H381" i="1" l="1"/>
  <c r="H379" i="1"/>
  <c r="F379" i="1"/>
  <c r="AG143" i="9"/>
  <c r="I139" i="9"/>
  <c r="AG140" i="9"/>
  <c r="H377" i="1"/>
  <c r="F377" i="1"/>
  <c r="H375" i="1"/>
  <c r="F375" i="1"/>
  <c r="F373" i="1"/>
  <c r="F371" i="1"/>
  <c r="F369" i="1"/>
  <c r="AG137" i="9"/>
  <c r="I136" i="9"/>
  <c r="H367" i="1"/>
  <c r="F367" i="1"/>
  <c r="AG131" i="9"/>
  <c r="I130" i="9"/>
  <c r="I123" i="9"/>
  <c r="AG124" i="9"/>
  <c r="F365" i="1" l="1"/>
  <c r="F363" i="1"/>
  <c r="F361" i="1"/>
  <c r="F359" i="1"/>
  <c r="F357" i="1"/>
  <c r="F355" i="1"/>
  <c r="F353" i="1"/>
  <c r="F351" i="1"/>
  <c r="F349" i="1"/>
  <c r="F347" i="1"/>
  <c r="F345" i="1"/>
  <c r="F343" i="1"/>
  <c r="F341" i="1"/>
  <c r="F339" i="1"/>
  <c r="AG14" i="9"/>
  <c r="F337" i="1"/>
  <c r="F335" i="1"/>
  <c r="F333" i="1"/>
  <c r="F331" i="1"/>
  <c r="F329" i="1"/>
  <c r="F327" i="1"/>
  <c r="F325" i="1"/>
  <c r="F323" i="1"/>
  <c r="G80" i="6"/>
  <c r="H321" i="1"/>
  <c r="F321" i="1"/>
  <c r="AG93" i="9"/>
  <c r="I92" i="9"/>
  <c r="H319" i="1"/>
  <c r="F319" i="1"/>
  <c r="AG91" i="9"/>
  <c r="I90" i="9"/>
  <c r="H317" i="1"/>
  <c r="F317" i="1"/>
  <c r="AG89" i="9"/>
  <c r="H315" i="1"/>
  <c r="F315" i="1"/>
  <c r="AG86" i="9"/>
  <c r="I85" i="9"/>
  <c r="H313" i="1"/>
  <c r="F313" i="1"/>
  <c r="AG84" i="9"/>
  <c r="H311" i="1"/>
  <c r="F311" i="1"/>
  <c r="H309" i="1"/>
  <c r="F309" i="1"/>
  <c r="I78" i="9"/>
  <c r="AG79" i="9"/>
  <c r="H307" i="1"/>
  <c r="F307" i="1"/>
  <c r="AG77" i="9"/>
  <c r="I76" i="9"/>
  <c r="H305" i="1"/>
  <c r="F305" i="1"/>
  <c r="AG75" i="9"/>
  <c r="I74" i="9"/>
  <c r="H303" i="1"/>
  <c r="F303" i="1"/>
  <c r="F301" i="1"/>
  <c r="AG73" i="9"/>
  <c r="H301" i="1"/>
  <c r="I69" i="9"/>
  <c r="AG70" i="9"/>
  <c r="H299" i="1" l="1"/>
  <c r="H297" i="1"/>
  <c r="H295" i="1"/>
  <c r="F295" i="1"/>
  <c r="H293" i="1"/>
  <c r="F293" i="1"/>
  <c r="H269" i="1"/>
  <c r="H267" i="1"/>
  <c r="H265" i="1"/>
  <c r="H263" i="1"/>
  <c r="H261" i="1"/>
  <c r="H259" i="1"/>
  <c r="H257" i="1"/>
  <c r="H255" i="1"/>
  <c r="H253" i="1"/>
  <c r="I32" i="9"/>
  <c r="I28" i="9"/>
  <c r="AG21" i="9"/>
  <c r="AG33" i="9"/>
  <c r="AG31" i="9"/>
  <c r="AG29" i="9"/>
  <c r="AG27" i="9"/>
  <c r="AG25" i="9"/>
  <c r="AG23" i="9"/>
  <c r="I24" i="9"/>
  <c r="I26" i="9"/>
  <c r="I22" i="9"/>
  <c r="F261" i="1" l="1"/>
  <c r="I20" i="9"/>
  <c r="AG37" i="9" l="1"/>
  <c r="I36" i="9"/>
  <c r="AG35" i="9"/>
  <c r="I34" i="9"/>
  <c r="H291" i="1" l="1"/>
  <c r="F291" i="1"/>
  <c r="H289" i="1"/>
  <c r="F289" i="1"/>
  <c r="AO49" i="8" l="1"/>
  <c r="W48" i="8"/>
  <c r="W156" i="8" l="1"/>
  <c r="W154" i="8"/>
  <c r="W152" i="8"/>
  <c r="AO57" i="8"/>
  <c r="W56" i="8"/>
  <c r="AG42" i="9" l="1"/>
  <c r="H287" i="1"/>
  <c r="F287" i="1"/>
  <c r="H285" i="1"/>
  <c r="F285" i="1"/>
  <c r="H283" i="1"/>
  <c r="F283" i="1"/>
  <c r="H281" i="1"/>
  <c r="F281" i="1"/>
  <c r="H279" i="1"/>
  <c r="F279" i="1"/>
  <c r="AO213" i="8" l="1"/>
  <c r="AO209" i="8"/>
  <c r="W208" i="8"/>
  <c r="W184" i="8"/>
  <c r="W182" i="8"/>
  <c r="W180" i="8"/>
  <c r="W178" i="8"/>
  <c r="W176" i="8"/>
  <c r="W174" i="8"/>
  <c r="W172" i="8"/>
  <c r="W170" i="8"/>
  <c r="W168" i="8"/>
  <c r="W166" i="8"/>
  <c r="W164" i="8"/>
  <c r="W162" i="8"/>
  <c r="W160" i="8"/>
  <c r="W158" i="8"/>
  <c r="H194" i="1" l="1"/>
  <c r="G128" i="6"/>
  <c r="AA129" i="6"/>
  <c r="H128" i="1"/>
  <c r="AA75" i="6"/>
  <c r="G74" i="6"/>
  <c r="AA81" i="6"/>
  <c r="AA83" i="6"/>
  <c r="G82" i="6"/>
  <c r="AA85" i="6"/>
  <c r="G84" i="6"/>
  <c r="G120" i="6" l="1"/>
  <c r="AA150" i="6" l="1"/>
  <c r="F277" i="1" l="1"/>
  <c r="F275" i="1"/>
  <c r="H277" i="1"/>
  <c r="H275" i="1"/>
  <c r="W70" i="8"/>
  <c r="AG15" i="9" l="1"/>
  <c r="G26" i="6" l="1"/>
  <c r="H274" i="1"/>
  <c r="H273" i="1"/>
  <c r="F273" i="1"/>
  <c r="H271" i="1"/>
  <c r="F271" i="1"/>
  <c r="F269" i="1" l="1"/>
  <c r="F267" i="1"/>
  <c r="F265" i="1"/>
  <c r="F263" i="1"/>
  <c r="F259" i="1"/>
  <c r="AG66" i="9"/>
  <c r="AG64" i="9"/>
  <c r="I63" i="9"/>
  <c r="AG62" i="9"/>
  <c r="I61" i="9"/>
  <c r="AG60" i="9"/>
  <c r="I59" i="9"/>
  <c r="AG58" i="9"/>
  <c r="I57" i="9"/>
  <c r="AG56" i="9"/>
  <c r="I55" i="9"/>
  <c r="AG54" i="9"/>
  <c r="I53" i="9"/>
  <c r="AG52" i="9"/>
  <c r="I51" i="9"/>
  <c r="AG50" i="9"/>
  <c r="I49" i="9"/>
  <c r="AG48" i="9"/>
  <c r="I47" i="9"/>
  <c r="AG46" i="9"/>
  <c r="I45" i="9"/>
  <c r="AG44" i="9"/>
  <c r="I43" i="9"/>
  <c r="I41" i="9"/>
  <c r="AG40" i="9"/>
  <c r="I39" i="9"/>
  <c r="F257" i="1"/>
  <c r="F255" i="1"/>
  <c r="F253" i="1"/>
  <c r="I13" i="9"/>
  <c r="H251" i="1" l="1"/>
  <c r="H249" i="1"/>
  <c r="F245" i="1"/>
  <c r="F243" i="1"/>
  <c r="F241" i="1"/>
  <c r="H239" i="1"/>
  <c r="H237" i="1"/>
  <c r="H235" i="1"/>
  <c r="H233" i="1"/>
  <c r="H231" i="1"/>
  <c r="H227" i="1"/>
  <c r="H229" i="1"/>
  <c r="H80" i="1" l="1"/>
  <c r="AA30" i="6"/>
  <c r="G29" i="6"/>
  <c r="F138" i="1" l="1"/>
  <c r="H146" i="1"/>
  <c r="H144" i="1"/>
  <c r="AA97" i="6"/>
  <c r="AA95" i="6"/>
  <c r="G96" i="6"/>
  <c r="G94" i="6"/>
  <c r="AA93" i="6"/>
  <c r="H126" i="1" l="1"/>
  <c r="H124" i="1"/>
  <c r="H122" i="1"/>
  <c r="H120" i="1"/>
  <c r="H118" i="1"/>
  <c r="H116" i="1"/>
  <c r="H114" i="1"/>
  <c r="AA73" i="6"/>
  <c r="G72" i="6"/>
  <c r="AA71" i="6"/>
  <c r="G70" i="6"/>
  <c r="AA69" i="6"/>
  <c r="G68" i="6"/>
  <c r="AA67" i="6"/>
  <c r="AA65" i="6"/>
  <c r="G64" i="6"/>
  <c r="AA63" i="6"/>
  <c r="G62" i="6"/>
  <c r="AA60" i="6"/>
  <c r="G59" i="6"/>
  <c r="F35" i="3" l="1"/>
  <c r="W253" i="8"/>
  <c r="AO253" i="8" l="1"/>
  <c r="F619" i="1"/>
  <c r="F617" i="1"/>
  <c r="H615" i="1"/>
  <c r="F613" i="1"/>
  <c r="AO243" i="8"/>
  <c r="W242" i="8"/>
  <c r="H611" i="1"/>
  <c r="H609" i="1"/>
  <c r="AO237" i="8"/>
  <c r="W236" i="8"/>
  <c r="F605" i="1"/>
  <c r="AO233" i="8"/>
  <c r="W232" i="8"/>
  <c r="H603" i="1"/>
  <c r="F603" i="1"/>
  <c r="H601" i="1"/>
  <c r="F601" i="1"/>
  <c r="AO231" i="8"/>
  <c r="W230" i="8"/>
  <c r="H599" i="1"/>
  <c r="AO229" i="8"/>
  <c r="H597" i="1"/>
  <c r="H593" i="1"/>
  <c r="AO223" i="8"/>
  <c r="F591" i="1"/>
  <c r="F589" i="1"/>
  <c r="W218" i="8"/>
  <c r="AO219" i="8"/>
  <c r="F587" i="1"/>
  <c r="AO217" i="8"/>
  <c r="W216" i="8"/>
  <c r="F585" i="1" l="1"/>
  <c r="F583" i="1"/>
  <c r="AO221" i="8"/>
  <c r="W212" i="8"/>
  <c r="F581" i="1"/>
  <c r="F579" i="1"/>
  <c r="AO211" i="8"/>
  <c r="W210" i="8"/>
  <c r="F577" i="1" l="1"/>
  <c r="F575" i="1"/>
  <c r="F573" i="1"/>
  <c r="F571" i="1"/>
  <c r="F569" i="1"/>
  <c r="H567" i="1"/>
  <c r="F567" i="1"/>
  <c r="H565" i="1"/>
  <c r="H563" i="1"/>
  <c r="AO197" i="8"/>
  <c r="W196" i="8"/>
  <c r="AO195" i="8"/>
  <c r="W194" i="8"/>
  <c r="F565" i="1"/>
  <c r="AO193" i="8"/>
  <c r="W192" i="8"/>
  <c r="F563" i="1"/>
  <c r="F561" i="1"/>
  <c r="H558" i="1" l="1"/>
  <c r="H556" i="1"/>
  <c r="F556" i="1"/>
  <c r="H554" i="1"/>
  <c r="F554" i="1"/>
  <c r="H552" i="1"/>
  <c r="F552" i="1"/>
  <c r="H550" i="1"/>
  <c r="F550" i="1"/>
  <c r="H548" i="1"/>
  <c r="F548" i="1"/>
  <c r="H546" i="1"/>
  <c r="F546" i="1"/>
  <c r="H544" i="1"/>
  <c r="F544" i="1"/>
  <c r="H542" i="1"/>
  <c r="F542" i="1"/>
  <c r="H540" i="1"/>
  <c r="F540" i="1"/>
  <c r="H538" i="1"/>
  <c r="H536" i="1"/>
  <c r="F538" i="1"/>
  <c r="F536" i="1"/>
  <c r="H534" i="1"/>
  <c r="F534" i="1"/>
  <c r="H532" i="1"/>
  <c r="H530" i="1"/>
  <c r="F532" i="1"/>
  <c r="F530" i="1"/>
  <c r="AO159" i="8"/>
  <c r="AO149" i="8"/>
  <c r="H526" i="1"/>
  <c r="H528" i="1"/>
  <c r="F528" i="1"/>
  <c r="F526" i="1"/>
  <c r="F524" i="1"/>
  <c r="H524" i="1"/>
  <c r="H522" i="1"/>
  <c r="F522" i="1"/>
  <c r="H520" i="1"/>
  <c r="F520" i="1"/>
  <c r="AO151" i="8" l="1"/>
  <c r="W150" i="8"/>
  <c r="H518" i="1"/>
  <c r="F518" i="1"/>
  <c r="H516" i="1"/>
  <c r="F516" i="1"/>
  <c r="H514" i="1"/>
  <c r="F514" i="1"/>
  <c r="H512" i="1"/>
  <c r="F512" i="1"/>
  <c r="W145" i="8"/>
  <c r="W143" i="8"/>
  <c r="W141" i="8"/>
  <c r="W139" i="8"/>
  <c r="H510" i="1"/>
  <c r="F510" i="1"/>
  <c r="H506" i="1"/>
  <c r="F506" i="1"/>
  <c r="W136" i="8"/>
  <c r="W134" i="8"/>
  <c r="W132" i="8"/>
  <c r="H504" i="1"/>
  <c r="F504" i="1"/>
  <c r="H502" i="1"/>
  <c r="F502" i="1"/>
  <c r="H500" i="1"/>
  <c r="F500" i="1"/>
  <c r="H498" i="1"/>
  <c r="F498" i="1"/>
  <c r="H591" i="1"/>
  <c r="H585" i="1"/>
  <c r="H577" i="1"/>
  <c r="H575" i="1"/>
  <c r="H573" i="1"/>
  <c r="H571" i="1"/>
  <c r="H569" i="1"/>
  <c r="H564" i="1"/>
  <c r="H561" i="1"/>
  <c r="H508" i="1"/>
  <c r="H496" i="1"/>
  <c r="F508" i="1"/>
  <c r="F496" i="1"/>
  <c r="H494" i="1"/>
  <c r="F494" i="1"/>
  <c r="F492" i="1"/>
  <c r="H492" i="1"/>
  <c r="H490" i="1"/>
  <c r="F490" i="1"/>
  <c r="H488" i="1" l="1"/>
  <c r="H486" i="1"/>
  <c r="H484" i="1"/>
  <c r="H482" i="1"/>
  <c r="F488" i="1"/>
  <c r="F486" i="1"/>
  <c r="F484" i="1"/>
  <c r="F482" i="1"/>
  <c r="W129" i="8"/>
  <c r="W127" i="8"/>
  <c r="W125" i="8"/>
  <c r="W123" i="8"/>
  <c r="W120" i="8"/>
  <c r="W118" i="8"/>
  <c r="W115" i="8"/>
  <c r="W113" i="8"/>
  <c r="W110" i="8"/>
  <c r="W108" i="8"/>
  <c r="W106" i="8"/>
  <c r="H480" i="1"/>
  <c r="F480" i="1"/>
  <c r="H478" i="1"/>
  <c r="F478" i="1"/>
  <c r="W104" i="8"/>
  <c r="W102" i="8"/>
  <c r="H474" i="1"/>
  <c r="H476" i="1"/>
  <c r="W100" i="8"/>
  <c r="W98" i="8"/>
  <c r="W96" i="8"/>
  <c r="F476" i="1"/>
  <c r="F474" i="1"/>
  <c r="W94" i="8"/>
  <c r="W92" i="8"/>
  <c r="H472" i="1"/>
  <c r="H470" i="1"/>
  <c r="F472" i="1"/>
  <c r="F470" i="1"/>
  <c r="H468" i="1"/>
  <c r="F468" i="1"/>
  <c r="W90" i="8"/>
  <c r="W88" i="8"/>
  <c r="W86" i="8"/>
  <c r="H466" i="1"/>
  <c r="H464" i="1"/>
  <c r="F466" i="1"/>
  <c r="F464" i="1"/>
  <c r="H462" i="1"/>
  <c r="H460" i="1"/>
  <c r="F462" i="1"/>
  <c r="F460" i="1"/>
  <c r="W84" i="8"/>
  <c r="W82" i="8"/>
  <c r="W80" i="8"/>
  <c r="H458" i="1"/>
  <c r="F458" i="1"/>
  <c r="W78" i="8"/>
  <c r="H456" i="1"/>
  <c r="F456" i="1"/>
  <c r="H454" i="1"/>
  <c r="F454" i="1"/>
  <c r="AO77" i="8" l="1"/>
  <c r="H452" i="1"/>
  <c r="F452" i="1"/>
  <c r="AO75" i="8"/>
  <c r="H450" i="1"/>
  <c r="F450" i="1"/>
  <c r="W74" i="8"/>
  <c r="AO73" i="8"/>
  <c r="W72" i="8"/>
  <c r="AO71" i="8"/>
  <c r="W76" i="8" l="1"/>
  <c r="W68" i="8"/>
  <c r="H448" i="1"/>
  <c r="F448" i="1"/>
  <c r="H446" i="1"/>
  <c r="F446" i="1"/>
  <c r="W66" i="8"/>
  <c r="H444" i="1"/>
  <c r="F444" i="1"/>
  <c r="H442" i="1"/>
  <c r="F442" i="1"/>
  <c r="H440" i="1"/>
  <c r="F440" i="1"/>
  <c r="W64" i="8"/>
  <c r="W62" i="8"/>
  <c r="H438" i="1"/>
  <c r="F438" i="1"/>
  <c r="H436" i="1"/>
  <c r="F436" i="1"/>
  <c r="W60" i="8"/>
  <c r="W58" i="8"/>
  <c r="H434" i="1"/>
  <c r="F434" i="1"/>
  <c r="W54" i="8"/>
  <c r="H432" i="1"/>
  <c r="F432" i="1"/>
  <c r="W52" i="8"/>
  <c r="H430" i="1"/>
  <c r="F430" i="1"/>
  <c r="W50" i="8"/>
  <c r="H428" i="1"/>
  <c r="F428" i="1"/>
  <c r="H426" i="1"/>
  <c r="F426" i="1"/>
  <c r="H424" i="1"/>
  <c r="F424" i="1"/>
  <c r="H422" i="1"/>
  <c r="F422" i="1"/>
  <c r="W43" i="8"/>
  <c r="H420" i="1"/>
  <c r="F420" i="1"/>
  <c r="H418" i="1"/>
  <c r="F418" i="1"/>
  <c r="H416" i="1"/>
  <c r="F416" i="1"/>
  <c r="H414" i="1"/>
  <c r="F414" i="1"/>
  <c r="H412" i="1"/>
  <c r="F412" i="1"/>
  <c r="H410" i="1"/>
  <c r="F410" i="1"/>
  <c r="H408" i="1"/>
  <c r="F408" i="1"/>
  <c r="H406" i="1"/>
  <c r="F406" i="1"/>
  <c r="H404" i="1"/>
  <c r="F404" i="1"/>
  <c r="H402" i="1"/>
  <c r="F402" i="1"/>
  <c r="H400" i="1"/>
  <c r="F400" i="1"/>
  <c r="H398" i="1"/>
  <c r="F398" i="1"/>
  <c r="H396" i="1"/>
  <c r="F396" i="1"/>
  <c r="H108" i="1" l="1"/>
  <c r="AA54" i="6" l="1"/>
  <c r="G53" i="6"/>
  <c r="W46" i="8" l="1"/>
  <c r="W40" i="8"/>
  <c r="W38" i="8"/>
  <c r="W36" i="8"/>
  <c r="W34" i="8"/>
  <c r="W32" i="8"/>
  <c r="W29" i="8"/>
  <c r="W27" i="8"/>
  <c r="W25" i="8"/>
  <c r="W23" i="8"/>
  <c r="W20" i="8" l="1"/>
  <c r="W18" i="8"/>
  <c r="W16" i="8"/>
  <c r="AO17" i="8"/>
  <c r="AO19" i="8"/>
  <c r="AO21" i="8"/>
  <c r="AO22" i="8"/>
  <c r="AO24" i="8"/>
  <c r="AO26" i="8"/>
  <c r="AO28" i="8"/>
  <c r="AO30" i="8"/>
  <c r="AO31" i="8"/>
  <c r="AO33" i="8"/>
  <c r="AO35" i="8"/>
  <c r="AO37" i="8"/>
  <c r="AO39" i="8"/>
  <c r="AO41" i="8"/>
  <c r="AO42" i="8"/>
  <c r="AO44" i="8"/>
  <c r="AO45" i="8"/>
  <c r="AO47" i="8"/>
  <c r="AO51" i="8"/>
  <c r="AO53" i="8"/>
  <c r="AO55" i="8"/>
  <c r="AO59" i="8"/>
  <c r="AO61" i="8"/>
  <c r="AO63" i="8"/>
  <c r="AO65" i="8"/>
  <c r="AO67" i="8"/>
  <c r="AO69" i="8"/>
  <c r="AO79" i="8"/>
  <c r="AO81" i="8"/>
  <c r="AO83" i="8"/>
  <c r="AO85" i="8"/>
  <c r="AO87" i="8"/>
  <c r="AO89" i="8"/>
  <c r="AO91" i="8"/>
  <c r="AO93" i="8"/>
  <c r="AO95" i="8"/>
  <c r="AO97" i="8"/>
  <c r="AO99" i="8"/>
  <c r="AO101" i="8"/>
  <c r="AO103" i="8"/>
  <c r="AO105" i="8"/>
  <c r="AO107" i="8"/>
  <c r="AO109" i="8"/>
  <c r="AO111" i="8"/>
  <c r="AO112" i="8"/>
  <c r="AO114" i="8"/>
  <c r="AO116" i="8"/>
  <c r="AO117" i="8"/>
  <c r="AO119" i="8"/>
  <c r="AO121" i="8"/>
  <c r="AO122" i="8"/>
  <c r="AO124" i="8"/>
  <c r="AO126" i="8"/>
  <c r="AO128" i="8"/>
  <c r="AO130" i="8"/>
  <c r="AO131" i="8"/>
  <c r="AO133" i="8"/>
  <c r="AO135" i="8"/>
  <c r="AO137" i="8"/>
  <c r="AO138" i="8"/>
  <c r="AO140" i="8"/>
  <c r="AO142" i="8"/>
  <c r="AO144" i="8"/>
  <c r="AO146" i="8"/>
  <c r="AO147" i="8"/>
  <c r="AO153" i="8"/>
  <c r="AO155" i="8"/>
  <c r="AO157" i="8"/>
  <c r="AO161" i="8"/>
  <c r="AO163" i="8"/>
  <c r="AO165" i="8"/>
  <c r="AO167" i="8"/>
  <c r="AO169" i="8"/>
  <c r="AO171" i="8"/>
  <c r="AO173" i="8"/>
  <c r="AO175" i="8"/>
  <c r="AO177" i="8"/>
  <c r="AO179" i="8"/>
  <c r="AO181" i="8"/>
  <c r="AO183" i="8"/>
  <c r="AO185" i="8"/>
  <c r="AO189" i="8"/>
  <c r="AO203" i="8"/>
  <c r="AO205" i="8"/>
  <c r="AO207" i="8"/>
  <c r="AO235" i="8"/>
  <c r="AO239" i="8"/>
  <c r="AO241" i="8"/>
  <c r="AO245" i="8"/>
  <c r="AO247" i="8"/>
  <c r="AO249" i="8"/>
  <c r="AO16" i="8"/>
  <c r="AO15" i="8" l="1"/>
  <c r="W14" i="8"/>
  <c r="H394" i="1"/>
  <c r="F394" i="1"/>
  <c r="AO13" i="8"/>
  <c r="W12" i="8"/>
  <c r="F392" i="1"/>
  <c r="H392" i="1"/>
  <c r="AO11" i="8"/>
  <c r="W10" i="8"/>
  <c r="H390" i="1"/>
  <c r="F390" i="1"/>
  <c r="W7" i="8"/>
  <c r="AO8" i="8"/>
  <c r="H388" i="1"/>
  <c r="H386" i="1"/>
  <c r="H384" i="1"/>
  <c r="H36" i="1" l="1"/>
  <c r="H48" i="1"/>
  <c r="H50" i="1"/>
  <c r="H160" i="1"/>
  <c r="F160" i="1"/>
  <c r="H40" i="1" l="1"/>
  <c r="G118" i="6"/>
  <c r="AF36" i="3"/>
  <c r="S36" i="3"/>
  <c r="AA165" i="6"/>
  <c r="G164" i="6"/>
  <c r="H210" i="1"/>
  <c r="H140" i="1"/>
  <c r="AA91" i="6"/>
  <c r="G90" i="6"/>
  <c r="G86" i="6"/>
  <c r="H106" i="1"/>
  <c r="G49" i="6"/>
  <c r="AA50" i="6"/>
  <c r="H70" i="1" l="1"/>
  <c r="AA20" i="6"/>
  <c r="G19" i="6"/>
  <c r="H142" i="1" l="1"/>
  <c r="F142" i="1"/>
  <c r="H141" i="1" s="1"/>
  <c r="G92" i="6"/>
  <c r="F224" i="1"/>
  <c r="H222" i="1"/>
  <c r="F222" i="1"/>
  <c r="AA180" i="6"/>
  <c r="G179" i="6"/>
  <c r="H220" i="1"/>
  <c r="H218" i="1"/>
  <c r="F218" i="1"/>
  <c r="AA177" i="6"/>
  <c r="G176" i="6"/>
  <c r="F216" i="1"/>
  <c r="H216" i="1"/>
  <c r="G172" i="6"/>
  <c r="AA173" i="6"/>
  <c r="H214" i="1"/>
  <c r="F212" i="1"/>
  <c r="AA167" i="6"/>
  <c r="G166" i="6"/>
  <c r="F210" i="1"/>
  <c r="F208" i="1"/>
  <c r="H206" i="1"/>
  <c r="F206" i="1"/>
  <c r="AA162" i="6"/>
  <c r="G161" i="6"/>
  <c r="F204" i="1"/>
  <c r="F202" i="1"/>
  <c r="F200" i="1"/>
  <c r="H198" i="1"/>
  <c r="F196" i="1"/>
  <c r="H150" i="1"/>
  <c r="H148" i="1"/>
  <c r="F190" i="1"/>
  <c r="H178" i="1"/>
  <c r="F178" i="1"/>
  <c r="H168" i="1"/>
  <c r="F168" i="1"/>
  <c r="F192" i="1"/>
  <c r="F188" i="1"/>
  <c r="F186" i="1"/>
  <c r="F184" i="1"/>
  <c r="F182" i="1"/>
  <c r="F180" i="1"/>
  <c r="AA137" i="6"/>
  <c r="G136" i="6"/>
  <c r="H176" i="1"/>
  <c r="F176" i="1"/>
  <c r="H174" i="1"/>
  <c r="F174" i="1"/>
  <c r="AA135" i="6"/>
  <c r="G134" i="6"/>
  <c r="AA133" i="6"/>
  <c r="G132" i="6"/>
  <c r="H172" i="1"/>
  <c r="F172" i="1"/>
  <c r="AA125" i="6"/>
  <c r="G124" i="6"/>
  <c r="H170" i="1"/>
  <c r="F170" i="1"/>
  <c r="G126" i="6"/>
  <c r="AA127" i="6"/>
  <c r="H164" i="1"/>
  <c r="F164" i="1"/>
  <c r="H162" i="1"/>
  <c r="F162" i="1"/>
  <c r="AA119" i="6"/>
  <c r="F158" i="1"/>
  <c r="F156" i="1"/>
  <c r="F154" i="1"/>
  <c r="F152" i="1"/>
  <c r="H138" i="1"/>
  <c r="F146" i="1"/>
  <c r="F144" i="1"/>
  <c r="F140" i="1"/>
  <c r="AA108" i="6"/>
  <c r="G107" i="6"/>
  <c r="AA117" i="6"/>
  <c r="G116" i="6"/>
  <c r="AA121" i="6"/>
  <c r="H76" i="1" l="1"/>
  <c r="AA27" i="6"/>
  <c r="AA87" i="6" l="1"/>
  <c r="H136" i="1"/>
  <c r="F136" i="1"/>
  <c r="H134" i="1"/>
  <c r="F134" i="1"/>
  <c r="H132" i="1"/>
  <c r="F132" i="1"/>
  <c r="H130" i="1"/>
  <c r="AA79" i="6"/>
  <c r="G78" i="6"/>
  <c r="G283" i="6"/>
  <c r="F130" i="1" l="1"/>
  <c r="F128" i="1"/>
  <c r="F126" i="1"/>
  <c r="F124" i="1"/>
  <c r="F122" i="1"/>
  <c r="F120" i="1"/>
  <c r="F118" i="1"/>
  <c r="F116" i="1"/>
  <c r="F114" i="1" l="1"/>
  <c r="H112" i="1"/>
  <c r="H110" i="1"/>
  <c r="F108" i="1"/>
  <c r="F106" i="1"/>
  <c r="F104" i="1"/>
  <c r="F102" i="1"/>
  <c r="F100" i="1"/>
  <c r="F98" i="1"/>
  <c r="F96" i="1"/>
  <c r="F94" i="1"/>
  <c r="F92" i="1"/>
  <c r="F90" i="1"/>
  <c r="F88" i="1"/>
  <c r="F86" i="1"/>
  <c r="F84" i="1"/>
  <c r="F82" i="1"/>
  <c r="F80" i="1"/>
  <c r="F78" i="1"/>
  <c r="F76" i="1"/>
  <c r="F74" i="1"/>
  <c r="F72" i="1"/>
  <c r="F70" i="1"/>
  <c r="F68" i="1"/>
  <c r="F66" i="1"/>
  <c r="F64" i="1"/>
  <c r="F62" i="1"/>
  <c r="F60" i="1"/>
  <c r="H58" i="1"/>
  <c r="H56" i="1"/>
  <c r="H54" i="1"/>
  <c r="H52" i="1"/>
  <c r="F46" i="1"/>
  <c r="F44" i="1"/>
  <c r="F42" i="1"/>
  <c r="H38" i="1"/>
  <c r="F40" i="1"/>
  <c r="F38" i="1"/>
  <c r="J38" i="1" s="1"/>
  <c r="F34" i="1"/>
  <c r="F32" i="1"/>
  <c r="H30" i="1"/>
  <c r="H28" i="1"/>
  <c r="H26" i="1"/>
  <c r="H24" i="1"/>
  <c r="H22" i="1"/>
  <c r="H20" i="1"/>
  <c r="H18" i="1"/>
  <c r="F10" i="1"/>
  <c r="J623" i="1" l="1"/>
  <c r="M620" i="1"/>
  <c r="H620" i="1"/>
  <c r="M614" i="1"/>
  <c r="H614" i="1"/>
  <c r="M612" i="1"/>
  <c r="H612" i="1"/>
  <c r="M610" i="1"/>
  <c r="H610" i="1"/>
  <c r="M608" i="1"/>
  <c r="H608" i="1"/>
  <c r="M606" i="1"/>
  <c r="H606" i="1"/>
  <c r="M602" i="1"/>
  <c r="H602" i="1"/>
  <c r="M600" i="1"/>
  <c r="H600" i="1"/>
  <c r="M598" i="1"/>
  <c r="H598" i="1"/>
  <c r="M596" i="1"/>
  <c r="H596" i="1"/>
  <c r="M592" i="1"/>
  <c r="H592" i="1"/>
  <c r="M588" i="1"/>
  <c r="H588" i="1"/>
  <c r="M586" i="1"/>
  <c r="H586" i="1"/>
  <c r="M582" i="1"/>
  <c r="H582" i="1"/>
  <c r="M580" i="1"/>
  <c r="H580" i="1"/>
  <c r="M578" i="1"/>
  <c r="H578" i="1"/>
  <c r="M566" i="1"/>
  <c r="H566" i="1"/>
  <c r="M564" i="1"/>
  <c r="M562" i="1"/>
  <c r="H562" i="1"/>
  <c r="M557" i="1"/>
  <c r="H557" i="1"/>
  <c r="M555" i="1"/>
  <c r="H555" i="1"/>
  <c r="M553" i="1"/>
  <c r="H553" i="1"/>
  <c r="M551" i="1"/>
  <c r="H551" i="1"/>
  <c r="M549" i="1"/>
  <c r="H549" i="1"/>
  <c r="M547" i="1"/>
  <c r="H547" i="1"/>
  <c r="M545" i="1"/>
  <c r="H545" i="1"/>
  <c r="M543" i="1"/>
  <c r="H543" i="1"/>
  <c r="M541" i="1"/>
  <c r="H541" i="1"/>
  <c r="M539" i="1"/>
  <c r="H539" i="1"/>
  <c r="M537" i="1"/>
  <c r="H537" i="1"/>
  <c r="M535" i="1"/>
  <c r="H535" i="1"/>
  <c r="M533" i="1"/>
  <c r="H533" i="1"/>
  <c r="M531" i="1"/>
  <c r="H531" i="1"/>
  <c r="M529" i="1"/>
  <c r="H529" i="1"/>
  <c r="M527" i="1"/>
  <c r="H527" i="1"/>
  <c r="M525" i="1"/>
  <c r="H525" i="1"/>
  <c r="M523" i="1"/>
  <c r="H523" i="1"/>
  <c r="M521" i="1"/>
  <c r="H521" i="1"/>
  <c r="M519" i="1"/>
  <c r="H519" i="1"/>
  <c r="M517" i="1"/>
  <c r="H517" i="1"/>
  <c r="M515" i="1"/>
  <c r="H515" i="1"/>
  <c r="M513" i="1"/>
  <c r="H513" i="1"/>
  <c r="M511" i="1"/>
  <c r="H511" i="1"/>
  <c r="M509" i="1"/>
  <c r="H509" i="1"/>
  <c r="M507" i="1"/>
  <c r="H507" i="1"/>
  <c r="M505" i="1"/>
  <c r="H505" i="1"/>
  <c r="M503" i="1"/>
  <c r="H503" i="1"/>
  <c r="M501" i="1"/>
  <c r="H501" i="1"/>
  <c r="M499" i="1"/>
  <c r="H499" i="1"/>
  <c r="M497" i="1"/>
  <c r="H497" i="1"/>
  <c r="M495" i="1"/>
  <c r="H495" i="1"/>
  <c r="M493" i="1"/>
  <c r="H493" i="1"/>
  <c r="M491" i="1"/>
  <c r="H491" i="1"/>
  <c r="M489" i="1"/>
  <c r="H489" i="1"/>
  <c r="M487" i="1"/>
  <c r="H487" i="1"/>
  <c r="M485" i="1"/>
  <c r="H485" i="1"/>
  <c r="M483" i="1"/>
  <c r="H483" i="1"/>
  <c r="M481" i="1"/>
  <c r="H481" i="1"/>
  <c r="M479" i="1"/>
  <c r="H479" i="1"/>
  <c r="M477" i="1"/>
  <c r="H477" i="1"/>
  <c r="M475" i="1"/>
  <c r="H475" i="1"/>
  <c r="M473" i="1"/>
  <c r="H473" i="1"/>
  <c r="M471" i="1"/>
  <c r="H471" i="1"/>
  <c r="M469" i="1"/>
  <c r="H469" i="1"/>
  <c r="M467" i="1"/>
  <c r="H467" i="1"/>
  <c r="M465" i="1"/>
  <c r="H465" i="1"/>
  <c r="M463" i="1"/>
  <c r="H463" i="1"/>
  <c r="M461" i="1"/>
  <c r="H461" i="1"/>
  <c r="M459" i="1"/>
  <c r="H459" i="1"/>
  <c r="M457" i="1"/>
  <c r="H457" i="1"/>
  <c r="M455" i="1"/>
  <c r="H455" i="1"/>
  <c r="M453" i="1"/>
  <c r="H453" i="1"/>
  <c r="M451" i="1"/>
  <c r="H451" i="1"/>
  <c r="M449" i="1"/>
  <c r="H449" i="1"/>
  <c r="M447" i="1"/>
  <c r="H447" i="1"/>
  <c r="M445" i="1"/>
  <c r="H445" i="1"/>
  <c r="M443" i="1"/>
  <c r="H443" i="1"/>
  <c r="M441" i="1"/>
  <c r="H441" i="1"/>
  <c r="M439" i="1"/>
  <c r="H439" i="1"/>
  <c r="M437" i="1"/>
  <c r="H437" i="1"/>
  <c r="M435" i="1"/>
  <c r="H435" i="1"/>
  <c r="M433" i="1"/>
  <c r="H433" i="1"/>
  <c r="M431" i="1"/>
  <c r="H431" i="1"/>
  <c r="M429" i="1"/>
  <c r="H429" i="1"/>
  <c r="M427" i="1"/>
  <c r="H427" i="1"/>
  <c r="M425" i="1"/>
  <c r="H425" i="1"/>
  <c r="M423" i="1"/>
  <c r="H423" i="1"/>
  <c r="M421" i="1"/>
  <c r="H421" i="1"/>
  <c r="M419" i="1"/>
  <c r="H419" i="1"/>
  <c r="M417" i="1"/>
  <c r="H417" i="1"/>
  <c r="M415" i="1"/>
  <c r="H415" i="1"/>
  <c r="M413" i="1"/>
  <c r="H413" i="1"/>
  <c r="M411" i="1"/>
  <c r="H411" i="1"/>
  <c r="M409" i="1"/>
  <c r="H409" i="1"/>
  <c r="M407" i="1"/>
  <c r="H407" i="1"/>
  <c r="M405" i="1"/>
  <c r="H405" i="1"/>
  <c r="M403" i="1"/>
  <c r="H403" i="1"/>
  <c r="M401" i="1"/>
  <c r="H401" i="1"/>
  <c r="M399" i="1"/>
  <c r="H399" i="1"/>
  <c r="M397" i="1"/>
  <c r="H397" i="1"/>
  <c r="M395" i="1"/>
  <c r="H395" i="1"/>
  <c r="M393" i="1"/>
  <c r="H393" i="1"/>
  <c r="M391" i="1"/>
  <c r="H391" i="1"/>
  <c r="M389" i="1"/>
  <c r="H389" i="1"/>
  <c r="M387" i="1"/>
  <c r="H387" i="1"/>
  <c r="M385" i="1"/>
  <c r="H385" i="1"/>
  <c r="M383" i="1"/>
  <c r="H383" i="1"/>
  <c r="M380" i="1"/>
  <c r="H380" i="1"/>
  <c r="M378" i="1"/>
  <c r="H378" i="1"/>
  <c r="M376" i="1"/>
  <c r="H376" i="1"/>
  <c r="M374" i="1"/>
  <c r="H374" i="1"/>
  <c r="M372" i="1"/>
  <c r="H372" i="1"/>
  <c r="M370" i="1"/>
  <c r="H370" i="1"/>
  <c r="M368" i="1"/>
  <c r="H368" i="1"/>
  <c r="M366" i="1"/>
  <c r="H366" i="1"/>
  <c r="M364" i="1"/>
  <c r="H364" i="1"/>
  <c r="M362" i="1"/>
  <c r="H362" i="1"/>
  <c r="M360" i="1"/>
  <c r="H360" i="1"/>
  <c r="M358" i="1"/>
  <c r="H358" i="1"/>
  <c r="M356" i="1"/>
  <c r="H356" i="1"/>
  <c r="M354" i="1"/>
  <c r="H354" i="1"/>
  <c r="M352" i="1"/>
  <c r="H352" i="1"/>
  <c r="M350" i="1"/>
  <c r="H350" i="1"/>
  <c r="M348" i="1"/>
  <c r="H348" i="1"/>
  <c r="M346" i="1"/>
  <c r="H346" i="1"/>
  <c r="M344" i="1"/>
  <c r="H344" i="1"/>
  <c r="M342" i="1"/>
  <c r="H342" i="1"/>
  <c r="M340" i="1"/>
  <c r="H340" i="1"/>
  <c r="M338" i="1"/>
  <c r="H338" i="1"/>
  <c r="M336" i="1"/>
  <c r="H336" i="1"/>
  <c r="M334" i="1"/>
  <c r="H334" i="1"/>
  <c r="M332" i="1"/>
  <c r="H332" i="1"/>
  <c r="M330" i="1"/>
  <c r="H330" i="1"/>
  <c r="M328" i="1"/>
  <c r="H328" i="1"/>
  <c r="M326" i="1"/>
  <c r="H326" i="1"/>
  <c r="M324" i="1"/>
  <c r="H324" i="1"/>
  <c r="M322" i="1"/>
  <c r="H322" i="1"/>
  <c r="M320" i="1"/>
  <c r="H320" i="1"/>
  <c r="M318" i="1"/>
  <c r="H318" i="1"/>
  <c r="M316" i="1"/>
  <c r="H316" i="1"/>
  <c r="M314" i="1"/>
  <c r="H314" i="1"/>
  <c r="M312" i="1"/>
  <c r="H312" i="1"/>
  <c r="M310" i="1"/>
  <c r="H310" i="1"/>
  <c r="M308" i="1"/>
  <c r="H308" i="1"/>
  <c r="M306" i="1"/>
  <c r="H306" i="1"/>
  <c r="M304" i="1"/>
  <c r="H304" i="1"/>
  <c r="M302" i="1"/>
  <c r="H302" i="1"/>
  <c r="M300" i="1"/>
  <c r="H300" i="1"/>
  <c r="M298" i="1"/>
  <c r="H298" i="1"/>
  <c r="M296" i="1"/>
  <c r="H296" i="1"/>
  <c r="M294" i="1"/>
  <c r="H294" i="1"/>
  <c r="M292" i="1"/>
  <c r="H292" i="1"/>
  <c r="M290" i="1"/>
  <c r="H290" i="1"/>
  <c r="M288" i="1"/>
  <c r="H288" i="1"/>
  <c r="M286" i="1"/>
  <c r="H286" i="1"/>
  <c r="M284" i="1"/>
  <c r="H284" i="1"/>
  <c r="M282" i="1"/>
  <c r="H282" i="1"/>
  <c r="M280" i="1"/>
  <c r="H280" i="1"/>
  <c r="M278" i="1"/>
  <c r="H278" i="1"/>
  <c r="M276" i="1"/>
  <c r="H276" i="1"/>
  <c r="M274" i="1"/>
  <c r="M272" i="1"/>
  <c r="H272" i="1"/>
  <c r="M270" i="1"/>
  <c r="H270" i="1"/>
  <c r="M268" i="1"/>
  <c r="H268" i="1"/>
  <c r="M266" i="1"/>
  <c r="H266" i="1"/>
  <c r="M264" i="1"/>
  <c r="H264" i="1"/>
  <c r="M262" i="1"/>
  <c r="H262" i="1"/>
  <c r="M260" i="1"/>
  <c r="H260" i="1"/>
  <c r="M258" i="1"/>
  <c r="H258" i="1"/>
  <c r="M256" i="1"/>
  <c r="H256" i="1"/>
  <c r="M254" i="1"/>
  <c r="H254" i="1"/>
  <c r="M252" i="1"/>
  <c r="H252" i="1"/>
  <c r="M250" i="1"/>
  <c r="H250" i="1"/>
  <c r="M248" i="1"/>
  <c r="H248" i="1"/>
  <c r="J247" i="1"/>
  <c r="M246" i="1"/>
  <c r="H246" i="1"/>
  <c r="M244" i="1"/>
  <c r="H244" i="1"/>
  <c r="M242" i="1"/>
  <c r="H242" i="1"/>
  <c r="M240" i="1"/>
  <c r="H240" i="1"/>
  <c r="M238" i="1"/>
  <c r="H238" i="1"/>
  <c r="M236" i="1"/>
  <c r="H236" i="1"/>
  <c r="M234" i="1"/>
  <c r="H234" i="1"/>
  <c r="M232" i="1"/>
  <c r="H232" i="1"/>
  <c r="M230" i="1"/>
  <c r="H230" i="1"/>
  <c r="M228" i="1"/>
  <c r="H228" i="1"/>
  <c r="M225" i="1"/>
  <c r="H225" i="1"/>
  <c r="M221" i="1"/>
  <c r="H221" i="1"/>
  <c r="M219" i="1"/>
  <c r="H219" i="1"/>
  <c r="M217" i="1"/>
  <c r="H217" i="1"/>
  <c r="M215" i="1"/>
  <c r="H215" i="1"/>
  <c r="M213" i="1"/>
  <c r="H213" i="1"/>
  <c r="M211" i="1"/>
  <c r="H211" i="1"/>
  <c r="M209" i="1"/>
  <c r="H209" i="1"/>
  <c r="M207" i="1"/>
  <c r="H207" i="1"/>
  <c r="M205" i="1"/>
  <c r="H205" i="1"/>
  <c r="M203" i="1"/>
  <c r="H203" i="1"/>
  <c r="M201" i="1"/>
  <c r="H201" i="1"/>
  <c r="M197" i="1"/>
  <c r="H197" i="1"/>
  <c r="M195" i="1"/>
  <c r="H195" i="1"/>
  <c r="M193" i="1"/>
  <c r="H193" i="1"/>
  <c r="M191" i="1"/>
  <c r="H191" i="1"/>
  <c r="M189" i="1"/>
  <c r="H189" i="1"/>
  <c r="M187" i="1"/>
  <c r="H187" i="1"/>
  <c r="M185" i="1"/>
  <c r="H185" i="1"/>
  <c r="M183" i="1"/>
  <c r="H183" i="1"/>
  <c r="M181" i="1"/>
  <c r="H181" i="1"/>
  <c r="M179" i="1"/>
  <c r="H179" i="1"/>
  <c r="M177" i="1"/>
  <c r="H177" i="1"/>
  <c r="M175" i="1"/>
  <c r="H175" i="1"/>
  <c r="M173" i="1"/>
  <c r="H173" i="1"/>
  <c r="M171" i="1"/>
  <c r="H171" i="1"/>
  <c r="M169" i="1"/>
  <c r="H169" i="1"/>
  <c r="M167" i="1"/>
  <c r="H167" i="1"/>
  <c r="M165" i="1"/>
  <c r="H165" i="1"/>
  <c r="M163" i="1"/>
  <c r="H163" i="1"/>
  <c r="M161" i="1"/>
  <c r="H161" i="1"/>
  <c r="M159" i="1"/>
  <c r="H159" i="1"/>
  <c r="M155" i="1"/>
  <c r="H155" i="1"/>
  <c r="M153" i="1"/>
  <c r="H153" i="1"/>
  <c r="M151" i="1"/>
  <c r="H151" i="1"/>
  <c r="M149" i="1"/>
  <c r="H149" i="1"/>
  <c r="M147" i="1"/>
  <c r="H147" i="1"/>
  <c r="M145" i="1"/>
  <c r="H145" i="1"/>
  <c r="M143" i="1"/>
  <c r="H143" i="1"/>
  <c r="M141" i="1"/>
  <c r="M139" i="1"/>
  <c r="H139" i="1"/>
  <c r="M137" i="1"/>
  <c r="H137" i="1"/>
  <c r="M135" i="1"/>
  <c r="H135" i="1"/>
  <c r="M133" i="1"/>
  <c r="H133" i="1"/>
  <c r="M131" i="1"/>
  <c r="H131" i="1"/>
  <c r="M129" i="1"/>
  <c r="H129" i="1"/>
  <c r="M127" i="1"/>
  <c r="H127" i="1"/>
  <c r="M125" i="1"/>
  <c r="H125" i="1"/>
  <c r="M123" i="1"/>
  <c r="H123" i="1"/>
  <c r="M121" i="1"/>
  <c r="H121" i="1"/>
  <c r="M119" i="1"/>
  <c r="H119" i="1"/>
  <c r="M117" i="1"/>
  <c r="H117" i="1"/>
  <c r="M115" i="1"/>
  <c r="H115" i="1"/>
  <c r="M113" i="1"/>
  <c r="H113" i="1"/>
  <c r="M111" i="1"/>
  <c r="H111" i="1"/>
  <c r="M109" i="1"/>
  <c r="H109" i="1"/>
  <c r="M107" i="1"/>
  <c r="H107" i="1"/>
  <c r="M105" i="1"/>
  <c r="H105" i="1"/>
  <c r="M103" i="1"/>
  <c r="H103" i="1"/>
  <c r="M101" i="1"/>
  <c r="H101" i="1"/>
  <c r="M99" i="1"/>
  <c r="H99" i="1"/>
  <c r="M97" i="1"/>
  <c r="H97" i="1"/>
  <c r="M95" i="1"/>
  <c r="H95" i="1"/>
  <c r="M93" i="1"/>
  <c r="H93" i="1"/>
  <c r="M91" i="1"/>
  <c r="H91" i="1"/>
  <c r="M89" i="1"/>
  <c r="H89" i="1"/>
  <c r="M87" i="1"/>
  <c r="H87" i="1"/>
  <c r="M85" i="1"/>
  <c r="H85" i="1"/>
  <c r="M83" i="1"/>
  <c r="H83" i="1"/>
  <c r="M81" i="1"/>
  <c r="H81" i="1"/>
  <c r="M79" i="1"/>
  <c r="H79" i="1"/>
  <c r="M77" i="1"/>
  <c r="H77" i="1"/>
  <c r="M75" i="1"/>
  <c r="H75" i="1"/>
  <c r="M73" i="1"/>
  <c r="H73" i="1"/>
  <c r="M71" i="1"/>
  <c r="H71" i="1"/>
  <c r="M69" i="1"/>
  <c r="H69" i="1"/>
  <c r="M67" i="1"/>
  <c r="H67" i="1"/>
  <c r="M65" i="1"/>
  <c r="H65" i="1"/>
  <c r="M63" i="1"/>
  <c r="H63" i="1"/>
  <c r="M61" i="1"/>
  <c r="H61" i="1"/>
  <c r="M59" i="1"/>
  <c r="H59" i="1"/>
  <c r="M57" i="1"/>
  <c r="H57" i="1"/>
  <c r="M55" i="1"/>
  <c r="H55" i="1"/>
  <c r="M53" i="1"/>
  <c r="H53" i="1"/>
  <c r="M51" i="1"/>
  <c r="H51" i="1"/>
  <c r="M49" i="1"/>
  <c r="H49" i="1"/>
  <c r="M47" i="1"/>
  <c r="H47" i="1"/>
  <c r="M39" i="1"/>
  <c r="H39" i="1"/>
  <c r="M35" i="1"/>
  <c r="H35" i="1"/>
  <c r="M29" i="1"/>
  <c r="H29" i="1"/>
  <c r="M27" i="1"/>
  <c r="H27" i="1"/>
  <c r="M25" i="1"/>
  <c r="H25" i="1"/>
  <c r="M23" i="1"/>
  <c r="H23" i="1"/>
  <c r="M21" i="1"/>
  <c r="H21" i="1"/>
  <c r="M19" i="1"/>
  <c r="H19" i="1"/>
  <c r="M17" i="1"/>
  <c r="H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40" authorId="0" shapeId="0" xr:uid="{00000000-0006-0000-0000-000001000000}">
      <text>
        <r>
          <rPr>
            <sz val="10"/>
            <rFont val="Arial"/>
            <family val="2"/>
          </rPr>
          <t>Should technical resources be required from NYP for the project, the vendor and NYP BRM representative will attend a Solution Design session alongside technical leads from the infrastructure team to discuss requirements and architect the solution according to NYP technical standards. 
The output of this session will include artifacts needed for both the implementation of the project and ongoing (day 2) support of the solution/service.  The following artifacts will be created for net new systems, or if this is a modification to an existing system, these artifacts will be updated:
• Bill of Materials required to build, test, and go live with the solution (BOM)
• High Level Architecture Diagram (HLD)
• Low Level technical blueprint of the solution (LLD)
In addition to any technical documentation and vendor provided reference architectures, please come to Solution Design prepared to discuss the in-depth technical details and infrastructure requirements including, but not limited to the topics on the IT Infrastructure Solution Design Tab (Excel Tab 2).</t>
        </r>
      </text>
    </comment>
    <comment ref="D60" authorId="0" shapeId="0" xr:uid="{00000000-0006-0000-0000-000002000000}">
      <text>
        <r>
          <rPr>
            <sz val="10"/>
            <rFont val="Arial"/>
            <family val="2"/>
          </rPr>
          <t>PHI Data</t>
        </r>
      </text>
    </comment>
    <comment ref="D62" authorId="0" shapeId="0" xr:uid="{00000000-0006-0000-0000-000003000000}">
      <text>
        <r>
          <rPr>
            <sz val="10"/>
            <rFont val="Arial"/>
            <family val="2"/>
          </rPr>
          <t>PII Data</t>
        </r>
      </text>
    </comment>
    <comment ref="D64" authorId="0" shapeId="0" xr:uid="{00000000-0006-0000-0000-000004000000}">
      <text>
        <r>
          <rPr>
            <sz val="10"/>
            <rFont val="Arial"/>
            <family val="2"/>
          </rPr>
          <t>PCI Data</t>
        </r>
      </text>
    </comment>
    <comment ref="D66" authorId="0" shapeId="0" xr:uid="{00000000-0006-0000-0000-000005000000}">
      <text>
        <r>
          <rPr>
            <sz val="10"/>
            <rFont val="Arial"/>
            <family val="2"/>
          </rPr>
          <t>Payroll Data</t>
        </r>
      </text>
    </comment>
    <comment ref="D68" authorId="0" shapeId="0" xr:uid="{00000000-0006-0000-0000-000006000000}">
      <text>
        <r>
          <rPr>
            <sz val="10"/>
            <rFont val="Arial"/>
            <family val="2"/>
          </rPr>
          <t>Financial Records Data</t>
        </r>
      </text>
    </comment>
    <comment ref="D70" authorId="0" shapeId="0" xr:uid="{00000000-0006-0000-0000-000007000000}">
      <text>
        <r>
          <rPr>
            <sz val="10"/>
            <rFont val="Arial"/>
            <family val="2"/>
          </rPr>
          <t>Other Data</t>
        </r>
      </text>
    </comment>
  </commentList>
</comments>
</file>

<file path=xl/sharedStrings.xml><?xml version="1.0" encoding="utf-8"?>
<sst xmlns="http://schemas.openxmlformats.org/spreadsheetml/2006/main" count="7555" uniqueCount="1932">
  <si>
    <t/>
  </si>
  <si>
    <t>HDR</t>
  </si>
  <si>
    <t>True</t>
  </si>
  <si>
    <t>Type:              NYP General Assessment</t>
  </si>
  <si>
    <t>Name</t>
  </si>
  <si>
    <t>Enter the name</t>
  </si>
  <si>
    <t>Short Name</t>
  </si>
  <si>
    <t>Question / Description</t>
  </si>
  <si>
    <t>Answer / Value</t>
  </si>
  <si>
    <t>ATTR</t>
  </si>
  <si>
    <t>Comment</t>
  </si>
  <si>
    <t>Information Question 01</t>
  </si>
  <si>
    <t>APPLICATION/PRODUCT/SERVICE NAME:</t>
  </si>
  <si>
    <t>Select here to enter response</t>
  </si>
  <si>
    <t>*</t>
  </si>
  <si>
    <t>CTRL</t>
  </si>
  <si>
    <t>201633</t>
  </si>
  <si>
    <t>NYP: Information Question 01.5</t>
  </si>
  <si>
    <t>IT SYSTEM REQUEST NUMBER:</t>
  </si>
  <si>
    <t>Select here to enter a response</t>
  </si>
  <si>
    <t>207848</t>
  </si>
  <si>
    <t>Information Question 02</t>
  </si>
  <si>
    <t>Name:</t>
  </si>
  <si>
    <t>201635</t>
  </si>
  <si>
    <t>Information Question 03</t>
  </si>
  <si>
    <t>Email:</t>
  </si>
  <si>
    <t>201637</t>
  </si>
  <si>
    <t>Information Question 04</t>
  </si>
  <si>
    <t>Phone number:</t>
  </si>
  <si>
    <t>201639</t>
  </si>
  <si>
    <t>Information Question 05</t>
  </si>
  <si>
    <t>DATE SUBMITTED (mm/dd/yy):</t>
  </si>
  <si>
    <t>201641</t>
  </si>
  <si>
    <t>Information Question 06</t>
  </si>
  <si>
    <t>EXPECTED GO-LIVE DATE (mm/dd/yy):</t>
  </si>
  <si>
    <t>201643</t>
  </si>
  <si>
    <t>Information Question 07</t>
  </si>
  <si>
    <t>Will this application or system be HOSTED by NYP or the Vendor?</t>
  </si>
  <si>
    <t>201645</t>
  </si>
  <si>
    <t>Information Question 08</t>
  </si>
  <si>
    <t>Will this application or system be SUPPORTED by NYP or the Vendor?</t>
  </si>
  <si>
    <t>201648</t>
  </si>
  <si>
    <t>Information Question 09</t>
  </si>
  <si>
    <t>Description of product features, functionality and/or services:</t>
  </si>
  <si>
    <t>201651</t>
  </si>
  <si>
    <t>System Architecture Diagram</t>
  </si>
  <si>
    <t>Please insert a graphic image containing a diagram of the recommended system architecture</t>
  </si>
  <si>
    <t>201653</t>
  </si>
  <si>
    <t>NYP: Information IT Resources</t>
  </si>
  <si>
    <t>Will this PMO request require technical resources from IT such as Server and Database resources? OR Does this PMO request introduce a new network-connected device (such as a biomedical, audio/visual, or building management) or changes to an existing device or service, that will require ongoing connectivity and support?</t>
  </si>
  <si>
    <t>211983</t>
  </si>
  <si>
    <t>Information Question 10</t>
  </si>
  <si>
    <t>Does your application include a technology that can be utilized to provide a highly available system architecture, which meets the Tiering requirements of the system?  
NOTE: If answering NO, disregard the remaining BCDR questions!!</t>
  </si>
  <si>
    <t>201656</t>
  </si>
  <si>
    <t>Will the server / workstation be built and managed by NYP? (</t>
  </si>
  <si>
    <t>Does this request include a Medical Device/ BioMed Component?
NOTE: If answering NO, disregard the remaining Medical Device questions!!</t>
  </si>
  <si>
    <t>201680</t>
  </si>
  <si>
    <t>Information Question 19</t>
  </si>
  <si>
    <t>Doest this request include a cloud-based or externally-hosted component?
NOTE: If answering NO, disregard the remaining Vendor Hosted questions!!</t>
  </si>
  <si>
    <t>201683</t>
  </si>
  <si>
    <t>BCDR RTO &amp; RPO Tiering Level</t>
  </si>
  <si>
    <t>Please describe what technologies, native to your application, that can be utilized to provide a highly available system architecture that meets the "RTO and "RPO" of the appropriate Tiering level.</t>
  </si>
  <si>
    <t>201686</t>
  </si>
  <si>
    <t>BCDR Interoperability &amp; Support</t>
  </si>
  <si>
    <t>Please let us know below, if your application provides interoperability and support for these technologies, or encounters general issues with using these technologies to provide high availability.</t>
  </si>
  <si>
    <t>201689</t>
  </si>
  <si>
    <t>Vendor Information</t>
  </si>
  <si>
    <t>Vendor Name:</t>
  </si>
  <si>
    <t>201725</t>
  </si>
  <si>
    <t>Solution Information</t>
  </si>
  <si>
    <t>Application/Solution/Service Name:</t>
  </si>
  <si>
    <t>201727</t>
  </si>
  <si>
    <t>Software Information</t>
  </si>
  <si>
    <t>Software Version:</t>
  </si>
  <si>
    <t>201729</t>
  </si>
  <si>
    <t>Application or Service Information</t>
  </si>
  <si>
    <t>Short Description of Application/Solution or Service being provided:</t>
  </si>
  <si>
    <t>201731</t>
  </si>
  <si>
    <t>Application / System Data /Type of Data Created / Received / Processed / Maintained / Stored / Accessed (PHI)</t>
  </si>
  <si>
    <t>Is Protected Health Information (PHI) data created, processed, stored, or received by the system or application (or accessed by the vendor/contractor in case of professional services projects)?</t>
  </si>
  <si>
    <t>201733</t>
  </si>
  <si>
    <t>Application / System Data /Type of Data Created / Received / Processed / Maintained / Stored / Accessed (PII)</t>
  </si>
  <si>
    <t>Is Personally Identifiable Information (PII) data created, processed, stored, or received by the system or application (or accessed by the vendor/contractor in case of professional services projects)?</t>
  </si>
  <si>
    <t>201737</t>
  </si>
  <si>
    <t>Application / System Data /Type of Data Created / Received / Processed / Maintained / Stored / Accessed (PCI)</t>
  </si>
  <si>
    <t>Is Payment Card Industry (PCI) data created, processed, stored, or received by the system or application (or accessed by the vendor/contractor in case of professional services projects)?</t>
  </si>
  <si>
    <t>201741</t>
  </si>
  <si>
    <t>Application / System Data /Type of Data Created / Received / Processed / Maintained / Stored / Accessed (Payroll Data)</t>
  </si>
  <si>
    <t>Is Payroll Data created, processed, stored, or received by the system or application (or accessed by the vendor/contractor in case of professional services projects)?</t>
  </si>
  <si>
    <t>201745</t>
  </si>
  <si>
    <t>Application / System Data /Type of Data Created / Received / Processed / Maintained / Stored / Accessed (Financial Records)</t>
  </si>
  <si>
    <t>Is Financial Records data (e.g. revenue) created, processed, stored, or received by the system or application (or accessed by the vendor/contractor in case of professional services projects)?</t>
  </si>
  <si>
    <t>201749</t>
  </si>
  <si>
    <t>Application / System Data /Type of Data Created / Received / Processed / Maintained / Stored / Accessed (Other)</t>
  </si>
  <si>
    <t>Is there any OTHER data not previously mentioned that is created, processed, stored, or received by the system or application (or accessed by the vendor/contractor in case of professional services projects)? If so, please specify.</t>
  </si>
  <si>
    <t>201753</t>
  </si>
  <si>
    <t>Application / System Data /Data / Application Hosting</t>
  </si>
  <si>
    <t>Is the application/data Hosted in NYP Data Center?</t>
  </si>
  <si>
    <t>201757</t>
  </si>
  <si>
    <t>Application / System Data /Data / Application Hosting/Vendor Hosting</t>
  </si>
  <si>
    <t>Is the application/data Hosted By Vendor?</t>
  </si>
  <si>
    <t>201761</t>
  </si>
  <si>
    <t>Application / System Data /Data / Application Hosting/Third Party Hosting</t>
  </si>
  <si>
    <t>Is the application/data Hosted by other 3rd Party? If so,  provide name</t>
  </si>
  <si>
    <t>201765</t>
  </si>
  <si>
    <t>Application / System Data /Data / Application Hosting/Vendor Owned Hosting</t>
  </si>
  <si>
    <t>Is the application/data NYP data stored on a Vendor owned system?</t>
  </si>
  <si>
    <t>201769</t>
  </si>
  <si>
    <t>Application / System Data /Data / Application Hosting/Standalone</t>
  </si>
  <si>
    <t>Is the application/data N/A - (e.g.  Standalone,  desktop,  embedded device)?</t>
  </si>
  <si>
    <t>201773</t>
  </si>
  <si>
    <t>Data Transfers/LAN</t>
  </si>
  <si>
    <t>Is NYP data transmitted over a local NYP local network?</t>
  </si>
  <si>
    <t>201777</t>
  </si>
  <si>
    <t>Data Transfers/WAN</t>
  </si>
  <si>
    <t>Is NYP data transmitted over a WAN?</t>
  </si>
  <si>
    <t>201781</t>
  </si>
  <si>
    <t>Data Transfers/VPN</t>
  </si>
  <si>
    <t>Is NYP data transmitted over a NYP Virtual Private Network (VPN)?</t>
  </si>
  <si>
    <t>201785</t>
  </si>
  <si>
    <t>Data Transfers/Internet</t>
  </si>
  <si>
    <t>Is NYP data transmitted over the Internet?</t>
  </si>
  <si>
    <t>201789</t>
  </si>
  <si>
    <t>Data Transfers/Wireless/Security (WiFi)</t>
  </si>
  <si>
    <t>Is NYP data transmitted over a WiFi connection?</t>
  </si>
  <si>
    <t>201793</t>
  </si>
  <si>
    <t>Data Transfers/Wireless/Security (Blue Tooth)</t>
  </si>
  <si>
    <t>Is NYP data transmitted over a BlueTooth connection?</t>
  </si>
  <si>
    <t>201797</t>
  </si>
  <si>
    <t>Data Transfers/Wireless/Security (Mobile)</t>
  </si>
  <si>
    <t>Is NYP data transmitted over a Mobile connection?</t>
  </si>
  <si>
    <t>201801</t>
  </si>
  <si>
    <t>Application / System Data /Data Transfers/(PHI)</t>
  </si>
  <si>
    <t>Does this system/application transfer any Protected Health Information (PHI)?</t>
  </si>
  <si>
    <t>201805</t>
  </si>
  <si>
    <t>Application / System Data /Data Transfers/(PII)</t>
  </si>
  <si>
    <t>Does this system/application transfer any Personally Identifiable Information (PII)?</t>
  </si>
  <si>
    <t>201809</t>
  </si>
  <si>
    <t>Application / System Data /Data Transfers/(PCI)</t>
  </si>
  <si>
    <t>Does this system/application transfer any Payment Card Industry (PCI) data?</t>
  </si>
  <si>
    <t>201813</t>
  </si>
  <si>
    <t>Application / System Data /Data Transfers/(Payroll)</t>
  </si>
  <si>
    <t>Does this system/application transfer any Payroll data?</t>
  </si>
  <si>
    <t>201817</t>
  </si>
  <si>
    <t>Application / System Data /Data Transfers/(Financial)</t>
  </si>
  <si>
    <t>Does this system/application transfer any Financial records (e.g. revenue)?</t>
  </si>
  <si>
    <t>201821</t>
  </si>
  <si>
    <t>Application / System Data /Data Transfers/(Other)</t>
  </si>
  <si>
    <t>Does this system/application transfer any Other – Please describe?</t>
  </si>
  <si>
    <t>201825</t>
  </si>
  <si>
    <t>Application / System Data /Application / System Security</t>
  </si>
  <si>
    <t>Will the server / workstation be built and managed by NYP? (If vendor built/managed, describe OS patching process and frequency, and anti-malware used in the comments section)</t>
  </si>
  <si>
    <t>201828</t>
  </si>
  <si>
    <t>OS</t>
  </si>
  <si>
    <t>OS Name and Version</t>
  </si>
  <si>
    <t>201831</t>
  </si>
  <si>
    <t>OS Support</t>
  </si>
  <si>
    <t>OS vendor end-of-life support date (skip if it is an NYP-built and managed server/workstation)</t>
  </si>
  <si>
    <t>201834</t>
  </si>
  <si>
    <t>AD Support</t>
  </si>
  <si>
    <t>Does the system or application support AD and/or Federated Authentication for local and/or remote authentication?</t>
  </si>
  <si>
    <t>201837</t>
  </si>
  <si>
    <t>Federated Authentication/AD</t>
  </si>
  <si>
    <t>Does this system/application support Active Directory?</t>
  </si>
  <si>
    <t>201841</t>
  </si>
  <si>
    <t>Federated Authentication/SAML</t>
  </si>
  <si>
    <t>Does this system/application support SAML?</t>
  </si>
  <si>
    <t>201845</t>
  </si>
  <si>
    <t>Federated Authentication/WS-Fed</t>
  </si>
  <si>
    <t>Does this system/application support WS-Federation?</t>
  </si>
  <si>
    <t>201849</t>
  </si>
  <si>
    <t>Federated Authentication/Oath</t>
  </si>
  <si>
    <t>Does this system/application support Oath?</t>
  </si>
  <si>
    <t>201853</t>
  </si>
  <si>
    <t>Federated Authentication/OpenID</t>
  </si>
  <si>
    <t>Does this system/application support OpenID Connect?</t>
  </si>
  <si>
    <t>201857</t>
  </si>
  <si>
    <t>Federated Authentication/WS-Trust</t>
  </si>
  <si>
    <t>Does this system/application support WS-Trust?</t>
  </si>
  <si>
    <t>201861</t>
  </si>
  <si>
    <t>Federated Authentication/MultiFactor</t>
  </si>
  <si>
    <t>Does this system/application support Multi-Factor Authentication?</t>
  </si>
  <si>
    <t>201865</t>
  </si>
  <si>
    <t>SECURITY/Application / System Data /Password Policy/NYP Password policy</t>
  </si>
  <si>
    <t>Does the system or application support comply with NYP's password policy?
A) At least eight characters long.
B) Include small letters, capital letters and numbers.
C) No dictionary words or commonly known proper nouns.
D) Expire after a maximum of 180 day</t>
  </si>
  <si>
    <t>201869</t>
  </si>
  <si>
    <t>SECURITY/Application / System Data /Password Policy/Hash</t>
  </si>
  <si>
    <t>Are passwords stored in a one-way hash format?</t>
  </si>
  <si>
    <t>201873</t>
  </si>
  <si>
    <t>SECURITY/Application / System Data /Password Policy/Password Reset</t>
  </si>
  <si>
    <t>Does the system or application force a required password change for first login or on password reset by an administrator?</t>
  </si>
  <si>
    <t>201877</t>
  </si>
  <si>
    <t>SECURITY/Application / System Data /Password Policy/Auto LogOff</t>
  </si>
  <si>
    <t>Auto-logoff after maximum of 30 min of inactivity</t>
  </si>
  <si>
    <t>201881</t>
  </si>
  <si>
    <t>Application / System Data /Access Control</t>
  </si>
  <si>
    <t>Are there any Domain specific security policy restrictions? (please specify in Comments)</t>
  </si>
  <si>
    <t>201885</t>
  </si>
  <si>
    <t>SECURITY/Access Management/Access Control/Unique User</t>
  </si>
  <si>
    <t>Does the system/application support Role Based Access Control (RBAC) with unique user/operator-specific IDs and passwords?</t>
  </si>
  <si>
    <t>201889</t>
  </si>
  <si>
    <t>SECURITY/Access Management/Access Control/Shared Accounts</t>
  </si>
  <si>
    <t>Are generic/shared accounts used?</t>
  </si>
  <si>
    <t>201893</t>
  </si>
  <si>
    <t>SECURITY/Access Management/Access Control/Default Accounts</t>
  </si>
  <si>
    <t>Are Default and/or guest accounts disabled?</t>
  </si>
  <si>
    <t>201897</t>
  </si>
  <si>
    <t>SECURITY/Access Management/User Provisioning/API</t>
  </si>
  <si>
    <t>Is Automated User Provisioning and Role Management using an external program/API supported?</t>
  </si>
  <si>
    <t>201901</t>
  </si>
  <si>
    <t>SECURITY/Access Management/User Access Management</t>
  </si>
  <si>
    <t>Who manages access to the system or application?</t>
  </si>
  <si>
    <t>201905</t>
  </si>
  <si>
    <t>SECURITY/Access Management/Remove Access</t>
  </si>
  <si>
    <t>How is the user’s access removed when it is no longer needed.</t>
  </si>
  <si>
    <t>201909</t>
  </si>
  <si>
    <t>End User, Privileged, Vendor Access/User Access/SSH</t>
  </si>
  <si>
    <t>Can the users can access the system via SSH?</t>
  </si>
  <si>
    <t>201913</t>
  </si>
  <si>
    <t>End User, Privileged, Vendor Access/User Access/WebApp</t>
  </si>
  <si>
    <t>Can the users can access the system via a web application?</t>
  </si>
  <si>
    <t>201917</t>
  </si>
  <si>
    <t>End User, Privileged, Vendor Access/User Access/ThickClientApp</t>
  </si>
  <si>
    <t>Can the users can access the system via a Thick Client Application?</t>
  </si>
  <si>
    <t>201921</t>
  </si>
  <si>
    <t>End User, Privileged, Vendor Access/User Access/Mobile App</t>
  </si>
  <si>
    <t>Can the users access the system via a Mobile Application?</t>
  </si>
  <si>
    <t>201925</t>
  </si>
  <si>
    <t>End User, Privileged, Vendor Access/User Access/Other</t>
  </si>
  <si>
    <t>Can the users can access the system via other method (please specify)?</t>
  </si>
  <si>
    <t>201928</t>
  </si>
  <si>
    <t>SECURITY/End User, Privileged, Vendor Access/Vendor Access</t>
  </si>
  <si>
    <t>Will the vendor access NYP systems? If so, please list which systems will they access in the Vendor Comments section.</t>
  </si>
  <si>
    <t>201932</t>
  </si>
  <si>
    <t>SECURITY/End User, Privileged, Vendor Access/Vendor Data Flow</t>
  </si>
  <si>
    <t>Will NYP transfer/receive data to/from the vendor? If so, how is the data being transferred?</t>
  </si>
  <si>
    <t>201936</t>
  </si>
  <si>
    <t>SECURITY/End User, Privileged, Vendor Access/Vendor Access to NYP systems and/or data.</t>
  </si>
  <si>
    <t>Describe the data to be accessed by or transmitted to the vendor. (e.g. system logs, application data, etc.)</t>
  </si>
  <si>
    <t>201940</t>
  </si>
  <si>
    <t>SECURITY/End User, Privileged, Vendor Access/Vendor Data Combine</t>
  </si>
  <si>
    <t>Will NYP data be combined with data from other sources?</t>
  </si>
  <si>
    <t>201944</t>
  </si>
  <si>
    <t>SECURITY/End User, Privileged, Vendor Access/Vendor Access Backup</t>
  </si>
  <si>
    <t>Please indicate if backups of NYP data in any format are included in the services?</t>
  </si>
  <si>
    <t>201948</t>
  </si>
  <si>
    <t>SECURITY/End User, Privileged, Vendor Access/Vendor BAA</t>
  </si>
  <si>
    <t>For vendors with access to ePHI, will there be a BAA between NYP and vendor?</t>
  </si>
  <si>
    <t>201952</t>
  </si>
  <si>
    <t>SECURITY/Auditing &amp; Logging/Auditing Logging Capabilities/Data</t>
  </si>
  <si>
    <t>Audit logging of application data activity (e.g. entries, changes, deletions) Logging capabilities with references to READ, WRITE, UPDATE, VIEW and PRINT actions.</t>
  </si>
  <si>
    <t>201956</t>
  </si>
  <si>
    <t>SECURITY/Auditing &amp; Logging/Auditing Logging Capabilities/User Access</t>
  </si>
  <si>
    <t>Audit logging of user access activity Logging capabilities with references to user accounts status, LOGIN, LOGOUT, TIMEOUT events.</t>
  </si>
  <si>
    <t>201960</t>
  </si>
  <si>
    <t>SECURITY/Auditing &amp; Logging/Auditing/Export</t>
  </si>
  <si>
    <t>Log data export Capability of exporting log data to text or CSV file.</t>
  </si>
  <si>
    <t>201964</t>
  </si>
  <si>
    <t>SECURITY/Auditing &amp; Logging/Auditing/UserID</t>
  </si>
  <si>
    <t>Does the audit log include User ID?</t>
  </si>
  <si>
    <t>201968</t>
  </si>
  <si>
    <t>SECURITY/Auditing &amp; Logging/Auditing/PID</t>
  </si>
  <si>
    <t>Does the audit log include Patient ID?</t>
  </si>
  <si>
    <t>201972</t>
  </si>
  <si>
    <t>SECURITY/Auditing &amp; Logging/Auditing/Date and Time</t>
  </si>
  <si>
    <t>Does the audit log include Date and Time?</t>
  </si>
  <si>
    <t>201976</t>
  </si>
  <si>
    <t>SECURITY/Auditing &amp; Logging/Auditing/Location</t>
  </si>
  <si>
    <t>Does the audit log include Location?</t>
  </si>
  <si>
    <t>201980</t>
  </si>
  <si>
    <t>SECURITY/Auditing &amp; Logging/Auditing/Action</t>
  </si>
  <si>
    <t>Does the audit log include Action (view/update/print/etc.)?</t>
  </si>
  <si>
    <t>201984</t>
  </si>
  <si>
    <t>SECURITY/Auditing &amp; Logging/DataType</t>
  </si>
  <si>
    <t>Does the audit log include the Data Type (lab, rad images, other details)?</t>
  </si>
  <si>
    <t>201988</t>
  </si>
  <si>
    <t>SECURITY/Remote Access/End User Remote Access</t>
  </si>
  <si>
    <t>Do end users have remote access to the information system?</t>
  </si>
  <si>
    <t>201992</t>
  </si>
  <si>
    <t>SECURITY/Remote Access/End User Access</t>
  </si>
  <si>
    <t>If yes, how do end users connect remotely? (E.g. Directly from the Internet, Remote Desktop, VPN)</t>
  </si>
  <si>
    <t>201996</t>
  </si>
  <si>
    <t>SECURITY/Remote Access/Vendor Remote Access</t>
  </si>
  <si>
    <t>Do vendors have remote access to the information system?</t>
  </si>
  <si>
    <t>202000</t>
  </si>
  <si>
    <t>SECURITY/Remote Access/Vendor Access</t>
  </si>
  <si>
    <t>If yes, how do vendors connect remotely? (E.g. Directly from the Internet, Remote Desktop, VPN, WebEx)</t>
  </si>
  <si>
    <t>202004</t>
  </si>
  <si>
    <t>Encryption/Sensitive data encrypted in transit/TLSv1.0</t>
  </si>
  <si>
    <t>Is sensitive data sent over a public network encrypted in transit with TLS 1.0?</t>
  </si>
  <si>
    <t>202008</t>
  </si>
  <si>
    <t>Encryption/Sensitive data encrypted in transit/TLSv1.1</t>
  </si>
  <si>
    <t>Is sensitive data sent over a public network encrypted in transit with TLS 1.1?</t>
  </si>
  <si>
    <t>202012</t>
  </si>
  <si>
    <t>Encryption/Sensitive data encrypted in transit/TLSv1.2</t>
  </si>
  <si>
    <t>Is sensitive data sent over a public network encrypted in transit with TLS 1.2?</t>
  </si>
  <si>
    <t>202016</t>
  </si>
  <si>
    <t>Encryption/Sensitive data encrypted in transit/Other</t>
  </si>
  <si>
    <t>Is sensitive data sent over a public network encrypted in transit with other solution (specify)?</t>
  </si>
  <si>
    <t>202020</t>
  </si>
  <si>
    <t>Encryption/Sensitive data encrypted in transit/Local</t>
  </si>
  <si>
    <t>Is TLS 1.2 used to transmit sensitive data within the Local network?</t>
  </si>
  <si>
    <t>202024</t>
  </si>
  <si>
    <t>SECURITY/Encryption/Sensitive data encrypted at rest</t>
  </si>
  <si>
    <t>Is sensitive data encrypted at rest/storage? Industry standard algorithm (e.g. AES 256)</t>
  </si>
  <si>
    <t>202028</t>
  </si>
  <si>
    <t>SECURITY/Encryption/Sensitive data encrypted/Backup</t>
  </si>
  <si>
    <t>Are backups encrypted? Industry standard algorithm (e.g. AES 256)</t>
  </si>
  <si>
    <t>202032</t>
  </si>
  <si>
    <t>Encryption/Key Management</t>
  </si>
  <si>
    <t>Key Management System Is there a documented key management process for generating, distributing and managing cryptographic keys for devices and applications. Describe how encryption keys are being secured, including who has access to the keys in the Comme</t>
  </si>
  <si>
    <t>202036</t>
  </si>
  <si>
    <t>Mobile Devices (Complete this section if the project involves Mobile devices such as tablets, smartphones, laptops, etc.)/Mobile Device Management</t>
  </si>
  <si>
    <t>Will the mobile device be issued by NYP and managed through NYP's MDM solution (Mobile Iron)? If the answer is no, please explain in the comments field how will the device be managed and if it will be encrypted.</t>
  </si>
  <si>
    <t>202038</t>
  </si>
  <si>
    <t>SECURITY/Data Backup and Disaster Recovery/Data Backup/Services</t>
  </si>
  <si>
    <t>202042</t>
  </si>
  <si>
    <t>SECURITY/Data Backup and Disaster Recovery/Data Backup</t>
  </si>
  <si>
    <t>Include a description of the type of backup and the frequency of the backups.</t>
  </si>
  <si>
    <t>202046</t>
  </si>
  <si>
    <t>Data Backup and Disaster Recovery/Disaster Recovery</t>
  </si>
  <si>
    <t>Is the vendor responsible for providing disaster recovery services for the solution being proposed?</t>
  </si>
  <si>
    <t>202048</t>
  </si>
  <si>
    <t>Protection of NYP Data/Return of NYP Data/ Data Destruction</t>
  </si>
  <si>
    <t>How will data be handled at termination of contract or  when data  is no longer needed?</t>
  </si>
  <si>
    <t>202052</t>
  </si>
  <si>
    <t>Medical Device Section</t>
  </si>
  <si>
    <t>MEDICAL DEVICE/Device Information/Manufacturer</t>
  </si>
  <si>
    <t>Manufacturer Name:</t>
  </si>
  <si>
    <t>202056</t>
  </si>
  <si>
    <t>NYP: Security/Additional Information</t>
  </si>
  <si>
    <t>Vendor/NYP IT Owner Comments  &amp; Concerns</t>
  </si>
  <si>
    <t>209926</t>
  </si>
  <si>
    <t>MEDICAL DEVICE/Device Information/Device Name</t>
  </si>
  <si>
    <t>Device Name:</t>
  </si>
  <si>
    <t>202060</t>
  </si>
  <si>
    <t>MEDICAL DEVICE/Device Information/Model</t>
  </si>
  <si>
    <t>Device Model:</t>
  </si>
  <si>
    <t>202064</t>
  </si>
  <si>
    <t>MEDICAL DEVICE/Device Information/Software Version</t>
  </si>
  <si>
    <t>202068</t>
  </si>
  <si>
    <t>MEDICAL DEVICE/Device Information/Device Category</t>
  </si>
  <si>
    <t>Device Category:</t>
  </si>
  <si>
    <t>202072</t>
  </si>
  <si>
    <t>MEDICAL DEVICE/Device Information/Function</t>
  </si>
  <si>
    <t>Short Description of Medical Device Function:</t>
  </si>
  <si>
    <t>202076</t>
  </si>
  <si>
    <t>Device Information/Data Management:</t>
  </si>
  <si>
    <t>Does device display, transmit, or maintain/store private data (including electronic Protected Health Information [ePHI])?</t>
  </si>
  <si>
    <t>202080</t>
  </si>
  <si>
    <t>Device Information/Record Management</t>
  </si>
  <si>
    <t>How many individual patient records can be stored on the device?</t>
  </si>
  <si>
    <t>202084</t>
  </si>
  <si>
    <t>MEDICAL DEVICE/Device Information/Device Certification/FDA</t>
  </si>
  <si>
    <t>Is the device FDA cleared or approved</t>
  </si>
  <si>
    <t>202089</t>
  </si>
  <si>
    <t>MEDICAL DEVICE/Device Information/Device Certification</t>
  </si>
  <si>
    <t>Attach device MDS2 form.</t>
  </si>
  <si>
    <t>Attach device MSDS2 Form</t>
  </si>
  <si>
    <t>202093</t>
  </si>
  <si>
    <t>MEDICAL DEVICE/Operating System Detail</t>
  </si>
  <si>
    <t>202096</t>
  </si>
  <si>
    <t>MEDICAL DEVICE/Operating System Security features/Operating System  Support</t>
  </si>
  <si>
    <t>OS vendor end-of-life support date</t>
  </si>
  <si>
    <t>202100</t>
  </si>
  <si>
    <t>MEDICAL DEVICE/Operating System Security features:/OS</t>
  </si>
  <si>
    <t>Hardened OS</t>
  </si>
  <si>
    <t>202104</t>
  </si>
  <si>
    <t>MEDICAL DEVICE/Operating System Security features:/AutoLogOff</t>
  </si>
  <si>
    <t>Automatic Logoff</t>
  </si>
  <si>
    <t>202108</t>
  </si>
  <si>
    <t>MEDICAL DEVICE/Operating System Security features:/Firewall</t>
  </si>
  <si>
    <t>Firewall enabled.</t>
  </si>
  <si>
    <t>202112</t>
  </si>
  <si>
    <t>MEDICAL DEVICE/Operating System Security features:/Default Deny</t>
  </si>
  <si>
    <t>Default Deny for Apps, Drivers &amp; Libraries</t>
  </si>
  <si>
    <t>202116</t>
  </si>
  <si>
    <t>MEDICAL DEVICE/Operating System Security features:/Device Control</t>
  </si>
  <si>
    <t>Device Control, USB Connections Monitoring</t>
  </si>
  <si>
    <t>202120</t>
  </si>
  <si>
    <t>MEDICAL DEVICE/Operating System Security features:/Memory</t>
  </si>
  <si>
    <t>Memory Protection</t>
  </si>
  <si>
    <t>202124</t>
  </si>
  <si>
    <t>MEDICAL DEVICE/Operating System Security features:/File Integrity</t>
  </si>
  <si>
    <t>File Integrity Monitoring and Activity Audit Logs</t>
  </si>
  <si>
    <t>202128</t>
  </si>
  <si>
    <t>MEDICAL DEVICE/Operating System Security features:/Least Privileged Access</t>
  </si>
  <si>
    <t>Does the device support Least Privileged Access limiting user access to the minimal level that will allow normal functioning or operation.</t>
  </si>
  <si>
    <t>202132</t>
  </si>
  <si>
    <t>MEDICAL DEVICE/Operating System Security features:/Boot Disabled</t>
  </si>
  <si>
    <t>CD/USB boot disabled</t>
  </si>
  <si>
    <t>202136</t>
  </si>
  <si>
    <t>MEDICAL DEVICE/Device Connectivity/Network Connectivity/Cable Connect</t>
  </si>
  <si>
    <t>Dedicated cable connection (e.g., IEEE 1073, serial port, USB, FireWire, etc.)?</t>
  </si>
  <si>
    <t>202140</t>
  </si>
  <si>
    <t>MEDICAL DEVICE/Device Connectivity/Network Connectivity/Wired Net</t>
  </si>
  <si>
    <t>Wired network connection (e.g., LAN, WAN, VPN, intranet, Internet, etc.)?</t>
  </si>
  <si>
    <t>202144</t>
  </si>
  <si>
    <t>MEDICAL DEVICE/Device Connectivity/Network Connectivity/Wireless Net</t>
  </si>
  <si>
    <t>Wireless network connection (e.g., Wi-Fi, Bluetooth, infrared, etc.)?</t>
  </si>
  <si>
    <t>202148</t>
  </si>
  <si>
    <t>MEDICAL DEVICE/Device Connectivity/Network Connectivity/No Net</t>
  </si>
  <si>
    <t>No network connections</t>
  </si>
  <si>
    <t>202152</t>
  </si>
  <si>
    <t>MEDICAL DEVICE/Device Connectivity/System Connectivity/EMR</t>
  </si>
  <si>
    <t>Connect to electronic medical record (EMR)</t>
  </si>
  <si>
    <t>202156</t>
  </si>
  <si>
    <t>MEDICAL DEVICE/Device Connectivity/System Connectivity/PACS</t>
  </si>
  <si>
    <t>Connect to image/data storage (e.g., PACS)</t>
  </si>
  <si>
    <t>202160</t>
  </si>
  <si>
    <t>MEDICAL DEVICE/Device Connectivity/System Connectivity/Serial</t>
  </si>
  <si>
    <t>Connected to intermediatory system via serial cable (e.g., Monitor,  dedicated workstation, terminal server)</t>
  </si>
  <si>
    <t>202164</t>
  </si>
  <si>
    <t>MEDICAL DEVICE/Device Connectivity/System Connectivity/Remote Access Data</t>
  </si>
  <si>
    <t>Remote access to data/images (e.g., physician, clinicians)</t>
  </si>
  <si>
    <t>202168</t>
  </si>
  <si>
    <t>MEDICAL DEVICE/Device Connectivity/System Connectivity/Remote Service</t>
  </si>
  <si>
    <t>Remote service (e.g., manufacturer updates, troubleshooting, repair)</t>
  </si>
  <si>
    <t>202172</t>
  </si>
  <si>
    <t>MEDICAL DEVICE/Device Connectivity/System Connectivity/Remote Control</t>
  </si>
  <si>
    <t>Remote control (e.g., modify alarms, configuration settings, level of  therapy)</t>
  </si>
  <si>
    <t>202176</t>
  </si>
  <si>
    <t>MEDICAL DEVICE/Device Connectivity/System Connectivity/Remote Management</t>
  </si>
  <si>
    <t>Remote management (e.g., clinical updates like drug libraries for infusion  pumps)</t>
  </si>
  <si>
    <t>202180</t>
  </si>
  <si>
    <t>MEDICAL DEVICE/Device Connectivity/System Connectivity/Intra-Communication</t>
  </si>
  <si>
    <t>Intra‐communication between medical devices (e.g., diagnostic device  “informing” therapeutic devices …. e.g., monitor controlling opioid  delivery)</t>
  </si>
  <si>
    <t>202184</t>
  </si>
  <si>
    <t>MEDICAL DEVICE/Device Connectivity/No System Connectivity</t>
  </si>
  <si>
    <t>No system connectivity</t>
  </si>
  <si>
    <t>202188</t>
  </si>
  <si>
    <t>Device Connectivity/Network ports for clinical use:</t>
  </si>
  <si>
    <t>Network ports for clinical use: List all ports and protocols needed for communications</t>
  </si>
  <si>
    <t>202192</t>
  </si>
  <si>
    <t>MEDICAL DEVICE/Patching and Updates/Patching Description</t>
  </si>
  <si>
    <t>Describe Vendor patching requirements and process.</t>
  </si>
  <si>
    <t>202196</t>
  </si>
  <si>
    <t>MEDICAL DEVICE/Patching and Updates/Patching requirements and process</t>
  </si>
  <si>
    <t>"Does the device support the following? Select all that apply.
(if not supported, please explain why in the comments)"</t>
  </si>
  <si>
    <t>202200</t>
  </si>
  <si>
    <t>MEDICAL DEVICE/Authentication/AD Support</t>
  </si>
  <si>
    <t>AD support (if not supported, please explain why in the comments) Can the device be joined to the NYP AD domain and support domain accounts?</t>
  </si>
  <si>
    <t>202209</t>
  </si>
  <si>
    <t>MEDICAL DEVICE/Authentication/AD Support/Domain</t>
  </si>
  <si>
    <t>If joining to the Domain are there any Domain specific security policy restrictions (please specify in Comments)</t>
  </si>
  <si>
    <t>202213</t>
  </si>
  <si>
    <t>MEDICAL DEVICE/Authentication/User account control/User Unique</t>
  </si>
  <si>
    <t>Does the device support unique user/operator-specific IDs and passwords for multiple users?</t>
  </si>
  <si>
    <t>202217</t>
  </si>
  <si>
    <t>MEDICAL DEVICE/Authentication/User account control/External Authentication</t>
  </si>
  <si>
    <t>Can the device be configured to authenticate users through an external authentication service (e.g., MS Active Directory, NDS, LDAP, etc.)?</t>
  </si>
  <si>
    <t>202221</t>
  </si>
  <si>
    <t>MEDICAL DEVICE/Authentication/User account control/Shared User ID</t>
  </si>
  <si>
    <t>Are any shared user IDs used in this system?</t>
  </si>
  <si>
    <t>202225</t>
  </si>
  <si>
    <t>MEDICAL DEVICE/Antivirus</t>
  </si>
  <si>
    <t>"Will the device run an Antivirus / Antimalware Software?
(if not supported, please explain why in the comments)"</t>
  </si>
  <si>
    <t>202229</t>
  </si>
  <si>
    <t>MEDICAL DEVICE/Antivirus/Scanning Mode</t>
  </si>
  <si>
    <t>Supported AVS Scanning modes</t>
  </si>
  <si>
    <t>202234</t>
  </si>
  <si>
    <t>MEDICAL DEVICE/Encryption / Data in transit</t>
  </si>
  <si>
    <t>Sensitive data encrypted in transit TLS 1.2 used for all data in transit encryption.</t>
  </si>
  <si>
    <t>202243</t>
  </si>
  <si>
    <t>MEDICAL DEVICE/Encryption</t>
  </si>
  <si>
    <t>"Sensitive data encrypted at rest/storage (if not supported, please explain why in the comments)"</t>
  </si>
  <si>
    <t>202247</t>
  </si>
  <si>
    <t>MEDICAL DEVICE/Encryption /DICOM</t>
  </si>
  <si>
    <t>Secure DICOM Does the device encrypt DICOM images prior to transmission.</t>
  </si>
  <si>
    <t>202252</t>
  </si>
  <si>
    <t>MEDICAL DEVICE/Passwords/HASH</t>
  </si>
  <si>
    <t>Stored in a one-way hash format.
NOTE: Please mark the rest of the MEDICAL DEVICE/Passwords section as N/A  if the device will be joined to NYP AD domain and use NYP AD accounts</t>
  </si>
  <si>
    <t>202256</t>
  </si>
  <si>
    <t>MEDICAL DEVICE/Passwords/Password Change</t>
  </si>
  <si>
    <t>Force a required password change for first login or on password reset by an administrator.</t>
  </si>
  <si>
    <t>202260</t>
  </si>
  <si>
    <t>MEDICAL DEVICE/Passwords/Hardcoded Password</t>
  </si>
  <si>
    <t>Are there any hardcoded passwords in the device.</t>
  </si>
  <si>
    <t>202264</t>
  </si>
  <si>
    <t>MEDICAL DEVICE/Passwords/Length</t>
  </si>
  <si>
    <t>Does this system/application support password at least eight characters long?</t>
  </si>
  <si>
    <t>202268</t>
  </si>
  <si>
    <t>MEDICAL DEVICE/Passwords/Complexity</t>
  </si>
  <si>
    <t>Does this system/application support password that include small letters, capital letters and numbers?</t>
  </si>
  <si>
    <t>202272</t>
  </si>
  <si>
    <t>MEDICAL DEVICE/Passwords/Nouns</t>
  </si>
  <si>
    <t>Does this system/application support password with no dictionary words or commonly known proper nouns?</t>
  </si>
  <si>
    <t>202276</t>
  </si>
  <si>
    <t>MEDICAL DEVICE/Passwords/Expiration</t>
  </si>
  <si>
    <t>Does this system/application support passwords that expire after a maximum of 180 days?</t>
  </si>
  <si>
    <t>202280</t>
  </si>
  <si>
    <t>MEDICAL DEVICE/Passwords/Expiration is Less than 180</t>
  </si>
  <si>
    <t>Is the application's password expiration policy set to</t>
  </si>
  <si>
    <t>202284</t>
  </si>
  <si>
    <t>MEDICAL DEVICE/Auditing &amp; Logging/Capabilities</t>
  </si>
  <si>
    <t>Logging capabilities with references to READ, WRITE, UPDATE, VIEW and PRINT actions.</t>
  </si>
  <si>
    <t>202288</t>
  </si>
  <si>
    <t>MEDICAL DEVICE/Auditing &amp; Logging/User Accounts</t>
  </si>
  <si>
    <t>Logging capabilities with references to user accounts status, LOGIN, LOGOUT, TIMEOUT events.</t>
  </si>
  <si>
    <t>202292</t>
  </si>
  <si>
    <t>MEDICAL DEVICE/Auditing &amp; Logging/Export</t>
  </si>
  <si>
    <t>Capability of exporting log data to text or CSV file.</t>
  </si>
  <si>
    <t>202296</t>
  </si>
  <si>
    <t>MEDICAL DEVICE/Auditing &amp; Logging/Auditing/UserID</t>
  </si>
  <si>
    <t>202300</t>
  </si>
  <si>
    <t>MEDICAL DEVICE/Auditing &amp; Logging/Auditing/PID</t>
  </si>
  <si>
    <t>202304</t>
  </si>
  <si>
    <t>MEDICAL DEVICE/Auditing &amp; Logging/Auditing/Date and Time</t>
  </si>
  <si>
    <t>202308</t>
  </si>
  <si>
    <t>MEDICAL DEVICE/Auditing &amp; Logging/Auditing/Location</t>
  </si>
  <si>
    <t>202312</t>
  </si>
  <si>
    <t>MEDICAL DEVICE/Auditing &amp; Logging/Auditing/Action</t>
  </si>
  <si>
    <t>202316</t>
  </si>
  <si>
    <t>MEDICAL DEVICE/Auditing &amp; Logging/DataType</t>
  </si>
  <si>
    <t>Does the audit log include 'Data Type' (lab, rad images, other details).?</t>
  </si>
  <si>
    <t>202320</t>
  </si>
  <si>
    <t>Vulnerability Management/</t>
  </si>
  <si>
    <t>Can  NYP InfoSec perform a security scan to identify vulnerabilities?</t>
  </si>
  <si>
    <t>202324</t>
  </si>
  <si>
    <t>MEDICAL DEVICE/Software Security/Secure</t>
  </si>
  <si>
    <t>Does software follow secure by design practices?</t>
  </si>
  <si>
    <t>202328</t>
  </si>
  <si>
    <t>MEDICAL DEVICE/Software Security/OWASP</t>
  </si>
  <si>
    <t>Follow industry secure coding practices such as OWASP?</t>
  </si>
  <si>
    <t>202332</t>
  </si>
  <si>
    <t>MEDICAL DEVICE/Software Security/Secure Review</t>
  </si>
  <si>
    <t>Source code review and testing?</t>
  </si>
  <si>
    <t>202336</t>
  </si>
  <si>
    <t>MEDICAL DEVICE/Software Security/PenTest</t>
  </si>
  <si>
    <t>Application penetration testing?</t>
  </si>
  <si>
    <t>202340</t>
  </si>
  <si>
    <t>MEDICAL DEVICE/Software Security/unauthorized tools</t>
  </si>
  <si>
    <t>Can software or hardware not authorized by the device manufacturer be installed on the device / system without use of tools?</t>
  </si>
  <si>
    <t>202344</t>
  </si>
  <si>
    <t>MEDICAL DEVICE/3rd Party Applications/3rd Party</t>
  </si>
  <si>
    <t>Does the vendor solution make use of 3rd party software or open source code? Is all software and code inventoried?</t>
  </si>
  <si>
    <t>202348</t>
  </si>
  <si>
    <t>MEDICAL DEVICE/3rd Party Applications/Code Tracking</t>
  </si>
  <si>
    <t>Do you have a formal processes in place for tracking and managing the use of open source code?</t>
  </si>
  <si>
    <t>202352</t>
  </si>
  <si>
    <t>MEDICAL DEVICE/3rd Party Applications/Vulnerabilities</t>
  </si>
  <si>
    <t>Do you monitor and manage  open source vulnerabilities?</t>
  </si>
  <si>
    <t>202356</t>
  </si>
  <si>
    <t>MEDICAL DEVICE/3rd Party Applications</t>
  </si>
  <si>
    <t>Use of 3rd Party Software:</t>
  </si>
  <si>
    <t>202360</t>
  </si>
  <si>
    <t>Remote Service Capabilities</t>
  </si>
  <si>
    <t>Are there any requirements for the vendor to remotely connect or access the device?</t>
  </si>
  <si>
    <t>202368</t>
  </si>
  <si>
    <t>Mobile Device Management/</t>
  </si>
  <si>
    <t>202375</t>
  </si>
  <si>
    <t>Medical Device Comments &amp; Concerns</t>
  </si>
  <si>
    <t>Vendor/NYP IT Owner Medical Device Comments &amp; Concerns</t>
  </si>
  <si>
    <t>202379</t>
  </si>
  <si>
    <t>VENDOR HOSTED SECTION</t>
  </si>
  <si>
    <t>VENDOR HOSTED/Vendor/Cloud Information/Org Name</t>
  </si>
  <si>
    <t>VENDOR /3RD PARTY ORGANIZATION NAME(s):</t>
  </si>
  <si>
    <t>202383</t>
  </si>
  <si>
    <t>VENDOR HOSTED/Vendor/Cloud Information/Contact Name</t>
  </si>
  <si>
    <t>VENDOR CONTACT NAME:</t>
  </si>
  <si>
    <t>202387</t>
  </si>
  <si>
    <t>VENDOR HOSTED/Vendor/Cloud Information</t>
  </si>
  <si>
    <t>VENDOR ROLE:</t>
  </si>
  <si>
    <t>202391</t>
  </si>
  <si>
    <t>VENDOR HOSTED/Vendor/Cloud Information/Subcontractors</t>
  </si>
  <si>
    <t>Will subcontractors be involved in services performed by the vendor? If so,  list all subcontractors and services they provide.</t>
  </si>
  <si>
    <t>202395</t>
  </si>
  <si>
    <t>VENDOR HOSTED/Independent Audits/3rd Party Review</t>
  </si>
  <si>
    <t>Have you conducted SAS70 Type II/SSAE 16 SOC2/ISAE3402 or similar third party review of the data center where NYP data is stored?</t>
  </si>
  <si>
    <t>202399</t>
  </si>
  <si>
    <t>VENDOR HOSTED/Independent Audits/Internal Audit</t>
  </si>
  <si>
    <t>Does your Internal Audit organization review the compliance and effectiveness of your information security practices and controls?</t>
  </si>
  <si>
    <t>202403</t>
  </si>
  <si>
    <t>VENDOR HOSTED/Independent Audits/External Firm</t>
  </si>
  <si>
    <t>Does an external firm (such as KPMG, PWC) perform external audits of your company's and partners' information security practices and controls?</t>
  </si>
  <si>
    <t>202407</t>
  </si>
  <si>
    <t>VENDOR HOSTED/Independent Audits/Review</t>
  </si>
  <si>
    <t>Is a summary of the results of your internal audit and external audits readily available for review?</t>
  </si>
  <si>
    <t>202411</t>
  </si>
  <si>
    <t>VENDOR HOSTED/Third Party Audits/Application Vulnerability</t>
  </si>
  <si>
    <t>Can NYP perform vulnerability and penetration tests of the application?</t>
  </si>
  <si>
    <t>202415</t>
  </si>
  <si>
    <t>VENDOR HOSTED/Third Party Audits/3rd party pen test</t>
  </si>
  <si>
    <t>Do you have an external third-party perform quarterly vulnerability scans and penetration tests on your applications and annual tests of your networks?</t>
  </si>
  <si>
    <t>202419</t>
  </si>
  <si>
    <t>Retention Policy/</t>
  </si>
  <si>
    <t>Do you have technical control capabilities to enforce NYP data retention policies?</t>
  </si>
  <si>
    <t>202423</t>
  </si>
  <si>
    <t>VENDOR HOSTED/Secure Disposal/Deletion</t>
  </si>
  <si>
    <t>Do you support secure deletion (ex. degaussing / cryptographic wiping) of archived data as determined by NYP?</t>
  </si>
  <si>
    <t>202427</t>
  </si>
  <si>
    <t>VENDOR HOSTED/Secure Disposal/Procedure</t>
  </si>
  <si>
    <t>Can you provide a published procedure for exiting the service arrangement, including assurance to sanitize all computing resources of NYP's data once NYP has exited your environment or has vacated a resource?</t>
  </si>
  <si>
    <t>202431</t>
  </si>
  <si>
    <t>Nonproduction Data/</t>
  </si>
  <si>
    <t>Do you have procedures in place to ensure production data shall not be replicated or used in non-production environments?</t>
  </si>
  <si>
    <t>202435</t>
  </si>
  <si>
    <t>VENDOR HOSTED/Policy/Evidence</t>
  </si>
  <si>
    <t>Can you provide evidence that policies and procedures have been established for maintaining a safe and secure working environment in offices (e.g., clean desk sweeps), rooms, facilities and secure area where NYP data is accessed or stored?</t>
  </si>
  <si>
    <t>202439</t>
  </si>
  <si>
    <t>User Access/</t>
  </si>
  <si>
    <t>Is access to the data center limited to only workforce members that require access?</t>
  </si>
  <si>
    <t>202443</t>
  </si>
  <si>
    <t>Offsite Authorization/</t>
  </si>
  <si>
    <t>Do you have documentation that describes scenarios where data may be moved from one physical location to another? (ex. Offsite backups, business continuity failovers, replication). Can you provide that to NYP?</t>
  </si>
  <si>
    <t>202447</t>
  </si>
  <si>
    <t>VENDOR HOSTED/Asset Management/Inventory</t>
  </si>
  <si>
    <t>Do you maintain a complete inventory of all of your critical assets which includes ownership of the asset?</t>
  </si>
  <si>
    <t>202451</t>
  </si>
  <si>
    <t>VENDOR HOSTED/Asset Management/Suppliers</t>
  </si>
  <si>
    <t>Do you maintain a complete inventory of all of your critical supplier relationships?</t>
  </si>
  <si>
    <t>202455</t>
  </si>
  <si>
    <t>Background Screening</t>
  </si>
  <si>
    <t>Pursuant to local laws, regulations, ethics and contractual constraints are all employment candidates, contractors and third parties subject to background verification?</t>
  </si>
  <si>
    <t>202459</t>
  </si>
  <si>
    <t>VENDOR HOSTED/Management Program/ISMP</t>
  </si>
  <si>
    <t>Do you have a policy or standards document approved by your executive leadership (CEO, COO, CIO, etc.) that describes your Information Security Management Program (ISMP)?</t>
  </si>
  <si>
    <t>202463</t>
  </si>
  <si>
    <t>VENDOR HOSTED/Policy/Standard</t>
  </si>
  <si>
    <t>Do your information security and privacy policies and standards align with particular international and industry standards (ISO-27001/2, COBIT, NIST SP 800-36/37/53, etc.)? Please specify.</t>
  </si>
  <si>
    <t>202467</t>
  </si>
  <si>
    <t>VENDOR HOSTED/Policy/Controls</t>
  </si>
  <si>
    <t>Do you map your controls, architecture  and processes  to regulations and/or standards?</t>
  </si>
  <si>
    <t>202471</t>
  </si>
  <si>
    <t>Policy Reviews/</t>
  </si>
  <si>
    <t>Will you notify NYP when you make material changes to your information security and/or privacy policies?</t>
  </si>
  <si>
    <t>202475</t>
  </si>
  <si>
    <t>Policy Enforcement/</t>
  </si>
  <si>
    <t>Is a formal disciplinary or sanction policy established for employees who have violated security policies and procedures?</t>
  </si>
  <si>
    <t>202479</t>
  </si>
  <si>
    <t>User Access Revocation</t>
  </si>
  <si>
    <t>Do you have controls in place ensuring timely removal of systems access to NYP data when no longer required for business purposes?  Please specify timing.</t>
  </si>
  <si>
    <t>202483</t>
  </si>
  <si>
    <t>User Access Restriction / Authorization</t>
  </si>
  <si>
    <t>Do you have documented procedures on how you grant and approve access to NYP data?</t>
  </si>
  <si>
    <t>202487</t>
  </si>
  <si>
    <t>VENDOR HOSTED/User Access Reviews/Certification</t>
  </si>
  <si>
    <t>Do you require at least annual certification of entitlements for all system users and administrators (exclusive of users maintained by NYP)?</t>
  </si>
  <si>
    <t>202491</t>
  </si>
  <si>
    <t>VENDOR HOSTED/User Access Reviews/Remediation</t>
  </si>
  <si>
    <t>If users are found to have inappropriate entitlements, are all remediation and certification actions recorded?</t>
  </si>
  <si>
    <t>202495</t>
  </si>
  <si>
    <t>VENDOR HOSTED/User Access Reviews</t>
  </si>
  <si>
    <t>Will you notify NYP if inappropriate access may have been allowed to NYP data?</t>
  </si>
  <si>
    <t>202499</t>
  </si>
  <si>
    <t>Training / Awareness/</t>
  </si>
  <si>
    <t>Are administrators and data stewards properly educated on their legal responsibilities with regard to security and data integrity?</t>
  </si>
  <si>
    <t>202503</t>
  </si>
  <si>
    <t>User Responsibility/</t>
  </si>
  <si>
    <t>Do you specifically train your workforce in their responsibilities for maintaining awareness and compliance with published security policies, procedures, standards and applicable regulatory requirements and do they acknowledge their responsibilities?</t>
  </si>
  <si>
    <t>202507</t>
  </si>
  <si>
    <t>VENDOR HOSTED/Encryption/At Rest</t>
  </si>
  <si>
    <t>Do you encrypt NYP data at rest (on disk/storage) within your environment? Please specify encryption methods used.</t>
  </si>
  <si>
    <t>202511</t>
  </si>
  <si>
    <t>VENDOR HOSTED/Encryption/Transit</t>
  </si>
  <si>
    <t>Do you encrypt all NYP data and transactions that traverse public networks?  Please specify encryption methods used.</t>
  </si>
  <si>
    <t>202515</t>
  </si>
  <si>
    <t>VENDOR HOSTED/Encryption/Hypervisor</t>
  </si>
  <si>
    <t>Do you encrypt data and virtual machine images in transit across and between networks and hypervisor instances? Please specify encryption methods used.</t>
  </si>
  <si>
    <t>202519</t>
  </si>
  <si>
    <t>VENDOR HOSTED/Encryption/Key Management</t>
  </si>
  <si>
    <t>Do you maintain key management procedures?</t>
  </si>
  <si>
    <t>202523</t>
  </si>
  <si>
    <t>VENDOR HOSTED/Vulnerability/Patch Management/Scan</t>
  </si>
  <si>
    <t>Do you perform vulnerability scans (application, network, and operating system) regularly of assets used for NYP?</t>
  </si>
  <si>
    <t>202527</t>
  </si>
  <si>
    <t>VENDOR HOSTED/Vulnerability/Patch Management</t>
  </si>
  <si>
    <t>Do you have a capability to rapidly patch vulnerabilities across all of your computing devices, applications, and systems?</t>
  </si>
  <si>
    <t>202531</t>
  </si>
  <si>
    <t>VENDOR HOSTED/Antivirus /Malicious Software</t>
  </si>
  <si>
    <t>Do you have anti-malware programs installed on all systems which support NYP?</t>
  </si>
  <si>
    <t>202535</t>
  </si>
  <si>
    <t>VENDOR HOSTED/Antivirus /Malicious Software/Components</t>
  </si>
  <si>
    <t>Do you ensure that security threat detection systems which use signatures, lists, or behavioral patterns are updated across all infrastructure components within industry accepted timeframes?</t>
  </si>
  <si>
    <t>202539</t>
  </si>
  <si>
    <t>VENDOR HOSTED/Incident Management/Response Plan</t>
  </si>
  <si>
    <t>Do you have a documented security incident response plan?</t>
  </si>
  <si>
    <t>202543</t>
  </si>
  <si>
    <t>VENDOR HOSTED/Incident Management/Breaches</t>
  </si>
  <si>
    <t>Are systems in place to monitor for privacy breaches and notify NYP expeditiously if a privacy event may have impacted our data?</t>
  </si>
  <si>
    <t>202547</t>
  </si>
  <si>
    <t>VENDOR HOSTED/Incident Management/Incidents</t>
  </si>
  <si>
    <t>Do you publish a roles and responsibilities document specifying what you vs. NYP are responsible for during security incidents?</t>
  </si>
  <si>
    <t>202551</t>
  </si>
  <si>
    <t>VENDOR HOSTED/Incident Reporting/SIEM</t>
  </si>
  <si>
    <t>Does your security information and event management (SIEM) system merge data sources (app logs, firewall logs, IDS logs, physical access logs, etc.) for granular analysis and alerting?</t>
  </si>
  <si>
    <t>202555</t>
  </si>
  <si>
    <t>VENDOR HOSTED/Incident Reporting/Framework</t>
  </si>
  <si>
    <t>Does your logging and monitoring framework allow isolation of an incident specific to NYP?</t>
  </si>
  <si>
    <t>202559</t>
  </si>
  <si>
    <t>VENDOR HOSTED/Incident Response Legal Preparation/Collection</t>
  </si>
  <si>
    <t>Does your incident response capability include the use of legally admissible forensic data collection and analysis techniques?</t>
  </si>
  <si>
    <t>202563</t>
  </si>
  <si>
    <t>VENDOR HOSTED/Incident Response Legal Preparation/Litigation</t>
  </si>
  <si>
    <t>Are you capable of supporting litigation holds (freeze of data from a specific point in time) for NYP without freezing other client data?</t>
  </si>
  <si>
    <t>202567</t>
  </si>
  <si>
    <t>VENDOR HOSTED/Incident Response Metrics/Incidents</t>
  </si>
  <si>
    <t>Do you monitor and quantify the types, volumes, and impacts on all information security incidents?</t>
  </si>
  <si>
    <t>202571</t>
  </si>
  <si>
    <t>VENDOR HOSTED/Incident Response Metrics/Statistical</t>
  </si>
  <si>
    <t>Will you share statistical information security incident data with NYP upon request?</t>
  </si>
  <si>
    <t>202575</t>
  </si>
  <si>
    <t>VENDOR HOSTED/Acceptable Use/Metadata</t>
  </si>
  <si>
    <t>Do you collect or create metadata about NYP data usage through the use of inspection technologies (search engines, etc.)?</t>
  </si>
  <si>
    <t>202579</t>
  </si>
  <si>
    <t>VENDOR HOSTED/Acceptable Use/OptOut</t>
  </si>
  <si>
    <t>Can NYP opt-out of having our data/metadata accessed via inspection technologies?</t>
  </si>
  <si>
    <t>202583</t>
  </si>
  <si>
    <t>Portable / Mobile Devices/</t>
  </si>
  <si>
    <t>Are Policies and procedures established and measures implemented to strictly limit access to sensitive data from portable and mobile devices, such as laptops, cell phones, etc.?</t>
  </si>
  <si>
    <t>202587</t>
  </si>
  <si>
    <t>Source Code Access Restriction/</t>
  </si>
  <si>
    <t>Are controls in place to prevent unauthorized access to your application, program or object source code, and assure it is restricted to authorized personnel only?</t>
  </si>
  <si>
    <t>202591</t>
  </si>
  <si>
    <t>VENDOR HOSTED/Third Party Agreements/BAA</t>
  </si>
  <si>
    <t>Do you have Business Associate Agreements with all third parties that connect to your systems or data?</t>
  </si>
  <si>
    <t>202595</t>
  </si>
  <si>
    <t>VENDOR HOSTED/Third Party Agreements/Counsel review</t>
  </si>
  <si>
    <t>Does legal counsel review all third party agreements?</t>
  </si>
  <si>
    <t>202599</t>
  </si>
  <si>
    <t>VENDOR HOSTED/Equipment Maintenance/Portability</t>
  </si>
  <si>
    <t>Do you allow your systems, databases, and/or virtual machine images to be downloaded and ported to NYP, or our agent, in a way that would allow NYP to replicate the environment to allow continuity of service should your environment fail?</t>
  </si>
  <si>
    <t>202603</t>
  </si>
  <si>
    <t>VENDOR HOSTED/Equipment Maintenance</t>
  </si>
  <si>
    <t>If using virtual infrastructure, do you include hardware independent restore and recovery capabilities?</t>
  </si>
  <si>
    <t>202607</t>
  </si>
  <si>
    <t>VENDOR HOSTED/Program/3rd Party Loss</t>
  </si>
  <si>
    <t>Is your organization insured by a 3rd party for losses?</t>
  </si>
  <si>
    <t>202611</t>
  </si>
  <si>
    <t>VENDOR HOSTED/Program/SLA</t>
  </si>
  <si>
    <t>Do your organization's service level agreements provide client remuneration for losses they may incur due to outages or losses experienced within your infrastructure?</t>
  </si>
  <si>
    <t>202615</t>
  </si>
  <si>
    <t>Assessments</t>
  </si>
  <si>
    <t>Are formal risk assessments aligned with the enterprise-wide framework and performed at least annually, or at planned intervals, determining the likelihood and impact of all identified risks, using qualitative and quantitative methods?</t>
  </si>
  <si>
    <t>202619</t>
  </si>
  <si>
    <t>Mitigation / Acceptance</t>
  </si>
  <si>
    <t>Are risks mitigated to acceptable levels based on company-established criteria in accordance with reasonable resolution time frames?</t>
  </si>
  <si>
    <t>202623</t>
  </si>
  <si>
    <t>Production Changes</t>
  </si>
  <si>
    <t>Do you have have documented change management procedures with roles/rights/responsibilities defined within it?</t>
  </si>
  <si>
    <t>202627</t>
  </si>
  <si>
    <t>Software Development/</t>
  </si>
  <si>
    <t>Do you have controls in place to ensure that standards of quality and security are being met for all software development?</t>
  </si>
  <si>
    <t>202631</t>
  </si>
  <si>
    <t>Unauthorized Software Installations/</t>
  </si>
  <si>
    <t>Do you have controls in place to restrict and monitor the installation of unauthorized software onto your systems?</t>
  </si>
  <si>
    <t>202635</t>
  </si>
  <si>
    <t>VENDOR HOSTED/Management Program</t>
  </si>
  <si>
    <t>Are Policy, process and procedures defining business continuity and disaster recovery in place to minimize the impact of a realized risk event and properly communicated to NYP?</t>
  </si>
  <si>
    <t>202639</t>
  </si>
  <si>
    <t>Impact Analysis/</t>
  </si>
  <si>
    <t>Can you provide NYP with ongoing visibility and reporting into your operational Service Level Agreement (SLA) performance?</t>
  </si>
  <si>
    <t>202643</t>
  </si>
  <si>
    <t>Business Continuity Testing/</t>
  </si>
  <si>
    <t>Are business continuity plans subject to test at planned intervals or upon significant organizational or environmental changes to ensure continuing effectiveness?</t>
  </si>
  <si>
    <t>202647</t>
  </si>
  <si>
    <t>Environmental Risks/</t>
  </si>
  <si>
    <t>Is physical protection against damage from natural causes, disasters, and other environmental risks as well as deliberate attacks anticipated, designed and countermeasures applied?</t>
  </si>
  <si>
    <t>202651</t>
  </si>
  <si>
    <t>VENDOR HOSTED/User ID Credentials/AD</t>
  </si>
  <si>
    <t>Do you support use of, or integration with existing NYP-based AD solutions via identity federation standards (SAML protocols, WS-Federation, OAuth, OpenID Connect, or WS-Trust) to your service? Please specify.</t>
  </si>
  <si>
    <t>202655</t>
  </si>
  <si>
    <t>VENDOR HOSTED/User ID Credentials/Capabilities</t>
  </si>
  <si>
    <t>Do you use open standards to delegate authentication capabilities to NYP? Please specify.</t>
  </si>
  <si>
    <t>202659</t>
  </si>
  <si>
    <t>VENDOR HOSTED/User ID Credentials/Identity Management</t>
  </si>
  <si>
    <t>Do you have an identity management system in place which enables both role-based and context-based entitlement to data (enables classification of data for a client)?</t>
  </si>
  <si>
    <t>202663</t>
  </si>
  <si>
    <t>VENDOR HOSTED/User ID Credentials/MFA</t>
  </si>
  <si>
    <t>Can you provide NYP with strong (multifactor) authentication options (digital certs, tokens, biometric, etc..) for user access?</t>
  </si>
  <si>
    <t>202667</t>
  </si>
  <si>
    <t>VENDOR HOSTED/User ID Credentials/Privileged</t>
  </si>
  <si>
    <t>Are privileged accounts gaining access on a temporary basis using AWS’ STS or Azure’s Just In Time methodology</t>
  </si>
  <si>
    <t>202671</t>
  </si>
  <si>
    <t>VENDOR HOSTED/Application Security/Analysis</t>
  </si>
  <si>
    <t>Do you utilize an automated source-code or binary analysis tool to detect code security defects prior to production? (Please specify the tool used)</t>
  </si>
  <si>
    <t>202675</t>
  </si>
  <si>
    <t>VENDOR HOSTED/Application Security/SDLC</t>
  </si>
  <si>
    <t>Do you verify that all of your software suppliers adhere to industry standards for Systems/Software Development Lifecycle (SDLC) security?</t>
  </si>
  <si>
    <t>202679</t>
  </si>
  <si>
    <t>Data Integrity/</t>
  </si>
  <si>
    <t>Are data input and output integrity routines (i.e., reconciliation and edit checks) implemented for application interfaces and databases to prevent manual or systematic processing errors or corruption of data?</t>
  </si>
  <si>
    <t>202683</t>
  </si>
  <si>
    <t>Remote User Multifactor Authentication/</t>
  </si>
  <si>
    <t>Is multi-factor authentication required for all remote administrative and support access?</t>
  </si>
  <si>
    <t>202687</t>
  </si>
  <si>
    <t>VENDOR HOSTED/Segmentation/Regulatory</t>
  </si>
  <si>
    <t>Are system and network environments logically separated to ensure compliance with legislative, regulatory, and contractual requirements?</t>
  </si>
  <si>
    <t>202691</t>
  </si>
  <si>
    <t>VENDOR HOSTED/Segmentation/Environments</t>
  </si>
  <si>
    <t>Are system and network environments logically separated to ensure separation of production and non-production environments?</t>
  </si>
  <si>
    <t>202695</t>
  </si>
  <si>
    <t>VENDOR HOSTED/Segmentation/Sensitive</t>
  </si>
  <si>
    <t>Are system and network environments logically separated to ensure  protection and isolation of sensitive NYP data?</t>
  </si>
  <si>
    <t>202699</t>
  </si>
  <si>
    <t>VENDOR HOSTED/Wireless and Perimeter Security/Wireless Protection</t>
  </si>
  <si>
    <t>Are policies and procedures established and mechanisms implemented to protect the wireless network environment and network perimeter to restrict unauthorized traffic?</t>
  </si>
  <si>
    <t>202703</t>
  </si>
  <si>
    <t>VENDOR HOSTED/Wireless and Perimeter Security/Security Settings</t>
  </si>
  <si>
    <t>Are policies and procedures established and mechanisms implemented to ensure proper security settings enabled with strong encryption for authentication and transmission, replacing vendor default settings? (e.g., encryption keys, passwords, SNMP community</t>
  </si>
  <si>
    <t>202707</t>
  </si>
  <si>
    <t>VENDOR HOSTED/Wireless and Perimeter Security</t>
  </si>
  <si>
    <t>Are policies and procedures established and mechanisms implemented to protect  network environments and detect the presence of unauthorized (rogue) network devices for a timely disconnect from the network?</t>
  </si>
  <si>
    <t>202711</t>
  </si>
  <si>
    <t>Shared Networks</t>
  </si>
  <si>
    <t>Is access to systems with shared network infrastructure restricted to authorized personnel and documented in accordance with security policies, procedures and standards?</t>
  </si>
  <si>
    <t>202715</t>
  </si>
  <si>
    <t>VENDOR HOSTED/Audit Logging / Intrusion Detection/File Integrity</t>
  </si>
  <si>
    <t>Are file integrity (host) and network intrusion detection (IDS) tools implemented to help facilitate timely detection, investigation by root cause analysis and response to incidents?</t>
  </si>
  <si>
    <t>202719</t>
  </si>
  <si>
    <t>VENDOR HOSTED/Audit Logging / Intrusion Detection/User Access Logging</t>
  </si>
  <si>
    <t>Do you systems contain detailed internal logging capabilities with reference to user access?</t>
  </si>
  <si>
    <t>202723</t>
  </si>
  <si>
    <t>VENDOR HOSTED/Audit Logging / Intrusion Detection/Personnel</t>
  </si>
  <si>
    <t>Is physical and logical user access to audit logs restricted to authorized personnel?</t>
  </si>
  <si>
    <t>202727</t>
  </si>
  <si>
    <t>Vendor Hosted Comments &amp; Concerns</t>
  </si>
  <si>
    <t>Vendor/NYP IT Owner Vendor Hosted Comments &amp; Concerns</t>
  </si>
  <si>
    <t>202791</t>
  </si>
  <si>
    <t>CLOUD</t>
  </si>
  <si>
    <t>NYP: Cloud/Informational 01</t>
  </si>
  <si>
    <t>Does this request include a cloud-based or externally-hosted component?NOTE: If answering NO, disregard the remaining Cloud questions!!</t>
  </si>
  <si>
    <t>213875</t>
  </si>
  <si>
    <t>NYP: Cloud/Cloud Provider</t>
  </si>
  <si>
    <t>Which cloud provider are you using?</t>
  </si>
  <si>
    <t>213878</t>
  </si>
  <si>
    <t>NYP: Cloud/Cloud Region</t>
  </si>
  <si>
    <t>What region is your environment in?</t>
  </si>
  <si>
    <t>213884</t>
  </si>
  <si>
    <t>NYP: Cloud/Cloud Networking 01</t>
  </si>
  <si>
    <t>Do you use Virtual Networking?</t>
  </si>
  <si>
    <t>213891</t>
  </si>
  <si>
    <t>NYP: Cloud/Cloud Networking 02</t>
  </si>
  <si>
    <t>Do each of your customers have their own Virtual Network?</t>
  </si>
  <si>
    <t>213896</t>
  </si>
  <si>
    <t>NYP: Cloud/Cloud Networking 03</t>
  </si>
  <si>
    <t>Is there tier segmentation within the Virtual Networks?</t>
  </si>
  <si>
    <t>213900</t>
  </si>
  <si>
    <t>NYP: Cloud/Cloud Networking 04</t>
  </si>
  <si>
    <t>Do you use security groups and/or NACLs?</t>
  </si>
  <si>
    <t>213904</t>
  </si>
  <si>
    <t>NYP: Cloud/Cloud Networking 05</t>
  </si>
  <si>
    <t>Does the application make use of multiple Azs</t>
  </si>
  <si>
    <t>213910</t>
  </si>
  <si>
    <t>NYP: Cloud/Cloud Networking 06</t>
  </si>
  <si>
    <t>Does the application employ a scaling strategy?</t>
  </si>
  <si>
    <t>213914</t>
  </si>
  <si>
    <t>NYP: Cloud/Cloud Networking 07</t>
  </si>
  <si>
    <t>How does your team access your cloud environment?</t>
  </si>
  <si>
    <t>213918</t>
  </si>
  <si>
    <t>NYP: Cloud/Cloud Networking 08</t>
  </si>
  <si>
    <t>Is there a DR environment for the application or a DR Plan?  If yes to the above question, please elaborate:</t>
  </si>
  <si>
    <t>213925</t>
  </si>
  <si>
    <t>NYP: Cloud/Cloud Security 01</t>
  </si>
  <si>
    <t>Do you track and log activity in your virtual networks? (If Yes please explain)</t>
  </si>
  <si>
    <t>213929</t>
  </si>
  <si>
    <t>NYP: Cloud/Cloud Security 02</t>
  </si>
  <si>
    <t>Do you use roles or policies to limit access for your team?</t>
  </si>
  <si>
    <t>213933</t>
  </si>
  <si>
    <t>NYP: Cloud/Cloud Security 03</t>
  </si>
  <si>
    <t>How does your team authenticate to  your servers?</t>
  </si>
  <si>
    <t>213937</t>
  </si>
  <si>
    <t>NYP: Cloud/Cloud Security 04</t>
  </si>
  <si>
    <t>Do you use cloud native tools to secure your environment? (If yes please list)</t>
  </si>
  <si>
    <t>213942</t>
  </si>
  <si>
    <t>NYP: Cloud/Cloud Security 05</t>
  </si>
  <si>
    <t>Do you follow the principal of least privileged access?</t>
  </si>
  <si>
    <t>213946</t>
  </si>
  <si>
    <t>NYP: Cloud/Cloud Security 06</t>
  </si>
  <si>
    <t>How do you maintain system log files?</t>
  </si>
  <si>
    <t>Please enter your answer below:</t>
  </si>
  <si>
    <t>213950</t>
  </si>
  <si>
    <t>NYP: Cloud/Cloud Security 07</t>
  </si>
  <si>
    <t>Does the application use a WAF?</t>
  </si>
  <si>
    <t xml:space="preserve">       </t>
  </si>
  <si>
    <t>213953</t>
  </si>
  <si>
    <t>NYP: Cloud/Cloud Security 08</t>
  </si>
  <si>
    <t>What encryption do you use for data in flight?</t>
  </si>
  <si>
    <t>213957</t>
  </si>
  <si>
    <t>NYP: Cloud/Cloud Security 09</t>
  </si>
  <si>
    <t>What encryption do use for data at rest?</t>
  </si>
  <si>
    <t>213960</t>
  </si>
  <si>
    <t>NYP: Cloud/Cloud Security 10</t>
  </si>
  <si>
    <t>Do you use  keys to facilitate encryption in the cloud?  If yes to the above question, how do you manage those keys?:</t>
  </si>
  <si>
    <t>213963</t>
  </si>
  <si>
    <t>NYP: Cloud/Database 01</t>
  </si>
  <si>
    <t>Does the application use a cloud native database? (If yes, which one and what version)</t>
  </si>
  <si>
    <t>213967</t>
  </si>
  <si>
    <t>NYP: Cloud/Database 02</t>
  </si>
  <si>
    <t>Do all your customers reside in the same database?</t>
  </si>
  <si>
    <t>213971</t>
  </si>
  <si>
    <t>NYP: Cloud/Database 03</t>
  </si>
  <si>
    <t>Does the database have redundancy? (If yes please describe)</t>
  </si>
  <si>
    <t>213975</t>
  </si>
  <si>
    <t>NYP: Cloud/Database 04</t>
  </si>
  <si>
    <t>How do you backup the database?</t>
  </si>
  <si>
    <t>Please explain below:</t>
  </si>
  <si>
    <t>213979</t>
  </si>
  <si>
    <t>NYP: Cloud/Servers 01</t>
  </si>
  <si>
    <t>What OS are your servers running? (Please list versions)</t>
  </si>
  <si>
    <t>213982</t>
  </si>
  <si>
    <t>NYP: Cloud/Servers 02</t>
  </si>
  <si>
    <t>Do you have any hardening procedures for your servers? (Please Elaborate)</t>
  </si>
  <si>
    <t>213985</t>
  </si>
  <si>
    <t>NYP: Cloud/Servers 03</t>
  </si>
  <si>
    <t>What is your server backup policies?</t>
  </si>
  <si>
    <t>213989</t>
  </si>
  <si>
    <t>NYP: Cloud/Storage Accounts 01</t>
  </si>
  <si>
    <t>Does your application use cloud native storage?</t>
  </si>
  <si>
    <t>213992</t>
  </si>
  <si>
    <t>NYP: Cloud/Storage Accounts 02</t>
  </si>
  <si>
    <t>Do you use lifecycle policies for your storage data?</t>
  </si>
  <si>
    <t>213996</t>
  </si>
  <si>
    <t>NYP: Cloud/Storage Accounts 03</t>
  </si>
  <si>
    <t>How do you secure your cloud storage?</t>
  </si>
  <si>
    <t>214000</t>
  </si>
  <si>
    <t>NYP: Cloud/Diagram</t>
  </si>
  <si>
    <t>Please include underneath the line below, an architectural diagram of your cloud environment which will show virtual networks, subnets, AZs,  NSGs, NACLS, LBs, VMs, DBs, and any other native cloud services that is in use.</t>
  </si>
  <si>
    <t>Please provide attachment:</t>
  </si>
  <si>
    <t>214003</t>
  </si>
  <si>
    <t>FTR</t>
  </si>
  <si>
    <t>New York Presbyterian                                                                                                 Page 1 of 1                                                                                                                                      Confidential</t>
  </si>
  <si>
    <t>Enter Response</t>
  </si>
  <si>
    <t>2</t>
  </si>
  <si>
    <t>Vendor</t>
  </si>
  <si>
    <t>0</t>
  </si>
  <si>
    <t>NYP</t>
  </si>
  <si>
    <t>Select here to add attachment</t>
  </si>
  <si>
    <t>Please attach system architecture diagram</t>
  </si>
  <si>
    <t>N/A</t>
  </si>
  <si>
    <t>Yes</t>
  </si>
  <si>
    <t>Please confirm DESIGN Tab review:</t>
  </si>
  <si>
    <t>No</t>
  </si>
  <si>
    <t>Comments:</t>
  </si>
  <si>
    <t>1</t>
  </si>
  <si>
    <t>Please Explain</t>
  </si>
  <si>
    <t>Please Specify</t>
  </si>
  <si>
    <t>Will it be managed? How will it be encrypted?</t>
  </si>
  <si>
    <t>Vendor will return data to NYP</t>
  </si>
  <si>
    <t>Vendor will destroy data in accordance with NIST standards</t>
  </si>
  <si>
    <t>Please enter response</t>
  </si>
  <si>
    <t>1 to 10</t>
  </si>
  <si>
    <t>11 to 1,000</t>
  </si>
  <si>
    <t>more than 1,000</t>
  </si>
  <si>
    <t>Please Attach device MSDS2 form (or email to your NYP contact)</t>
  </si>
  <si>
    <t>Manual updates by Vendor</t>
  </si>
  <si>
    <t>Automated updates by Vendor</t>
  </si>
  <si>
    <t>Device supports NYP installed/maintained SCCM Agent for patch deployment</t>
  </si>
  <si>
    <t>Manual updates by NYP</t>
  </si>
  <si>
    <t>Automated Microsoft Security Patches by NYP</t>
  </si>
  <si>
    <t>Part of Corrective Maintenance</t>
  </si>
  <si>
    <t>Not Supported</t>
  </si>
  <si>
    <t>Supports Multiple (Please Explain)</t>
  </si>
  <si>
    <t>NYP Standard - Cylance malware protection</t>
  </si>
  <si>
    <t>Preinstalled AntiVirus / AntiMalware</t>
  </si>
  <si>
    <t>Other (embedded Security - whitelisting)</t>
  </si>
  <si>
    <t>Continuously and automatically (on access)</t>
  </si>
  <si>
    <t>On-demand on-line</t>
  </si>
  <si>
    <t>Scheduled off-line</t>
  </si>
  <si>
    <t>At boot or shutdown time</t>
  </si>
  <si>
    <t>On-demand off-line</t>
  </si>
  <si>
    <t>Customizable / Configurable</t>
  </si>
  <si>
    <t>Not supported</t>
  </si>
  <si>
    <t>NYP Standard - Bit locker through NYP AD Domain rules</t>
  </si>
  <si>
    <t>Other encryption types. (please specify in Comments)</t>
  </si>
  <si>
    <t>Industry standard algorithm (e.g. AES 256).</t>
  </si>
  <si>
    <t>Not installed</t>
  </si>
  <si>
    <t>Usage is restricted to service</t>
  </si>
  <si>
    <t>Hardened installation</t>
  </si>
  <si>
    <t>Default installation</t>
  </si>
  <si>
    <t>Software-only product</t>
  </si>
  <si>
    <t>Remote troubleshooting via Remote Desktop</t>
  </si>
  <si>
    <t>Remote Monitoring</t>
  </si>
  <si>
    <t>Remote Software Distribution</t>
  </si>
  <si>
    <t>Anti-Virus Service Management and Updates</t>
  </si>
  <si>
    <t>Please Specify Timing</t>
  </si>
  <si>
    <t>Specify Encryption Methods Used</t>
  </si>
  <si>
    <t>Please Specify Tool Used</t>
  </si>
  <si>
    <t>AWS</t>
  </si>
  <si>
    <t>Azure</t>
  </si>
  <si>
    <t>GCP</t>
  </si>
  <si>
    <t>Other</t>
  </si>
  <si>
    <t>Please elaborate:</t>
  </si>
  <si>
    <t>US East</t>
  </si>
  <si>
    <t>US East 2</t>
  </si>
  <si>
    <t>US West</t>
  </si>
  <si>
    <t>US West 2</t>
  </si>
  <si>
    <t>VNET</t>
  </si>
  <si>
    <t>VPC</t>
  </si>
  <si>
    <t>NSGs</t>
  </si>
  <si>
    <t>NACLs</t>
  </si>
  <si>
    <t>Both</t>
  </si>
  <si>
    <t>Neither</t>
  </si>
  <si>
    <t>VPN</t>
  </si>
  <si>
    <t>ExpressRoute</t>
  </si>
  <si>
    <t>DirectConnect</t>
  </si>
  <si>
    <t>Internet</t>
  </si>
  <si>
    <t>Password</t>
  </si>
  <si>
    <t>Certificate</t>
  </si>
  <si>
    <t>Please list:</t>
  </si>
  <si>
    <t>Please explain:</t>
  </si>
  <si>
    <t>GENERAL</t>
  </si>
  <si>
    <r>
      <t xml:space="preserve">Complete </t>
    </r>
    <r>
      <rPr>
        <b/>
        <sz val="12"/>
        <color theme="1"/>
        <rFont val="Segoe UI"/>
        <family val="2"/>
      </rPr>
      <t>ALL</t>
    </r>
    <r>
      <rPr>
        <sz val="12"/>
        <color theme="1"/>
        <rFont val="Segoe UI"/>
        <family val="2"/>
      </rPr>
      <t xml:space="preserve"> Orange highlighted cells</t>
    </r>
  </si>
  <si>
    <t>Perigen Fetal Surveillance</t>
  </si>
  <si>
    <t>Michael Kennedy</t>
  </si>
  <si>
    <t>Web URLs</t>
  </si>
  <si>
    <r>
      <t xml:space="preserve">1. Will this PMO request require technical resources from IT such as Server and Database resources? </t>
    </r>
    <r>
      <rPr>
        <b/>
        <i/>
        <sz val="10"/>
        <rFont val="Segoe UI"/>
        <family val="2"/>
      </rPr>
      <t>OR</t>
    </r>
    <r>
      <rPr>
        <i/>
        <sz val="10"/>
        <rFont val="Segoe UI"/>
        <family val="2"/>
      </rPr>
      <t xml:space="preserve"> 
2. Does this PMO request introduce a new network-connected device (such as a biomedical, audio/visual, or building management) or changes to an existing device or service, that will require ongoing connectivity and support?</t>
    </r>
  </si>
  <si>
    <r>
      <t xml:space="preserve">Does this request include a Medical Device/ BioMed Component?
</t>
    </r>
    <r>
      <rPr>
        <b/>
        <i/>
        <sz val="10"/>
        <rFont val="Segoe UI"/>
        <family val="2"/>
      </rPr>
      <t>NOTE:</t>
    </r>
    <r>
      <rPr>
        <i/>
        <sz val="10"/>
        <rFont val="Segoe UI"/>
        <family val="2"/>
      </rPr>
      <t xml:space="preserve"> If answering NO, disregard the remaining Medical Device questions!!</t>
    </r>
  </si>
  <si>
    <r>
      <t xml:space="preserve">Doest this request include a cloud-based or externally-hosted component?
</t>
    </r>
    <r>
      <rPr>
        <b/>
        <i/>
        <sz val="10"/>
        <rFont val="Segoe UI"/>
        <family val="2"/>
      </rPr>
      <t>NOTE:</t>
    </r>
    <r>
      <rPr>
        <i/>
        <sz val="10"/>
        <rFont val="Segoe UI"/>
        <family val="2"/>
      </rPr>
      <t xml:space="preserve"> If answering NO, disregard the remaining Vendor Hosted questions!!</t>
    </r>
  </si>
  <si>
    <t>BCDR</t>
  </si>
  <si>
    <r>
      <t xml:space="preserve">Does your application include a technology that can be utilized to provide a highly available system architecture, which meets the Tiering requirements of the system? 
</t>
    </r>
    <r>
      <rPr>
        <b/>
        <sz val="10"/>
        <rFont val="Segoe UI"/>
        <family val="2"/>
      </rPr>
      <t>NOTE:</t>
    </r>
    <r>
      <rPr>
        <sz val="10"/>
        <rFont val="Segoe UI"/>
        <family val="2"/>
      </rPr>
      <t xml:space="preserve"> If answering NO, disregard the remaining BCDR questions.</t>
    </r>
  </si>
  <si>
    <t>Medical Devices</t>
  </si>
  <si>
    <r>
      <t xml:space="preserve">Complete </t>
    </r>
    <r>
      <rPr>
        <b/>
        <sz val="12"/>
        <color theme="1"/>
        <rFont val="Segoe UI"/>
        <family val="2"/>
      </rPr>
      <t>ALL</t>
    </r>
    <r>
      <rPr>
        <sz val="12"/>
        <color theme="1"/>
        <rFont val="Segoe UI"/>
        <family val="2"/>
      </rPr>
      <t xml:space="preserve"> Orange highlighted cells and where applicable provide additional comments in column I.</t>
    </r>
  </si>
  <si>
    <t>MD1</t>
  </si>
  <si>
    <t>Device Information</t>
  </si>
  <si>
    <t>Manufacturer Name</t>
  </si>
  <si>
    <t>Device Name</t>
  </si>
  <si>
    <t>Device Model</t>
  </si>
  <si>
    <t>Software Version</t>
  </si>
  <si>
    <t>Device Category</t>
  </si>
  <si>
    <t>Short Description of Medical Device Function</t>
  </si>
  <si>
    <t>Data Management</t>
  </si>
  <si>
    <t>Data Management:</t>
  </si>
  <si>
    <t xml:space="preserve">Record Management </t>
  </si>
  <si>
    <t xml:space="preserve">Device Certification </t>
  </si>
  <si>
    <t xml:space="preserve">FDA </t>
  </si>
  <si>
    <t>Is the device FDA cleared or approved </t>
  </si>
  <si>
    <t>Manufacturer Disclosure Statement for Medical Device Security – MDS2:</t>
  </si>
  <si>
    <t>Operating System Version 
and Support</t>
  </si>
  <si>
    <t>MD2</t>
  </si>
  <si>
    <t>Operating System Security Features</t>
  </si>
  <si>
    <t>Operating System 
Security features:</t>
  </si>
  <si>
    <t>OS Features</t>
  </si>
  <si>
    <t>Software Firewall</t>
  </si>
  <si>
    <t>Firewall enabled</t>
  </si>
  <si>
    <t>s</t>
  </si>
  <si>
    <t>MD3</t>
  </si>
  <si>
    <t xml:space="preserve">Connectivity </t>
  </si>
  <si>
    <t>Network Connectivity</t>
  </si>
  <si>
    <t>System Connectivity - Other systems that device is authorized to exchange data.</t>
  </si>
  <si>
    <t xml:space="preserve">Connect to electronic medical record 
(EMR) </t>
  </si>
  <si>
    <t xml:space="preserve">Connect to image/data storage (e.g., PACS) </t>
  </si>
  <si>
    <t xml:space="preserve">Remote access to data/images 
(e.g., physician, clinicians) </t>
  </si>
  <si>
    <t xml:space="preserve">Remote service (e.g., manufacturer updates, troubleshooting, repair) </t>
  </si>
  <si>
    <t xml:space="preserve">Remote control (e.g., modify alarms, 
configuration settings, level of  therapy) </t>
  </si>
  <si>
    <t>Intra‐communication between medical 
devices (e.g., diagnostic device  “informing” therapeutic devices …. e.g., monitor controlling opioid  delivery)</t>
  </si>
  <si>
    <t xml:space="preserve">No system connectivity </t>
  </si>
  <si>
    <t>Network ports for clinical use:</t>
  </si>
  <si>
    <t>List all ports and protocols needed for communications</t>
  </si>
  <si>
    <t>Device Security - Pathcing and Updates</t>
  </si>
  <si>
    <t>MD4</t>
  </si>
  <si>
    <t>Patching and Updates</t>
  </si>
  <si>
    <t>Patching requirements and process.</t>
  </si>
  <si>
    <t>Patch Mangement</t>
  </si>
  <si>
    <t>Does the device support the following? Select all that apply.
(if not supported, please explain why in the comments)</t>
  </si>
  <si>
    <t>Device Security - Authentication</t>
  </si>
  <si>
    <t>MD5</t>
  </si>
  <si>
    <t>Authentication</t>
  </si>
  <si>
    <t>AD support
(if not supported, please explain why in the comments)</t>
  </si>
  <si>
    <t>Can the device be joined to the NYP AD domain and support domain accounts?</t>
  </si>
  <si>
    <t>User account control</t>
  </si>
  <si>
    <t>Device Security - Anti Virus</t>
  </si>
  <si>
    <t>MD6</t>
  </si>
  <si>
    <t>Anti Virus</t>
  </si>
  <si>
    <t xml:space="preserve">Antivirus / Antimalware Software?
</t>
  </si>
  <si>
    <t>Will the device run an Antivirus / Antimalware Software?
(if not supported, please explain why in the comments)</t>
  </si>
  <si>
    <t>AV Scanning modes</t>
  </si>
  <si>
    <t>Device Security - Encryption</t>
  </si>
  <si>
    <t>MD7</t>
  </si>
  <si>
    <t xml:space="preserve">Encryption </t>
  </si>
  <si>
    <t xml:space="preserve">Sensitive Data Encryption in Transit </t>
  </si>
  <si>
    <t>Is TLS1.2 used to encrypt sensitive data in transit</t>
  </si>
  <si>
    <t xml:space="preserve">Sensitive Data Encryption at rest/storage 
</t>
  </si>
  <si>
    <t xml:space="preserve">Select encryption method used to encrypt Sensitive data at rest/storage </t>
  </si>
  <si>
    <t>Secure DICOM</t>
  </si>
  <si>
    <t>Does the device encrypt DICOM images prior to transmission.</t>
  </si>
  <si>
    <t>Device Security - Password Policy</t>
  </si>
  <si>
    <t>Please mark the rest of the PASSWORD POLICY section as N/A  if the device will be joined to NYP AD domain and use NYP AD accounts</t>
  </si>
  <si>
    <r>
      <t xml:space="preserve">Passwords
</t>
    </r>
    <r>
      <rPr>
        <i/>
        <sz val="12"/>
        <color theme="1"/>
        <rFont val="Segoe UI"/>
        <family val="2"/>
      </rPr>
      <t>(skip this section if the device will be joined to NYP AD domain and use NYP AD accounts)</t>
    </r>
  </si>
  <si>
    <t>MD8</t>
  </si>
  <si>
    <t>Securing Passwords</t>
  </si>
  <si>
    <t>Stored in a one-way hash format.</t>
  </si>
  <si>
    <t>Support NYP password Policy?</t>
  </si>
  <si>
    <t xml:space="preserve">A) At least eight characters long. </t>
  </si>
  <si>
    <t>B) Include small letters, capital letters and numbers.</t>
  </si>
  <si>
    <t>C) No dictionary words or commonly known proper nouns.</t>
  </si>
  <si>
    <t xml:space="preserve">D) Expire after a maximum of 180 days. </t>
  </si>
  <si>
    <t>AUDITING</t>
  </si>
  <si>
    <t>Auditing</t>
  </si>
  <si>
    <t>MD9</t>
  </si>
  <si>
    <t>Audit logging of application data activity (e.g. entries, changes, deletions)</t>
  </si>
  <si>
    <t>Audit logging of user access activity</t>
  </si>
  <si>
    <t>Log data export</t>
  </si>
  <si>
    <t>Does the audit log include information on:</t>
  </si>
  <si>
    <t>a) user ID.</t>
  </si>
  <si>
    <t xml:space="preserve">b) patient ID. </t>
  </si>
  <si>
    <t>c) date, time.</t>
  </si>
  <si>
    <t xml:space="preserve">d) location. </t>
  </si>
  <si>
    <t>`</t>
  </si>
  <si>
    <t xml:space="preserve">e) action (view/update/print/etc.). </t>
  </si>
  <si>
    <t>f) 'data type' (lab, rad images, other details).</t>
  </si>
  <si>
    <t>Vulnerability Management</t>
  </si>
  <si>
    <t>MD10</t>
  </si>
  <si>
    <t>System Security Scanning</t>
  </si>
  <si>
    <t>Application and 3rd Party Software Running on the Device or any of the device components</t>
  </si>
  <si>
    <t>MD11</t>
  </si>
  <si>
    <t>Software Security</t>
  </si>
  <si>
    <t>Application Software</t>
  </si>
  <si>
    <t>Secure Coding Standards</t>
  </si>
  <si>
    <t>Application Security Testing</t>
  </si>
  <si>
    <t>Software Installation</t>
  </si>
  <si>
    <t>3rd Party Applications</t>
  </si>
  <si>
    <t>MD12</t>
  </si>
  <si>
    <t>Does the vendor solution make use of 3rd party software or open source code?</t>
  </si>
  <si>
    <t xml:space="preserve">Do you monitor and manage  open source vulnerabilities? </t>
  </si>
  <si>
    <t>Remote Support</t>
  </si>
  <si>
    <t>MD13</t>
  </si>
  <si>
    <t xml:space="preserve">Are there any requirements for the vendor to remotely connect or access the device? </t>
  </si>
  <si>
    <t>Mobile Devices (Complete this section if the project involves Mobile devices such as tablets, smartphones, laptops, etc.)</t>
  </si>
  <si>
    <t>Mobile Device Management</t>
  </si>
  <si>
    <t>MD14</t>
  </si>
  <si>
    <t>Vendor/NYP IT Owner Comments &amp; Concerns</t>
  </si>
  <si>
    <t>SECURITY</t>
  </si>
  <si>
    <r>
      <t xml:space="preserve">Please Note: </t>
    </r>
    <r>
      <rPr>
        <sz val="12"/>
        <rFont val="Segoe UI"/>
        <family val="2"/>
      </rPr>
      <t>The Security Tab must be completed for all System Requests</t>
    </r>
    <r>
      <rPr>
        <b/>
        <sz val="12"/>
        <rFont val="Segoe UI"/>
        <family val="2"/>
      </rPr>
      <t xml:space="preserve"> </t>
    </r>
    <r>
      <rPr>
        <b/>
        <u/>
        <sz val="12"/>
        <color rgb="FFFF0000"/>
        <rFont val="Segoe UI"/>
        <family val="2"/>
      </rPr>
      <t xml:space="preserve">EXCLUDING Medical Devices. 
</t>
    </r>
    <r>
      <rPr>
        <sz val="12"/>
        <color theme="1"/>
        <rFont val="Segoe UI"/>
        <family val="2"/>
      </rPr>
      <t xml:space="preserve">Complete </t>
    </r>
    <r>
      <rPr>
        <b/>
        <sz val="12"/>
        <color theme="1"/>
        <rFont val="Segoe UI"/>
        <family val="2"/>
      </rPr>
      <t>ALL</t>
    </r>
    <r>
      <rPr>
        <sz val="12"/>
        <color theme="1"/>
        <rFont val="Segoe UI"/>
        <family val="2"/>
      </rPr>
      <t xml:space="preserve"> Orange highlighted cells and where applicable provide additional comments in column G.</t>
    </r>
  </si>
  <si>
    <t xml:space="preserve">                </t>
  </si>
  <si>
    <t>Comments and Notes</t>
  </si>
  <si>
    <t>Application/Solution/Service Information</t>
  </si>
  <si>
    <t>Vendor Name</t>
  </si>
  <si>
    <t>Application/Solution/Service Name</t>
  </si>
  <si>
    <t>Short Description of Application/Solution or Service being provided</t>
  </si>
  <si>
    <t>Data Classification</t>
  </si>
  <si>
    <t>What type of data is created, processed, stored, or received by the system or application (or accessed by the vendor/contractor in case of professional services projects)?
(Please select all that apply)</t>
  </si>
  <si>
    <t>PHI</t>
  </si>
  <si>
    <t>PII</t>
  </si>
  <si>
    <t>PCI</t>
  </si>
  <si>
    <t>PayRoll</t>
  </si>
  <si>
    <t>Financial</t>
  </si>
  <si>
    <r>
      <t>Is there any OTHER data not previously mentioned that is created, processed, stored, or received by the system or application (or accessed by the vendor/contractor in case of professional services projects)?</t>
    </r>
    <r>
      <rPr>
        <b/>
        <i/>
        <sz val="10"/>
        <rFont val="Segoe UI"/>
        <family val="2"/>
      </rPr>
      <t xml:space="preserve"> If so, please specify.</t>
    </r>
    <r>
      <rPr>
        <i/>
        <sz val="10"/>
        <rFont val="Segoe UI"/>
        <family val="2"/>
      </rPr>
      <t xml:space="preserve">
</t>
    </r>
  </si>
  <si>
    <t>Data/Application Hosting</t>
  </si>
  <si>
    <t>Where is the application/data being processed or stored?</t>
  </si>
  <si>
    <t>NYP Data Center</t>
  </si>
  <si>
    <t>Hosted By Vendor</t>
  </si>
  <si>
    <t xml:space="preserve">N/A - (e.g.  Standalone,  desktop,  embedded device)?
</t>
  </si>
  <si>
    <t>Communication/Transmission Methods</t>
  </si>
  <si>
    <t>Is NYP data transmitted over a private or public network? (Please select all that apply)</t>
  </si>
  <si>
    <t>Local NYP local network</t>
  </si>
  <si>
    <t>WAN</t>
  </si>
  <si>
    <t>NYP Virtual Private Network (VPN)</t>
  </si>
  <si>
    <t>WiFi</t>
  </si>
  <si>
    <t>BlueTooth</t>
  </si>
  <si>
    <t>Mobile</t>
  </si>
  <si>
    <t>Data Transfers</t>
  </si>
  <si>
    <t>What type of data is transferred to or from this system/application? (Please select all that apply)</t>
  </si>
  <si>
    <t>Payroll data</t>
  </si>
  <si>
    <t>Financial records</t>
  </si>
  <si>
    <t>Server or Workstation Information</t>
  </si>
  <si>
    <t xml:space="preserve">Does the system or application support AD and/or Federated Authentication for local and/or remote authentication? </t>
  </si>
  <si>
    <t>Does the system or application support AD and/or Federated Authentication for local and/or remote authentication? Select All that apply.</t>
  </si>
  <si>
    <t>Active Directory</t>
  </si>
  <si>
    <t>SAML</t>
  </si>
  <si>
    <t>WS-Federation</t>
  </si>
  <si>
    <t>Oath</t>
  </si>
  <si>
    <t>OpenID Connect</t>
  </si>
  <si>
    <t>WS-Trust</t>
  </si>
  <si>
    <t>Multi-Factor Authentication</t>
  </si>
  <si>
    <t>Password Policy</t>
  </si>
  <si>
    <t>Complete this section only if the application does not support NYP AD and/or Federated authentication. (Answer N/A if AD or Federated authentication is supported)</t>
  </si>
  <si>
    <t>Does the system or application support comply with NYP's password policy? - 
A) At least eight characters long.
B) Include small letters, capital letters and numbers.
C) No dictionary words or commonly known proper nouns.
D) Expire after a maximum of 180 day</t>
  </si>
  <si>
    <t>Account Control/Management</t>
  </si>
  <si>
    <t xml:space="preserve"> User Access Methods</t>
  </si>
  <si>
    <t>User Access Methods  
(Check the different methods by which the users can access the system)</t>
  </si>
  <si>
    <t>SSH</t>
  </si>
  <si>
    <t>Web Application</t>
  </si>
  <si>
    <t>Thick Client Application</t>
  </si>
  <si>
    <t>Mobile Application</t>
  </si>
  <si>
    <t>Privilege Access Methods</t>
  </si>
  <si>
    <t>Admin Methods  Access Methods  
(Check the different methods by which the users can access the system)</t>
  </si>
  <si>
    <t>Auditing &amp; Logging</t>
  </si>
  <si>
    <t>Does the audit log include the following information.  (Select all that apply)</t>
  </si>
  <si>
    <t>User ID</t>
  </si>
  <si>
    <t>Patient ID</t>
  </si>
  <si>
    <t>Date and Time</t>
  </si>
  <si>
    <t>Location</t>
  </si>
  <si>
    <t>Action (view/update/print/etc.)</t>
  </si>
  <si>
    <t xml:space="preserve"> Remote Access</t>
  </si>
  <si>
    <t>Encryption</t>
  </si>
  <si>
    <t>Is sensitive data sent over a public network encrypted in transit with (Select all that apply)</t>
  </si>
  <si>
    <t>TLS 1.0</t>
  </si>
  <si>
    <t>TLS 1.1</t>
  </si>
  <si>
    <t>TLS1.2</t>
  </si>
  <si>
    <r>
      <rPr>
        <b/>
        <i/>
        <sz val="10"/>
        <rFont val="Segoe UI"/>
        <family val="2"/>
      </rPr>
      <t xml:space="preserve">Key Management System
 </t>
    </r>
    <r>
      <rPr>
        <i/>
        <sz val="10"/>
        <rFont val="Segoe UI"/>
        <family val="2"/>
      </rPr>
      <t>Is there a documented key management process for generating, distributing and managing cryptographic keys for devices and applications. Describe how encryption keys are being secured, including who has access to the keys.</t>
    </r>
  </si>
  <si>
    <t>Data Backup and Disaster Recovery</t>
  </si>
  <si>
    <t>Cloud-based or Externally Hosted Systems</t>
  </si>
  <si>
    <r>
      <t xml:space="preserve">Complete </t>
    </r>
    <r>
      <rPr>
        <b/>
        <sz val="12"/>
        <color theme="1"/>
        <rFont val="Segoe UI"/>
        <family val="2"/>
      </rPr>
      <t>ALL</t>
    </r>
    <r>
      <rPr>
        <sz val="12"/>
        <color theme="1"/>
        <rFont val="Segoe UI"/>
        <family val="2"/>
      </rPr>
      <t xml:space="preserve"> Orange highlighted cells and where applicable provide additional comments incolumn W.</t>
    </r>
  </si>
  <si>
    <t>DID</t>
  </si>
  <si>
    <t>Domain</t>
  </si>
  <si>
    <t>Control Group</t>
  </si>
  <si>
    <t>CGID</t>
  </si>
  <si>
    <t>CID</t>
  </si>
  <si>
    <t>Third Party Information Security Assessment Questions</t>
  </si>
  <si>
    <t>Yes/No/NA</t>
  </si>
  <si>
    <t>COBIT</t>
  </si>
  <si>
    <t>HIPAA</t>
  </si>
  <si>
    <t>ISO27001</t>
  </si>
  <si>
    <t>SP800_53</t>
  </si>
  <si>
    <t>FedRAMP</t>
  </si>
  <si>
    <t>PCI_DSS</t>
  </si>
  <si>
    <t>BITS</t>
  </si>
  <si>
    <t>GAPP</t>
  </si>
  <si>
    <t>SaaS</t>
  </si>
  <si>
    <t>PaaS</t>
  </si>
  <si>
    <t>IaaS</t>
  </si>
  <si>
    <t>SP</t>
  </si>
  <si>
    <t>CUST</t>
  </si>
  <si>
    <t>Vendor/Cloud Information</t>
  </si>
  <si>
    <t>VENDOR /3RD PARTY ORGANIZATION NAME(s)</t>
  </si>
  <si>
    <t>VENDOR CONTACT NAME</t>
  </si>
  <si>
    <t>VENDOR ROLE</t>
  </si>
  <si>
    <t>CO</t>
  </si>
  <si>
    <t>Compliance</t>
  </si>
  <si>
    <t>Independent Audits</t>
  </si>
  <si>
    <t xml:space="preserve">CO-02           </t>
  </si>
  <si>
    <t>CO-02.1</t>
  </si>
  <si>
    <r>
      <t>C</t>
    </r>
    <r>
      <rPr>
        <b/>
        <sz val="12"/>
        <color rgb="FF008000"/>
        <rFont val="Segoe UI"/>
        <family val="2"/>
      </rPr>
      <t>R</t>
    </r>
  </si>
  <si>
    <t>COBIT 4.1 DS5.5, ME2.5, ME 3.1 PO 9.6</t>
  </si>
  <si>
    <t xml:space="preserve">45 CFR 164.308 (a)(8)
45 CFR 164.308(a)(1)(ii)(D) </t>
  </si>
  <si>
    <t>Clause 4.2.3e
Clause 5.1 g
Clause 5.2.1 d)
Clause 6
A.6.1.8</t>
  </si>
  <si>
    <t xml:space="preserve">NIST SP800-53 R3 CA-1
NIST SP800-53 R3 CA-2
NIST SP800-53 R3 CA-6 
NIST SP800-53 R3 RA-5
</t>
  </si>
  <si>
    <t xml:space="preserve">NIST SP800-53 R3 CA-1_x000D_
NIST SP800-53 R3 CA-2_x000D_
NIST SP800-53 R3 CA-2 (1)_x000D_
NIST SP800-53 R3 CA-6_x000D_
NIST SP800-53 R3 RA-5_x000D_
NIST SP800-53 R3 RA-5 (1)_x000D_
NIST SP800-53 R3 RA-5 (2)_x000D_
NIST SP800-53 R3 RA-5 (3)_x000D_
NIST SP800-53 R3 RA-5 (9)_x000D_
NIST SP800-53 R3 RA-5 (6)_x000D_
</t>
  </si>
  <si>
    <t>PCI DSS v2.0 11.2
PCI DSS v2.0 11.3
PCI DSS v2.0 6.6
PCI DSS v2.0 12.1.2.b</t>
  </si>
  <si>
    <t>SIG v6.0: L.2, L.4, L.7, L.9, L.11</t>
  </si>
  <si>
    <t>GAPP Ref 1.2.5
GAPP Ref 1.2.7
GAPP Ref 4.2.1
GAPP Ref 8.2.7
GAPP Ref 10.2.3
GAPP Ref 10.2.5</t>
  </si>
  <si>
    <t>Y</t>
  </si>
  <si>
    <t>CO-02</t>
  </si>
  <si>
    <t>CO-02.4</t>
  </si>
  <si>
    <t xml:space="preserve">Does your Internal Audit organization review the compliance and effectiveness of your information security practices and controls? </t>
  </si>
  <si>
    <t>CO-02.5</t>
  </si>
  <si>
    <t>CO-02.7</t>
  </si>
  <si>
    <t>CO-03</t>
  </si>
  <si>
    <t>CO-03.1</t>
  </si>
  <si>
    <t>COBIT 4.1 ME 2.6, DS 2.1, DS 2.4</t>
  </si>
  <si>
    <t>45 CFR 164.308(b)(1) (New)
45 CFR 164.308 (b)(4)</t>
  </si>
  <si>
    <t>A.6.2.3
A.10.2.1
A.10.2.2
A.10.6.2</t>
  </si>
  <si>
    <t xml:space="preserve">NIST SP800-53 R3 CA-3
NIST SP800-53 R3 SA-9
NIST SP800-53 R3 SA-12
NIST SP800-53 R3 SC-7 
</t>
  </si>
  <si>
    <t>PCI DSS v2.0 2.4
PCI DSS v2.0 12.8.2
PCI DSS v2.0 12.8.3
PCI DSS v2.0 12.8.4
Appendix A</t>
  </si>
  <si>
    <t>AUP v5.0 C.2          SIG v6.0: C.2.4,C.2.6, G.4.1, G.4.2, L.2, L.4, L.7, L.11</t>
  </si>
  <si>
    <t>GAPP Ref 1.2.11
GAPP Ref 4.2.3
GAPP Ref 7.2.4
GAPP Ref 10.2.3
GAPP Ref 10.2.4</t>
  </si>
  <si>
    <t>Third Party Audits</t>
  </si>
  <si>
    <t>CO-03.2</t>
  </si>
  <si>
    <t>DG</t>
  </si>
  <si>
    <t>Data Governance</t>
  </si>
  <si>
    <t>Retention Policy</t>
  </si>
  <si>
    <t>DG-04</t>
  </si>
  <si>
    <t>DG-04.1</t>
  </si>
  <si>
    <t>COBIT 4.1 DS 4.1, DS 4.2, DS 4.5, DS 4.9, DS 11.6</t>
  </si>
  <si>
    <t>45 CFR 164.308 (a)(7)(ii)(A)
45 CFR 164.310 (d)(2)(iv)
45 CFR 164.308(a)(7)(ii)(D) (New)
45 CFR 164.316(b)(2)(i) (New)</t>
  </si>
  <si>
    <t>Clause 4.3.3
A.10.5.1
A.10.7.3</t>
  </si>
  <si>
    <t>NIST SP800-53 R3 CP-2
NIST SP800-53 R3 CP-6
NIST SP800-53 R3 CP-7
NIST SP800-53 R3 CP-8
NIST SP800-53 R3 CP-9
NIST SP800-53 R3 SI-12
NIST SP800-53 R3 AU-11</t>
  </si>
  <si>
    <t>PCI DSS v2.0 3.1
PCI DSS v2.0 3.1.1
PCI DSS v2.0 3.2
PCI DSS v2.0 9.9.1
PCI DSS v2.0 9.5
PCI DSS v2.0 9.6
PCI DSS v2.0 10.7</t>
  </si>
  <si>
    <t>SIG v6.0: D.2.2.9</t>
  </si>
  <si>
    <t>GAPP Ref 5.1.0
GAPP Ref 5.1.1
GAPP Ref 5.2.2
GAPP Ref 8.2.6</t>
  </si>
  <si>
    <t>Secure Disposal</t>
  </si>
  <si>
    <t>DG-05</t>
  </si>
  <si>
    <t>DG-05.1</t>
  </si>
  <si>
    <t xml:space="preserve">Do you support secure deletion (ex. degaussing / cryptographic wiping) of archived data as determined by NYP?  </t>
  </si>
  <si>
    <t>COBIT 4.1 DS 11.4</t>
  </si>
  <si>
    <t>45 CFR 164.310 (d)(2)(i)
45 CFR 164.310 (d)(2)(ii)</t>
  </si>
  <si>
    <t>A.9.2.6
A.10.7.2</t>
  </si>
  <si>
    <t>NIST SP800-53 R3 MP-6
NIST SP800-53 R3 PE-1</t>
  </si>
  <si>
    <t xml:space="preserve">NIST SP800-53 R3 MP-6_x000D_
NIST SP800-53 R3 MP-6 (4)_x000D_
NIST SP800-53 R3 PE-1_x000D_
</t>
  </si>
  <si>
    <t>PCI DSS v2.0 3.1.1
PCI DSS v2.0 9.10
PCI DSS v2.0 9.10.1
PCI DSS v2.0 9.10.2
PCI DSS v2.0 3.1</t>
  </si>
  <si>
    <t>SIG v6.0: D.2.2.10, D.2.2.11, D.2.2.14,</t>
  </si>
  <si>
    <t>GAPP Ref 5.1.0
GAPP Ref 5.2.3</t>
  </si>
  <si>
    <t>DG-05.2</t>
  </si>
  <si>
    <t xml:space="preserve">Can you provide a published procedure for exiting the service arrangement, including assurance to sanitize all computing resources of NYP's data once NYP has exited your environment or has vacated a resource? </t>
  </si>
  <si>
    <t>Nonproduction Data</t>
  </si>
  <si>
    <t>DG-06</t>
  </si>
  <si>
    <t>DG-06.1</t>
  </si>
  <si>
    <t>45 CFR 164.308(a)(4)(ii)(B)</t>
  </si>
  <si>
    <t>A.7.1.3
A.10.1.4
A.12.4.2
A.12.5.1</t>
  </si>
  <si>
    <t>NIST SP800-53 R3 SA-11
NIST SP800-53 R3 CM-04</t>
  </si>
  <si>
    <t xml:space="preserve">NIST SP800-53 R3 SA-11_x000D_
NIST SP800-53 R3 SA-11 (1)_x000D_
NIST SP800-53 R3 CM-04_x000D_
</t>
  </si>
  <si>
    <t xml:space="preserve">PCI DSS v2.0 6.4.3
</t>
  </si>
  <si>
    <t>SIG v6.0: I.2.18</t>
  </si>
  <si>
    <t>GAPP Ref 1.2.6</t>
  </si>
  <si>
    <t>FS</t>
  </si>
  <si>
    <t>Facility Security</t>
  </si>
  <si>
    <t>Policy</t>
  </si>
  <si>
    <t>FS-01</t>
  </si>
  <si>
    <t>FS-01.1</t>
  </si>
  <si>
    <t xml:space="preserve">COBIT 4.1 DS5.7, DS 12.1, DS 12.4 DS 4.9 </t>
  </si>
  <si>
    <t>45 CFR 164.310 (a)(1)
45 CFR 164.310 (a)(2)(ii)
45 CFR 164.308(a)(3)(ii)(A) (New)
45 CFR 164.310 (a)(2)(iii) (New)</t>
  </si>
  <si>
    <t>A.5.1.1
A.9.1.3
A.9.1.5</t>
  </si>
  <si>
    <t xml:space="preserve">NIST SP800-53 R3 CA-2
NIST SP800-53 R3 PE-1
NIST SP800-53 R3 PE-6
NIST SP800-53 R3 PE-7
NIST SP800-53 R3 PE-8
</t>
  </si>
  <si>
    <t xml:space="preserve">NIST SP800-53 R3 CA-2_x000D_
NIST SP800-53 R3 CA-2 (1)_x000D_
NIST SP800-53 R3 PE-1_x000D_
NIST SP800-53 R3 PE-6_x000D_
NIST SP800-53 R3 PE-6 (1)_x000D_
NIST SP800-53 R3 PE-7_x000D_
NIST SP800-53 R3 PE-7 (1)_x000D_
NIST SP800-53 R3 PE-8_x000D_
</t>
  </si>
  <si>
    <t>PCI DSS v2.0 9.1
PCI DSS v2.0 9.2
PCI DSS v2.0 9.3
PCI DSS v2.0 9.4</t>
  </si>
  <si>
    <t>AUP v5.0 F.2          SIG v6.0: F.1.1, F.1.2 F.1.3, F.1.4, F1.5, F.1.6, F.1.7, F.1.8, F.1.9, F.2.1, F.2.2, F.2.3, F.2.4, F.2.5, F2.6, F.2.7, F.2.8, F.2.9, F.2.10, F.2.11, F.2.12, F.2.13, F.2.14, F.2.15, F.2.16, F.2.17, F.2.18,F.2.19, F.2.20</t>
  </si>
  <si>
    <t>GAPP Ref 8.1.0
GAPP Ref 8.1.1
GAPP Ref 8.2.1</t>
  </si>
  <si>
    <t>User Access</t>
  </si>
  <si>
    <t>FS-02</t>
  </si>
  <si>
    <t>FS-02.1</t>
  </si>
  <si>
    <t>45 CFR 164.310(a)(1) (New)
45 CFR 164.310(a)(2)(ii) (New)
45 CFR 164.310(b) (New)
45 CFR 164.310 ( c) (New)</t>
  </si>
  <si>
    <t>A.9.1.1
A.9.1.2</t>
  </si>
  <si>
    <t xml:space="preserve">NIST SP800-53 R3 PE-2
NIST SP800-53 R3 PE-3
NIST SP800-53 R3 PE-4
NIST SP800-53 R3 PE-5
NIST SP800-53 R3 PE-6
</t>
  </si>
  <si>
    <t xml:space="preserve">NIST SP800-53 R3 PE-2_x000D_
NIST SP800-53 R3 PE-2 (1)_x000D_
NIST SP800-53 R3 PE-3_x000D_
NIST SP800-53 R3 PE-4_x000D_
NIST SP800-53 R3 PE-5_x000D_
NIST SP800-53 R3 PE-6_x000D_
NIST SP800-53 R3 PE-6 (1)_x000D_
</t>
  </si>
  <si>
    <t>PCI DSS v2.0 9.1</t>
  </si>
  <si>
    <t>AUP v5.0 H.6                   SIG v6.0: F.1.2.3, F.1.2.4, F.1.2.5, F.1.2.6, F.1.2.8, F.1.2. 9, F.1.2.10, F.1.2.11, F.1.2.12, F.1.2.13, F.1.2.14, F.1.2.15, F.1.2.24, F.1.4.2, F1.4.6, F.1.4.7, F.1.7, F.1.8, F.2.13, F.2.14, F.2.15, F.2.16, F.2.17, F.2.18</t>
  </si>
  <si>
    <t>GAPP Ref 8.2.1
GAPP Ref 8.2.2
GAPP Ref 8.2.3</t>
  </si>
  <si>
    <t>N</t>
  </si>
  <si>
    <t>Offsite Authorization</t>
  </si>
  <si>
    <t>FS-06</t>
  </si>
  <si>
    <t>FS-06.1</t>
  </si>
  <si>
    <t>45 CFR 164.310 (d)(1) (New)</t>
  </si>
  <si>
    <t>A.9.2.7
A.10.1.2</t>
  </si>
  <si>
    <t>NIST SP800-53 R3 MA-1
NIST SP800-53 R3 MA-2
NIST SP800-53 R3 PE-16</t>
  </si>
  <si>
    <t xml:space="preserve">NIST SP800-53 R3 MA-1_x000D_
NIST SP800-53 R3 MA-2_x000D_
NIST SP800-53 R3 MA-2 (1)_x000D_
NIST SP800-53 R3 PE-16_x000D_
</t>
  </si>
  <si>
    <t xml:space="preserve">PCI DSS v2.0 9.8
PCI DSS v2.0 9.9
</t>
  </si>
  <si>
    <t>AUP v5.0 G.21       SIG v6.0:F.2.18</t>
  </si>
  <si>
    <t>GAPP Ref 8.2.5
GAPP Ref 8.2.6</t>
  </si>
  <si>
    <t>Asset Management</t>
  </si>
  <si>
    <t>FS-08</t>
  </si>
  <si>
    <t>FS-08.1</t>
  </si>
  <si>
    <t>45 CFR 164.310 (d)(2)(iii)</t>
  </si>
  <si>
    <t>A.7.1.1
A.7.1.2</t>
  </si>
  <si>
    <t>NIST SP800-53 R3 CM-8</t>
  </si>
  <si>
    <t xml:space="preserve">NIST SP800-53 R3 CM-8_x000D_
NIST SP800-53 R3 CM-8 (1)_x000D_
NIST SP800-53 R3 CM-8 (3)_x000D_
NIST SP800-53 R3 CM-8 (5)_x000D_
</t>
  </si>
  <si>
    <t>PCI DSS v2.0 9.9.1
PCI DSS v2.0 12.3.3
PCI DSS v2.0 12.3.4</t>
  </si>
  <si>
    <t>AUP v5.0 D.1                  SIG v6.0: D.1.1, D.2.1. D.2.2,</t>
  </si>
  <si>
    <t>FS-08.2</t>
  </si>
  <si>
    <t>HR</t>
  </si>
  <si>
    <t>Human Resources Security</t>
  </si>
  <si>
    <t>HR-01</t>
  </si>
  <si>
    <t>HR-01.1</t>
  </si>
  <si>
    <t>COBIT 4.1 PO 7.6</t>
  </si>
  <si>
    <t>A.8.1.2</t>
  </si>
  <si>
    <t>NIST SP800-53 R3 PS-2
NIST SP800-53 R3 PS-3</t>
  </si>
  <si>
    <t xml:space="preserve">NIST SP800-53 R3 PS-2_x000D_
NIST SP800-53 R3 PS-3_x000D_
</t>
  </si>
  <si>
    <t>PCI DSS v2.0 12.7
PCI DSS v2.0 12.8.3</t>
  </si>
  <si>
    <t>AUP v5.0 E.2                  SIG v6.0: E.2</t>
  </si>
  <si>
    <t>GAPP Ref 1.2.9</t>
  </si>
  <si>
    <t>IS</t>
  </si>
  <si>
    <t>Information Security</t>
  </si>
  <si>
    <t>Management Program</t>
  </si>
  <si>
    <t>IS-01</t>
  </si>
  <si>
    <t>IS-01.1</t>
  </si>
  <si>
    <t>COBIT 4.1 R2 DS5.2
COBIT 4.1 R2 DS5.5</t>
  </si>
  <si>
    <t xml:space="preserve">45 CFR 164.308(a)(1)(i)
45 CFR 164.308(a)(1)(ii)(B)
45 CFR 164.316(b)(1)(i)
45 CFR 164.308(a)(3)(i) (New)
45 CFR 164.306(a)  (New)
</t>
  </si>
  <si>
    <t>Clause 4.2
Clause 5
A.6.1.1
A.6.1.2
A.6.1.3
A.6.1.4
A.6.1.5
A.6.1.6
A.6.1.7
A.6.1.8</t>
  </si>
  <si>
    <t xml:space="preserve">NIST SP800-53 R3 PM-1
NIST SP800-53 R3 PM-2
NIST SP800-53 R3 PM-3
NIST SP800-53 R3 PM-4
NIST SP800-53 R3 PM-5
NIST SP800-53 R3 PM-6
NIST SP800-53 R3 PM-7
NIST SP800-53 R3 PM-8
NIST SP800-53 R3 PM-9
NIST SP800-53 R3 PM-10
NIST SP800-53 R3 PM-11
</t>
  </si>
  <si>
    <t xml:space="preserve">NIST SP800-53 R3 PM-1_x000D_
NIST SP800-53 R3 PM-2_x000D_
NIST SP800-53 R3 PM-3_x000D_
NIST SP800-53 R3 PM-4_x000D_
NIST SP800-53 R3 PM-5_x000D_
NIST SP800-53 R3 PM-6_x000D_
NIST SP800-53 R3 PM-7_x000D_
NIST SP800-53 R3 PM-8_x000D_
NIST SP800-53 R3 PM-9_x000D_
NIST SP800-53 R3 PM-10_x000D_
NIST SP800-53 R3 PM-11_x000D_
</t>
  </si>
  <si>
    <t xml:space="preserve">PCI DSS v2.0 12.1
PCI DSS v2.0 12.2
</t>
  </si>
  <si>
    <t>SIG v6.0: A.1, B.1</t>
  </si>
  <si>
    <t>GAPP Ref 8.2.1</t>
  </si>
  <si>
    <t>IS-03</t>
  </si>
  <si>
    <t>IS-03.1</t>
  </si>
  <si>
    <t>COBIT 4.1 DS5.2</t>
  </si>
  <si>
    <t xml:space="preserve">45 CFR 164.316 (a)
45 CFR 164.316 (b)(1)(i)
45 CFR 164.316 (b)(2)(ii)
45 CFR 164.308(a)(2) (New)
</t>
  </si>
  <si>
    <t>Clause 4.2.1
Clause 5
A.5.1.1
A.8.2.2</t>
  </si>
  <si>
    <t>SIG v6.0:B.1</t>
  </si>
  <si>
    <t>GAPP Ref 8.1.0
GAPP Ref 8.1.1</t>
  </si>
  <si>
    <t>IS-03.3</t>
  </si>
  <si>
    <t xml:space="preserve">Do you map your controls, architecture  and processes  to regulations and/or standards?  </t>
  </si>
  <si>
    <t>Policy Reviews</t>
  </si>
  <si>
    <t>IS-05</t>
  </si>
  <si>
    <t>IS-05.1</t>
  </si>
  <si>
    <t>COBIT 4.1  DS 5.2
DS 5.4</t>
  </si>
  <si>
    <t>45 CFR 164.316 (b)(2)(iii)
45 CFE 164.306(e) (New)</t>
  </si>
  <si>
    <t>Clause 4.2.3 f)
A.5.1.2</t>
  </si>
  <si>
    <t>PCI DSS v2.0 12.1.3</t>
  </si>
  <si>
    <t>AUP v5.0 B.2                      SIG v6.0: B.1.33. B.1.34,</t>
  </si>
  <si>
    <t>GAPP Ref 1.2.1
GAPP Ref 8.2.7
GAPP Ref 10.2.3</t>
  </si>
  <si>
    <t>Policy Enforcement</t>
  </si>
  <si>
    <t>IS-06</t>
  </si>
  <si>
    <t>IS-06.1</t>
  </si>
  <si>
    <t>COBIT 4.1 PO 7.7</t>
  </si>
  <si>
    <t>45 CFR 164.308 (a)(1)(ii)(C)</t>
  </si>
  <si>
    <t>A.8.2.3</t>
  </si>
  <si>
    <t xml:space="preserve">NIST SP800-53 R3 PL-4
NIST SP800-53 R3 PS-1
NIST SP800-53 R3 PS-8
</t>
  </si>
  <si>
    <t>NIST SP800-53 R3 PL-4_x000D_
NIST SP800-53 R3 PS-1_x000D_
NIST SP800-53 R3 PS-8_x000D_</t>
  </si>
  <si>
    <t>SIG v6.0:B.1.5</t>
  </si>
  <si>
    <t>GAPP Ref 10.2.4</t>
  </si>
  <si>
    <t>IS-07</t>
  </si>
  <si>
    <t>IS-07.1</t>
  </si>
  <si>
    <t>COBIT 4.1 DS 5.4</t>
  </si>
  <si>
    <t>45 CFR 164.308 (a)(3)(i)
45 CFR 164.312 (a)(1)
45 CFR 164.312 (a)(2)(ii)
45 CFR  164.308(a)(4)(ii)(B) (New)
45 CFR 164.308(a)(4)(ii)(c ) (New)</t>
  </si>
  <si>
    <t>A.11.1.1
A.11.2.1
A.11.2.4
A.11.4.1
A.11.5.2
A.11.6.1</t>
  </si>
  <si>
    <t xml:space="preserve">NIST SP800-53 R3 AC-1
NIST SP800-53 R3 IA-1
</t>
  </si>
  <si>
    <t xml:space="preserve">NIST SP800-53 R3 AC-1_x000D_
NIST SP800-53 R3 IA-1_x000D_
</t>
  </si>
  <si>
    <t>PCI DSS v2.0 3.5.1
PCI DSS v2.0 8.5.1
PCI DSS v2.0 12.5.4</t>
  </si>
  <si>
    <t>AUP v5.0 B.1          SIG v6.0: B.1.8, B.1.21, B.1.28,  E.6.2, H.1.1, K.1.4.5,</t>
  </si>
  <si>
    <t xml:space="preserve">GAPP Ref 8.1.0
</t>
  </si>
  <si>
    <t>IS-08</t>
  </si>
  <si>
    <t>IS-08.1</t>
  </si>
  <si>
    <t>COBIT 4.1 DS5.4</t>
  </si>
  <si>
    <t xml:space="preserve">45 CFR 164.308 (a)(3)(i)
45 CFR 164.308 (a)(3)(ii)(A)
45 CFR 164.308 (a)(4)(i)
45 CFR 164.308 (a)(4)(ii)(B)
45 CFR 164.308 (a)(4)(ii)(C)
45 CFR 164.312 (a)(1)
</t>
  </si>
  <si>
    <t>A.11.2.1
A.11.2.2
A.11.4.1
A 11.4.2
A.11.6.1</t>
  </si>
  <si>
    <t>NIST SP800-53 R3 AC-3
NIST SP800-53 R3 AC-5
NIST SP800-53 R3 AC-6
NIST SP800-53 R3 IA-2
NIST SP800-53 R3 IA-4
NIST SP800-53 R3 IA-5
NIST SP800-53 R3 IA-8
NIST SP800-53 R3 MA-5
NIST SP800-53 R3 PS-6
NIST SP800-53 R3 SA-7
NIST SP800-53 R3 SI-9</t>
  </si>
  <si>
    <t xml:space="preserve">PCI DSS v2.0 7.1
PCI DSS v2.0 7.1.1
PCI DSS v2.0 7.1.2
PCI DSS v2.0 7.1.3
PCI DSS v2.0 7.2.1
PCI DSS v2.0 7.2.2
PCI DSS v2.0 8.5.1
PCI DSS v2.0 12.5.4
</t>
  </si>
  <si>
    <t>SIG v6.0: H.2.4, H.2.5,</t>
  </si>
  <si>
    <t>GAPP Ref 8.2.2</t>
  </si>
  <si>
    <t>User Access Reviews</t>
  </si>
  <si>
    <t>IS-10</t>
  </si>
  <si>
    <t>IS-10.1</t>
  </si>
  <si>
    <t>COBIT 4.1 DS5.3
COBIT 4.1 DS5.4</t>
  </si>
  <si>
    <t xml:space="preserve">45 CFR 164.308 (a)(3)(ii)(B)
45 CFR 164.308 (a)(4)(ii)(C)
</t>
  </si>
  <si>
    <t>A.11.2.4</t>
  </si>
  <si>
    <t>NIST SP800-53 R3 AC-2
NIST SP800-53 R3 AU-6
NIST SP800-53 R3 PM-10
NIST SP800-53 R3 PS-6
NIST SP800-53 R3 PS-7</t>
  </si>
  <si>
    <t>SIG v6.0:H.2.6, H.2.7, H.2.9,</t>
  </si>
  <si>
    <t>GAPP Ref 8.2.1
GAPP Ref 8.2.7</t>
  </si>
  <si>
    <t>IS-10.2</t>
  </si>
  <si>
    <t>IS-10.3</t>
  </si>
  <si>
    <t>Training / Awareness</t>
  </si>
  <si>
    <t>IS-11</t>
  </si>
  <si>
    <t>IS-11.1</t>
  </si>
  <si>
    <t>COBIT 4.1 PO 7.4</t>
  </si>
  <si>
    <t>45 CFR 164.308 (a)(5)(i)
45 CFR 164.308 (a)(5)(ii)(A)</t>
  </si>
  <si>
    <t>Clause 5.2.2
A.8.2.2</t>
  </si>
  <si>
    <t>NIST SP800-53 R3 AT-1
NIST SP800-53 R3 AT-2
NIST SP800-53 R3 AT-3
NIST SP800-53 R3 AT-4</t>
  </si>
  <si>
    <t xml:space="preserve">NIST SP800-53 R3 AT-1_x000D_
NIST SP800-53 R3 AT-2_x000D_
NIST SP800-53 R3 AT-3_x000D_
NIST SP800-53 R3 AT-4_x000D_
</t>
  </si>
  <si>
    <t>PCI DSS v2.0 12.6
PCI DSS v2.0 12.6.1
PCI DSS v2.0 12.6.2</t>
  </si>
  <si>
    <t>AUP v5.0 E.1                                            SIG v6.0:E.4</t>
  </si>
  <si>
    <t>GAPP Ref 1.2.10
GAPP Ref 8.2.1</t>
  </si>
  <si>
    <t>User Responsibility</t>
  </si>
  <si>
    <t>IS-16</t>
  </si>
  <si>
    <t>IS-16.1</t>
  </si>
  <si>
    <t>COBIT 4.1 PO 4.6</t>
  </si>
  <si>
    <t>45 CFR 164.308 (a)(5)(ii)(D)</t>
  </si>
  <si>
    <t>Clause 5.2.2
A.8.2.2
A.11.3.1
A.11.3.2</t>
  </si>
  <si>
    <t>NIST SP800-53 R3 AT-2
NIST SP800-53 R3 AT-3
NIST SP800-53 R3 AT-4
NIST SP800-53 R3 PL-4</t>
  </si>
  <si>
    <t xml:space="preserve">NIST SP800-53 R3 AT-2_x000D_
NIST SP800-53 R3 AT-3_x000D_
NIST SP800-53 R3 AT-4_x000D_
NIST SP800-53 R3 PL-4_x000D_
</t>
  </si>
  <si>
    <t>PCI DSS v2.0 8.5.7
PCI DSS v2.0 12.6.1</t>
  </si>
  <si>
    <t>AUP v5.0 E.1                      SIG v6.0: E.4</t>
  </si>
  <si>
    <t>IS-19</t>
  </si>
  <si>
    <t>IS-19.1</t>
  </si>
  <si>
    <t>COBIT 4.1 DS5.8</t>
  </si>
  <si>
    <t>45 CFR 164.312 (a)(2)(iv)
45 CFR 164.312(e)(1) (New)</t>
  </si>
  <si>
    <t>Clause 4.3.3
A.10.7.3
A.12.3.2
A.15.1.6</t>
  </si>
  <si>
    <t>NIST SP800-53 R3 SC-12
NIST SP800-53 R3 SC-13
NIST SP800-53 R3 SC-17
NIST SP800-53 R3 SC-28</t>
  </si>
  <si>
    <t xml:space="preserve">NIST SP800-53 R3 SC-12_x000D_
NIST SP800-53 R3 SC-12 (2)_x000D_
NIST SP800-53 R3 SC-12 (5)_x000D_
NIST SP800-53 R3 SC-13_x000D_
NIST SP800-53 R3 SC-13 (1)_x000D_
NIST SP800-53 R3 SC-17_x000D_
NIST SP800-53 R3 SC-28_x000D_
NIST SP800-53 R3 SC-28 (1)_x000D_
</t>
  </si>
  <si>
    <t>PCI-DSS v2.0 3.4.1
PCI-DSS v2.0 3.5
PCI-DSS v2.0 3.5.1
PCI-DSS v2.0 3.5.2
PCI-DSS v2.0 3.6
PCI-DSS v2.0 3.6.1
PCI-DSS v2.0 3.6.2
PCI-DSS v2.0 3.6.3
PCI-DSS v2.0 3.6.4
PCI-DSS v2.0 3.6.5
PCI-DSS v2.0 3.6.6
PCI-DSS v2.0 3.6.7
PCI-DSS v2.0 3.6.8</t>
  </si>
  <si>
    <t>SIG v6.0: L.6</t>
  </si>
  <si>
    <t>GAPP Ref 8.1.1
GAPP Ref 8.2.1
GAPP Ref 8.2.5</t>
  </si>
  <si>
    <t>IS-19.2</t>
  </si>
  <si>
    <t>IS-19.4</t>
  </si>
  <si>
    <t>Vulnerability / Patch Management</t>
  </si>
  <si>
    <t>IS-20</t>
  </si>
  <si>
    <t>IS-21.1</t>
  </si>
  <si>
    <t>COBIT 4.1 AI6.1
COBIT 4.1 AI3.3
COBIT 4.1 DS5.9</t>
  </si>
  <si>
    <t>45 CFR 164.308 (a)(1)(i)(ii)(A)
45 CFR 164.308 (a)(1)(i)(ii)(B)
45 CFR 164.308 (a)(5)(i)(ii)(B)</t>
  </si>
  <si>
    <t>A.12.5.1
A.12.5.2
A.12.6.1</t>
  </si>
  <si>
    <t>NIST SP800-53 R3 CM-3
NIST SP800-53 R3 CM-4
NIST SP800-53 R3 CP-10
NIST SP800-53 R3 RA-5
NIST SP800-53 R3 SA-7
NIST SP800-53 R3 SI-1
NIST SP800-53 R3 SI-2
NIST SP800-53 R3 SI-5</t>
  </si>
  <si>
    <t xml:space="preserve">PCI-DSS v2.0 2.2
PCI-DSS v2.0 6.1
PCI-DSS v2.0 6.2
PCI-DSS v2.0 6.3.2
PCI-DSS v2.0 6.4.5
PCI-DSS v2.0 6.5.X
PCI-DSS v2.0 6.6
PCI-DSS v2.0 11.2
PCI-DSS v2.0 11.2.1
PCI-DSS v2.0 11.2.2
PCI-DSS v2.0 11.2.3
</t>
  </si>
  <si>
    <t>AUP v5.0 I.4             SIG v6.0: G.15.2, I.3</t>
  </si>
  <si>
    <t>GAPP Ref 1.2.6
GAPP Ref 8.2.7</t>
  </si>
  <si>
    <t>IS-20.5</t>
  </si>
  <si>
    <t>Antivirus / Malicious Software</t>
  </si>
  <si>
    <t>IS-21</t>
  </si>
  <si>
    <t>COBIT 4.1 DS5.9</t>
  </si>
  <si>
    <t>45 CFR 164.308 (a)(5)(ii)(B)</t>
  </si>
  <si>
    <t>A.10.4.1</t>
  </si>
  <si>
    <t>NIST SP800-53 R3 SA-7
NIST SP800-53 R3 SC-5
NIST SP800-53 R3 SI-3
NIST SP800-53 R3 SI-5
NIST SP800-53 R3 SI-7
NIST SP800-53 R3 SI-8</t>
  </si>
  <si>
    <t xml:space="preserve">NIST SP800-53 R3 SA-7_x000D_
NIST SP800-53 R3 SC-5_x000D_
NIST SP800-53 R3 SI-3_x000D_
NIST SP800-53 R3 SI-3 (1)_x000D_
NIST SP800-53 R3 SI-3 (2)_x000D_
NIST SP800-53 R3 SI-3 (3)_x000D_
NIST SP800-53 R3 SI-5_x000D_
NIST SP800-53 R3 SI-7_x000D_
NIST SP800-53 R3 SI-7 (1)_x000D_
NIST SP800-53 R3 SI-8_x000D_
</t>
  </si>
  <si>
    <t>PCI-DSS v2.0 5.1
PCI-DSS v2.0 5.1.1
PCI-DSS v2.0 5.2</t>
  </si>
  <si>
    <t>SIG v6.0:G.7</t>
  </si>
  <si>
    <t>IS-21.2</t>
  </si>
  <si>
    <t>Incident Management</t>
  </si>
  <si>
    <t>IS-22</t>
  </si>
  <si>
    <t>IS-22.1</t>
  </si>
  <si>
    <t>COBIT 4.1 DS5.6</t>
  </si>
  <si>
    <t xml:space="preserve">45 CFR 164.308 (a)(1)(i)
45 CFR 164.308 (a)(6)(i)
45 CFR 164.308 (a)(3)(ii)(c) </t>
  </si>
  <si>
    <t>Clause 4.3.3
A.13.1.1
A.13.2.1</t>
  </si>
  <si>
    <t>NIST SP800-53 R3 IR-1
NIST SP800-53 R3 IR-2
NIST SP800-53 R3 IR-3
NIST SP800-53 R3 IR-4
NIST SP800-53 R3 IR-5
NIST SP800-53 R3 IR-7
NIST SP800-53 R3 IR-8
NIST SP800-53 R3 PS-4</t>
  </si>
  <si>
    <t xml:space="preserve">NIST SP800-53 R3 IR-1_x000D_
NIST SP800-53 R3 IR-2_x000D_
NIST SP800-53 R3 IR-3_x000D_
NIST SP800-53 R3 IR-4_x000D_
NIST SP800-53 R3 IR-4 (1)_x000D_
NIST SP800-53 R3 IR-5_x000D_
NIST SP800-53 R3 IR-7_x000D_
NIST SP800-53 R3 IR-7 (1)_x000D_
NIST SP800-53 R3 IR-7 (2)_x000D_
NIST SP800-53 R3 IR-8_x000D_
</t>
  </si>
  <si>
    <t>PCI-DSS v2.0 12.9
PCI-DSS v2.0 12.9.1
PCI-DSS v2.0 12.9.2
PCI-DSS v2.0 12.9.3
PCI-DSS v2.0 12.9.4
PCI-DSS v2.0 12.9.5
PCI-DSS v2.0 12.9.6</t>
  </si>
  <si>
    <t>AUP v5.0 J.1                      SIG v6.0: J.1.1, J.1.2</t>
  </si>
  <si>
    <t>GAPP Ref 1.2.4
GAPP Ref 1.2.7
GAPP Ref 7.1.2
GAPP Ref 7.2.2
GAPP Ref 7.2.4
GAPP Ref 10.2.1
GAPP Ref 10.2.4</t>
  </si>
  <si>
    <t>IS-22.3</t>
  </si>
  <si>
    <t xml:space="preserve">45 CFR 164.308 (a)(1)(i)
45 CFR 164.308 (a)(6)(i)
</t>
  </si>
  <si>
    <t>NIST SP800-53 R3 IR-1
NIST SP800-53 R3 IR-2
NIST SP800-53 R3 IR-3
NIST SP800-53 R3 IR-4
NIST SP800-53 R3 IR-5
NIST SP800-53 R3 IR-7
NIST SP800-53 R3 IR-8</t>
  </si>
  <si>
    <t>Incident Reporting</t>
  </si>
  <si>
    <t>IS-23</t>
  </si>
  <si>
    <t>IS-23.1</t>
  </si>
  <si>
    <t>45 CFR 164.312 (a)(6)(ii)
16 CFR 318.3 (a) (New)
16 CFR 318.5 (a) (New)
45 CFR 160.410 (a)(1) (New)</t>
  </si>
  <si>
    <t>Clause 4.3.3
Clause 5.2.2
A.6.1.3
A.8.2.1
A.8.2.2
A.13.1.1
A.13.1.2
A.13.2.1</t>
  </si>
  <si>
    <t>NIST SP800-53 R3 IR-2
NIST SP800-53 R3 IR-6
NIST SP800-53 R3 IR-7
NIST SP800-53 R3 SI-4
NIST SP800-53 R3 SI-5</t>
  </si>
  <si>
    <t>PCI-DSS v2.0 12.5.2
PCI-DSS v2.0 12.5.3</t>
  </si>
  <si>
    <t>AUP v5.0 J.1                            AUP v5.0 E.1          SIG v6.0: J.1.1, E.4</t>
  </si>
  <si>
    <t>GAPP Ref 1.2.7
GAPP Ref 1.2.10
GAPP Ref 7.1.2
GAPP Ref 7.2.2
GAPP Ref 7.2.4
GAPP Ref 10.2.4</t>
  </si>
  <si>
    <t>IS-23.2</t>
  </si>
  <si>
    <t>Incident Response Legal Preparation</t>
  </si>
  <si>
    <t>IS-24</t>
  </si>
  <si>
    <t>IS-24.1</t>
  </si>
  <si>
    <t xml:space="preserve">45 CFR 164.308 (a)(6)(ii)
</t>
  </si>
  <si>
    <t>Clause 4.3.3
Clause 5.2.2
A.8.2.2
A.8.2.3
A.13.2.3
A.15.1.3</t>
  </si>
  <si>
    <t>NIST SP800-53 R3 AU-6
NIST SP800-53 R3 AU-7
NIST SP800-53 R3 AU-9
NIST SP800-53 R3 AU-11
NIST SP800-53 R3 IR-5
NIST SP800-53 R3 IR-7
NIST SP800-53 R3 IR-8</t>
  </si>
  <si>
    <t>AUP v5.0 J.1                          AUP v5.0 E.1         SIG v6.0: J.1.1, J.1.2,  E.4</t>
  </si>
  <si>
    <t>GAPP Ref 1.2.7</t>
  </si>
  <si>
    <t>IS-24.3</t>
  </si>
  <si>
    <t>Does you data segmentation  and archiving strategy support expedited access to targeted data should it be required for litigation.</t>
  </si>
  <si>
    <t>Incident Response Metrics</t>
  </si>
  <si>
    <t>IS-25</t>
  </si>
  <si>
    <t>IS-25.1</t>
  </si>
  <si>
    <t>COBIT 4.1 DS 4.9</t>
  </si>
  <si>
    <t xml:space="preserve">45 CFR 164.308 (a)(1)(ii)(D)
</t>
  </si>
  <si>
    <t>A.13.2.2</t>
  </si>
  <si>
    <t>NIST SP800-53 R3 IR-4
NIST SP800-53 R3 IR-5
NIST SP800-53 R3 IR-8</t>
  </si>
  <si>
    <t xml:space="preserve">NIST SP800-53 R3 IR-4_x000D_
NIST SP800-53 R3 IR-4 (1)_x000D_
NIST SP800-53 R3 IR-5_x000D_
NIST SP800-53 R3 IR-8_x000D_
</t>
  </si>
  <si>
    <t>PCI DSS v2.0 12.9.6</t>
  </si>
  <si>
    <t>SIG v6.0: J.1.2,</t>
  </si>
  <si>
    <t>GAPP Ref 1.2.7
GAPP Ref 1.2.10</t>
  </si>
  <si>
    <t>IS-25.2</t>
  </si>
  <si>
    <t>Acceptable Use</t>
  </si>
  <si>
    <t>IS-26</t>
  </si>
  <si>
    <t>IS-26.1</t>
  </si>
  <si>
    <t>COBIT 4.1 DS 5.3</t>
  </si>
  <si>
    <t>45 CFR 164.310 (b)</t>
  </si>
  <si>
    <t>A.7.1.3</t>
  </si>
  <si>
    <t>NIST SP800-53 R3 AC-8
NIST SP800-53 R3 AC-20
NIST SP800-53 R3 PL-4</t>
  </si>
  <si>
    <t xml:space="preserve">NIST SP800-53 R3 AC-8_x000D_
NIST SP800-53 R3 AC-20_x000D_
NIST SP800-53 R3 AC-20 (1)_x000D_
NIST SP800-53 R3 AC-20 (2)_x000D_
NIST SP800-53 R3 PL-4_x000D_
</t>
  </si>
  <si>
    <t>PCI-DSS v2.0 12.3.5</t>
  </si>
  <si>
    <t>AUP v5.0 B.3.        SIG v6.0: B.1.7, D.1.3.3, E.3.2, E.3.5.1, E.3.5.2</t>
  </si>
  <si>
    <t>GAPP Ref 8.1.0</t>
  </si>
  <si>
    <t>IS-26.3</t>
  </si>
  <si>
    <t>Portable / Mobile Devices</t>
  </si>
  <si>
    <t>IS-32</t>
  </si>
  <si>
    <t>IS-32.1</t>
  </si>
  <si>
    <t>COBIT 4.1 DS5.11
COBIT 4.1 DS5.5</t>
  </si>
  <si>
    <t xml:space="preserve">45 CFR 164.310 (d)(1)
</t>
  </si>
  <si>
    <t>A.7.2.1
A.10.7.1
A.10.7.2
A.10.8.3
A.11.7.1
A.11.7.2
A.15.1.4</t>
  </si>
  <si>
    <t>NIST SP800-53 R3 AC-17
NIST SP800-53 R3 AC-18
NIST SP800-53 R3 AC-19
NIST SP800-53 R3 MP-2
NIST SP800-53 R3 MP-4
NIST SP800-53 R3 MP-6</t>
  </si>
  <si>
    <t>PCI DSS v2.0 9.7
PCI DSS v2.0 9.7.2
PCI DSS v2.0 9.8
PCI DSS v2.0 9.9 
PCI DSS v2.0 11.1
PCI DSS v2.0 12.3</t>
  </si>
  <si>
    <t>SIG v6.0:G.11, G12, G.20.13, G.20.14</t>
  </si>
  <si>
    <t>GAPP Ref 1.2.6
GAPP Ref 3.2.4
GAPP Ref 8.2.6</t>
  </si>
  <si>
    <t>Source Code Access Restriction</t>
  </si>
  <si>
    <t>IS-33</t>
  </si>
  <si>
    <t>IS-33.1</t>
  </si>
  <si>
    <t>Clause 4.3.3
A.12.4.3
A.15.1.3</t>
  </si>
  <si>
    <t>NIST SP800-53 R3 CM-5
NIST SP800-53 R3 CM-6</t>
  </si>
  <si>
    <t xml:space="preserve">NIST SP800-53 R3 CM-5_x000D_
NIST SP800-53 R3 CM-5 (1)_x000D_
NIST SP800-53 R3 CM-5 (5)_x000D_
NIST SP800-53 R3 CM-6_x000D_
NIST SP800-53 R3 CM-6 (1)_x000D_
NIST SP800-53 R3 CM-6 (3)_x000D_
</t>
  </si>
  <si>
    <t>PCI-DSS v2.0 6.4.1
PCI-DSS v2.0 6.4.2</t>
  </si>
  <si>
    <t>SIG v6.0: I.2.7.2, I.2.9, I.2.10, I.2.15,</t>
  </si>
  <si>
    <t>GAPP Ref 1.2.6
GAPP Ref 6.2.1</t>
  </si>
  <si>
    <t>LG</t>
  </si>
  <si>
    <t>Legal</t>
  </si>
  <si>
    <t>Third Party Agreements</t>
  </si>
  <si>
    <t>LG-02</t>
  </si>
  <si>
    <t>LG-02.1</t>
  </si>
  <si>
    <t>COBIT 4.1 DS5.11</t>
  </si>
  <si>
    <t>A.6.2.3
A10.2.1
A.10.8.2
A.11.4.6
A.11.6.1
A.12.3.1
A.12.5.4</t>
  </si>
  <si>
    <t>NIST SP800-53 R3 CA-3
NIST SP800-53 R3 MP-5
NIST SP800-53 R3 PS-7
NIST SP800-53 R3 SA-6
NIST SP800-53 R3 SA-7
NIST SP800-53 R3 SA-9</t>
  </si>
  <si>
    <t xml:space="preserve">NIST SP800-53 R3 CA-3_x000D_
NIST SP800-53 R3 MP-5_x000D_
NIST SP800-53 R3 MP-5 (2)_x000D_
NIST SP800-53 R3 MP-5 (4)_x000D_
NIST SP800-53 R3 PS-7_x000D_
NIST SP800-53 R3 SA-6_x000D_
NIST SP800-53 R3 SA-7_x000D_
NIST SP800-53 R3 SA-9_x000D_
NIST SP800-53 R3 SA-9 (1)_x000D_
</t>
  </si>
  <si>
    <t xml:space="preserve">PCI DSS v2.0 2.4
PCI DSS v2.0 12.8.2
</t>
  </si>
  <si>
    <t xml:space="preserve">AUP v5.0 C.2                      SIG v6.0: C.2.4, C.2.6, G.4.1, G.16.3, </t>
  </si>
  <si>
    <t>GAPP Ref 1.2.5</t>
  </si>
  <si>
    <t>LG-02.3</t>
  </si>
  <si>
    <t>OP</t>
  </si>
  <si>
    <t>Operations Management</t>
  </si>
  <si>
    <t>Equipment Maintenance</t>
  </si>
  <si>
    <t>OP-04</t>
  </si>
  <si>
    <t>OP-04.1</t>
  </si>
  <si>
    <t>C</t>
  </si>
  <si>
    <t>COBIT 4.1 A13.3</t>
  </si>
  <si>
    <t>45 CFR 164.310 (a)(2)(iv)</t>
  </si>
  <si>
    <t>A.9.2.4</t>
  </si>
  <si>
    <t>NIST SP800-53 R3 MA-2
NIST SP800-53 R3 MA-3
NIST SP800-53 R3 MA-4
NIST SP800-53 R3 MA-5
NIST SP800-53 R3 MA-6</t>
  </si>
  <si>
    <t>SIG v6.0:F.2.19</t>
  </si>
  <si>
    <t>GAPP Ref 5.2.3 
GAPP Ref 8.2.2 
GAPP Ref 8.2.3 
GAPP Ref 8.2.4 
GAPP Ref 8.2.5 
GAPP Ref 8.2.6 
GAPP Ref 8.2.7</t>
  </si>
  <si>
    <t>OP-04.2</t>
  </si>
  <si>
    <t>RI</t>
  </si>
  <si>
    <t>Risk Management</t>
  </si>
  <si>
    <t>Program</t>
  </si>
  <si>
    <t>RI-01</t>
  </si>
  <si>
    <t>RI-01.1</t>
  </si>
  <si>
    <t>COBIT 4.1 PO 9.1</t>
  </si>
  <si>
    <t>45 CFR 164.308 (a)(8)
45 CFR 164.308(a)(1)(ii)(B)  (New)</t>
  </si>
  <si>
    <t>Clause 4.2.1 c) through g)
Clause 4.2.2 b)
Clause 5.1 f)
Clause 7.2 &amp; 7.3
A.6.2.1
A.12.6.1
A.14.1.2
A.15.2.1
A.15.2.2</t>
  </si>
  <si>
    <t>NIST SP800-53 R3 AC-4
NIST SP800-53 R3 CA-2
NIST SP800-53 R3 CA-6
NIST SP800-53 R3 PM-9
NIST SP800-53 R3 RA-1</t>
  </si>
  <si>
    <t xml:space="preserve">NIST SP800-53 R3 AC-4_x000D_
NIST SP800-53 R3 CA-2_x000D_
NIST SP800-53 R3 CA-2 (1)_x000D_
NIST SP800-53 R3 CA-6_x000D_
NIST SP800-53 R3 PM-9_x000D_
NIST SP800-53 R3 RA-1_x000D_
</t>
  </si>
  <si>
    <t>PCI DSS v2.0 12.1.2</t>
  </si>
  <si>
    <t>AUP v5.0 L.2          SIG v6.0: A.1, L.1</t>
  </si>
  <si>
    <t>GAPP Ref 1.2.4</t>
  </si>
  <si>
    <t>RI-01.2</t>
  </si>
  <si>
    <t>RI-02</t>
  </si>
  <si>
    <t>RI-02.1</t>
  </si>
  <si>
    <t>COBIT 4.1 PO 9.4</t>
  </si>
  <si>
    <t>45 CFR 164.308 (a)(1)(ii)(A)</t>
  </si>
  <si>
    <t>Clause 4.2.1 c) through g)
Clause 4.2.3 d)
Clause 5.1 f)
Clause 7.2 &amp; 7.3
A.6.2.1
A.12.5.2
A.12.6.1
A.14.1.2
A.15.1.1
A.15.2.1
A.15.2.2</t>
  </si>
  <si>
    <t>NIST SP800-53 R3 PL-5
NIST SP800-53 R3 RA-2
NIST SP800-53 R3 RA-3</t>
  </si>
  <si>
    <t xml:space="preserve">NIST SP800-53 R3 PL-5_x000D_
NIST SP800-53 R3 RA-2_x000D_
NIST SP800-53 R3 RA-3_x000D_
</t>
  </si>
  <si>
    <t>AUP v5.0 I.1                 AUP v5.0 I.4            SIG v6.0: C.2.1, I.4.1, I.5, G.15.1.3, I.3</t>
  </si>
  <si>
    <t>GAPP Ref 1.2.4
GAPP Ref 1.2.5</t>
  </si>
  <si>
    <t>RI-03</t>
  </si>
  <si>
    <t>RI-03.1</t>
  </si>
  <si>
    <t xml:space="preserve">Are risks mitigated to acceptable levels based on company-established criteria in accordance with reasonable resolution time frames? </t>
  </si>
  <si>
    <t>COBIT 4.1 PO 9.5</t>
  </si>
  <si>
    <t>45 CFR 164.308 (a)(1)(ii)(B)</t>
  </si>
  <si>
    <t>Clause 4.2.1 c) through g)
Clause 4.2.2 b)
Clause 4.3.1
Clause 5.1 f)
Clause 7.3
A.6.2.1
A.12.5.2
A.12.6.1
A.15.1.1
A.15.2.1
A.15.2.2</t>
  </si>
  <si>
    <t>NIST SP800-53 R3 CA-5
NIST SP800-53 R3 CM-4</t>
  </si>
  <si>
    <t xml:space="preserve">NIST SP800-53 R3 CA-5_x000D_
NIST SP800-53 R3 CM-4_x000D_
</t>
  </si>
  <si>
    <t>AUP v5.0I.4                    AUP v5.0 L.2          SIG v6.0: I.3, L.9, L.10</t>
  </si>
  <si>
    <t>RM</t>
  </si>
  <si>
    <t>Release Management</t>
  </si>
  <si>
    <t>RM-02</t>
  </si>
  <si>
    <t>RM-02.1</t>
  </si>
  <si>
    <t>COBIT 4.1 A16.1, A17.6</t>
  </si>
  <si>
    <t>45 CFR 164.308 (a)(5)(ii)(C)
45 CFR 164.312 (b)</t>
  </si>
  <si>
    <t>A.10.1.4
A.12.5.1
A.12.5.2</t>
  </si>
  <si>
    <t xml:space="preserve">PCI DSS v2.0 1.1.1
PCI DSS v2.0 6.3.2
PCI DSS v2.0 6.4
PCI DSS v2.0 6.1
</t>
  </si>
  <si>
    <t>SIG v6.0: I.2.17, I.2.20, I.2.22</t>
  </si>
  <si>
    <t>Software Development</t>
  </si>
  <si>
    <t>RM-04</t>
  </si>
  <si>
    <t>RM-04.1</t>
  </si>
  <si>
    <t>A.6.1.8
A.6.2.1
A.6.2.3
A.10.1.4
A.10.2.1
A.10.2.2
A.10.2.3
A.10.3.2
A.12.1.1
A.12.2.1
A.12.2.2
A.12.2.3
A.12.2.4
A.12.4.1
A.12.4.2
A.12.4.3
A.12.5.1
A.12.5.2
A.12.5.3
A.12.5.5
A.12.6.1
A.13.1.2
A.15.2.1
A.15.2.2</t>
  </si>
  <si>
    <t>NIST SP800-53 R3 SA-4
NIST SP800-53 R3 SA-5
NIST SP800-53 R3 SA-8
NIST SP800-53 R3 SA-9
NIST SP800-53 R3 SA-10
NIST SP800-53 R3 SA-11 NIST SP800-53 R3 SA-12 NIST SP800-53 R3 SA-13</t>
  </si>
  <si>
    <t>PCI DSS v2.0 3.6.7
PCI DSS v2.0 6.4.5.2
PCI DSS v2.0 7.1.3
PCI DSS v2.0 8.5.1
PCI DSS v2.0 9.1
PCI DSS v2.0 9.1.2
PCI DSS v2.0 9.2b
PCI DSS v2.0 9.3.1
PCI DSS v2.0 10.5.2
PCI DSS v2.0 11.5
PCI DSS v2.0 12.3.1
PCI DSS v2.0 12.3.3</t>
  </si>
  <si>
    <t>Unauthorized Software Installations</t>
  </si>
  <si>
    <t>RM-05</t>
  </si>
  <si>
    <t>RM-05.1</t>
  </si>
  <si>
    <t>A.10.1.3
A.10.4.1
A.11.5.4
A.11.6.1
A.12.4.1
A.12.5.3</t>
  </si>
  <si>
    <t xml:space="preserve">AUP v5.0 G.1              AUP v5.0 I.2           SIG v6.0: G.2.13, G.20.2,G.20.4, G.20.5, G.7, G.7.1, G.12.11, H.2.16, I.2.22.1, I.2.22.3,  I.2.22.6, I.2.23, </t>
  </si>
  <si>
    <t xml:space="preserve">GAPP Ref 3.2.4
GAPP Ref 8.2.2  </t>
  </si>
  <si>
    <t>RS</t>
  </si>
  <si>
    <t>Resiliency</t>
  </si>
  <si>
    <t xml:space="preserve">Resiliency </t>
  </si>
  <si>
    <t>RS-01</t>
  </si>
  <si>
    <t>RS-01.1</t>
  </si>
  <si>
    <t>COBIT 4.1 PO 9.1 PO 9.2 DS 4.2</t>
  </si>
  <si>
    <t>45 CFR 164.308 (a)(7)(i) (New)
45 CFR 164.308 (a)(7)(ii)(C)</t>
  </si>
  <si>
    <t>Clause 4.3.2
A.14.1.1
A 14.1.4</t>
  </si>
  <si>
    <t>NIST SP800-53 R3 CP-1 NIST SP800-53 R3 CP-2</t>
  </si>
  <si>
    <t xml:space="preserve">NIST SP800-53 R3 CP-1_x000D_
NIST SP800-53 R3 CP-2_x000D_
NIST SP800-53 R3 CP-2 (1)_x000D_
NIST SP800-53 R3 CP-2 (2)_x000D_
</t>
  </si>
  <si>
    <t>PCI DSS v2.0 12.9.1</t>
  </si>
  <si>
    <t>SIG v6.0: K.1.2.9, K.1.2.10, K.3.1</t>
  </si>
  <si>
    <t>Impact Analysis</t>
  </si>
  <si>
    <t>RS-02</t>
  </si>
  <si>
    <t>RS-02.1</t>
  </si>
  <si>
    <t>45 CFR 164.308 (a)(7)(ii)(E)</t>
  </si>
  <si>
    <t>ISO/IEC 27001:2005
A.14.1.2
A 14.1.4</t>
  </si>
  <si>
    <t>NIST SP800-53 R3 RA-3</t>
  </si>
  <si>
    <t xml:space="preserve">NIST SP800-53 R3 RA-3_x000D_
</t>
  </si>
  <si>
    <t>SIG v6.0:K.2</t>
  </si>
  <si>
    <t>Business Continuity Testing</t>
  </si>
  <si>
    <t>RS-04</t>
  </si>
  <si>
    <t>RS-04.1</t>
  </si>
  <si>
    <t>45 CFR 164.308 (a)(7)(ii)(D)</t>
  </si>
  <si>
    <t>A.14.1.5</t>
  </si>
  <si>
    <t xml:space="preserve">NIST SP800-53 R3 CP-2
NIST SP800-53 R3 CP-3
NIST SP800-53 R3 CP-4
</t>
  </si>
  <si>
    <t xml:space="preserve">NIST SP800-53 R3 CP-2_x000D_
NIST SP800-53 R3 CP-2 (1)_x000D_
NIST SP800-53 R3 CP-2 (2)_x000D_
NIST SP800-53 R3 CP-3_x000D_
NIST SP800-53 R3 CP-4_x000D_
NIST SP800-53 R3 CP-4 (1)_x000D_
</t>
  </si>
  <si>
    <t>PCI DSS v2.0 12.9.2</t>
  </si>
  <si>
    <t xml:space="preserve">SIG v6.0: K.1.3, K.1.4.3, K.1.4.6, K.1.4.7, K.1.4.8, K.1.4.9, K.1.4.10, K.1.4.11, K.1.4.12 </t>
  </si>
  <si>
    <t>Environmental Risks</t>
  </si>
  <si>
    <t>RS-05</t>
  </si>
  <si>
    <t>RS-05.1</t>
  </si>
  <si>
    <t>45 CFR 164.308 (a)(7)(i)
45 CFR 164.310(a)(2)(ii)  (New)</t>
  </si>
  <si>
    <t>A.9.1.4
A.9.2.1</t>
  </si>
  <si>
    <t>NIST SP800-53 R3 PE-1
NIST SP800-53 R3 PE-13
NIST SP800-53 R3 PE-14
NIST SP800-53 R3 PE-15
NIST SP800-53 R3 PE-18</t>
  </si>
  <si>
    <t xml:space="preserve">NIST SP800-53 R3 PE-1_x000D_
NIST SP800-53 R3 PE-13_x000D_
NIST SP800-53 R3 PE-13 (1)_x000D_
NIST SP800-53 R3 PE-13 (2)_x000D_
NIST SP800-53 R3 PE-13 (3)_x000D_
NIST SP800-53 R3 PE-14_x000D_
NIST SP800-53 R3 PE-14 (1)_x000D_
NIST SP800-53 R3 PE-15_x000D_
NIST SP800-53 R3 PE-18_x000D_
</t>
  </si>
  <si>
    <t xml:space="preserve">AUP v5.0 F.1                            SIG v6.0: F.2.9, F.1.2.21, F.5.1, F.1.5.2, F.2.1, F.2.7, F.2.8,  </t>
  </si>
  <si>
    <t>GAPP Ref 8.2.4</t>
  </si>
  <si>
    <t>SA</t>
  </si>
  <si>
    <t>Security Architecture</t>
  </si>
  <si>
    <t>User ID Credentials</t>
  </si>
  <si>
    <t>SA-02</t>
  </si>
  <si>
    <t>SA-02.1</t>
  </si>
  <si>
    <t>45 CFR 164.308(a)(5)(ii)(c) (New)
45 CFR 164.308 (a)(5)(ii)(D)
45 CFR 164.312 (a)(2)(i)
45 CFR 164.312 (a)(2)(iii)
45 CFR 164.312 (d)</t>
  </si>
  <si>
    <t>A.8.3.3
A.11.1.1
A.11.2.1
A.11.2.3
A.11.2.4
A.11.5.5</t>
  </si>
  <si>
    <t>PCI DSS v2.0 8.1
PCI DSS v2.0 8.2,
PCI DSS v2.0 8.3
PCI DSS v2.0 8.4
PCI DSS v2.0 8.5 
PCI DSS v2.0 10.1,
PCI DSS v2.0 12.2,
PCI DSS v2.0 12.3.8</t>
  </si>
  <si>
    <t xml:space="preserve">AUP v5.0 B.1                  AUP v5.0 H.5                    SIG v6.0: E.6.2, E.6.3, H.1.1, H.1.2, H.2, H.3.2, H.4, H.4.1, H.4.5, H.4.8,  </t>
  </si>
  <si>
    <t>SA-02.2</t>
  </si>
  <si>
    <t>SA-02.5</t>
  </si>
  <si>
    <t>SA-02.6</t>
  </si>
  <si>
    <t>Application Security</t>
  </si>
  <si>
    <t>SA-04</t>
  </si>
  <si>
    <t>SA-04.1</t>
  </si>
  <si>
    <t>COBIT 4.1 AI2.4</t>
  </si>
  <si>
    <t xml:space="preserve">45 CFR 164.312(e)(2)(i) </t>
  </si>
  <si>
    <t>A.11.5.6
A.11.6.1
A.12.2.1
A.12.2.2
A.12.2.3
A.12.2.4
A.12.5.2
A.12.5.4
A.12.5.5
A.12.6.1
A.15.2.1</t>
  </si>
  <si>
    <t>PCI DSS v2.0 6.5</t>
  </si>
  <si>
    <t>AUP v5.0 I.4                SIG v6.0: G.16.3, I.3</t>
  </si>
  <si>
    <t>SA-04.3</t>
  </si>
  <si>
    <t>Data Integrity</t>
  </si>
  <si>
    <t>SA-05</t>
  </si>
  <si>
    <t>SA-05.1</t>
  </si>
  <si>
    <t>45 CFR 164.312 (c)(1) (New)
45 CFR 164.312 (c)(2)(New)
45 CFR 164.312(e)(2)(i)(New)</t>
  </si>
  <si>
    <t>A.10.9.2
A.10.9.3
A.12.2.1
A.12.2.2
A.12.2.3
A.12.2.4
A.12.6.1
A.15.2.1</t>
  </si>
  <si>
    <t>NIST SP800-53 R3 SI-10
NIST SP800-53 R3 SI-11
NIST SP800-53 R3 SI-2
NIST SP800-53 R3 SI-3
NIST SP800-53 R3 SI-4
NIST SP800-53 R3 SI-6
NIST SP800-53 R3 SI-7
NIST SP800-53 R3 SI-9</t>
  </si>
  <si>
    <t>PCI DSS v2.0 6.3.1
PCI DSS v2.0 6.3.2</t>
  </si>
  <si>
    <t>AUP v5.0 I.4             SIG v6.0: G.16.3, I.3</t>
  </si>
  <si>
    <t>Remote User Multifactor Authentication</t>
  </si>
  <si>
    <t>SA-07</t>
  </si>
  <si>
    <t>SA-07.1</t>
  </si>
  <si>
    <t>A.11.1.1
A.11.4.1
A.11.4.2
A.11.4.6
A.11.7.1</t>
  </si>
  <si>
    <t>NIST SP800-53 R3 AC-17
NIST SP800-53 R3 AC-20
NIST SP800-53 R3 IA-1
NIST SP800-53 R3 IA-2
NIST SP800-53 R3 MA-4</t>
  </si>
  <si>
    <t>PCI DSS v2.0 8.3</t>
  </si>
  <si>
    <t xml:space="preserve">AUP v5.0 B.1               SIG v6.0: H.1.1, G.9.13, G.9.20, G.9.21, </t>
  </si>
  <si>
    <t>Segmentation</t>
  </si>
  <si>
    <t>SA-09</t>
  </si>
  <si>
    <t>SA-09.2</t>
  </si>
  <si>
    <t>COBIT 4.1 DS5.10</t>
  </si>
  <si>
    <t>45 CFR 164.308 (a)(4)(ii)(A)</t>
  </si>
  <si>
    <t xml:space="preserve">A.11.4.5
A.11.6.1
A.11.6.2
A.15.1.4
</t>
  </si>
  <si>
    <t xml:space="preserve">NIST SP800-53 R3 AC-4
NIST SP800-53 R3 SC-2
NIST SP800-53 R3 SC-3
NIST SP800-53 R3 SC-7
</t>
  </si>
  <si>
    <t>PCI DSS v2.0 1.1
PCI DSS v2.0 1.2
PCI DSS v2.0 1.2.1
PCI DSS v2.0 1.3
PCI DSS v2.0 1.4</t>
  </si>
  <si>
    <t>AUP v5.0 G.17                    SIG v6.0: G.9.2, G.9.3, G.9.13</t>
  </si>
  <si>
    <t>SA-09.3</t>
  </si>
  <si>
    <t>SA-09.4</t>
  </si>
  <si>
    <t>Wireless and Perimeter Security</t>
  </si>
  <si>
    <t>SA-10</t>
  </si>
  <si>
    <t>SA-10.1</t>
  </si>
  <si>
    <t>COBIT 4.1 DS5.5
COBIT 4.1 DS5.7
COBIT 4.1 DS5.8
COBIT 4.1 DS5.10</t>
  </si>
  <si>
    <t>45 CFR 164.312 (e)(1)(2)(ii)
45 CFR 164.308(a)(5)(ii)(D) (New)
45 CFR  164.312(e)(1)  (New)
45 CFR 164.312(e)(2)(ii) (New)</t>
  </si>
  <si>
    <t>A.7.1.1
A.7.1.2
A.7.1.3
A.9.2.1
A.9.2.4
A.10.6.1
A.10.6.2
A.10.8.1
A.10.8.3
A.10.8.5
A.10.10.2
A.11.2.1
A.11.4.3
A.11.4.5
A.11.4.6
A.11.4.7
A.12.3.1
A.12.3.2</t>
  </si>
  <si>
    <t xml:space="preserve">NIST SP800-53 R3 AC-1
NIST SP800-53 R3 AC-18
NIST SP800-53 R3 CM-6
NIST SP800-53 R3 PE-4
NIST SP800-53 R3 SC-3
NIST SP800-53 R3 SC-7
</t>
  </si>
  <si>
    <t>PCI DSS v2.0 1.2.3
PCI DSS v2.0 2.1.1
PCI DSS v2.0 4.1
PCI DSS v2.0 4.1.1
PCI DSS v2.011.1
PCI DSS v2.0 9.1.3</t>
  </si>
  <si>
    <t>GAPP Ref 8.2.5</t>
  </si>
  <si>
    <t>SA-10.2</t>
  </si>
  <si>
    <t>Are policies and procedures established and mechanisms implemented to ensure proper security settings enabled with strong encryption for authentication and transmission, replacing vendor default settings? (e.g., encryption keys, passwords, SNMP community strings, etc.)</t>
  </si>
  <si>
    <t>SA-10.3</t>
  </si>
  <si>
    <t>SA-11</t>
  </si>
  <si>
    <t>SA-11.1</t>
  </si>
  <si>
    <t>45 CFR 164.312 (a)(1)  (New)</t>
  </si>
  <si>
    <t>A.10.8.1
A.11.1.1
A.11.6.2
A.11.4.6</t>
  </si>
  <si>
    <t>NIST SP800-53 R3 PE-4
NIST SP800-53 R3 SC-4
NIST SP800-53 R3 SC-7</t>
  </si>
  <si>
    <t xml:space="preserve">PCI DSS v2.0 1.3.5 PCI DSS v2.0 2.4
</t>
  </si>
  <si>
    <t>AUP v5.0 B.1         SIG v6.0: D.1.1, E.1, F.1.1, H.1.1,</t>
  </si>
  <si>
    <t>Audit Logging / Intrusion Detection</t>
  </si>
  <si>
    <t>SA-14</t>
  </si>
  <si>
    <t>SA-14.1</t>
  </si>
  <si>
    <t>COBIT 4.1 DS5.5
COBIT 4.1 DS5.6
COBIT 4.1 DS9.2</t>
  </si>
  <si>
    <t>45 CFR 164.308 (a)(1)(ii)(D)
45 CFR 164.312 (b)
45 CFR 164.308(a)(5)(ii)(c)  (New)</t>
  </si>
  <si>
    <t>A.10.10.1
A.10.10.2
A.10.10.3
A.10.10.4
A.10.10.5
A.11.2.2
A.11.5.4
A.11.6.1
A.13.1.1
A.13.2.3
A.15.2.2
A.15.1.3</t>
  </si>
  <si>
    <t xml:space="preserve">PCI DSS v2.0 10.1  PCI DSS v2.0 10.2 
PCI DSS v2.010.3
PCI DSS v2.0 10.5
PCI DSS v2.010.6
PCI DSS v2.0 10.7
PCI DSS v2.0 11.4
PCI DSS v2.0 12.5.2 PCI DSS v2.0 12.9.5 </t>
  </si>
  <si>
    <t>GAPP Ref 8.2.1
GAPP Ref 8.2.2</t>
  </si>
  <si>
    <t>SA-14.2</t>
  </si>
  <si>
    <t>Comments &amp; Concerns</t>
  </si>
  <si>
    <t>Cloud Architecture</t>
  </si>
  <si>
    <t>General Information</t>
  </si>
  <si>
    <t xml:space="preserve"> </t>
  </si>
  <si>
    <t xml:space="preserve">  </t>
  </si>
  <si>
    <t>Cloud Networking</t>
  </si>
  <si>
    <t>Do each of your customers have their own virtual network?</t>
  </si>
  <si>
    <t>Is there tier segmentation within Virtual Networks?</t>
  </si>
  <si>
    <t>Does the application make use of multiple Azs?</t>
  </si>
  <si>
    <t>Do you employ a scaling strategy?</t>
  </si>
  <si>
    <t>Cloud Security</t>
  </si>
  <si>
    <t>How do you maintain system log files? Please explain</t>
  </si>
  <si>
    <t>What encryption do you use for data in flight? Please explain</t>
  </si>
  <si>
    <t>What encryption do use for data at rest? Please explain</t>
  </si>
  <si>
    <t>DataBase</t>
  </si>
  <si>
    <t>How do you backup the database? Please elaborate</t>
  </si>
  <si>
    <t>Servers</t>
  </si>
  <si>
    <t>What OS are your servers running? Please elaborate and list versions</t>
  </si>
  <si>
    <t>What is your server backup policies? Please Elaborate</t>
  </si>
  <si>
    <t>Storage 
Accounts</t>
  </si>
  <si>
    <t>How do you secure your cloud storage? Please elaborate</t>
  </si>
  <si>
    <t>Cloud/Diagram</t>
  </si>
  <si>
    <t>Please include underneath the line below, an architectural diagram of your cloud environment which will show virtual networks, subnets, AZs,  NSGs, NACLS, LBs, VMs, DBs, and any other native cloud services that is in use. Please provide attachment</t>
  </si>
  <si>
    <t>NYP Legend</t>
  </si>
  <si>
    <t>IT Infrastructure Solution Design</t>
  </si>
  <si>
    <t>Description</t>
  </si>
  <si>
    <t xml:space="preserve">Should technical resources be required from NYP for the project, the vendor and NYP BRM representative will attend a Solution Design session alongside technical leads from the infrastructure team to discuss requirements and architect the solution according to NYP technical standards. 
The output of this session will include artifacts needed for both the implementation of the project and ongoing (day 2) support of the solution/service.  The following artifacts will be created for net new systems, or if this is a modification to an existing system, these artifacts will be updated:
• Bill of Materials required to build, test, and go live with the solution (BOM)
• High Level Architecture Diagram (HLD)
• Low Level technical blueprint of the solution (LLD)
In addition to any technical documentation and vendor provided reference architectures, please come to Solution Design prepared to discuss the in-depth technical details and infrastructure requirements including, but not limited to the following topics:
</t>
  </si>
  <si>
    <t>Application</t>
  </si>
  <si>
    <t>Topic</t>
  </si>
  <si>
    <t>NYP Standards</t>
  </si>
  <si>
    <t>Data Flows</t>
  </si>
  <si>
    <t>All data flows associated with the application must be documented in the LLD.</t>
  </si>
  <si>
    <t xml:space="preserve">Ports &amp; Protocols
</t>
  </si>
  <si>
    <t>All TCP and UDP ports in use must be documented and known for firewall traversal.</t>
  </si>
  <si>
    <t>Data Center Resiliency</t>
  </si>
  <si>
    <t xml:space="preserve">Built-in application;
VMWare Site Recovery Manager;
F5 GTM and LTM;
</t>
  </si>
  <si>
    <t>Server</t>
  </si>
  <si>
    <t>Vendor supplied images i.e. OVA, OVF</t>
  </si>
  <si>
    <t>Supported</t>
  </si>
  <si>
    <t xml:space="preserve">Resource requirements i.e. vCPUs, memory, storage.
</t>
  </si>
  <si>
    <t>Customizable, but no resource reservations permitted</t>
  </si>
  <si>
    <t>Operating Systems supported</t>
  </si>
  <si>
    <t xml:space="preserve">RHEL 7.2, Windows Server 2016
</t>
  </si>
  <si>
    <t>Remote Access</t>
  </si>
  <si>
    <t>NYP PRA Portal, NYP Client VPN, NYP VPN Tunnel</t>
  </si>
  <si>
    <t>Antivirus</t>
  </si>
  <si>
    <t>Cylance</t>
  </si>
  <si>
    <t>Approved Software</t>
  </si>
  <si>
    <t>BigFix, Splunk, Snow, VMWare Tools, SCCM, IE, .NET, Silverlight</t>
  </si>
  <si>
    <t>OS Firewall</t>
  </si>
  <si>
    <t>Deny all inbound ports by default</t>
  </si>
  <si>
    <t>Storage</t>
  </si>
  <si>
    <t xml:space="preserve">NAS/SAN Requirements
</t>
  </si>
  <si>
    <t>DellEMC Isilon, Pure FlashArray</t>
  </si>
  <si>
    <t>Initial capacity requirements and growth projections</t>
  </si>
  <si>
    <t>Customizable</t>
  </si>
  <si>
    <t>Data Lifecycle Policies – Retention, Archival, Attrition</t>
  </si>
  <si>
    <t xml:space="preserve">NAS authentication </t>
  </si>
  <si>
    <t>Mandatory Active Directory integration</t>
  </si>
  <si>
    <t xml:space="preserve">Bandwidth &amp; Latency </t>
  </si>
  <si>
    <t>Bandwidth requirements and latency thresholds must be specified and documented</t>
  </si>
  <si>
    <t>Internet connectivity</t>
  </si>
  <si>
    <t>NYP Web Proxy must be utilized</t>
  </si>
  <si>
    <t>Site-to-Site VPN</t>
  </si>
  <si>
    <t>Supported via enterprise VPN infrastructure</t>
  </si>
  <si>
    <t>Client VPN</t>
  </si>
  <si>
    <t>NYP utilizes Cisco Anyconnect</t>
  </si>
  <si>
    <t>Load Balancing</t>
  </si>
  <si>
    <t>NYP provides global (GTM) and local (LTM) traffic management utilizing F5 technology</t>
  </si>
  <si>
    <t>Network - WAN/Data Center</t>
  </si>
  <si>
    <t>Network - LAN</t>
  </si>
  <si>
    <t>Power-over-Ethernet</t>
  </si>
  <si>
    <t xml:space="preserve">802.3af and 802.3at supported </t>
  </si>
  <si>
    <t>Multicast</t>
  </si>
  <si>
    <t>Supported – PIM sparse-mode</t>
  </si>
  <si>
    <t>Bandwidth</t>
  </si>
  <si>
    <t>Bandwidth requirements must be specified and documented</t>
  </si>
  <si>
    <t>Network - WiFi</t>
  </si>
  <si>
    <t>Frequency</t>
  </si>
  <si>
    <t>5-Ghz support required for clinical, voice, and video use cases</t>
  </si>
  <si>
    <t>Security</t>
  </si>
  <si>
    <t>WPA2 Enterprise</t>
  </si>
  <si>
    <t>802.1x EAP-TLS, EAP-PEAP</t>
  </si>
  <si>
    <t>SSID</t>
  </si>
  <si>
    <t>All devices must use a standard NYP SSID;  
Rogue and ad-hoc wireless networks are not permitted</t>
  </si>
  <si>
    <t>Database</t>
  </si>
  <si>
    <t>Platforms</t>
  </si>
  <si>
    <t>SQL Server 2016, Oracle</t>
  </si>
  <si>
    <t>Management</t>
  </si>
  <si>
    <t>Backup policy must be specified and documented;
Re-certification requirements must be known</t>
  </si>
  <si>
    <t>Support</t>
  </si>
  <si>
    <t xml:space="preserve">Support model must be documented </t>
  </si>
  <si>
    <t>Desktop and Citrix</t>
  </si>
  <si>
    <t>Physical Endpoint Requirements</t>
  </si>
  <si>
    <t>Initial user volume and anticipated growth</t>
  </si>
  <si>
    <t>Browser and plug-in requirements</t>
  </si>
  <si>
    <t>Citrix XenApp</t>
  </si>
  <si>
    <t>Version 7.15</t>
  </si>
  <si>
    <t>Application Authentication</t>
  </si>
  <si>
    <t>Ping and Active Directory</t>
  </si>
  <si>
    <t>External user requirements</t>
  </si>
  <si>
    <t>Storefront and Anyconnect VPN</t>
  </si>
  <si>
    <t>Licensing</t>
  </si>
  <si>
    <t>Operational Support</t>
  </si>
  <si>
    <t>Disaster Recovery</t>
  </si>
  <si>
    <t>Documented DR Plan</t>
  </si>
  <si>
    <t xml:space="preserve">Monitoring </t>
  </si>
  <si>
    <t>SNMP (NMS), Splunk, Extrahop</t>
  </si>
  <si>
    <t>Key Performance Metrics</t>
  </si>
  <si>
    <t>Identify during Solution Design and Document</t>
  </si>
  <si>
    <t>Security Patching Runbook</t>
  </si>
  <si>
    <t>Documented procedures;</t>
  </si>
  <si>
    <t>BigFix Automation Plan</t>
  </si>
  <si>
    <t>Support Runbook</t>
  </si>
  <si>
    <t>Troubleshooting procedures, Escalation procedures, Support groups, HLD, LLD, and assets (CI’s) documented for production support.</t>
  </si>
  <si>
    <t>General-C26</t>
  </si>
  <si>
    <t>Yes/No</t>
  </si>
  <si>
    <t>Attachments</t>
  </si>
  <si>
    <t>DestructionOfData</t>
  </si>
  <si>
    <t>CloudProvider</t>
  </si>
  <si>
    <t>Virtual Networking</t>
  </si>
  <si>
    <t>VendorServerAuth</t>
  </si>
  <si>
    <t>NoOfRecords</t>
  </si>
  <si>
    <t>DR Environment</t>
  </si>
  <si>
    <t>Security Groups+NACLs</t>
  </si>
  <si>
    <t>Regions</t>
  </si>
  <si>
    <t>AV</t>
  </si>
  <si>
    <t>Express Route</t>
  </si>
  <si>
    <t>Direct Connect</t>
  </si>
  <si>
    <t>PatchMgmt</t>
  </si>
  <si>
    <t>ScanningModes</t>
  </si>
  <si>
    <t>EncryptionAtRest</t>
  </si>
  <si>
    <t>3rdParty SW</t>
  </si>
  <si>
    <t>RemoteAccess</t>
  </si>
  <si>
    <t>Supports Multiple</t>
  </si>
  <si>
    <t>OB Fetal Surveillance, archiving, alerts and early warning functions</t>
  </si>
  <si>
    <t>www.perigen.com</t>
  </si>
  <si>
    <t>There are no native technologies. PeriWatch Vigilance relies on SQL clustering for DB HA and Vmware HA capabilities. Typically, PeriWatch Vigilance is not considered tier 1 application like fetal surveillance.</t>
  </si>
  <si>
    <t>Same as above.</t>
  </si>
  <si>
    <t>PeriGen Inc.</t>
  </si>
  <si>
    <t>PeriWatch Vigilance</t>
  </si>
  <si>
    <t>surveillance</t>
  </si>
  <si>
    <t>Obstetrical early warning</t>
  </si>
  <si>
    <t>Windows Server 2019</t>
  </si>
  <si>
    <t>NA</t>
  </si>
  <si>
    <t>Provided/configured by the customer</t>
  </si>
  <si>
    <t>PeriGen assumes the customer provides a pre-configured VM with all the above configured according to customer IT policies</t>
  </si>
  <si>
    <t>The device is software only and running on the customer provided VM which include local network connectivity.</t>
  </si>
  <si>
    <t>Not required</t>
  </si>
  <si>
    <t>Primarily used in real-time by clinicans in the OB unit.</t>
  </si>
  <si>
    <t>None other than the above.</t>
  </si>
  <si>
    <t>Other than standard ports (SQL, http/https) the following ports are used by the PeriWatch Vigilance system: 8000, 8002, 8014, 8081-8084</t>
  </si>
  <si>
    <t>critica</t>
  </si>
  <si>
    <t>Customer is in charge of OS patches. PeriGen provides critical patches when needed (rare), regular fixes and enhancements are packaged in maintenance releases once of twice a year.</t>
  </si>
  <si>
    <t>Obstetrical Early Warning system</t>
  </si>
  <si>
    <t>only if the customer is using mobile workstations or tablets,</t>
  </si>
  <si>
    <t>Not natively. Only if the customer provides secure remote access to mobile devices.</t>
  </si>
  <si>
    <t>Fetal tracings, vitals, cervical exams, GA/EDD etc. &lt;30 fields received via HL7 from the EMR.</t>
  </si>
  <si>
    <t>Windows 2016/2019 and Windows 10</t>
  </si>
  <si>
    <t>All managed by AD policies</t>
  </si>
  <si>
    <t>Passwords not stored.</t>
  </si>
  <si>
    <t>see above</t>
  </si>
  <si>
    <t>Configurable</t>
  </si>
  <si>
    <t>Direct AD authentication</t>
  </si>
  <si>
    <t>Customer assigns users to the defined groups. PeriGen/customer assign access to the app based on those groups</t>
  </si>
  <si>
    <t>By disableing the user in AD or removing them from the authorized AD group</t>
  </si>
  <si>
    <t>Server only for support purposes</t>
  </si>
  <si>
    <t>Except initially to upload the software</t>
  </si>
  <si>
    <t>PeriGen will only access the server for to provide support, maintenance, monitoring, installation and training activities.</t>
  </si>
  <si>
    <t>Customer responsibilty</t>
  </si>
  <si>
    <t>Logs are stored in a dedicated table in the DB and can be read directly by authorized customer IT</t>
  </si>
  <si>
    <t>Internal VisitID is used instead of Patient ID to avoid ePHI in logs</t>
  </si>
  <si>
    <t>IP address</t>
  </si>
  <si>
    <t>There are only 2 screen in the app</t>
  </si>
  <si>
    <t>Unless NYP allows access to the internal web application using NYP approved remote access</t>
  </si>
  <si>
    <t>NYP controlled</t>
  </si>
  <si>
    <t>PeriGen prefers SecureLink as it is the most widely accepted remote access technology. However, we can use the NYP standard.</t>
  </si>
  <si>
    <t>Only supported with MS SQL TDE (SQL Enterprise) which NYP needs to provide along with the applicable certificates</t>
  </si>
  <si>
    <t>NA. The system relies on SSL certificates managed by the OS and customer IT</t>
  </si>
  <si>
    <t>Backups of SQL DBs and VM are under customer responsibility</t>
  </si>
  <si>
    <t>Data is always and only hosted on NYP provided server which are always under NYP control during and after any event of termination.</t>
  </si>
  <si>
    <t>However it involves connecivity to existing fetal monitors. See above.</t>
  </si>
  <si>
    <t>All to be hosted by NYP</t>
  </si>
  <si>
    <t>This PMO requires IT involvement to create the required environmnets (servers, DBs) for PeriWatch Vigilance.</t>
  </si>
  <si>
    <t>See PowerPoint submitted with this document</t>
  </si>
  <si>
    <t>See MDS2 form submitted with this document</t>
  </si>
  <si>
    <t xml:space="preserve">PeriWatch Vigilance is an enterprise-wide system comprised of the following medical devices: 
PeriWatch Vigilance Surveillance 
PeriWatch Vigilance Cues 
PeriWatch Vigilance Curve 
PeriWatch Vigilance HUB </t>
  </si>
  <si>
    <t>Device supports NYP installed/maintained SCCM Agent for patch deployment
Manual updates by NYP
Manual updates of vendor software by Vendor (coordinated with NYP)</t>
  </si>
  <si>
    <t>Some exclusions are required on the server</t>
  </si>
  <si>
    <t>DICOM images are not used as part of this solution</t>
  </si>
  <si>
    <t>Joined to NYP domain</t>
  </si>
  <si>
    <t>on demand</t>
  </si>
  <si>
    <t>To avoid ePHI in the logs, we use the internal VisitID which can be separatly matched to a patientID</t>
  </si>
  <si>
    <t>Using Veracode platform</t>
  </si>
  <si>
    <t>The software is installed using standard Windows installer (MSI) packages.</t>
  </si>
  <si>
    <t>The only standalone 3rd party tool is Lyniate Rhapsody (HL7 integration engine). Tools embedded into the software solution are inventoried, reviewed and coverd by the application testing mentioned above</t>
  </si>
  <si>
    <t>and remote installation and monitoring</t>
  </si>
  <si>
    <t>PeriWatch Vigilance is a 100% browser-based solution that can be access from any device that is authrized to access the network. PeriGen has a mobile version of the site that is adapted to the mobile device screen format. This option is to be discussed as part of deployment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</si>
</sst>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4" x14ac:knownFonts="1">
    <font>
      <sz val="10"/>
      <name val="Arial"/>
    </font>
    <font>
      <b/>
      <sz val="10"/>
      <name val="Arial"/>
      <family val="2"/>
    </font>
    <font>
      <b/>
      <sz val="26"/>
      <name val="Arial"/>
      <family val="2"/>
    </font>
    <font>
      <b/>
      <sz val="10"/>
      <color indexed="49"/>
      <name val="Arial"/>
      <family val="2"/>
    </font>
    <font>
      <sz val="10"/>
      <color indexed="9"/>
      <name val="Arial"/>
      <family val="2"/>
    </font>
    <font>
      <sz val="10"/>
      <color indexed="44"/>
      <name val="Arial"/>
      <family val="2"/>
    </font>
    <font>
      <sz val="10"/>
      <name val="Arial"/>
      <family val="2"/>
    </font>
    <font>
      <sz val="12"/>
      <color theme="1"/>
      <name val="Segoe UI"/>
      <family val="2"/>
    </font>
    <font>
      <b/>
      <sz val="12"/>
      <color rgb="FFFFFFFF"/>
      <name val="Segoe UI"/>
      <family val="2"/>
    </font>
    <font>
      <sz val="11"/>
      <color theme="1"/>
      <name val="Segoe UI"/>
      <family val="2"/>
    </font>
    <font>
      <b/>
      <sz val="12"/>
      <color theme="1"/>
      <name val="Segoe UI"/>
      <family val="2"/>
    </font>
    <font>
      <b/>
      <sz val="12"/>
      <color theme="0"/>
      <name val="Segoe UI"/>
      <family val="2"/>
    </font>
    <font>
      <b/>
      <sz val="18"/>
      <color theme="0"/>
      <name val="Segoe UI"/>
      <family val="2"/>
    </font>
    <font>
      <sz val="10"/>
      <color theme="1"/>
      <name val="Segoe UI"/>
      <family val="2"/>
    </font>
    <font>
      <b/>
      <i/>
      <sz val="10"/>
      <color rgb="FFFF0000"/>
      <name val="Segoe UI"/>
      <family val="2"/>
    </font>
    <font>
      <sz val="10"/>
      <name val="Segoe UI"/>
      <family val="2"/>
    </font>
    <font>
      <b/>
      <i/>
      <sz val="10"/>
      <name val="Segoe UI"/>
      <family val="2"/>
    </font>
    <font>
      <i/>
      <sz val="10"/>
      <name val="Segoe UI"/>
      <family val="2"/>
    </font>
    <font>
      <b/>
      <sz val="10"/>
      <name val="Segoe UI"/>
      <family val="2"/>
    </font>
    <font>
      <sz val="10"/>
      <color theme="0"/>
      <name val="Arial"/>
      <family val="2"/>
    </font>
    <font>
      <sz val="10"/>
      <color theme="0"/>
      <name val="Segoe UI"/>
      <family val="2"/>
    </font>
    <font>
      <b/>
      <i/>
      <sz val="10"/>
      <color theme="0"/>
      <name val="Segoe UI"/>
      <family val="2"/>
    </font>
    <font>
      <i/>
      <sz val="10"/>
      <color theme="0"/>
      <name val="Segoe UI"/>
      <family val="2"/>
    </font>
    <font>
      <sz val="10"/>
      <color indexed="9"/>
      <name val="Segoe UI"/>
      <family val="2"/>
    </font>
    <font>
      <sz val="12"/>
      <name val="Segoe UI"/>
      <family val="2"/>
    </font>
    <font>
      <b/>
      <sz val="12"/>
      <color theme="1" tint="0.499984740745262"/>
      <name val="Segoe UI"/>
      <family val="2"/>
    </font>
    <font>
      <u/>
      <sz val="10"/>
      <color theme="10"/>
      <name val="Arial"/>
      <family val="2"/>
    </font>
    <font>
      <sz val="10"/>
      <color rgb="FF002060"/>
      <name val="Segoe UI"/>
      <family val="2"/>
    </font>
    <font>
      <sz val="11"/>
      <color theme="0"/>
      <name val="Calibri"/>
      <family val="2"/>
      <scheme val="minor"/>
    </font>
    <font>
      <sz val="10"/>
      <color theme="1"/>
      <name val="Calibri"/>
      <family val="2"/>
      <scheme val="minor"/>
    </font>
    <font>
      <b/>
      <sz val="10"/>
      <color theme="0"/>
      <name val="Arial"/>
      <family val="2"/>
    </font>
    <font>
      <b/>
      <sz val="12"/>
      <color theme="0"/>
      <name val="Arial"/>
      <family val="2"/>
    </font>
    <font>
      <sz val="12"/>
      <color theme="1"/>
      <name val="Calibri"/>
      <family val="2"/>
      <scheme val="minor"/>
    </font>
    <font>
      <b/>
      <sz val="12"/>
      <color rgb="FFFF0000"/>
      <name val="Segoe UI"/>
      <family val="2"/>
    </font>
    <font>
      <b/>
      <sz val="12"/>
      <color rgb="FF008000"/>
      <name val="Segoe UI"/>
      <family val="2"/>
    </font>
    <font>
      <b/>
      <sz val="10"/>
      <color rgb="FFFF0000"/>
      <name val="Segoe UI"/>
      <family val="2"/>
    </font>
    <font>
      <b/>
      <sz val="10"/>
      <color rgb="FFFF0000"/>
      <name val="Calibri"/>
      <family val="2"/>
      <scheme val="minor"/>
    </font>
    <font>
      <sz val="10"/>
      <color theme="0"/>
      <name val="Calibri"/>
      <family val="2"/>
      <scheme val="minor"/>
    </font>
    <font>
      <b/>
      <sz val="14"/>
      <color theme="0"/>
      <name val="Calibri"/>
      <family val="2"/>
      <scheme val="minor"/>
    </font>
    <font>
      <i/>
      <sz val="10"/>
      <color theme="1"/>
      <name val="Segoe UI"/>
      <family val="2"/>
    </font>
    <font>
      <b/>
      <sz val="10"/>
      <color theme="1"/>
      <name val="Segoe UI"/>
      <family val="2"/>
    </font>
    <font>
      <sz val="10"/>
      <color rgb="FFFF0000"/>
      <name val="Arial"/>
      <family val="2"/>
    </font>
    <font>
      <i/>
      <sz val="12"/>
      <color theme="1"/>
      <name val="Segoe UI"/>
      <family val="2"/>
    </font>
    <font>
      <b/>
      <sz val="14"/>
      <name val="Arial"/>
      <family val="2"/>
    </font>
    <font>
      <b/>
      <sz val="18"/>
      <name val="Arial"/>
      <family val="2"/>
    </font>
    <font>
      <sz val="12"/>
      <color theme="0"/>
      <name val="Segoe UI"/>
      <family val="2"/>
    </font>
    <font>
      <b/>
      <sz val="12"/>
      <name val="Segoe UI"/>
      <family val="2"/>
    </font>
    <font>
      <sz val="14"/>
      <name val="Arial"/>
      <family val="2"/>
    </font>
    <font>
      <sz val="14"/>
      <color indexed="9"/>
      <name val="Arial"/>
      <family val="2"/>
    </font>
    <font>
      <sz val="9"/>
      <color theme="1"/>
      <name val="Segoe UI"/>
      <family val="2"/>
    </font>
    <font>
      <b/>
      <i/>
      <sz val="10"/>
      <color theme="1"/>
      <name val="Segoe UI"/>
      <family val="2"/>
    </font>
    <font>
      <sz val="9"/>
      <name val="Segoe UI"/>
      <family val="2"/>
    </font>
    <font>
      <b/>
      <sz val="12"/>
      <color theme="1" tint="0.34998626667073579"/>
      <name val="Segoe UI"/>
      <family val="2"/>
    </font>
    <font>
      <b/>
      <sz val="9"/>
      <name val="Segoe UI"/>
      <family val="2"/>
    </font>
    <font>
      <sz val="12"/>
      <color rgb="FFFF0000"/>
      <name val="Segoe UI"/>
      <family val="2"/>
    </font>
    <font>
      <b/>
      <i/>
      <sz val="12"/>
      <color rgb="FFFF0000"/>
      <name val="Segoe UI"/>
      <family val="2"/>
    </font>
    <font>
      <b/>
      <sz val="9"/>
      <color theme="1"/>
      <name val="Segoe UI"/>
      <family val="2"/>
    </font>
    <font>
      <sz val="10"/>
      <color theme="1"/>
      <name val="Arial"/>
      <family val="2"/>
    </font>
    <font>
      <sz val="12"/>
      <color theme="1"/>
      <name val="Arial"/>
      <family val="2"/>
    </font>
    <font>
      <b/>
      <u/>
      <sz val="12"/>
      <color rgb="FFFF0000"/>
      <name val="Segoe UI"/>
      <family val="2"/>
    </font>
    <font>
      <b/>
      <sz val="14"/>
      <name val="Segoe UI"/>
      <family val="2"/>
    </font>
    <font>
      <sz val="14"/>
      <name val="Segoe UI"/>
      <family val="2"/>
    </font>
    <font>
      <sz val="14"/>
      <color theme="0"/>
      <name val="Segoe UI"/>
      <family val="2"/>
    </font>
    <font>
      <i/>
      <sz val="12"/>
      <name val="Segoe UI"/>
      <family val="2"/>
    </font>
  </fonts>
  <fills count="26">
    <fill>
      <patternFill patternType="none"/>
    </fill>
    <fill>
      <patternFill patternType="gray125"/>
    </fill>
    <fill>
      <patternFill patternType="solid">
        <fgColor indexed="22"/>
        <bgColor indexed="31"/>
      </patternFill>
    </fill>
    <fill>
      <patternFill patternType="solid">
        <fgColor indexed="54"/>
        <bgColor indexed="23"/>
      </patternFill>
    </fill>
    <fill>
      <patternFill patternType="solid">
        <fgColor indexed="44"/>
        <bgColor indexed="31"/>
      </patternFill>
    </fill>
    <fill>
      <patternFill patternType="solid">
        <fgColor indexed="43"/>
        <bgColor indexed="26"/>
      </patternFill>
    </fill>
    <fill>
      <patternFill patternType="solid">
        <fgColor rgb="FFC0504D"/>
        <bgColor rgb="FF000000"/>
      </patternFill>
    </fill>
    <fill>
      <patternFill patternType="solid">
        <fgColor theme="0" tint="-4.9989318521683403E-2"/>
        <bgColor indexed="64"/>
      </patternFill>
    </fill>
    <fill>
      <patternFill patternType="solid">
        <fgColor theme="5"/>
        <bgColor indexed="64"/>
      </patternFill>
    </fill>
    <fill>
      <patternFill patternType="solid">
        <fgColor theme="0" tint="-0.14999847407452621"/>
        <bgColor auto="1"/>
      </patternFill>
    </fill>
    <fill>
      <patternFill patternType="solid">
        <fgColor rgb="FFFFC000"/>
        <bgColor indexed="64"/>
      </patternFill>
    </fill>
    <fill>
      <patternFill patternType="solid">
        <fgColor rgb="FFFFC000"/>
        <bgColor indexed="31"/>
      </patternFill>
    </fill>
    <fill>
      <patternFill patternType="solid">
        <fgColor theme="6" tint="0.39997558519241921"/>
        <bgColor indexed="64"/>
      </patternFill>
    </fill>
    <fill>
      <patternFill patternType="solid">
        <fgColor theme="0" tint="-0.14999847407452621"/>
        <bgColor indexed="64"/>
      </patternFill>
    </fill>
    <fill>
      <gradientFill degree="90">
        <stop position="0">
          <color theme="4" tint="-0.49803155613879818"/>
        </stop>
        <stop position="1">
          <color theme="3" tint="-0.49803155613879818"/>
        </stop>
      </gradientFill>
    </fill>
    <fill>
      <patternFill patternType="solid">
        <fgColor rgb="FFC00000"/>
        <bgColor indexed="64"/>
      </patternFill>
    </fill>
    <fill>
      <gradientFill degree="90">
        <stop position="0">
          <color theme="4"/>
        </stop>
        <stop position="1">
          <color theme="3" tint="-0.49803155613879818"/>
        </stop>
      </gradientFill>
    </fill>
    <fill>
      <gradientFill degree="90">
        <stop position="0">
          <color theme="4" tint="-0.25098422193060094"/>
        </stop>
        <stop position="1">
          <color theme="3" tint="-0.25098422193060094"/>
        </stop>
      </gradientFill>
    </fill>
    <fill>
      <patternFill patternType="solid">
        <fgColor theme="0"/>
        <bgColor indexed="64"/>
      </patternFill>
    </fill>
    <fill>
      <patternFill patternType="solid">
        <fgColor theme="0"/>
        <bgColor auto="1"/>
      </patternFill>
    </fill>
    <fill>
      <patternFill patternType="solid">
        <fgColor rgb="FFFF0000"/>
        <bgColor indexed="31"/>
      </patternFill>
    </fill>
    <fill>
      <patternFill patternType="solid">
        <fgColor rgb="FFFFFF00"/>
        <bgColor indexed="31"/>
      </patternFill>
    </fill>
    <fill>
      <patternFill patternType="solid">
        <fgColor theme="7" tint="0.59999389629810485"/>
        <bgColor indexed="31"/>
      </patternFill>
    </fill>
    <fill>
      <patternFill patternType="solid">
        <fgColor theme="0" tint="-0.249977111117893"/>
        <bgColor indexed="31"/>
      </patternFill>
    </fill>
    <fill>
      <patternFill patternType="solid">
        <fgColor rgb="FFFFFF00"/>
        <bgColor indexed="64"/>
      </patternFill>
    </fill>
    <fill>
      <patternFill patternType="solid">
        <fgColor rgb="FFFF0000"/>
        <bgColor indexed="64"/>
      </patternFill>
    </fill>
  </fills>
  <borders count="102">
    <border>
      <left/>
      <right/>
      <top/>
      <bottom/>
      <diagonal/>
    </border>
    <border diagonalUp="1" diagonalDown="1">
      <left style="thin">
        <color auto="1"/>
      </left>
      <right/>
      <top/>
      <bottom/>
      <diagonal/>
    </border>
    <border diagonalUp="1" diagonalDown="1">
      <left style="thin">
        <color auto="1"/>
      </left>
      <right style="thin">
        <color auto="1"/>
      </right>
      <top style="thin">
        <color auto="1"/>
      </top>
      <bottom style="thin">
        <color auto="1"/>
      </bottom>
      <diagonal/>
    </border>
    <border diagonalUp="1" diagonalDown="1">
      <left/>
      <right style="thin">
        <color auto="1"/>
      </right>
      <top/>
      <bottom/>
      <diagonal/>
    </border>
    <border diagonalUp="1" diagonalDown="1">
      <left/>
      <right/>
      <top style="thin">
        <color auto="1"/>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auto="1"/>
      </right>
      <top style="thin">
        <color auto="1"/>
      </top>
      <bottom style="thin">
        <color auto="1"/>
      </bottom>
      <diagonal/>
    </border>
    <border>
      <left style="thin">
        <color auto="1"/>
      </left>
      <right/>
      <top/>
      <bottom style="medium">
        <color indexed="64"/>
      </bottom>
      <diagonal/>
    </border>
    <border>
      <left/>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medium">
        <color indexed="64"/>
      </bottom>
      <diagonal/>
    </border>
    <border diagonalUp="1" diagonalDown="1">
      <left/>
      <right/>
      <top/>
      <bottom/>
      <diagonal/>
    </border>
    <border>
      <left style="medium">
        <color indexed="64"/>
      </left>
      <right style="thin">
        <color auto="1"/>
      </right>
      <top style="thin">
        <color auto="1"/>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auto="1"/>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auto="1"/>
      </top>
      <bottom style="thin">
        <color auto="1"/>
      </bottom>
      <diagonal/>
    </border>
    <border>
      <left style="medium">
        <color indexed="64"/>
      </left>
      <right style="thin">
        <color auto="1"/>
      </right>
      <top/>
      <bottom/>
      <diagonal/>
    </border>
    <border>
      <left style="thin">
        <color auto="1"/>
      </left>
      <right style="medium">
        <color indexed="64"/>
      </right>
      <top/>
      <bottom/>
      <diagonal/>
    </border>
    <border diagonalUp="1" diagonalDown="1">
      <left style="medium">
        <color indexed="64"/>
      </left>
      <right/>
      <top/>
      <bottom/>
      <diagonal/>
    </border>
    <border diagonalUp="1" diagonalDown="1">
      <left/>
      <right style="medium">
        <color indexed="64"/>
      </right>
      <top/>
      <bottom/>
      <diagonal/>
    </border>
    <border>
      <left/>
      <right style="medium">
        <color indexed="64"/>
      </right>
      <top style="thin">
        <color auto="1"/>
      </top>
      <bottom/>
      <diagonal/>
    </border>
    <border>
      <left style="thin">
        <color theme="0" tint="-0.499984740745262"/>
      </left>
      <right/>
      <top style="thin">
        <color theme="0" tint="-0.499984740745262"/>
      </top>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bottom/>
      <diagonal/>
    </border>
    <border>
      <left style="thin">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auto="1"/>
      </left>
      <right/>
      <top/>
      <bottom style="thin">
        <color auto="1"/>
      </bottom>
      <diagonal/>
    </border>
    <border>
      <left/>
      <right/>
      <top style="medium">
        <color theme="0" tint="-0.499984740745262"/>
      </top>
      <bottom/>
      <diagonal/>
    </border>
    <border>
      <left style="thin">
        <color auto="1"/>
      </left>
      <right/>
      <top/>
      <bottom/>
      <diagonal/>
    </border>
    <border>
      <left style="medium">
        <color indexed="64"/>
      </left>
      <right/>
      <top style="thin">
        <color auto="1"/>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style="medium">
        <color indexed="64"/>
      </right>
      <top/>
      <bottom style="thin">
        <color auto="1"/>
      </bottom>
      <diagonal/>
    </border>
    <border>
      <left style="thin">
        <color auto="1"/>
      </left>
      <right style="thin">
        <color auto="1"/>
      </right>
      <top style="thin">
        <color auto="1"/>
      </top>
      <bottom style="medium">
        <color indexed="64"/>
      </bottom>
      <diagonal/>
    </border>
    <border>
      <left style="medium">
        <color indexed="64"/>
      </left>
      <right/>
      <top style="medium">
        <color indexed="64"/>
      </top>
      <bottom style="thin">
        <color auto="1"/>
      </bottom>
      <diagonal/>
    </border>
    <border>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bottom style="thin">
        <color auto="1"/>
      </bottom>
      <diagonal/>
    </border>
    <border>
      <left style="medium">
        <color indexed="64"/>
      </left>
      <right style="thin">
        <color auto="1"/>
      </right>
      <top style="medium">
        <color indexed="64"/>
      </top>
      <bottom/>
      <diagonal/>
    </border>
    <border>
      <left/>
      <right style="medium">
        <color indexed="64"/>
      </right>
      <top style="thin">
        <color auto="1"/>
      </top>
      <bottom style="medium">
        <color indexed="64"/>
      </bottom>
      <diagonal/>
    </border>
    <border>
      <left style="medium">
        <color indexed="64"/>
      </left>
      <right/>
      <top style="thin">
        <color auto="1"/>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style="thin">
        <color auto="1"/>
      </left>
      <right/>
      <top style="thin">
        <color auto="1"/>
      </top>
      <bottom style="medium">
        <color indexed="64"/>
      </bottom>
      <diagonal/>
    </border>
    <border>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thin">
        <color auto="1"/>
      </left>
      <right/>
      <top style="thin">
        <color auto="1"/>
      </top>
      <bottom/>
      <diagonal/>
    </border>
    <border>
      <left style="thin">
        <color auto="1"/>
      </left>
      <right style="medium">
        <color indexed="64"/>
      </right>
      <top style="medium">
        <color indexed="64"/>
      </top>
      <bottom/>
      <diagonal/>
    </border>
    <border>
      <left/>
      <right style="thin">
        <color auto="1"/>
      </right>
      <top style="medium">
        <color indexed="64"/>
      </top>
      <bottom style="thin">
        <color auto="1"/>
      </bottom>
      <diagonal/>
    </border>
    <border>
      <left/>
      <right/>
      <top/>
      <bottom style="medium">
        <color theme="0" tint="-0.499984740745262"/>
      </bottom>
      <diagonal/>
    </border>
    <border>
      <left style="thin">
        <color auto="1"/>
      </left>
      <right/>
      <top style="medium">
        <color indexed="64"/>
      </top>
      <bottom/>
      <diagonal/>
    </border>
    <border>
      <left/>
      <right style="thin">
        <color auto="1"/>
      </right>
      <top/>
      <bottom style="medium">
        <color indexed="64"/>
      </bottom>
      <diagonal/>
    </border>
    <border>
      <left style="thin">
        <color auto="1"/>
      </left>
      <right style="thin">
        <color auto="1"/>
      </right>
      <top style="medium">
        <color indexed="64"/>
      </top>
      <bottom/>
      <diagonal/>
    </border>
  </borders>
  <cellStyleXfs count="4">
    <xf numFmtId="0" fontId="0" fillId="0" borderId="0"/>
    <xf numFmtId="0" fontId="6" fillId="0" borderId="0"/>
    <xf numFmtId="0" fontId="26" fillId="0" borderId="0" applyNumberFormat="0" applyFill="0" applyBorder="0" applyAlignment="0" applyProtection="0"/>
    <xf numFmtId="0" fontId="32" fillId="0" borderId="0"/>
  </cellStyleXfs>
  <cellXfs count="871">
    <xf numFmtId="0" fontId="0" fillId="0" borderId="0" xfId="0"/>
    <xf numFmtId="0" fontId="0" fillId="2" borderId="0" xfId="0" applyFill="1" applyAlignment="1">
      <alignment wrapText="1"/>
    </xf>
    <xf numFmtId="0" fontId="0" fillId="2" borderId="1" xfId="0" applyFill="1" applyBorder="1" applyAlignment="1">
      <alignment wrapText="1"/>
    </xf>
    <xf numFmtId="0" fontId="1" fillId="4" borderId="0" xfId="0" applyFont="1" applyFill="1"/>
    <xf numFmtId="0" fontId="4" fillId="0" borderId="0" xfId="0" applyFont="1"/>
    <xf numFmtId="0" fontId="0" fillId="0" borderId="2" xfId="0" applyBorder="1" applyAlignment="1" applyProtection="1">
      <alignment wrapText="1"/>
      <protection locked="0"/>
    </xf>
    <xf numFmtId="0" fontId="0" fillId="2" borderId="3" xfId="0" applyFill="1" applyBorder="1" applyAlignment="1">
      <alignment wrapText="1"/>
    </xf>
    <xf numFmtId="0" fontId="1" fillId="5" borderId="4" xfId="0" applyFont="1" applyFill="1" applyBorder="1"/>
    <xf numFmtId="0" fontId="0" fillId="4" borderId="0" xfId="0" applyFill="1"/>
    <xf numFmtId="0" fontId="0" fillId="4" borderId="0" xfId="0" applyFill="1" applyAlignment="1">
      <alignment wrapText="1"/>
    </xf>
    <xf numFmtId="49" fontId="0" fillId="4" borderId="0" xfId="0" applyNumberFormat="1" applyFill="1" applyAlignment="1">
      <alignment wrapText="1"/>
    </xf>
    <xf numFmtId="49" fontId="4" fillId="0" borderId="0" xfId="0" applyNumberFormat="1" applyFont="1"/>
    <xf numFmtId="0" fontId="5" fillId="4" borderId="0" xfId="0" applyFont="1" applyFill="1" applyAlignment="1" applyProtection="1">
      <alignment wrapText="1"/>
      <protection locked="0"/>
    </xf>
    <xf numFmtId="49" fontId="0" fillId="2" borderId="1" xfId="0" applyNumberFormat="1" applyFill="1" applyBorder="1" applyAlignment="1">
      <alignment wrapText="1"/>
    </xf>
    <xf numFmtId="0" fontId="0" fillId="0" borderId="4" xfId="0" applyBorder="1"/>
    <xf numFmtId="0" fontId="6" fillId="0" borderId="0" xfId="1"/>
    <xf numFmtId="0" fontId="7" fillId="0" borderId="5" xfId="1" applyFont="1" applyBorder="1" applyAlignment="1">
      <alignment vertical="center" wrapText="1"/>
    </xf>
    <xf numFmtId="0" fontId="6" fillId="0" borderId="6" xfId="1" applyBorder="1" applyAlignment="1">
      <alignment horizontal="left" vertical="top"/>
    </xf>
    <xf numFmtId="0" fontId="8" fillId="6" borderId="7" xfId="1" applyFont="1" applyFill="1" applyBorder="1" applyAlignment="1">
      <alignment horizontal="left" vertical="center"/>
    </xf>
    <xf numFmtId="0" fontId="8" fillId="6" borderId="5" xfId="1" applyFont="1" applyFill="1" applyBorder="1" applyAlignment="1">
      <alignment horizontal="left" vertical="center"/>
    </xf>
    <xf numFmtId="0" fontId="6" fillId="0" borderId="0" xfId="1" applyAlignment="1">
      <alignment horizontal="left" vertical="top"/>
    </xf>
    <xf numFmtId="0" fontId="9" fillId="0" borderId="0" xfId="1" applyFont="1"/>
    <xf numFmtId="0" fontId="9" fillId="0" borderId="5" xfId="1" applyFont="1" applyBorder="1" applyAlignment="1">
      <alignment vertical="center" wrapText="1"/>
    </xf>
    <xf numFmtId="0" fontId="8" fillId="6" borderId="11" xfId="1" applyFont="1" applyFill="1" applyBorder="1" applyAlignment="1">
      <alignment horizontal="left" vertical="center"/>
    </xf>
    <xf numFmtId="0" fontId="9" fillId="0" borderId="9" xfId="1" applyFont="1" applyBorder="1" applyAlignment="1">
      <alignment vertical="center" wrapText="1"/>
    </xf>
    <xf numFmtId="0" fontId="9" fillId="0" borderId="8" xfId="1" applyFont="1" applyBorder="1" applyAlignment="1">
      <alignment vertical="top" wrapText="1"/>
    </xf>
    <xf numFmtId="0" fontId="9" fillId="0" borderId="5" xfId="1" applyFont="1" applyBorder="1" applyAlignment="1">
      <alignment vertical="top" wrapText="1"/>
    </xf>
    <xf numFmtId="14" fontId="5" fillId="4" borderId="0" xfId="0" applyNumberFormat="1" applyFont="1" applyFill="1" applyAlignment="1" applyProtection="1">
      <alignment wrapText="1"/>
      <protection locked="0"/>
    </xf>
    <xf numFmtId="0" fontId="6" fillId="0" borderId="2" xfId="0" applyFont="1" applyBorder="1" applyAlignment="1" applyProtection="1">
      <alignment wrapText="1"/>
      <protection locked="0"/>
    </xf>
    <xf numFmtId="0" fontId="10" fillId="9" borderId="21" xfId="0" applyFont="1" applyFill="1" applyBorder="1" applyAlignment="1">
      <alignment horizontal="center" vertical="center" wrapText="1"/>
    </xf>
    <xf numFmtId="0" fontId="6" fillId="4" borderId="0" xfId="0" applyFont="1" applyFill="1" applyAlignment="1">
      <alignment wrapText="1"/>
    </xf>
    <xf numFmtId="0" fontId="10" fillId="9" borderId="0" xfId="0" applyFont="1" applyFill="1" applyAlignment="1">
      <alignment horizontal="center" vertical="center" wrapText="1"/>
    </xf>
    <xf numFmtId="0" fontId="0" fillId="11" borderId="3" xfId="0" applyFill="1" applyBorder="1" applyAlignment="1">
      <alignment wrapText="1"/>
    </xf>
    <xf numFmtId="0" fontId="0" fillId="11" borderId="0" xfId="0" applyFill="1"/>
    <xf numFmtId="0" fontId="0" fillId="11" borderId="1" xfId="0" applyFill="1" applyBorder="1" applyAlignment="1">
      <alignment wrapText="1"/>
    </xf>
    <xf numFmtId="0" fontId="0" fillId="11" borderId="0" xfId="0" applyFill="1" applyAlignment="1">
      <alignment wrapText="1"/>
    </xf>
    <xf numFmtId="0" fontId="0" fillId="10" borderId="0" xfId="0" applyFill="1"/>
    <xf numFmtId="0" fontId="17" fillId="0" borderId="39" xfId="0" applyFont="1" applyBorder="1" applyAlignment="1">
      <alignment horizontal="right" vertical="top" wrapText="1"/>
    </xf>
    <xf numFmtId="0" fontId="17" fillId="0" borderId="36" xfId="0" applyFont="1" applyBorder="1" applyAlignment="1">
      <alignment horizontal="right" vertical="top" wrapText="1"/>
    </xf>
    <xf numFmtId="0" fontId="17" fillId="0" borderId="37" xfId="0" applyFont="1" applyBorder="1" applyAlignment="1">
      <alignment horizontal="right" vertical="top" wrapText="1"/>
    </xf>
    <xf numFmtId="0" fontId="17" fillId="0" borderId="26" xfId="0" applyFont="1" applyBorder="1" applyAlignment="1">
      <alignment horizontal="right" vertical="top" wrapText="1"/>
    </xf>
    <xf numFmtId="0" fontId="17" fillId="0" borderId="26" xfId="0" applyFont="1" applyBorder="1" applyAlignment="1">
      <alignment horizontal="right" wrapText="1"/>
    </xf>
    <xf numFmtId="0" fontId="0" fillId="10" borderId="2" xfId="0" applyFill="1" applyBorder="1" applyAlignment="1" applyProtection="1">
      <alignment wrapText="1"/>
      <protection locked="0"/>
    </xf>
    <xf numFmtId="0" fontId="4" fillId="10" borderId="0" xfId="0" applyFont="1" applyFill="1"/>
    <xf numFmtId="0" fontId="0" fillId="0" borderId="3" xfId="0" applyBorder="1" applyAlignment="1">
      <alignment wrapText="1"/>
    </xf>
    <xf numFmtId="0" fontId="0" fillId="0" borderId="0" xfId="0" applyAlignment="1">
      <alignment wrapText="1"/>
    </xf>
    <xf numFmtId="0" fontId="0" fillId="0" borderId="1" xfId="0" applyBorder="1" applyAlignment="1">
      <alignment wrapText="1"/>
    </xf>
    <xf numFmtId="0" fontId="20" fillId="0" borderId="37" xfId="0" applyFont="1" applyBorder="1" applyAlignment="1">
      <alignment vertical="top" wrapText="1"/>
    </xf>
    <xf numFmtId="0" fontId="13" fillId="0" borderId="20" xfId="0" applyFont="1" applyBorder="1" applyAlignment="1">
      <alignment horizontal="center" vertical="top" wrapText="1"/>
    </xf>
    <xf numFmtId="0" fontId="13" fillId="0" borderId="29" xfId="0" applyFont="1" applyBorder="1" applyAlignment="1">
      <alignment horizontal="center" vertical="top" wrapText="1"/>
    </xf>
    <xf numFmtId="0" fontId="22" fillId="0" borderId="37" xfId="0" applyFont="1" applyBorder="1" applyAlignment="1">
      <alignment horizontal="right" vertical="top" wrapText="1"/>
    </xf>
    <xf numFmtId="0" fontId="13" fillId="10" borderId="5" xfId="0" applyFont="1" applyFill="1" applyBorder="1" applyAlignment="1">
      <alignment vertical="top" wrapText="1"/>
    </xf>
    <xf numFmtId="0" fontId="15" fillId="10" borderId="2" xfId="0" applyFont="1" applyFill="1" applyBorder="1" applyAlignment="1" applyProtection="1">
      <alignment horizontal="left" vertical="top" wrapText="1"/>
      <protection locked="0"/>
    </xf>
    <xf numFmtId="0" fontId="17" fillId="0" borderId="5" xfId="0" applyFont="1" applyBorder="1" applyAlignment="1">
      <alignment horizontal="right" vertical="top" wrapText="1"/>
    </xf>
    <xf numFmtId="0" fontId="15" fillId="0" borderId="5" xfId="0" applyFont="1" applyBorder="1" applyAlignment="1">
      <alignment horizontal="left" vertical="top" wrapText="1"/>
    </xf>
    <xf numFmtId="14" fontId="15" fillId="10" borderId="5" xfId="0" applyNumberFormat="1" applyFont="1" applyFill="1" applyBorder="1" applyAlignment="1">
      <alignment horizontal="left" vertical="top" wrapText="1"/>
    </xf>
    <xf numFmtId="0" fontId="30" fillId="14" borderId="56" xfId="0" applyFont="1" applyFill="1" applyBorder="1" applyAlignment="1">
      <alignment horizontal="left" vertical="center" wrapText="1"/>
    </xf>
    <xf numFmtId="0" fontId="11" fillId="14" borderId="5" xfId="0" applyFont="1" applyFill="1" applyBorder="1" applyAlignment="1">
      <alignment horizontal="left" vertical="center" wrapText="1"/>
    </xf>
    <xf numFmtId="0" fontId="30" fillId="14" borderId="60" xfId="0" applyFont="1" applyFill="1" applyBorder="1" applyAlignment="1">
      <alignment horizontal="left" vertical="center" wrapText="1"/>
    </xf>
    <xf numFmtId="0" fontId="30" fillId="16" borderId="0" xfId="0" applyFont="1" applyFill="1" applyAlignment="1">
      <alignment horizontal="left" vertical="center" wrapText="1"/>
    </xf>
    <xf numFmtId="0" fontId="30" fillId="14" borderId="0" xfId="0" applyFont="1" applyFill="1" applyAlignment="1">
      <alignment horizontal="center" vertical="center" wrapText="1"/>
    </xf>
    <xf numFmtId="0" fontId="7" fillId="0" borderId="5" xfId="0" applyFont="1" applyBorder="1" applyAlignment="1">
      <alignment horizontal="left" vertical="top" wrapText="1"/>
    </xf>
    <xf numFmtId="0" fontId="30" fillId="17" borderId="61" xfId="0" applyFont="1" applyFill="1" applyBorder="1" applyAlignment="1">
      <alignment horizontal="left" vertical="top" wrapText="1"/>
    </xf>
    <xf numFmtId="0" fontId="31" fillId="17" borderId="62" xfId="0" applyFont="1" applyFill="1" applyBorder="1" applyAlignment="1">
      <alignment vertical="top" wrapText="1"/>
    </xf>
    <xf numFmtId="0" fontId="30" fillId="17" borderId="62" xfId="0" applyFont="1" applyFill="1" applyBorder="1" applyAlignment="1">
      <alignment vertical="top" wrapText="1"/>
    </xf>
    <xf numFmtId="0" fontId="30" fillId="17" borderId="62" xfId="0" applyFont="1" applyFill="1" applyBorder="1" applyAlignment="1">
      <alignment horizontal="center" vertical="top" wrapText="1"/>
    </xf>
    <xf numFmtId="0" fontId="29" fillId="0" borderId="56" xfId="0" applyFont="1" applyBorder="1" applyAlignment="1">
      <alignment vertical="top" wrapText="1"/>
    </xf>
    <xf numFmtId="0" fontId="7" fillId="0" borderId="5" xfId="0" applyFont="1" applyBorder="1" applyAlignment="1">
      <alignment vertical="top" wrapText="1"/>
    </xf>
    <xf numFmtId="0" fontId="33" fillId="0" borderId="5" xfId="0" applyFont="1" applyBorder="1" applyAlignment="1">
      <alignment horizontal="left" vertical="top" wrapText="1"/>
    </xf>
    <xf numFmtId="0" fontId="32" fillId="0" borderId="66" xfId="0" applyFont="1" applyBorder="1" applyAlignment="1">
      <alignment vertical="top" wrapText="1"/>
    </xf>
    <xf numFmtId="0" fontId="32" fillId="0" borderId="67" xfId="0" applyFont="1" applyBorder="1" applyAlignment="1">
      <alignment vertical="top" wrapText="1"/>
    </xf>
    <xf numFmtId="0" fontId="29" fillId="0" borderId="67" xfId="0" applyFont="1" applyBorder="1" applyAlignment="1">
      <alignment vertical="top" wrapText="1"/>
    </xf>
    <xf numFmtId="0" fontId="29" fillId="0" borderId="67" xfId="0" applyFont="1" applyBorder="1" applyAlignment="1">
      <alignment horizontal="center" vertical="top" wrapText="1"/>
    </xf>
    <xf numFmtId="0" fontId="29" fillId="0" borderId="68" xfId="0" applyFont="1" applyBorder="1" applyAlignment="1">
      <alignment vertical="top" wrapText="1"/>
    </xf>
    <xf numFmtId="0" fontId="29" fillId="0" borderId="0" xfId="0" applyFont="1" applyAlignment="1" applyProtection="1">
      <alignment vertical="top" wrapText="1"/>
      <protection locked="0"/>
    </xf>
    <xf numFmtId="0" fontId="7" fillId="0" borderId="66" xfId="0" applyFont="1" applyBorder="1" applyAlignment="1">
      <alignment vertical="top" wrapText="1"/>
    </xf>
    <xf numFmtId="0" fontId="7" fillId="0" borderId="67" xfId="0" applyFont="1" applyBorder="1" applyAlignment="1">
      <alignment vertical="top" wrapText="1"/>
    </xf>
    <xf numFmtId="0" fontId="11" fillId="17" borderId="62" xfId="0" applyFont="1" applyFill="1" applyBorder="1" applyAlignment="1">
      <alignment vertical="top" wrapText="1"/>
    </xf>
    <xf numFmtId="0" fontId="29" fillId="0" borderId="0" xfId="0" applyFont="1" applyAlignment="1">
      <alignment vertical="top" wrapText="1"/>
    </xf>
    <xf numFmtId="0" fontId="7" fillId="0" borderId="14" xfId="0" applyFont="1" applyBorder="1" applyAlignment="1">
      <alignment horizontal="left" vertical="top" wrapText="1"/>
    </xf>
    <xf numFmtId="0" fontId="33" fillId="0" borderId="14" xfId="0" applyFont="1" applyBorder="1" applyAlignment="1">
      <alignment horizontal="left" vertical="top" wrapText="1"/>
    </xf>
    <xf numFmtId="0" fontId="7" fillId="0" borderId="0" xfId="0" applyFont="1" applyAlignment="1">
      <alignment horizontal="left" vertical="top" wrapText="1"/>
    </xf>
    <xf numFmtId="0" fontId="29" fillId="0" borderId="0" xfId="0" applyFont="1" applyAlignment="1">
      <alignment horizontal="left" vertical="top" wrapText="1"/>
    </xf>
    <xf numFmtId="0" fontId="29" fillId="0" borderId="0" xfId="0" applyFont="1" applyAlignment="1">
      <alignment horizontal="center" vertical="top" wrapText="1"/>
    </xf>
    <xf numFmtId="0" fontId="33" fillId="0" borderId="0" xfId="0" applyFont="1" applyAlignment="1">
      <alignment horizontal="left" vertical="top" wrapText="1"/>
    </xf>
    <xf numFmtId="0" fontId="7" fillId="0" borderId="0" xfId="0" applyFont="1" applyAlignment="1" applyProtection="1">
      <alignment vertical="top" wrapText="1"/>
      <protection locked="0"/>
    </xf>
    <xf numFmtId="0" fontId="29" fillId="0" borderId="0" xfId="0" applyFont="1" applyAlignment="1" applyProtection="1">
      <alignment wrapText="1"/>
      <protection locked="0"/>
    </xf>
    <xf numFmtId="0" fontId="30" fillId="19" borderId="60" xfId="0" applyFont="1" applyFill="1" applyBorder="1" applyAlignment="1">
      <alignment horizontal="left" vertical="center" wrapText="1"/>
    </xf>
    <xf numFmtId="0" fontId="11" fillId="19" borderId="5" xfId="0" applyFont="1" applyFill="1" applyBorder="1" applyAlignment="1">
      <alignment horizontal="left" vertical="center" wrapText="1"/>
    </xf>
    <xf numFmtId="0" fontId="11" fillId="18" borderId="5" xfId="0" applyFont="1" applyFill="1" applyBorder="1" applyAlignment="1">
      <alignment horizontal="left" vertical="center" wrapText="1"/>
    </xf>
    <xf numFmtId="0" fontId="30" fillId="19" borderId="0" xfId="0" applyFont="1" applyFill="1" applyAlignment="1">
      <alignment horizontal="left" vertical="center" wrapText="1"/>
    </xf>
    <xf numFmtId="0" fontId="30" fillId="19" borderId="0" xfId="0" applyFont="1" applyFill="1" applyAlignment="1">
      <alignment horizontal="center" vertical="center" wrapText="1"/>
    </xf>
    <xf numFmtId="0" fontId="30" fillId="19" borderId="60" xfId="0" applyFont="1" applyFill="1" applyBorder="1" applyAlignment="1">
      <alignment horizontal="left" vertical="top" wrapText="1"/>
    </xf>
    <xf numFmtId="0" fontId="30" fillId="19" borderId="0" xfId="0" applyFont="1" applyFill="1" applyAlignment="1">
      <alignment vertical="top" wrapText="1"/>
    </xf>
    <xf numFmtId="0" fontId="30" fillId="19" borderId="0" xfId="0" applyFont="1" applyFill="1" applyAlignment="1">
      <alignment horizontal="center" vertical="top" wrapText="1"/>
    </xf>
    <xf numFmtId="0" fontId="29" fillId="18" borderId="56" xfId="0" applyFont="1" applyFill="1" applyBorder="1" applyAlignment="1">
      <alignment vertical="top" wrapText="1"/>
    </xf>
    <xf numFmtId="0" fontId="7" fillId="18" borderId="5" xfId="0" applyFont="1" applyFill="1" applyBorder="1" applyAlignment="1">
      <alignment horizontal="left" vertical="top" wrapText="1"/>
    </xf>
    <xf numFmtId="0" fontId="33" fillId="18" borderId="5" xfId="0" applyFont="1" applyFill="1" applyBorder="1" applyAlignment="1">
      <alignment horizontal="left" vertical="top" wrapText="1"/>
    </xf>
    <xf numFmtId="0" fontId="29" fillId="0" borderId="58" xfId="0" applyFont="1" applyBorder="1" applyAlignment="1">
      <alignment horizontal="left" vertical="top" wrapText="1"/>
    </xf>
    <xf numFmtId="0" fontId="29" fillId="0" borderId="58" xfId="0" applyFont="1" applyBorder="1" applyAlignment="1">
      <alignment horizontal="center" vertical="top" wrapText="1"/>
    </xf>
    <xf numFmtId="0" fontId="30" fillId="0" borderId="60" xfId="0" applyFont="1" applyBorder="1" applyAlignment="1">
      <alignment horizontal="left" vertical="top" wrapText="1"/>
    </xf>
    <xf numFmtId="0" fontId="31" fillId="0" borderId="0" xfId="0" applyFont="1" applyAlignment="1">
      <alignment vertical="top" wrapText="1"/>
    </xf>
    <xf numFmtId="0" fontId="30" fillId="0" borderId="0" xfId="0" applyFont="1" applyAlignment="1">
      <alignment vertical="top" wrapText="1"/>
    </xf>
    <xf numFmtId="0" fontId="30" fillId="0" borderId="0" xfId="0" applyFont="1" applyAlignment="1">
      <alignment horizontal="center" vertical="top" wrapText="1"/>
    </xf>
    <xf numFmtId="0" fontId="32" fillId="0" borderId="63" xfId="0" applyFont="1" applyBorder="1" applyAlignment="1">
      <alignment horizontal="left" vertical="top" wrapText="1"/>
    </xf>
    <xf numFmtId="0" fontId="32" fillId="0" borderId="59" xfId="0" applyFont="1" applyBorder="1" applyAlignment="1">
      <alignment horizontal="left" vertical="top" wrapText="1"/>
    </xf>
    <xf numFmtId="0" fontId="29" fillId="0" borderId="59" xfId="0" applyFont="1" applyBorder="1" applyAlignment="1">
      <alignment horizontal="left" vertical="top" wrapText="1"/>
    </xf>
    <xf numFmtId="0" fontId="29" fillId="0" borderId="59" xfId="0" applyFont="1" applyBorder="1" applyAlignment="1">
      <alignment horizontal="center" vertical="top" wrapText="1"/>
    </xf>
    <xf numFmtId="0" fontId="32" fillId="0" borderId="64" xfId="0" applyFont="1" applyBorder="1" applyAlignment="1">
      <alignment horizontal="left" vertical="top" wrapText="1"/>
    </xf>
    <xf numFmtId="0" fontId="32" fillId="0" borderId="65" xfId="0" applyFont="1" applyBorder="1" applyAlignment="1">
      <alignment horizontal="left" vertical="top" wrapText="1"/>
    </xf>
    <xf numFmtId="0" fontId="29" fillId="0" borderId="65" xfId="0" applyFont="1" applyBorder="1" applyAlignment="1">
      <alignment horizontal="left" vertical="top" wrapText="1"/>
    </xf>
    <xf numFmtId="0" fontId="29" fillId="0" borderId="65" xfId="0" applyFont="1" applyBorder="1" applyAlignment="1">
      <alignment horizontal="center" vertical="top" wrapText="1"/>
    </xf>
    <xf numFmtId="0" fontId="32" fillId="0" borderId="63" xfId="0" applyFont="1" applyBorder="1" applyAlignment="1">
      <alignment vertical="top" wrapText="1"/>
    </xf>
    <xf numFmtId="0" fontId="32" fillId="0" borderId="59" xfId="0" applyFont="1" applyBorder="1" applyAlignment="1">
      <alignment vertical="top" wrapText="1"/>
    </xf>
    <xf numFmtId="0" fontId="29" fillId="0" borderId="59" xfId="0" applyFont="1" applyBorder="1" applyAlignment="1">
      <alignment vertical="top" wrapText="1"/>
    </xf>
    <xf numFmtId="0" fontId="29" fillId="10" borderId="5" xfId="0" applyFont="1" applyFill="1" applyBorder="1" applyAlignment="1">
      <alignment horizontal="center" vertical="top" wrapText="1"/>
    </xf>
    <xf numFmtId="0" fontId="29" fillId="0" borderId="57" xfId="0" applyFont="1" applyBorder="1" applyAlignment="1">
      <alignment horizontal="left" vertical="top" wrapText="1"/>
    </xf>
    <xf numFmtId="0" fontId="29" fillId="0" borderId="66" xfId="0" applyFont="1" applyBorder="1" applyAlignment="1">
      <alignment vertical="top" wrapText="1"/>
    </xf>
    <xf numFmtId="0" fontId="29" fillId="0" borderId="63" xfId="0" applyFont="1" applyBorder="1" applyAlignment="1">
      <alignment vertical="top" wrapText="1"/>
    </xf>
    <xf numFmtId="0" fontId="29" fillId="0" borderId="63" xfId="0" applyFont="1" applyBorder="1" applyAlignment="1">
      <alignment horizontal="left" vertical="top" wrapText="1"/>
    </xf>
    <xf numFmtId="0" fontId="13" fillId="0" borderId="63" xfId="0" applyFont="1" applyBorder="1" applyAlignment="1">
      <alignment horizontal="left" vertical="top" wrapText="1"/>
    </xf>
    <xf numFmtId="0" fontId="13" fillId="0" borderId="59" xfId="0" applyFont="1" applyBorder="1" applyAlignment="1">
      <alignment horizontal="left" vertical="top" wrapText="1"/>
    </xf>
    <xf numFmtId="0" fontId="13" fillId="0" borderId="57" xfId="0" applyFont="1" applyBorder="1" applyAlignment="1">
      <alignment horizontal="left" vertical="top" wrapText="1"/>
    </xf>
    <xf numFmtId="0" fontId="13" fillId="0" borderId="58" xfId="0" applyFont="1" applyBorder="1" applyAlignment="1">
      <alignment horizontal="left" vertical="top" wrapText="1"/>
    </xf>
    <xf numFmtId="0" fontId="13" fillId="0" borderId="66" xfId="0" applyFont="1" applyBorder="1" applyAlignment="1">
      <alignment vertical="top" wrapText="1"/>
    </xf>
    <xf numFmtId="0" fontId="13" fillId="0" borderId="67" xfId="0" applyFont="1" applyBorder="1" applyAlignment="1">
      <alignment vertical="top" wrapText="1"/>
    </xf>
    <xf numFmtId="0" fontId="11" fillId="15" borderId="16" xfId="0" applyFont="1" applyFill="1" applyBorder="1" applyAlignment="1">
      <alignment horizontal="left" vertical="center" wrapText="1"/>
    </xf>
    <xf numFmtId="0" fontId="13" fillId="0" borderId="64" xfId="0" applyFont="1" applyBorder="1" applyAlignment="1">
      <alignment horizontal="left" vertical="top" wrapText="1"/>
    </xf>
    <xf numFmtId="0" fontId="13" fillId="0" borderId="65" xfId="0" applyFont="1" applyBorder="1" applyAlignment="1">
      <alignment horizontal="left" vertical="top" wrapText="1"/>
    </xf>
    <xf numFmtId="0" fontId="13" fillId="0" borderId="63" xfId="0" applyFont="1" applyBorder="1" applyAlignment="1">
      <alignment vertical="top" wrapText="1"/>
    </xf>
    <xf numFmtId="0" fontId="13" fillId="0" borderId="59" xfId="0" applyFont="1" applyBorder="1" applyAlignment="1">
      <alignment vertical="top" wrapText="1"/>
    </xf>
    <xf numFmtId="0" fontId="11" fillId="0" borderId="0" xfId="0" applyFont="1" applyAlignment="1">
      <alignment vertical="top" wrapText="1"/>
    </xf>
    <xf numFmtId="0" fontId="7" fillId="0" borderId="5" xfId="0" applyFont="1" applyBorder="1" applyAlignment="1">
      <alignment horizontal="center" vertical="top" wrapText="1"/>
    </xf>
    <xf numFmtId="0" fontId="11" fillId="0" borderId="74" xfId="0" applyFont="1" applyBorder="1" applyAlignment="1">
      <alignment vertical="top" wrapText="1"/>
    </xf>
    <xf numFmtId="0" fontId="30" fillId="0" borderId="74" xfId="0" applyFont="1" applyBorder="1" applyAlignment="1">
      <alignment vertical="top" wrapText="1"/>
    </xf>
    <xf numFmtId="0" fontId="30" fillId="0" borderId="74" xfId="0" applyFont="1" applyBorder="1" applyAlignment="1">
      <alignment horizontal="center" vertical="top" wrapText="1"/>
    </xf>
    <xf numFmtId="0" fontId="7" fillId="0" borderId="57" xfId="0" applyFont="1" applyBorder="1" applyAlignment="1">
      <alignment horizontal="left" vertical="top" wrapText="1"/>
    </xf>
    <xf numFmtId="0" fontId="7" fillId="0" borderId="58" xfId="0" applyFont="1" applyBorder="1" applyAlignment="1">
      <alignment horizontal="left" vertical="top" wrapText="1"/>
    </xf>
    <xf numFmtId="0" fontId="7" fillId="0" borderId="63" xfId="0" applyFont="1" applyBorder="1" applyAlignment="1">
      <alignment horizontal="left" vertical="top" wrapText="1"/>
    </xf>
    <xf numFmtId="0" fontId="7" fillId="0" borderId="59" xfId="0" applyFont="1" applyBorder="1" applyAlignment="1">
      <alignment horizontal="left" vertical="top" wrapText="1"/>
    </xf>
    <xf numFmtId="49" fontId="41" fillId="4" borderId="0" xfId="0" applyNumberFormat="1" applyFont="1" applyFill="1" applyAlignment="1">
      <alignment wrapText="1"/>
    </xf>
    <xf numFmtId="0" fontId="11" fillId="17" borderId="0" xfId="0" applyFont="1" applyFill="1" applyAlignment="1">
      <alignment vertical="top" wrapText="1"/>
    </xf>
    <xf numFmtId="0" fontId="30" fillId="17" borderId="0" xfId="0" applyFont="1" applyFill="1" applyAlignment="1">
      <alignment vertical="top" wrapText="1"/>
    </xf>
    <xf numFmtId="0" fontId="30" fillId="17" borderId="0" xfId="0" applyFont="1" applyFill="1" applyAlignment="1">
      <alignment horizontal="center" vertical="top" wrapText="1"/>
    </xf>
    <xf numFmtId="0" fontId="29" fillId="0" borderId="60" xfId="0" applyFont="1" applyBorder="1" applyAlignment="1">
      <alignment vertical="top" wrapText="1"/>
    </xf>
    <xf numFmtId="0" fontId="7" fillId="0" borderId="15" xfId="0" applyFont="1" applyBorder="1" applyAlignment="1">
      <alignment horizontal="left" vertical="top" wrapText="1"/>
    </xf>
    <xf numFmtId="0" fontId="33" fillId="0" borderId="15" xfId="0" applyFont="1" applyBorder="1" applyAlignment="1">
      <alignment horizontal="left" vertical="top" wrapText="1"/>
    </xf>
    <xf numFmtId="0" fontId="43" fillId="2" borderId="3" xfId="0" applyFont="1" applyFill="1" applyBorder="1" applyAlignment="1">
      <alignment vertical="center" wrapText="1"/>
    </xf>
    <xf numFmtId="0" fontId="43" fillId="2" borderId="1" xfId="0" applyFont="1" applyFill="1" applyBorder="1" applyAlignment="1">
      <alignment vertical="center" wrapText="1"/>
    </xf>
    <xf numFmtId="0" fontId="43" fillId="2" borderId="0" xfId="0" applyFont="1" applyFill="1" applyAlignment="1">
      <alignment vertical="center" wrapText="1"/>
    </xf>
    <xf numFmtId="0" fontId="43" fillId="0" borderId="0" xfId="0" applyFont="1" applyAlignment="1">
      <alignment vertical="center"/>
    </xf>
    <xf numFmtId="0" fontId="30" fillId="0" borderId="0" xfId="0" applyFont="1" applyAlignment="1">
      <alignment horizontal="left" vertical="top" wrapText="1"/>
    </xf>
    <xf numFmtId="0" fontId="13" fillId="10" borderId="5" xfId="0" applyFont="1" applyFill="1" applyBorder="1" applyAlignment="1">
      <alignment horizontal="center" vertical="top" wrapText="1"/>
    </xf>
    <xf numFmtId="0" fontId="7" fillId="0" borderId="76" xfId="0" applyFont="1" applyBorder="1" applyAlignment="1">
      <alignment vertical="top" wrapText="1"/>
    </xf>
    <xf numFmtId="0" fontId="10" fillId="0" borderId="20" xfId="0" applyFont="1" applyBorder="1" applyAlignment="1">
      <alignment horizontal="left" vertical="center" wrapText="1"/>
    </xf>
    <xf numFmtId="0" fontId="7" fillId="0" borderId="20" xfId="0" applyFont="1" applyBorder="1" applyAlignment="1">
      <alignment vertical="top" wrapText="1"/>
    </xf>
    <xf numFmtId="0" fontId="7" fillId="0" borderId="30" xfId="0" applyFont="1" applyBorder="1" applyAlignment="1">
      <alignment vertical="top" wrapText="1"/>
    </xf>
    <xf numFmtId="0" fontId="7" fillId="0" borderId="23" xfId="0" applyFont="1" applyBorder="1" applyAlignment="1">
      <alignment horizontal="left" vertical="top" wrapText="1"/>
    </xf>
    <xf numFmtId="0" fontId="33" fillId="0" borderId="23" xfId="0" applyFont="1" applyBorder="1" applyAlignment="1">
      <alignment horizontal="left" vertical="top" wrapText="1"/>
    </xf>
    <xf numFmtId="0" fontId="29" fillId="10" borderId="23" xfId="0" applyFont="1" applyFill="1" applyBorder="1" applyAlignment="1">
      <alignment horizontal="center" vertical="top" wrapText="1"/>
    </xf>
    <xf numFmtId="0" fontId="11" fillId="14" borderId="76" xfId="0" applyFont="1" applyFill="1" applyBorder="1" applyAlignment="1">
      <alignment horizontal="left" vertical="center" wrapText="1"/>
    </xf>
    <xf numFmtId="0" fontId="11" fillId="19" borderId="76" xfId="0" applyFont="1" applyFill="1" applyBorder="1" applyAlignment="1">
      <alignment horizontal="left" vertical="center" wrapText="1"/>
    </xf>
    <xf numFmtId="0" fontId="11" fillId="14" borderId="77" xfId="0" applyFont="1" applyFill="1" applyBorder="1" applyAlignment="1">
      <alignment horizontal="left" vertical="center" wrapText="1"/>
    </xf>
    <xf numFmtId="0" fontId="11" fillId="15" borderId="78" xfId="0" applyFont="1" applyFill="1" applyBorder="1" applyAlignment="1">
      <alignment horizontal="left" vertical="center" wrapText="1"/>
    </xf>
    <xf numFmtId="0" fontId="11" fillId="14" borderId="80" xfId="0" applyFont="1" applyFill="1" applyBorder="1" applyAlignment="1">
      <alignment horizontal="left" vertical="center" wrapText="1"/>
    </xf>
    <xf numFmtId="0" fontId="11" fillId="15" borderId="80" xfId="0" applyFont="1" applyFill="1" applyBorder="1" applyAlignment="1">
      <alignment horizontal="left" vertical="center" wrapText="1"/>
    </xf>
    <xf numFmtId="0" fontId="29" fillId="10" borderId="41" xfId="0" applyFont="1" applyFill="1" applyBorder="1" applyAlignment="1">
      <alignment horizontal="center" vertical="top" wrapText="1"/>
    </xf>
    <xf numFmtId="0" fontId="11" fillId="14" borderId="81" xfId="0" applyFont="1" applyFill="1" applyBorder="1" applyAlignment="1">
      <alignment horizontal="left" vertical="center" wrapText="1"/>
    </xf>
    <xf numFmtId="0" fontId="31" fillId="16" borderId="82" xfId="0" applyFont="1" applyFill="1" applyBorder="1" applyAlignment="1">
      <alignment horizontal="left" vertical="center" wrapText="1"/>
    </xf>
    <xf numFmtId="0" fontId="31" fillId="16" borderId="83" xfId="0" applyFont="1" applyFill="1" applyBorder="1" applyAlignment="1">
      <alignment horizontal="left" vertical="center" wrapText="1"/>
    </xf>
    <xf numFmtId="0" fontId="30" fillId="16" borderId="83" xfId="0" applyFont="1" applyFill="1" applyBorder="1" applyAlignment="1">
      <alignment horizontal="left" vertical="center" wrapText="1"/>
    </xf>
    <xf numFmtId="0" fontId="30" fillId="14" borderId="83" xfId="0" applyFont="1" applyFill="1" applyBorder="1" applyAlignment="1">
      <alignment horizontal="center" vertical="center" wrapText="1"/>
    </xf>
    <xf numFmtId="0" fontId="11" fillId="19" borderId="0" xfId="0" applyFont="1" applyFill="1" applyAlignment="1">
      <alignment vertical="top" wrapText="1"/>
    </xf>
    <xf numFmtId="0" fontId="15" fillId="0" borderId="0" xfId="0" applyFont="1" applyAlignment="1">
      <alignment horizontal="center" vertical="top" wrapText="1"/>
    </xf>
    <xf numFmtId="0" fontId="10" fillId="9" borderId="87" xfId="0" applyFont="1" applyFill="1" applyBorder="1" applyAlignment="1">
      <alignment horizontal="center" vertical="center" wrapText="1"/>
    </xf>
    <xf numFmtId="0" fontId="17" fillId="0" borderId="21" xfId="0" applyFont="1" applyBorder="1" applyAlignment="1">
      <alignment horizontal="right" vertical="top" wrapText="1"/>
    </xf>
    <xf numFmtId="0" fontId="15" fillId="0" borderId="21" xfId="0" applyFont="1" applyBorder="1" applyAlignment="1">
      <alignment horizontal="right" vertical="top" wrapText="1"/>
    </xf>
    <xf numFmtId="0" fontId="17" fillId="0" borderId="40" xfId="0" applyFont="1" applyBorder="1" applyAlignment="1">
      <alignment horizontal="right" vertical="top" wrapText="1"/>
    </xf>
    <xf numFmtId="0" fontId="17" fillId="0" borderId="80" xfId="0" applyFont="1" applyBorder="1" applyAlignment="1">
      <alignment horizontal="right" vertical="top" wrapText="1"/>
    </xf>
    <xf numFmtId="0" fontId="13" fillId="10" borderId="80" xfId="0" applyFont="1" applyFill="1" applyBorder="1" applyAlignment="1">
      <alignment vertical="top" wrapText="1"/>
    </xf>
    <xf numFmtId="0" fontId="46" fillId="12" borderId="26" xfId="0" applyFont="1" applyFill="1" applyBorder="1" applyAlignment="1">
      <alignment horizontal="center" vertical="top" wrapText="1"/>
    </xf>
    <xf numFmtId="0" fontId="29" fillId="18" borderId="0" xfId="0" applyFont="1" applyFill="1" applyAlignment="1" applyProtection="1">
      <alignment vertical="top" wrapText="1"/>
      <protection locked="0"/>
    </xf>
    <xf numFmtId="0" fontId="37" fillId="18" borderId="0" xfId="0" applyFont="1" applyFill="1" applyAlignment="1" applyProtection="1">
      <alignment vertical="top" wrapText="1"/>
      <protection locked="0"/>
    </xf>
    <xf numFmtId="0" fontId="19" fillId="18" borderId="0" xfId="0" applyFont="1" applyFill="1" applyAlignment="1" applyProtection="1">
      <alignment vertical="top" wrapText="1"/>
      <protection hidden="1"/>
    </xf>
    <xf numFmtId="0" fontId="40" fillId="9" borderId="85" xfId="0" applyFont="1" applyFill="1" applyBorder="1" applyAlignment="1">
      <alignment horizontal="center" vertical="center" wrapText="1"/>
    </xf>
    <xf numFmtId="0" fontId="13" fillId="10" borderId="50" xfId="0" applyFont="1" applyFill="1" applyBorder="1" applyAlignment="1">
      <alignment horizontal="center" vertical="top" wrapText="1"/>
    </xf>
    <xf numFmtId="0" fontId="13" fillId="10" borderId="88" xfId="0" applyFont="1" applyFill="1" applyBorder="1" applyAlignment="1">
      <alignment horizontal="center" vertical="top" wrapText="1"/>
    </xf>
    <xf numFmtId="0" fontId="15" fillId="18" borderId="0" xfId="0" applyFont="1" applyFill="1" applyAlignment="1">
      <alignment horizontal="center" vertical="top" wrapText="1"/>
    </xf>
    <xf numFmtId="0" fontId="47" fillId="2" borderId="3" xfId="0"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2" borderId="0" xfId="0" applyFont="1" applyFill="1" applyAlignment="1">
      <alignment horizontal="center" vertical="center" wrapText="1"/>
    </xf>
    <xf numFmtId="0" fontId="47" fillId="0" borderId="0" xfId="0" applyFont="1" applyAlignment="1">
      <alignment horizontal="center" vertical="center"/>
    </xf>
    <xf numFmtId="49" fontId="48" fillId="0" borderId="0" xfId="0" applyNumberFormat="1" applyFont="1" applyAlignment="1">
      <alignment horizontal="center" vertical="center"/>
    </xf>
    <xf numFmtId="49" fontId="49" fillId="0" borderId="5" xfId="0" applyNumberFormat="1" applyFont="1" applyBorder="1" applyAlignment="1">
      <alignment horizontal="left" vertical="top" wrapText="1"/>
    </xf>
    <xf numFmtId="0" fontId="49" fillId="0" borderId="5" xfId="0" applyFont="1" applyBorder="1" applyAlignment="1">
      <alignment horizontal="left" vertical="top" wrapText="1"/>
    </xf>
    <xf numFmtId="0" fontId="15" fillId="0" borderId="5" xfId="0" applyFont="1" applyBorder="1" applyAlignment="1">
      <alignment horizontal="right" vertical="top" wrapText="1"/>
    </xf>
    <xf numFmtId="0" fontId="15" fillId="0" borderId="20" xfId="0" applyFont="1" applyBorder="1" applyAlignment="1">
      <alignment horizontal="right" vertical="top" wrapText="1"/>
    </xf>
    <xf numFmtId="0" fontId="15" fillId="0" borderId="0" xfId="0" applyFont="1" applyAlignment="1">
      <alignment horizontal="right" vertical="top" wrapText="1"/>
    </xf>
    <xf numFmtId="0" fontId="17" fillId="0" borderId="48" xfId="0" applyFont="1" applyBorder="1" applyAlignment="1">
      <alignment horizontal="right" vertical="top" wrapText="1"/>
    </xf>
    <xf numFmtId="0" fontId="17" fillId="0" borderId="49" xfId="0" applyFont="1" applyBorder="1" applyAlignment="1">
      <alignment horizontal="right" vertical="top" wrapText="1"/>
    </xf>
    <xf numFmtId="0" fontId="15" fillId="0" borderId="39" xfId="0" applyFont="1" applyBorder="1" applyAlignment="1">
      <alignment horizontal="right" vertical="top" wrapText="1"/>
    </xf>
    <xf numFmtId="0" fontId="15" fillId="0" borderId="36" xfId="0" applyFont="1" applyBorder="1" applyAlignment="1">
      <alignment horizontal="right" vertical="top" wrapText="1"/>
    </xf>
    <xf numFmtId="0" fontId="15" fillId="0" borderId="37" xfId="0" applyFont="1" applyBorder="1" applyAlignment="1">
      <alignment horizontal="right" vertical="top" wrapText="1"/>
    </xf>
    <xf numFmtId="0" fontId="17" fillId="0" borderId="45" xfId="0" applyFont="1" applyBorder="1" applyAlignment="1">
      <alignment horizontal="right" vertical="top" wrapText="1"/>
    </xf>
    <xf numFmtId="0" fontId="15" fillId="0" borderId="8" xfId="0" applyFont="1" applyBorder="1" applyAlignment="1">
      <alignment horizontal="left" vertical="top" wrapText="1"/>
    </xf>
    <xf numFmtId="0" fontId="17" fillId="0" borderId="51" xfId="0" applyFont="1" applyBorder="1" applyAlignment="1">
      <alignment horizontal="right" vertical="top" wrapText="1"/>
    </xf>
    <xf numFmtId="0" fontId="15" fillId="0" borderId="12" xfId="0" applyFont="1" applyBorder="1" applyAlignment="1">
      <alignment horizontal="left" vertical="top" wrapText="1"/>
    </xf>
    <xf numFmtId="0" fontId="13" fillId="0" borderId="0" xfId="0" applyFont="1" applyAlignment="1" applyProtection="1">
      <alignment horizontal="center" vertical="top" wrapText="1"/>
      <protection locked="0"/>
    </xf>
    <xf numFmtId="0" fontId="35" fillId="0" borderId="0" xfId="0" applyFont="1" applyAlignment="1" applyProtection="1">
      <alignment vertical="top" wrapText="1"/>
      <protection locked="0"/>
    </xf>
    <xf numFmtId="0" fontId="36" fillId="0" borderId="0" xfId="0" applyFont="1" applyAlignment="1" applyProtection="1">
      <alignment vertical="top" wrapText="1"/>
      <protection locked="0"/>
    </xf>
    <xf numFmtId="0" fontId="29" fillId="0" borderId="0" xfId="0" applyFont="1" applyAlignment="1" applyProtection="1">
      <alignment horizontal="center" vertical="top" wrapText="1"/>
      <protection locked="0"/>
    </xf>
    <xf numFmtId="0" fontId="10" fillId="0" borderId="0" xfId="0" applyFont="1" applyAlignment="1">
      <alignment horizontal="left" vertical="center" wrapText="1"/>
    </xf>
    <xf numFmtId="0" fontId="7" fillId="0" borderId="0" xfId="0" applyFont="1" applyAlignment="1">
      <alignment vertical="top" wrapText="1"/>
    </xf>
    <xf numFmtId="0" fontId="7" fillId="18" borderId="0" xfId="0" applyFont="1" applyFill="1" applyAlignment="1">
      <alignment vertical="top" wrapText="1"/>
    </xf>
    <xf numFmtId="0" fontId="10" fillId="18" borderId="0" xfId="0" applyFont="1" applyFill="1" applyAlignment="1">
      <alignment horizontal="left" vertical="center" wrapText="1"/>
    </xf>
    <xf numFmtId="0" fontId="7" fillId="18" borderId="76" xfId="0" applyFont="1" applyFill="1" applyBorder="1" applyAlignment="1">
      <alignment vertical="top" wrapText="1"/>
    </xf>
    <xf numFmtId="0" fontId="11" fillId="18" borderId="0" xfId="0" applyFont="1" applyFill="1" applyAlignment="1">
      <alignment horizontal="left" vertical="center" wrapText="1"/>
    </xf>
    <xf numFmtId="0" fontId="25" fillId="9" borderId="86" xfId="0" applyFont="1" applyFill="1" applyBorder="1" applyAlignment="1">
      <alignment vertical="center" wrapText="1"/>
    </xf>
    <xf numFmtId="0" fontId="25" fillId="9" borderId="76" xfId="0" applyFont="1" applyFill="1" applyBorder="1" applyAlignment="1">
      <alignment vertical="center" wrapText="1"/>
    </xf>
    <xf numFmtId="0" fontId="10" fillId="9" borderId="76" xfId="0" applyFont="1" applyFill="1" applyBorder="1" applyAlignment="1">
      <alignment vertical="center" wrapText="1"/>
    </xf>
    <xf numFmtId="0" fontId="31" fillId="17" borderId="98" xfId="0" applyFont="1" applyFill="1" applyBorder="1" applyAlignment="1">
      <alignment vertical="top" wrapText="1"/>
    </xf>
    <xf numFmtId="0" fontId="30" fillId="17" borderId="98" xfId="0" applyFont="1" applyFill="1" applyBorder="1" applyAlignment="1">
      <alignment vertical="top" wrapText="1"/>
    </xf>
    <xf numFmtId="0" fontId="30" fillId="17" borderId="98" xfId="0" applyFont="1" applyFill="1" applyBorder="1" applyAlignment="1">
      <alignment horizontal="center" vertical="top" wrapText="1"/>
    </xf>
    <xf numFmtId="0" fontId="30" fillId="16" borderId="23" xfId="0" applyFont="1" applyFill="1" applyBorder="1" applyAlignment="1">
      <alignment horizontal="left" vertical="center" wrapText="1"/>
    </xf>
    <xf numFmtId="0" fontId="30" fillId="14" borderId="23" xfId="0" applyFont="1" applyFill="1" applyBorder="1" applyAlignment="1">
      <alignment horizontal="center" vertical="center" wrapText="1"/>
    </xf>
    <xf numFmtId="0" fontId="10" fillId="0" borderId="89" xfId="0" applyFont="1" applyBorder="1" applyAlignment="1">
      <alignment horizontal="left" vertical="center" wrapText="1"/>
    </xf>
    <xf numFmtId="0" fontId="10" fillId="0" borderId="86" xfId="0" applyFont="1" applyBorder="1" applyAlignment="1">
      <alignment horizontal="left" vertical="center" wrapText="1"/>
    </xf>
    <xf numFmtId="0" fontId="30" fillId="17" borderId="0" xfId="0" applyFont="1" applyFill="1" applyAlignment="1">
      <alignment horizontal="left" vertical="top" wrapText="1"/>
    </xf>
    <xf numFmtId="0" fontId="25" fillId="9" borderId="0" xfId="0" applyFont="1" applyFill="1" applyAlignment="1">
      <alignment vertical="center" wrapText="1"/>
    </xf>
    <xf numFmtId="0" fontId="25" fillId="18" borderId="0" xfId="0" applyFont="1" applyFill="1" applyAlignment="1">
      <alignment vertical="center" wrapText="1"/>
    </xf>
    <xf numFmtId="0" fontId="52" fillId="9" borderId="76" xfId="0" applyFont="1" applyFill="1" applyBorder="1" applyAlignment="1">
      <alignment vertical="center" wrapText="1"/>
    </xf>
    <xf numFmtId="0" fontId="10" fillId="18" borderId="0" xfId="0" applyFont="1" applyFill="1" applyAlignment="1">
      <alignment vertical="center" wrapText="1"/>
    </xf>
    <xf numFmtId="0" fontId="52" fillId="18" borderId="0" xfId="0" applyFont="1" applyFill="1" applyAlignment="1">
      <alignment vertical="center" wrapText="1"/>
    </xf>
    <xf numFmtId="0" fontId="10" fillId="7" borderId="30" xfId="0" applyFont="1" applyFill="1" applyBorder="1" applyAlignment="1">
      <alignment horizontal="center" vertical="center" wrapText="1"/>
    </xf>
    <xf numFmtId="0" fontId="53" fillId="0" borderId="0" xfId="0" applyFont="1" applyAlignment="1">
      <alignment vertical="top"/>
    </xf>
    <xf numFmtId="0" fontId="53" fillId="0" borderId="0" xfId="0" applyFont="1" applyAlignment="1">
      <alignment vertical="top" wrapText="1"/>
    </xf>
    <xf numFmtId="0" fontId="53" fillId="0" borderId="0" xfId="0" applyFont="1"/>
    <xf numFmtId="0" fontId="51" fillId="0" borderId="0" xfId="0" applyFont="1" applyAlignment="1">
      <alignment vertical="top"/>
    </xf>
    <xf numFmtId="0" fontId="51" fillId="0" borderId="0" xfId="0" applyFont="1" applyAlignment="1">
      <alignment vertical="top" wrapText="1"/>
    </xf>
    <xf numFmtId="0" fontId="51" fillId="0" borderId="0" xfId="0" applyFont="1"/>
    <xf numFmtId="0" fontId="49" fillId="0" borderId="0" xfId="0" applyFont="1" applyAlignment="1">
      <alignment horizontal="left" vertical="top" wrapText="1"/>
    </xf>
    <xf numFmtId="0" fontId="49" fillId="0" borderId="0" xfId="0" applyFont="1" applyAlignment="1">
      <alignment vertical="top" wrapText="1"/>
    </xf>
    <xf numFmtId="0" fontId="51" fillId="0" borderId="0" xfId="0" applyFont="1" applyAlignment="1">
      <alignment wrapText="1"/>
    </xf>
    <xf numFmtId="164" fontId="7" fillId="0" borderId="5" xfId="0" applyNumberFormat="1" applyFont="1" applyBorder="1" applyAlignment="1">
      <alignment horizontal="center" vertical="center" wrapText="1"/>
    </xf>
    <xf numFmtId="2" fontId="7" fillId="0" borderId="5" xfId="0" applyNumberFormat="1" applyFont="1" applyBorder="1" applyAlignment="1">
      <alignment horizontal="center" vertical="center" wrapText="1"/>
    </xf>
    <xf numFmtId="0" fontId="7" fillId="0" borderId="9" xfId="0" applyFont="1" applyBorder="1" applyAlignment="1">
      <alignment horizontal="right" vertical="center" wrapText="1"/>
    </xf>
    <xf numFmtId="0" fontId="54" fillId="0" borderId="9" xfId="0" applyFont="1" applyBorder="1" applyAlignment="1">
      <alignment horizontal="left" vertical="top" wrapText="1"/>
    </xf>
    <xf numFmtId="0" fontId="7" fillId="0" borderId="16" xfId="0" applyFont="1" applyBorder="1" applyAlignment="1">
      <alignment vertical="center" wrapText="1"/>
    </xf>
    <xf numFmtId="0" fontId="7" fillId="0" borderId="15" xfId="0" applyFont="1" applyBorder="1" applyAlignment="1">
      <alignment vertical="center" wrapText="1"/>
    </xf>
    <xf numFmtId="0" fontId="7" fillId="0" borderId="11" xfId="0" applyFont="1" applyBorder="1" applyAlignment="1">
      <alignment vertical="center" wrapText="1"/>
    </xf>
    <xf numFmtId="0" fontId="7" fillId="0" borderId="9" xfId="0" applyFont="1" applyBorder="1" applyAlignment="1">
      <alignment vertical="center" wrapText="1"/>
    </xf>
    <xf numFmtId="0" fontId="54" fillId="0" borderId="80" xfId="0" applyFont="1" applyBorder="1" applyAlignment="1">
      <alignment horizontal="left" vertical="top" wrapText="1"/>
    </xf>
    <xf numFmtId="0" fontId="7" fillId="10" borderId="5" xfId="0" applyFont="1" applyFill="1" applyBorder="1" applyAlignment="1">
      <alignment horizontal="center" vertical="top" wrapText="1"/>
    </xf>
    <xf numFmtId="0" fontId="7" fillId="10" borderId="0" xfId="0" applyFont="1" applyFill="1" applyAlignment="1">
      <alignment horizontal="center" vertical="top" wrapText="1"/>
    </xf>
    <xf numFmtId="0" fontId="24" fillId="0" borderId="0" xfId="0" applyFont="1" applyAlignment="1">
      <alignment wrapText="1"/>
    </xf>
    <xf numFmtId="0" fontId="7" fillId="0" borderId="0" xfId="0" applyFont="1" applyAlignment="1">
      <alignment horizontal="left" vertical="center" wrapText="1"/>
    </xf>
    <xf numFmtId="0" fontId="7" fillId="10" borderId="77" xfId="0" applyFont="1" applyFill="1" applyBorder="1" applyAlignment="1">
      <alignment horizontal="center" vertical="top" wrapText="1"/>
    </xf>
    <xf numFmtId="0" fontId="7" fillId="10" borderId="80" xfId="0" applyFont="1" applyFill="1" applyBorder="1" applyAlignment="1">
      <alignment horizontal="center" vertical="top" wrapText="1"/>
    </xf>
    <xf numFmtId="0" fontId="56" fillId="0" borderId="5" xfId="0" applyFont="1" applyBorder="1" applyAlignment="1">
      <alignment horizontal="left" vertical="top" wrapText="1"/>
    </xf>
    <xf numFmtId="0" fontId="46" fillId="13" borderId="16" xfId="0" applyFont="1" applyFill="1" applyBorder="1" applyAlignment="1">
      <alignment vertical="center" wrapText="1"/>
    </xf>
    <xf numFmtId="0" fontId="46" fillId="13" borderId="15" xfId="0" applyFont="1" applyFill="1" applyBorder="1" applyAlignment="1">
      <alignment vertical="center" wrapText="1"/>
    </xf>
    <xf numFmtId="0" fontId="25" fillId="13" borderId="20" xfId="0" applyFont="1" applyFill="1" applyBorder="1" applyAlignment="1">
      <alignment vertical="center" wrapText="1"/>
    </xf>
    <xf numFmtId="0" fontId="25" fillId="13" borderId="0" xfId="0" applyFont="1" applyFill="1" applyAlignment="1">
      <alignment vertical="center" wrapText="1"/>
    </xf>
    <xf numFmtId="0" fontId="7" fillId="0" borderId="80" xfId="0" applyFont="1" applyBorder="1" applyAlignment="1">
      <alignment horizontal="center" vertical="center" wrapText="1"/>
    </xf>
    <xf numFmtId="0" fontId="16" fillId="24" borderId="21" xfId="0" applyFont="1" applyFill="1" applyBorder="1" applyAlignment="1">
      <alignment horizontal="right" vertical="top" wrapText="1"/>
    </xf>
    <xf numFmtId="0" fontId="7" fillId="10" borderId="8" xfId="0" applyFont="1" applyFill="1" applyBorder="1" applyAlignment="1">
      <alignment horizontal="center" vertical="top" wrapText="1"/>
    </xf>
    <xf numFmtId="0" fontId="7" fillId="0" borderId="80" xfId="0" applyFont="1" applyBorder="1" applyAlignment="1">
      <alignment horizontal="right" vertical="center" wrapText="1"/>
    </xf>
    <xf numFmtId="0" fontId="10" fillId="7" borderId="45" xfId="0" applyFont="1" applyFill="1" applyBorder="1" applyAlignment="1">
      <alignment vertical="center" wrapText="1"/>
    </xf>
    <xf numFmtId="0" fontId="11" fillId="8" borderId="20" xfId="0" applyFont="1" applyFill="1" applyBorder="1" applyAlignment="1">
      <alignment vertical="top" wrapText="1"/>
    </xf>
    <xf numFmtId="0" fontId="11" fillId="8" borderId="0" xfId="0" applyFont="1" applyFill="1" applyAlignment="1">
      <alignment vertical="top" wrapText="1"/>
    </xf>
    <xf numFmtId="0" fontId="25" fillId="13" borderId="29" xfId="0" applyFont="1" applyFill="1" applyBorder="1" applyAlignment="1">
      <alignment vertical="center" wrapText="1"/>
    </xf>
    <xf numFmtId="0" fontId="7" fillId="0" borderId="8" xfId="0" applyFont="1" applyBorder="1" applyAlignment="1">
      <alignment horizontal="center" vertical="center" wrapText="1"/>
    </xf>
    <xf numFmtId="0" fontId="54" fillId="0" borderId="5" xfId="0" applyFont="1" applyBorder="1" applyAlignment="1">
      <alignment horizontal="left" vertical="top" wrapText="1"/>
    </xf>
    <xf numFmtId="0" fontId="7" fillId="0" borderId="5" xfId="0" applyFont="1" applyBorder="1" applyAlignment="1">
      <alignment horizontal="right" vertical="center" wrapText="1"/>
    </xf>
    <xf numFmtId="0" fontId="7" fillId="10" borderId="5" xfId="0" applyFont="1" applyFill="1" applyBorder="1" applyAlignment="1">
      <alignment horizontal="center" vertical="center" wrapText="1"/>
    </xf>
    <xf numFmtId="0" fontId="7" fillId="0" borderId="5" xfId="0" applyFont="1" applyBorder="1" applyAlignment="1">
      <alignment vertical="center" wrapText="1"/>
    </xf>
    <xf numFmtId="0" fontId="54" fillId="0" borderId="16" xfId="0" applyFont="1" applyBorder="1" applyAlignment="1">
      <alignment horizontal="left" vertical="top" wrapText="1"/>
    </xf>
    <xf numFmtId="14" fontId="0" fillId="0" borderId="2" xfId="0" applyNumberFormat="1" applyBorder="1" applyAlignment="1" applyProtection="1">
      <alignment wrapText="1"/>
      <protection locked="0"/>
    </xf>
    <xf numFmtId="0" fontId="57" fillId="4" borderId="0" xfId="0" applyFont="1" applyFill="1" applyAlignment="1" applyProtection="1">
      <alignment wrapText="1"/>
      <protection locked="0"/>
    </xf>
    <xf numFmtId="0" fontId="57" fillId="4" borderId="0" xfId="0" applyFont="1" applyFill="1" applyAlignment="1">
      <alignment wrapText="1"/>
    </xf>
    <xf numFmtId="0" fontId="57" fillId="4" borderId="0" xfId="0" applyFont="1" applyFill="1"/>
    <xf numFmtId="0" fontId="57" fillId="0" borderId="2" xfId="0" applyFont="1" applyBorder="1" applyAlignment="1" applyProtection="1">
      <alignment wrapText="1"/>
      <protection locked="0"/>
    </xf>
    <xf numFmtId="49" fontId="57" fillId="4" borderId="0" xfId="0" applyNumberFormat="1" applyFont="1" applyFill="1" applyAlignment="1">
      <alignment wrapText="1"/>
    </xf>
    <xf numFmtId="0" fontId="57" fillId="0" borderId="0" xfId="0" applyFont="1"/>
    <xf numFmtId="0" fontId="29" fillId="18" borderId="0" xfId="0" applyFont="1" applyFill="1" applyAlignment="1" applyProtection="1">
      <alignment horizontal="center" wrapText="1"/>
      <protection locked="0"/>
    </xf>
    <xf numFmtId="0" fontId="29" fillId="18" borderId="29" xfId="0" applyFont="1" applyFill="1" applyBorder="1" applyAlignment="1" applyProtection="1">
      <alignment horizontal="center" wrapText="1"/>
      <protection locked="0"/>
    </xf>
    <xf numFmtId="0" fontId="29" fillId="18" borderId="0" xfId="0" applyFont="1" applyFill="1" applyAlignment="1" applyProtection="1">
      <alignment wrapText="1"/>
      <protection locked="0"/>
    </xf>
    <xf numFmtId="0" fontId="29" fillId="18" borderId="29" xfId="0" applyFont="1" applyFill="1" applyBorder="1" applyAlignment="1" applyProtection="1">
      <alignment wrapText="1"/>
      <protection locked="0"/>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25" fillId="0" borderId="0" xfId="0" applyFont="1" applyAlignment="1">
      <alignment horizontal="center" vertical="center" wrapText="1"/>
    </xf>
    <xf numFmtId="0" fontId="10" fillId="7" borderId="51"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0" xfId="0" applyFont="1" applyAlignment="1">
      <alignment horizontal="center" vertical="center" wrapText="1"/>
    </xf>
    <xf numFmtId="0" fontId="18" fillId="0" borderId="0" xfId="0" applyFont="1" applyAlignment="1">
      <alignment horizontal="left" vertical="top" wrapText="1"/>
    </xf>
    <xf numFmtId="0" fontId="10" fillId="0" borderId="76" xfId="0" applyFont="1" applyBorder="1" applyAlignment="1">
      <alignment horizontal="left" vertical="center" wrapText="1"/>
    </xf>
    <xf numFmtId="0" fontId="20" fillId="0" borderId="0" xfId="0" applyFont="1" applyAlignment="1">
      <alignment horizontal="center" vertical="top" wrapText="1"/>
    </xf>
    <xf numFmtId="0" fontId="13" fillId="0" borderId="0" xfId="0" applyFont="1" applyAlignment="1" applyProtection="1">
      <alignment vertical="top" wrapText="1"/>
      <protection locked="0"/>
    </xf>
    <xf numFmtId="0" fontId="7" fillId="0" borderId="64" xfId="0" applyFont="1" applyBorder="1" applyAlignment="1">
      <alignment horizontal="left" vertical="top" wrapText="1"/>
    </xf>
    <xf numFmtId="0" fontId="7" fillId="0" borderId="65" xfId="0" applyFont="1" applyBorder="1" applyAlignment="1">
      <alignment horizontal="left" vertical="top" wrapText="1"/>
    </xf>
    <xf numFmtId="0" fontId="10" fillId="7" borderId="21" xfId="0" applyFont="1" applyFill="1" applyBorder="1" applyAlignment="1">
      <alignment horizontal="center" vertical="center" wrapText="1"/>
    </xf>
    <xf numFmtId="0" fontId="12" fillId="0" borderId="0" xfId="0" applyFont="1" applyAlignment="1">
      <alignment horizontal="left" wrapText="1"/>
    </xf>
    <xf numFmtId="0" fontId="29" fillId="0" borderId="0" xfId="0" applyFont="1" applyAlignment="1" applyProtection="1">
      <alignment horizontal="center" wrapText="1"/>
      <protection locked="0"/>
    </xf>
    <xf numFmtId="0" fontId="13" fillId="0" borderId="0" xfId="0" applyFont="1" applyAlignment="1">
      <alignment horizontal="center" vertical="top" wrapText="1"/>
    </xf>
    <xf numFmtId="0" fontId="18" fillId="5" borderId="27" xfId="0" applyFont="1" applyFill="1" applyBorder="1" applyAlignment="1">
      <alignment horizontal="left" vertical="top" wrapText="1"/>
    </xf>
    <xf numFmtId="0" fontId="15" fillId="4" borderId="0" xfId="0" applyFont="1" applyFill="1" applyAlignment="1">
      <alignment horizontal="left" vertical="top" wrapText="1"/>
    </xf>
    <xf numFmtId="0" fontId="15" fillId="10" borderId="12" xfId="0" applyFont="1" applyFill="1" applyBorder="1" applyAlignment="1">
      <alignment horizontal="left" vertical="top" wrapText="1"/>
    </xf>
    <xf numFmtId="0" fontId="15" fillId="10" borderId="8" xfId="0" applyFont="1" applyFill="1" applyBorder="1" applyAlignment="1">
      <alignment horizontal="left" vertical="top" wrapText="1"/>
    </xf>
    <xf numFmtId="0" fontId="26" fillId="10" borderId="5" xfId="2" applyNumberFormat="1" applyFill="1" applyBorder="1" applyAlignment="1" applyProtection="1">
      <alignment horizontal="left" vertical="top" wrapText="1"/>
    </xf>
    <xf numFmtId="0" fontId="15" fillId="10" borderId="5" xfId="0" applyFont="1" applyFill="1" applyBorder="1" applyAlignment="1">
      <alignment horizontal="left" vertical="top" wrapText="1"/>
    </xf>
    <xf numFmtId="0" fontId="15" fillId="0" borderId="5" xfId="0" applyFont="1" applyBorder="1" applyAlignment="1">
      <alignment wrapText="1"/>
    </xf>
    <xf numFmtId="0" fontId="15" fillId="0" borderId="0" xfId="0" applyFont="1" applyAlignment="1">
      <alignment horizontal="left" vertical="top" wrapText="1"/>
    </xf>
    <xf numFmtId="0" fontId="7" fillId="10" borderId="8" xfId="0" applyFont="1" applyFill="1" applyBorder="1" applyAlignment="1">
      <alignment horizontal="left" vertical="center" wrapText="1"/>
    </xf>
    <xf numFmtId="0" fontId="7" fillId="10" borderId="5" xfId="0" applyFont="1" applyFill="1" applyBorder="1" applyAlignment="1">
      <alignment horizontal="left" vertical="center" wrapText="1"/>
    </xf>
    <xf numFmtId="0" fontId="7" fillId="10" borderId="80" xfId="0" applyFont="1" applyFill="1" applyBorder="1" applyAlignment="1">
      <alignment horizontal="left" vertical="center" wrapText="1"/>
    </xf>
    <xf numFmtId="0" fontId="10" fillId="0" borderId="0" xfId="0" applyFont="1" applyAlignment="1">
      <alignment vertical="center" wrapText="1"/>
    </xf>
    <xf numFmtId="0" fontId="7" fillId="10" borderId="94" xfId="0" applyFont="1" applyFill="1" applyBorder="1" applyAlignment="1">
      <alignment horizontal="left" vertical="center" wrapText="1"/>
    </xf>
    <xf numFmtId="0" fontId="7" fillId="0" borderId="0" xfId="0" applyFont="1" applyAlignment="1">
      <alignment vertical="center" wrapText="1"/>
    </xf>
    <xf numFmtId="0" fontId="15" fillId="0" borderId="0" xfId="0" applyFont="1" applyAlignment="1">
      <alignment wrapText="1"/>
    </xf>
    <xf numFmtId="0" fontId="20" fillId="0" borderId="0" xfId="0" applyFont="1" applyAlignment="1">
      <alignment wrapText="1"/>
    </xf>
    <xf numFmtId="0" fontId="58" fillId="0" borderId="0" xfId="0" applyFont="1" applyAlignment="1">
      <alignment horizontal="center" vertical="center" wrapText="1"/>
    </xf>
    <xf numFmtId="0" fontId="23" fillId="0" borderId="0" xfId="0" applyFont="1" applyAlignment="1">
      <alignment wrapText="1"/>
    </xf>
    <xf numFmtId="0" fontId="18" fillId="0" borderId="20" xfId="0" applyFont="1" applyBorder="1" applyAlignment="1">
      <alignment horizontal="right" vertical="top" wrapText="1"/>
    </xf>
    <xf numFmtId="0" fontId="18" fillId="23" borderId="29" xfId="0" applyFont="1" applyFill="1" applyBorder="1" applyAlignment="1">
      <alignment wrapText="1"/>
    </xf>
    <xf numFmtId="0" fontId="18" fillId="5" borderId="53" xfId="0" applyFont="1" applyFill="1" applyBorder="1" applyAlignment="1">
      <alignment horizontal="left" vertical="top" wrapText="1"/>
    </xf>
    <xf numFmtId="0" fontId="18" fillId="5" borderId="54" xfId="0" applyFont="1" applyFill="1" applyBorder="1" applyAlignment="1">
      <alignment wrapText="1"/>
    </xf>
    <xf numFmtId="0" fontId="15" fillId="4" borderId="20" xfId="0" applyFont="1" applyFill="1" applyBorder="1" applyAlignment="1">
      <alignment horizontal="left" vertical="top" wrapText="1"/>
    </xf>
    <xf numFmtId="0" fontId="15" fillId="4" borderId="29" xfId="0" applyFont="1" applyFill="1" applyBorder="1" applyAlignment="1">
      <alignment wrapText="1"/>
    </xf>
    <xf numFmtId="0" fontId="10" fillId="9" borderId="17" xfId="0" applyFont="1" applyFill="1" applyBorder="1" applyAlignment="1">
      <alignment horizontal="left" vertical="center" wrapText="1"/>
    </xf>
    <xf numFmtId="0" fontId="45" fillId="0" borderId="0" xfId="0" applyFont="1" applyAlignment="1">
      <alignment wrapText="1"/>
    </xf>
    <xf numFmtId="0" fontId="14" fillId="0" borderId="52" xfId="0" applyFont="1" applyBorder="1" applyAlignment="1">
      <alignment vertical="top" wrapText="1"/>
    </xf>
    <xf numFmtId="0" fontId="14" fillId="0" borderId="46" xfId="0" applyFont="1" applyBorder="1" applyAlignment="1">
      <alignment vertical="top" wrapText="1"/>
    </xf>
    <xf numFmtId="0" fontId="14" fillId="0" borderId="38" xfId="0" applyFont="1" applyBorder="1" applyAlignment="1">
      <alignment vertical="top" wrapText="1"/>
    </xf>
    <xf numFmtId="0" fontId="15" fillId="0" borderId="38" xfId="0" applyFont="1" applyBorder="1" applyAlignment="1">
      <alignment wrapText="1"/>
    </xf>
    <xf numFmtId="0" fontId="15" fillId="0" borderId="21" xfId="0" applyFont="1" applyBorder="1" applyAlignment="1">
      <alignment wrapText="1"/>
    </xf>
    <xf numFmtId="0" fontId="6" fillId="0" borderId="0" xfId="0" applyFont="1" applyAlignment="1">
      <alignment horizontal="center" vertical="top" wrapText="1"/>
    </xf>
    <xf numFmtId="0" fontId="0" fillId="0" borderId="0" xfId="0" applyAlignment="1">
      <alignment horizontal="center" wrapText="1"/>
    </xf>
    <xf numFmtId="0" fontId="19" fillId="0" borderId="0" xfId="0" applyFont="1" applyAlignment="1">
      <alignment vertical="top" wrapText="1"/>
    </xf>
    <xf numFmtId="0" fontId="15" fillId="0" borderId="21" xfId="0" applyFont="1" applyBorder="1" applyAlignment="1">
      <alignment horizontal="left" vertical="top" wrapText="1"/>
    </xf>
    <xf numFmtId="0" fontId="15" fillId="0" borderId="0" xfId="0" applyFont="1" applyAlignment="1">
      <alignment horizontal="center" vertical="center" wrapText="1"/>
    </xf>
    <xf numFmtId="49" fontId="23" fillId="0" borderId="0" xfId="0" applyNumberFormat="1" applyFont="1" applyAlignment="1">
      <alignment horizontal="left" vertical="top" wrapText="1"/>
    </xf>
    <xf numFmtId="0" fontId="35" fillId="0" borderId="38" xfId="0" applyFont="1" applyBorder="1" applyAlignment="1">
      <alignment vertical="top" wrapText="1"/>
    </xf>
    <xf numFmtId="0" fontId="35" fillId="0" borderId="19" xfId="0" applyFont="1" applyBorder="1" applyAlignment="1">
      <alignment vertical="top" wrapText="1"/>
    </xf>
    <xf numFmtId="0" fontId="23" fillId="0" borderId="0" xfId="0" applyFont="1" applyAlignment="1">
      <alignment horizontal="left" vertical="top" wrapText="1"/>
    </xf>
    <xf numFmtId="0" fontId="7" fillId="0" borderId="0" xfId="0" applyFont="1" applyAlignment="1">
      <alignment wrapText="1"/>
    </xf>
    <xf numFmtId="0" fontId="45" fillId="0" borderId="0" xfId="0" applyFont="1" applyAlignment="1">
      <alignment horizontal="center" vertical="center" wrapText="1"/>
    </xf>
    <xf numFmtId="0" fontId="55" fillId="0" borderId="29" xfId="0" applyFont="1" applyBorder="1" applyAlignment="1">
      <alignment vertical="top" wrapText="1"/>
    </xf>
    <xf numFmtId="0" fontId="55" fillId="0" borderId="19" xfId="0" applyFont="1" applyBorder="1" applyAlignment="1">
      <alignment vertical="top" wrapText="1"/>
    </xf>
    <xf numFmtId="0" fontId="55" fillId="0" borderId="33" xfId="0" applyFont="1" applyBorder="1" applyAlignment="1">
      <alignment vertical="top" wrapText="1"/>
    </xf>
    <xf numFmtId="0" fontId="10" fillId="7" borderId="5" xfId="0" applyFont="1" applyFill="1" applyBorder="1" applyAlignment="1">
      <alignment horizontal="left" vertical="center" wrapText="1"/>
    </xf>
    <xf numFmtId="0" fontId="10" fillId="7" borderId="80" xfId="0" applyFont="1" applyFill="1" applyBorder="1" applyAlignment="1">
      <alignment horizontal="left" vertical="center" wrapText="1"/>
    </xf>
    <xf numFmtId="0" fontId="10" fillId="0" borderId="75" xfId="0" applyFont="1" applyBorder="1" applyAlignment="1">
      <alignment vertical="center" wrapText="1"/>
    </xf>
    <xf numFmtId="0" fontId="24" fillId="0" borderId="0" xfId="0" applyFont="1" applyAlignment="1">
      <alignment vertical="top" wrapText="1"/>
    </xf>
    <xf numFmtId="0" fontId="55" fillId="0" borderId="5" xfId="0" applyFont="1" applyBorder="1" applyAlignment="1">
      <alignment vertical="top" wrapText="1"/>
    </xf>
    <xf numFmtId="0" fontId="10" fillId="7" borderId="9" xfId="0" applyFont="1" applyFill="1" applyBorder="1" applyAlignment="1">
      <alignment horizontal="left" vertical="center" wrapText="1"/>
    </xf>
    <xf numFmtId="0" fontId="7" fillId="0" borderId="9" xfId="0" applyFont="1" applyBorder="1" applyAlignment="1">
      <alignment horizontal="left" vertical="center" wrapText="1"/>
    </xf>
    <xf numFmtId="0" fontId="10" fillId="13" borderId="16" xfId="0" applyFont="1" applyFill="1" applyBorder="1" applyAlignment="1">
      <alignment vertical="center" wrapText="1"/>
    </xf>
    <xf numFmtId="0" fontId="10" fillId="13" borderId="15" xfId="0" applyFont="1" applyFill="1" applyBorder="1" applyAlignment="1">
      <alignment vertical="center" wrapText="1"/>
    </xf>
    <xf numFmtId="164" fontId="7" fillId="0" borderId="16" xfId="0" applyNumberFormat="1" applyFont="1" applyBorder="1" applyAlignment="1">
      <alignment horizontal="center" vertical="center" wrapText="1"/>
    </xf>
    <xf numFmtId="0" fontId="25" fillId="13" borderId="75" xfId="0" applyFont="1" applyFill="1" applyBorder="1" applyAlignment="1">
      <alignment vertical="center" wrapText="1"/>
    </xf>
    <xf numFmtId="0" fontId="10" fillId="13" borderId="16" xfId="0" applyFont="1" applyFill="1" applyBorder="1" applyAlignment="1">
      <alignment horizontal="center" vertical="center" wrapText="1"/>
    </xf>
    <xf numFmtId="0" fontId="7" fillId="0" borderId="7" xfId="0" applyFont="1" applyBorder="1" applyAlignment="1">
      <alignment horizontal="right" vertical="center" wrapText="1"/>
    </xf>
    <xf numFmtId="0" fontId="7" fillId="0" borderId="8" xfId="0" applyFont="1" applyBorder="1" applyAlignment="1">
      <alignment horizontal="right" vertical="center" wrapText="1"/>
    </xf>
    <xf numFmtId="0" fontId="10" fillId="13" borderId="95" xfId="0" applyFont="1" applyFill="1" applyBorder="1" applyAlignment="1">
      <alignment horizontal="left" vertical="center" wrapText="1"/>
    </xf>
    <xf numFmtId="0" fontId="10" fillId="13" borderId="15" xfId="0" applyFont="1" applyFill="1" applyBorder="1" applyAlignment="1">
      <alignment horizontal="left" vertical="center" wrapText="1"/>
    </xf>
    <xf numFmtId="0" fontId="7" fillId="0" borderId="12" xfId="0" applyFont="1" applyBorder="1" applyAlignment="1">
      <alignment horizontal="left" vertical="center" wrapText="1"/>
    </xf>
    <xf numFmtId="0" fontId="7" fillId="0" borderId="5" xfId="0" applyFont="1" applyBorder="1" applyAlignment="1">
      <alignment horizontal="left" vertical="center" wrapText="1"/>
    </xf>
    <xf numFmtId="0" fontId="7" fillId="0" borderId="8" xfId="0" applyFont="1" applyBorder="1" applyAlignment="1">
      <alignment horizontal="left" vertical="center" wrapText="1"/>
    </xf>
    <xf numFmtId="0" fontId="7" fillId="0" borderId="80" xfId="0" applyFont="1" applyBorder="1" applyAlignment="1">
      <alignment horizontal="left" vertical="center" wrapText="1"/>
    </xf>
    <xf numFmtId="164" fontId="7" fillId="0" borderId="5" xfId="0" applyNumberFormat="1" applyFont="1" applyBorder="1" applyAlignment="1">
      <alignment horizontal="left" vertical="center" wrapText="1"/>
    </xf>
    <xf numFmtId="0" fontId="10" fillId="7" borderId="51" xfId="0" applyFont="1" applyFill="1" applyBorder="1" applyAlignment="1">
      <alignment horizontal="left" vertical="center" wrapText="1"/>
    </xf>
    <xf numFmtId="0" fontId="7" fillId="0" borderId="80" xfId="0" applyFont="1" applyBorder="1" applyAlignment="1">
      <alignment vertical="center" wrapText="1"/>
    </xf>
    <xf numFmtId="0" fontId="45" fillId="0" borderId="0" xfId="0" applyFont="1" applyAlignment="1">
      <alignment vertical="center" wrapText="1"/>
    </xf>
    <xf numFmtId="0" fontId="7" fillId="18" borderId="5" xfId="0" applyFont="1" applyFill="1" applyBorder="1" applyAlignment="1">
      <alignment horizontal="left" vertical="center" wrapText="1"/>
    </xf>
    <xf numFmtId="0" fontId="7" fillId="0" borderId="94" xfId="0" applyFont="1" applyBorder="1" applyAlignment="1">
      <alignment horizontal="left" vertical="center" wrapText="1"/>
    </xf>
    <xf numFmtId="0" fontId="10" fillId="13" borderId="75" xfId="0" applyFont="1" applyFill="1" applyBorder="1" applyAlignment="1">
      <alignment vertical="center" wrapText="1"/>
    </xf>
    <xf numFmtId="0" fontId="10" fillId="13" borderId="0" xfId="0" applyFont="1" applyFill="1" applyAlignment="1">
      <alignment vertical="center" wrapText="1"/>
    </xf>
    <xf numFmtId="0" fontId="7" fillId="0" borderId="77" xfId="0" applyFont="1" applyBorder="1" applyAlignment="1">
      <alignment horizontal="left" vertical="center" wrapText="1"/>
    </xf>
    <xf numFmtId="0" fontId="55" fillId="0" borderId="77" xfId="0" applyFont="1" applyBorder="1" applyAlignment="1">
      <alignment vertical="top" wrapText="1"/>
    </xf>
    <xf numFmtId="0" fontId="45" fillId="0" borderId="0" xfId="0" applyFont="1" applyAlignment="1">
      <alignment horizontal="left" vertical="center" wrapText="1"/>
    </xf>
    <xf numFmtId="2" fontId="7" fillId="0" borderId="0" xfId="0" applyNumberFormat="1" applyFont="1" applyAlignment="1">
      <alignment horizontal="center" vertical="center" wrapText="1"/>
    </xf>
    <xf numFmtId="0" fontId="61" fillId="0" borderId="0" xfId="0" applyFont="1" applyAlignment="1">
      <alignment wrapText="1"/>
    </xf>
    <xf numFmtId="0" fontId="46" fillId="12" borderId="18" xfId="0" applyFont="1" applyFill="1" applyBorder="1" applyAlignment="1">
      <alignment horizontal="left" vertical="center" wrapText="1"/>
    </xf>
    <xf numFmtId="0" fontId="15" fillId="18" borderId="0" xfId="0" applyFont="1" applyFill="1" applyAlignment="1">
      <alignment vertical="top" wrapText="1"/>
    </xf>
    <xf numFmtId="0" fontId="15" fillId="18" borderId="29" xfId="0" applyFont="1" applyFill="1" applyBorder="1" applyAlignment="1">
      <alignment vertical="top" wrapText="1"/>
    </xf>
    <xf numFmtId="0" fontId="14" fillId="0" borderId="19" xfId="0" applyFont="1" applyBorder="1" applyAlignment="1">
      <alignment vertical="top" wrapText="1"/>
    </xf>
    <xf numFmtId="0" fontId="14" fillId="0" borderId="29" xfId="0" applyFont="1" applyBorder="1" applyAlignment="1">
      <alignment vertical="top" wrapText="1"/>
    </xf>
    <xf numFmtId="0" fontId="14" fillId="0" borderId="31" xfId="0" applyFont="1" applyBorder="1" applyAlignment="1">
      <alignment vertical="top" wrapText="1"/>
    </xf>
    <xf numFmtId="0" fontId="15" fillId="18" borderId="29" xfId="0" applyFont="1" applyFill="1" applyBorder="1" applyAlignment="1">
      <alignment horizontal="center" vertical="top" wrapText="1"/>
    </xf>
    <xf numFmtId="0" fontId="15" fillId="0" borderId="0" xfId="0" applyFont="1" applyAlignment="1">
      <alignment horizontal="center" wrapText="1"/>
    </xf>
    <xf numFmtId="0" fontId="20" fillId="0" borderId="0" xfId="0" applyFont="1" applyAlignment="1">
      <alignment vertical="top" wrapText="1"/>
    </xf>
    <xf numFmtId="0" fontId="17" fillId="0" borderId="0" xfId="0" applyFont="1" applyAlignment="1">
      <alignment vertical="top" wrapText="1"/>
    </xf>
    <xf numFmtId="0" fontId="22" fillId="0" borderId="0" xfId="0" applyFont="1" applyAlignment="1">
      <alignment vertical="top" wrapText="1"/>
    </xf>
    <xf numFmtId="0" fontId="21" fillId="0" borderId="29" xfId="0" applyFont="1" applyBorder="1" applyAlignment="1">
      <alignment vertical="top" wrapText="1"/>
    </xf>
    <xf numFmtId="0" fontId="17" fillId="0" borderId="23" xfId="0" applyFont="1" applyBorder="1" applyAlignment="1">
      <alignment vertical="top" wrapText="1"/>
    </xf>
    <xf numFmtId="0" fontId="17" fillId="0" borderId="18" xfId="0" applyFont="1" applyBorder="1" applyAlignment="1">
      <alignment wrapText="1"/>
    </xf>
    <xf numFmtId="0" fontId="17" fillId="0" borderId="0" xfId="0" applyFont="1" applyAlignment="1">
      <alignment wrapText="1"/>
    </xf>
    <xf numFmtId="0" fontId="27" fillId="0" borderId="0" xfId="0" applyFont="1" applyAlignment="1">
      <alignment horizontal="center" vertical="top" wrapText="1"/>
    </xf>
    <xf numFmtId="0" fontId="35" fillId="0" borderId="29" xfId="0" applyFont="1" applyBorder="1" applyAlignment="1">
      <alignment wrapText="1"/>
    </xf>
    <xf numFmtId="0" fontId="17" fillId="0" borderId="23" xfId="0" applyFont="1" applyBorder="1" applyAlignment="1">
      <alignment wrapText="1"/>
    </xf>
    <xf numFmtId="0" fontId="35" fillId="0" borderId="31" xfId="0" applyFont="1" applyBorder="1" applyAlignment="1">
      <alignment wrapText="1"/>
    </xf>
    <xf numFmtId="0" fontId="17" fillId="0" borderId="0" xfId="0" applyFont="1" applyAlignment="1">
      <alignment horizontal="right" vertical="top" wrapText="1"/>
    </xf>
    <xf numFmtId="0" fontId="17" fillId="0" borderId="23" xfId="0" applyFont="1" applyBorder="1" applyAlignment="1">
      <alignment horizontal="right" vertical="top" wrapText="1"/>
    </xf>
    <xf numFmtId="0" fontId="17" fillId="0" borderId="18" xfId="0" applyFont="1" applyBorder="1" applyAlignment="1">
      <alignment horizontal="right" vertical="top" wrapText="1"/>
    </xf>
    <xf numFmtId="0" fontId="15" fillId="0" borderId="18" xfId="0" applyFont="1" applyBorder="1" applyAlignment="1">
      <alignment horizontal="left" vertical="top" wrapText="1"/>
    </xf>
    <xf numFmtId="0" fontId="15" fillId="0" borderId="23" xfId="0" applyFont="1" applyBorder="1" applyAlignment="1">
      <alignment horizontal="left" vertical="top" wrapText="1"/>
    </xf>
    <xf numFmtId="0" fontId="14" fillId="0" borderId="33" xfId="0" applyFont="1" applyBorder="1" applyAlignment="1">
      <alignment vertical="top" wrapText="1"/>
    </xf>
    <xf numFmtId="0" fontId="15" fillId="0" borderId="18" xfId="0" applyFont="1" applyBorder="1" applyAlignment="1">
      <alignment wrapText="1"/>
    </xf>
    <xf numFmtId="0" fontId="17" fillId="0" borderId="18" xfId="0" applyFont="1" applyBorder="1" applyAlignment="1">
      <alignment horizontal="left" vertical="top" wrapText="1"/>
    </xf>
    <xf numFmtId="0" fontId="17" fillId="0" borderId="0" xfId="0" applyFont="1" applyAlignment="1">
      <alignment horizontal="left" vertical="top" wrapText="1"/>
    </xf>
    <xf numFmtId="0" fontId="17" fillId="0" borderId="23" xfId="0" applyFont="1" applyBorder="1" applyAlignment="1">
      <alignment horizontal="left" vertical="top" wrapText="1"/>
    </xf>
    <xf numFmtId="0" fontId="27" fillId="0" borderId="0" xfId="0" applyFont="1" applyAlignment="1">
      <alignment vertical="top" wrapText="1"/>
    </xf>
    <xf numFmtId="0" fontId="15" fillId="0" borderId="18" xfId="0" applyFont="1" applyBorder="1" applyAlignment="1">
      <alignment vertical="top" wrapText="1"/>
    </xf>
    <xf numFmtId="0" fontId="15" fillId="0" borderId="0" xfId="0" applyFont="1" applyAlignment="1">
      <alignment vertical="top" wrapText="1"/>
    </xf>
    <xf numFmtId="0" fontId="15" fillId="0" borderId="23" xfId="0" applyFont="1" applyBorder="1" applyAlignment="1">
      <alignment vertical="top" wrapText="1"/>
    </xf>
    <xf numFmtId="0" fontId="14" fillId="0" borderId="44" xfId="0" applyFont="1" applyBorder="1" applyAlignment="1">
      <alignment vertical="top" wrapText="1"/>
    </xf>
    <xf numFmtId="0" fontId="14" fillId="0" borderId="50" xfId="0" applyFont="1" applyBorder="1" applyAlignment="1">
      <alignment vertical="top" wrapText="1"/>
    </xf>
    <xf numFmtId="0" fontId="15" fillId="0" borderId="29" xfId="0" applyFont="1" applyBorder="1" applyAlignment="1">
      <alignment vertical="top" wrapText="1"/>
    </xf>
    <xf numFmtId="0" fontId="14" fillId="0" borderId="26" xfId="0" applyFont="1" applyBorder="1" applyAlignment="1">
      <alignment vertical="top" wrapText="1"/>
    </xf>
    <xf numFmtId="0" fontId="15" fillId="0" borderId="29" xfId="0" applyFont="1" applyBorder="1" applyAlignment="1">
      <alignment wrapText="1"/>
    </xf>
    <xf numFmtId="0" fontId="22" fillId="0" borderId="0" xfId="0" applyFont="1" applyAlignment="1">
      <alignment horizontal="right" vertical="top" wrapText="1"/>
    </xf>
    <xf numFmtId="0" fontId="22" fillId="0" borderId="23" xfId="0" applyFont="1" applyBorder="1" applyAlignment="1">
      <alignment horizontal="right" vertical="top" wrapText="1"/>
    </xf>
    <xf numFmtId="0" fontId="15" fillId="0" borderId="17" xfId="0" applyFont="1" applyBorder="1" applyAlignment="1">
      <alignment vertical="top" wrapText="1"/>
    </xf>
    <xf numFmtId="0" fontId="15" fillId="0" borderId="20" xfId="0" applyFont="1" applyBorder="1" applyAlignment="1">
      <alignment vertical="top" wrapText="1"/>
    </xf>
    <xf numFmtId="0" fontId="15" fillId="0" borderId="30" xfId="0" applyFont="1" applyBorder="1" applyAlignment="1">
      <alignment vertical="top" wrapText="1"/>
    </xf>
    <xf numFmtId="0" fontId="15" fillId="0" borderId="35" xfId="0" applyFont="1" applyBorder="1" applyAlignment="1">
      <alignment vertical="top" wrapText="1"/>
    </xf>
    <xf numFmtId="0" fontId="29" fillId="0" borderId="17" xfId="0" applyFont="1" applyBorder="1" applyAlignment="1" applyProtection="1">
      <alignment wrapText="1"/>
      <protection locked="0"/>
    </xf>
    <xf numFmtId="0" fontId="37" fillId="18" borderId="0" xfId="0" applyFont="1" applyFill="1" applyAlignment="1" applyProtection="1">
      <alignment wrapText="1"/>
      <protection locked="0"/>
    </xf>
    <xf numFmtId="0" fontId="32" fillId="0" borderId="0" xfId="0" applyFont="1" applyAlignment="1" applyProtection="1">
      <alignment horizontal="center" vertical="center" wrapText="1"/>
      <protection locked="0"/>
    </xf>
    <xf numFmtId="0" fontId="32" fillId="0" borderId="17" xfId="0" applyFont="1" applyBorder="1" applyAlignment="1" applyProtection="1">
      <alignment horizontal="center" vertical="center" wrapText="1"/>
      <protection locked="0"/>
    </xf>
    <xf numFmtId="0" fontId="10" fillId="9" borderId="24" xfId="0" applyFont="1" applyFill="1" applyBorder="1" applyAlignment="1">
      <alignment horizontal="left" vertical="center" wrapText="1"/>
    </xf>
    <xf numFmtId="0" fontId="10" fillId="9" borderId="48" xfId="0" applyFont="1" applyFill="1" applyBorder="1" applyAlignment="1">
      <alignment horizontal="left" vertical="center" wrapText="1"/>
    </xf>
    <xf numFmtId="0" fontId="11" fillId="0" borderId="0" xfId="0" applyFont="1" applyAlignment="1">
      <alignment horizontal="center" vertical="top" wrapText="1"/>
    </xf>
    <xf numFmtId="0" fontId="40" fillId="0" borderId="5" xfId="0" applyFont="1" applyBorder="1" applyAlignment="1">
      <alignment horizontal="right" vertical="center" wrapText="1"/>
    </xf>
    <xf numFmtId="0" fontId="37" fillId="0" borderId="0" xfId="0" applyFont="1" applyAlignment="1" applyProtection="1">
      <alignment horizontal="center" wrapText="1"/>
      <protection locked="0"/>
    </xf>
    <xf numFmtId="0" fontId="0" fillId="18" borderId="0" xfId="0" applyFill="1" applyAlignment="1">
      <alignment wrapText="1"/>
    </xf>
    <xf numFmtId="0" fontId="38" fillId="18" borderId="0" xfId="0" applyFont="1" applyFill="1" applyAlignment="1" applyProtection="1">
      <alignment wrapText="1"/>
      <protection hidden="1"/>
    </xf>
    <xf numFmtId="0" fontId="19" fillId="18" borderId="0" xfId="0" applyFont="1" applyFill="1" applyAlignment="1" applyProtection="1">
      <alignment wrapText="1"/>
      <protection hidden="1"/>
    </xf>
    <xf numFmtId="0" fontId="50" fillId="0" borderId="80" xfId="0" applyFont="1" applyBorder="1" applyAlignment="1">
      <alignment horizontal="right" vertical="center" wrapText="1"/>
    </xf>
    <xf numFmtId="0" fontId="19" fillId="18" borderId="0" xfId="0" applyFont="1" applyFill="1" applyAlignment="1">
      <alignment wrapText="1"/>
    </xf>
    <xf numFmtId="0" fontId="10" fillId="19" borderId="76" xfId="0" applyFont="1" applyFill="1" applyBorder="1" applyAlignment="1">
      <alignment horizontal="left" vertical="center" wrapText="1"/>
    </xf>
    <xf numFmtId="0" fontId="13" fillId="0" borderId="5" xfId="0" applyFont="1" applyBorder="1" applyAlignment="1">
      <alignment horizontal="left" vertical="center" wrapText="1"/>
    </xf>
    <xf numFmtId="0" fontId="28" fillId="0" borderId="0" xfId="0" applyFont="1" applyAlignment="1">
      <alignment wrapText="1"/>
    </xf>
    <xf numFmtId="0" fontId="28" fillId="18" borderId="0" xfId="0" applyFont="1" applyFill="1" applyAlignment="1">
      <alignment wrapText="1"/>
    </xf>
    <xf numFmtId="0" fontId="10" fillId="7" borderId="21" xfId="0" applyFont="1" applyFill="1" applyBorder="1" applyAlignment="1">
      <alignment horizontal="left" vertical="center" wrapText="1"/>
    </xf>
    <xf numFmtId="0" fontId="15" fillId="0" borderId="5" xfId="0" applyFont="1" applyBorder="1" applyAlignment="1">
      <alignment horizontal="left" vertical="center" wrapText="1"/>
    </xf>
    <xf numFmtId="0" fontId="7" fillId="0" borderId="21" xfId="0" applyFont="1" applyBorder="1" applyAlignment="1">
      <alignment horizontal="left" vertical="center" wrapText="1"/>
    </xf>
    <xf numFmtId="0" fontId="13" fillId="0" borderId="5" xfId="0" applyFont="1" applyBorder="1" applyAlignment="1">
      <alignment horizontal="left" vertical="top" wrapText="1"/>
    </xf>
    <xf numFmtId="0" fontId="24" fillId="0" borderId="5" xfId="0" applyFont="1" applyBorder="1" applyAlignment="1">
      <alignment horizontal="left" vertical="center" wrapText="1"/>
    </xf>
    <xf numFmtId="0" fontId="7" fillId="18" borderId="21" xfId="0" applyFont="1" applyFill="1" applyBorder="1" applyAlignment="1">
      <alignment horizontal="left" vertical="center" wrapText="1"/>
    </xf>
    <xf numFmtId="0" fontId="37" fillId="18" borderId="0" xfId="0" applyFont="1" applyFill="1" applyAlignment="1" applyProtection="1">
      <alignment horizontal="center" wrapText="1"/>
      <protection locked="0"/>
    </xf>
    <xf numFmtId="0" fontId="37" fillId="18" borderId="29" xfId="0" applyFont="1" applyFill="1" applyBorder="1" applyAlignment="1" applyProtection="1">
      <alignment horizontal="center" wrapText="1"/>
      <protection locked="0"/>
    </xf>
    <xf numFmtId="0" fontId="37" fillId="18" borderId="29" xfId="0" applyFont="1" applyFill="1" applyBorder="1" applyAlignment="1" applyProtection="1">
      <alignment wrapText="1"/>
      <protection locked="0"/>
    </xf>
    <xf numFmtId="0" fontId="37" fillId="0" borderId="0" xfId="0" applyFont="1" applyAlignment="1" applyProtection="1">
      <alignment wrapText="1"/>
      <protection locked="0"/>
    </xf>
    <xf numFmtId="0" fontId="29" fillId="0" borderId="29" xfId="0" applyFont="1" applyBorder="1" applyAlignment="1" applyProtection="1">
      <alignment horizontal="center" wrapText="1"/>
      <protection locked="0"/>
    </xf>
    <xf numFmtId="0" fontId="7" fillId="0" borderId="23" xfId="0" applyFont="1" applyBorder="1" applyAlignment="1">
      <alignment horizontal="left" vertical="center" wrapText="1"/>
    </xf>
    <xf numFmtId="0" fontId="0" fillId="0" borderId="23" xfId="0" applyBorder="1" applyAlignment="1">
      <alignment wrapText="1"/>
    </xf>
    <xf numFmtId="0" fontId="7" fillId="18" borderId="0" xfId="0" applyFont="1" applyFill="1" applyAlignment="1" applyProtection="1">
      <alignment vertical="top" wrapText="1"/>
      <protection locked="0"/>
    </xf>
    <xf numFmtId="0" fontId="11" fillId="8" borderId="0" xfId="0" applyFont="1" applyFill="1" applyAlignment="1" applyProtection="1">
      <alignment vertical="top" wrapText="1"/>
      <protection locked="0"/>
    </xf>
    <xf numFmtId="0" fontId="33" fillId="0" borderId="0" xfId="0" applyFont="1" applyAlignment="1" applyProtection="1">
      <alignment vertical="top" wrapText="1"/>
      <protection locked="0"/>
    </xf>
    <xf numFmtId="0" fontId="7" fillId="0" borderId="0" xfId="0" applyFont="1" applyAlignment="1" applyProtection="1">
      <alignment horizontal="center" vertical="top" wrapText="1"/>
      <protection locked="0"/>
    </xf>
    <xf numFmtId="0" fontId="37" fillId="0" borderId="0" xfId="0" applyFont="1" applyAlignment="1" applyProtection="1">
      <alignment vertical="top" wrapText="1"/>
      <protection locked="0"/>
    </xf>
    <xf numFmtId="0" fontId="13" fillId="18" borderId="0" xfId="0" applyFont="1" applyFill="1" applyAlignment="1" applyProtection="1">
      <alignment vertical="top" wrapText="1"/>
      <protection locked="0"/>
    </xf>
    <xf numFmtId="0" fontId="36" fillId="0" borderId="0" xfId="0" applyFont="1" applyAlignment="1" applyProtection="1">
      <alignment wrapText="1"/>
      <protection locked="0"/>
    </xf>
    <xf numFmtId="14" fontId="6" fillId="0" borderId="2" xfId="0" applyNumberFormat="1" applyFont="1" applyBorder="1" applyAlignment="1" applyProtection="1">
      <alignment wrapText="1"/>
      <protection locked="0"/>
    </xf>
    <xf numFmtId="0" fontId="62" fillId="0" borderId="0" xfId="0" applyFont="1" applyAlignment="1">
      <alignment wrapText="1"/>
    </xf>
    <xf numFmtId="0" fontId="15" fillId="18" borderId="0" xfId="0" applyFont="1" applyFill="1" applyAlignment="1">
      <alignment horizontal="center" vertical="top" wrapText="1"/>
    </xf>
    <xf numFmtId="0" fontId="15" fillId="18" borderId="29" xfId="0" applyFont="1" applyFill="1" applyBorder="1" applyAlignment="1">
      <alignment horizontal="center" vertical="top" wrapText="1"/>
    </xf>
    <xf numFmtId="14" fontId="26" fillId="10" borderId="5" xfId="2" applyNumberFormat="1" applyFill="1" applyBorder="1" applyAlignment="1">
      <alignment horizontal="left" vertical="top" wrapText="1"/>
    </xf>
    <xf numFmtId="0" fontId="0" fillId="4" borderId="0" xfId="0" applyFill="1" applyAlignment="1"/>
    <xf numFmtId="0" fontId="2" fillId="3" borderId="0" xfId="0" applyFont="1" applyFill="1" applyAlignment="1">
      <alignment horizontal="center" vertical="center" wrapText="1"/>
    </xf>
    <xf numFmtId="0" fontId="1" fillId="3" borderId="0" xfId="0" applyFont="1" applyFill="1" applyAlignment="1">
      <alignment wrapText="1"/>
    </xf>
    <xf numFmtId="0" fontId="1" fillId="4" borderId="0" xfId="0" applyFont="1" applyFill="1" applyAlignment="1"/>
    <xf numFmtId="0" fontId="3" fillId="3" borderId="0" xfId="0" applyFont="1" applyFill="1" applyAlignment="1">
      <alignment horizontal="center"/>
    </xf>
    <xf numFmtId="0" fontId="44" fillId="22" borderId="75" xfId="0" applyFont="1" applyFill="1" applyBorder="1" applyAlignment="1">
      <alignment horizontal="center" vertical="center"/>
    </xf>
    <xf numFmtId="0" fontId="44" fillId="22" borderId="0" xfId="0" applyFont="1" applyFill="1" applyAlignment="1">
      <alignment horizontal="center" vertical="center"/>
    </xf>
    <xf numFmtId="0" fontId="44" fillId="22" borderId="13" xfId="0" applyFont="1" applyFill="1" applyBorder="1" applyAlignment="1">
      <alignment horizontal="center" vertical="center"/>
    </xf>
    <xf numFmtId="0" fontId="0" fillId="21" borderId="0" xfId="0" applyFill="1" applyAlignment="1">
      <alignment horizontal="right"/>
    </xf>
    <xf numFmtId="0" fontId="0" fillId="20" borderId="0" xfId="0" applyFill="1" applyAlignment="1"/>
    <xf numFmtId="0" fontId="0" fillId="21" borderId="0" xfId="0" applyFill="1" applyAlignment="1"/>
    <xf numFmtId="0" fontId="41" fillId="20" borderId="0" xfId="0" applyFont="1" applyFill="1" applyAlignment="1"/>
    <xf numFmtId="0" fontId="0" fillId="0" borderId="0" xfId="0" applyAlignment="1"/>
    <xf numFmtId="0" fontId="57" fillId="4" borderId="0" xfId="0" applyFont="1" applyFill="1" applyAlignment="1"/>
    <xf numFmtId="0" fontId="57" fillId="20" borderId="0" xfId="0" applyFont="1" applyFill="1" applyAlignment="1"/>
    <xf numFmtId="0" fontId="0" fillId="0" borderId="0" xfId="0" applyAlignment="1">
      <alignment wrapText="1"/>
    </xf>
    <xf numFmtId="0" fontId="15" fillId="0" borderId="0" xfId="0" applyFont="1" applyAlignment="1">
      <alignment horizontal="center" vertical="top" wrapText="1"/>
    </xf>
    <xf numFmtId="0" fontId="20" fillId="0" borderId="0" xfId="0" applyFont="1" applyAlignment="1">
      <alignment horizontal="center" vertical="top" wrapText="1"/>
    </xf>
    <xf numFmtId="0" fontId="12" fillId="8" borderId="17" xfId="0" applyFont="1" applyFill="1" applyBorder="1" applyAlignment="1">
      <alignment horizontal="left" vertical="top" wrapText="1"/>
    </xf>
    <xf numFmtId="0" fontId="12" fillId="8" borderId="18" xfId="0" applyFont="1" applyFill="1" applyBorder="1" applyAlignment="1">
      <alignment horizontal="left" vertical="top" wrapText="1"/>
    </xf>
    <xf numFmtId="0" fontId="12" fillId="8" borderId="19" xfId="0" applyFont="1" applyFill="1" applyBorder="1" applyAlignment="1">
      <alignment horizontal="left" vertical="top" wrapText="1"/>
    </xf>
    <xf numFmtId="0" fontId="18" fillId="23" borderId="20" xfId="0" applyFont="1" applyFill="1" applyBorder="1" applyAlignment="1">
      <alignment wrapText="1"/>
    </xf>
    <xf numFmtId="0" fontId="18" fillId="23" borderId="0" xfId="0" applyFont="1" applyFill="1" applyAlignment="1">
      <alignment wrapText="1"/>
    </xf>
    <xf numFmtId="0" fontId="18" fillId="23" borderId="29" xfId="0" applyFont="1" applyFill="1" applyBorder="1" applyAlignment="1">
      <alignment wrapText="1"/>
    </xf>
    <xf numFmtId="0" fontId="18" fillId="23" borderId="30" xfId="0" applyFont="1" applyFill="1" applyBorder="1" applyAlignment="1">
      <alignment wrapText="1"/>
    </xf>
    <xf numFmtId="0" fontId="18" fillId="23" borderId="23" xfId="0" applyFont="1" applyFill="1" applyBorder="1" applyAlignment="1">
      <alignment wrapText="1"/>
    </xf>
    <xf numFmtId="0" fontId="18" fillId="23" borderId="31" xfId="0" applyFont="1" applyFill="1" applyBorder="1" applyAlignment="1">
      <alignment wrapText="1"/>
    </xf>
    <xf numFmtId="0" fontId="15" fillId="4" borderId="20" xfId="0" applyFont="1" applyFill="1" applyBorder="1" applyAlignment="1">
      <alignment wrapText="1"/>
    </xf>
    <xf numFmtId="0" fontId="15" fillId="4" borderId="0" xfId="0" applyFont="1" applyFill="1" applyAlignment="1">
      <alignment wrapText="1"/>
    </xf>
    <xf numFmtId="0" fontId="15" fillId="4" borderId="29" xfId="0" applyFont="1" applyFill="1" applyBorder="1" applyAlignment="1">
      <alignment wrapText="1"/>
    </xf>
    <xf numFmtId="0" fontId="7" fillId="0" borderId="20" xfId="0" applyFont="1" applyBorder="1" applyAlignment="1">
      <alignment horizontal="center" vertical="center" wrapText="1"/>
    </xf>
    <xf numFmtId="0" fontId="10" fillId="0" borderId="0" xfId="0" applyFont="1" applyAlignment="1">
      <alignment horizontal="center" vertical="center" wrapText="1"/>
    </xf>
    <xf numFmtId="0" fontId="10" fillId="0" borderId="29" xfId="0" applyFont="1" applyBorder="1" applyAlignment="1">
      <alignment horizontal="center" vertical="center" wrapText="1"/>
    </xf>
    <xf numFmtId="0" fontId="15" fillId="0" borderId="29" xfId="0" applyFont="1" applyBorder="1" applyAlignment="1">
      <alignment horizontal="center" wrapText="1"/>
    </xf>
    <xf numFmtId="0" fontId="15" fillId="0" borderId="34" xfId="0" applyFont="1" applyBorder="1" applyAlignment="1">
      <alignment horizontal="center" wrapText="1"/>
    </xf>
    <xf numFmtId="0" fontId="15" fillId="0" borderId="35" xfId="0" applyFont="1" applyBorder="1" applyAlignment="1">
      <alignment horizontal="center" wrapText="1"/>
    </xf>
    <xf numFmtId="0" fontId="15" fillId="0" borderId="33" xfId="0" applyFont="1" applyBorder="1" applyAlignment="1">
      <alignment horizontal="center" wrapText="1"/>
    </xf>
    <xf numFmtId="0" fontId="15" fillId="0" borderId="76" xfId="0" applyFont="1" applyBorder="1" applyAlignment="1">
      <alignment horizontal="center" wrapText="1"/>
    </xf>
    <xf numFmtId="0" fontId="15" fillId="0" borderId="15" xfId="0" applyFont="1" applyBorder="1" applyAlignment="1">
      <alignment horizontal="center" wrapText="1"/>
    </xf>
    <xf numFmtId="0" fontId="15" fillId="0" borderId="50" xfId="0" applyFont="1" applyBorder="1" applyAlignment="1">
      <alignment horizontal="center" wrapText="1"/>
    </xf>
    <xf numFmtId="0" fontId="15" fillId="0" borderId="21" xfId="0" applyFont="1" applyBorder="1" applyAlignment="1">
      <alignment wrapText="1"/>
    </xf>
    <xf numFmtId="0" fontId="15" fillId="0" borderId="5" xfId="0" applyFont="1" applyBorder="1" applyAlignment="1">
      <alignment wrapText="1"/>
    </xf>
    <xf numFmtId="0" fontId="10" fillId="9" borderId="17" xfId="0" applyFont="1" applyFill="1" applyBorder="1" applyAlignment="1">
      <alignment horizontal="center" vertical="center" wrapText="1"/>
    </xf>
    <xf numFmtId="0" fontId="10" fillId="9" borderId="19" xfId="0" applyFont="1" applyFill="1" applyBorder="1" applyAlignment="1">
      <alignment horizontal="center" vertical="center" wrapText="1"/>
    </xf>
    <xf numFmtId="0" fontId="15" fillId="0" borderId="29" xfId="0" applyFont="1" applyBorder="1" applyAlignment="1">
      <alignment horizontal="center" vertical="top" wrapText="1"/>
    </xf>
    <xf numFmtId="0" fontId="17" fillId="0" borderId="90" xfId="0" applyFont="1" applyBorder="1" applyAlignment="1">
      <alignment horizontal="center" vertical="top" wrapText="1"/>
    </xf>
    <xf numFmtId="0" fontId="17" fillId="0" borderId="91" xfId="0" applyFont="1" applyBorder="1" applyAlignment="1">
      <alignment horizontal="center" vertical="top" wrapText="1"/>
    </xf>
    <xf numFmtId="0" fontId="17" fillId="0" borderId="88" xfId="0" applyFont="1" applyBorder="1" applyAlignment="1">
      <alignment horizontal="center" vertical="top" wrapText="1"/>
    </xf>
    <xf numFmtId="0" fontId="10" fillId="9" borderId="22" xfId="0" applyFont="1" applyFill="1" applyBorder="1" applyAlignment="1">
      <alignment horizontal="center" vertical="center" wrapText="1"/>
    </xf>
    <xf numFmtId="0" fontId="10" fillId="9" borderId="31" xfId="0" applyFont="1" applyFill="1" applyBorder="1" applyAlignment="1">
      <alignment horizontal="center" vertical="center" wrapText="1"/>
    </xf>
    <xf numFmtId="0" fontId="17" fillId="0" borderId="20" xfId="0" applyFont="1" applyBorder="1" applyAlignment="1">
      <alignment horizontal="right" vertical="top" wrapText="1"/>
    </xf>
    <xf numFmtId="0" fontId="17" fillId="0" borderId="0" xfId="0" applyFont="1" applyAlignment="1">
      <alignment horizontal="right" vertical="top" wrapText="1"/>
    </xf>
    <xf numFmtId="0" fontId="17" fillId="0" borderId="29" xfId="0" applyFont="1" applyBorder="1" applyAlignment="1">
      <alignment horizontal="right" vertical="top" wrapText="1"/>
    </xf>
    <xf numFmtId="0" fontId="15" fillId="0" borderId="89" xfId="0" applyFont="1" applyBorder="1" applyAlignment="1">
      <alignment horizontal="center" vertical="top" wrapText="1"/>
    </xf>
    <xf numFmtId="0" fontId="15" fillId="0" borderId="14" xfId="0" applyFont="1" applyBorder="1" applyAlignment="1">
      <alignment horizontal="center" vertical="top" wrapText="1"/>
    </xf>
    <xf numFmtId="0" fontId="15" fillId="0" borderId="55" xfId="0" applyFont="1" applyBorder="1" applyAlignment="1">
      <alignment horizontal="center" vertical="top" wrapText="1"/>
    </xf>
    <xf numFmtId="0" fontId="24" fillId="0" borderId="0" xfId="0" applyFont="1" applyAlignment="1">
      <alignment horizontal="center" vertical="top" wrapText="1"/>
    </xf>
    <xf numFmtId="0" fontId="24" fillId="0" borderId="29" xfId="0" applyFont="1" applyBorder="1" applyAlignment="1">
      <alignment horizontal="center" vertical="top" wrapText="1"/>
    </xf>
    <xf numFmtId="0" fontId="10" fillId="7" borderId="87" xfId="0" applyFont="1" applyFill="1" applyBorder="1" applyAlignment="1">
      <alignment horizontal="center" vertical="center" wrapText="1"/>
    </xf>
    <xf numFmtId="0" fontId="10" fillId="7" borderId="51" xfId="0" applyFont="1" applyFill="1" applyBorder="1" applyAlignment="1">
      <alignment horizontal="center" vertical="center" wrapText="1"/>
    </xf>
    <xf numFmtId="0" fontId="7" fillId="0" borderId="5" xfId="0" applyFont="1" applyBorder="1" applyAlignment="1">
      <alignment horizontal="center" vertical="center" wrapText="1"/>
    </xf>
    <xf numFmtId="0" fontId="10" fillId="7" borderId="24" xfId="0" applyFont="1" applyFill="1" applyBorder="1" applyAlignment="1">
      <alignment horizontal="center" vertical="center" wrapText="1"/>
    </xf>
    <xf numFmtId="0" fontId="10" fillId="7" borderId="21" xfId="0" applyFont="1" applyFill="1" applyBorder="1" applyAlignment="1">
      <alignment horizontal="center" vertical="center" wrapText="1"/>
    </xf>
    <xf numFmtId="0" fontId="10" fillId="7" borderId="40" xfId="0" applyFont="1" applyFill="1" applyBorder="1" applyAlignment="1">
      <alignment horizontal="center" vertical="center" wrapText="1"/>
    </xf>
    <xf numFmtId="0" fontId="25" fillId="0" borderId="77" xfId="0" applyFont="1" applyBorder="1" applyAlignment="1">
      <alignment horizontal="center" vertical="center" wrapText="1"/>
    </xf>
    <xf numFmtId="0" fontId="25" fillId="0" borderId="5" xfId="0" applyFont="1" applyBorder="1" applyAlignment="1">
      <alignment horizontal="center" vertical="center" wrapText="1"/>
    </xf>
    <xf numFmtId="0" fontId="7" fillId="18" borderId="0" xfId="0" applyFont="1" applyFill="1" applyAlignment="1">
      <alignment horizontal="center" vertical="center" wrapText="1"/>
    </xf>
    <xf numFmtId="0" fontId="7" fillId="18" borderId="29" xfId="0" applyFont="1" applyFill="1" applyBorder="1" applyAlignment="1">
      <alignment horizontal="center" vertical="center" wrapText="1"/>
    </xf>
    <xf numFmtId="0" fontId="24" fillId="0" borderId="18" xfId="0" applyFont="1" applyBorder="1" applyAlignment="1">
      <alignment horizontal="center" vertical="top" wrapText="1"/>
    </xf>
    <xf numFmtId="0" fontId="24" fillId="0" borderId="19" xfId="0" applyFont="1" applyBorder="1" applyAlignment="1">
      <alignment horizontal="center" vertical="top" wrapText="1"/>
    </xf>
    <xf numFmtId="0" fontId="7" fillId="0" borderId="16"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1" xfId="0" applyFont="1" applyBorder="1" applyAlignment="1">
      <alignment horizontal="center" vertical="center" wrapText="1"/>
    </xf>
    <xf numFmtId="0" fontId="24" fillId="0" borderId="75" xfId="0" applyFont="1" applyBorder="1" applyAlignment="1">
      <alignment horizontal="center" vertical="top" wrapText="1"/>
    </xf>
    <xf numFmtId="0" fontId="7" fillId="0" borderId="78"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97" xfId="0" applyFont="1" applyBorder="1" applyAlignment="1">
      <alignment horizontal="center" vertical="center" wrapText="1"/>
    </xf>
    <xf numFmtId="0" fontId="45" fillId="0" borderId="23" xfId="0" applyFont="1" applyBorder="1" applyAlignment="1">
      <alignment horizontal="center" vertical="top" wrapText="1"/>
    </xf>
    <xf numFmtId="0" fontId="45" fillId="0" borderId="31" xfId="0" applyFont="1" applyBorder="1" applyAlignment="1">
      <alignment horizontal="center" vertical="top" wrapText="1"/>
    </xf>
    <xf numFmtId="0" fontId="45" fillId="0" borderId="0" xfId="0" applyFont="1" applyAlignment="1">
      <alignment horizontal="center" vertical="top" wrapText="1"/>
    </xf>
    <xf numFmtId="0" fontId="45" fillId="0" borderId="29" xfId="0" applyFont="1" applyBorder="1" applyAlignment="1">
      <alignment horizontal="center" vertical="top" wrapText="1"/>
    </xf>
    <xf numFmtId="0" fontId="7" fillId="0" borderId="9"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94" xfId="0" applyFont="1" applyBorder="1" applyAlignment="1">
      <alignment horizontal="center" vertical="center" wrapText="1"/>
    </xf>
    <xf numFmtId="0" fontId="7" fillId="0" borderId="75" xfId="0" applyFont="1" applyBorder="1" applyAlignment="1">
      <alignment horizontal="center" vertical="center" wrapText="1"/>
    </xf>
    <xf numFmtId="0" fontId="7" fillId="0" borderId="0" xfId="0" applyFont="1" applyAlignment="1">
      <alignment horizontal="center" vertical="center" wrapText="1"/>
    </xf>
    <xf numFmtId="0" fontId="7" fillId="0" borderId="13"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9" xfId="0" applyFont="1" applyBorder="1" applyAlignment="1">
      <alignment horizontal="left" vertical="center" wrapText="1"/>
    </xf>
    <xf numFmtId="0" fontId="7" fillId="0" borderId="12" xfId="0" applyFont="1" applyBorder="1" applyAlignment="1">
      <alignment horizontal="left" vertical="center" wrapText="1"/>
    </xf>
    <xf numFmtId="0" fontId="7" fillId="0" borderId="8" xfId="0" applyFont="1" applyBorder="1" applyAlignment="1">
      <alignment horizontal="left" vertical="center" wrapText="1"/>
    </xf>
    <xf numFmtId="0" fontId="25" fillId="13" borderId="34" xfId="0" applyFont="1" applyFill="1" applyBorder="1" applyAlignment="1">
      <alignment horizontal="center" vertical="center" wrapText="1"/>
    </xf>
    <xf numFmtId="0" fontId="25" fillId="13" borderId="35" xfId="0" applyFont="1" applyFill="1" applyBorder="1" applyAlignment="1">
      <alignment horizontal="center" vertical="center" wrapText="1"/>
    </xf>
    <xf numFmtId="0" fontId="25" fillId="13" borderId="33" xfId="0" applyFont="1" applyFill="1" applyBorder="1" applyAlignment="1">
      <alignment horizontal="center" vertical="center" wrapText="1"/>
    </xf>
    <xf numFmtId="0" fontId="25" fillId="13" borderId="17" xfId="0" applyFont="1" applyFill="1" applyBorder="1" applyAlignment="1">
      <alignment horizontal="center" vertical="center" wrapText="1"/>
    </xf>
    <xf numFmtId="0" fontId="25" fillId="13" borderId="18" xfId="0" applyFont="1" applyFill="1" applyBorder="1" applyAlignment="1">
      <alignment horizontal="center" vertical="center" wrapText="1"/>
    </xf>
    <xf numFmtId="0" fontId="25" fillId="13" borderId="19" xfId="0" applyFont="1" applyFill="1" applyBorder="1" applyAlignment="1">
      <alignment horizontal="center" vertical="center" wrapText="1"/>
    </xf>
    <xf numFmtId="0" fontId="46" fillId="24" borderId="34" xfId="0" applyFont="1" applyFill="1" applyBorder="1" applyAlignment="1">
      <alignment horizontal="center" vertical="center" wrapText="1"/>
    </xf>
    <xf numFmtId="0" fontId="46" fillId="24" borderId="35" xfId="0" applyFont="1" applyFill="1" applyBorder="1" applyAlignment="1">
      <alignment horizontal="center" vertical="center" wrapText="1"/>
    </xf>
    <xf numFmtId="0" fontId="46" fillId="24" borderId="33" xfId="0" applyFont="1" applyFill="1" applyBorder="1" applyAlignment="1">
      <alignment horizontal="center" vertical="center" wrapText="1"/>
    </xf>
    <xf numFmtId="0" fontId="7" fillId="0" borderId="16" xfId="0" applyFont="1" applyBorder="1" applyAlignment="1">
      <alignment horizontal="left" vertical="top" wrapText="1"/>
    </xf>
    <xf numFmtId="0" fontId="7" fillId="0" borderId="15" xfId="0" applyFont="1" applyBorder="1" applyAlignment="1">
      <alignment horizontal="left" vertical="top" wrapText="1"/>
    </xf>
    <xf numFmtId="0" fontId="7" fillId="0" borderId="10" xfId="0" applyFont="1" applyBorder="1" applyAlignment="1">
      <alignment horizontal="left" vertical="top" wrapText="1"/>
    </xf>
    <xf numFmtId="0" fontId="7" fillId="0" borderId="5" xfId="0" applyFont="1" applyBorder="1" applyAlignment="1">
      <alignment horizontal="left" vertical="center" wrapText="1"/>
    </xf>
    <xf numFmtId="0" fontId="10" fillId="7" borderId="87" xfId="0" applyFont="1" applyFill="1" applyBorder="1" applyAlignment="1">
      <alignment horizontal="left" vertical="center" wrapText="1"/>
    </xf>
    <xf numFmtId="0" fontId="10" fillId="7" borderId="51" xfId="0" applyFont="1" applyFill="1" applyBorder="1" applyAlignment="1">
      <alignment horizontal="left" vertical="center" wrapText="1"/>
    </xf>
    <xf numFmtId="0" fontId="7" fillId="0" borderId="99" xfId="0" applyFont="1" applyBorder="1" applyAlignment="1">
      <alignment horizontal="center" vertical="center" wrapText="1"/>
    </xf>
    <xf numFmtId="0" fontId="7" fillId="0" borderId="18" xfId="0" applyFont="1" applyBorder="1" applyAlignment="1">
      <alignment horizontal="center" vertical="center" wrapText="1"/>
    </xf>
    <xf numFmtId="0" fontId="25" fillId="13" borderId="20" xfId="0" applyFont="1" applyFill="1" applyBorder="1" applyAlignment="1">
      <alignment horizontal="center" vertical="center" wrapText="1"/>
    </xf>
    <xf numFmtId="0" fontId="25" fillId="13" borderId="0" xfId="0" applyFont="1" applyFill="1" applyAlignment="1">
      <alignment horizontal="center" vertical="center" wrapText="1"/>
    </xf>
    <xf numFmtId="0" fontId="25" fillId="13" borderId="29" xfId="0" applyFont="1" applyFill="1" applyBorder="1" applyAlignment="1">
      <alignment horizontal="center" vertical="center" wrapText="1"/>
    </xf>
    <xf numFmtId="0" fontId="10" fillId="7" borderId="43" xfId="0" applyFont="1" applyFill="1" applyBorder="1" applyAlignment="1">
      <alignment horizontal="center" vertical="center" wrapText="1"/>
    </xf>
    <xf numFmtId="0" fontId="7" fillId="0" borderId="8" xfId="0" applyFont="1" applyBorder="1" applyAlignment="1">
      <alignment horizontal="center" vertical="center" wrapText="1"/>
    </xf>
    <xf numFmtId="0" fontId="10" fillId="7" borderId="43" xfId="0" applyFont="1" applyFill="1" applyBorder="1" applyAlignment="1">
      <alignment horizontal="left" vertical="center" wrapText="1"/>
    </xf>
    <xf numFmtId="0" fontId="7" fillId="0" borderId="80" xfId="0" applyFont="1" applyBorder="1" applyAlignment="1">
      <alignment horizontal="right" vertical="center" wrapText="1"/>
    </xf>
    <xf numFmtId="0" fontId="46" fillId="0" borderId="22" xfId="0" applyFont="1" applyBorder="1" applyAlignment="1">
      <alignment horizontal="center" vertical="center" wrapText="1"/>
    </xf>
    <xf numFmtId="0" fontId="46" fillId="0" borderId="23" xfId="0" applyFont="1" applyBorder="1" applyAlignment="1">
      <alignment horizontal="center" vertical="center" wrapText="1"/>
    </xf>
    <xf numFmtId="0" fontId="46" fillId="0" borderId="31" xfId="0" applyFont="1" applyBorder="1" applyAlignment="1">
      <alignment horizontal="center" vertical="center" wrapText="1"/>
    </xf>
    <xf numFmtId="0" fontId="7" fillId="0" borderId="30" xfId="0" applyFont="1" applyBorder="1" applyAlignment="1">
      <alignment horizontal="right" vertical="center" wrapText="1"/>
    </xf>
    <xf numFmtId="0" fontId="7" fillId="0" borderId="23" xfId="0" applyFont="1" applyBorder="1" applyAlignment="1">
      <alignment horizontal="right" vertical="center" wrapText="1"/>
    </xf>
    <xf numFmtId="0" fontId="7" fillId="0" borderId="100" xfId="0" applyFont="1" applyBorder="1" applyAlignment="1">
      <alignment horizontal="right" vertical="center" wrapText="1"/>
    </xf>
    <xf numFmtId="0" fontId="7" fillId="0" borderId="77" xfId="0" applyFont="1" applyBorder="1" applyAlignment="1">
      <alignment horizontal="center" vertical="center" wrapText="1"/>
    </xf>
    <xf numFmtId="0" fontId="10" fillId="13" borderId="20" xfId="0" applyFont="1" applyFill="1" applyBorder="1" applyAlignment="1">
      <alignment horizontal="center" vertical="center" wrapText="1"/>
    </xf>
    <xf numFmtId="0" fontId="10" fillId="13" borderId="0" xfId="0" applyFont="1" applyFill="1" applyAlignment="1">
      <alignment horizontal="center" vertical="center" wrapText="1"/>
    </xf>
    <xf numFmtId="0" fontId="10" fillId="13" borderId="29" xfId="0" applyFont="1" applyFill="1" applyBorder="1" applyAlignment="1">
      <alignment horizontal="center" vertical="center" wrapText="1"/>
    </xf>
    <xf numFmtId="0" fontId="45" fillId="0" borderId="18" xfId="0" applyFont="1" applyBorder="1" applyAlignment="1">
      <alignment horizontal="center" vertical="top" wrapText="1"/>
    </xf>
    <xf numFmtId="0" fontId="45" fillId="0" borderId="19" xfId="0" applyFont="1" applyBorder="1" applyAlignment="1">
      <alignment horizontal="center" vertical="top" wrapText="1"/>
    </xf>
    <xf numFmtId="0" fontId="10" fillId="7" borderId="28" xfId="0" applyFont="1" applyFill="1" applyBorder="1" applyAlignment="1">
      <alignment horizontal="left" vertical="center" wrapText="1"/>
    </xf>
    <xf numFmtId="164" fontId="7" fillId="0" borderId="95" xfId="0" applyNumberFormat="1" applyFont="1" applyBorder="1" applyAlignment="1">
      <alignment horizontal="center" vertical="center" wrapText="1"/>
    </xf>
    <xf numFmtId="164" fontId="7" fillId="0" borderId="75" xfId="0" applyNumberFormat="1" applyFont="1" applyBorder="1" applyAlignment="1">
      <alignment horizontal="center" vertical="center" wrapText="1"/>
    </xf>
    <xf numFmtId="0" fontId="7" fillId="0" borderId="80" xfId="0" applyFont="1" applyBorder="1" applyAlignment="1">
      <alignment horizontal="left" vertical="center" wrapText="1"/>
    </xf>
    <xf numFmtId="0" fontId="10" fillId="7" borderId="28" xfId="0" applyFont="1" applyFill="1" applyBorder="1" applyAlignment="1">
      <alignment horizontal="center" vertical="center" wrapText="1"/>
    </xf>
    <xf numFmtId="0" fontId="7" fillId="0" borderId="92" xfId="0" applyFont="1" applyBorder="1" applyAlignment="1">
      <alignment horizontal="right" vertical="center" wrapText="1"/>
    </xf>
    <xf numFmtId="0" fontId="7" fillId="0" borderId="93" xfId="0" applyFont="1" applyBorder="1" applyAlignment="1">
      <alignment horizontal="right" vertical="center" wrapText="1"/>
    </xf>
    <xf numFmtId="0" fontId="10" fillId="0" borderId="24" xfId="0" applyFont="1" applyBorder="1" applyAlignment="1">
      <alignment horizontal="center" vertical="center" wrapText="1"/>
    </xf>
    <xf numFmtId="0" fontId="10" fillId="0" borderId="101" xfId="0" applyFont="1" applyBorder="1" applyAlignment="1">
      <alignment horizontal="center" vertical="center" wrapText="1"/>
    </xf>
    <xf numFmtId="0" fontId="10" fillId="0" borderId="77" xfId="0" applyFont="1" applyBorder="1" applyAlignment="1">
      <alignment horizontal="center" vertical="center" wrapText="1"/>
    </xf>
    <xf numFmtId="0" fontId="10" fillId="7" borderId="9" xfId="0" applyFont="1" applyFill="1" applyBorder="1" applyAlignment="1">
      <alignment horizontal="center" vertical="center" wrapText="1"/>
    </xf>
    <xf numFmtId="0" fontId="10" fillId="7" borderId="12" xfId="0" applyFont="1" applyFill="1" applyBorder="1" applyAlignment="1">
      <alignment horizontal="center" vertical="center" wrapText="1"/>
    </xf>
    <xf numFmtId="0" fontId="10" fillId="0" borderId="75" xfId="0" applyFont="1" applyBorder="1" applyAlignment="1">
      <alignment horizontal="center" vertical="center" wrapText="1"/>
    </xf>
    <xf numFmtId="0" fontId="55" fillId="0" borderId="20" xfId="0" applyFont="1" applyBorder="1" applyAlignment="1">
      <alignment horizontal="center" vertical="top" wrapText="1"/>
    </xf>
    <xf numFmtId="0" fontId="55" fillId="0" borderId="29" xfId="0" applyFont="1" applyBorder="1" applyAlignment="1">
      <alignment horizontal="center" vertical="top" wrapText="1"/>
    </xf>
    <xf numFmtId="0" fontId="55" fillId="0" borderId="30" xfId="0" applyFont="1" applyBorder="1" applyAlignment="1">
      <alignment horizontal="center" vertical="top" wrapText="1"/>
    </xf>
    <xf numFmtId="0" fontId="55" fillId="0" borderId="31" xfId="0" applyFont="1" applyBorder="1" applyAlignment="1">
      <alignment horizontal="center" vertical="top" wrapText="1"/>
    </xf>
    <xf numFmtId="0" fontId="10" fillId="0" borderId="90" xfId="0" applyFont="1" applyBorder="1" applyAlignment="1">
      <alignment horizontal="right" vertical="center" wrapText="1"/>
    </xf>
    <xf numFmtId="0" fontId="10" fillId="0" borderId="93" xfId="0" applyFont="1" applyBorder="1" applyAlignment="1">
      <alignment horizontal="right" vertical="center" wrapText="1"/>
    </xf>
    <xf numFmtId="0" fontId="24" fillId="0" borderId="75" xfId="0" applyFont="1" applyBorder="1" applyAlignment="1">
      <alignment horizontal="center" vertical="center" wrapText="1"/>
    </xf>
    <xf numFmtId="0" fontId="24" fillId="0" borderId="73" xfId="0" applyFont="1" applyBorder="1" applyAlignment="1">
      <alignment horizontal="center" vertical="center" wrapText="1"/>
    </xf>
    <xf numFmtId="2" fontId="7" fillId="0" borderId="12" xfId="0" applyNumberFormat="1" applyFont="1" applyBorder="1" applyAlignment="1">
      <alignment horizontal="center" vertical="center" wrapText="1"/>
    </xf>
    <xf numFmtId="2" fontId="7" fillId="0" borderId="94" xfId="0" applyNumberFormat="1" applyFont="1" applyBorder="1" applyAlignment="1">
      <alignment horizontal="center" vertical="center" wrapText="1"/>
    </xf>
    <xf numFmtId="0" fontId="10" fillId="7" borderId="20" xfId="0" applyFont="1" applyFill="1" applyBorder="1" applyAlignment="1">
      <alignment horizontal="left" vertical="center" wrapText="1"/>
    </xf>
    <xf numFmtId="0" fontId="10" fillId="7" borderId="30" xfId="0" applyFont="1" applyFill="1" applyBorder="1" applyAlignment="1">
      <alignment horizontal="left" vertical="center" wrapText="1"/>
    </xf>
    <xf numFmtId="0" fontId="10" fillId="0" borderId="86" xfId="0" applyFont="1" applyBorder="1" applyAlignment="1">
      <alignment horizontal="right" vertical="center" wrapText="1"/>
    </xf>
    <xf numFmtId="0" fontId="10" fillId="0" borderId="6" xfId="0" applyFont="1" applyBorder="1" applyAlignment="1">
      <alignment horizontal="right" vertical="center" wrapText="1"/>
    </xf>
    <xf numFmtId="0" fontId="10" fillId="0" borderId="76" xfId="0" applyFont="1" applyBorder="1" applyAlignment="1">
      <alignment horizontal="right" vertical="center" wrapText="1"/>
    </xf>
    <xf numFmtId="0" fontId="10" fillId="0" borderId="11" xfId="0" applyFont="1" applyBorder="1" applyAlignment="1">
      <alignment horizontal="right" vertical="center" wrapText="1"/>
    </xf>
    <xf numFmtId="0" fontId="10" fillId="7" borderId="9" xfId="0" applyFont="1" applyFill="1" applyBorder="1" applyAlignment="1">
      <alignment horizontal="left" vertical="center" wrapText="1"/>
    </xf>
    <xf numFmtId="0" fontId="10" fillId="7" borderId="12" xfId="0" applyFont="1" applyFill="1" applyBorder="1" applyAlignment="1">
      <alignment horizontal="left" vertical="center" wrapText="1"/>
    </xf>
    <xf numFmtId="2" fontId="45" fillId="0" borderId="75" xfId="0" applyNumberFormat="1" applyFont="1" applyBorder="1" applyAlignment="1">
      <alignment horizontal="center" vertical="center" wrapText="1"/>
    </xf>
    <xf numFmtId="2" fontId="7" fillId="0" borderId="75" xfId="0" applyNumberFormat="1" applyFont="1" applyBorder="1" applyAlignment="1">
      <alignment horizontal="center" vertical="center" wrapText="1"/>
    </xf>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10" fillId="7" borderId="20" xfId="0" applyFont="1" applyFill="1" applyBorder="1" applyAlignment="1">
      <alignment horizontal="center" vertical="center" wrapText="1"/>
    </xf>
    <xf numFmtId="0" fontId="10" fillId="0" borderId="20" xfId="0" applyFont="1" applyBorder="1" applyAlignment="1">
      <alignment horizontal="center" vertical="center" wrapText="1"/>
    </xf>
    <xf numFmtId="0" fontId="10" fillId="0" borderId="13" xfId="0" applyFont="1" applyBorder="1" applyAlignment="1">
      <alignment horizontal="center" vertical="center" wrapText="1"/>
    </xf>
    <xf numFmtId="0" fontId="7" fillId="0" borderId="73" xfId="0" applyFont="1" applyBorder="1" applyAlignment="1">
      <alignment horizontal="right" vertical="center" wrapText="1"/>
    </xf>
    <xf numFmtId="0" fontId="7" fillId="0" borderId="6" xfId="0" applyFont="1" applyBorder="1" applyAlignment="1">
      <alignment horizontal="right" vertical="center" wrapText="1"/>
    </xf>
    <xf numFmtId="164" fontId="7" fillId="0" borderId="29" xfId="0" applyNumberFormat="1" applyFont="1" applyBorder="1" applyAlignment="1">
      <alignment horizontal="center" vertical="center" wrapText="1"/>
    </xf>
    <xf numFmtId="0" fontId="7" fillId="0" borderId="16" xfId="0" applyFont="1" applyBorder="1" applyAlignment="1">
      <alignment horizontal="right" vertical="center" wrapText="1"/>
    </xf>
    <xf numFmtId="0" fontId="7" fillId="0" borderId="11" xfId="0" applyFont="1" applyBorder="1" applyAlignment="1">
      <alignment horizontal="right" vertical="center" wrapText="1"/>
    </xf>
    <xf numFmtId="0" fontId="15" fillId="18" borderId="0" xfId="0" applyFont="1" applyFill="1" applyAlignment="1">
      <alignment horizontal="center" vertical="top" wrapText="1"/>
    </xf>
    <xf numFmtId="0" fontId="15" fillId="18" borderId="29" xfId="0" applyFont="1" applyFill="1" applyBorder="1" applyAlignment="1">
      <alignment horizontal="center" vertical="top" wrapText="1"/>
    </xf>
    <xf numFmtId="0" fontId="11" fillId="8" borderId="78" xfId="0" applyFont="1" applyFill="1" applyBorder="1" applyAlignment="1">
      <alignment horizontal="center" vertical="top" wrapText="1"/>
    </xf>
    <xf numFmtId="0" fontId="11" fillId="8" borderId="84" xfId="0" applyFont="1" applyFill="1" applyBorder="1" applyAlignment="1">
      <alignment horizontal="center" vertical="top" wrapText="1"/>
    </xf>
    <xf numFmtId="0" fontId="11" fillId="8" borderId="85" xfId="0" applyFont="1" applyFill="1" applyBorder="1" applyAlignment="1">
      <alignment horizontal="center" vertical="top" wrapText="1"/>
    </xf>
    <xf numFmtId="0" fontId="27" fillId="0" borderId="0" xfId="0" applyFont="1" applyAlignment="1">
      <alignment horizontal="center" vertical="top" wrapText="1"/>
    </xf>
    <xf numFmtId="0" fontId="27" fillId="0" borderId="29" xfId="0" applyFont="1" applyBorder="1" applyAlignment="1">
      <alignment horizontal="center" vertical="top" wrapText="1"/>
    </xf>
    <xf numFmtId="0" fontId="20" fillId="0" borderId="34" xfId="0" applyFont="1" applyBorder="1" applyAlignment="1">
      <alignment horizontal="center" vertical="top" wrapText="1"/>
    </xf>
    <xf numFmtId="0" fontId="20" fillId="0" borderId="33" xfId="0" applyFont="1" applyBorder="1" applyAlignment="1">
      <alignment horizontal="center" vertical="top" wrapText="1"/>
    </xf>
    <xf numFmtId="0" fontId="15" fillId="0" borderId="34" xfId="0" applyFont="1" applyBorder="1" applyAlignment="1">
      <alignment horizontal="center" vertical="top" wrapText="1"/>
    </xf>
    <xf numFmtId="0" fontId="15" fillId="0" borderId="35" xfId="0" applyFont="1" applyBorder="1" applyAlignment="1">
      <alignment horizontal="center" vertical="top" wrapText="1"/>
    </xf>
    <xf numFmtId="0" fontId="15" fillId="0" borderId="33" xfId="0" applyFont="1" applyBorder="1" applyAlignment="1">
      <alignment horizontal="center" vertical="top" wrapText="1"/>
    </xf>
    <xf numFmtId="0" fontId="13" fillId="10" borderId="21" xfId="0" applyFont="1" applyFill="1" applyBorder="1" applyAlignment="1">
      <alignment horizontal="center" vertical="top" wrapText="1"/>
    </xf>
    <xf numFmtId="0" fontId="13" fillId="10" borderId="38" xfId="0" applyFont="1" applyFill="1" applyBorder="1" applyAlignment="1">
      <alignment horizontal="center" vertical="top" wrapText="1"/>
    </xf>
    <xf numFmtId="0" fontId="20" fillId="0" borderId="29" xfId="0" applyFont="1" applyBorder="1" applyAlignment="1">
      <alignment horizontal="center" vertical="top" wrapText="1"/>
    </xf>
    <xf numFmtId="0" fontId="27" fillId="18" borderId="0" xfId="0" applyFont="1" applyFill="1" applyAlignment="1">
      <alignment horizontal="center" vertical="top" wrapText="1"/>
    </xf>
    <xf numFmtId="0" fontId="27" fillId="18" borderId="29" xfId="0" applyFont="1" applyFill="1" applyBorder="1" applyAlignment="1">
      <alignment horizontal="center" vertical="top" wrapText="1"/>
    </xf>
    <xf numFmtId="0" fontId="20" fillId="18" borderId="0" xfId="0" applyFont="1" applyFill="1" applyAlignment="1">
      <alignment horizontal="center" vertical="top" wrapText="1"/>
    </xf>
    <xf numFmtId="0" fontId="20" fillId="18" borderId="29" xfId="0" applyFont="1" applyFill="1" applyBorder="1" applyAlignment="1">
      <alignment horizontal="center" vertical="top" wrapText="1"/>
    </xf>
    <xf numFmtId="0" fontId="20" fillId="0" borderId="20" xfId="0" applyFont="1" applyBorder="1" applyAlignment="1">
      <alignment horizontal="center" vertical="top" wrapText="1"/>
    </xf>
    <xf numFmtId="0" fontId="46" fillId="12" borderId="34" xfId="0" applyFont="1" applyFill="1" applyBorder="1" applyAlignment="1">
      <alignment horizontal="center" vertical="top" wrapText="1"/>
    </xf>
    <xf numFmtId="0" fontId="46" fillId="12" borderId="35" xfId="0" applyFont="1" applyFill="1" applyBorder="1" applyAlignment="1">
      <alignment horizontal="center" vertical="top" wrapText="1"/>
    </xf>
    <xf numFmtId="0" fontId="46" fillId="12" borderId="33" xfId="0" applyFont="1" applyFill="1" applyBorder="1" applyAlignment="1">
      <alignment horizontal="center" vertical="top" wrapText="1"/>
    </xf>
    <xf numFmtId="0" fontId="13" fillId="10" borderId="24" xfId="0" applyFont="1" applyFill="1" applyBorder="1" applyAlignment="1">
      <alignment horizontal="center" vertical="top" wrapText="1"/>
    </xf>
    <xf numFmtId="0" fontId="13" fillId="10" borderId="25" xfId="0" applyFont="1" applyFill="1" applyBorder="1" applyAlignment="1">
      <alignment horizontal="center" vertical="top" wrapText="1"/>
    </xf>
    <xf numFmtId="0" fontId="13" fillId="10" borderId="28" xfId="0" applyFont="1" applyFill="1" applyBorder="1" applyAlignment="1">
      <alignment horizontal="center" vertical="top" wrapText="1"/>
    </xf>
    <xf numFmtId="0" fontId="13" fillId="10" borderId="42" xfId="0" applyFont="1" applyFill="1" applyBorder="1" applyAlignment="1">
      <alignment horizontal="center" vertical="top" wrapText="1"/>
    </xf>
    <xf numFmtId="49" fontId="13" fillId="10" borderId="21" xfId="0" applyNumberFormat="1" applyFont="1" applyFill="1" applyBorder="1" applyAlignment="1">
      <alignment horizontal="center" vertical="top" wrapText="1"/>
    </xf>
    <xf numFmtId="49" fontId="13" fillId="10" borderId="38" xfId="0" applyNumberFormat="1" applyFont="1" applyFill="1" applyBorder="1" applyAlignment="1">
      <alignment horizontal="center" vertical="top" wrapText="1"/>
    </xf>
    <xf numFmtId="0" fontId="15" fillId="4" borderId="20" xfId="0" applyFont="1" applyFill="1" applyBorder="1" applyAlignment="1">
      <alignment horizontal="center" wrapText="1"/>
    </xf>
    <xf numFmtId="0" fontId="15" fillId="4" borderId="0" xfId="0" applyFont="1" applyFill="1" applyAlignment="1">
      <alignment horizontal="center" wrapText="1"/>
    </xf>
    <xf numFmtId="0" fontId="16" fillId="0" borderId="17" xfId="0" applyFont="1" applyBorder="1" applyAlignment="1">
      <alignment horizontal="left" vertical="top" wrapText="1"/>
    </xf>
    <xf numFmtId="0" fontId="16" fillId="0" borderId="35" xfId="0" applyFont="1" applyBorder="1" applyAlignment="1">
      <alignment horizontal="left" vertical="top" wrapText="1"/>
    </xf>
    <xf numFmtId="0" fontId="16" fillId="0" borderId="33" xfId="0" applyFont="1" applyBorder="1" applyAlignment="1">
      <alignment horizontal="left" vertical="top" wrapText="1"/>
    </xf>
    <xf numFmtId="0" fontId="40" fillId="0" borderId="21" xfId="0" applyFont="1" applyBorder="1" applyAlignment="1">
      <alignment horizontal="right" vertical="center" wrapText="1"/>
    </xf>
    <xf numFmtId="0" fontId="40" fillId="0" borderId="5" xfId="0" applyFont="1" applyBorder="1" applyAlignment="1">
      <alignment horizontal="right" vertical="center" wrapText="1"/>
    </xf>
    <xf numFmtId="0" fontId="13" fillId="10" borderId="43" xfId="0" applyFont="1" applyFill="1" applyBorder="1" applyAlignment="1">
      <alignment horizontal="center" vertical="top" wrapText="1"/>
    </xf>
    <xf numFmtId="0" fontId="13" fillId="10" borderId="44" xfId="0" applyFont="1" applyFill="1" applyBorder="1" applyAlignment="1">
      <alignment horizontal="center" vertical="top" wrapText="1"/>
    </xf>
    <xf numFmtId="0" fontId="13" fillId="10" borderId="32" xfId="0" applyFont="1" applyFill="1" applyBorder="1" applyAlignment="1">
      <alignment horizontal="center" vertical="top" wrapText="1"/>
    </xf>
    <xf numFmtId="0" fontId="13" fillId="10" borderId="47" xfId="0" applyFont="1" applyFill="1" applyBorder="1" applyAlignment="1">
      <alignment horizontal="center" vertical="top" wrapText="1"/>
    </xf>
    <xf numFmtId="0" fontId="40" fillId="0" borderId="40" xfId="0" applyFont="1" applyBorder="1" applyAlignment="1">
      <alignment horizontal="right" vertical="center" wrapText="1"/>
    </xf>
    <xf numFmtId="0" fontId="40" fillId="0" borderId="80" xfId="0" applyFont="1" applyBorder="1" applyAlignment="1">
      <alignment horizontal="right"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9" xfId="0" applyFont="1" applyBorder="1" applyAlignment="1">
      <alignment horizontal="center" vertical="center" wrapText="1"/>
    </xf>
    <xf numFmtId="0" fontId="13" fillId="10" borderId="40" xfId="0" applyFont="1" applyFill="1" applyBorder="1" applyAlignment="1">
      <alignment horizontal="center" vertical="top" wrapText="1"/>
    </xf>
    <xf numFmtId="0" fontId="13" fillId="10" borderId="41" xfId="0" applyFont="1" applyFill="1" applyBorder="1" applyAlignment="1">
      <alignment horizontal="center" vertical="top" wrapText="1"/>
    </xf>
    <xf numFmtId="0" fontId="13" fillId="10" borderId="45" xfId="0" applyFont="1" applyFill="1" applyBorder="1" applyAlignment="1">
      <alignment horizontal="center" vertical="top" wrapText="1"/>
    </xf>
    <xf numFmtId="0" fontId="13" fillId="10" borderId="46" xfId="0" applyFont="1" applyFill="1" applyBorder="1" applyAlignment="1">
      <alignment horizontal="center" vertical="top" wrapText="1"/>
    </xf>
    <xf numFmtId="0" fontId="16" fillId="0" borderId="34" xfId="0" applyFont="1" applyBorder="1" applyAlignment="1">
      <alignment horizontal="left" vertical="top" wrapText="1"/>
    </xf>
    <xf numFmtId="0" fontId="15" fillId="0" borderId="0" xfId="0" applyFont="1" applyAlignment="1">
      <alignment vertical="top" wrapText="1"/>
    </xf>
    <xf numFmtId="0" fontId="15" fillId="0" borderId="29" xfId="0" applyFont="1" applyBorder="1" applyAlignment="1">
      <alignment vertical="top" wrapText="1"/>
    </xf>
    <xf numFmtId="14" fontId="13" fillId="10" borderId="40" xfId="0" applyNumberFormat="1" applyFont="1" applyFill="1" applyBorder="1" applyAlignment="1">
      <alignment horizontal="center" vertical="top" wrapText="1"/>
    </xf>
    <xf numFmtId="0" fontId="13" fillId="10" borderId="87" xfId="0" applyFont="1" applyFill="1" applyBorder="1" applyAlignment="1">
      <alignment horizontal="center" vertical="top" wrapText="1"/>
    </xf>
    <xf numFmtId="0" fontId="13" fillId="10" borderId="96" xfId="0" applyFont="1" applyFill="1" applyBorder="1" applyAlignment="1">
      <alignment horizontal="center" vertical="top" wrapText="1"/>
    </xf>
    <xf numFmtId="0" fontId="13" fillId="10" borderId="34" xfId="0" applyFont="1" applyFill="1" applyBorder="1" applyAlignment="1">
      <alignment horizontal="center" vertical="top" wrapText="1"/>
    </xf>
    <xf numFmtId="0" fontId="13" fillId="10" borderId="33" xfId="0" applyFont="1" applyFill="1" applyBorder="1" applyAlignment="1">
      <alignment horizontal="center" vertical="top" wrapText="1"/>
    </xf>
    <xf numFmtId="0" fontId="13" fillId="10" borderId="51" xfId="0" applyFont="1" applyFill="1" applyBorder="1" applyAlignment="1">
      <alignment horizontal="center" vertical="top" wrapText="1"/>
    </xf>
    <xf numFmtId="0" fontId="13" fillId="10" borderId="52" xfId="0" applyFont="1" applyFill="1" applyBorder="1" applyAlignment="1">
      <alignment horizontal="center" vertical="top" wrapText="1"/>
    </xf>
    <xf numFmtId="0" fontId="13" fillId="10" borderId="30" xfId="0" applyFont="1" applyFill="1" applyBorder="1" applyAlignment="1">
      <alignment horizontal="center" vertical="top" wrapText="1"/>
    </xf>
    <xf numFmtId="0" fontId="13" fillId="10" borderId="31" xfId="0" applyFont="1" applyFill="1" applyBorder="1" applyAlignment="1">
      <alignment horizontal="center" vertical="top" wrapText="1"/>
    </xf>
    <xf numFmtId="0" fontId="13" fillId="10" borderId="20" xfId="0" applyFont="1" applyFill="1" applyBorder="1" applyAlignment="1">
      <alignment horizontal="center" vertical="top" wrapText="1"/>
    </xf>
    <xf numFmtId="0" fontId="13" fillId="10" borderId="29" xfId="0" applyFont="1" applyFill="1" applyBorder="1" applyAlignment="1">
      <alignment horizontal="center" vertical="top" wrapText="1"/>
    </xf>
    <xf numFmtId="0" fontId="18" fillId="0" borderId="20" xfId="0" applyFont="1" applyBorder="1" applyAlignment="1">
      <alignment vertical="top" wrapText="1"/>
    </xf>
    <xf numFmtId="0" fontId="18" fillId="0" borderId="0" xfId="0" applyFont="1" applyAlignment="1">
      <alignment vertical="top" wrapText="1"/>
    </xf>
    <xf numFmtId="0" fontId="18" fillId="0" borderId="29" xfId="0" applyFont="1" applyBorder="1" applyAlignment="1">
      <alignment vertical="top" wrapText="1"/>
    </xf>
    <xf numFmtId="0" fontId="40" fillId="0" borderId="34" xfId="0" applyFont="1" applyBorder="1" applyAlignment="1">
      <alignment horizontal="left" vertical="top" wrapText="1"/>
    </xf>
    <xf numFmtId="0" fontId="40" fillId="0" borderId="35" xfId="0" applyFont="1" applyBorder="1" applyAlignment="1">
      <alignment horizontal="left" vertical="top" wrapText="1"/>
    </xf>
    <xf numFmtId="0" fontId="40" fillId="0" borderId="33" xfId="0" applyFont="1" applyBorder="1" applyAlignment="1">
      <alignment horizontal="left" vertical="top" wrapText="1"/>
    </xf>
    <xf numFmtId="0" fontId="20" fillId="0" borderId="35" xfId="0" applyFont="1" applyBorder="1" applyAlignment="1">
      <alignment horizontal="center" vertical="top" wrapText="1"/>
    </xf>
    <xf numFmtId="0" fontId="22" fillId="0" borderId="34" xfId="0" applyFont="1" applyBorder="1" applyAlignment="1">
      <alignment horizontal="center" vertical="top" wrapText="1"/>
    </xf>
    <xf numFmtId="0" fontId="22" fillId="0" borderId="35" xfId="0" applyFont="1" applyBorder="1" applyAlignment="1">
      <alignment horizontal="center" vertical="top" wrapText="1"/>
    </xf>
    <xf numFmtId="0" fontId="22" fillId="0" borderId="33" xfId="0" applyFont="1" applyBorder="1" applyAlignment="1">
      <alignment horizontal="center" vertical="top" wrapText="1"/>
    </xf>
    <xf numFmtId="0" fontId="15" fillId="0" borderId="34" xfId="0" applyFont="1" applyBorder="1" applyAlignment="1">
      <alignment vertical="top" wrapText="1"/>
    </xf>
    <xf numFmtId="0" fontId="15" fillId="0" borderId="35" xfId="0" applyFont="1" applyBorder="1" applyAlignment="1">
      <alignment vertical="top" wrapText="1"/>
    </xf>
    <xf numFmtId="0" fontId="15" fillId="0" borderId="33" xfId="0" applyFont="1" applyBorder="1" applyAlignment="1">
      <alignment vertical="top" wrapText="1"/>
    </xf>
    <xf numFmtId="0" fontId="18" fillId="0" borderId="20" xfId="0" applyFont="1" applyBorder="1" applyAlignment="1">
      <alignment horizontal="left" vertical="top" wrapText="1"/>
    </xf>
    <xf numFmtId="0" fontId="18" fillId="0" borderId="0" xfId="0" applyFont="1" applyAlignment="1">
      <alignment horizontal="left" vertical="top" wrapText="1"/>
    </xf>
    <xf numFmtId="0" fontId="18" fillId="0" borderId="29" xfId="0" applyFont="1" applyBorder="1" applyAlignment="1">
      <alignment horizontal="left" vertical="top" wrapText="1"/>
    </xf>
    <xf numFmtId="0" fontId="15" fillId="0" borderId="20" xfId="0" applyFont="1" applyBorder="1" applyAlignment="1">
      <alignment vertical="top" wrapText="1"/>
    </xf>
    <xf numFmtId="0" fontId="13" fillId="10" borderId="17" xfId="0" applyFont="1" applyFill="1" applyBorder="1" applyAlignment="1">
      <alignment horizontal="center" vertical="top" wrapText="1"/>
    </xf>
    <xf numFmtId="0" fontId="13" fillId="10" borderId="19" xfId="0" applyFont="1" applyFill="1" applyBorder="1" applyAlignment="1">
      <alignment horizontal="center" vertical="top" wrapText="1"/>
    </xf>
    <xf numFmtId="0" fontId="46" fillId="0" borderId="17" xfId="0" applyFont="1" applyBorder="1" applyAlignment="1">
      <alignment horizontal="center" vertical="center" wrapText="1"/>
    </xf>
    <xf numFmtId="0" fontId="60" fillId="0" borderId="18" xfId="0" applyFont="1" applyBorder="1" applyAlignment="1">
      <alignment horizontal="center" vertical="center" wrapText="1"/>
    </xf>
    <xf numFmtId="0" fontId="60" fillId="0" borderId="19" xfId="0" applyFont="1" applyBorder="1" applyAlignment="1">
      <alignment horizontal="center" vertical="center" wrapText="1"/>
    </xf>
    <xf numFmtId="0" fontId="60" fillId="0" borderId="30" xfId="0" applyFont="1" applyBorder="1" applyAlignment="1">
      <alignment horizontal="center" vertical="center" wrapText="1"/>
    </xf>
    <xf numFmtId="0" fontId="60" fillId="0" borderId="23" xfId="0" applyFont="1" applyBorder="1" applyAlignment="1">
      <alignment horizontal="center" vertical="center" wrapText="1"/>
    </xf>
    <xf numFmtId="0" fontId="60" fillId="0" borderId="31" xfId="0" applyFont="1" applyBorder="1" applyAlignment="1">
      <alignment horizontal="center" vertical="center" wrapText="1"/>
    </xf>
    <xf numFmtId="0" fontId="29" fillId="0" borderId="59" xfId="0" applyFont="1" applyBorder="1" applyAlignment="1">
      <alignment horizontal="left" vertical="top" wrapText="1"/>
    </xf>
    <xf numFmtId="0" fontId="29" fillId="0" borderId="58" xfId="0" applyFont="1" applyBorder="1" applyAlignment="1">
      <alignment horizontal="left" vertical="top" wrapText="1"/>
    </xf>
    <xf numFmtId="0" fontId="29" fillId="0" borderId="59" xfId="0" applyFont="1" applyBorder="1" applyAlignment="1">
      <alignment horizontal="center" vertical="top" wrapText="1"/>
    </xf>
    <xf numFmtId="0" fontId="29" fillId="0" borderId="58" xfId="0" applyFont="1" applyBorder="1" applyAlignment="1">
      <alignment horizontal="center" vertical="top" wrapText="1"/>
    </xf>
    <xf numFmtId="0" fontId="29" fillId="0" borderId="65" xfId="0" applyFont="1" applyBorder="1" applyAlignment="1">
      <alignment horizontal="center" vertical="top" wrapText="1"/>
    </xf>
    <xf numFmtId="0" fontId="52" fillId="13" borderId="81" xfId="0" applyFont="1" applyFill="1" applyBorder="1" applyAlignment="1">
      <alignment horizontal="center" vertical="center" wrapText="1"/>
    </xf>
    <xf numFmtId="0" fontId="52" fillId="13" borderId="84" xfId="0" applyFont="1" applyFill="1" applyBorder="1" applyAlignment="1">
      <alignment horizontal="center" vertical="center" wrapText="1"/>
    </xf>
    <xf numFmtId="0" fontId="52" fillId="13" borderId="97" xfId="0" applyFont="1" applyFill="1" applyBorder="1" applyAlignment="1">
      <alignment horizontal="center" vertical="center" wrapText="1"/>
    </xf>
    <xf numFmtId="0" fontId="52" fillId="9" borderId="76" xfId="0" applyFont="1" applyFill="1" applyBorder="1" applyAlignment="1">
      <alignment horizontal="center" vertical="center" wrapText="1"/>
    </xf>
    <xf numFmtId="0" fontId="52" fillId="9" borderId="15" xfId="0" applyFont="1" applyFill="1" applyBorder="1" applyAlignment="1">
      <alignment horizontal="center" vertical="center" wrapText="1"/>
    </xf>
    <xf numFmtId="0" fontId="10" fillId="0" borderId="76" xfId="0" applyFont="1" applyBorder="1" applyAlignment="1">
      <alignment horizontal="left" vertical="center" wrapText="1"/>
    </xf>
    <xf numFmtId="0" fontId="0" fillId="0" borderId="15" xfId="0" applyBorder="1" applyAlignment="1">
      <alignment wrapText="1"/>
    </xf>
    <xf numFmtId="0" fontId="0" fillId="0" borderId="11" xfId="0" applyBorder="1" applyAlignment="1">
      <alignment wrapText="1"/>
    </xf>
    <xf numFmtId="0" fontId="7" fillId="0" borderId="16" xfId="0" applyFont="1" applyBorder="1" applyAlignment="1">
      <alignment horizontal="left" vertical="center" wrapText="1"/>
    </xf>
    <xf numFmtId="0" fontId="20" fillId="0" borderId="30" xfId="0" applyFont="1" applyBorder="1" applyAlignment="1">
      <alignment horizontal="center" vertical="top" wrapText="1"/>
    </xf>
    <xf numFmtId="0" fontId="20" fillId="0" borderId="23" xfId="0" applyFont="1" applyBorder="1" applyAlignment="1">
      <alignment horizontal="center" vertical="top" wrapText="1"/>
    </xf>
    <xf numFmtId="0" fontId="20" fillId="0" borderId="31" xfId="0" applyFont="1" applyBorder="1" applyAlignment="1">
      <alignment horizontal="center" vertical="top" wrapText="1"/>
    </xf>
    <xf numFmtId="0" fontId="29" fillId="0" borderId="72" xfId="0" applyFont="1" applyBorder="1" applyAlignment="1">
      <alignment horizontal="center" vertical="top" wrapText="1"/>
    </xf>
    <xf numFmtId="0" fontId="29" fillId="0" borderId="65" xfId="0" applyFont="1" applyBorder="1" applyAlignment="1">
      <alignment horizontal="left" vertical="top" wrapText="1"/>
    </xf>
    <xf numFmtId="0" fontId="10" fillId="7" borderId="21" xfId="0" applyFont="1" applyFill="1" applyBorder="1" applyAlignment="1">
      <alignment horizontal="left" vertical="center" wrapText="1"/>
    </xf>
    <xf numFmtId="0" fontId="7" fillId="0" borderId="63" xfId="0" applyFont="1" applyBorder="1" applyAlignment="1">
      <alignment horizontal="left" vertical="top" wrapText="1"/>
    </xf>
    <xf numFmtId="0" fontId="7" fillId="0" borderId="57" xfId="0" applyFont="1" applyBorder="1" applyAlignment="1">
      <alignment horizontal="left" vertical="top" wrapText="1"/>
    </xf>
    <xf numFmtId="0" fontId="7" fillId="0" borderId="64" xfId="0" applyFont="1" applyBorder="1" applyAlignment="1">
      <alignment horizontal="left" vertical="top" wrapText="1"/>
    </xf>
    <xf numFmtId="0" fontId="7" fillId="0" borderId="59" xfId="0" applyFont="1" applyBorder="1" applyAlignment="1">
      <alignment horizontal="left" vertical="top" wrapText="1"/>
    </xf>
    <xf numFmtId="0" fontId="7" fillId="0" borderId="58" xfId="0" applyFont="1" applyBorder="1" applyAlignment="1">
      <alignment horizontal="left" vertical="top" wrapText="1"/>
    </xf>
    <xf numFmtId="0" fontId="7" fillId="0" borderId="65" xfId="0" applyFont="1" applyBorder="1" applyAlignment="1">
      <alignment horizontal="left" vertical="top" wrapText="1"/>
    </xf>
    <xf numFmtId="0" fontId="29" fillId="0" borderId="72" xfId="0" applyFont="1" applyBorder="1" applyAlignment="1">
      <alignment horizontal="left" vertical="top" wrapText="1"/>
    </xf>
    <xf numFmtId="0" fontId="10" fillId="0" borderId="76"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1" xfId="0" applyFont="1" applyBorder="1" applyAlignment="1">
      <alignment horizontal="center" vertical="center" wrapText="1"/>
    </xf>
    <xf numFmtId="0" fontId="7" fillId="0" borderId="71" xfId="0" applyFont="1" applyBorder="1" applyAlignment="1">
      <alignment horizontal="left" vertical="top" wrapText="1"/>
    </xf>
    <xf numFmtId="0" fontId="7" fillId="0" borderId="72" xfId="0" applyFont="1" applyBorder="1" applyAlignment="1">
      <alignment horizontal="left" vertical="top" wrapText="1"/>
    </xf>
    <xf numFmtId="0" fontId="29" fillId="0" borderId="70" xfId="0" applyFont="1" applyBorder="1" applyAlignment="1">
      <alignment horizontal="center" vertical="top" wrapText="1"/>
    </xf>
    <xf numFmtId="0" fontId="29" fillId="0" borderId="70" xfId="0" applyFont="1" applyBorder="1" applyAlignment="1">
      <alignment horizontal="left" vertical="top" wrapText="1"/>
    </xf>
    <xf numFmtId="0" fontId="7" fillId="0" borderId="69" xfId="0" applyFont="1" applyBorder="1" applyAlignment="1">
      <alignment horizontal="left" vertical="top" wrapText="1"/>
    </xf>
    <xf numFmtId="0" fontId="7" fillId="0" borderId="70" xfId="0" applyFont="1" applyBorder="1" applyAlignment="1">
      <alignment horizontal="left" vertical="top" wrapText="1"/>
    </xf>
    <xf numFmtId="0" fontId="13" fillId="0" borderId="63" xfId="0" applyFont="1" applyBorder="1" applyAlignment="1">
      <alignment horizontal="left" vertical="top" wrapText="1"/>
    </xf>
    <xf numFmtId="0" fontId="13" fillId="0" borderId="57" xfId="0" applyFont="1" applyBorder="1" applyAlignment="1">
      <alignment horizontal="left" vertical="top" wrapText="1"/>
    </xf>
    <xf numFmtId="0" fontId="13" fillId="0" borderId="64" xfId="0" applyFont="1" applyBorder="1" applyAlignment="1">
      <alignment horizontal="left" vertical="top" wrapText="1"/>
    </xf>
    <xf numFmtId="0" fontId="13" fillId="0" borderId="59" xfId="0" applyFont="1" applyBorder="1" applyAlignment="1">
      <alignment horizontal="left" vertical="top" wrapText="1"/>
    </xf>
    <xf numFmtId="0" fontId="13" fillId="0" borderId="58" xfId="0" applyFont="1" applyBorder="1" applyAlignment="1">
      <alignment horizontal="left" vertical="top" wrapText="1"/>
    </xf>
    <xf numFmtId="0" fontId="13" fillId="0" borderId="65" xfId="0" applyFont="1" applyBorder="1" applyAlignment="1">
      <alignment horizontal="left" vertical="top" wrapText="1"/>
    </xf>
    <xf numFmtId="0" fontId="29" fillId="0" borderId="63" xfId="0" applyFont="1" applyBorder="1" applyAlignment="1">
      <alignment horizontal="left" vertical="top" wrapText="1"/>
    </xf>
    <xf numFmtId="0" fontId="29" fillId="0" borderId="57" xfId="0" applyFont="1" applyBorder="1" applyAlignment="1">
      <alignment horizontal="left" vertical="top" wrapText="1"/>
    </xf>
    <xf numFmtId="0" fontId="29" fillId="0" borderId="64" xfId="0" applyFont="1" applyBorder="1" applyAlignment="1">
      <alignment horizontal="left" vertical="top" wrapText="1"/>
    </xf>
    <xf numFmtId="0" fontId="32" fillId="0" borderId="59" xfId="0" applyFont="1" applyBorder="1" applyAlignment="1">
      <alignment horizontal="left" vertical="top" wrapText="1"/>
    </xf>
    <xf numFmtId="0" fontId="32" fillId="0" borderId="58" xfId="0" applyFont="1" applyBorder="1" applyAlignment="1">
      <alignment horizontal="left" vertical="top" wrapText="1"/>
    </xf>
    <xf numFmtId="0" fontId="32" fillId="0" borderId="70" xfId="0" applyFont="1" applyBorder="1" applyAlignment="1">
      <alignment horizontal="left" vertical="top" wrapText="1"/>
    </xf>
    <xf numFmtId="0" fontId="32" fillId="0" borderId="63" xfId="0" applyFont="1" applyBorder="1" applyAlignment="1">
      <alignment horizontal="left" vertical="top" wrapText="1"/>
    </xf>
    <xf numFmtId="0" fontId="32" fillId="0" borderId="57" xfId="0" applyFont="1" applyBorder="1" applyAlignment="1">
      <alignment horizontal="left" vertical="top" wrapText="1"/>
    </xf>
    <xf numFmtId="0" fontId="32" fillId="0" borderId="64" xfId="0" applyFont="1" applyBorder="1" applyAlignment="1">
      <alignment horizontal="left" vertical="top" wrapText="1"/>
    </xf>
    <xf numFmtId="0" fontId="32" fillId="0" borderId="65" xfId="0" applyFont="1" applyBorder="1" applyAlignment="1">
      <alignment horizontal="left" vertical="top" wrapText="1"/>
    </xf>
    <xf numFmtId="0" fontId="39" fillId="18" borderId="73" xfId="0" applyFont="1" applyFill="1" applyBorder="1" applyAlignment="1">
      <alignment horizontal="right" vertical="center" wrapText="1"/>
    </xf>
    <xf numFmtId="0" fontId="6" fillId="0" borderId="79" xfId="0" applyFont="1" applyBorder="1" applyAlignment="1">
      <alignment wrapText="1"/>
    </xf>
    <xf numFmtId="0" fontId="10" fillId="7" borderId="40" xfId="0" applyFont="1" applyFill="1" applyBorder="1" applyAlignment="1">
      <alignment horizontal="left" vertical="center" wrapText="1"/>
    </xf>
    <xf numFmtId="0" fontId="0" fillId="0" borderId="51" xfId="0" applyBorder="1" applyAlignment="1">
      <alignment horizontal="center" wrapText="1"/>
    </xf>
    <xf numFmtId="0" fontId="0" fillId="0" borderId="45" xfId="0" applyBorder="1" applyAlignment="1">
      <alignment horizontal="center" wrapText="1"/>
    </xf>
    <xf numFmtId="0" fontId="52" fillId="13" borderId="86" xfId="0" applyFont="1" applyFill="1" applyBorder="1" applyAlignment="1">
      <alignment horizontal="center" vertical="center" wrapText="1"/>
    </xf>
    <xf numFmtId="0" fontId="52" fillId="13" borderId="10" xfId="0" applyFont="1" applyFill="1" applyBorder="1" applyAlignment="1">
      <alignment horizontal="center" vertical="center" wrapText="1"/>
    </xf>
    <xf numFmtId="0" fontId="52" fillId="13" borderId="6" xfId="0" applyFont="1" applyFill="1" applyBorder="1" applyAlignment="1">
      <alignment horizontal="center" vertical="center" wrapText="1"/>
    </xf>
    <xf numFmtId="0" fontId="29" fillId="0" borderId="0" xfId="0" applyFont="1" applyAlignment="1" applyProtection="1">
      <alignment horizontal="center" wrapText="1"/>
      <protection locked="0"/>
    </xf>
    <xf numFmtId="0" fontId="29" fillId="0" borderId="29" xfId="0" applyFont="1" applyBorder="1" applyAlignment="1" applyProtection="1">
      <alignment horizontal="center" wrapText="1"/>
      <protection locked="0"/>
    </xf>
    <xf numFmtId="0" fontId="32" fillId="0" borderId="69" xfId="0" applyFont="1" applyBorder="1" applyAlignment="1">
      <alignment horizontal="left" vertical="top" wrapText="1"/>
    </xf>
    <xf numFmtId="0" fontId="13" fillId="0" borderId="20" xfId="0" applyFont="1" applyBorder="1" applyAlignment="1">
      <alignment horizontal="center" vertical="top" wrapText="1"/>
    </xf>
    <xf numFmtId="0" fontId="13" fillId="0" borderId="0" xfId="0" applyFont="1" applyAlignment="1">
      <alignment horizontal="center" vertical="top" wrapText="1"/>
    </xf>
    <xf numFmtId="0" fontId="13" fillId="0" borderId="29" xfId="0" applyFont="1" applyBorder="1" applyAlignment="1">
      <alignment horizontal="center" vertical="top" wrapText="1"/>
    </xf>
    <xf numFmtId="0" fontId="37" fillId="0" borderId="14" xfId="0" applyFont="1" applyBorder="1" applyAlignment="1" applyProtection="1">
      <alignment horizontal="center" wrapText="1"/>
      <protection locked="0"/>
    </xf>
    <xf numFmtId="0" fontId="37" fillId="0" borderId="55" xfId="0" applyFont="1" applyBorder="1" applyAlignment="1" applyProtection="1">
      <alignment horizontal="center" wrapText="1"/>
      <protection locked="0"/>
    </xf>
    <xf numFmtId="0" fontId="37" fillId="0" borderId="0" xfId="0" applyFont="1" applyAlignment="1" applyProtection="1">
      <alignment horizontal="center" wrapText="1"/>
      <protection locked="0"/>
    </xf>
    <xf numFmtId="0" fontId="37" fillId="0" borderId="29" xfId="0" applyFont="1" applyBorder="1" applyAlignment="1" applyProtection="1">
      <alignment horizontal="center" wrapText="1"/>
      <protection locked="0"/>
    </xf>
    <xf numFmtId="0" fontId="12" fillId="8" borderId="17" xfId="0" applyFont="1" applyFill="1" applyBorder="1" applyAlignment="1">
      <alignment horizontal="left" wrapText="1"/>
    </xf>
    <xf numFmtId="0" fontId="12" fillId="8" borderId="18" xfId="0" applyFont="1" applyFill="1" applyBorder="1" applyAlignment="1">
      <alignment horizontal="left" wrapText="1"/>
    </xf>
    <xf numFmtId="0" fontId="12" fillId="8" borderId="19" xfId="0" applyFont="1" applyFill="1" applyBorder="1" applyAlignment="1">
      <alignment horizontal="left" wrapText="1"/>
    </xf>
    <xf numFmtId="0" fontId="15" fillId="0" borderId="20" xfId="0" applyFont="1" applyBorder="1" applyAlignment="1">
      <alignment horizontal="center" vertical="top" wrapText="1"/>
    </xf>
    <xf numFmtId="0" fontId="29" fillId="10" borderId="0" xfId="0" applyFont="1" applyFill="1" applyAlignment="1">
      <alignment horizontal="center" vertical="top" wrapText="1"/>
    </xf>
    <xf numFmtId="0" fontId="29" fillId="10" borderId="29" xfId="0" applyFont="1" applyFill="1" applyBorder="1" applyAlignment="1">
      <alignment horizontal="center" vertical="top" wrapText="1"/>
    </xf>
    <xf numFmtId="0" fontId="7" fillId="13" borderId="20" xfId="0" applyFont="1" applyFill="1" applyBorder="1" applyAlignment="1">
      <alignment horizontal="center" vertical="center" wrapText="1"/>
    </xf>
    <xf numFmtId="0" fontId="7" fillId="13" borderId="0" xfId="0" applyFont="1" applyFill="1" applyAlignment="1">
      <alignment horizontal="center" vertical="center" wrapText="1"/>
    </xf>
    <xf numFmtId="0" fontId="7" fillId="13" borderId="29" xfId="0" applyFont="1" applyFill="1" applyBorder="1" applyAlignment="1">
      <alignment horizontal="center" vertical="center" wrapText="1"/>
    </xf>
    <xf numFmtId="0" fontId="7" fillId="0" borderId="11" xfId="0" applyFont="1" applyBorder="1" applyAlignment="1">
      <alignment horizontal="left" vertical="center" wrapText="1"/>
    </xf>
    <xf numFmtId="0" fontId="10" fillId="7" borderId="89" xfId="0" applyFont="1" applyFill="1" applyBorder="1" applyAlignment="1">
      <alignment horizontal="center" vertical="center" wrapText="1"/>
    </xf>
    <xf numFmtId="0" fontId="7" fillId="7" borderId="86" xfId="0" applyFont="1" applyFill="1" applyBorder="1" applyAlignment="1">
      <alignment horizontal="center" vertical="center" wrapText="1"/>
    </xf>
    <xf numFmtId="0" fontId="42" fillId="0" borderId="14" xfId="0" applyFont="1" applyBorder="1" applyAlignment="1">
      <alignment horizontal="right" vertical="center" wrapText="1"/>
    </xf>
    <xf numFmtId="0" fontId="42" fillId="0" borderId="10" xfId="0" applyFont="1" applyBorder="1" applyAlignment="1">
      <alignment horizontal="right" vertical="center" wrapText="1"/>
    </xf>
    <xf numFmtId="0" fontId="29" fillId="10" borderId="75" xfId="0" applyFont="1" applyFill="1" applyBorder="1" applyAlignment="1">
      <alignment horizontal="center" vertical="top" wrapText="1"/>
    </xf>
    <xf numFmtId="0" fontId="0" fillId="0" borderId="29" xfId="0" applyBorder="1" applyAlignment="1">
      <alignment wrapText="1"/>
    </xf>
    <xf numFmtId="0" fontId="15" fillId="0" borderId="23" xfId="0" applyFont="1" applyBorder="1" applyAlignment="1">
      <alignment horizontal="center" vertical="top" wrapText="1"/>
    </xf>
    <xf numFmtId="0" fontId="15" fillId="0" borderId="31" xfId="0" applyFont="1" applyBorder="1" applyAlignment="1">
      <alignment horizontal="center" vertical="top" wrapText="1"/>
    </xf>
    <xf numFmtId="0" fontId="0" fillId="0" borderId="20" xfId="0" applyBorder="1" applyAlignment="1">
      <alignment vertical="center" wrapText="1"/>
    </xf>
    <xf numFmtId="0" fontId="0" fillId="0" borderId="86" xfId="0" applyBorder="1" applyAlignment="1">
      <alignment vertical="center" wrapText="1"/>
    </xf>
    <xf numFmtId="0" fontId="0" fillId="0" borderId="51" xfId="0" applyBorder="1" applyAlignment="1">
      <alignment vertical="center" wrapText="1"/>
    </xf>
    <xf numFmtId="0" fontId="0" fillId="0" borderId="51" xfId="0" applyBorder="1" applyAlignment="1">
      <alignment horizontal="center" vertical="center" wrapText="1"/>
    </xf>
    <xf numFmtId="0" fontId="0" fillId="0" borderId="45" xfId="0" applyBorder="1" applyAlignment="1">
      <alignment horizontal="center" vertical="center" wrapText="1"/>
    </xf>
    <xf numFmtId="0" fontId="0" fillId="0" borderId="20" xfId="0" applyBorder="1" applyAlignment="1">
      <alignment horizontal="center" vertical="center" wrapText="1"/>
    </xf>
    <xf numFmtId="0" fontId="10" fillId="0" borderId="15" xfId="0" applyFont="1" applyBorder="1" applyAlignment="1">
      <alignment horizontal="left" vertical="center" wrapText="1"/>
    </xf>
    <xf numFmtId="0" fontId="10" fillId="0" borderId="11" xfId="0" applyFont="1" applyBorder="1" applyAlignment="1">
      <alignment horizontal="left" vertical="center" wrapText="1"/>
    </xf>
    <xf numFmtId="0" fontId="7" fillId="0" borderId="34"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33" xfId="0" applyFont="1" applyBorder="1" applyAlignment="1">
      <alignment horizontal="center" vertical="center" wrapText="1"/>
    </xf>
    <xf numFmtId="0" fontId="10" fillId="7" borderId="45" xfId="0" applyFont="1" applyFill="1" applyBorder="1" applyAlignment="1">
      <alignment horizontal="center" vertical="center" wrapText="1"/>
    </xf>
    <xf numFmtId="0" fontId="9" fillId="0" borderId="5" xfId="1" applyFont="1" applyBorder="1" applyAlignment="1">
      <alignment vertical="center" wrapText="1"/>
    </xf>
    <xf numFmtId="0" fontId="6" fillId="0" borderId="0" xfId="1" applyAlignment="1">
      <alignment horizontal="left" vertical="top"/>
    </xf>
    <xf numFmtId="0" fontId="6" fillId="0" borderId="10" xfId="1" applyBorder="1" applyAlignment="1">
      <alignment horizontal="left" vertical="top"/>
    </xf>
    <xf numFmtId="0" fontId="9" fillId="0" borderId="7" xfId="1" applyFont="1" applyBorder="1" applyAlignment="1">
      <alignment horizontal="left" vertical="top"/>
    </xf>
    <xf numFmtId="0" fontId="6" fillId="0" borderId="13" xfId="1" applyBorder="1" applyAlignment="1">
      <alignment horizontal="left" vertical="top"/>
    </xf>
    <xf numFmtId="0" fontId="9" fillId="0" borderId="9" xfId="1" applyFont="1" applyBorder="1" applyAlignment="1">
      <alignment vertical="top" wrapText="1"/>
    </xf>
    <xf numFmtId="0" fontId="6" fillId="0" borderId="12" xfId="1" applyBorder="1" applyAlignment="1">
      <alignment vertical="top" wrapText="1"/>
    </xf>
    <xf numFmtId="0" fontId="12" fillId="8" borderId="0" xfId="1" applyFont="1" applyFill="1" applyAlignment="1">
      <alignment horizontal="left" vertical="center" wrapText="1"/>
    </xf>
    <xf numFmtId="0" fontId="11" fillId="8" borderId="16" xfId="1" applyFont="1" applyFill="1" applyBorder="1" applyAlignment="1">
      <alignment horizontal="left" vertical="center"/>
    </xf>
    <xf numFmtId="0" fontId="11" fillId="8" borderId="15" xfId="1" applyFont="1" applyFill="1" applyBorder="1" applyAlignment="1">
      <alignment horizontal="left" vertical="center"/>
    </xf>
    <xf numFmtId="0" fontId="10" fillId="7" borderId="14" xfId="1" applyFont="1" applyFill="1" applyBorder="1" applyAlignment="1">
      <alignment horizontal="left" vertical="top" wrapText="1"/>
    </xf>
    <xf numFmtId="0" fontId="7" fillId="7" borderId="14" xfId="1" applyFont="1" applyFill="1" applyBorder="1" applyAlignment="1">
      <alignment horizontal="left" vertical="top" wrapText="1"/>
    </xf>
    <xf numFmtId="0" fontId="7" fillId="7" borderId="0" xfId="1" applyFont="1" applyFill="1" applyAlignment="1">
      <alignment horizontal="left" vertical="top" wrapText="1"/>
    </xf>
    <xf numFmtId="0" fontId="7" fillId="7" borderId="10" xfId="1" applyFont="1" applyFill="1" applyBorder="1" applyAlignment="1">
      <alignment horizontal="left" vertical="top" wrapText="1"/>
    </xf>
    <xf numFmtId="0" fontId="6" fillId="0" borderId="6" xfId="1" applyBorder="1" applyAlignment="1">
      <alignment horizontal="left" vertical="top"/>
    </xf>
    <xf numFmtId="0" fontId="9" fillId="0" borderId="9" xfId="1" applyFont="1" applyBorder="1" applyAlignment="1">
      <alignment horizontal="left" vertical="top" wrapText="1"/>
    </xf>
    <xf numFmtId="0" fontId="6" fillId="0" borderId="8" xfId="1" applyBorder="1" applyAlignment="1">
      <alignment horizontal="left" vertical="top" wrapText="1"/>
    </xf>
    <xf numFmtId="0" fontId="6" fillId="0" borderId="8" xfId="1" applyBorder="1" applyAlignment="1">
      <alignment vertical="top" wrapText="1"/>
    </xf>
    <xf numFmtId="0" fontId="7" fillId="0" borderId="5" xfId="1" applyFont="1" applyBorder="1" applyAlignment="1">
      <alignment vertical="center" wrapText="1"/>
    </xf>
    <xf numFmtId="0" fontId="7" fillId="0" borderId="9" xfId="1" applyFont="1" applyBorder="1" applyAlignment="1">
      <alignment vertical="center" wrapText="1"/>
    </xf>
    <xf numFmtId="0" fontId="6" fillId="0" borderId="8" xfId="1" applyBorder="1" applyAlignment="1">
      <alignment vertical="center" wrapText="1"/>
    </xf>
    <xf numFmtId="0" fontId="45" fillId="24" borderId="0" xfId="0" applyFont="1" applyFill="1" applyAlignment="1">
      <alignment horizontal="center" vertical="top" wrapText="1"/>
    </xf>
    <xf numFmtId="0" fontId="15" fillId="18" borderId="20" xfId="0" applyFont="1" applyFill="1" applyBorder="1" applyAlignment="1">
      <alignment horizontal="center" vertical="top" wrapText="1"/>
    </xf>
    <xf numFmtId="0" fontId="15" fillId="18" borderId="23" xfId="0" applyFont="1" applyFill="1" applyBorder="1" applyAlignment="1">
      <alignment horizontal="center" vertical="top" wrapText="1"/>
    </xf>
    <xf numFmtId="0" fontId="15" fillId="18" borderId="30" xfId="0" applyFont="1" applyFill="1" applyBorder="1" applyAlignment="1">
      <alignment horizontal="center" vertical="top" wrapText="1"/>
    </xf>
    <xf numFmtId="0" fontId="15" fillId="18" borderId="31" xfId="0" applyFont="1" applyFill="1" applyBorder="1" applyAlignment="1">
      <alignment horizontal="center" vertical="top" wrapText="1"/>
    </xf>
    <xf numFmtId="0" fontId="15" fillId="25" borderId="0" xfId="0" applyFont="1" applyFill="1" applyAlignment="1">
      <alignment vertical="center" wrapText="1"/>
    </xf>
    <xf numFmtId="0" fontId="0" fillId="25" borderId="0" xfId="0" applyFill="1" applyAlignment="1">
      <alignment wrapText="1"/>
    </xf>
    <xf numFmtId="0" fontId="14" fillId="0" borderId="16" xfId="0" applyFont="1" applyBorder="1" applyAlignment="1">
      <alignment vertical="top" wrapText="1"/>
    </xf>
    <xf numFmtId="0" fontId="15" fillId="0" borderId="16" xfId="0" applyFont="1" applyBorder="1" applyAlignment="1">
      <alignment horizontal="center" wrapText="1"/>
    </xf>
    <xf numFmtId="0" fontId="15" fillId="0" borderId="11" xfId="0" applyFont="1" applyBorder="1" applyAlignment="1">
      <alignment horizontal="center" wrapText="1"/>
    </xf>
    <xf numFmtId="0" fontId="14" fillId="0" borderId="92" xfId="0" applyFont="1" applyBorder="1" applyAlignment="1">
      <alignment vertical="top" wrapText="1"/>
    </xf>
    <xf numFmtId="0" fontId="20" fillId="0" borderId="16" xfId="0" applyFont="1" applyBorder="1" applyAlignment="1">
      <alignment horizontal="left" vertical="top" wrapText="1"/>
    </xf>
    <xf numFmtId="0" fontId="20" fillId="0" borderId="15" xfId="0" applyFont="1" applyBorder="1" applyAlignment="1">
      <alignment horizontal="left" vertical="top" wrapText="1"/>
    </xf>
    <xf numFmtId="0" fontId="20" fillId="0" borderId="11" xfId="0" applyFont="1" applyBorder="1" applyAlignment="1">
      <alignment horizontal="left" vertical="top" wrapText="1"/>
    </xf>
    <xf numFmtId="0" fontId="63" fillId="0" borderId="20" xfId="0" applyFont="1" applyFill="1" applyBorder="1" applyAlignment="1">
      <alignment horizontal="left" vertical="top" wrapText="1"/>
    </xf>
    <xf numFmtId="0" fontId="63" fillId="0" borderId="29" xfId="0" applyFont="1" applyFill="1" applyBorder="1" applyAlignment="1">
      <alignment horizontal="left" vertical="top" wrapText="1"/>
    </xf>
    <xf numFmtId="0" fontId="63" fillId="0" borderId="30" xfId="0" applyFont="1" applyFill="1" applyBorder="1" applyAlignment="1">
      <alignment horizontal="left" vertical="top" wrapText="1"/>
    </xf>
    <xf numFmtId="0" fontId="63" fillId="0" borderId="31" xfId="0" applyFont="1" applyFill="1" applyBorder="1" applyAlignment="1">
      <alignment horizontal="left" vertical="top" wrapText="1"/>
    </xf>
    <xf numFmtId="0" fontId="24" fillId="0" borderId="23" xfId="0" applyFont="1" applyBorder="1" applyAlignment="1">
      <alignment horizontal="center" vertical="top" wrapText="1"/>
    </xf>
    <xf numFmtId="0" fontId="24" fillId="0" borderId="31" xfId="0" applyFont="1" applyBorder="1" applyAlignment="1">
      <alignment horizontal="center" vertical="top" wrapText="1"/>
    </xf>
    <xf numFmtId="0" fontId="24" fillId="0" borderId="23" xfId="0" applyFont="1" applyBorder="1" applyAlignment="1">
      <alignment horizontal="left" vertical="top" wrapText="1"/>
    </xf>
    <xf numFmtId="0" fontId="24" fillId="0" borderId="31" xfId="0" applyFont="1" applyBorder="1" applyAlignment="1">
      <alignment horizontal="left" vertical="top" wrapText="1"/>
    </xf>
  </cellXfs>
  <cellStyles count="4">
    <cellStyle name="Hyperlink" xfId="2" builtinId="8"/>
    <cellStyle name="Normal" xfId="0" builtinId="0"/>
    <cellStyle name="Normal 15" xfId="3" xr:uid="{00000000-0005-0000-0000-000002000000}"/>
    <cellStyle name="Normal 2" xfId="1" xr:uid="{00000000-0005-0000-0000-000003000000}"/>
  </cellStyles>
  <dxfs count="1252">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rgb="FFFF0000"/>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2" tint="-9.9948118533890809E-2"/>
        </patternFill>
      </fill>
    </dxf>
    <dxf>
      <fill>
        <patternFill>
          <bgColor theme="2" tint="-9.9948118533890809E-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ill>
        <patternFill>
          <bgColor rgb="FFFF0000"/>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0" tint="-0.14996795556505021"/>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7" tint="0.79998168889431442"/>
        </patternFill>
      </fill>
    </dxf>
    <dxf>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7" tint="0.79998168889431442"/>
        </patternFill>
      </fill>
    </dxf>
    <dxf>
      <font>
        <color theme="1"/>
      </font>
      <fill>
        <patternFill>
          <bgColor theme="7" tint="0.79998168889431442"/>
        </patternFill>
      </fill>
    </dxf>
    <dxf>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ill>
        <patternFill>
          <bgColor theme="2" tint="-9.9948118533890809E-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theme="7" tint="0.79998168889431442"/>
        </patternFill>
      </fill>
    </dxf>
    <dxf>
      <font>
        <color theme="1"/>
      </font>
      <fill>
        <patternFill>
          <bgColor rgb="FFFF0000"/>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1"/>
      </font>
      <fill>
        <patternFill>
          <bgColor theme="7" tint="0.79998168889431442"/>
        </patternFill>
      </fill>
    </dxf>
    <dxf>
      <fill>
        <patternFill>
          <bgColor theme="0" tint="-0.14996795556505021"/>
        </patternFill>
      </fill>
    </dxf>
    <dxf>
      <fill>
        <patternFill>
          <bgColor rgb="FFFF0000"/>
        </patternFill>
      </fill>
    </dxf>
    <dxf>
      <font>
        <color theme="1"/>
      </font>
      <fill>
        <patternFill>
          <bgColor theme="7" tint="0.79998168889431442"/>
        </patternFill>
      </fill>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22"/>
        </patternFill>
      </fill>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2463800</xdr:colOff>
      <xdr:row>45</xdr:row>
      <xdr:rowOff>939800</xdr:rowOff>
    </xdr:to>
    <xdr:sp macro="" textlink="">
      <xdr:nvSpPr>
        <xdr:cNvPr id="1038" name="Text Box 14" hidden="1">
          <a:extLst>
            <a:ext uri="{FF2B5EF4-FFF2-40B4-BE49-F238E27FC236}">
              <a16:creationId xmlns:a16="http://schemas.microsoft.com/office/drawing/2014/main" id="{00000000-0008-0000-0000-00000E04000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2463800</xdr:colOff>
      <xdr:row>45</xdr:row>
      <xdr:rowOff>939800</xdr:rowOff>
    </xdr:to>
    <xdr:sp macro="" textlink="">
      <xdr:nvSpPr>
        <xdr:cNvPr id="1036" name="Text Box 12" hidden="1">
          <a:extLst>
            <a:ext uri="{FF2B5EF4-FFF2-40B4-BE49-F238E27FC236}">
              <a16:creationId xmlns:a16="http://schemas.microsoft.com/office/drawing/2014/main" id="{00000000-0008-0000-0000-00000C04000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2463800</xdr:colOff>
      <xdr:row>45</xdr:row>
      <xdr:rowOff>939800</xdr:rowOff>
    </xdr:to>
    <xdr:sp macro="" textlink="">
      <xdr:nvSpPr>
        <xdr:cNvPr id="1034" name="Text Box 10" hidden="1">
          <a:extLst>
            <a:ext uri="{FF2B5EF4-FFF2-40B4-BE49-F238E27FC236}">
              <a16:creationId xmlns:a16="http://schemas.microsoft.com/office/drawing/2014/main" id="{00000000-0008-0000-0000-00000A04000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2463800</xdr:colOff>
      <xdr:row>45</xdr:row>
      <xdr:rowOff>939800</xdr:rowOff>
    </xdr:to>
    <xdr:sp macro="" textlink="">
      <xdr:nvSpPr>
        <xdr:cNvPr id="1032" name="Text Box 8" hidden="1">
          <a:extLst>
            <a:ext uri="{FF2B5EF4-FFF2-40B4-BE49-F238E27FC236}">
              <a16:creationId xmlns:a16="http://schemas.microsoft.com/office/drawing/2014/main" id="{00000000-0008-0000-0000-00000804000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2463800</xdr:colOff>
      <xdr:row>45</xdr:row>
      <xdr:rowOff>939800</xdr:rowOff>
    </xdr:to>
    <xdr:sp macro="" textlink="">
      <xdr:nvSpPr>
        <xdr:cNvPr id="1030" name="Text Box 6" hidden="1">
          <a:extLst>
            <a:ext uri="{FF2B5EF4-FFF2-40B4-BE49-F238E27FC236}">
              <a16:creationId xmlns:a16="http://schemas.microsoft.com/office/drawing/2014/main" id="{00000000-0008-0000-0000-00000604000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2463800</xdr:colOff>
      <xdr:row>45</xdr:row>
      <xdr:rowOff>939800</xdr:rowOff>
    </xdr:to>
    <xdr:sp macro="" textlink="">
      <xdr:nvSpPr>
        <xdr:cNvPr id="1028" name="Text Box 4" hidden="1">
          <a:extLst>
            <a:ext uri="{FF2B5EF4-FFF2-40B4-BE49-F238E27FC236}">
              <a16:creationId xmlns:a16="http://schemas.microsoft.com/office/drawing/2014/main" id="{00000000-0008-0000-0000-00000404000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2463800</xdr:colOff>
      <xdr:row>45</xdr:row>
      <xdr:rowOff>939800</xdr:rowOff>
    </xdr:to>
    <xdr:sp macro="" textlink="">
      <xdr:nvSpPr>
        <xdr:cNvPr id="1026" name="Text Box 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385763</xdr:colOff>
      <xdr:row>47</xdr:row>
      <xdr:rowOff>514350</xdr:rowOff>
    </xdr:to>
    <xdr:sp macro="" textlink="">
      <xdr:nvSpPr>
        <xdr:cNvPr id="2" name="AutoShape 14">
          <a:extLst>
            <a:ext uri="{FF2B5EF4-FFF2-40B4-BE49-F238E27FC236}">
              <a16:creationId xmlns:a16="http://schemas.microsoft.com/office/drawing/2014/main" id="{00000000-0008-0000-0000-000002000000}"/>
            </a:ext>
          </a:extLst>
        </xdr:cNvPr>
        <xdr:cNvSpPr>
          <a:spLocks noChangeArrowheads="1"/>
        </xdr:cNvSpPr>
      </xdr:nvSpPr>
      <xdr:spPr bwMode="auto">
        <a:xfrm>
          <a:off x="0" y="0"/>
          <a:ext cx="12701588" cy="12701588"/>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385763</xdr:colOff>
      <xdr:row>47</xdr:row>
      <xdr:rowOff>514350</xdr:rowOff>
    </xdr:to>
    <xdr:sp macro="" textlink="">
      <xdr:nvSpPr>
        <xdr:cNvPr id="3" name="AutoShape 12">
          <a:extLst>
            <a:ext uri="{FF2B5EF4-FFF2-40B4-BE49-F238E27FC236}">
              <a16:creationId xmlns:a16="http://schemas.microsoft.com/office/drawing/2014/main" id="{00000000-0008-0000-0000-000003000000}"/>
            </a:ext>
          </a:extLst>
        </xdr:cNvPr>
        <xdr:cNvSpPr>
          <a:spLocks noChangeArrowheads="1"/>
        </xdr:cNvSpPr>
      </xdr:nvSpPr>
      <xdr:spPr bwMode="auto">
        <a:xfrm>
          <a:off x="0" y="0"/>
          <a:ext cx="12701588" cy="12701588"/>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385763</xdr:colOff>
      <xdr:row>47</xdr:row>
      <xdr:rowOff>514350</xdr:rowOff>
    </xdr:to>
    <xdr:sp macro="" textlink="">
      <xdr:nvSpPr>
        <xdr:cNvPr id="4" name="AutoShape 10">
          <a:extLst>
            <a:ext uri="{FF2B5EF4-FFF2-40B4-BE49-F238E27FC236}">
              <a16:creationId xmlns:a16="http://schemas.microsoft.com/office/drawing/2014/main" id="{00000000-0008-0000-0000-000004000000}"/>
            </a:ext>
          </a:extLst>
        </xdr:cNvPr>
        <xdr:cNvSpPr>
          <a:spLocks noChangeArrowheads="1"/>
        </xdr:cNvSpPr>
      </xdr:nvSpPr>
      <xdr:spPr bwMode="auto">
        <a:xfrm>
          <a:off x="0" y="0"/>
          <a:ext cx="12701588" cy="12701588"/>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385763</xdr:colOff>
      <xdr:row>47</xdr:row>
      <xdr:rowOff>514350</xdr:rowOff>
    </xdr:to>
    <xdr:sp macro="" textlink="">
      <xdr:nvSpPr>
        <xdr:cNvPr id="5" name="AutoShape 8">
          <a:extLst>
            <a:ext uri="{FF2B5EF4-FFF2-40B4-BE49-F238E27FC236}">
              <a16:creationId xmlns:a16="http://schemas.microsoft.com/office/drawing/2014/main" id="{00000000-0008-0000-0000-000005000000}"/>
            </a:ext>
          </a:extLst>
        </xdr:cNvPr>
        <xdr:cNvSpPr>
          <a:spLocks noChangeArrowheads="1"/>
        </xdr:cNvSpPr>
      </xdr:nvSpPr>
      <xdr:spPr bwMode="auto">
        <a:xfrm>
          <a:off x="0" y="0"/>
          <a:ext cx="12701588" cy="12701588"/>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385763</xdr:colOff>
      <xdr:row>47</xdr:row>
      <xdr:rowOff>514350</xdr:rowOff>
    </xdr:to>
    <xdr:sp macro="" textlink="">
      <xdr:nvSpPr>
        <xdr:cNvPr id="6" name="AutoShape 6">
          <a:extLst>
            <a:ext uri="{FF2B5EF4-FFF2-40B4-BE49-F238E27FC236}">
              <a16:creationId xmlns:a16="http://schemas.microsoft.com/office/drawing/2014/main" id="{00000000-0008-0000-0000-000006000000}"/>
            </a:ext>
          </a:extLst>
        </xdr:cNvPr>
        <xdr:cNvSpPr>
          <a:spLocks noChangeArrowheads="1"/>
        </xdr:cNvSpPr>
      </xdr:nvSpPr>
      <xdr:spPr bwMode="auto">
        <a:xfrm>
          <a:off x="0" y="0"/>
          <a:ext cx="12701588" cy="12701588"/>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385763</xdr:colOff>
      <xdr:row>47</xdr:row>
      <xdr:rowOff>514350</xdr:rowOff>
    </xdr:to>
    <xdr:sp macro="" textlink="">
      <xdr:nvSpPr>
        <xdr:cNvPr id="7" name="AutoShape 4">
          <a:extLst>
            <a:ext uri="{FF2B5EF4-FFF2-40B4-BE49-F238E27FC236}">
              <a16:creationId xmlns:a16="http://schemas.microsoft.com/office/drawing/2014/main" id="{00000000-0008-0000-0000-000007000000}"/>
            </a:ext>
          </a:extLst>
        </xdr:cNvPr>
        <xdr:cNvSpPr>
          <a:spLocks noChangeArrowheads="1"/>
        </xdr:cNvSpPr>
      </xdr:nvSpPr>
      <xdr:spPr bwMode="auto">
        <a:xfrm>
          <a:off x="0" y="0"/>
          <a:ext cx="12701588" cy="12701588"/>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385763</xdr:colOff>
      <xdr:row>47</xdr:row>
      <xdr:rowOff>514350</xdr:rowOff>
    </xdr:to>
    <xdr:sp macro="" textlink="">
      <xdr:nvSpPr>
        <xdr:cNvPr id="8" name="AutoShape 2">
          <a:extLst>
            <a:ext uri="{FF2B5EF4-FFF2-40B4-BE49-F238E27FC236}">
              <a16:creationId xmlns:a16="http://schemas.microsoft.com/office/drawing/2014/main" id="{00000000-0008-0000-0000-000008000000}"/>
            </a:ext>
          </a:extLst>
        </xdr:cNvPr>
        <xdr:cNvSpPr>
          <a:spLocks noChangeArrowheads="1"/>
        </xdr:cNvSpPr>
      </xdr:nvSpPr>
      <xdr:spPr bwMode="auto">
        <a:xfrm>
          <a:off x="0" y="0"/>
          <a:ext cx="12701588" cy="12701588"/>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perigen.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32868"/>
  <sheetViews>
    <sheetView zoomScaleNormal="100" workbookViewId="0">
      <selection activeCell="F112" sqref="F112"/>
    </sheetView>
  </sheetViews>
  <sheetFormatPr defaultColWidth="9.140625" defaultRowHeight="12.75" x14ac:dyDescent="0.2"/>
  <cols>
    <col min="1" max="1" width="3.85546875" customWidth="1"/>
    <col min="2" max="2" width="32.140625" customWidth="1"/>
    <col min="3" max="3" width="2.42578125" customWidth="1"/>
    <col min="4" max="4" width="39" customWidth="1"/>
    <col min="5" max="5" width="3.42578125" customWidth="1"/>
    <col min="6" max="6" width="49.85546875" customWidth="1"/>
    <col min="7" max="7" width="3.42578125" customWidth="1"/>
    <col min="8" max="8" width="34.42578125" customWidth="1"/>
    <col min="9" max="9" width="3.85546875" customWidth="1"/>
    <col min="10" max="10" width="20.85546875" customWidth="1"/>
    <col min="11" max="11" width="3.28515625" customWidth="1"/>
  </cols>
  <sheetData>
    <row r="1" spans="1:13" x14ac:dyDescent="0.2">
      <c r="A1" s="1"/>
      <c r="B1" s="472"/>
      <c r="C1" s="472"/>
      <c r="D1" s="472"/>
      <c r="E1" s="472"/>
      <c r="F1" s="472"/>
      <c r="G1" s="472"/>
      <c r="H1" s="472"/>
      <c r="I1" s="472"/>
      <c r="J1" s="2"/>
      <c r="K1" s="1"/>
    </row>
    <row r="2" spans="1:13" x14ac:dyDescent="0.2">
      <c r="A2" s="1"/>
      <c r="B2" s="471"/>
      <c r="C2" s="471"/>
      <c r="D2" s="471"/>
      <c r="E2" s="471"/>
      <c r="F2" s="471"/>
      <c r="G2" s="471"/>
      <c r="H2" s="471"/>
      <c r="I2" s="471"/>
      <c r="J2" s="2"/>
      <c r="K2" s="1"/>
    </row>
    <row r="3" spans="1:13" x14ac:dyDescent="0.2">
      <c r="A3" s="1"/>
      <c r="B3" s="471"/>
      <c r="C3" s="471"/>
      <c r="D3" s="471"/>
      <c r="E3" s="471"/>
      <c r="F3" s="471"/>
      <c r="G3" s="471"/>
      <c r="H3" s="471"/>
      <c r="I3" s="471"/>
      <c r="J3" s="2"/>
      <c r="K3" s="1"/>
    </row>
    <row r="4" spans="1:13" x14ac:dyDescent="0.2">
      <c r="A4" s="1"/>
      <c r="B4" s="471"/>
      <c r="C4" s="471"/>
      <c r="D4" s="471"/>
      <c r="E4" s="471"/>
      <c r="F4" s="471"/>
      <c r="G4" s="471"/>
      <c r="H4" s="471"/>
      <c r="I4" s="471"/>
      <c r="J4" s="2"/>
      <c r="K4" s="1"/>
    </row>
    <row r="5" spans="1:13" x14ac:dyDescent="0.2">
      <c r="A5" s="1"/>
      <c r="B5" s="474"/>
      <c r="C5" s="474"/>
      <c r="D5" s="474"/>
      <c r="E5" s="474"/>
      <c r="F5" s="474"/>
      <c r="G5" s="474"/>
      <c r="H5" s="474"/>
      <c r="I5" s="474"/>
      <c r="J5" s="2"/>
      <c r="K5" s="1"/>
    </row>
    <row r="6" spans="1:13" x14ac:dyDescent="0.2">
      <c r="A6" s="1" t="s">
        <v>0</v>
      </c>
      <c r="B6" s="473" t="s">
        <v>0</v>
      </c>
      <c r="C6" s="473"/>
      <c r="D6" s="473"/>
      <c r="E6" s="473"/>
      <c r="F6" s="473"/>
      <c r="G6" s="473"/>
      <c r="H6" s="473"/>
      <c r="I6" s="473"/>
      <c r="J6" s="1"/>
      <c r="K6" s="1"/>
      <c r="L6" s="4" t="s">
        <v>1</v>
      </c>
      <c r="M6" s="4" t="s">
        <v>2</v>
      </c>
    </row>
    <row r="7" spans="1:13" x14ac:dyDescent="0.2">
      <c r="A7" s="1" t="s">
        <v>0</v>
      </c>
      <c r="B7" s="473" t="s">
        <v>3</v>
      </c>
      <c r="C7" s="473"/>
      <c r="D7" s="473"/>
      <c r="E7" s="473"/>
      <c r="F7" s="473"/>
      <c r="G7" s="473"/>
      <c r="H7" s="473"/>
      <c r="I7" s="473"/>
      <c r="J7" s="1"/>
      <c r="K7" s="1"/>
      <c r="L7" s="4" t="s">
        <v>1</v>
      </c>
      <c r="M7" s="4" t="s">
        <v>2</v>
      </c>
    </row>
    <row r="8" spans="1:13" x14ac:dyDescent="0.2">
      <c r="A8" s="1" t="s">
        <v>0</v>
      </c>
      <c r="B8" s="473" t="s">
        <v>0</v>
      </c>
      <c r="C8" s="473"/>
      <c r="D8" s="473"/>
      <c r="E8" s="473"/>
      <c r="F8" s="473"/>
      <c r="G8" s="473"/>
      <c r="H8" s="473"/>
      <c r="I8" s="473"/>
      <c r="J8" s="1"/>
      <c r="K8" s="1"/>
      <c r="L8" s="4" t="s">
        <v>1</v>
      </c>
      <c r="M8" s="4" t="s">
        <v>2</v>
      </c>
    </row>
    <row r="9" spans="1:13" x14ac:dyDescent="0.2">
      <c r="A9" s="1" t="s">
        <v>0</v>
      </c>
      <c r="B9" s="473" t="s">
        <v>0</v>
      </c>
      <c r="C9" s="473"/>
      <c r="D9" s="473"/>
      <c r="E9" s="473"/>
      <c r="F9" s="473"/>
      <c r="G9" s="473"/>
      <c r="H9" s="473"/>
      <c r="I9" s="473"/>
      <c r="J9" s="1"/>
      <c r="K9" s="1"/>
      <c r="L9" s="4" t="s">
        <v>1</v>
      </c>
      <c r="M9" s="4" t="s">
        <v>2</v>
      </c>
    </row>
    <row r="10" spans="1:13" ht="25.5" x14ac:dyDescent="0.2">
      <c r="A10" s="1" t="s">
        <v>0</v>
      </c>
      <c r="B10" s="3" t="s">
        <v>4</v>
      </c>
      <c r="C10" s="3"/>
      <c r="D10" s="3" t="s">
        <v>5</v>
      </c>
      <c r="E10" s="3"/>
      <c r="F10" s="5" t="str">
        <f>GENERAL!D4</f>
        <v>PeriWatch Vigilance - 9181 - NYP General Assessment</v>
      </c>
      <c r="G10" s="3"/>
      <c r="H10" s="3"/>
      <c r="I10" s="3"/>
      <c r="J10" s="1"/>
      <c r="K10" s="1"/>
      <c r="L10" s="4" t="s">
        <v>1</v>
      </c>
      <c r="M10" s="4" t="s">
        <v>2</v>
      </c>
    </row>
    <row r="11" spans="1:13" x14ac:dyDescent="0.2">
      <c r="A11" s="1" t="s">
        <v>0</v>
      </c>
      <c r="B11" s="473" t="s">
        <v>0</v>
      </c>
      <c r="C11" s="473"/>
      <c r="D11" s="473"/>
      <c r="E11" s="473"/>
      <c r="F11" s="473"/>
      <c r="G11" s="473"/>
      <c r="H11" s="473"/>
      <c r="I11" s="473"/>
      <c r="J11" s="1"/>
      <c r="K11" s="1"/>
      <c r="L11" s="4" t="s">
        <v>1</v>
      </c>
      <c r="M11" s="4" t="s">
        <v>2</v>
      </c>
    </row>
    <row r="12" spans="1:13" hidden="1" x14ac:dyDescent="0.2">
      <c r="A12" s="6"/>
      <c r="B12" s="7" t="s">
        <v>6</v>
      </c>
      <c r="C12" s="7" t="s">
        <v>0</v>
      </c>
      <c r="D12" s="7" t="s">
        <v>7</v>
      </c>
      <c r="E12" s="7" t="s">
        <v>0</v>
      </c>
      <c r="F12" s="7" t="s">
        <v>8</v>
      </c>
      <c r="G12" s="7"/>
      <c r="H12" s="7"/>
      <c r="I12" s="7"/>
      <c r="J12" s="2"/>
      <c r="K12" s="1"/>
    </row>
    <row r="13" spans="1:13" ht="6.4" hidden="1" customHeight="1" x14ac:dyDescent="0.2">
      <c r="A13" s="6"/>
      <c r="B13" s="470"/>
      <c r="C13" s="470"/>
      <c r="D13" s="470"/>
      <c r="E13" s="470"/>
      <c r="F13" s="470"/>
      <c r="G13" s="470"/>
      <c r="H13" s="470"/>
      <c r="I13" s="470"/>
      <c r="J13" s="2"/>
      <c r="K13" s="1"/>
    </row>
    <row r="14" spans="1:13" hidden="1" x14ac:dyDescent="0.2">
      <c r="A14" s="6"/>
      <c r="B14" s="8" t="s">
        <v>4</v>
      </c>
      <c r="C14" s="8"/>
      <c r="D14" s="8" t="s">
        <v>5</v>
      </c>
      <c r="E14" s="8"/>
      <c r="F14" s="5"/>
      <c r="G14" s="8"/>
      <c r="H14" s="8"/>
      <c r="I14" s="8"/>
      <c r="J14" s="2"/>
      <c r="K14" s="1"/>
      <c r="L14" s="4" t="s">
        <v>9</v>
      </c>
    </row>
    <row r="15" spans="1:13" ht="6.4" hidden="1" customHeight="1" x14ac:dyDescent="0.2">
      <c r="A15" s="6"/>
      <c r="B15" s="470"/>
      <c r="C15" s="470"/>
      <c r="D15" s="470"/>
      <c r="E15" s="470"/>
      <c r="F15" s="470"/>
      <c r="G15" s="470"/>
      <c r="H15" s="470"/>
      <c r="I15" s="470"/>
      <c r="J15" s="2"/>
      <c r="K15" s="1"/>
    </row>
    <row r="16" spans="1:13" x14ac:dyDescent="0.2">
      <c r="A16" s="6"/>
      <c r="B16" s="7" t="s">
        <v>6</v>
      </c>
      <c r="C16" s="7"/>
      <c r="D16" s="7" t="s">
        <v>7</v>
      </c>
      <c r="E16" s="7"/>
      <c r="F16" s="7" t="s">
        <v>8</v>
      </c>
      <c r="G16" s="7"/>
      <c r="H16" s="7" t="s">
        <v>10</v>
      </c>
      <c r="I16" s="7"/>
      <c r="J16" s="2"/>
      <c r="K16" s="1"/>
    </row>
    <row r="17" spans="1:14" x14ac:dyDescent="0.2">
      <c r="A17" s="6"/>
      <c r="B17" s="470"/>
      <c r="C17" s="470"/>
      <c r="D17" s="470"/>
      <c r="E17" s="470"/>
      <c r="F17" s="470"/>
      <c r="G17" s="470"/>
      <c r="H17" s="10" t="str">
        <f>IF(F18=B32003,C32003,"")</f>
        <v>Enter Response</v>
      </c>
      <c r="I17" s="8"/>
      <c r="J17" s="2"/>
      <c r="K17" s="1"/>
      <c r="M17" s="11" t="str">
        <f>IF(F18=B32003,E32003,"")</f>
        <v>2</v>
      </c>
    </row>
    <row r="18" spans="1:14" x14ac:dyDescent="0.2">
      <c r="A18" s="6"/>
      <c r="B18" s="9" t="s">
        <v>11</v>
      </c>
      <c r="C18" s="8"/>
      <c r="D18" s="30" t="s">
        <v>12</v>
      </c>
      <c r="E18" s="8"/>
      <c r="F18" s="5" t="s">
        <v>13</v>
      </c>
      <c r="G18" s="8" t="s">
        <v>14</v>
      </c>
      <c r="H18" s="12" t="str">
        <f>GENERAL!D12</f>
        <v>PeriWatch Vigilance</v>
      </c>
      <c r="I18" s="8"/>
      <c r="J18" s="2"/>
      <c r="K18" s="1"/>
      <c r="L18" s="4" t="s">
        <v>15</v>
      </c>
      <c r="N18" s="4" t="s">
        <v>16</v>
      </c>
    </row>
    <row r="19" spans="1:14" x14ac:dyDescent="0.2">
      <c r="A19" s="6"/>
      <c r="B19" s="470"/>
      <c r="C19" s="470"/>
      <c r="D19" s="470"/>
      <c r="E19" s="470"/>
      <c r="F19" s="470"/>
      <c r="G19" s="470"/>
      <c r="H19" s="10" t="str">
        <f>IF(F20=B32004,C32004,"")</f>
        <v>Enter Response</v>
      </c>
      <c r="I19" s="8"/>
      <c r="J19" s="2"/>
      <c r="K19" s="1"/>
      <c r="M19" s="11" t="str">
        <f>IF(F20=B32004,E32004,"")</f>
        <v>2</v>
      </c>
    </row>
    <row r="20" spans="1:14" x14ac:dyDescent="0.2">
      <c r="A20" s="6"/>
      <c r="B20" s="9" t="s">
        <v>17</v>
      </c>
      <c r="C20" s="8"/>
      <c r="D20" s="9" t="s">
        <v>18</v>
      </c>
      <c r="E20" s="8"/>
      <c r="F20" s="5" t="s">
        <v>19</v>
      </c>
      <c r="G20" s="8" t="s">
        <v>14</v>
      </c>
      <c r="H20" s="12">
        <f>GENERAL!D14</f>
        <v>9181</v>
      </c>
      <c r="I20" s="8"/>
      <c r="J20" s="2"/>
      <c r="K20" s="1"/>
      <c r="L20" s="4" t="s">
        <v>15</v>
      </c>
      <c r="N20" s="4" t="s">
        <v>20</v>
      </c>
    </row>
    <row r="21" spans="1:14" x14ac:dyDescent="0.2">
      <c r="A21" s="6"/>
      <c r="B21" s="470"/>
      <c r="C21" s="470"/>
      <c r="D21" s="470"/>
      <c r="E21" s="470"/>
      <c r="F21" s="470"/>
      <c r="G21" s="470"/>
      <c r="H21" s="10" t="str">
        <f>IF(F22=B32005,C32005,"")</f>
        <v>Enter Response</v>
      </c>
      <c r="I21" s="8"/>
      <c r="J21" s="2"/>
      <c r="K21" s="1"/>
      <c r="M21" s="11" t="str">
        <f>IF(F22=B32005,E32005,"")</f>
        <v>2</v>
      </c>
    </row>
    <row r="22" spans="1:14" x14ac:dyDescent="0.2">
      <c r="A22" s="6"/>
      <c r="B22" s="9" t="s">
        <v>21</v>
      </c>
      <c r="C22" s="8"/>
      <c r="D22" s="9" t="s">
        <v>22</v>
      </c>
      <c r="E22" s="8"/>
      <c r="F22" s="5" t="s">
        <v>13</v>
      </c>
      <c r="G22" s="8" t="s">
        <v>14</v>
      </c>
      <c r="H22" s="12" t="str">
        <f>GENERAL!D16</f>
        <v>Michael Kennedy</v>
      </c>
      <c r="I22" s="8"/>
      <c r="J22" s="2"/>
      <c r="K22" s="1"/>
      <c r="L22" s="4" t="s">
        <v>15</v>
      </c>
      <c r="N22" s="4" t="s">
        <v>23</v>
      </c>
    </row>
    <row r="23" spans="1:14" x14ac:dyDescent="0.2">
      <c r="A23" s="6"/>
      <c r="B23" s="470"/>
      <c r="C23" s="470"/>
      <c r="D23" s="470"/>
      <c r="E23" s="470"/>
      <c r="F23" s="470"/>
      <c r="G23" s="470"/>
      <c r="H23" s="10" t="str">
        <f>IF(F24=B32006,C32006,"")</f>
        <v>Enter Response</v>
      </c>
      <c r="I23" s="8"/>
      <c r="J23" s="2"/>
      <c r="K23" s="1"/>
      <c r="M23" s="11" t="str">
        <f>IF(F24=B32006,E32006,"")</f>
        <v>2</v>
      </c>
    </row>
    <row r="24" spans="1:14" x14ac:dyDescent="0.2">
      <c r="A24" s="6"/>
      <c r="B24" s="9" t="s">
        <v>24</v>
      </c>
      <c r="C24" s="8"/>
      <c r="D24" s="9" t="s">
        <v>25</v>
      </c>
      <c r="E24" s="8"/>
      <c r="F24" s="5" t="s">
        <v>13</v>
      </c>
      <c r="G24" s="8" t="s">
        <v>14</v>
      </c>
      <c r="H24" s="12" t="str">
        <f>GENERAL!D18</f>
        <v>Perigen Fetal Surveillance</v>
      </c>
      <c r="I24" s="8"/>
      <c r="J24" s="2"/>
      <c r="K24" s="1"/>
      <c r="L24" s="4" t="s">
        <v>15</v>
      </c>
      <c r="N24" s="4" t="s">
        <v>26</v>
      </c>
    </row>
    <row r="25" spans="1:14" x14ac:dyDescent="0.2">
      <c r="A25" s="6"/>
      <c r="B25" s="470"/>
      <c r="C25" s="470"/>
      <c r="D25" s="470"/>
      <c r="E25" s="470"/>
      <c r="F25" s="470"/>
      <c r="G25" s="470"/>
      <c r="H25" s="10" t="str">
        <f>IF(F26=B32007,C32007,"")</f>
        <v>Enter Response</v>
      </c>
      <c r="I25" s="8"/>
      <c r="J25" s="2"/>
      <c r="K25" s="1"/>
      <c r="M25" s="11" t="str">
        <f>IF(F26=B32007,E32007,"")</f>
        <v>2</v>
      </c>
    </row>
    <row r="26" spans="1:14" x14ac:dyDescent="0.2">
      <c r="A26" s="6"/>
      <c r="B26" s="9" t="s">
        <v>27</v>
      </c>
      <c r="C26" s="8"/>
      <c r="D26" s="9" t="s">
        <v>28</v>
      </c>
      <c r="E26" s="8"/>
      <c r="F26" s="5" t="s">
        <v>13</v>
      </c>
      <c r="G26" s="8" t="s">
        <v>14</v>
      </c>
      <c r="H26" s="12">
        <f>GENERAL!D20</f>
        <v>0</v>
      </c>
      <c r="I26" s="8"/>
      <c r="J26" s="2"/>
      <c r="K26" s="1"/>
      <c r="L26" s="4" t="s">
        <v>15</v>
      </c>
      <c r="N26" s="4" t="s">
        <v>29</v>
      </c>
    </row>
    <row r="27" spans="1:14" x14ac:dyDescent="0.2">
      <c r="A27" s="6"/>
      <c r="B27" s="470"/>
      <c r="C27" s="470"/>
      <c r="D27" s="470"/>
      <c r="E27" s="470"/>
      <c r="F27" s="470"/>
      <c r="G27" s="470"/>
      <c r="H27" s="10" t="str">
        <f>IF(F28=B32008,C32008,"")</f>
        <v>Enter Response</v>
      </c>
      <c r="I27" s="8"/>
      <c r="J27" s="2"/>
      <c r="K27" s="1"/>
      <c r="M27" s="11" t="str">
        <f>IF(F28=B32008,E32008,"")</f>
        <v>2</v>
      </c>
    </row>
    <row r="28" spans="1:14" x14ac:dyDescent="0.2">
      <c r="A28" s="6"/>
      <c r="B28" s="9" t="s">
        <v>30</v>
      </c>
      <c r="C28" s="8"/>
      <c r="D28" s="9" t="s">
        <v>31</v>
      </c>
      <c r="E28" s="8"/>
      <c r="F28" s="5" t="s">
        <v>13</v>
      </c>
      <c r="G28" s="8" t="s">
        <v>14</v>
      </c>
      <c r="H28" s="27">
        <f>GENERAL!D22</f>
        <v>44531</v>
      </c>
      <c r="I28" s="8"/>
      <c r="J28" s="2"/>
      <c r="K28" s="1"/>
      <c r="L28" s="4" t="s">
        <v>15</v>
      </c>
      <c r="N28" s="4" t="s">
        <v>32</v>
      </c>
    </row>
    <row r="29" spans="1:14" x14ac:dyDescent="0.2">
      <c r="A29" s="6"/>
      <c r="B29" s="470"/>
      <c r="C29" s="470"/>
      <c r="D29" s="470"/>
      <c r="E29" s="470"/>
      <c r="F29" s="470"/>
      <c r="G29" s="470"/>
      <c r="H29" s="10" t="str">
        <f>IF(F30=B32009,C32009,"")</f>
        <v>Enter Response</v>
      </c>
      <c r="I29" s="8"/>
      <c r="J29" s="2"/>
      <c r="K29" s="1"/>
      <c r="M29" s="11" t="str">
        <f>IF(F30=B32009,E32009,"")</f>
        <v>2</v>
      </c>
    </row>
    <row r="30" spans="1:14" x14ac:dyDescent="0.2">
      <c r="A30" s="6"/>
      <c r="B30" s="9" t="s">
        <v>33</v>
      </c>
      <c r="C30" s="8"/>
      <c r="D30" s="9" t="s">
        <v>34</v>
      </c>
      <c r="E30" s="8"/>
      <c r="F30" s="5" t="s">
        <v>13</v>
      </c>
      <c r="G30" s="8" t="s">
        <v>14</v>
      </c>
      <c r="H30" s="27">
        <f>GENERAL!D24</f>
        <v>0</v>
      </c>
      <c r="I30" s="8"/>
      <c r="J30" s="2"/>
      <c r="K30" s="1"/>
      <c r="L30" s="4" t="s">
        <v>15</v>
      </c>
      <c r="N30" s="4" t="s">
        <v>35</v>
      </c>
    </row>
    <row r="31" spans="1:14" x14ac:dyDescent="0.2">
      <c r="A31" s="6"/>
      <c r="B31" s="470"/>
      <c r="C31" s="470"/>
      <c r="D31" s="470"/>
      <c r="E31" s="470"/>
      <c r="F31" s="470"/>
      <c r="G31" s="470"/>
      <c r="H31" s="8"/>
      <c r="I31" s="8"/>
      <c r="J31" s="2"/>
      <c r="K31" s="1"/>
    </row>
    <row r="32" spans="1:14" ht="25.5" x14ac:dyDescent="0.2">
      <c r="A32" s="6"/>
      <c r="B32" s="9" t="s">
        <v>36</v>
      </c>
      <c r="C32" s="8"/>
      <c r="D32" s="9" t="s">
        <v>37</v>
      </c>
      <c r="E32" s="8"/>
      <c r="F32" s="5" t="str">
        <f>GENERAL!D26</f>
        <v>NYP</v>
      </c>
      <c r="G32" s="8" t="s">
        <v>14</v>
      </c>
      <c r="H32" s="8"/>
      <c r="I32" s="8"/>
      <c r="J32" s="2"/>
      <c r="K32" s="1"/>
      <c r="L32" s="4" t="s">
        <v>15</v>
      </c>
      <c r="N32" s="4" t="s">
        <v>38</v>
      </c>
    </row>
    <row r="33" spans="1:14" x14ac:dyDescent="0.2">
      <c r="A33" s="6"/>
      <c r="B33" s="470"/>
      <c r="C33" s="470"/>
      <c r="D33" s="470"/>
      <c r="E33" s="470"/>
      <c r="F33" s="470"/>
      <c r="G33" s="470"/>
      <c r="H33" s="8"/>
      <c r="I33" s="8"/>
      <c r="J33" s="2"/>
      <c r="K33" s="1"/>
    </row>
    <row r="34" spans="1:14" ht="25.5" x14ac:dyDescent="0.2">
      <c r="A34" s="6"/>
      <c r="B34" s="9" t="s">
        <v>39</v>
      </c>
      <c r="C34" s="8"/>
      <c r="D34" s="9" t="s">
        <v>40</v>
      </c>
      <c r="E34" s="8"/>
      <c r="F34" s="5" t="str">
        <f>GENERAL!D28</f>
        <v>Vendor</v>
      </c>
      <c r="G34" s="8" t="s">
        <v>14</v>
      </c>
      <c r="H34" s="8"/>
      <c r="I34" s="8"/>
      <c r="J34" s="2"/>
      <c r="K34" s="1"/>
      <c r="L34" s="4" t="s">
        <v>15</v>
      </c>
      <c r="N34" s="4" t="s">
        <v>41</v>
      </c>
    </row>
    <row r="35" spans="1:14" x14ac:dyDescent="0.2">
      <c r="A35" s="6"/>
      <c r="B35" s="470"/>
      <c r="C35" s="470"/>
      <c r="D35" s="470"/>
      <c r="E35" s="470"/>
      <c r="F35" s="470"/>
      <c r="G35" s="470"/>
      <c r="H35" s="10" t="str">
        <f>IF(F36=B32014,C32014,"")</f>
        <v>Enter Response</v>
      </c>
      <c r="I35" s="8"/>
      <c r="J35" s="2"/>
      <c r="K35" s="1"/>
      <c r="M35" s="11" t="str">
        <f>IF(F36=B32014,E32014,"")</f>
        <v>2</v>
      </c>
    </row>
    <row r="36" spans="1:14" ht="25.5" x14ac:dyDescent="0.2">
      <c r="A36" s="6"/>
      <c r="B36" s="9" t="s">
        <v>42</v>
      </c>
      <c r="C36" s="8"/>
      <c r="D36" s="9" t="s">
        <v>43</v>
      </c>
      <c r="E36" s="8"/>
      <c r="F36" s="5" t="s">
        <v>13</v>
      </c>
      <c r="G36" s="8" t="s">
        <v>14</v>
      </c>
      <c r="H36" s="27" t="str">
        <f>GENERAL!D30</f>
        <v>OB Fetal Surveillance, archiving, alerts and early warning functions</v>
      </c>
      <c r="I36" s="8"/>
      <c r="J36" s="2"/>
      <c r="K36" s="1"/>
      <c r="L36" s="4" t="s">
        <v>15</v>
      </c>
      <c r="N36" s="4" t="s">
        <v>44</v>
      </c>
    </row>
    <row r="37" spans="1:14" x14ac:dyDescent="0.2">
      <c r="A37" s="6"/>
      <c r="B37" s="470"/>
      <c r="C37" s="470"/>
      <c r="D37" s="470"/>
      <c r="E37" s="470"/>
      <c r="F37" s="470"/>
      <c r="G37" s="470"/>
      <c r="H37" s="8"/>
      <c r="I37" s="8"/>
      <c r="J37" s="2"/>
      <c r="K37" s="1"/>
    </row>
    <row r="38" spans="1:14" ht="38.25" x14ac:dyDescent="0.2">
      <c r="A38" s="6"/>
      <c r="B38" s="9" t="s">
        <v>45</v>
      </c>
      <c r="C38" s="8"/>
      <c r="D38" s="9" t="s">
        <v>46</v>
      </c>
      <c r="E38" s="8"/>
      <c r="F38" s="28" t="str">
        <f>GENERAL!D34</f>
        <v>Select here to add attachment</v>
      </c>
      <c r="G38" s="8" t="s">
        <v>14</v>
      </c>
      <c r="H38" s="8" t="str">
        <f>GENERAL!E34</f>
        <v>*</v>
      </c>
      <c r="I38" s="8"/>
      <c r="J38" s="13" t="str">
        <f>IF(F38=B32015,D32015,"")</f>
        <v>Please attach system architecture diagram</v>
      </c>
      <c r="K38" s="1"/>
      <c r="L38" s="4" t="s">
        <v>15</v>
      </c>
      <c r="N38" s="4" t="s">
        <v>47</v>
      </c>
    </row>
    <row r="39" spans="1:14" x14ac:dyDescent="0.2">
      <c r="A39" s="6"/>
      <c r="B39" s="470"/>
      <c r="C39" s="470"/>
      <c r="D39" s="470"/>
      <c r="E39" s="470"/>
      <c r="F39" s="470"/>
      <c r="G39" s="470"/>
      <c r="H39" s="10" t="str">
        <f>IF(F40=B32017,C32017,"")</f>
        <v>Please confirm DESIGN Tab review:</v>
      </c>
      <c r="I39" s="8"/>
      <c r="J39" s="2"/>
      <c r="K39" s="1"/>
      <c r="M39" s="11" t="str">
        <f>IF(F40=B32017,E32017,"")</f>
        <v>2</v>
      </c>
    </row>
    <row r="40" spans="1:14" ht="102" x14ac:dyDescent="0.2">
      <c r="A40" s="6"/>
      <c r="B40" s="9" t="s">
        <v>48</v>
      </c>
      <c r="C40" s="8"/>
      <c r="D40" s="9" t="s">
        <v>49</v>
      </c>
      <c r="E40" s="8"/>
      <c r="F40" s="5" t="str">
        <f>GENERAL!D36</f>
        <v>Yes</v>
      </c>
      <c r="G40" s="8" t="s">
        <v>14</v>
      </c>
      <c r="H40" s="12" t="str">
        <f>GENERAL!F36</f>
        <v>This PMO requires IT involvement to create the required environmnets (servers, DBs) for PeriWatch Vigilance.</v>
      </c>
      <c r="I40" s="8"/>
      <c r="J40" s="2"/>
      <c r="K40" s="1"/>
      <c r="L40" s="4" t="s">
        <v>15</v>
      </c>
      <c r="N40" s="4" t="s">
        <v>50</v>
      </c>
    </row>
    <row r="41" spans="1:14" x14ac:dyDescent="0.2">
      <c r="A41" s="6"/>
      <c r="B41" s="470"/>
      <c r="C41" s="470"/>
      <c r="D41" s="470"/>
      <c r="E41" s="470"/>
      <c r="F41" s="470"/>
      <c r="G41" s="470"/>
      <c r="H41" s="8"/>
      <c r="I41" s="8"/>
      <c r="J41" s="2"/>
      <c r="K41" s="1"/>
    </row>
    <row r="42" spans="1:14" ht="114.75" x14ac:dyDescent="0.2">
      <c r="A42" s="6"/>
      <c r="B42" s="9" t="s">
        <v>51</v>
      </c>
      <c r="C42" s="8"/>
      <c r="D42" s="30" t="s">
        <v>52</v>
      </c>
      <c r="E42" s="8"/>
      <c r="F42" s="5" t="str">
        <f>BCDR!D5</f>
        <v>No</v>
      </c>
      <c r="G42" s="8" t="s">
        <v>14</v>
      </c>
      <c r="H42" s="8"/>
      <c r="I42" s="8"/>
      <c r="J42" s="2"/>
      <c r="K42" s="1"/>
      <c r="L42" s="4" t="s">
        <v>15</v>
      </c>
      <c r="N42" s="4" t="s">
        <v>53</v>
      </c>
    </row>
    <row r="43" spans="1:14" x14ac:dyDescent="0.2">
      <c r="A43" s="6"/>
      <c r="B43" s="470"/>
      <c r="C43" s="470"/>
      <c r="D43" s="470"/>
      <c r="E43" s="470"/>
      <c r="F43" s="470"/>
      <c r="G43" s="470"/>
      <c r="H43" s="8"/>
      <c r="I43" s="8"/>
      <c r="J43" s="2"/>
      <c r="K43" s="1"/>
    </row>
    <row r="44" spans="1:14" ht="89.25" x14ac:dyDescent="0.2">
      <c r="A44" s="6"/>
      <c r="B44" s="9" t="s">
        <v>54</v>
      </c>
      <c r="C44" s="8"/>
      <c r="D44" s="9" t="s">
        <v>55</v>
      </c>
      <c r="E44" s="8"/>
      <c r="F44" s="5" t="str">
        <f>GENERAL!D38</f>
        <v>No</v>
      </c>
      <c r="G44" s="8" t="s">
        <v>14</v>
      </c>
      <c r="H44" s="8"/>
      <c r="I44" s="8"/>
      <c r="J44" s="2"/>
      <c r="K44" s="1"/>
      <c r="L44" s="4" t="s">
        <v>15</v>
      </c>
      <c r="N44" s="4" t="s">
        <v>56</v>
      </c>
    </row>
    <row r="45" spans="1:14" x14ac:dyDescent="0.2">
      <c r="A45" s="6"/>
      <c r="B45" s="470"/>
      <c r="C45" s="470"/>
      <c r="D45" s="470"/>
      <c r="E45" s="470"/>
      <c r="F45" s="470"/>
      <c r="G45" s="470"/>
      <c r="H45" s="8"/>
      <c r="I45" s="8"/>
      <c r="J45" s="2"/>
      <c r="K45" s="1"/>
    </row>
    <row r="46" spans="1:14" ht="89.25" x14ac:dyDescent="0.2">
      <c r="A46" s="6"/>
      <c r="B46" s="9" t="s">
        <v>57</v>
      </c>
      <c r="C46" s="8"/>
      <c r="D46" s="9" t="s">
        <v>58</v>
      </c>
      <c r="E46" s="8"/>
      <c r="F46" s="5" t="str">
        <f>GENERAL!D40</f>
        <v>No</v>
      </c>
      <c r="G46" s="8" t="s">
        <v>14</v>
      </c>
      <c r="H46" s="8"/>
      <c r="I46" s="8"/>
      <c r="J46" s="2"/>
      <c r="K46" s="1"/>
      <c r="L46" s="4" t="s">
        <v>15</v>
      </c>
      <c r="N46" s="4" t="s">
        <v>59</v>
      </c>
    </row>
    <row r="47" spans="1:14" x14ac:dyDescent="0.2">
      <c r="A47" s="6"/>
      <c r="B47" s="470"/>
      <c r="C47" s="470"/>
      <c r="D47" s="470"/>
      <c r="E47" s="470"/>
      <c r="F47" s="470"/>
      <c r="G47" s="470"/>
      <c r="H47" s="10" t="str">
        <f>IF(F48=B32025,C32025,"")</f>
        <v>Enter Response</v>
      </c>
      <c r="I47" s="8"/>
      <c r="J47" s="2"/>
      <c r="K47" s="1"/>
      <c r="M47" s="11" t="str">
        <f>IF(F48=B32025,E32025,"")</f>
        <v>2</v>
      </c>
    </row>
    <row r="48" spans="1:14" ht="63.75" x14ac:dyDescent="0.2">
      <c r="A48" s="6"/>
      <c r="B48" s="9" t="s">
        <v>60</v>
      </c>
      <c r="C48" s="8"/>
      <c r="D48" s="9" t="s">
        <v>61</v>
      </c>
      <c r="E48" s="8"/>
      <c r="F48" s="5" t="s">
        <v>13</v>
      </c>
      <c r="G48" s="8" t="s">
        <v>14</v>
      </c>
      <c r="H48" s="5" t="str">
        <f>BCDR!D7</f>
        <v>There are no native technologies. PeriWatch Vigilance relies on SQL clustering for DB HA and Vmware HA capabilities. Typically, PeriWatch Vigilance is not considered tier 1 application like fetal surveillance.</v>
      </c>
      <c r="I48" s="8"/>
      <c r="J48" s="2"/>
      <c r="K48" s="1"/>
      <c r="L48" s="4" t="s">
        <v>15</v>
      </c>
      <c r="N48" s="4" t="s">
        <v>62</v>
      </c>
    </row>
    <row r="49" spans="1:14" x14ac:dyDescent="0.2">
      <c r="A49" s="6"/>
      <c r="B49" s="470"/>
      <c r="C49" s="470"/>
      <c r="D49" s="470"/>
      <c r="E49" s="470"/>
      <c r="F49" s="470"/>
      <c r="G49" s="470"/>
      <c r="H49" s="10" t="str">
        <f>IF(F50=B32027,C32027,"")</f>
        <v>Enter Response</v>
      </c>
      <c r="I49" s="8"/>
      <c r="J49" s="2"/>
      <c r="K49" s="1"/>
      <c r="M49" s="11" t="str">
        <f>IF(F50=B32027,E32027,"")</f>
        <v>2</v>
      </c>
    </row>
    <row r="50" spans="1:14" s="36" customFormat="1" ht="63.75" x14ac:dyDescent="0.2">
      <c r="A50" s="32"/>
      <c r="B50" s="35" t="s">
        <v>63</v>
      </c>
      <c r="C50" s="33"/>
      <c r="D50" s="35" t="s">
        <v>64</v>
      </c>
      <c r="E50" s="33"/>
      <c r="F50" s="5" t="s">
        <v>13</v>
      </c>
      <c r="G50" s="33" t="s">
        <v>14</v>
      </c>
      <c r="H50" s="42" t="str">
        <f>BCDR!D9</f>
        <v>Same as above.</v>
      </c>
      <c r="I50" s="33"/>
      <c r="J50" s="34"/>
      <c r="K50" s="35"/>
      <c r="L50" s="43" t="s">
        <v>15</v>
      </c>
      <c r="N50" s="43" t="s">
        <v>65</v>
      </c>
    </row>
    <row r="51" spans="1:14" x14ac:dyDescent="0.2">
      <c r="A51" s="6"/>
      <c r="B51" s="470"/>
      <c r="C51" s="470"/>
      <c r="D51" s="470"/>
      <c r="E51" s="470"/>
      <c r="F51" s="470"/>
      <c r="G51" s="470"/>
      <c r="H51" s="10" t="str">
        <f>IF(F52=B32029,C32029,"")</f>
        <v>Enter Response</v>
      </c>
      <c r="I51" s="8"/>
      <c r="J51" s="2"/>
      <c r="K51" s="1"/>
      <c r="M51" s="11" t="str">
        <f>IF(F52=B32029,E32029,"")</f>
        <v>2</v>
      </c>
    </row>
    <row r="52" spans="1:14" x14ac:dyDescent="0.2">
      <c r="A52" s="6"/>
      <c r="B52" s="9" t="s">
        <v>66</v>
      </c>
      <c r="C52" s="8"/>
      <c r="D52" s="9" t="s">
        <v>67</v>
      </c>
      <c r="E52" s="8"/>
      <c r="F52" s="5" t="s">
        <v>13</v>
      </c>
      <c r="G52" s="8" t="s">
        <v>14</v>
      </c>
      <c r="H52" s="12" t="str">
        <f>SECURITY!D6</f>
        <v>PeriGen Inc.</v>
      </c>
      <c r="I52" s="8"/>
      <c r="J52" s="2"/>
      <c r="K52" s="1"/>
      <c r="L52" s="4" t="s">
        <v>15</v>
      </c>
      <c r="N52" s="4" t="s">
        <v>68</v>
      </c>
    </row>
    <row r="53" spans="1:14" x14ac:dyDescent="0.2">
      <c r="A53" s="6"/>
      <c r="B53" s="470"/>
      <c r="C53" s="470"/>
      <c r="D53" s="470"/>
      <c r="E53" s="470"/>
      <c r="F53" s="470"/>
      <c r="G53" s="470"/>
      <c r="H53" s="10" t="str">
        <f>IF(F54=B32030,C32030,"")</f>
        <v>Enter Response</v>
      </c>
      <c r="I53" s="8"/>
      <c r="J53" s="2"/>
      <c r="K53" s="1"/>
      <c r="M53" s="11" t="str">
        <f>IF(F54=B32030,E32030,"")</f>
        <v>2</v>
      </c>
    </row>
    <row r="54" spans="1:14" x14ac:dyDescent="0.2">
      <c r="A54" s="6"/>
      <c r="B54" s="9" t="s">
        <v>69</v>
      </c>
      <c r="C54" s="8"/>
      <c r="D54" s="9" t="s">
        <v>70</v>
      </c>
      <c r="E54" s="8"/>
      <c r="F54" s="5" t="s">
        <v>13</v>
      </c>
      <c r="G54" s="8" t="s">
        <v>14</v>
      </c>
      <c r="H54" s="12" t="str">
        <f>SECURITY!D7</f>
        <v>PeriWatch Vigilance</v>
      </c>
      <c r="I54" s="8"/>
      <c r="J54" s="2"/>
      <c r="K54" s="1"/>
      <c r="L54" s="4" t="s">
        <v>15</v>
      </c>
      <c r="N54" s="4" t="s">
        <v>71</v>
      </c>
    </row>
    <row r="55" spans="1:14" x14ac:dyDescent="0.2">
      <c r="A55" s="6"/>
      <c r="B55" s="470"/>
      <c r="C55" s="470"/>
      <c r="D55" s="470"/>
      <c r="E55" s="470"/>
      <c r="F55" s="470"/>
      <c r="G55" s="470"/>
      <c r="H55" s="10" t="str">
        <f>IF(F56=B32031,C32031,"")</f>
        <v>Enter Response</v>
      </c>
      <c r="I55" s="8"/>
      <c r="J55" s="2"/>
      <c r="K55" s="1"/>
      <c r="M55" s="11" t="str">
        <f>IF(F56=B32031,E32031,"")</f>
        <v>2</v>
      </c>
    </row>
    <row r="56" spans="1:14" x14ac:dyDescent="0.2">
      <c r="A56" s="6"/>
      <c r="B56" s="9" t="s">
        <v>72</v>
      </c>
      <c r="C56" s="8"/>
      <c r="D56" s="9" t="s">
        <v>73</v>
      </c>
      <c r="E56" s="8"/>
      <c r="F56" s="5" t="s">
        <v>13</v>
      </c>
      <c r="G56" s="8" t="s">
        <v>14</v>
      </c>
      <c r="H56" s="12">
        <f>SECURITY!D8</f>
        <v>2021.1</v>
      </c>
      <c r="I56" s="8"/>
      <c r="J56" s="2"/>
      <c r="K56" s="1"/>
      <c r="L56" s="4" t="s">
        <v>15</v>
      </c>
      <c r="N56" s="4" t="s">
        <v>74</v>
      </c>
    </row>
    <row r="57" spans="1:14" x14ac:dyDescent="0.2">
      <c r="A57" s="6"/>
      <c r="B57" s="470"/>
      <c r="C57" s="470"/>
      <c r="D57" s="470"/>
      <c r="E57" s="470"/>
      <c r="F57" s="470"/>
      <c r="G57" s="470"/>
      <c r="H57" s="10" t="str">
        <f>IF(F58=B32032,C32032,"")</f>
        <v>Enter Response</v>
      </c>
      <c r="I57" s="8"/>
      <c r="J57" s="2"/>
      <c r="K57" s="1"/>
      <c r="M57" s="11" t="str">
        <f>IF(F58=B32032,E32032,"")</f>
        <v>2</v>
      </c>
    </row>
    <row r="58" spans="1:14" ht="25.5" x14ac:dyDescent="0.2">
      <c r="A58" s="6"/>
      <c r="B58" s="9" t="s">
        <v>75</v>
      </c>
      <c r="C58" s="8"/>
      <c r="D58" s="9" t="s">
        <v>76</v>
      </c>
      <c r="E58" s="8"/>
      <c r="F58" s="5" t="s">
        <v>13</v>
      </c>
      <c r="G58" s="8" t="s">
        <v>14</v>
      </c>
      <c r="H58" s="12" t="str">
        <f>SECURITY!D9</f>
        <v>Obstetrical Early Warning system</v>
      </c>
      <c r="I58" s="8"/>
      <c r="J58" s="2"/>
      <c r="K58" s="1"/>
      <c r="L58" s="4" t="s">
        <v>15</v>
      </c>
      <c r="N58" s="4" t="s">
        <v>77</v>
      </c>
    </row>
    <row r="59" spans="1:14" x14ac:dyDescent="0.2">
      <c r="A59" s="6"/>
      <c r="B59" s="470"/>
      <c r="C59" s="470"/>
      <c r="D59" s="470"/>
      <c r="E59" s="470"/>
      <c r="F59" s="470"/>
      <c r="G59" s="470"/>
      <c r="H59" s="10" t="str">
        <f>IF(F60=B32035,C32035,"")</f>
        <v/>
      </c>
      <c r="I59" s="8"/>
      <c r="J59" s="2"/>
      <c r="K59" s="1"/>
      <c r="M59" s="11" t="str">
        <f>IF(F60=B32035,E32035,"")</f>
        <v/>
      </c>
    </row>
    <row r="60" spans="1:14" ht="63.75" x14ac:dyDescent="0.2">
      <c r="A60" s="6"/>
      <c r="B60" s="9" t="s">
        <v>78</v>
      </c>
      <c r="C60" s="8"/>
      <c r="D60" s="9" t="s">
        <v>79</v>
      </c>
      <c r="E60" s="8"/>
      <c r="F60" s="5" t="str">
        <f>SECURITY!D14</f>
        <v>Yes</v>
      </c>
      <c r="G60" s="8" t="s">
        <v>14</v>
      </c>
      <c r="H60" s="12"/>
      <c r="I60" s="8"/>
      <c r="J60" s="2"/>
      <c r="K60" s="1"/>
      <c r="L60" s="4" t="s">
        <v>15</v>
      </c>
      <c r="N60" s="4" t="s">
        <v>80</v>
      </c>
    </row>
    <row r="61" spans="1:14" x14ac:dyDescent="0.2">
      <c r="A61" s="6"/>
      <c r="B61" s="470"/>
      <c r="C61" s="470"/>
      <c r="D61" s="470"/>
      <c r="E61" s="470"/>
      <c r="F61" s="470"/>
      <c r="G61" s="470"/>
      <c r="H61" s="10" t="str">
        <f>IF(F62=B32038,C32038,"")</f>
        <v/>
      </c>
      <c r="I61" s="8"/>
      <c r="J61" s="2"/>
      <c r="K61" s="1"/>
      <c r="M61" s="11" t="str">
        <f>IF(F62=B32038,E32038,"")</f>
        <v/>
      </c>
    </row>
    <row r="62" spans="1:14" ht="63.75" x14ac:dyDescent="0.2">
      <c r="A62" s="6"/>
      <c r="B62" s="9" t="s">
        <v>81</v>
      </c>
      <c r="C62" s="8"/>
      <c r="D62" s="9" t="s">
        <v>82</v>
      </c>
      <c r="E62" s="8"/>
      <c r="F62" s="5" t="str">
        <f>SECURITY!D15</f>
        <v>No</v>
      </c>
      <c r="G62" s="8" t="s">
        <v>14</v>
      </c>
      <c r="H62" s="12"/>
      <c r="I62" s="8"/>
      <c r="J62" s="2"/>
      <c r="K62" s="1"/>
      <c r="L62" s="4" t="s">
        <v>15</v>
      </c>
      <c r="N62" s="4" t="s">
        <v>83</v>
      </c>
    </row>
    <row r="63" spans="1:14" x14ac:dyDescent="0.2">
      <c r="A63" s="6"/>
      <c r="B63" s="470"/>
      <c r="C63" s="470"/>
      <c r="D63" s="470"/>
      <c r="E63" s="470"/>
      <c r="F63" s="470"/>
      <c r="G63" s="470"/>
      <c r="H63" s="10" t="str">
        <f>IF(F64=B32041,C32041,"")</f>
        <v/>
      </c>
      <c r="I63" s="8"/>
      <c r="J63" s="2"/>
      <c r="K63" s="1"/>
      <c r="M63" s="11" t="str">
        <f>IF(F64=B32041,E32041,"")</f>
        <v/>
      </c>
    </row>
    <row r="64" spans="1:14" ht="63.75" x14ac:dyDescent="0.2">
      <c r="A64" s="6"/>
      <c r="B64" s="9" t="s">
        <v>84</v>
      </c>
      <c r="C64" s="8"/>
      <c r="D64" s="9" t="s">
        <v>85</v>
      </c>
      <c r="E64" s="8"/>
      <c r="F64" s="5" t="str">
        <f>SECURITY!D16</f>
        <v>No</v>
      </c>
      <c r="G64" s="8" t="s">
        <v>14</v>
      </c>
      <c r="H64" s="12"/>
      <c r="I64" s="8"/>
      <c r="J64" s="2"/>
      <c r="K64" s="1"/>
      <c r="L64" s="4" t="s">
        <v>15</v>
      </c>
      <c r="N64" s="4" t="s">
        <v>86</v>
      </c>
    </row>
    <row r="65" spans="1:14" x14ac:dyDescent="0.2">
      <c r="A65" s="6"/>
      <c r="B65" s="470"/>
      <c r="C65" s="470"/>
      <c r="D65" s="470"/>
      <c r="E65" s="470"/>
      <c r="F65" s="470"/>
      <c r="G65" s="470"/>
      <c r="H65" s="10" t="str">
        <f>IF(F66=B32044,C32044,"")</f>
        <v/>
      </c>
      <c r="I65" s="8"/>
      <c r="J65" s="2"/>
      <c r="K65" s="1"/>
      <c r="M65" s="11" t="str">
        <f>IF(F66=B32044,E32044,"")</f>
        <v/>
      </c>
    </row>
    <row r="66" spans="1:14" ht="51" x14ac:dyDescent="0.2">
      <c r="A66" s="6"/>
      <c r="B66" s="9" t="s">
        <v>87</v>
      </c>
      <c r="C66" s="8"/>
      <c r="D66" s="9" t="s">
        <v>88</v>
      </c>
      <c r="E66" s="8"/>
      <c r="F66" s="5" t="str">
        <f>SECURITY!D17</f>
        <v>No</v>
      </c>
      <c r="G66" s="8" t="s">
        <v>14</v>
      </c>
      <c r="H66" s="12"/>
      <c r="I66" s="8"/>
      <c r="J66" s="2"/>
      <c r="K66" s="1"/>
      <c r="L66" s="4" t="s">
        <v>15</v>
      </c>
      <c r="N66" s="4" t="s">
        <v>89</v>
      </c>
    </row>
    <row r="67" spans="1:14" x14ac:dyDescent="0.2">
      <c r="A67" s="6"/>
      <c r="B67" s="470"/>
      <c r="C67" s="470"/>
      <c r="D67" s="470"/>
      <c r="E67" s="470"/>
      <c r="F67" s="470"/>
      <c r="G67" s="470"/>
      <c r="H67" s="10" t="str">
        <f>IF(F68=B32047,C32047,"")</f>
        <v/>
      </c>
      <c r="I67" s="8"/>
      <c r="J67" s="2"/>
      <c r="K67" s="1"/>
      <c r="M67" s="11" t="str">
        <f>IF(F68=B32047,E32047,"")</f>
        <v/>
      </c>
    </row>
    <row r="68" spans="1:14" ht="63.75" x14ac:dyDescent="0.2">
      <c r="A68" s="6"/>
      <c r="B68" s="9" t="s">
        <v>90</v>
      </c>
      <c r="C68" s="8"/>
      <c r="D68" s="9" t="s">
        <v>91</v>
      </c>
      <c r="E68" s="8"/>
      <c r="F68" s="5" t="str">
        <f>SECURITY!D18</f>
        <v>No</v>
      </c>
      <c r="G68" s="8" t="s">
        <v>14</v>
      </c>
      <c r="H68" s="12"/>
      <c r="I68" s="8"/>
      <c r="J68" s="2"/>
      <c r="K68" s="1"/>
      <c r="L68" s="4" t="s">
        <v>15</v>
      </c>
      <c r="N68" s="4" t="s">
        <v>92</v>
      </c>
    </row>
    <row r="69" spans="1:14" x14ac:dyDescent="0.2">
      <c r="A69" s="6"/>
      <c r="B69" s="470"/>
      <c r="C69" s="470"/>
      <c r="D69" s="470"/>
      <c r="E69" s="470"/>
      <c r="F69" s="470"/>
      <c r="G69" s="470"/>
      <c r="H69" s="10" t="str">
        <f>IF(F70=B32048,C32048,"")</f>
        <v/>
      </c>
      <c r="I69" s="8"/>
      <c r="J69" s="2"/>
      <c r="K69" s="1"/>
      <c r="M69" s="11" t="str">
        <f>IF(F70=B32048,E32048,"")</f>
        <v/>
      </c>
    </row>
    <row r="70" spans="1:14" ht="76.5" x14ac:dyDescent="0.2">
      <c r="A70" s="6"/>
      <c r="B70" s="9" t="s">
        <v>93</v>
      </c>
      <c r="C70" s="8"/>
      <c r="D70" s="9" t="s">
        <v>94</v>
      </c>
      <c r="E70" s="8"/>
      <c r="F70" s="5" t="str">
        <f>SECURITY!D20</f>
        <v>No</v>
      </c>
      <c r="G70" s="8" t="s">
        <v>14</v>
      </c>
      <c r="H70" s="5">
        <f>SECURITY!G20</f>
        <v>0</v>
      </c>
      <c r="I70" s="8"/>
      <c r="J70" s="2"/>
      <c r="K70" s="1"/>
      <c r="L70" s="4" t="s">
        <v>15</v>
      </c>
      <c r="N70" s="4" t="s">
        <v>95</v>
      </c>
    </row>
    <row r="71" spans="1:14" x14ac:dyDescent="0.2">
      <c r="A71" s="6"/>
      <c r="B71" s="470"/>
      <c r="C71" s="470"/>
      <c r="D71" s="470"/>
      <c r="E71" s="470"/>
      <c r="F71" s="470"/>
      <c r="G71" s="470"/>
      <c r="H71" s="10" t="str">
        <f>IF(F72=B32053,C32053,"")</f>
        <v/>
      </c>
      <c r="I71" s="8"/>
      <c r="J71" s="2"/>
      <c r="K71" s="1"/>
      <c r="M71" s="11" t="str">
        <f>IF(F72=B32053,E32053,"")</f>
        <v/>
      </c>
    </row>
    <row r="72" spans="1:14" ht="25.5" x14ac:dyDescent="0.2">
      <c r="A72" s="6"/>
      <c r="B72" s="9" t="s">
        <v>96</v>
      </c>
      <c r="C72" s="8"/>
      <c r="D72" s="9" t="s">
        <v>97</v>
      </c>
      <c r="E72" s="8"/>
      <c r="F72" s="5" t="str">
        <f>SECURITY!D24</f>
        <v>Yes</v>
      </c>
      <c r="G72" s="8" t="s">
        <v>14</v>
      </c>
      <c r="H72" s="12"/>
      <c r="I72" s="8"/>
      <c r="J72" s="2"/>
      <c r="K72" s="1"/>
      <c r="L72" s="4" t="s">
        <v>15</v>
      </c>
      <c r="N72" s="4" t="s">
        <v>98</v>
      </c>
    </row>
    <row r="73" spans="1:14" x14ac:dyDescent="0.2">
      <c r="A73" s="6"/>
      <c r="B73" s="470"/>
      <c r="C73" s="470"/>
      <c r="D73" s="470"/>
      <c r="E73" s="470"/>
      <c r="F73" s="470"/>
      <c r="G73" s="470"/>
      <c r="H73" s="10" t="str">
        <f>IF(F74=B32056,C32056,"")</f>
        <v/>
      </c>
      <c r="I73" s="8"/>
      <c r="J73" s="2"/>
      <c r="K73" s="1"/>
      <c r="M73" s="11" t="str">
        <f>IF(F74=B32056,E32056,"")</f>
        <v/>
      </c>
    </row>
    <row r="74" spans="1:14" ht="25.5" x14ac:dyDescent="0.2">
      <c r="A74" s="6"/>
      <c r="B74" s="9" t="s">
        <v>99</v>
      </c>
      <c r="C74" s="8"/>
      <c r="D74" s="9" t="s">
        <v>100</v>
      </c>
      <c r="E74" s="8"/>
      <c r="F74" s="5" t="str">
        <f>SECURITY!D25</f>
        <v>No</v>
      </c>
      <c r="G74" s="8" t="s">
        <v>14</v>
      </c>
      <c r="H74" s="12"/>
      <c r="I74" s="8"/>
      <c r="J74" s="2"/>
      <c r="K74" s="1"/>
      <c r="L74" s="4" t="s">
        <v>15</v>
      </c>
      <c r="N74" s="4" t="s">
        <v>101</v>
      </c>
    </row>
    <row r="75" spans="1:14" x14ac:dyDescent="0.2">
      <c r="A75" s="6"/>
      <c r="B75" s="470"/>
      <c r="C75" s="470"/>
      <c r="D75" s="470"/>
      <c r="E75" s="470"/>
      <c r="F75" s="470"/>
      <c r="G75" s="470"/>
      <c r="H75" s="10" t="str">
        <f>IF(F76=B32057,C32057,"")</f>
        <v/>
      </c>
      <c r="I75" s="8"/>
      <c r="J75" s="2"/>
      <c r="K75" s="1"/>
      <c r="M75" s="11" t="str">
        <f>IF(F76=B32057,E32057,"")</f>
        <v/>
      </c>
    </row>
    <row r="76" spans="1:14" ht="38.25" x14ac:dyDescent="0.2">
      <c r="A76" s="6"/>
      <c r="B76" s="9" t="s">
        <v>102</v>
      </c>
      <c r="C76" s="8"/>
      <c r="D76" s="30" t="s">
        <v>103</v>
      </c>
      <c r="E76" s="8"/>
      <c r="F76" s="5" t="str">
        <f>SECURITY!D27</f>
        <v>No</v>
      </c>
      <c r="G76" s="8" t="s">
        <v>14</v>
      </c>
      <c r="H76" s="12">
        <f>SECURITY!G27</f>
        <v>0</v>
      </c>
      <c r="I76" s="8"/>
      <c r="J76" s="2"/>
      <c r="K76" s="1"/>
      <c r="L76" s="4" t="s">
        <v>15</v>
      </c>
      <c r="N76" s="4" t="s">
        <v>104</v>
      </c>
    </row>
    <row r="77" spans="1:14" x14ac:dyDescent="0.2">
      <c r="A77" s="6"/>
      <c r="B77" s="470"/>
      <c r="C77" s="470"/>
      <c r="D77" s="470"/>
      <c r="E77" s="470"/>
      <c r="F77" s="470"/>
      <c r="G77" s="470"/>
      <c r="H77" s="10" t="str">
        <f>IF(F78=B32062,C32062,"")</f>
        <v/>
      </c>
      <c r="I77" s="8"/>
      <c r="J77" s="2"/>
      <c r="K77" s="1"/>
      <c r="M77" s="11" t="str">
        <f>IF(F78=B32062,E32062,"")</f>
        <v/>
      </c>
    </row>
    <row r="78" spans="1:14" ht="38.25" x14ac:dyDescent="0.2">
      <c r="A78" s="6"/>
      <c r="B78" s="9" t="s">
        <v>105</v>
      </c>
      <c r="C78" s="8"/>
      <c r="D78" s="9" t="s">
        <v>106</v>
      </c>
      <c r="E78" s="8"/>
      <c r="F78" s="5" t="str">
        <f>SECURITY!D28</f>
        <v>No</v>
      </c>
      <c r="G78" s="8" t="s">
        <v>14</v>
      </c>
      <c r="H78" s="12"/>
      <c r="I78" s="8"/>
      <c r="J78" s="2"/>
      <c r="K78" s="1"/>
      <c r="L78" s="4" t="s">
        <v>15</v>
      </c>
      <c r="N78" s="4" t="s">
        <v>107</v>
      </c>
    </row>
    <row r="79" spans="1:14" x14ac:dyDescent="0.2">
      <c r="A79" s="6"/>
      <c r="B79" s="470"/>
      <c r="C79" s="470"/>
      <c r="D79" s="470"/>
      <c r="E79" s="470"/>
      <c r="F79" s="470"/>
      <c r="G79" s="470"/>
      <c r="H79" s="10" t="str">
        <f>IF(F80=B32065,C32065,"")</f>
        <v/>
      </c>
      <c r="I79" s="8"/>
      <c r="J79" s="2"/>
      <c r="K79" s="1"/>
      <c r="M79" s="11" t="str">
        <f>IF(F80=B32065,E32065,"")</f>
        <v/>
      </c>
    </row>
    <row r="80" spans="1:14" ht="25.5" x14ac:dyDescent="0.2">
      <c r="A80" s="6"/>
      <c r="B80" s="9" t="s">
        <v>108</v>
      </c>
      <c r="C80" s="8"/>
      <c r="D80" s="9" t="s">
        <v>109</v>
      </c>
      <c r="E80" s="8"/>
      <c r="F80" s="5" t="str">
        <f>SECURITY!D30</f>
        <v>No</v>
      </c>
      <c r="G80" s="8" t="s">
        <v>14</v>
      </c>
      <c r="H80" s="12">
        <f>SECURITY!G30</f>
        <v>0</v>
      </c>
      <c r="I80" s="8"/>
      <c r="J80" s="2"/>
      <c r="K80" s="1"/>
      <c r="L80" s="4" t="s">
        <v>15</v>
      </c>
      <c r="N80" s="4" t="s">
        <v>110</v>
      </c>
    </row>
    <row r="81" spans="1:14" x14ac:dyDescent="0.2">
      <c r="A81" s="6"/>
      <c r="B81" s="470"/>
      <c r="C81" s="470"/>
      <c r="D81" s="470"/>
      <c r="E81" s="470"/>
      <c r="F81" s="470"/>
      <c r="G81" s="470"/>
      <c r="H81" s="10" t="str">
        <f>IF(F82=B32068,C32068,"")</f>
        <v/>
      </c>
      <c r="I81" s="8"/>
      <c r="J81" s="2"/>
      <c r="K81" s="1"/>
      <c r="M81" s="11" t="str">
        <f>IF(F82=B32068,E32068,"")</f>
        <v/>
      </c>
    </row>
    <row r="82" spans="1:14" ht="25.5" x14ac:dyDescent="0.2">
      <c r="A82" s="6"/>
      <c r="B82" s="9" t="s">
        <v>111</v>
      </c>
      <c r="C82" s="8"/>
      <c r="D82" s="9" t="s">
        <v>112</v>
      </c>
      <c r="E82" s="8"/>
      <c r="F82" s="5" t="str">
        <f>SECURITY!D34</f>
        <v>Yes</v>
      </c>
      <c r="G82" s="8" t="s">
        <v>14</v>
      </c>
      <c r="H82" s="12"/>
      <c r="I82" s="8"/>
      <c r="J82" s="2"/>
      <c r="K82" s="1"/>
      <c r="L82" s="4" t="s">
        <v>15</v>
      </c>
      <c r="N82" s="4" t="s">
        <v>113</v>
      </c>
    </row>
    <row r="83" spans="1:14" x14ac:dyDescent="0.2">
      <c r="A83" s="6"/>
      <c r="B83" s="470"/>
      <c r="C83" s="470"/>
      <c r="D83" s="470"/>
      <c r="E83" s="470"/>
      <c r="F83" s="470"/>
      <c r="G83" s="470"/>
      <c r="H83" s="10" t="str">
        <f>IF(F84=B32071,C32071,"")</f>
        <v/>
      </c>
      <c r="I83" s="8"/>
      <c r="J83" s="2"/>
      <c r="K83" s="1"/>
      <c r="M83" s="11" t="str">
        <f>IF(F84=B32071,E32071,"")</f>
        <v/>
      </c>
    </row>
    <row r="84" spans="1:14" x14ac:dyDescent="0.2">
      <c r="A84" s="6"/>
      <c r="B84" s="9" t="s">
        <v>114</v>
      </c>
      <c r="C84" s="8"/>
      <c r="D84" s="9" t="s">
        <v>115</v>
      </c>
      <c r="E84" s="8"/>
      <c r="F84" s="5" t="str">
        <f>SECURITY!D35</f>
        <v>No</v>
      </c>
      <c r="G84" s="8" t="s">
        <v>14</v>
      </c>
      <c r="H84" s="12"/>
      <c r="I84" s="8"/>
      <c r="J84" s="2"/>
      <c r="K84" s="1"/>
      <c r="L84" s="4" t="s">
        <v>15</v>
      </c>
      <c r="N84" s="4" t="s">
        <v>116</v>
      </c>
    </row>
    <row r="85" spans="1:14" x14ac:dyDescent="0.2">
      <c r="A85" s="6"/>
      <c r="B85" s="470"/>
      <c r="C85" s="470"/>
      <c r="D85" s="470"/>
      <c r="E85" s="470"/>
      <c r="F85" s="470"/>
      <c r="G85" s="470"/>
      <c r="H85" s="10" t="str">
        <f>IF(F86=B32074,C32074,"")</f>
        <v/>
      </c>
      <c r="I85" s="8"/>
      <c r="J85" s="2"/>
      <c r="K85" s="1"/>
      <c r="M85" s="11" t="str">
        <f>IF(F86=B32074,E32074,"")</f>
        <v/>
      </c>
    </row>
    <row r="86" spans="1:14" ht="25.5" x14ac:dyDescent="0.2">
      <c r="A86" s="6"/>
      <c r="B86" s="9" t="s">
        <v>117</v>
      </c>
      <c r="C86" s="8"/>
      <c r="D86" s="9" t="s">
        <v>118</v>
      </c>
      <c r="E86" s="8"/>
      <c r="F86" s="5" t="str">
        <f>SECURITY!D36</f>
        <v>No</v>
      </c>
      <c r="G86" s="8" t="s">
        <v>14</v>
      </c>
      <c r="H86" s="12"/>
      <c r="I86" s="8"/>
      <c r="J86" s="2"/>
      <c r="K86" s="1"/>
      <c r="L86" s="4" t="s">
        <v>15</v>
      </c>
      <c r="N86" s="4" t="s">
        <v>119</v>
      </c>
    </row>
    <row r="87" spans="1:14" x14ac:dyDescent="0.2">
      <c r="A87" s="6"/>
      <c r="B87" s="470"/>
      <c r="C87" s="470"/>
      <c r="D87" s="470"/>
      <c r="E87" s="470"/>
      <c r="F87" s="470"/>
      <c r="G87" s="470"/>
      <c r="H87" s="10" t="str">
        <f>IF(F88=B32077,C32077,"")</f>
        <v/>
      </c>
      <c r="I87" s="8"/>
      <c r="J87" s="2"/>
      <c r="K87" s="1"/>
      <c r="M87" s="11" t="str">
        <f>IF(F88=B32077,E32077,"")</f>
        <v/>
      </c>
    </row>
    <row r="88" spans="1:14" x14ac:dyDescent="0.2">
      <c r="A88" s="6"/>
      <c r="B88" s="9" t="s">
        <v>120</v>
      </c>
      <c r="C88" s="8"/>
      <c r="D88" s="9" t="s">
        <v>121</v>
      </c>
      <c r="E88" s="8"/>
      <c r="F88" s="5" t="str">
        <f>SECURITY!D37</f>
        <v>No</v>
      </c>
      <c r="G88" s="8" t="s">
        <v>14</v>
      </c>
      <c r="H88" s="12"/>
      <c r="I88" s="8"/>
      <c r="J88" s="2"/>
      <c r="K88" s="1"/>
      <c r="L88" s="4" t="s">
        <v>15</v>
      </c>
      <c r="N88" s="4" t="s">
        <v>122</v>
      </c>
    </row>
    <row r="89" spans="1:14" x14ac:dyDescent="0.2">
      <c r="A89" s="6"/>
      <c r="B89" s="470"/>
      <c r="C89" s="470"/>
      <c r="D89" s="470"/>
      <c r="E89" s="470"/>
      <c r="F89" s="470"/>
      <c r="G89" s="470"/>
      <c r="H89" s="10" t="str">
        <f>IF(F90=B32080,C32080,"")</f>
        <v/>
      </c>
      <c r="I89" s="8"/>
      <c r="J89" s="2"/>
      <c r="K89" s="1"/>
      <c r="M89" s="11" t="str">
        <f>IF(F90=B32080,E32080,"")</f>
        <v/>
      </c>
    </row>
    <row r="90" spans="1:14" ht="25.5" x14ac:dyDescent="0.2">
      <c r="A90" s="6"/>
      <c r="B90" s="9" t="s">
        <v>123</v>
      </c>
      <c r="C90" s="8"/>
      <c r="D90" s="9" t="s">
        <v>124</v>
      </c>
      <c r="E90" s="8"/>
      <c r="F90" s="5" t="str">
        <f>SECURITY!D38</f>
        <v>Yes</v>
      </c>
      <c r="G90" s="8" t="s">
        <v>14</v>
      </c>
      <c r="H90" s="12"/>
      <c r="I90" s="8"/>
      <c r="J90" s="2"/>
      <c r="K90" s="1"/>
      <c r="L90" s="4" t="s">
        <v>15</v>
      </c>
      <c r="N90" s="4" t="s">
        <v>125</v>
      </c>
    </row>
    <row r="91" spans="1:14" x14ac:dyDescent="0.2">
      <c r="A91" s="6"/>
      <c r="B91" s="470"/>
      <c r="C91" s="470"/>
      <c r="D91" s="470"/>
      <c r="E91" s="470"/>
      <c r="F91" s="470"/>
      <c r="G91" s="470"/>
      <c r="H91" s="10" t="str">
        <f>IF(F92=B32083,C32083,"")</f>
        <v/>
      </c>
      <c r="I91" s="8"/>
      <c r="J91" s="2"/>
      <c r="K91" s="1"/>
      <c r="M91" s="11" t="str">
        <f>IF(F92=B32083,E32083,"")</f>
        <v/>
      </c>
    </row>
    <row r="92" spans="1:14" ht="25.5" x14ac:dyDescent="0.2">
      <c r="A92" s="6"/>
      <c r="B92" s="9" t="s">
        <v>126</v>
      </c>
      <c r="C92" s="8"/>
      <c r="D92" s="9" t="s">
        <v>127</v>
      </c>
      <c r="E92" s="8"/>
      <c r="F92" s="5" t="str">
        <f>SECURITY!D39</f>
        <v>No</v>
      </c>
      <c r="G92" s="8" t="s">
        <v>14</v>
      </c>
      <c r="H92" s="12"/>
      <c r="I92" s="8"/>
      <c r="J92" s="2"/>
      <c r="K92" s="1"/>
      <c r="L92" s="4" t="s">
        <v>15</v>
      </c>
      <c r="N92" s="4" t="s">
        <v>128</v>
      </c>
    </row>
    <row r="93" spans="1:14" x14ac:dyDescent="0.2">
      <c r="A93" s="6"/>
      <c r="B93" s="470"/>
      <c r="C93" s="470"/>
      <c r="D93" s="470"/>
      <c r="E93" s="470"/>
      <c r="F93" s="470"/>
      <c r="G93" s="470"/>
      <c r="H93" s="10" t="str">
        <f>IF(F94=B32086,C32086,"")</f>
        <v/>
      </c>
      <c r="I93" s="8"/>
      <c r="J93" s="2"/>
      <c r="K93" s="1"/>
      <c r="M93" s="11" t="str">
        <f>IF(F94=B32086,E32086,"")</f>
        <v/>
      </c>
    </row>
    <row r="94" spans="1:14" ht="25.5" x14ac:dyDescent="0.2">
      <c r="A94" s="6"/>
      <c r="B94" s="9" t="s">
        <v>129</v>
      </c>
      <c r="C94" s="8"/>
      <c r="D94" s="9" t="s">
        <v>130</v>
      </c>
      <c r="E94" s="8"/>
      <c r="F94" s="5" t="str">
        <f>SECURITY!D40</f>
        <v>Yes</v>
      </c>
      <c r="G94" s="8" t="s">
        <v>14</v>
      </c>
      <c r="H94" s="12"/>
      <c r="I94" s="8"/>
      <c r="J94" s="2"/>
      <c r="K94" s="1"/>
      <c r="L94" s="4" t="s">
        <v>15</v>
      </c>
      <c r="N94" s="4" t="s">
        <v>131</v>
      </c>
    </row>
    <row r="95" spans="1:14" x14ac:dyDescent="0.2">
      <c r="A95" s="6"/>
      <c r="B95" s="470"/>
      <c r="C95" s="470"/>
      <c r="D95" s="470"/>
      <c r="E95" s="470"/>
      <c r="F95" s="470"/>
      <c r="G95" s="470"/>
      <c r="H95" s="10" t="str">
        <f>IF(F96=B32089,C32089,"")</f>
        <v/>
      </c>
      <c r="I95" s="8"/>
      <c r="J95" s="2"/>
      <c r="K95" s="1"/>
      <c r="M95" s="11" t="str">
        <f>IF(F96=B32089,E32089,"")</f>
        <v/>
      </c>
    </row>
    <row r="96" spans="1:14" ht="25.5" x14ac:dyDescent="0.2">
      <c r="A96" s="6"/>
      <c r="B96" s="9" t="s">
        <v>132</v>
      </c>
      <c r="C96" s="8"/>
      <c r="D96" s="9" t="s">
        <v>133</v>
      </c>
      <c r="E96" s="8"/>
      <c r="F96" s="5" t="str">
        <f>SECURITY!D44</f>
        <v>Yes</v>
      </c>
      <c r="G96" s="8" t="s">
        <v>14</v>
      </c>
      <c r="H96" s="12"/>
      <c r="I96" s="8"/>
      <c r="J96" s="2"/>
      <c r="K96" s="1"/>
      <c r="L96" s="4" t="s">
        <v>15</v>
      </c>
      <c r="N96" s="4" t="s">
        <v>134</v>
      </c>
    </row>
    <row r="97" spans="1:14" x14ac:dyDescent="0.2">
      <c r="A97" s="6"/>
      <c r="B97" s="470"/>
      <c r="C97" s="470"/>
      <c r="D97" s="470"/>
      <c r="E97" s="470"/>
      <c r="F97" s="470"/>
      <c r="G97" s="470"/>
      <c r="H97" s="10" t="str">
        <f>IF(F98=B32092,C32092,"")</f>
        <v/>
      </c>
      <c r="I97" s="8"/>
      <c r="J97" s="2"/>
      <c r="K97" s="1"/>
      <c r="M97" s="11" t="str">
        <f>IF(F98=B32092,E32092,"")</f>
        <v/>
      </c>
    </row>
    <row r="98" spans="1:14" ht="25.5" x14ac:dyDescent="0.2">
      <c r="A98" s="6"/>
      <c r="B98" s="9" t="s">
        <v>135</v>
      </c>
      <c r="C98" s="8"/>
      <c r="D98" s="9" t="s">
        <v>136</v>
      </c>
      <c r="E98" s="8"/>
      <c r="F98" s="5" t="str">
        <f>SECURITY!D45</f>
        <v>No</v>
      </c>
      <c r="G98" s="8" t="s">
        <v>14</v>
      </c>
      <c r="H98" s="12"/>
      <c r="I98" s="8"/>
      <c r="J98" s="2"/>
      <c r="K98" s="1"/>
      <c r="L98" s="4" t="s">
        <v>15</v>
      </c>
      <c r="N98" s="4" t="s">
        <v>137</v>
      </c>
    </row>
    <row r="99" spans="1:14" x14ac:dyDescent="0.2">
      <c r="A99" s="6"/>
      <c r="B99" s="470"/>
      <c r="C99" s="470"/>
      <c r="D99" s="470"/>
      <c r="E99" s="470"/>
      <c r="F99" s="470"/>
      <c r="G99" s="470"/>
      <c r="H99" s="10" t="str">
        <f>IF(F100=B32095,C32095,"")</f>
        <v/>
      </c>
      <c r="I99" s="8"/>
      <c r="J99" s="2"/>
      <c r="K99" s="1"/>
      <c r="M99" s="11" t="str">
        <f>IF(F100=B32095,E32095,"")</f>
        <v/>
      </c>
    </row>
    <row r="100" spans="1:14" ht="25.5" x14ac:dyDescent="0.2">
      <c r="A100" s="6"/>
      <c r="B100" s="9" t="s">
        <v>138</v>
      </c>
      <c r="C100" s="8"/>
      <c r="D100" s="9" t="s">
        <v>139</v>
      </c>
      <c r="E100" s="8"/>
      <c r="F100" s="5" t="str">
        <f>SECURITY!D46</f>
        <v>No</v>
      </c>
      <c r="G100" s="8" t="s">
        <v>14</v>
      </c>
      <c r="H100" s="12"/>
      <c r="I100" s="8"/>
      <c r="J100" s="2"/>
      <c r="K100" s="1"/>
      <c r="L100" s="4" t="s">
        <v>15</v>
      </c>
      <c r="N100" s="4" t="s">
        <v>140</v>
      </c>
    </row>
    <row r="101" spans="1:14" x14ac:dyDescent="0.2">
      <c r="A101" s="6"/>
      <c r="B101" s="470"/>
      <c r="C101" s="470"/>
      <c r="D101" s="470"/>
      <c r="E101" s="470"/>
      <c r="F101" s="470"/>
      <c r="G101" s="470"/>
      <c r="H101" s="10" t="str">
        <f>IF(F102=B32098,C32098,"")</f>
        <v/>
      </c>
      <c r="I101" s="8"/>
      <c r="J101" s="2"/>
      <c r="K101" s="1"/>
      <c r="M101" s="11" t="str">
        <f>IF(F102=B32098,E32098,"")</f>
        <v/>
      </c>
    </row>
    <row r="102" spans="1:14" ht="25.5" x14ac:dyDescent="0.2">
      <c r="A102" s="6"/>
      <c r="B102" s="9" t="s">
        <v>141</v>
      </c>
      <c r="C102" s="8"/>
      <c r="D102" s="9" t="s">
        <v>142</v>
      </c>
      <c r="E102" s="8"/>
      <c r="F102" s="5" t="str">
        <f>SECURITY!D47</f>
        <v>No</v>
      </c>
      <c r="G102" s="8" t="s">
        <v>14</v>
      </c>
      <c r="H102" s="12"/>
      <c r="I102" s="8"/>
      <c r="J102" s="2"/>
      <c r="K102" s="1"/>
      <c r="L102" s="4" t="s">
        <v>15</v>
      </c>
      <c r="N102" s="4" t="s">
        <v>143</v>
      </c>
    </row>
    <row r="103" spans="1:14" x14ac:dyDescent="0.2">
      <c r="A103" s="6"/>
      <c r="B103" s="470"/>
      <c r="C103" s="470"/>
      <c r="D103" s="470"/>
      <c r="E103" s="470"/>
      <c r="F103" s="470"/>
      <c r="G103" s="470"/>
      <c r="H103" s="10" t="str">
        <f>IF(F104=B32101,C32101,"")</f>
        <v/>
      </c>
      <c r="I103" s="8"/>
      <c r="J103" s="2"/>
      <c r="K103" s="1"/>
      <c r="M103" s="11" t="str">
        <f>IF(F104=B32101,E32101,"")</f>
        <v/>
      </c>
    </row>
    <row r="104" spans="1:14" ht="25.5" x14ac:dyDescent="0.2">
      <c r="A104" s="6"/>
      <c r="B104" s="9" t="s">
        <v>144</v>
      </c>
      <c r="C104" s="8"/>
      <c r="D104" s="9" t="s">
        <v>145</v>
      </c>
      <c r="E104" s="8"/>
      <c r="F104" s="5" t="str">
        <f>SECURITY!D48</f>
        <v>No</v>
      </c>
      <c r="G104" s="8" t="s">
        <v>14</v>
      </c>
      <c r="H104" s="12"/>
      <c r="I104" s="8"/>
      <c r="J104" s="2"/>
      <c r="K104" s="1"/>
      <c r="L104" s="4" t="s">
        <v>15</v>
      </c>
      <c r="N104" s="4" t="s">
        <v>146</v>
      </c>
    </row>
    <row r="105" spans="1:14" x14ac:dyDescent="0.2">
      <c r="A105" s="6"/>
      <c r="B105" s="470"/>
      <c r="C105" s="470"/>
      <c r="D105" s="470"/>
      <c r="E105" s="470"/>
      <c r="F105" s="470"/>
      <c r="G105" s="470"/>
      <c r="H105" s="10" t="str">
        <f>IF(F106=B32103,C32103,"")</f>
        <v>Please Specify</v>
      </c>
      <c r="I105" s="8"/>
      <c r="J105" s="2"/>
      <c r="K105" s="1"/>
      <c r="M105" s="11" t="str">
        <f>IF(F106=B32103,E32103,"")</f>
        <v>2</v>
      </c>
    </row>
    <row r="106" spans="1:14" ht="25.5" x14ac:dyDescent="0.2">
      <c r="A106" s="6"/>
      <c r="B106" s="9" t="s">
        <v>147</v>
      </c>
      <c r="C106" s="8"/>
      <c r="D106" s="9" t="s">
        <v>148</v>
      </c>
      <c r="E106" s="8"/>
      <c r="F106" s="5" t="str">
        <f>SECURITY!D50</f>
        <v>Yes</v>
      </c>
      <c r="G106" s="8" t="s">
        <v>14</v>
      </c>
      <c r="H106" s="12" t="str">
        <f>SECURITY!G50</f>
        <v>Fetal tracings, vitals, cervical exams, GA/EDD etc. &lt;30 fields received via HL7 from the EMR.</v>
      </c>
      <c r="I106" s="8"/>
      <c r="J106" s="2"/>
      <c r="K106" s="1"/>
      <c r="L106" s="4" t="s">
        <v>15</v>
      </c>
      <c r="N106" s="4" t="s">
        <v>149</v>
      </c>
    </row>
    <row r="107" spans="1:14" x14ac:dyDescent="0.2">
      <c r="A107" s="6"/>
      <c r="B107" s="470"/>
      <c r="C107" s="470"/>
      <c r="D107" s="470"/>
      <c r="E107" s="470"/>
      <c r="F107" s="470"/>
      <c r="G107" s="470"/>
      <c r="H107" s="10" t="str">
        <f>IF(F108=B32104,C32104,"")</f>
        <v/>
      </c>
      <c r="I107" s="8"/>
      <c r="J107" s="2"/>
      <c r="K107" s="1"/>
      <c r="M107" s="11" t="str">
        <f>IF(F108=B32104,E32104,"")</f>
        <v/>
      </c>
    </row>
    <row r="108" spans="1:14" ht="63.75" x14ac:dyDescent="0.2">
      <c r="A108" s="6"/>
      <c r="B108" s="9" t="s">
        <v>150</v>
      </c>
      <c r="C108" s="8"/>
      <c r="D108" s="9" t="s">
        <v>151</v>
      </c>
      <c r="E108" s="8"/>
      <c r="F108" s="5" t="str">
        <f>SECURITY!D54</f>
        <v>NYP</v>
      </c>
      <c r="G108" s="8" t="s">
        <v>14</v>
      </c>
      <c r="H108" s="5">
        <f>SECURITY!G54</f>
        <v>0</v>
      </c>
      <c r="I108" s="8"/>
      <c r="J108" s="2"/>
      <c r="K108" s="1"/>
      <c r="L108" s="4" t="s">
        <v>15</v>
      </c>
      <c r="N108" s="4" t="s">
        <v>152</v>
      </c>
    </row>
    <row r="109" spans="1:14" x14ac:dyDescent="0.2">
      <c r="A109" s="6"/>
      <c r="B109" s="470"/>
      <c r="C109" s="470"/>
      <c r="D109" s="470"/>
      <c r="E109" s="470"/>
      <c r="F109" s="470"/>
      <c r="G109" s="470"/>
      <c r="H109" s="10" t="str">
        <f>IF(F110=B32106,C32106,"")</f>
        <v>Enter Response</v>
      </c>
      <c r="I109" s="8"/>
      <c r="J109" s="2"/>
      <c r="K109" s="1"/>
      <c r="M109" s="11" t="str">
        <f>IF(F110=B32106,E32106,"")</f>
        <v>2</v>
      </c>
    </row>
    <row r="110" spans="1:14" x14ac:dyDescent="0.2">
      <c r="A110" s="6"/>
      <c r="B110" s="9" t="s">
        <v>153</v>
      </c>
      <c r="C110" s="8"/>
      <c r="D110" s="9" t="s">
        <v>154</v>
      </c>
      <c r="E110" s="8"/>
      <c r="F110" s="5" t="s">
        <v>13</v>
      </c>
      <c r="G110" s="8" t="s">
        <v>14</v>
      </c>
      <c r="H110" s="5" t="str">
        <f>SECURITY!D55</f>
        <v>Windows 2016/2019 and Windows 10</v>
      </c>
      <c r="I110" s="8"/>
      <c r="J110" s="2"/>
      <c r="K110" s="1"/>
      <c r="L110" s="4" t="s">
        <v>15</v>
      </c>
      <c r="N110" s="4" t="s">
        <v>155</v>
      </c>
    </row>
    <row r="111" spans="1:14" x14ac:dyDescent="0.2">
      <c r="A111" s="6"/>
      <c r="B111" s="470"/>
      <c r="C111" s="470"/>
      <c r="D111" s="470"/>
      <c r="E111" s="470"/>
      <c r="F111" s="470"/>
      <c r="G111" s="470"/>
      <c r="H111" s="10" t="str">
        <f>IF(F112=B32108,C32108,"")</f>
        <v>Enter Response</v>
      </c>
      <c r="I111" s="8"/>
      <c r="J111" s="2"/>
      <c r="K111" s="1"/>
      <c r="M111" s="11" t="str">
        <f>IF(F112=B32108,E32108,"")</f>
        <v>2</v>
      </c>
    </row>
    <row r="112" spans="1:14" ht="38.25" x14ac:dyDescent="0.2">
      <c r="A112" s="6"/>
      <c r="B112" s="9" t="s">
        <v>156</v>
      </c>
      <c r="C112" s="8"/>
      <c r="D112" s="9" t="s">
        <v>157</v>
      </c>
      <c r="E112" s="8"/>
      <c r="F112" s="465" t="s">
        <v>13</v>
      </c>
      <c r="G112" s="8" t="s">
        <v>14</v>
      </c>
      <c r="H112" s="277">
        <f>SECURITY!D56</f>
        <v>0</v>
      </c>
      <c r="I112" s="8"/>
      <c r="J112" s="2"/>
      <c r="K112" s="1"/>
      <c r="L112" s="4" t="s">
        <v>15</v>
      </c>
      <c r="N112" s="4" t="s">
        <v>158</v>
      </c>
    </row>
    <row r="113" spans="1:14" x14ac:dyDescent="0.2">
      <c r="A113" s="6"/>
      <c r="B113" s="470"/>
      <c r="C113" s="470"/>
      <c r="D113" s="470"/>
      <c r="E113" s="470"/>
      <c r="F113" s="470"/>
      <c r="G113" s="470"/>
      <c r="H113" s="10" t="str">
        <f>IF(F114=B32110,C32110,"")&amp;IF(F114=B32111,C32111,"")</f>
        <v/>
      </c>
      <c r="I113" s="8"/>
      <c r="J113" s="2"/>
      <c r="K113" s="1"/>
      <c r="M113" s="11" t="str">
        <f>IF(F114=B32110,E32110,"")&amp;IF(F114=B32111,E32111,"")</f>
        <v/>
      </c>
    </row>
    <row r="114" spans="1:14" ht="38.25" x14ac:dyDescent="0.2">
      <c r="A114" s="44"/>
      <c r="B114" s="45" t="s">
        <v>159</v>
      </c>
      <c r="D114" s="45" t="s">
        <v>160</v>
      </c>
      <c r="F114" s="5" t="str">
        <f>SECURITY!D60</f>
        <v>Yes</v>
      </c>
      <c r="G114" t="s">
        <v>14</v>
      </c>
      <c r="H114" s="5">
        <f>SECURITY!G60</f>
        <v>0</v>
      </c>
      <c r="J114" s="46"/>
      <c r="K114" s="45"/>
      <c r="L114" s="4" t="s">
        <v>15</v>
      </c>
      <c r="N114" s="4" t="s">
        <v>161</v>
      </c>
    </row>
    <row r="115" spans="1:14" x14ac:dyDescent="0.2">
      <c r="A115" s="6"/>
      <c r="B115" s="470"/>
      <c r="C115" s="470"/>
      <c r="D115" s="470"/>
      <c r="E115" s="470"/>
      <c r="F115" s="470"/>
      <c r="G115" s="470"/>
      <c r="H115" s="10" t="str">
        <f>IF(F116=B32114,C32114,"")&amp;IF(F116=B32115,C32115,"")</f>
        <v/>
      </c>
      <c r="I115" s="8"/>
      <c r="J115" s="2"/>
      <c r="K115" s="1"/>
      <c r="M115" s="11" t="str">
        <f>IF(F116=B32114,E32114,"")&amp;IF(F116=B32115,E32115,"")</f>
        <v/>
      </c>
    </row>
    <row r="116" spans="1:14" ht="25.5" x14ac:dyDescent="0.2">
      <c r="A116" s="6"/>
      <c r="B116" s="9" t="s">
        <v>162</v>
      </c>
      <c r="C116" s="8"/>
      <c r="D116" s="9" t="s">
        <v>163</v>
      </c>
      <c r="E116" s="8"/>
      <c r="F116" s="5" t="str">
        <f>SECURITY!D63</f>
        <v>Yes</v>
      </c>
      <c r="G116" s="8" t="s">
        <v>14</v>
      </c>
      <c r="H116" s="5">
        <f>SECURITY!G63</f>
        <v>0</v>
      </c>
      <c r="I116" s="8"/>
      <c r="J116" s="2"/>
      <c r="K116" s="1"/>
      <c r="L116" s="4" t="s">
        <v>15</v>
      </c>
      <c r="N116" s="4" t="s">
        <v>164</v>
      </c>
    </row>
    <row r="117" spans="1:14" x14ac:dyDescent="0.2">
      <c r="A117" s="6"/>
      <c r="B117" s="470"/>
      <c r="C117" s="470"/>
      <c r="D117" s="470"/>
      <c r="E117" s="470"/>
      <c r="F117" s="470"/>
      <c r="G117" s="470"/>
      <c r="H117" s="10" t="str">
        <f>IF(F118=B32117,C32117,"")&amp;IF(F118=B32118,C32118,"")</f>
        <v>Please Explain</v>
      </c>
      <c r="I117" s="8"/>
      <c r="J117" s="2"/>
      <c r="K117" s="1"/>
      <c r="M117" s="11" t="str">
        <f>IF(F118=B32117,E32117,"")&amp;IF(F118=B32118,E32118,"")</f>
        <v>1</v>
      </c>
    </row>
    <row r="118" spans="1:14" ht="25.5" x14ac:dyDescent="0.2">
      <c r="A118" s="6"/>
      <c r="B118" s="9" t="s">
        <v>165</v>
      </c>
      <c r="C118" s="8"/>
      <c r="D118" s="9" t="s">
        <v>166</v>
      </c>
      <c r="E118" s="8"/>
      <c r="F118" s="5" t="str">
        <f>SECURITY!D65</f>
        <v>No</v>
      </c>
      <c r="G118" s="8" t="s">
        <v>14</v>
      </c>
      <c r="H118" s="5">
        <f>SECURITY!G65</f>
        <v>0</v>
      </c>
      <c r="I118" s="8"/>
      <c r="J118" s="2"/>
      <c r="K118" s="1"/>
      <c r="L118" s="4" t="s">
        <v>15</v>
      </c>
      <c r="N118" s="4" t="s">
        <v>167</v>
      </c>
    </row>
    <row r="119" spans="1:14" x14ac:dyDescent="0.2">
      <c r="A119" s="6"/>
      <c r="B119" s="470"/>
      <c r="C119" s="470"/>
      <c r="D119" s="470"/>
      <c r="E119" s="470"/>
      <c r="F119" s="470"/>
      <c r="G119" s="470"/>
      <c r="H119" s="10" t="str">
        <f>IF(F120=B32120,C32120,"")&amp;IF(F120=B32121,C32121,"")</f>
        <v>Please Explain</v>
      </c>
      <c r="I119" s="8"/>
      <c r="J119" s="2"/>
      <c r="K119" s="1"/>
      <c r="M119" s="11" t="str">
        <f>IF(F120=B32120,E32120,"")&amp;IF(F120=B32121,E32121,"")</f>
        <v>1</v>
      </c>
    </row>
    <row r="120" spans="1:14" ht="25.5" x14ac:dyDescent="0.2">
      <c r="A120" s="6"/>
      <c r="B120" s="9" t="s">
        <v>168</v>
      </c>
      <c r="C120" s="8"/>
      <c r="D120" s="9" t="s">
        <v>169</v>
      </c>
      <c r="E120" s="8"/>
      <c r="F120" s="5" t="str">
        <f>SECURITY!D67</f>
        <v>No</v>
      </c>
      <c r="G120" s="8" t="s">
        <v>14</v>
      </c>
      <c r="H120" s="5">
        <f>SECURITY!G67</f>
        <v>0</v>
      </c>
      <c r="I120" s="8"/>
      <c r="J120" s="2"/>
      <c r="K120" s="1"/>
      <c r="L120" s="4" t="s">
        <v>15</v>
      </c>
      <c r="N120" s="4" t="s">
        <v>170</v>
      </c>
    </row>
    <row r="121" spans="1:14" x14ac:dyDescent="0.2">
      <c r="A121" s="6"/>
      <c r="B121" s="470"/>
      <c r="C121" s="470"/>
      <c r="D121" s="470"/>
      <c r="E121" s="470"/>
      <c r="F121" s="470"/>
      <c r="G121" s="470"/>
      <c r="H121" s="10" t="str">
        <f>IF(F122=B32123,C32123,"")&amp;IF(F122=B32124,C32124,"")</f>
        <v>Please Explain</v>
      </c>
      <c r="I121" s="8"/>
      <c r="J121" s="2"/>
      <c r="K121" s="1"/>
      <c r="M121" s="11" t="str">
        <f>IF(F122=B32123,E32123,"")&amp;IF(F122=B32124,E32124,"")</f>
        <v>1</v>
      </c>
    </row>
    <row r="122" spans="1:14" x14ac:dyDescent="0.2">
      <c r="A122" s="6"/>
      <c r="B122" s="9" t="s">
        <v>171</v>
      </c>
      <c r="C122" s="8"/>
      <c r="D122" s="9" t="s">
        <v>172</v>
      </c>
      <c r="E122" s="8"/>
      <c r="F122" s="5" t="str">
        <f>SECURITY!D69</f>
        <v>No</v>
      </c>
      <c r="G122" s="8" t="s">
        <v>14</v>
      </c>
      <c r="H122" s="5">
        <f>SECURITY!G69</f>
        <v>0</v>
      </c>
      <c r="I122" s="8"/>
      <c r="J122" s="2"/>
      <c r="K122" s="1"/>
      <c r="L122" s="4" t="s">
        <v>15</v>
      </c>
      <c r="N122" s="4" t="s">
        <v>173</v>
      </c>
    </row>
    <row r="123" spans="1:14" x14ac:dyDescent="0.2">
      <c r="A123" s="6"/>
      <c r="B123" s="470"/>
      <c r="C123" s="470"/>
      <c r="D123" s="470"/>
      <c r="E123" s="470"/>
      <c r="F123" s="470"/>
      <c r="G123" s="470"/>
      <c r="H123" s="10" t="str">
        <f>IF(F124=B32126,C32126,"")&amp;IF(F124=B32127,C32127,"")</f>
        <v/>
      </c>
      <c r="I123" s="8"/>
      <c r="J123" s="2"/>
      <c r="K123" s="1"/>
      <c r="M123" s="11" t="str">
        <f>IF(F124=B32126,E32126,"")&amp;IF(F124=B32127,E32127,"")</f>
        <v/>
      </c>
    </row>
    <row r="124" spans="1:14" ht="25.5" x14ac:dyDescent="0.2">
      <c r="A124" s="6"/>
      <c r="B124" s="9" t="s">
        <v>174</v>
      </c>
      <c r="C124" s="8"/>
      <c r="D124" s="9" t="s">
        <v>175</v>
      </c>
      <c r="E124" s="8"/>
      <c r="F124" s="5" t="str">
        <f>SECURITY!D71</f>
        <v>Yes</v>
      </c>
      <c r="G124" s="8" t="s">
        <v>14</v>
      </c>
      <c r="H124" s="5">
        <f>SECURITY!G71</f>
        <v>0</v>
      </c>
      <c r="I124" s="8"/>
      <c r="J124" s="2"/>
      <c r="K124" s="1"/>
      <c r="L124" s="4" t="s">
        <v>15</v>
      </c>
      <c r="N124" s="4" t="s">
        <v>176</v>
      </c>
    </row>
    <row r="125" spans="1:14" x14ac:dyDescent="0.2">
      <c r="A125" s="6"/>
      <c r="B125" s="470"/>
      <c r="C125" s="470"/>
      <c r="D125" s="470"/>
      <c r="E125" s="470"/>
      <c r="F125" s="470"/>
      <c r="G125" s="470"/>
      <c r="H125" s="10" t="str">
        <f>IF(F126=B32129,C32129,"")&amp;IF(F126=B32130,C32130,"")</f>
        <v>Please Explain</v>
      </c>
      <c r="I125" s="8"/>
      <c r="J125" s="2"/>
      <c r="K125" s="1"/>
      <c r="M125" s="11" t="str">
        <f>IF(F126=B32129,E32129,"")&amp;IF(F126=B32130,E32130,"")</f>
        <v>1</v>
      </c>
    </row>
    <row r="126" spans="1:14" ht="25.5" x14ac:dyDescent="0.2">
      <c r="A126" s="6"/>
      <c r="B126" s="9" t="s">
        <v>177</v>
      </c>
      <c r="C126" s="8"/>
      <c r="D126" s="9" t="s">
        <v>178</v>
      </c>
      <c r="E126" s="8"/>
      <c r="F126" s="5" t="str">
        <f>SECURITY!D73</f>
        <v>No</v>
      </c>
      <c r="G126" s="8" t="s">
        <v>14</v>
      </c>
      <c r="H126" s="5">
        <f>SECURITY!G73</f>
        <v>0</v>
      </c>
      <c r="I126" s="8"/>
      <c r="J126" s="2"/>
      <c r="K126" s="1"/>
      <c r="L126" s="4" t="s">
        <v>15</v>
      </c>
      <c r="N126" s="4" t="s">
        <v>179</v>
      </c>
    </row>
    <row r="127" spans="1:14" x14ac:dyDescent="0.2">
      <c r="A127" s="6"/>
      <c r="B127" s="470"/>
      <c r="C127" s="470"/>
      <c r="D127" s="470"/>
      <c r="E127" s="470"/>
      <c r="F127" s="470"/>
      <c r="G127" s="470"/>
      <c r="H127" s="10" t="str">
        <f>IF(F128=B32133,C32133,"")</f>
        <v/>
      </c>
      <c r="I127" s="8"/>
      <c r="J127" s="2"/>
      <c r="K127" s="1"/>
      <c r="M127" s="11" t="str">
        <f>IF(F128=B32133,E32133,"")</f>
        <v/>
      </c>
    </row>
    <row r="128" spans="1:14" ht="25.5" x14ac:dyDescent="0.2">
      <c r="A128" s="6"/>
      <c r="B128" s="9" t="s">
        <v>180</v>
      </c>
      <c r="C128" s="8"/>
      <c r="D128" s="9" t="s">
        <v>181</v>
      </c>
      <c r="E128" s="8"/>
      <c r="F128" s="5" t="str">
        <f>SECURITY!D75</f>
        <v>No</v>
      </c>
      <c r="G128" s="8" t="s">
        <v>14</v>
      </c>
      <c r="H128" s="5">
        <f>SECURITY!G75</f>
        <v>0</v>
      </c>
      <c r="I128" s="8"/>
      <c r="J128" s="2"/>
      <c r="K128" s="1"/>
      <c r="L128" s="4" t="s">
        <v>15</v>
      </c>
      <c r="N128" s="4" t="s">
        <v>182</v>
      </c>
    </row>
    <row r="129" spans="1:14" x14ac:dyDescent="0.2">
      <c r="A129" s="6"/>
      <c r="B129" s="470"/>
      <c r="C129" s="470"/>
      <c r="D129" s="470"/>
      <c r="E129" s="470"/>
      <c r="F129" s="470"/>
      <c r="G129" s="470"/>
      <c r="H129" s="10" t="str">
        <f>IF(F130=B32134,C32134,"")&amp;IF(F130=B32135,C32135,"")</f>
        <v>Please Explain</v>
      </c>
      <c r="I129" s="8"/>
      <c r="J129" s="2"/>
      <c r="K129" s="1"/>
      <c r="M129" s="11" t="str">
        <f>IF(F130=B32134,E32134,"")&amp;IF(F130=B32135,E32135,"")</f>
        <v>2</v>
      </c>
    </row>
    <row r="130" spans="1:14" ht="153" x14ac:dyDescent="0.2">
      <c r="A130" s="6"/>
      <c r="B130" s="9" t="s">
        <v>183</v>
      </c>
      <c r="C130" s="8"/>
      <c r="D130" s="9" t="s">
        <v>184</v>
      </c>
      <c r="E130" s="8"/>
      <c r="F130" s="5" t="str">
        <f>SECURITY!D79</f>
        <v>N/A</v>
      </c>
      <c r="G130" s="8" t="s">
        <v>14</v>
      </c>
      <c r="H130" s="12" t="str">
        <f>SECURITY!G79</f>
        <v>All managed by AD policies</v>
      </c>
      <c r="I130" s="8"/>
      <c r="J130" s="2"/>
      <c r="K130" s="1"/>
      <c r="L130" s="4" t="s">
        <v>15</v>
      </c>
      <c r="N130" s="4" t="s">
        <v>185</v>
      </c>
    </row>
    <row r="131" spans="1:14" x14ac:dyDescent="0.2">
      <c r="A131" s="6"/>
      <c r="B131" s="470"/>
      <c r="C131" s="470"/>
      <c r="D131" s="470"/>
      <c r="E131" s="470"/>
      <c r="F131" s="470"/>
      <c r="G131" s="470"/>
      <c r="H131" s="10" t="str">
        <f>IF(F132=B32137,C32137,"")&amp;IF(F132=B32138,C32138,"")</f>
        <v>Please Explain</v>
      </c>
      <c r="I131" s="8"/>
      <c r="J131" s="2"/>
      <c r="K131" s="1"/>
      <c r="M131" s="11" t="str">
        <f>IF(F132=B32137,E32137,"")&amp;IF(F132=B32138,E32138,"")</f>
        <v>2</v>
      </c>
    </row>
    <row r="132" spans="1:14" ht="25.5" x14ac:dyDescent="0.2">
      <c r="A132" s="6"/>
      <c r="B132" s="9" t="s">
        <v>186</v>
      </c>
      <c r="C132" s="8"/>
      <c r="D132" s="9" t="s">
        <v>187</v>
      </c>
      <c r="E132" s="8"/>
      <c r="F132" s="5" t="str">
        <f>SECURITY!D81</f>
        <v>N/A</v>
      </c>
      <c r="G132" s="8" t="s">
        <v>14</v>
      </c>
      <c r="H132" s="12" t="str">
        <f>SECURITY!G81</f>
        <v>Passwords not stored.</v>
      </c>
      <c r="I132" s="8"/>
      <c r="J132" s="2"/>
      <c r="K132" s="1"/>
      <c r="L132" s="4" t="s">
        <v>15</v>
      </c>
      <c r="N132" s="4" t="s">
        <v>188</v>
      </c>
    </row>
    <row r="133" spans="1:14" x14ac:dyDescent="0.2">
      <c r="A133" s="6"/>
      <c r="B133" s="470"/>
      <c r="C133" s="470"/>
      <c r="D133" s="470"/>
      <c r="E133" s="470"/>
      <c r="F133" s="470"/>
      <c r="G133" s="470"/>
      <c r="H133" s="10" t="str">
        <f>IF(F134=B32140,C32140,"")&amp;IF(F134=B32141,C32141,"")</f>
        <v>Please Explain</v>
      </c>
      <c r="I133" s="8"/>
      <c r="J133" s="2"/>
      <c r="K133" s="1"/>
      <c r="M133" s="11" t="str">
        <f>IF(F134=B32140,E32140,"")&amp;IF(F134=B32141,E32141,"")</f>
        <v>2</v>
      </c>
    </row>
    <row r="134" spans="1:14" ht="38.25" x14ac:dyDescent="0.2">
      <c r="A134" s="6"/>
      <c r="B134" s="9" t="s">
        <v>189</v>
      </c>
      <c r="C134" s="8"/>
      <c r="D134" s="9" t="s">
        <v>190</v>
      </c>
      <c r="E134" s="8"/>
      <c r="F134" s="5" t="str">
        <f>SECURITY!D83</f>
        <v>N/A</v>
      </c>
      <c r="G134" s="8" t="s">
        <v>14</v>
      </c>
      <c r="H134" s="12" t="str">
        <f>SECURITY!G83</f>
        <v>see above</v>
      </c>
      <c r="I134" s="8"/>
      <c r="J134" s="2"/>
      <c r="K134" s="1"/>
      <c r="L134" s="4" t="s">
        <v>15</v>
      </c>
      <c r="N134" s="4" t="s">
        <v>191</v>
      </c>
    </row>
    <row r="135" spans="1:14" x14ac:dyDescent="0.2">
      <c r="A135" s="6"/>
      <c r="B135" s="470"/>
      <c r="C135" s="470"/>
      <c r="D135" s="470"/>
      <c r="E135" s="470"/>
      <c r="F135" s="470"/>
      <c r="G135" s="470"/>
      <c r="H135" s="10" t="str">
        <f>IF(F136=B32143,C32143,"")&amp;IF(F136=B32144,C32144,"")</f>
        <v/>
      </c>
      <c r="I135" s="8"/>
      <c r="J135" s="2"/>
      <c r="K135" s="1"/>
      <c r="M135" s="11" t="str">
        <f>IF(F136=B32143,E32143,"")&amp;IF(F136=B32144,E32144,"")</f>
        <v/>
      </c>
    </row>
    <row r="136" spans="1:14" ht="25.5" x14ac:dyDescent="0.2">
      <c r="A136" s="6"/>
      <c r="B136" s="9" t="s">
        <v>192</v>
      </c>
      <c r="C136" s="8"/>
      <c r="D136" s="9" t="s">
        <v>193</v>
      </c>
      <c r="E136" s="8"/>
      <c r="F136" s="5" t="str">
        <f>SECURITY!D85</f>
        <v>Yes</v>
      </c>
      <c r="G136" s="8" t="s">
        <v>14</v>
      </c>
      <c r="H136" s="12" t="str">
        <f>SECURITY!G85</f>
        <v>Configurable</v>
      </c>
      <c r="I136" s="8"/>
      <c r="J136" s="2"/>
      <c r="K136" s="1"/>
      <c r="L136" s="4" t="s">
        <v>15</v>
      </c>
      <c r="N136" s="4" t="s">
        <v>194</v>
      </c>
    </row>
    <row r="137" spans="1:14" x14ac:dyDescent="0.2">
      <c r="A137" s="6"/>
      <c r="B137" s="470"/>
      <c r="C137" s="470"/>
      <c r="D137" s="470"/>
      <c r="E137" s="470"/>
      <c r="F137" s="470"/>
      <c r="G137" s="470"/>
      <c r="H137" s="10" t="str">
        <f>IF(F138=B32146,C32146,"")</f>
        <v/>
      </c>
      <c r="I137" s="8"/>
      <c r="J137" s="2"/>
      <c r="K137" s="1"/>
      <c r="M137" s="11" t="str">
        <f>IF(F138=B32146,E32146,"")</f>
        <v/>
      </c>
    </row>
    <row r="138" spans="1:14" ht="38.25" x14ac:dyDescent="0.2">
      <c r="A138" s="6"/>
      <c r="B138" s="9" t="s">
        <v>195</v>
      </c>
      <c r="C138" s="8"/>
      <c r="D138" s="30" t="s">
        <v>196</v>
      </c>
      <c r="E138" s="8"/>
      <c r="F138" s="5" t="str">
        <f>SECURITY!D87</f>
        <v>No</v>
      </c>
      <c r="G138" s="8" t="s">
        <v>14</v>
      </c>
      <c r="H138" s="12">
        <f>SECURITY!G87</f>
        <v>0</v>
      </c>
      <c r="I138" s="8"/>
      <c r="J138" s="2"/>
      <c r="K138" s="1"/>
      <c r="L138" s="4" t="s">
        <v>15</v>
      </c>
      <c r="N138" s="4" t="s">
        <v>197</v>
      </c>
    </row>
    <row r="139" spans="1:14" x14ac:dyDescent="0.2">
      <c r="A139" s="6"/>
      <c r="B139" s="470"/>
      <c r="C139" s="470"/>
      <c r="D139" s="470"/>
      <c r="E139" s="470"/>
      <c r="F139" s="470"/>
      <c r="G139" s="470"/>
      <c r="H139" s="10" t="str">
        <f>IF(F140=B32149,C32149,"")&amp;IF(F140=B32150,C32150,"")</f>
        <v/>
      </c>
      <c r="I139" s="8"/>
      <c r="J139" s="2"/>
      <c r="K139" s="1"/>
      <c r="M139" s="11" t="str">
        <f>IF(F140=B32149,E32149,"")&amp;IF(F140=B32150,E32150,"")</f>
        <v/>
      </c>
    </row>
    <row r="140" spans="1:14" ht="38.25" x14ac:dyDescent="0.2">
      <c r="A140" s="6"/>
      <c r="B140" s="9" t="s">
        <v>198</v>
      </c>
      <c r="C140" s="8"/>
      <c r="D140" s="9" t="s">
        <v>199</v>
      </c>
      <c r="E140" s="8"/>
      <c r="F140" s="5" t="str">
        <f>SECURITY!D91</f>
        <v>Yes</v>
      </c>
      <c r="G140" s="8" t="s">
        <v>14</v>
      </c>
      <c r="H140" s="12">
        <f>SECURITY!G91</f>
        <v>0</v>
      </c>
      <c r="I140" s="8"/>
      <c r="J140" s="2"/>
      <c r="K140" s="1"/>
      <c r="L140" s="4" t="s">
        <v>15</v>
      </c>
      <c r="N140" s="4" t="s">
        <v>200</v>
      </c>
    </row>
    <row r="141" spans="1:14" x14ac:dyDescent="0.2">
      <c r="A141" s="6"/>
      <c r="B141" s="470"/>
      <c r="C141" s="470"/>
      <c r="D141" s="470"/>
      <c r="E141" s="470"/>
      <c r="F141" s="470"/>
      <c r="G141" s="470"/>
      <c r="H141" s="10" t="str">
        <f>IF(F142=B32154,C32154,"")</f>
        <v/>
      </c>
      <c r="I141" s="8"/>
      <c r="J141" s="2"/>
      <c r="K141" s="1"/>
      <c r="M141" s="11" t="str">
        <f>IF(F142=B32154,E32154,"")</f>
        <v/>
      </c>
    </row>
    <row r="142" spans="1:14" ht="38.25" x14ac:dyDescent="0.2">
      <c r="A142" s="6"/>
      <c r="B142" s="9" t="s">
        <v>201</v>
      </c>
      <c r="C142" s="8"/>
      <c r="D142" s="9" t="s">
        <v>202</v>
      </c>
      <c r="E142" s="8"/>
      <c r="F142" s="5" t="str">
        <f>SECURITY!D93</f>
        <v>No</v>
      </c>
      <c r="G142" s="8" t="s">
        <v>14</v>
      </c>
      <c r="H142" s="12">
        <f>SECURITY!G93</f>
        <v>0</v>
      </c>
      <c r="I142" s="8"/>
      <c r="J142" s="2"/>
      <c r="K142" s="1"/>
      <c r="L142" s="4" t="s">
        <v>15</v>
      </c>
      <c r="N142" s="4" t="s">
        <v>203</v>
      </c>
    </row>
    <row r="143" spans="1:14" x14ac:dyDescent="0.2">
      <c r="A143" s="6"/>
      <c r="B143" s="470"/>
      <c r="C143" s="470"/>
      <c r="D143" s="470"/>
      <c r="E143" s="470"/>
      <c r="F143" s="470"/>
      <c r="G143" s="470"/>
      <c r="H143" s="10" t="str">
        <f>IF(F144=B32155,C32155,"")&amp;IF(F144=B32156,C32156,"")</f>
        <v/>
      </c>
      <c r="I143" s="8"/>
      <c r="J143" s="2"/>
      <c r="K143" s="1"/>
      <c r="M143" s="11" t="str">
        <f>IF(F144=B32155,E32155,"")&amp;IF(F144=B32156,E32156,"")</f>
        <v/>
      </c>
    </row>
    <row r="144" spans="1:14" ht="38.25" x14ac:dyDescent="0.2">
      <c r="A144" s="6"/>
      <c r="B144" s="9" t="s">
        <v>204</v>
      </c>
      <c r="C144" s="8"/>
      <c r="D144" s="9" t="s">
        <v>205</v>
      </c>
      <c r="E144" s="8"/>
      <c r="F144" s="5" t="str">
        <f>SECURITY!D95</f>
        <v>Yes</v>
      </c>
      <c r="G144" s="8" t="s">
        <v>14</v>
      </c>
      <c r="H144" s="12">
        <f>SECURITY!G95</f>
        <v>0</v>
      </c>
      <c r="I144" s="8"/>
      <c r="J144" s="2"/>
      <c r="K144" s="1"/>
      <c r="L144" s="4" t="s">
        <v>15</v>
      </c>
      <c r="N144" s="4" t="s">
        <v>206</v>
      </c>
    </row>
    <row r="145" spans="1:14" x14ac:dyDescent="0.2">
      <c r="A145" s="6"/>
      <c r="B145" s="470"/>
      <c r="C145" s="470"/>
      <c r="D145" s="470"/>
      <c r="E145" s="470"/>
      <c r="F145" s="470"/>
      <c r="G145" s="470"/>
      <c r="H145" s="10" t="str">
        <f>IF(F146=B32158,C32158,"")&amp;IF(F146=B32159,C32159,"")</f>
        <v>Please Explain</v>
      </c>
      <c r="I145" s="8"/>
      <c r="J145" s="2"/>
      <c r="K145" s="1"/>
      <c r="M145" s="11" t="str">
        <f>IF(F146=B32158,E32158,"")&amp;IF(F146=B32159,E32159,"")</f>
        <v>2</v>
      </c>
    </row>
    <row r="146" spans="1:14" ht="38.25" x14ac:dyDescent="0.2">
      <c r="A146" s="6"/>
      <c r="B146" s="9" t="s">
        <v>207</v>
      </c>
      <c r="C146" s="8"/>
      <c r="D146" s="9" t="s">
        <v>208</v>
      </c>
      <c r="E146" s="8"/>
      <c r="F146" s="5" t="str">
        <f>SECURITY!D97</f>
        <v>No</v>
      </c>
      <c r="G146" s="8" t="s">
        <v>14</v>
      </c>
      <c r="H146" s="12" t="str">
        <f>SECURITY!G97</f>
        <v>Direct AD authentication</v>
      </c>
      <c r="I146" s="8"/>
      <c r="J146" s="2"/>
      <c r="K146" s="1"/>
      <c r="L146" s="4" t="s">
        <v>15</v>
      </c>
      <c r="N146" s="4" t="s">
        <v>209</v>
      </c>
    </row>
    <row r="147" spans="1:14" x14ac:dyDescent="0.2">
      <c r="A147" s="6"/>
      <c r="B147" s="470"/>
      <c r="C147" s="470"/>
      <c r="D147" s="470"/>
      <c r="E147" s="470"/>
      <c r="F147" s="470"/>
      <c r="G147" s="470"/>
      <c r="H147" s="10" t="str">
        <f>IF(F148=B32161,C32161,"")</f>
        <v>Enter Response</v>
      </c>
      <c r="I147" s="8"/>
      <c r="J147" s="2"/>
      <c r="K147" s="1"/>
      <c r="M147" s="11" t="str">
        <f>IF(F148=B32161,E32161,"")</f>
        <v>2</v>
      </c>
    </row>
    <row r="148" spans="1:14" ht="38.25" x14ac:dyDescent="0.2">
      <c r="A148" s="6"/>
      <c r="B148" s="9" t="s">
        <v>210</v>
      </c>
      <c r="C148" s="8"/>
      <c r="D148" s="9" t="s">
        <v>211</v>
      </c>
      <c r="E148" s="8"/>
      <c r="F148" s="5" t="s">
        <v>13</v>
      </c>
      <c r="G148" s="8" t="s">
        <v>14</v>
      </c>
      <c r="H148" s="12" t="str">
        <f>SECURITY!D98</f>
        <v>Customer assigns users to the defined groups. PeriGen/customer assign access to the app based on those groups</v>
      </c>
      <c r="I148" s="8"/>
      <c r="J148" s="2"/>
      <c r="K148" s="1"/>
      <c r="L148" s="4" t="s">
        <v>15</v>
      </c>
      <c r="N148" s="4" t="s">
        <v>212</v>
      </c>
    </row>
    <row r="149" spans="1:14" x14ac:dyDescent="0.2">
      <c r="A149" s="6"/>
      <c r="B149" s="470"/>
      <c r="C149" s="470"/>
      <c r="D149" s="470"/>
      <c r="E149" s="470"/>
      <c r="F149" s="470"/>
      <c r="G149" s="470"/>
      <c r="H149" s="10" t="str">
        <f>IF(F150=B32163,C32163,"")</f>
        <v>Enter Response</v>
      </c>
      <c r="I149" s="8"/>
      <c r="J149" s="2"/>
      <c r="K149" s="1"/>
      <c r="M149" s="11" t="str">
        <f>IF(F150=B32163,E32163,"")</f>
        <v>2</v>
      </c>
    </row>
    <row r="150" spans="1:14" ht="25.5" x14ac:dyDescent="0.2">
      <c r="A150" s="6"/>
      <c r="B150" s="9" t="s">
        <v>213</v>
      </c>
      <c r="C150" s="8"/>
      <c r="D150" s="9" t="s">
        <v>214</v>
      </c>
      <c r="E150" s="8"/>
      <c r="F150" s="5" t="s">
        <v>13</v>
      </c>
      <c r="G150" s="8" t="s">
        <v>14</v>
      </c>
      <c r="H150" s="12" t="str">
        <f>SECURITY!D99</f>
        <v>By disableing the user in AD or removing them from the authorized AD group</v>
      </c>
      <c r="I150" s="8"/>
      <c r="J150" s="2"/>
      <c r="K150" s="1"/>
      <c r="L150" s="4" t="s">
        <v>15</v>
      </c>
      <c r="N150" s="4" t="s">
        <v>215</v>
      </c>
    </row>
    <row r="151" spans="1:14" x14ac:dyDescent="0.2">
      <c r="A151" s="6"/>
      <c r="B151" s="470"/>
      <c r="C151" s="470"/>
      <c r="D151" s="470"/>
      <c r="E151" s="470"/>
      <c r="F151" s="470"/>
      <c r="G151" s="470"/>
      <c r="H151" s="10" t="str">
        <f>IF(F152=B32167,C32167,"")</f>
        <v/>
      </c>
      <c r="I151" s="8"/>
      <c r="J151" s="2"/>
      <c r="K151" s="1"/>
      <c r="M151" s="11" t="str">
        <f>IF(F152=B32167,E32167,"")</f>
        <v/>
      </c>
    </row>
    <row r="152" spans="1:14" ht="25.5" x14ac:dyDescent="0.2">
      <c r="A152" s="6"/>
      <c r="B152" s="9" t="s">
        <v>216</v>
      </c>
      <c r="C152" s="8"/>
      <c r="D152" s="9" t="s">
        <v>217</v>
      </c>
      <c r="E152" s="8"/>
      <c r="F152" s="5" t="str">
        <f>SECURITY!D112</f>
        <v>Yes</v>
      </c>
      <c r="G152" s="8" t="s">
        <v>14</v>
      </c>
      <c r="H152" s="12"/>
      <c r="I152" s="8"/>
      <c r="J152" s="2"/>
      <c r="K152" s="1"/>
      <c r="L152" s="4" t="s">
        <v>15</v>
      </c>
      <c r="N152" s="4" t="s">
        <v>218</v>
      </c>
    </row>
    <row r="153" spans="1:14" x14ac:dyDescent="0.2">
      <c r="A153" s="6"/>
      <c r="B153" s="470"/>
      <c r="C153" s="470"/>
      <c r="D153" s="470"/>
      <c r="E153" s="470"/>
      <c r="F153" s="470"/>
      <c r="G153" s="470"/>
      <c r="H153" s="10" t="str">
        <f>IF(F154=B32170,C32170,"")</f>
        <v/>
      </c>
      <c r="I153" s="8"/>
      <c r="J153" s="2"/>
      <c r="K153" s="1"/>
      <c r="M153" s="11" t="str">
        <f>IF(F154=B32170,E32170,"")</f>
        <v/>
      </c>
    </row>
    <row r="154" spans="1:14" ht="25.5" x14ac:dyDescent="0.2">
      <c r="A154" s="6"/>
      <c r="B154" s="9" t="s">
        <v>219</v>
      </c>
      <c r="C154" s="8"/>
      <c r="D154" s="9" t="s">
        <v>220</v>
      </c>
      <c r="E154" s="8"/>
      <c r="F154" s="5" t="str">
        <f>SECURITY!D113</f>
        <v>Yes</v>
      </c>
      <c r="G154" s="8" t="s">
        <v>14</v>
      </c>
      <c r="H154" s="12"/>
      <c r="I154" s="8"/>
      <c r="J154" s="2"/>
      <c r="K154" s="1"/>
      <c r="L154" s="4" t="s">
        <v>15</v>
      </c>
      <c r="N154" s="4" t="s">
        <v>221</v>
      </c>
    </row>
    <row r="155" spans="1:14" x14ac:dyDescent="0.2">
      <c r="A155" s="6"/>
      <c r="B155" s="470"/>
      <c r="C155" s="470"/>
      <c r="D155" s="470"/>
      <c r="E155" s="470"/>
      <c r="F155" s="470"/>
      <c r="G155" s="470"/>
      <c r="H155" s="10" t="str">
        <f>IF(F156=B32173,C32173,"")</f>
        <v/>
      </c>
      <c r="I155" s="8"/>
      <c r="J155" s="2"/>
      <c r="K155" s="1"/>
      <c r="M155" s="11" t="str">
        <f>IF(F156=B32173,E32173,"")</f>
        <v/>
      </c>
    </row>
    <row r="156" spans="1:14" ht="38.25" x14ac:dyDescent="0.2">
      <c r="A156" s="6"/>
      <c r="B156" s="9" t="s">
        <v>222</v>
      </c>
      <c r="C156" s="8"/>
      <c r="D156" s="9" t="s">
        <v>223</v>
      </c>
      <c r="E156" s="8"/>
      <c r="F156" s="5" t="str">
        <f>SECURITY!D114</f>
        <v>Yes</v>
      </c>
      <c r="G156" s="8" t="s">
        <v>14</v>
      </c>
      <c r="H156" s="12"/>
      <c r="I156" s="8"/>
      <c r="J156" s="2"/>
      <c r="K156" s="1"/>
      <c r="L156" s="4" t="s">
        <v>15</v>
      </c>
      <c r="N156" s="4" t="s">
        <v>224</v>
      </c>
    </row>
    <row r="157" spans="1:14" x14ac:dyDescent="0.2">
      <c r="A157" s="6"/>
      <c r="B157" s="470"/>
      <c r="C157" s="470"/>
      <c r="D157" s="470"/>
      <c r="E157" s="470"/>
      <c r="F157" s="470"/>
      <c r="G157" s="470"/>
      <c r="H157" s="8"/>
      <c r="I157" s="8"/>
      <c r="J157" s="2"/>
      <c r="K157" s="1"/>
    </row>
    <row r="158" spans="1:14" ht="25.5" x14ac:dyDescent="0.2">
      <c r="A158" s="6"/>
      <c r="B158" s="9" t="s">
        <v>225</v>
      </c>
      <c r="C158" s="8"/>
      <c r="D158" s="9" t="s">
        <v>226</v>
      </c>
      <c r="E158" s="8"/>
      <c r="F158" s="5" t="str">
        <f>SECURITY!D115</f>
        <v>Yes</v>
      </c>
      <c r="G158" s="8" t="s">
        <v>14</v>
      </c>
      <c r="H158" s="8"/>
      <c r="I158" s="8"/>
      <c r="J158" s="2"/>
      <c r="K158" s="1"/>
      <c r="L158" s="4" t="s">
        <v>15</v>
      </c>
      <c r="N158" s="4" t="s">
        <v>227</v>
      </c>
    </row>
    <row r="159" spans="1:14" x14ac:dyDescent="0.2">
      <c r="A159" s="6"/>
      <c r="B159" s="470"/>
      <c r="C159" s="470"/>
      <c r="D159" s="470"/>
      <c r="E159" s="470"/>
      <c r="F159" s="470"/>
      <c r="G159" s="470"/>
      <c r="H159" s="10" t="str">
        <f>IF(F160=B32176,C32176,"")</f>
        <v/>
      </c>
      <c r="I159" s="8"/>
      <c r="J159" s="2"/>
      <c r="K159" s="1"/>
      <c r="M159" s="11" t="str">
        <f>IF(F160=B32176,E32176,"")</f>
        <v/>
      </c>
    </row>
    <row r="160" spans="1:14" ht="25.5" x14ac:dyDescent="0.2">
      <c r="A160" s="6"/>
      <c r="B160" s="9" t="s">
        <v>228</v>
      </c>
      <c r="C160" s="8"/>
      <c r="D160" s="9" t="s">
        <v>229</v>
      </c>
      <c r="E160" s="8"/>
      <c r="F160" s="5" t="str">
        <f>SECURITY!D108</f>
        <v>No</v>
      </c>
      <c r="G160" s="8" t="s">
        <v>14</v>
      </c>
      <c r="H160" s="12">
        <f>SECURITY!G108</f>
        <v>0</v>
      </c>
      <c r="I160" s="8"/>
      <c r="J160" s="2"/>
      <c r="K160" s="1"/>
      <c r="L160" s="4" t="s">
        <v>15</v>
      </c>
      <c r="N160" s="4" t="s">
        <v>230</v>
      </c>
    </row>
    <row r="161" spans="1:14" x14ac:dyDescent="0.2">
      <c r="A161" s="6"/>
      <c r="B161" s="470"/>
      <c r="C161" s="470"/>
      <c r="D161" s="470"/>
      <c r="E161" s="470"/>
      <c r="F161" s="470"/>
      <c r="G161" s="470"/>
      <c r="H161" s="10" t="str">
        <f>IF(F162=B32179,C32179,"")</f>
        <v>Please Explain</v>
      </c>
      <c r="I161" s="8"/>
      <c r="J161" s="2"/>
      <c r="K161" s="1"/>
      <c r="M161" s="11" t="str">
        <f>IF(F162=B32179,E32179,"")</f>
        <v>2</v>
      </c>
    </row>
    <row r="162" spans="1:14" ht="38.25" x14ac:dyDescent="0.2">
      <c r="A162" s="6"/>
      <c r="B162" s="9" t="s">
        <v>231</v>
      </c>
      <c r="C162" s="8"/>
      <c r="D162" s="30" t="s">
        <v>232</v>
      </c>
      <c r="E162" s="8"/>
      <c r="F162" s="5" t="str">
        <f>SECURITY!D119</f>
        <v>Yes</v>
      </c>
      <c r="G162" s="8" t="s">
        <v>14</v>
      </c>
      <c r="H162" s="12" t="str">
        <f>SECURITY!G119</f>
        <v>Server only for support purposes</v>
      </c>
      <c r="I162" s="8"/>
      <c r="J162" s="2"/>
      <c r="K162" s="1"/>
      <c r="L162" s="4" t="s">
        <v>15</v>
      </c>
      <c r="N162" s="4" t="s">
        <v>233</v>
      </c>
    </row>
    <row r="163" spans="1:14" x14ac:dyDescent="0.2">
      <c r="A163" s="6"/>
      <c r="B163" s="470"/>
      <c r="C163" s="470"/>
      <c r="D163" s="470"/>
      <c r="E163" s="470"/>
      <c r="F163" s="470"/>
      <c r="G163" s="470"/>
      <c r="H163" s="10" t="str">
        <f>IF(F164=B32182,C32182,"")</f>
        <v/>
      </c>
      <c r="I163" s="8"/>
      <c r="J163" s="2"/>
      <c r="K163" s="1"/>
      <c r="M163" s="11" t="str">
        <f>IF(F164=B32182,E32182,"")</f>
        <v/>
      </c>
    </row>
    <row r="164" spans="1:14" ht="38.25" x14ac:dyDescent="0.2">
      <c r="A164" s="6"/>
      <c r="B164" s="9" t="s">
        <v>234</v>
      </c>
      <c r="C164" s="8"/>
      <c r="D164" s="9" t="s">
        <v>235</v>
      </c>
      <c r="E164" s="8"/>
      <c r="F164" s="5" t="str">
        <f>SECURITY!D121</f>
        <v>No</v>
      </c>
      <c r="G164" s="8" t="s">
        <v>14</v>
      </c>
      <c r="H164" s="12" t="str">
        <f>SECURITY!G121</f>
        <v>Except initially to upload the software</v>
      </c>
      <c r="I164" s="8"/>
      <c r="J164" s="2"/>
      <c r="K164" s="1"/>
      <c r="L164" s="4" t="s">
        <v>15</v>
      </c>
      <c r="N164" s="4" t="s">
        <v>236</v>
      </c>
    </row>
    <row r="165" spans="1:14" x14ac:dyDescent="0.2">
      <c r="A165" s="6"/>
      <c r="B165" s="470"/>
      <c r="C165" s="470"/>
      <c r="D165" s="470"/>
      <c r="E165" s="470"/>
      <c r="F165" s="470"/>
      <c r="G165" s="470"/>
      <c r="H165" s="10" t="str">
        <f>IF(F166=B32185,C32185,"")</f>
        <v>Enter Response</v>
      </c>
      <c r="I165" s="8"/>
      <c r="J165" s="2"/>
      <c r="K165" s="1"/>
      <c r="M165" s="11" t="str">
        <f>IF(F166=B32185,E32185,"")</f>
        <v>2</v>
      </c>
    </row>
    <row r="166" spans="1:14" ht="38.25" x14ac:dyDescent="0.2">
      <c r="A166" s="6"/>
      <c r="B166" s="9" t="s">
        <v>237</v>
      </c>
      <c r="C166" s="8"/>
      <c r="D166" s="9" t="s">
        <v>238</v>
      </c>
      <c r="E166" s="8"/>
      <c r="F166" s="5" t="s">
        <v>13</v>
      </c>
      <c r="G166" s="8" t="s">
        <v>14</v>
      </c>
      <c r="H166" s="12" t="str">
        <f>SECURITY!D123</f>
        <v>PeriGen will only access the server for to provide support, maintenance, monitoring, installation and training activities.</v>
      </c>
      <c r="I166" s="8"/>
      <c r="J166" s="2"/>
      <c r="K166" s="1"/>
      <c r="L166" s="4" t="s">
        <v>15</v>
      </c>
      <c r="N166" s="4" t="s">
        <v>239</v>
      </c>
    </row>
    <row r="167" spans="1:14" x14ac:dyDescent="0.2">
      <c r="A167" s="6"/>
      <c r="B167" s="470"/>
      <c r="C167" s="470"/>
      <c r="D167" s="470"/>
      <c r="E167" s="470"/>
      <c r="F167" s="470"/>
      <c r="G167" s="470"/>
      <c r="H167" s="10" t="str">
        <f>IF(F168=B32189,C32189,"")</f>
        <v/>
      </c>
      <c r="I167" s="8"/>
      <c r="J167" s="2"/>
      <c r="K167" s="1"/>
      <c r="M167" s="11" t="str">
        <f>IF(F168=B32189,E32189,"")</f>
        <v/>
      </c>
    </row>
    <row r="168" spans="1:14" ht="38.25" x14ac:dyDescent="0.2">
      <c r="A168" s="6"/>
      <c r="B168" s="9" t="s">
        <v>240</v>
      </c>
      <c r="C168" s="8"/>
      <c r="D168" s="9" t="s">
        <v>241</v>
      </c>
      <c r="E168" s="8"/>
      <c r="F168" s="5" t="str">
        <f>SECURITY!D125</f>
        <v>No</v>
      </c>
      <c r="G168" s="8" t="s">
        <v>14</v>
      </c>
      <c r="H168" s="12">
        <f>SECURITY!G125</f>
        <v>0</v>
      </c>
      <c r="I168" s="8"/>
      <c r="J168" s="2"/>
      <c r="K168" s="1"/>
      <c r="L168" s="4" t="s">
        <v>15</v>
      </c>
      <c r="N168" s="4" t="s">
        <v>242</v>
      </c>
    </row>
    <row r="169" spans="1:14" x14ac:dyDescent="0.2">
      <c r="A169" s="6"/>
      <c r="B169" s="470"/>
      <c r="C169" s="470"/>
      <c r="D169" s="470"/>
      <c r="E169" s="470"/>
      <c r="F169" s="470"/>
      <c r="G169" s="470"/>
      <c r="H169" s="10" t="str">
        <f>IF(F170=B32192,C32192,"")</f>
        <v/>
      </c>
      <c r="I169" s="8"/>
      <c r="J169" s="2"/>
      <c r="K169" s="1"/>
      <c r="M169" s="11" t="str">
        <f>IF(F170=B32192,E32192,"")</f>
        <v/>
      </c>
    </row>
    <row r="170" spans="1:14" ht="38.25" x14ac:dyDescent="0.2">
      <c r="A170" s="6"/>
      <c r="B170" s="9" t="s">
        <v>243</v>
      </c>
      <c r="C170" s="8"/>
      <c r="D170" s="9" t="s">
        <v>244</v>
      </c>
      <c r="E170" s="8"/>
      <c r="F170" s="5" t="str">
        <f>SECURITY!D127</f>
        <v>No</v>
      </c>
      <c r="G170" s="8" t="s">
        <v>14</v>
      </c>
      <c r="H170" s="12" t="str">
        <f>SECURITY!G127</f>
        <v>Customer responsibilty</v>
      </c>
      <c r="I170" s="8"/>
      <c r="J170" s="2"/>
      <c r="K170" s="1"/>
      <c r="L170" s="4" t="s">
        <v>15</v>
      </c>
      <c r="N170" s="4" t="s">
        <v>245</v>
      </c>
    </row>
    <row r="171" spans="1:14" x14ac:dyDescent="0.2">
      <c r="A171" s="6"/>
      <c r="B171" s="470"/>
      <c r="C171" s="470"/>
      <c r="D171" s="470"/>
      <c r="E171" s="470"/>
      <c r="F171" s="470"/>
      <c r="G171" s="470"/>
      <c r="H171" s="10" t="str">
        <f>IF(F172=B32195,C32195,"")</f>
        <v/>
      </c>
      <c r="I171" s="8"/>
      <c r="J171" s="2"/>
      <c r="K171" s="1"/>
      <c r="M171" s="11" t="str">
        <f>IF(F172=B32195,E32195,"")</f>
        <v/>
      </c>
    </row>
    <row r="172" spans="1:14" ht="25.5" x14ac:dyDescent="0.2">
      <c r="A172" s="6"/>
      <c r="B172" s="9" t="s">
        <v>246</v>
      </c>
      <c r="C172" s="8"/>
      <c r="D172" s="9" t="s">
        <v>247</v>
      </c>
      <c r="E172" s="8"/>
      <c r="F172" s="5" t="str">
        <f>SECURITY!D129</f>
        <v>Yes</v>
      </c>
      <c r="G172" s="8" t="s">
        <v>14</v>
      </c>
      <c r="H172" s="12">
        <f>SECURITY!G129</f>
        <v>0</v>
      </c>
      <c r="I172" s="8"/>
      <c r="J172" s="2"/>
      <c r="K172" s="1"/>
      <c r="L172" s="4" t="s">
        <v>15</v>
      </c>
      <c r="N172" s="4" t="s">
        <v>248</v>
      </c>
    </row>
    <row r="173" spans="1:14" x14ac:dyDescent="0.2">
      <c r="A173" s="6"/>
      <c r="B173" s="470"/>
      <c r="C173" s="470"/>
      <c r="D173" s="470"/>
      <c r="E173" s="470"/>
      <c r="F173" s="470"/>
      <c r="G173" s="470"/>
      <c r="H173" s="10" t="str">
        <f>IF(F174=B32196,C32196,"")&amp;IF(F174=B32197,C32197,"")</f>
        <v/>
      </c>
      <c r="I173" s="8"/>
      <c r="J173" s="2"/>
      <c r="K173" s="1"/>
      <c r="M173" s="11" t="str">
        <f>IF(F174=B32196,E32196,"")&amp;IF(F174=B32197,E32197,"")</f>
        <v/>
      </c>
    </row>
    <row r="174" spans="1:14" ht="51" x14ac:dyDescent="0.2">
      <c r="A174" s="6"/>
      <c r="B174" s="9" t="s">
        <v>249</v>
      </c>
      <c r="C174" s="8"/>
      <c r="D174" s="9" t="s">
        <v>250</v>
      </c>
      <c r="E174" s="8"/>
      <c r="F174" s="5" t="str">
        <f>SECURITY!D133</f>
        <v>Yes</v>
      </c>
      <c r="G174" s="8" t="s">
        <v>14</v>
      </c>
      <c r="H174" s="12">
        <f>SECURITY!G133</f>
        <v>0</v>
      </c>
      <c r="I174" s="8"/>
      <c r="J174" s="2"/>
      <c r="K174" s="1"/>
      <c r="L174" s="4" t="s">
        <v>15</v>
      </c>
      <c r="N174" s="4" t="s">
        <v>251</v>
      </c>
    </row>
    <row r="175" spans="1:14" x14ac:dyDescent="0.2">
      <c r="A175" s="6"/>
      <c r="B175" s="470"/>
      <c r="C175" s="470"/>
      <c r="D175" s="470"/>
      <c r="E175" s="470"/>
      <c r="F175" s="470"/>
      <c r="G175" s="470"/>
      <c r="H175" s="10" t="str">
        <f>IF(F176=B32199,C32199,"")&amp;IF(F176=B32200,C32200,"")</f>
        <v/>
      </c>
      <c r="I175" s="8"/>
      <c r="J175" s="2"/>
      <c r="K175" s="1"/>
      <c r="M175" s="11" t="str">
        <f>IF(F176=B32199,E32199,"")&amp;IF(F176=B32200,E32200,"")</f>
        <v/>
      </c>
    </row>
    <row r="176" spans="1:14" ht="38.25" x14ac:dyDescent="0.2">
      <c r="A176" s="6"/>
      <c r="B176" s="9" t="s">
        <v>252</v>
      </c>
      <c r="C176" s="8"/>
      <c r="D176" s="9" t="s">
        <v>253</v>
      </c>
      <c r="E176" s="8"/>
      <c r="F176" s="5" t="str">
        <f>SECURITY!D135</f>
        <v>Yes</v>
      </c>
      <c r="G176" s="8" t="s">
        <v>14</v>
      </c>
      <c r="H176" s="12">
        <f>SECURITY!G135</f>
        <v>0</v>
      </c>
      <c r="I176" s="8"/>
      <c r="J176" s="2"/>
      <c r="K176" s="1"/>
      <c r="L176" s="4" t="s">
        <v>15</v>
      </c>
      <c r="N176" s="4" t="s">
        <v>254</v>
      </c>
    </row>
    <row r="177" spans="1:14" x14ac:dyDescent="0.2">
      <c r="A177" s="6"/>
      <c r="B177" s="470"/>
      <c r="C177" s="470"/>
      <c r="D177" s="470"/>
      <c r="E177" s="470"/>
      <c r="F177" s="470"/>
      <c r="G177" s="470"/>
      <c r="H177" s="10" t="str">
        <f>IF(F178=B32202,C32202,"")&amp;IF(F178=B32203,C32203,"")</f>
        <v/>
      </c>
      <c r="I177" s="8"/>
      <c r="J177" s="2"/>
      <c r="K177" s="1"/>
      <c r="M177" s="11" t="str">
        <f>IF(F178=B32202,E32202,"")&amp;IF(F178=B32203,E32203,"")</f>
        <v/>
      </c>
    </row>
    <row r="178" spans="1:14" ht="25.5" x14ac:dyDescent="0.2">
      <c r="A178" s="6"/>
      <c r="B178" s="9" t="s">
        <v>255</v>
      </c>
      <c r="C178" s="8"/>
      <c r="D178" s="9" t="s">
        <v>256</v>
      </c>
      <c r="E178" s="8"/>
      <c r="F178" s="5" t="str">
        <f>SECURITY!D137</f>
        <v>Yes</v>
      </c>
      <c r="G178" s="8" t="s">
        <v>14</v>
      </c>
      <c r="H178" s="12" t="str">
        <f>SECURITY!G137</f>
        <v>Logs are stored in a dedicated table in the DB and can be read directly by authorized customer IT</v>
      </c>
      <c r="I178" s="8"/>
      <c r="J178" s="2"/>
      <c r="K178" s="1"/>
      <c r="L178" s="4" t="s">
        <v>15</v>
      </c>
      <c r="N178" s="4" t="s">
        <v>257</v>
      </c>
    </row>
    <row r="179" spans="1:14" x14ac:dyDescent="0.2">
      <c r="A179" s="6"/>
      <c r="B179" s="470"/>
      <c r="C179" s="470"/>
      <c r="D179" s="470"/>
      <c r="E179" s="470"/>
      <c r="F179" s="470"/>
      <c r="G179" s="470"/>
      <c r="H179" s="10" t="str">
        <f>IF(F180=B32207,C32207,"")</f>
        <v/>
      </c>
      <c r="I179" s="8"/>
      <c r="J179" s="2"/>
      <c r="K179" s="1"/>
      <c r="M179" s="11" t="str">
        <f>IF(F180=B32207,E32207,"")</f>
        <v/>
      </c>
    </row>
    <row r="180" spans="1:14" ht="25.5" x14ac:dyDescent="0.2">
      <c r="A180" s="6"/>
      <c r="B180" s="9" t="s">
        <v>258</v>
      </c>
      <c r="C180" s="8"/>
      <c r="D180" s="9" t="s">
        <v>259</v>
      </c>
      <c r="E180" s="8"/>
      <c r="F180" s="5" t="str">
        <f>SECURITY!D140</f>
        <v>Yes</v>
      </c>
      <c r="G180" s="8" t="s">
        <v>14</v>
      </c>
      <c r="H180" s="12"/>
      <c r="I180" s="8"/>
      <c r="J180" s="2"/>
      <c r="K180" s="1"/>
      <c r="L180" s="4" t="s">
        <v>15</v>
      </c>
      <c r="N180" s="4" t="s">
        <v>260</v>
      </c>
    </row>
    <row r="181" spans="1:14" x14ac:dyDescent="0.2">
      <c r="A181" s="6"/>
      <c r="B181" s="470"/>
      <c r="C181" s="470"/>
      <c r="D181" s="470"/>
      <c r="E181" s="470"/>
      <c r="F181" s="470"/>
      <c r="G181" s="470"/>
      <c r="H181" s="10" t="str">
        <f>IF(F182=B32210,C32210,"")</f>
        <v/>
      </c>
      <c r="I181" s="8"/>
      <c r="J181" s="2"/>
      <c r="K181" s="1"/>
      <c r="M181" s="11" t="str">
        <f>IF(F182=B32210,E32210,"")</f>
        <v/>
      </c>
    </row>
    <row r="182" spans="1:14" ht="25.5" x14ac:dyDescent="0.2">
      <c r="A182" s="6"/>
      <c r="B182" s="9" t="s">
        <v>261</v>
      </c>
      <c r="C182" s="8"/>
      <c r="D182" s="9" t="s">
        <v>262</v>
      </c>
      <c r="E182" s="8"/>
      <c r="F182" s="5" t="str">
        <f>SECURITY!D141</f>
        <v>No</v>
      </c>
      <c r="G182" s="8" t="s">
        <v>14</v>
      </c>
      <c r="H182" s="12"/>
      <c r="I182" s="8"/>
      <c r="J182" s="2"/>
      <c r="K182" s="1"/>
      <c r="L182" s="4" t="s">
        <v>15</v>
      </c>
      <c r="N182" s="4" t="s">
        <v>263</v>
      </c>
    </row>
    <row r="183" spans="1:14" x14ac:dyDescent="0.2">
      <c r="A183" s="6"/>
      <c r="B183" s="470"/>
      <c r="C183" s="470"/>
      <c r="D183" s="470"/>
      <c r="E183" s="470"/>
      <c r="F183" s="470"/>
      <c r="G183" s="470"/>
      <c r="H183" s="10" t="str">
        <f>IF(F184=B32213,C32213,"")</f>
        <v/>
      </c>
      <c r="I183" s="8"/>
      <c r="J183" s="2"/>
      <c r="K183" s="1"/>
      <c r="M183" s="11" t="str">
        <f>IF(F184=B32213,E32213,"")</f>
        <v/>
      </c>
    </row>
    <row r="184" spans="1:14" ht="25.5" x14ac:dyDescent="0.2">
      <c r="A184" s="6"/>
      <c r="B184" s="9" t="s">
        <v>264</v>
      </c>
      <c r="C184" s="8"/>
      <c r="D184" s="9" t="s">
        <v>265</v>
      </c>
      <c r="E184" s="8"/>
      <c r="F184" s="5" t="str">
        <f>SECURITY!D142</f>
        <v>Yes</v>
      </c>
      <c r="G184" s="8" t="s">
        <v>14</v>
      </c>
      <c r="H184" s="12"/>
      <c r="I184" s="8"/>
      <c r="J184" s="2"/>
      <c r="K184" s="1"/>
      <c r="L184" s="4" t="s">
        <v>15</v>
      </c>
      <c r="N184" s="4" t="s">
        <v>266</v>
      </c>
    </row>
    <row r="185" spans="1:14" x14ac:dyDescent="0.2">
      <c r="A185" s="6"/>
      <c r="B185" s="470"/>
      <c r="C185" s="470"/>
      <c r="D185" s="470"/>
      <c r="E185" s="470"/>
      <c r="F185" s="470"/>
      <c r="G185" s="470"/>
      <c r="H185" s="10" t="str">
        <f>IF(F186=B32216,C32216,"")</f>
        <v/>
      </c>
      <c r="I185" s="8"/>
      <c r="J185" s="2"/>
      <c r="K185" s="1"/>
      <c r="M185" s="11" t="str">
        <f>IF(F186=B32216,E32216,"")</f>
        <v/>
      </c>
    </row>
    <row r="186" spans="1:14" ht="25.5" x14ac:dyDescent="0.2">
      <c r="A186" s="6"/>
      <c r="B186" s="9" t="s">
        <v>267</v>
      </c>
      <c r="C186" s="8"/>
      <c r="D186" s="9" t="s">
        <v>268</v>
      </c>
      <c r="E186" s="8"/>
      <c r="F186" s="5" t="str">
        <f>SECURITY!D143</f>
        <v>Yes</v>
      </c>
      <c r="G186" s="8" t="s">
        <v>14</v>
      </c>
      <c r="H186" s="12"/>
      <c r="I186" s="8"/>
      <c r="J186" s="2"/>
      <c r="K186" s="1"/>
      <c r="L186" s="4" t="s">
        <v>15</v>
      </c>
      <c r="N186" s="4" t="s">
        <v>269</v>
      </c>
    </row>
    <row r="187" spans="1:14" x14ac:dyDescent="0.2">
      <c r="A187" s="6"/>
      <c r="B187" s="470"/>
      <c r="C187" s="470"/>
      <c r="D187" s="470"/>
      <c r="E187" s="470"/>
      <c r="F187" s="470"/>
      <c r="G187" s="470"/>
      <c r="H187" s="10" t="str">
        <f>IF(F188=B32219,C32219,"")</f>
        <v/>
      </c>
      <c r="I187" s="8"/>
      <c r="J187" s="2"/>
      <c r="K187" s="1"/>
      <c r="M187" s="11" t="str">
        <f>IF(F188=B32219,E32219,"")</f>
        <v/>
      </c>
    </row>
    <row r="188" spans="1:14" ht="25.5" x14ac:dyDescent="0.2">
      <c r="A188" s="6"/>
      <c r="B188" s="9" t="s">
        <v>270</v>
      </c>
      <c r="C188" s="8"/>
      <c r="D188" s="9" t="s">
        <v>271</v>
      </c>
      <c r="E188" s="8"/>
      <c r="F188" s="5" t="str">
        <f>SECURITY!D144</f>
        <v>Yes</v>
      </c>
      <c r="G188" s="8" t="s">
        <v>14</v>
      </c>
      <c r="H188" s="12"/>
      <c r="I188" s="8"/>
      <c r="J188" s="2"/>
      <c r="K188" s="1"/>
      <c r="L188" s="4" t="s">
        <v>15</v>
      </c>
      <c r="N188" s="4" t="s">
        <v>272</v>
      </c>
    </row>
    <row r="189" spans="1:14" x14ac:dyDescent="0.2">
      <c r="A189" s="6"/>
      <c r="B189" s="470"/>
      <c r="C189" s="470"/>
      <c r="D189" s="470"/>
      <c r="E189" s="470"/>
      <c r="F189" s="470"/>
      <c r="G189" s="470"/>
      <c r="H189" s="10" t="str">
        <f>IF(F190=B32222,C32222,"")</f>
        <v/>
      </c>
      <c r="I189" s="8"/>
      <c r="J189" s="2"/>
      <c r="K189" s="1"/>
      <c r="M189" s="11" t="str">
        <f>IF(F190=B32222,E32222,"")</f>
        <v/>
      </c>
    </row>
    <row r="190" spans="1:14" ht="25.5" x14ac:dyDescent="0.2">
      <c r="A190" s="6"/>
      <c r="B190" s="9" t="s">
        <v>273</v>
      </c>
      <c r="C190" s="8"/>
      <c r="D190" s="30" t="s">
        <v>274</v>
      </c>
      <c r="E190" s="8"/>
      <c r="F190" s="5" t="str">
        <f>SECURITY!D145</f>
        <v>No</v>
      </c>
      <c r="G190" s="8" t="s">
        <v>14</v>
      </c>
      <c r="H190" s="12"/>
      <c r="I190" s="8"/>
      <c r="J190" s="2"/>
      <c r="K190" s="1"/>
      <c r="L190" s="4" t="s">
        <v>15</v>
      </c>
      <c r="N190" s="4" t="s">
        <v>275</v>
      </c>
    </row>
    <row r="191" spans="1:14" x14ac:dyDescent="0.2">
      <c r="A191" s="6"/>
      <c r="B191" s="470"/>
      <c r="C191" s="470"/>
      <c r="D191" s="470"/>
      <c r="E191" s="470"/>
      <c r="F191" s="470"/>
      <c r="G191" s="470"/>
      <c r="H191" s="10" t="str">
        <f>IF(F192=B32225,C32225,"")</f>
        <v/>
      </c>
      <c r="I191" s="8"/>
      <c r="J191" s="2"/>
      <c r="K191" s="1"/>
      <c r="M191" s="11" t="str">
        <f>IF(F192=B32225,E32225,"")</f>
        <v/>
      </c>
    </row>
    <row r="192" spans="1:14" ht="25.5" x14ac:dyDescent="0.2">
      <c r="A192" s="6"/>
      <c r="B192" s="9" t="s">
        <v>276</v>
      </c>
      <c r="C192" s="8"/>
      <c r="D192" s="9" t="s">
        <v>277</v>
      </c>
      <c r="E192" s="8"/>
      <c r="F192" s="5" t="str">
        <f>SECURITY!D148</f>
        <v>No</v>
      </c>
      <c r="G192" s="8" t="s">
        <v>14</v>
      </c>
      <c r="H192" s="12"/>
      <c r="I192" s="8"/>
      <c r="J192" s="2"/>
      <c r="K192" s="1"/>
      <c r="L192" s="4" t="s">
        <v>15</v>
      </c>
      <c r="N192" s="4" t="s">
        <v>278</v>
      </c>
    </row>
    <row r="193" spans="1:14" x14ac:dyDescent="0.2">
      <c r="A193" s="6"/>
      <c r="B193" s="470"/>
      <c r="C193" s="470"/>
      <c r="D193" s="470"/>
      <c r="E193" s="470"/>
      <c r="F193" s="470"/>
      <c r="G193" s="470"/>
      <c r="H193" s="10" t="str">
        <f>IF(F194=B32226,C32226,"")</f>
        <v>Enter Response</v>
      </c>
      <c r="I193" s="8"/>
      <c r="J193" s="2"/>
      <c r="K193" s="1"/>
      <c r="M193" s="11" t="str">
        <f>IF(F194=B32226,E32226,"")</f>
        <v>2</v>
      </c>
    </row>
    <row r="194" spans="1:14" ht="38.25" x14ac:dyDescent="0.2">
      <c r="A194" s="6"/>
      <c r="B194" s="9" t="s">
        <v>279</v>
      </c>
      <c r="C194" s="8"/>
      <c r="D194" s="30" t="s">
        <v>280</v>
      </c>
      <c r="E194" s="8"/>
      <c r="F194" s="5" t="s">
        <v>13</v>
      </c>
      <c r="G194" s="8" t="s">
        <v>14</v>
      </c>
      <c r="H194" s="12" t="str">
        <f>SECURITY!D150</f>
        <v>NYP controlled</v>
      </c>
      <c r="I194" s="8"/>
      <c r="J194" s="2"/>
      <c r="K194" s="1"/>
      <c r="L194" s="4" t="s">
        <v>15</v>
      </c>
      <c r="N194" s="4" t="s">
        <v>281</v>
      </c>
    </row>
    <row r="195" spans="1:14" x14ac:dyDescent="0.2">
      <c r="A195" s="6"/>
      <c r="B195" s="470"/>
      <c r="C195" s="470"/>
      <c r="D195" s="470"/>
      <c r="E195" s="470"/>
      <c r="F195" s="470"/>
      <c r="G195" s="470"/>
      <c r="H195" s="10" t="str">
        <f>IF(F196=B32230,C32230,"")</f>
        <v/>
      </c>
      <c r="I195" s="8"/>
      <c r="J195" s="2"/>
      <c r="K195" s="1"/>
      <c r="M195" s="11" t="str">
        <f>IF(F196=B32230,E32230,"")</f>
        <v/>
      </c>
    </row>
    <row r="196" spans="1:14" ht="25.5" x14ac:dyDescent="0.2">
      <c r="A196" s="6"/>
      <c r="B196" s="9" t="s">
        <v>282</v>
      </c>
      <c r="C196" s="8"/>
      <c r="D196" s="9" t="s">
        <v>283</v>
      </c>
      <c r="E196" s="8"/>
      <c r="F196" s="5" t="str">
        <f>SECURITY!D152</f>
        <v>Yes</v>
      </c>
      <c r="G196" s="8" t="s">
        <v>14</v>
      </c>
      <c r="H196" s="12"/>
      <c r="I196" s="8"/>
      <c r="J196" s="2"/>
      <c r="K196" s="1"/>
      <c r="L196" s="4" t="s">
        <v>15</v>
      </c>
      <c r="N196" s="4" t="s">
        <v>284</v>
      </c>
    </row>
    <row r="197" spans="1:14" x14ac:dyDescent="0.2">
      <c r="A197" s="6"/>
      <c r="B197" s="470"/>
      <c r="C197" s="470"/>
      <c r="D197" s="470"/>
      <c r="E197" s="470"/>
      <c r="F197" s="470"/>
      <c r="G197" s="470"/>
      <c r="H197" s="10" t="str">
        <f>IF(F198=B32231,C32231,"")</f>
        <v>Enter Response</v>
      </c>
      <c r="I197" s="8"/>
      <c r="J197" s="2"/>
      <c r="K197" s="1"/>
      <c r="M197" s="11" t="str">
        <f>IF(F198=B32231,E32231,"")</f>
        <v>2</v>
      </c>
    </row>
    <row r="198" spans="1:14" ht="38.25" x14ac:dyDescent="0.2">
      <c r="A198" s="6"/>
      <c r="B198" s="9" t="s">
        <v>285</v>
      </c>
      <c r="C198" s="8"/>
      <c r="D198" s="9" t="s">
        <v>286</v>
      </c>
      <c r="E198" s="8"/>
      <c r="F198" s="5" t="s">
        <v>13</v>
      </c>
      <c r="G198" s="8" t="s">
        <v>14</v>
      </c>
      <c r="H198" s="12">
        <f>SECURITY!D154</f>
        <v>0</v>
      </c>
      <c r="I198" s="8"/>
      <c r="J198" s="2"/>
      <c r="K198" s="1"/>
      <c r="L198" s="4" t="s">
        <v>15</v>
      </c>
      <c r="N198" s="4" t="s">
        <v>287</v>
      </c>
    </row>
    <row r="199" spans="1:14" x14ac:dyDescent="0.2">
      <c r="A199" s="6"/>
      <c r="B199" s="470"/>
      <c r="C199" s="470"/>
      <c r="D199" s="470"/>
      <c r="E199" s="470"/>
      <c r="F199" s="470"/>
      <c r="G199" s="470"/>
      <c r="H199" s="8"/>
      <c r="I199" s="8"/>
      <c r="J199" s="2"/>
      <c r="K199" s="1"/>
    </row>
    <row r="200" spans="1:14" ht="25.5" x14ac:dyDescent="0.2">
      <c r="A200" s="6"/>
      <c r="B200" s="9" t="s">
        <v>288</v>
      </c>
      <c r="C200" s="8"/>
      <c r="D200" s="30" t="s">
        <v>289</v>
      </c>
      <c r="E200" s="8"/>
      <c r="F200" s="5" t="str">
        <f>SECURITY!D158</f>
        <v>No</v>
      </c>
      <c r="G200" s="8" t="s">
        <v>14</v>
      </c>
      <c r="H200" s="8"/>
      <c r="I200" s="8"/>
      <c r="J200" s="2"/>
      <c r="K200" s="1"/>
      <c r="L200" s="4" t="s">
        <v>15</v>
      </c>
      <c r="N200" s="4" t="s">
        <v>290</v>
      </c>
    </row>
    <row r="201" spans="1:14" x14ac:dyDescent="0.2">
      <c r="A201" s="6"/>
      <c r="B201" s="470"/>
      <c r="C201" s="470"/>
      <c r="D201" s="470"/>
      <c r="E201" s="470"/>
      <c r="F201" s="470"/>
      <c r="G201" s="470"/>
      <c r="H201" s="10" t="str">
        <f>IF(F202=B32238,C32238,"")</f>
        <v/>
      </c>
      <c r="I201" s="8"/>
      <c r="J201" s="2"/>
      <c r="K201" s="1"/>
      <c r="M201" s="11" t="str">
        <f>IF(F202=B32238,E32238,"")</f>
        <v/>
      </c>
    </row>
    <row r="202" spans="1:14" ht="25.5" x14ac:dyDescent="0.2">
      <c r="A202" s="6"/>
      <c r="B202" s="9" t="s">
        <v>291</v>
      </c>
      <c r="C202" s="8"/>
      <c r="D202" s="9" t="s">
        <v>292</v>
      </c>
      <c r="E202" s="8"/>
      <c r="F202" s="5" t="str">
        <f>SECURITY!D159</f>
        <v>No</v>
      </c>
      <c r="G202" s="8" t="s">
        <v>14</v>
      </c>
      <c r="H202" s="12"/>
      <c r="I202" s="8"/>
      <c r="J202" s="2"/>
      <c r="K202" s="1"/>
      <c r="L202" s="4" t="s">
        <v>15</v>
      </c>
      <c r="N202" s="4" t="s">
        <v>293</v>
      </c>
    </row>
    <row r="203" spans="1:14" x14ac:dyDescent="0.2">
      <c r="A203" s="6"/>
      <c r="B203" s="470"/>
      <c r="C203" s="470"/>
      <c r="D203" s="470"/>
      <c r="E203" s="470"/>
      <c r="F203" s="470"/>
      <c r="G203" s="470"/>
      <c r="H203" s="10" t="str">
        <f>IF(F204=B32241,C32241,"")</f>
        <v/>
      </c>
      <c r="I203" s="8"/>
      <c r="J203" s="2"/>
      <c r="K203" s="1"/>
      <c r="M203" s="11" t="str">
        <f>IF(F204=B32241,E32241,"")</f>
        <v/>
      </c>
    </row>
    <row r="204" spans="1:14" ht="25.5" x14ac:dyDescent="0.2">
      <c r="A204" s="6"/>
      <c r="B204" s="9" t="s">
        <v>294</v>
      </c>
      <c r="C204" s="8"/>
      <c r="D204" s="9" t="s">
        <v>295</v>
      </c>
      <c r="E204" s="8"/>
      <c r="F204" s="5" t="str">
        <f>SECURITY!D160</f>
        <v>Yes</v>
      </c>
      <c r="G204" s="8" t="s">
        <v>14</v>
      </c>
      <c r="H204" s="12"/>
      <c r="I204" s="8"/>
      <c r="J204" s="2"/>
      <c r="K204" s="1"/>
      <c r="L204" s="4" t="s">
        <v>15</v>
      </c>
      <c r="N204" s="4" t="s">
        <v>296</v>
      </c>
    </row>
    <row r="205" spans="1:14" x14ac:dyDescent="0.2">
      <c r="A205" s="6"/>
      <c r="B205" s="470"/>
      <c r="C205" s="470"/>
      <c r="D205" s="470"/>
      <c r="E205" s="470"/>
      <c r="F205" s="470"/>
      <c r="G205" s="470"/>
      <c r="H205" s="10" t="str">
        <f>IF(F206=B32242,C32242,"")</f>
        <v/>
      </c>
      <c r="I205" s="8"/>
      <c r="J205" s="2"/>
      <c r="K205" s="1"/>
      <c r="M205" s="11" t="str">
        <f>IF(F206=B32242,E32242,"")</f>
        <v/>
      </c>
    </row>
    <row r="206" spans="1:14" ht="38.25" x14ac:dyDescent="0.2">
      <c r="A206" s="6"/>
      <c r="B206" s="9" t="s">
        <v>297</v>
      </c>
      <c r="C206" s="8"/>
      <c r="D206" s="9" t="s">
        <v>298</v>
      </c>
      <c r="E206" s="8"/>
      <c r="F206" s="5" t="str">
        <f>SECURITY!D162</f>
        <v>No</v>
      </c>
      <c r="G206" s="8" t="s">
        <v>14</v>
      </c>
      <c r="H206" s="12">
        <f>SECURITY!G162</f>
        <v>0</v>
      </c>
      <c r="I206" s="8"/>
      <c r="J206" s="2"/>
      <c r="K206" s="1"/>
      <c r="L206" s="4" t="s">
        <v>15</v>
      </c>
      <c r="N206" s="4" t="s">
        <v>299</v>
      </c>
    </row>
    <row r="207" spans="1:14" x14ac:dyDescent="0.2">
      <c r="A207" s="6"/>
      <c r="B207" s="470"/>
      <c r="C207" s="470"/>
      <c r="D207" s="470"/>
      <c r="E207" s="470"/>
      <c r="F207" s="470"/>
      <c r="G207" s="470"/>
      <c r="H207" s="10" t="str">
        <f>IF(F208=B32247,C32247,"")</f>
        <v/>
      </c>
      <c r="I207" s="8"/>
      <c r="J207" s="2"/>
      <c r="K207" s="1"/>
      <c r="M207" s="11" t="str">
        <f>IF(F208=B32247,E32247,"")</f>
        <v/>
      </c>
    </row>
    <row r="208" spans="1:14" ht="25.5" x14ac:dyDescent="0.2">
      <c r="A208" s="6"/>
      <c r="B208" s="9" t="s">
        <v>300</v>
      </c>
      <c r="C208" s="8"/>
      <c r="D208" s="9" t="s">
        <v>301</v>
      </c>
      <c r="E208" s="8"/>
      <c r="F208" s="5" t="str">
        <f>SECURITY!D163</f>
        <v>Yes</v>
      </c>
      <c r="G208" s="8" t="s">
        <v>14</v>
      </c>
      <c r="H208" s="12"/>
      <c r="I208" s="8"/>
      <c r="J208" s="2"/>
      <c r="K208" s="1"/>
      <c r="L208" s="4" t="s">
        <v>15</v>
      </c>
      <c r="N208" s="4" t="s">
        <v>302</v>
      </c>
    </row>
    <row r="209" spans="1:14" x14ac:dyDescent="0.2">
      <c r="A209" s="6"/>
      <c r="B209" s="470"/>
      <c r="C209" s="470"/>
      <c r="D209" s="470"/>
      <c r="E209" s="470"/>
      <c r="F209" s="470"/>
      <c r="G209" s="470"/>
      <c r="H209" s="10" t="str">
        <f>IF(F210=B32248,C32248,"")&amp;IF(F210=B32249,C32249,"")</f>
        <v/>
      </c>
      <c r="I209" s="8"/>
      <c r="J209" s="2"/>
      <c r="K209" s="1"/>
      <c r="M209" s="11" t="str">
        <f>IF(F210=B32248,E32248,"")&amp;IF(F210=B32249,E32249,"")</f>
        <v/>
      </c>
    </row>
    <row r="210" spans="1:14" ht="25.5" x14ac:dyDescent="0.2">
      <c r="A210" s="6"/>
      <c r="B210" s="9" t="s">
        <v>303</v>
      </c>
      <c r="C210" s="8"/>
      <c r="D210" s="30" t="s">
        <v>304</v>
      </c>
      <c r="E210" s="8"/>
      <c r="F210" s="5" t="str">
        <f>SECURITY!D165</f>
        <v>Yes</v>
      </c>
      <c r="G210" s="8" t="s">
        <v>14</v>
      </c>
      <c r="H210" s="12" t="str">
        <f>SECURITY!G165</f>
        <v>Only supported with MS SQL TDE (SQL Enterprise) which NYP needs to provide along with the applicable certificates</v>
      </c>
      <c r="I210" s="8"/>
      <c r="J210" s="2"/>
      <c r="K210" s="1"/>
      <c r="L210" s="4" t="s">
        <v>15</v>
      </c>
      <c r="N210" s="4" t="s">
        <v>305</v>
      </c>
    </row>
    <row r="211" spans="1:14" x14ac:dyDescent="0.2">
      <c r="A211" s="6"/>
      <c r="B211" s="470"/>
      <c r="C211" s="470"/>
      <c r="D211" s="470"/>
      <c r="E211" s="470"/>
      <c r="F211" s="470"/>
      <c r="G211" s="470"/>
      <c r="H211" s="10" t="str">
        <f>IF(F212=B32251,C32251,"")&amp;IF(F212=B32252,C32252,"")</f>
        <v/>
      </c>
      <c r="I211" s="8"/>
      <c r="J211" s="2"/>
      <c r="K211" s="1"/>
      <c r="M211" s="11" t="str">
        <f>IF(F212=B32251,E32251,"")&amp;IF(F212=B32252,E32252,"")</f>
        <v/>
      </c>
    </row>
    <row r="212" spans="1:14" ht="25.5" x14ac:dyDescent="0.2">
      <c r="A212" s="6"/>
      <c r="B212" s="9" t="s">
        <v>306</v>
      </c>
      <c r="C212" s="8"/>
      <c r="D212" s="30" t="s">
        <v>307</v>
      </c>
      <c r="E212" s="8"/>
      <c r="F212" s="5" t="str">
        <f>SECURITY!D167</f>
        <v>Yes</v>
      </c>
      <c r="G212" s="8" t="s">
        <v>14</v>
      </c>
      <c r="H212" s="12" t="str">
        <f>SECURITY!G167</f>
        <v>Customer responsibilty</v>
      </c>
      <c r="I212" s="8"/>
      <c r="J212" s="2"/>
      <c r="K212" s="1"/>
      <c r="L212" s="4" t="s">
        <v>15</v>
      </c>
      <c r="N212" s="4" t="s">
        <v>308</v>
      </c>
    </row>
    <row r="213" spans="1:14" x14ac:dyDescent="0.2">
      <c r="A213" s="6"/>
      <c r="B213" s="470"/>
      <c r="C213" s="470"/>
      <c r="D213" s="470"/>
      <c r="E213" s="470"/>
      <c r="F213" s="470"/>
      <c r="G213" s="470"/>
      <c r="H213" s="10" t="str">
        <f>IF(F214=B32254,C32254,"")</f>
        <v>Enter Response</v>
      </c>
      <c r="I213" s="8"/>
      <c r="J213" s="2"/>
      <c r="K213" s="1"/>
      <c r="M213" s="11" t="str">
        <f>IF(F214=B32254,E32254,"")</f>
        <v>2</v>
      </c>
    </row>
    <row r="214" spans="1:14" ht="89.25" x14ac:dyDescent="0.2">
      <c r="A214" s="6"/>
      <c r="B214" s="9" t="s">
        <v>309</v>
      </c>
      <c r="C214" s="8"/>
      <c r="D214" s="9" t="s">
        <v>310</v>
      </c>
      <c r="E214" s="8"/>
      <c r="F214" s="5" t="s">
        <v>13</v>
      </c>
      <c r="G214" s="8" t="s">
        <v>14</v>
      </c>
      <c r="H214" s="12" t="str">
        <f>SECURITY!D169</f>
        <v>NA. The system relies on SSL certificates managed by the OS and customer IT</v>
      </c>
      <c r="I214" s="8"/>
      <c r="J214" s="2"/>
      <c r="K214" s="1"/>
      <c r="L214" s="4" t="s">
        <v>15</v>
      </c>
      <c r="N214" s="4" t="s">
        <v>311</v>
      </c>
    </row>
    <row r="215" spans="1:14" x14ac:dyDescent="0.2">
      <c r="A215" s="6"/>
      <c r="B215" s="470"/>
      <c r="C215" s="470"/>
      <c r="D215" s="470"/>
      <c r="E215" s="470"/>
      <c r="F215" s="470"/>
      <c r="G215" s="470"/>
      <c r="H215" s="10" t="str">
        <f>IF(F216=B32256,C32256,"")</f>
        <v/>
      </c>
      <c r="I215" s="8"/>
      <c r="J215" s="2"/>
      <c r="K215" s="1"/>
      <c r="M215" s="11" t="str">
        <f>IF(F216=B32256,E32256,"")</f>
        <v/>
      </c>
    </row>
    <row r="216" spans="1:14" ht="76.5" x14ac:dyDescent="0.2">
      <c r="A216" s="6"/>
      <c r="B216" s="9" t="s">
        <v>312</v>
      </c>
      <c r="C216" s="8"/>
      <c r="D216" s="9" t="s">
        <v>313</v>
      </c>
      <c r="E216" s="8"/>
      <c r="F216" s="5" t="str">
        <f>SECURITY!D173</f>
        <v>N/A</v>
      </c>
      <c r="G216" s="8" t="s">
        <v>14</v>
      </c>
      <c r="H216" s="12">
        <f>SECURITY!G173</f>
        <v>0</v>
      </c>
      <c r="I216" s="8"/>
      <c r="J216" s="2"/>
      <c r="K216" s="1"/>
      <c r="L216" s="4" t="s">
        <v>15</v>
      </c>
      <c r="N216" s="4" t="s">
        <v>314</v>
      </c>
    </row>
    <row r="217" spans="1:14" x14ac:dyDescent="0.2">
      <c r="A217" s="6"/>
      <c r="B217" s="470"/>
      <c r="C217" s="470"/>
      <c r="D217" s="470"/>
      <c r="E217" s="470"/>
      <c r="F217" s="470"/>
      <c r="G217" s="470"/>
      <c r="H217" s="10" t="str">
        <f>IF(F218=B32260,C32260,"")</f>
        <v/>
      </c>
      <c r="I217" s="8"/>
      <c r="J217" s="2"/>
      <c r="K217" s="1"/>
      <c r="M217" s="11" t="str">
        <f>IF(F218=B32260,E32260,"")</f>
        <v/>
      </c>
    </row>
    <row r="218" spans="1:14" ht="38.25" x14ac:dyDescent="0.2">
      <c r="A218" s="6"/>
      <c r="B218" s="9" t="s">
        <v>315</v>
      </c>
      <c r="C218" s="8"/>
      <c r="D218" s="9" t="s">
        <v>244</v>
      </c>
      <c r="E218" s="8"/>
      <c r="F218" s="5" t="str">
        <f>SECURITY!D177</f>
        <v>No</v>
      </c>
      <c r="G218" s="8" t="s">
        <v>14</v>
      </c>
      <c r="H218" s="12" t="str">
        <f>SECURITY!G177</f>
        <v>Backups of SQL DBs and VM are under customer responsibility</v>
      </c>
      <c r="I218" s="8"/>
      <c r="J218" s="2"/>
      <c r="K218" s="1"/>
      <c r="L218" s="4" t="s">
        <v>15</v>
      </c>
      <c r="N218" s="4" t="s">
        <v>316</v>
      </c>
    </row>
    <row r="219" spans="1:14" x14ac:dyDescent="0.2">
      <c r="A219" s="6"/>
      <c r="B219" s="470"/>
      <c r="C219" s="470"/>
      <c r="D219" s="470"/>
      <c r="E219" s="470"/>
      <c r="F219" s="470"/>
      <c r="G219" s="470"/>
      <c r="H219" s="10" t="str">
        <f>IF(F220=B32261,C32261,"")</f>
        <v>Enter Response</v>
      </c>
      <c r="I219" s="8"/>
      <c r="J219" s="2"/>
      <c r="K219" s="1"/>
      <c r="M219" s="11" t="str">
        <f>IF(F220=B32261,E32261,"")</f>
        <v>2</v>
      </c>
    </row>
    <row r="220" spans="1:14" ht="25.5" x14ac:dyDescent="0.2">
      <c r="A220" s="6"/>
      <c r="B220" s="9" t="s">
        <v>317</v>
      </c>
      <c r="C220" s="8"/>
      <c r="D220" s="9" t="s">
        <v>318</v>
      </c>
      <c r="E220" s="8"/>
      <c r="F220" s="5" t="s">
        <v>13</v>
      </c>
      <c r="G220" s="8" t="s">
        <v>14</v>
      </c>
      <c r="H220" s="12" t="str">
        <f>SECURITY!D178</f>
        <v>NA</v>
      </c>
      <c r="I220" s="8"/>
      <c r="J220" s="2"/>
      <c r="K220" s="1"/>
      <c r="L220" s="4" t="s">
        <v>15</v>
      </c>
      <c r="N220" s="4" t="s">
        <v>319</v>
      </c>
    </row>
    <row r="221" spans="1:14" x14ac:dyDescent="0.2">
      <c r="A221" s="6"/>
      <c r="B221" s="470"/>
      <c r="C221" s="470"/>
      <c r="D221" s="470"/>
      <c r="E221" s="470"/>
      <c r="F221" s="470"/>
      <c r="G221" s="470"/>
      <c r="H221" s="10" t="str">
        <f>IF(F222=B32264,C32264,"")</f>
        <v/>
      </c>
      <c r="I221" s="8"/>
      <c r="J221" s="2"/>
      <c r="K221" s="1"/>
      <c r="M221" s="11" t="str">
        <f>IF(F222=B32264,E32264,"")</f>
        <v/>
      </c>
    </row>
    <row r="222" spans="1:14" ht="38.25" x14ac:dyDescent="0.2">
      <c r="A222" s="6"/>
      <c r="B222" s="9" t="s">
        <v>320</v>
      </c>
      <c r="C222" s="8"/>
      <c r="D222" s="9" t="s">
        <v>321</v>
      </c>
      <c r="E222" s="8"/>
      <c r="F222" s="5" t="str">
        <f>SECURITY!D180</f>
        <v>No</v>
      </c>
      <c r="G222" s="8" t="s">
        <v>14</v>
      </c>
      <c r="H222" s="12">
        <f>SECURITY!G180</f>
        <v>0</v>
      </c>
      <c r="I222" s="8"/>
      <c r="J222" s="2"/>
      <c r="K222" s="1"/>
      <c r="L222" s="4" t="s">
        <v>15</v>
      </c>
      <c r="N222" s="4" t="s">
        <v>322</v>
      </c>
    </row>
    <row r="223" spans="1:14" x14ac:dyDescent="0.2">
      <c r="A223" s="6"/>
      <c r="B223" s="470"/>
      <c r="C223" s="470"/>
      <c r="D223" s="470"/>
      <c r="E223" s="470"/>
      <c r="F223" s="470"/>
      <c r="G223" s="470"/>
      <c r="H223" s="8"/>
      <c r="I223" s="8"/>
      <c r="J223" s="2"/>
      <c r="K223" s="1"/>
    </row>
    <row r="224" spans="1:14" ht="25.5" x14ac:dyDescent="0.2">
      <c r="A224" s="6"/>
      <c r="B224" s="9" t="s">
        <v>323</v>
      </c>
      <c r="C224" s="8"/>
      <c r="D224" s="9" t="s">
        <v>324</v>
      </c>
      <c r="E224" s="8"/>
      <c r="F224" s="28" t="str">
        <f>SECURITY!D181</f>
        <v>Vendor will return data to NYP</v>
      </c>
      <c r="G224" s="8" t="s">
        <v>14</v>
      </c>
      <c r="H224" s="8"/>
      <c r="I224" s="8"/>
      <c r="J224" s="2"/>
      <c r="K224" s="1"/>
      <c r="L224" s="4" t="s">
        <v>15</v>
      </c>
      <c r="N224" s="4" t="s">
        <v>325</v>
      </c>
    </row>
    <row r="225" spans="1:14" x14ac:dyDescent="0.2">
      <c r="A225" s="6"/>
      <c r="B225" s="470"/>
      <c r="C225" s="470"/>
      <c r="D225" s="470"/>
      <c r="E225" s="470"/>
      <c r="F225" s="470"/>
      <c r="G225" s="470"/>
      <c r="H225" s="10" t="str">
        <f>IF(F227=B32268,C32268,"")</f>
        <v>Enter Response</v>
      </c>
      <c r="I225" s="8"/>
      <c r="J225" s="2"/>
      <c r="K225" s="1"/>
      <c r="M225" s="11" t="str">
        <f>IF(F227=B32268,E32268,"")</f>
        <v>2</v>
      </c>
    </row>
    <row r="226" spans="1:14" s="191" customFormat="1" ht="33.6" customHeight="1" x14ac:dyDescent="0.2">
      <c r="A226" s="188"/>
      <c r="B226" s="475" t="s">
        <v>326</v>
      </c>
      <c r="C226" s="476"/>
      <c r="D226" s="476"/>
      <c r="E226" s="476"/>
      <c r="F226" s="476"/>
      <c r="G226" s="476"/>
      <c r="H226" s="476"/>
      <c r="I226" s="477"/>
      <c r="J226" s="189"/>
      <c r="K226" s="190"/>
      <c r="M226" s="192"/>
    </row>
    <row r="227" spans="1:14" ht="25.5" x14ac:dyDescent="0.2">
      <c r="A227" s="6"/>
      <c r="B227" s="9" t="s">
        <v>327</v>
      </c>
      <c r="C227" s="8"/>
      <c r="D227" s="9" t="s">
        <v>328</v>
      </c>
      <c r="E227" s="8"/>
      <c r="F227" s="5" t="s">
        <v>13</v>
      </c>
      <c r="G227" s="8" t="s">
        <v>14</v>
      </c>
      <c r="H227" s="12" t="str">
        <f>'MEDICAL DEVICE'!G4</f>
        <v>PeriGen Inc.</v>
      </c>
      <c r="I227" s="8"/>
      <c r="J227" s="2"/>
      <c r="K227" s="1"/>
      <c r="L227" s="4" t="s">
        <v>15</v>
      </c>
      <c r="N227" s="4" t="s">
        <v>329</v>
      </c>
    </row>
    <row r="228" spans="1:14" x14ac:dyDescent="0.2">
      <c r="A228" s="6"/>
      <c r="B228" s="470"/>
      <c r="C228" s="470"/>
      <c r="D228" s="470"/>
      <c r="E228" s="470"/>
      <c r="F228" s="470"/>
      <c r="G228" s="470"/>
      <c r="H228" s="10" t="str">
        <f>IF(F229=B32270,C32270,"")</f>
        <v>Please enter response</v>
      </c>
      <c r="I228" s="8"/>
      <c r="J228" s="2"/>
      <c r="K228" s="1"/>
      <c r="M228" s="11" t="str">
        <f>IF(F229=B32270,E32270,"")</f>
        <v>2</v>
      </c>
    </row>
    <row r="229" spans="1:14" ht="25.5" x14ac:dyDescent="0.2">
      <c r="A229" s="6"/>
      <c r="B229" s="30" t="s">
        <v>330</v>
      </c>
      <c r="C229" s="8"/>
      <c r="D229" s="30" t="s">
        <v>331</v>
      </c>
      <c r="E229" s="8"/>
      <c r="F229" s="5" t="s">
        <v>13</v>
      </c>
      <c r="G229" s="8" t="s">
        <v>14</v>
      </c>
      <c r="H229" s="12">
        <f>GENERAL!D42</f>
        <v>0</v>
      </c>
      <c r="I229" s="8"/>
      <c r="J229" s="2"/>
      <c r="K229" s="1"/>
      <c r="L229" s="4" t="s">
        <v>15</v>
      </c>
      <c r="N229" s="4" t="s">
        <v>332</v>
      </c>
    </row>
    <row r="230" spans="1:14" x14ac:dyDescent="0.2">
      <c r="A230" s="6"/>
      <c r="B230" s="470"/>
      <c r="C230" s="470"/>
      <c r="D230" s="470"/>
      <c r="E230" s="470"/>
      <c r="F230" s="470"/>
      <c r="G230" s="470"/>
      <c r="H230" s="10" t="str">
        <f>IF(F231=B32272,C32272,"")</f>
        <v>Enter Response</v>
      </c>
      <c r="I230" s="8"/>
      <c r="J230" s="2"/>
      <c r="K230" s="1"/>
      <c r="M230" s="11" t="str">
        <f>IF(F231=B32272,E32272,"")</f>
        <v>2</v>
      </c>
    </row>
    <row r="231" spans="1:14" ht="25.5" x14ac:dyDescent="0.2">
      <c r="A231" s="6"/>
      <c r="B231" s="9" t="s">
        <v>333</v>
      </c>
      <c r="C231" s="8"/>
      <c r="D231" s="9" t="s">
        <v>334</v>
      </c>
      <c r="E231" s="8"/>
      <c r="F231" s="5" t="s">
        <v>13</v>
      </c>
      <c r="G231" s="8" t="s">
        <v>14</v>
      </c>
      <c r="H231" s="12" t="str">
        <f>'MEDICAL DEVICE'!G5</f>
        <v>PeriWatch Vigilance</v>
      </c>
      <c r="I231" s="8"/>
      <c r="J231" s="2"/>
      <c r="K231" s="1"/>
      <c r="L231" s="4" t="s">
        <v>15</v>
      </c>
      <c r="N231" s="4" t="s">
        <v>335</v>
      </c>
    </row>
    <row r="232" spans="1:14" x14ac:dyDescent="0.2">
      <c r="A232" s="6"/>
      <c r="B232" s="470"/>
      <c r="C232" s="470"/>
      <c r="D232" s="470"/>
      <c r="E232" s="470"/>
      <c r="F232" s="470"/>
      <c r="G232" s="470"/>
      <c r="H232" s="10" t="str">
        <f>IF(F233=B32274,C32274,"")</f>
        <v>Enter Response</v>
      </c>
      <c r="I232" s="8"/>
      <c r="J232" s="2"/>
      <c r="K232" s="1"/>
      <c r="M232" s="11" t="str">
        <f>IF(F233=B32274,E32274,"")</f>
        <v>2</v>
      </c>
    </row>
    <row r="233" spans="1:14" ht="25.5" x14ac:dyDescent="0.2">
      <c r="A233" s="6"/>
      <c r="B233" s="9" t="s">
        <v>336</v>
      </c>
      <c r="C233" s="8"/>
      <c r="D233" s="9" t="s">
        <v>337</v>
      </c>
      <c r="E233" s="8"/>
      <c r="F233" s="5" t="s">
        <v>13</v>
      </c>
      <c r="G233" s="8" t="s">
        <v>14</v>
      </c>
      <c r="H233" s="12" t="str">
        <f>'MEDICAL DEVICE'!G6</f>
        <v>PeriWatch Vigilance</v>
      </c>
      <c r="I233" s="8"/>
      <c r="J233" s="2"/>
      <c r="K233" s="1"/>
      <c r="L233" s="4" t="s">
        <v>15</v>
      </c>
      <c r="N233" s="4" t="s">
        <v>338</v>
      </c>
    </row>
    <row r="234" spans="1:14" x14ac:dyDescent="0.2">
      <c r="A234" s="6"/>
      <c r="B234" s="470"/>
      <c r="C234" s="470"/>
      <c r="D234" s="470"/>
      <c r="E234" s="470"/>
      <c r="F234" s="470"/>
      <c r="G234" s="470"/>
      <c r="H234" s="10" t="str">
        <f>IF(F235=B32276,C32276,"")</f>
        <v>Enter Response</v>
      </c>
      <c r="I234" s="8"/>
      <c r="J234" s="2"/>
      <c r="K234" s="1"/>
      <c r="M234" s="11" t="str">
        <f>IF(F235=B32276,E32276,"")</f>
        <v>2</v>
      </c>
    </row>
    <row r="235" spans="1:14" ht="25.5" x14ac:dyDescent="0.2">
      <c r="A235" s="6"/>
      <c r="B235" s="9" t="s">
        <v>339</v>
      </c>
      <c r="C235" s="8"/>
      <c r="D235" s="9" t="s">
        <v>73</v>
      </c>
      <c r="E235" s="8"/>
      <c r="F235" s="5" t="s">
        <v>13</v>
      </c>
      <c r="G235" s="8" t="s">
        <v>14</v>
      </c>
      <c r="H235" s="12">
        <f>'MEDICAL DEVICE'!G7</f>
        <v>2021.1</v>
      </c>
      <c r="I235" s="8"/>
      <c r="J235" s="2"/>
      <c r="K235" s="1"/>
      <c r="L235" s="4" t="s">
        <v>15</v>
      </c>
      <c r="N235" s="4" t="s">
        <v>340</v>
      </c>
    </row>
    <row r="236" spans="1:14" x14ac:dyDescent="0.2">
      <c r="A236" s="6"/>
      <c r="B236" s="470"/>
      <c r="C236" s="470"/>
      <c r="D236" s="470"/>
      <c r="E236" s="470"/>
      <c r="F236" s="470"/>
      <c r="G236" s="470"/>
      <c r="H236" s="10" t="str">
        <f>IF(F237=B32278,C32278,"")</f>
        <v>Enter Response</v>
      </c>
      <c r="I236" s="8"/>
      <c r="J236" s="2"/>
      <c r="K236" s="1"/>
      <c r="M236" s="11" t="str">
        <f>IF(F237=B32278,E32278,"")</f>
        <v>2</v>
      </c>
    </row>
    <row r="237" spans="1:14" ht="25.5" x14ac:dyDescent="0.2">
      <c r="A237" s="6"/>
      <c r="B237" s="9" t="s">
        <v>341</v>
      </c>
      <c r="C237" s="8"/>
      <c r="D237" s="9" t="s">
        <v>342</v>
      </c>
      <c r="E237" s="8"/>
      <c r="F237" s="5" t="s">
        <v>13</v>
      </c>
      <c r="G237" s="8" t="s">
        <v>14</v>
      </c>
      <c r="H237" s="12" t="str">
        <f>'MEDICAL DEVICE'!G8</f>
        <v>surveillance</v>
      </c>
      <c r="I237" s="8"/>
      <c r="J237" s="2"/>
      <c r="K237" s="1"/>
      <c r="L237" s="4" t="s">
        <v>15</v>
      </c>
      <c r="N237" s="4" t="s">
        <v>343</v>
      </c>
    </row>
    <row r="238" spans="1:14" x14ac:dyDescent="0.2">
      <c r="A238" s="6"/>
      <c r="B238" s="470"/>
      <c r="C238" s="470"/>
      <c r="D238" s="470"/>
      <c r="E238" s="470"/>
      <c r="F238" s="470"/>
      <c r="G238" s="470"/>
      <c r="H238" s="10" t="str">
        <f>IF(F239=B32280,C32280,"")</f>
        <v>Enter Response</v>
      </c>
      <c r="I238" s="8"/>
      <c r="J238" s="2"/>
      <c r="K238" s="1"/>
      <c r="M238" s="11" t="str">
        <f>IF(F239=B32280,E32280,"")</f>
        <v>2</v>
      </c>
    </row>
    <row r="239" spans="1:14" ht="25.5" x14ac:dyDescent="0.2">
      <c r="A239" s="6"/>
      <c r="B239" s="9" t="s">
        <v>344</v>
      </c>
      <c r="C239" s="8"/>
      <c r="D239" s="9" t="s">
        <v>345</v>
      </c>
      <c r="E239" s="8"/>
      <c r="F239" s="28" t="s">
        <v>13</v>
      </c>
      <c r="G239" s="8" t="s">
        <v>14</v>
      </c>
      <c r="H239" s="12" t="str">
        <f>'MEDICAL DEVICE'!G9</f>
        <v>Obstetrical early warning</v>
      </c>
      <c r="I239" s="8"/>
      <c r="J239" s="2"/>
      <c r="K239" s="1"/>
      <c r="L239" s="4" t="s">
        <v>15</v>
      </c>
      <c r="N239" s="4" t="s">
        <v>346</v>
      </c>
    </row>
    <row r="240" spans="1:14" x14ac:dyDescent="0.2">
      <c r="A240" s="6"/>
      <c r="B240" s="470"/>
      <c r="C240" s="470"/>
      <c r="D240" s="470"/>
      <c r="E240" s="470"/>
      <c r="F240" s="470"/>
      <c r="G240" s="470"/>
      <c r="H240" s="10" t="str">
        <f>IF(F241=B32284,C32284,"")</f>
        <v/>
      </c>
      <c r="I240" s="8"/>
      <c r="J240" s="2"/>
      <c r="K240" s="1"/>
      <c r="M240" s="11" t="str">
        <f>IF(F241=B32284,E32284,"")</f>
        <v/>
      </c>
    </row>
    <row r="241" spans="1:14" ht="51" x14ac:dyDescent="0.2">
      <c r="A241" s="6"/>
      <c r="B241" s="9" t="s">
        <v>347</v>
      </c>
      <c r="C241" s="8"/>
      <c r="D241" s="30" t="s">
        <v>348</v>
      </c>
      <c r="E241" s="8"/>
      <c r="F241" s="12" t="str">
        <f>'MEDICAL DEVICE'!G11</f>
        <v>Yes</v>
      </c>
      <c r="G241" s="8" t="s">
        <v>14</v>
      </c>
      <c r="H241" s="12"/>
      <c r="I241" s="8"/>
      <c r="J241" s="2"/>
      <c r="K241" s="1"/>
      <c r="L241" s="4" t="s">
        <v>15</v>
      </c>
      <c r="N241" s="4" t="s">
        <v>349</v>
      </c>
    </row>
    <row r="242" spans="1:14" x14ac:dyDescent="0.2">
      <c r="A242" s="6"/>
      <c r="B242" s="470"/>
      <c r="C242" s="470"/>
      <c r="D242" s="470"/>
      <c r="E242" s="470"/>
      <c r="F242" s="470"/>
      <c r="G242" s="470"/>
      <c r="H242" s="10" t="str">
        <f>IF(F243=B32288,C32288,"")</f>
        <v/>
      </c>
      <c r="I242" s="8"/>
      <c r="J242" s="2"/>
      <c r="K242" s="1"/>
      <c r="M242" s="11" t="str">
        <f>IF(F243=B32288,E32288,"")</f>
        <v/>
      </c>
    </row>
    <row r="243" spans="1:14" ht="25.5" x14ac:dyDescent="0.2">
      <c r="A243" s="6"/>
      <c r="B243" s="9" t="s">
        <v>350</v>
      </c>
      <c r="C243" s="8"/>
      <c r="D243" s="9" t="s">
        <v>351</v>
      </c>
      <c r="E243" s="8"/>
      <c r="F243" s="12" t="str">
        <f>'MEDICAL DEVICE'!G12</f>
        <v>more than 1,000</v>
      </c>
      <c r="G243" s="8" t="s">
        <v>14</v>
      </c>
      <c r="H243" s="12">
        <f>'MEDICAL DEVICE'!G13</f>
        <v>0</v>
      </c>
      <c r="I243" s="8"/>
      <c r="J243" s="2"/>
      <c r="K243" s="1"/>
      <c r="L243" s="4" t="s">
        <v>15</v>
      </c>
      <c r="N243" s="4" t="s">
        <v>352</v>
      </c>
    </row>
    <row r="244" spans="1:14" x14ac:dyDescent="0.2">
      <c r="A244" s="6"/>
      <c r="B244" s="470"/>
      <c r="C244" s="470"/>
      <c r="D244" s="470"/>
      <c r="E244" s="470"/>
      <c r="F244" s="470"/>
      <c r="G244" s="470"/>
      <c r="H244" s="10" t="str">
        <f>IF(F245=B32289,C32289,"")&amp;IF(F245=B32291,C32291,"")</f>
        <v/>
      </c>
      <c r="I244" s="8"/>
      <c r="J244" s="2"/>
      <c r="K244" s="1"/>
      <c r="M244" s="11" t="str">
        <f>IF(F245=B32289,E32289,"")&amp;IF(F245=B32291,E32291,"")</f>
        <v/>
      </c>
    </row>
    <row r="245" spans="1:14" ht="25.5" x14ac:dyDescent="0.2">
      <c r="A245" s="6"/>
      <c r="B245" s="9" t="s">
        <v>353</v>
      </c>
      <c r="C245" s="8"/>
      <c r="D245" s="30" t="s">
        <v>354</v>
      </c>
      <c r="E245" s="8"/>
      <c r="F245" s="12" t="str">
        <f>'MEDICAL DEVICE'!G14</f>
        <v>Yes</v>
      </c>
      <c r="G245" s="8" t="s">
        <v>14</v>
      </c>
      <c r="H245" s="12">
        <f>'MEDICAL DEVICE'!I14</f>
        <v>0</v>
      </c>
      <c r="I245" s="8"/>
      <c r="J245" s="2"/>
      <c r="K245" s="1"/>
      <c r="L245" s="4" t="s">
        <v>15</v>
      </c>
      <c r="N245" s="4" t="s">
        <v>355</v>
      </c>
    </row>
    <row r="246" spans="1:14" x14ac:dyDescent="0.2">
      <c r="A246" s="6"/>
      <c r="B246" s="470"/>
      <c r="C246" s="470"/>
      <c r="D246" s="470"/>
      <c r="E246" s="470"/>
      <c r="F246" s="470"/>
      <c r="G246" s="470"/>
      <c r="H246" s="10" t="str">
        <f>IF(F247=B32293,C32293,"")</f>
        <v/>
      </c>
      <c r="I246" s="8"/>
      <c r="J246" s="2"/>
      <c r="K246" s="1"/>
      <c r="M246" s="11" t="str">
        <f>IF(F247=B32293,E32293,"")</f>
        <v/>
      </c>
    </row>
    <row r="247" spans="1:14" ht="38.25" x14ac:dyDescent="0.2">
      <c r="A247" s="6"/>
      <c r="B247" s="9" t="s">
        <v>356</v>
      </c>
      <c r="C247" s="8"/>
      <c r="D247" s="9" t="s">
        <v>357</v>
      </c>
      <c r="E247" s="8"/>
      <c r="F247" s="28" t="s">
        <v>358</v>
      </c>
      <c r="G247" s="8" t="s">
        <v>14</v>
      </c>
      <c r="H247" s="12"/>
      <c r="I247" s="8"/>
      <c r="J247" s="13" t="str">
        <f>IF(F247=B32292,D32292,"")</f>
        <v>Please Attach device MSDS2 form (or email to your NYP contact)</v>
      </c>
      <c r="K247" s="1"/>
      <c r="L247" s="4" t="s">
        <v>15</v>
      </c>
      <c r="N247" s="4" t="s">
        <v>359</v>
      </c>
    </row>
    <row r="248" spans="1:14" x14ac:dyDescent="0.2">
      <c r="A248" s="6"/>
      <c r="B248" s="470"/>
      <c r="C248" s="470"/>
      <c r="D248" s="470"/>
      <c r="E248" s="470"/>
      <c r="F248" s="470"/>
      <c r="G248" s="470"/>
      <c r="H248" s="10" t="str">
        <f>IF(F249=B32294,C32294,"")</f>
        <v>Enter Response</v>
      </c>
      <c r="I248" s="8"/>
      <c r="J248" s="2"/>
      <c r="K248" s="1"/>
      <c r="M248" s="11" t="str">
        <f>IF(F249=B32294,E32294,"")</f>
        <v>2</v>
      </c>
    </row>
    <row r="249" spans="1:14" ht="25.5" x14ac:dyDescent="0.2">
      <c r="A249" s="6"/>
      <c r="B249" s="9" t="s">
        <v>360</v>
      </c>
      <c r="C249" s="8"/>
      <c r="D249" s="9" t="s">
        <v>154</v>
      </c>
      <c r="E249" s="8"/>
      <c r="F249" s="5" t="s">
        <v>13</v>
      </c>
      <c r="G249" s="8" t="s">
        <v>14</v>
      </c>
      <c r="H249" s="12" t="str">
        <f>'MEDICAL DEVICE'!G17</f>
        <v>Windows Server 2019</v>
      </c>
      <c r="I249" s="8"/>
      <c r="J249" s="2"/>
      <c r="K249" s="1"/>
      <c r="L249" s="4" t="s">
        <v>15</v>
      </c>
      <c r="N249" s="4" t="s">
        <v>361</v>
      </c>
    </row>
    <row r="250" spans="1:14" x14ac:dyDescent="0.2">
      <c r="A250" s="6"/>
      <c r="B250" s="470"/>
      <c r="C250" s="470"/>
      <c r="D250" s="470"/>
      <c r="E250" s="470"/>
      <c r="F250" s="470"/>
      <c r="G250" s="470"/>
      <c r="H250" s="10" t="str">
        <f>IF(F251=B32296,C32296,"")</f>
        <v>Enter Response</v>
      </c>
      <c r="I250" s="8"/>
      <c r="J250" s="2"/>
      <c r="K250" s="1"/>
      <c r="M250" s="11" t="str">
        <f>IF(F251=B32296,E32296,"")</f>
        <v>2</v>
      </c>
    </row>
    <row r="251" spans="1:14" ht="38.25" x14ac:dyDescent="0.2">
      <c r="A251" s="6"/>
      <c r="B251" s="9" t="s">
        <v>362</v>
      </c>
      <c r="C251" s="8"/>
      <c r="D251" s="9" t="s">
        <v>363</v>
      </c>
      <c r="E251" s="8"/>
      <c r="F251" s="5" t="s">
        <v>13</v>
      </c>
      <c r="G251" s="8" t="s">
        <v>14</v>
      </c>
      <c r="H251" s="12" t="str">
        <f>'MEDICAL DEVICE'!G18</f>
        <v>NA</v>
      </c>
      <c r="I251" s="8"/>
      <c r="J251" s="2"/>
      <c r="K251" s="1"/>
      <c r="L251" s="4" t="s">
        <v>15</v>
      </c>
      <c r="N251" s="4" t="s">
        <v>364</v>
      </c>
    </row>
    <row r="252" spans="1:14" x14ac:dyDescent="0.2">
      <c r="A252" s="6"/>
      <c r="B252" s="470"/>
      <c r="C252" s="470"/>
      <c r="D252" s="470"/>
      <c r="E252" s="470"/>
      <c r="F252" s="470"/>
      <c r="G252" s="470"/>
      <c r="H252" s="10" t="str">
        <f>IF(F253=B32298,C32298,"")&amp;IF(F253=B32300,C32300,"")</f>
        <v>Comments:</v>
      </c>
      <c r="I252" s="8"/>
      <c r="J252" s="2"/>
      <c r="K252" s="1"/>
      <c r="M252" s="11" t="str">
        <f>IF(F253=B32298,E32298,"")&amp;IF(F253=B32300,E32300,"")</f>
        <v>1</v>
      </c>
    </row>
    <row r="253" spans="1:14" ht="25.5" x14ac:dyDescent="0.2">
      <c r="A253" s="6"/>
      <c r="B253" s="9" t="s">
        <v>365</v>
      </c>
      <c r="C253" s="8"/>
      <c r="D253" s="9" t="s">
        <v>366</v>
      </c>
      <c r="E253" s="8"/>
      <c r="F253" s="12" t="str">
        <f>'MEDICAL DEVICE'!G21</f>
        <v>N/A</v>
      </c>
      <c r="G253" s="8" t="s">
        <v>14</v>
      </c>
      <c r="H253" s="12" t="str">
        <f>'MEDICAL DEVICE'!I21</f>
        <v>Provided/configured by the customer</v>
      </c>
      <c r="I253" s="8"/>
      <c r="J253" s="2"/>
      <c r="K253" s="1"/>
      <c r="L253" s="4" t="s">
        <v>15</v>
      </c>
      <c r="N253" s="4" t="s">
        <v>367</v>
      </c>
    </row>
    <row r="254" spans="1:14" x14ac:dyDescent="0.2">
      <c r="A254" s="6"/>
      <c r="B254" s="470"/>
      <c r="C254" s="470"/>
      <c r="D254" s="470"/>
      <c r="E254" s="470"/>
      <c r="F254" s="470"/>
      <c r="G254" s="470"/>
      <c r="H254" s="10" t="str">
        <f>IF(F255=B32301,C32301,"")&amp;IF(F255=B32303,C32303,"")</f>
        <v>Comments:</v>
      </c>
      <c r="I254" s="8"/>
      <c r="J254" s="2"/>
      <c r="K254" s="1"/>
      <c r="M254" s="11" t="str">
        <f>IF(F255=B32301,E32301,"")&amp;IF(F255=B32303,E32303,"")</f>
        <v>1</v>
      </c>
    </row>
    <row r="255" spans="1:14" ht="38.25" x14ac:dyDescent="0.2">
      <c r="A255" s="6"/>
      <c r="B255" s="9" t="s">
        <v>368</v>
      </c>
      <c r="C255" s="8"/>
      <c r="D255" s="9" t="s">
        <v>369</v>
      </c>
      <c r="E255" s="8"/>
      <c r="F255" s="12" t="str">
        <f>'MEDICAL DEVICE'!G23</f>
        <v>N/A</v>
      </c>
      <c r="G255" s="8" t="s">
        <v>14</v>
      </c>
      <c r="H255" s="12" t="str">
        <f>'MEDICAL DEVICE'!I23</f>
        <v>Provided/configured by the customer</v>
      </c>
      <c r="I255" s="8"/>
      <c r="J255" s="2"/>
      <c r="K255" s="1"/>
      <c r="L255" s="4" t="s">
        <v>15</v>
      </c>
      <c r="N255" s="4" t="s">
        <v>370</v>
      </c>
    </row>
    <row r="256" spans="1:14" x14ac:dyDescent="0.2">
      <c r="A256" s="6"/>
      <c r="B256" s="470"/>
      <c r="C256" s="470"/>
      <c r="D256" s="470"/>
      <c r="E256" s="470"/>
      <c r="F256" s="470"/>
      <c r="G256" s="470"/>
      <c r="H256" s="10" t="str">
        <f>IF(F257=B32304,C32304,"")&amp;IF(F257=B32306,C32306,"")</f>
        <v>Comments:</v>
      </c>
      <c r="I256" s="8"/>
      <c r="J256" s="2"/>
      <c r="K256" s="1"/>
      <c r="M256" s="11" t="str">
        <f>IF(F257=B32304,E32304,"")&amp;IF(F257=B32306,E32306,"")</f>
        <v>1</v>
      </c>
    </row>
    <row r="257" spans="1:14" ht="25.5" x14ac:dyDescent="0.2">
      <c r="A257" s="6"/>
      <c r="B257" s="9" t="s">
        <v>371</v>
      </c>
      <c r="C257" s="8"/>
      <c r="D257" s="9" t="s">
        <v>372</v>
      </c>
      <c r="E257" s="8"/>
      <c r="F257" s="12" t="str">
        <f>'MEDICAL DEVICE'!G25</f>
        <v>N/A</v>
      </c>
      <c r="G257" s="8" t="s">
        <v>14</v>
      </c>
      <c r="H257" s="12" t="str">
        <f>'MEDICAL DEVICE'!I25</f>
        <v>Provided/configured by the customer</v>
      </c>
      <c r="I257" s="8"/>
      <c r="J257" s="2"/>
      <c r="K257" s="1"/>
      <c r="L257" s="4" t="s">
        <v>15</v>
      </c>
      <c r="N257" s="4" t="s">
        <v>373</v>
      </c>
    </row>
    <row r="258" spans="1:14" x14ac:dyDescent="0.2">
      <c r="A258" s="6"/>
      <c r="B258" s="470"/>
      <c r="C258" s="470"/>
      <c r="D258" s="470"/>
      <c r="E258" s="470"/>
      <c r="F258" s="470"/>
      <c r="G258" s="470"/>
      <c r="H258" s="10" t="str">
        <f>IF(F259=B32307,C32307,"")&amp;IF(F259=B32309,C32309,"")</f>
        <v>Comments:</v>
      </c>
      <c r="I258" s="8"/>
      <c r="J258" s="2"/>
      <c r="K258" s="1"/>
      <c r="M258" s="11" t="str">
        <f>IF(F259=B32307,E32307,"")&amp;IF(F259=B32309,E32309,"")</f>
        <v>1</v>
      </c>
    </row>
    <row r="259" spans="1:14" ht="38.25" x14ac:dyDescent="0.2">
      <c r="A259" s="6"/>
      <c r="B259" s="9" t="s">
        <v>374</v>
      </c>
      <c r="C259" s="8"/>
      <c r="D259" s="9" t="s">
        <v>375</v>
      </c>
      <c r="E259" s="8"/>
      <c r="F259" s="12" t="str">
        <f>'MEDICAL DEVICE'!G27</f>
        <v>N/A</v>
      </c>
      <c r="G259" s="8" t="s">
        <v>14</v>
      </c>
      <c r="H259" s="12" t="str">
        <f>'MEDICAL DEVICE'!I27</f>
        <v>Provided/configured by the customer</v>
      </c>
      <c r="I259" s="8"/>
      <c r="J259" s="2"/>
      <c r="K259" s="1"/>
      <c r="L259" s="4" t="s">
        <v>15</v>
      </c>
      <c r="N259" s="4" t="s">
        <v>376</v>
      </c>
    </row>
    <row r="260" spans="1:14" x14ac:dyDescent="0.2">
      <c r="A260" s="6"/>
      <c r="B260" s="470"/>
      <c r="C260" s="470"/>
      <c r="D260" s="470"/>
      <c r="E260" s="470"/>
      <c r="F260" s="470"/>
      <c r="G260" s="470"/>
      <c r="H260" s="10" t="str">
        <f>IF(F261=B32310,C32310,"")&amp;IF(F261=B32312,C32312,"")</f>
        <v>Comments:</v>
      </c>
      <c r="I260" s="8"/>
      <c r="J260" s="2"/>
      <c r="K260" s="1"/>
      <c r="M260" s="11" t="str">
        <f>IF(F261=B32310,E32310,"")&amp;IF(F261=B32312,E32312,"")</f>
        <v>1</v>
      </c>
    </row>
    <row r="261" spans="1:14" ht="38.25" x14ac:dyDescent="0.2">
      <c r="A261" s="6"/>
      <c r="B261" s="9" t="s">
        <v>377</v>
      </c>
      <c r="C261" s="8"/>
      <c r="D261" s="9" t="s">
        <v>378</v>
      </c>
      <c r="E261" s="8"/>
      <c r="F261" s="12" t="str">
        <f>'MEDICAL DEVICE'!G29</f>
        <v>N/A</v>
      </c>
      <c r="G261" s="8" t="s">
        <v>14</v>
      </c>
      <c r="H261" s="12" t="str">
        <f>'MEDICAL DEVICE'!I29</f>
        <v>Provided/configured by the customer</v>
      </c>
      <c r="I261" s="8"/>
      <c r="J261" s="2"/>
      <c r="K261" s="1"/>
      <c r="L261" s="4" t="s">
        <v>15</v>
      </c>
      <c r="N261" s="4" t="s">
        <v>379</v>
      </c>
    </row>
    <row r="262" spans="1:14" x14ac:dyDescent="0.2">
      <c r="A262" s="6"/>
      <c r="B262" s="470"/>
      <c r="C262" s="470"/>
      <c r="D262" s="470"/>
      <c r="E262" s="470"/>
      <c r="F262" s="470"/>
      <c r="G262" s="470"/>
      <c r="H262" s="10" t="str">
        <f>IF(F263=B32313,C32313,"")&amp;IF(F263=B32315,C32315,"")</f>
        <v>Comments:</v>
      </c>
      <c r="I262" s="8"/>
      <c r="J262" s="2"/>
      <c r="K262" s="1"/>
      <c r="M262" s="11" t="str">
        <f>IF(F263=B32313,E32313,"")&amp;IF(F263=B32315,E32315,"")</f>
        <v>1</v>
      </c>
    </row>
    <row r="263" spans="1:14" ht="25.5" x14ac:dyDescent="0.2">
      <c r="A263" s="6"/>
      <c r="B263" s="9" t="s">
        <v>380</v>
      </c>
      <c r="C263" s="8"/>
      <c r="D263" s="9" t="s">
        <v>381</v>
      </c>
      <c r="E263" s="8"/>
      <c r="F263" s="12" t="str">
        <f>'MEDICAL DEVICE'!G31</f>
        <v>N/A</v>
      </c>
      <c r="G263" s="8" t="s">
        <v>14</v>
      </c>
      <c r="H263" s="12" t="str">
        <f>'MEDICAL DEVICE'!I31</f>
        <v>Provided/configured by the customer</v>
      </c>
      <c r="I263" s="8"/>
      <c r="J263" s="2"/>
      <c r="K263" s="1"/>
      <c r="L263" s="4" t="s">
        <v>15</v>
      </c>
      <c r="N263" s="4" t="s">
        <v>382</v>
      </c>
    </row>
    <row r="264" spans="1:14" x14ac:dyDescent="0.2">
      <c r="A264" s="6"/>
      <c r="B264" s="470"/>
      <c r="C264" s="470"/>
      <c r="D264" s="470"/>
      <c r="E264" s="470"/>
      <c r="F264" s="470"/>
      <c r="G264" s="470"/>
      <c r="H264" s="10" t="str">
        <f>IF(F265=B32316,C32316,"")&amp;IF(F265=B32318,C32318,"")</f>
        <v>Comments:</v>
      </c>
      <c r="I264" s="8"/>
      <c r="J264" s="2"/>
      <c r="K264" s="1"/>
      <c r="M264" s="11" t="str">
        <f>IF(F265=B32316,E32316,"")&amp;IF(F265=B32318,E32318,"")</f>
        <v>1</v>
      </c>
    </row>
    <row r="265" spans="1:14" ht="38.25" x14ac:dyDescent="0.2">
      <c r="A265" s="6"/>
      <c r="B265" s="9" t="s">
        <v>383</v>
      </c>
      <c r="C265" s="8"/>
      <c r="D265" s="9" t="s">
        <v>384</v>
      </c>
      <c r="E265" s="8"/>
      <c r="F265" s="12" t="str">
        <f>'MEDICAL DEVICE'!G33</f>
        <v>N/A</v>
      </c>
      <c r="G265" s="8" t="s">
        <v>14</v>
      </c>
      <c r="H265" s="12" t="str">
        <f>'MEDICAL DEVICE'!I33</f>
        <v>Provided/configured by the customer</v>
      </c>
      <c r="I265" s="8"/>
      <c r="J265" s="2"/>
      <c r="K265" s="1"/>
      <c r="L265" s="4" t="s">
        <v>15</v>
      </c>
      <c r="N265" s="4" t="s">
        <v>385</v>
      </c>
    </row>
    <row r="266" spans="1:14" x14ac:dyDescent="0.2">
      <c r="A266" s="6"/>
      <c r="B266" s="470"/>
      <c r="C266" s="470"/>
      <c r="D266" s="470"/>
      <c r="E266" s="470"/>
      <c r="F266" s="470"/>
      <c r="G266" s="470"/>
      <c r="H266" s="10" t="str">
        <f>IF(F267=B32319,C32319,"")&amp;IF(F267=B32321,C32321,"")</f>
        <v>Comments:</v>
      </c>
      <c r="I266" s="8"/>
      <c r="J266" s="2"/>
      <c r="K266" s="1"/>
      <c r="M266" s="11" t="str">
        <f>IF(F267=B32319,E32319,"")&amp;IF(F267=B32321,E32321,"")</f>
        <v>1</v>
      </c>
    </row>
    <row r="267" spans="1:14" ht="51" x14ac:dyDescent="0.2">
      <c r="A267" s="6"/>
      <c r="B267" s="9" t="s">
        <v>386</v>
      </c>
      <c r="C267" s="8"/>
      <c r="D267" s="9" t="s">
        <v>387</v>
      </c>
      <c r="E267" s="8"/>
      <c r="F267" s="12" t="str">
        <f>'MEDICAL DEVICE'!G35</f>
        <v>N/A</v>
      </c>
      <c r="G267" s="8" t="s">
        <v>14</v>
      </c>
      <c r="H267" s="12" t="str">
        <f>'MEDICAL DEVICE'!I35</f>
        <v>Provided/configured by the customer</v>
      </c>
      <c r="I267" s="8"/>
      <c r="J267" s="2"/>
      <c r="K267" s="1"/>
      <c r="L267" s="4" t="s">
        <v>15</v>
      </c>
      <c r="N267" s="4" t="s">
        <v>388</v>
      </c>
    </row>
    <row r="268" spans="1:14" x14ac:dyDescent="0.2">
      <c r="A268" s="6"/>
      <c r="B268" s="470"/>
      <c r="C268" s="470"/>
      <c r="D268" s="470"/>
      <c r="E268" s="470"/>
      <c r="F268" s="470"/>
      <c r="G268" s="470"/>
      <c r="H268" s="10" t="str">
        <f>IF(F269=B32322,C32322,"")&amp;IF(F269=B32324,C32324,"")</f>
        <v>Comments:</v>
      </c>
      <c r="I268" s="8"/>
      <c r="J268" s="2"/>
      <c r="K268" s="1"/>
      <c r="M268" s="11" t="str">
        <f>IF(F269=B32322,E32322,"")&amp;IF(F269=B32324,E32324,"")</f>
        <v>1</v>
      </c>
    </row>
    <row r="269" spans="1:14" ht="38.25" x14ac:dyDescent="0.2">
      <c r="A269" s="6"/>
      <c r="B269" s="9" t="s">
        <v>389</v>
      </c>
      <c r="C269" s="8"/>
      <c r="D269" s="9" t="s">
        <v>390</v>
      </c>
      <c r="E269" s="8"/>
      <c r="F269" s="12" t="str">
        <f>'MEDICAL DEVICE'!G37</f>
        <v>N/A</v>
      </c>
      <c r="G269" s="8" t="s">
        <v>14</v>
      </c>
      <c r="H269" s="12" t="str">
        <f>'MEDICAL DEVICE'!I37</f>
        <v>PeriGen assumes the customer provides a pre-configured VM with all the above configured according to customer IT policies</v>
      </c>
      <c r="I269" s="8"/>
      <c r="J269" s="2"/>
      <c r="K269" s="1"/>
      <c r="L269" s="4" t="s">
        <v>15</v>
      </c>
      <c r="N269" s="4" t="s">
        <v>391</v>
      </c>
    </row>
    <row r="270" spans="1:14" x14ac:dyDescent="0.2">
      <c r="A270" s="6"/>
      <c r="B270" s="470"/>
      <c r="C270" s="470"/>
      <c r="D270" s="470"/>
      <c r="E270" s="470"/>
      <c r="F270" s="470"/>
      <c r="G270" s="470"/>
      <c r="H270" s="10" t="str">
        <f>IF(F271=B32327,C32327,"")</f>
        <v/>
      </c>
      <c r="I270" s="8"/>
      <c r="J270" s="2"/>
      <c r="K270" s="1"/>
      <c r="M270" s="11" t="str">
        <f>IF(F271=B32327,E32327,"")</f>
        <v/>
      </c>
    </row>
    <row r="271" spans="1:14" ht="38.25" x14ac:dyDescent="0.2">
      <c r="A271" s="6"/>
      <c r="B271" s="9" t="s">
        <v>392</v>
      </c>
      <c r="C271" s="8"/>
      <c r="D271" s="9" t="s">
        <v>393</v>
      </c>
      <c r="E271" s="8"/>
      <c r="F271" s="12" t="str">
        <f>'MEDICAL DEVICE'!G40</f>
        <v>No</v>
      </c>
      <c r="G271" s="8" t="s">
        <v>14</v>
      </c>
      <c r="H271" s="12" t="str">
        <f>'MEDICAL DEVICE'!I40</f>
        <v>The device is software only and running on the customer provided VM which include local network connectivity.</v>
      </c>
      <c r="I271" s="8"/>
      <c r="J271" s="2"/>
      <c r="K271" s="1"/>
      <c r="L271" s="4" t="s">
        <v>15</v>
      </c>
      <c r="N271" s="4" t="s">
        <v>394</v>
      </c>
    </row>
    <row r="272" spans="1:14" x14ac:dyDescent="0.2">
      <c r="A272" s="6"/>
      <c r="B272" s="470"/>
      <c r="C272" s="470"/>
      <c r="D272" s="470"/>
      <c r="E272" s="470"/>
      <c r="F272" s="470"/>
      <c r="G272" s="470"/>
      <c r="H272" s="10" t="str">
        <f>IF(F273=B32330,C32330,"")</f>
        <v/>
      </c>
      <c r="I272" s="8"/>
      <c r="J272" s="2"/>
      <c r="K272" s="1"/>
      <c r="M272" s="11" t="str">
        <f>IF(F273=B32330,E32330,"")</f>
        <v/>
      </c>
    </row>
    <row r="273" spans="1:14" ht="38.25" x14ac:dyDescent="0.2">
      <c r="A273" s="6"/>
      <c r="B273" s="9" t="s">
        <v>395</v>
      </c>
      <c r="C273" s="8"/>
      <c r="D273" s="30" t="s">
        <v>396</v>
      </c>
      <c r="E273" s="8"/>
      <c r="F273" s="12" t="str">
        <f>'MEDICAL DEVICE'!G42</f>
        <v>Yes</v>
      </c>
      <c r="G273" s="8" t="s">
        <v>14</v>
      </c>
      <c r="H273" s="12">
        <f>'MEDICAL DEVICE'!I42</f>
        <v>0</v>
      </c>
      <c r="I273" s="8"/>
      <c r="J273" s="2"/>
      <c r="K273" s="1"/>
      <c r="L273" s="4" t="s">
        <v>15</v>
      </c>
      <c r="N273" s="4" t="s">
        <v>397</v>
      </c>
    </row>
    <row r="274" spans="1:14" x14ac:dyDescent="0.2">
      <c r="A274" s="6"/>
      <c r="B274" s="470"/>
      <c r="C274" s="470"/>
      <c r="D274" s="470"/>
      <c r="E274" s="470"/>
      <c r="F274" s="470"/>
      <c r="G274" s="470"/>
      <c r="H274" s="10" t="str">
        <f>IF(F275=B32333,C32333,"")</f>
        <v/>
      </c>
      <c r="I274" s="8"/>
      <c r="J274" s="2"/>
      <c r="K274" s="1"/>
      <c r="M274" s="11" t="str">
        <f>IF(F275=B32333,E32333,"")</f>
        <v/>
      </c>
    </row>
    <row r="275" spans="1:14" ht="38.25" x14ac:dyDescent="0.2">
      <c r="A275" s="6"/>
      <c r="B275" s="9" t="s">
        <v>398</v>
      </c>
      <c r="C275" s="8"/>
      <c r="D275" s="30" t="s">
        <v>399</v>
      </c>
      <c r="E275" s="8"/>
      <c r="F275" s="12" t="str">
        <f>'MEDICAL DEVICE'!G44</f>
        <v>No</v>
      </c>
      <c r="G275" s="8" t="s">
        <v>14</v>
      </c>
      <c r="H275" s="12">
        <f>'MEDICAL DEVICE'!I44</f>
        <v>0</v>
      </c>
      <c r="I275" s="8"/>
      <c r="J275" s="2"/>
      <c r="K275" s="1"/>
      <c r="L275" s="4" t="s">
        <v>15</v>
      </c>
      <c r="N275" s="4" t="s">
        <v>400</v>
      </c>
    </row>
    <row r="276" spans="1:14" x14ac:dyDescent="0.2">
      <c r="A276" s="6"/>
      <c r="B276" s="470"/>
      <c r="C276" s="470"/>
      <c r="D276" s="470"/>
      <c r="E276" s="470"/>
      <c r="F276" s="470"/>
      <c r="G276" s="470"/>
      <c r="H276" s="10" t="str">
        <f>IF(F277=B32336,C32336,"")</f>
        <v/>
      </c>
      <c r="I276" s="8"/>
      <c r="J276" s="2"/>
      <c r="K276" s="1"/>
      <c r="M276" s="11" t="str">
        <f>IF(F277=B32336,E32336,"")</f>
        <v/>
      </c>
    </row>
    <row r="277" spans="1:14" ht="38.25" x14ac:dyDescent="0.2">
      <c r="A277" s="6"/>
      <c r="B277" s="9" t="s">
        <v>401</v>
      </c>
      <c r="C277" s="8"/>
      <c r="D277" s="9" t="s">
        <v>402</v>
      </c>
      <c r="E277" s="8"/>
      <c r="F277" s="12" t="str">
        <f>'MEDICAL DEVICE'!G46</f>
        <v>No</v>
      </c>
      <c r="G277" s="8" t="s">
        <v>14</v>
      </c>
      <c r="H277" s="12" t="str">
        <f>'MEDICAL DEVICE'!I46</f>
        <v>The device is software only and running on the customer provided VM which include local network connectivity.</v>
      </c>
      <c r="I277" s="8"/>
      <c r="J277" s="2"/>
      <c r="K277" s="1"/>
      <c r="L277" s="4" t="s">
        <v>15</v>
      </c>
      <c r="N277" s="4" t="s">
        <v>403</v>
      </c>
    </row>
    <row r="278" spans="1:14" x14ac:dyDescent="0.2">
      <c r="A278" s="6"/>
      <c r="B278" s="470"/>
      <c r="C278" s="470"/>
      <c r="D278" s="470"/>
      <c r="E278" s="470"/>
      <c r="F278" s="470"/>
      <c r="G278" s="470"/>
      <c r="H278" s="10" t="str">
        <f>IF(F279=B32339,C32339,"")</f>
        <v/>
      </c>
      <c r="I278" s="8"/>
      <c r="J278" s="2"/>
      <c r="K278" s="1"/>
      <c r="M278" s="11" t="str">
        <f>IF(F279=B32339,E32339,"")</f>
        <v/>
      </c>
    </row>
    <row r="279" spans="1:14" ht="38.25" x14ac:dyDescent="0.2">
      <c r="A279" s="6"/>
      <c r="B279" s="9" t="s">
        <v>404</v>
      </c>
      <c r="C279" s="8"/>
      <c r="D279" s="9" t="s">
        <v>405</v>
      </c>
      <c r="E279" s="8"/>
      <c r="F279" s="12" t="str">
        <f>'MEDICAL DEVICE'!G48</f>
        <v>Yes</v>
      </c>
      <c r="G279" s="8" t="s">
        <v>14</v>
      </c>
      <c r="H279" s="12">
        <f>'MEDICAL DEVICE'!I48</f>
        <v>0</v>
      </c>
      <c r="I279" s="8"/>
      <c r="J279" s="2"/>
      <c r="K279" s="1"/>
      <c r="L279" s="4" t="s">
        <v>15</v>
      </c>
      <c r="N279" s="4" t="s">
        <v>406</v>
      </c>
    </row>
    <row r="280" spans="1:14" x14ac:dyDescent="0.2">
      <c r="A280" s="6"/>
      <c r="B280" s="470"/>
      <c r="C280" s="470"/>
      <c r="D280" s="470"/>
      <c r="E280" s="470"/>
      <c r="F280" s="470"/>
      <c r="G280" s="470"/>
      <c r="H280" s="10" t="str">
        <f>IF(F281=B32342,C32342,"")</f>
        <v/>
      </c>
      <c r="I280" s="8"/>
      <c r="J280" s="2"/>
      <c r="K280" s="1"/>
      <c r="M280" s="11" t="str">
        <f>IF(F281=B32342,E32342,"")</f>
        <v/>
      </c>
    </row>
    <row r="281" spans="1:14" ht="38.25" x14ac:dyDescent="0.2">
      <c r="A281" s="6"/>
      <c r="B281" s="9" t="s">
        <v>407</v>
      </c>
      <c r="C281" s="8"/>
      <c r="D281" s="9" t="s">
        <v>408</v>
      </c>
      <c r="E281" s="8"/>
      <c r="F281" s="12" t="str">
        <f>'MEDICAL DEVICE'!G50</f>
        <v>No</v>
      </c>
      <c r="G281" s="8" t="s">
        <v>14</v>
      </c>
      <c r="H281" s="12" t="str">
        <f>'MEDICAL DEVICE'!I50</f>
        <v>Not required</v>
      </c>
      <c r="I281" s="8"/>
      <c r="J281" s="2"/>
      <c r="K281" s="1"/>
      <c r="L281" s="4" t="s">
        <v>15</v>
      </c>
      <c r="N281" s="4" t="s">
        <v>409</v>
      </c>
    </row>
    <row r="282" spans="1:14" x14ac:dyDescent="0.2">
      <c r="A282" s="6"/>
      <c r="B282" s="470"/>
      <c r="C282" s="470"/>
      <c r="D282" s="470"/>
      <c r="E282" s="470"/>
      <c r="F282" s="470"/>
      <c r="G282" s="470"/>
      <c r="H282" s="10" t="str">
        <f>IF(F283=B32345,C32345,"")</f>
        <v/>
      </c>
      <c r="I282" s="8"/>
      <c r="J282" s="2"/>
      <c r="K282" s="1"/>
      <c r="M282" s="11" t="str">
        <f>IF(F283=B32345,E32345,"")</f>
        <v/>
      </c>
    </row>
    <row r="283" spans="1:14" ht="38.25" x14ac:dyDescent="0.2">
      <c r="A283" s="6"/>
      <c r="B283" s="9" t="s">
        <v>410</v>
      </c>
      <c r="C283" s="8"/>
      <c r="D283" s="9" t="s">
        <v>411</v>
      </c>
      <c r="E283" s="8"/>
      <c r="F283" s="12">
        <f>'MEDICAL DEVICE'!G52</f>
        <v>0</v>
      </c>
      <c r="G283" s="8" t="s">
        <v>14</v>
      </c>
      <c r="H283" s="12">
        <f>'MEDICAL DEVICE'!I52</f>
        <v>0</v>
      </c>
      <c r="I283" s="8"/>
      <c r="J283" s="2"/>
      <c r="K283" s="1"/>
      <c r="L283" s="4" t="s">
        <v>15</v>
      </c>
      <c r="N283" s="4" t="s">
        <v>412</v>
      </c>
    </row>
    <row r="284" spans="1:14" x14ac:dyDescent="0.2">
      <c r="A284" s="6"/>
      <c r="B284" s="470"/>
      <c r="C284" s="470"/>
      <c r="D284" s="470"/>
      <c r="E284" s="470"/>
      <c r="F284" s="470"/>
      <c r="G284" s="470"/>
      <c r="H284" s="10" t="str">
        <f>IF(F285=B32348,C32348,"")</f>
        <v/>
      </c>
      <c r="I284" s="8"/>
      <c r="J284" s="2"/>
      <c r="K284" s="1"/>
      <c r="M284" s="11" t="str">
        <f>IF(F285=B32348,E32348,"")</f>
        <v/>
      </c>
    </row>
    <row r="285" spans="1:14" ht="38.25" x14ac:dyDescent="0.2">
      <c r="A285" s="6"/>
      <c r="B285" s="9" t="s">
        <v>413</v>
      </c>
      <c r="C285" s="8"/>
      <c r="D285" s="9" t="s">
        <v>414</v>
      </c>
      <c r="E285" s="8"/>
      <c r="F285" s="12" t="str">
        <f>'MEDICAL DEVICE'!G54</f>
        <v>No</v>
      </c>
      <c r="G285" s="8" t="s">
        <v>14</v>
      </c>
      <c r="H285" s="12" t="str">
        <f>'MEDICAL DEVICE'!I54</f>
        <v>Primarily used in real-time by clinicans in the OB unit.</v>
      </c>
      <c r="I285" s="8"/>
      <c r="J285" s="2"/>
      <c r="K285" s="1"/>
      <c r="L285" s="4" t="s">
        <v>15</v>
      </c>
      <c r="N285" s="4" t="s">
        <v>415</v>
      </c>
    </row>
    <row r="286" spans="1:14" x14ac:dyDescent="0.2">
      <c r="A286" s="6"/>
      <c r="B286" s="470"/>
      <c r="C286" s="470"/>
      <c r="D286" s="470"/>
      <c r="E286" s="470"/>
      <c r="F286" s="470"/>
      <c r="G286" s="470"/>
      <c r="H286" s="10" t="str">
        <f>IF(F287=B32351,C32351,"")</f>
        <v/>
      </c>
      <c r="I286" s="8"/>
      <c r="J286" s="2"/>
      <c r="K286" s="1"/>
      <c r="M286" s="11" t="str">
        <f>IF(F287=B32351,E32351,"")</f>
        <v/>
      </c>
    </row>
    <row r="287" spans="1:14" ht="38.25" x14ac:dyDescent="0.2">
      <c r="A287" s="6"/>
      <c r="B287" s="9" t="s">
        <v>416</v>
      </c>
      <c r="C287" s="8"/>
      <c r="D287" s="9" t="s">
        <v>417</v>
      </c>
      <c r="E287" s="8"/>
      <c r="F287" s="12" t="str">
        <f>'MEDICAL DEVICE'!G56</f>
        <v>Yes</v>
      </c>
      <c r="G287" s="8" t="s">
        <v>14</v>
      </c>
      <c r="H287" s="12">
        <f>'MEDICAL DEVICE'!I56</f>
        <v>0</v>
      </c>
      <c r="I287" s="8"/>
      <c r="J287" s="2"/>
      <c r="K287" s="1"/>
      <c r="L287" s="4" t="s">
        <v>15</v>
      </c>
      <c r="N287" s="4" t="s">
        <v>418</v>
      </c>
    </row>
    <row r="288" spans="1:14" x14ac:dyDescent="0.2">
      <c r="A288" s="6"/>
      <c r="B288" s="470"/>
      <c r="C288" s="470"/>
      <c r="D288" s="470"/>
      <c r="E288" s="470"/>
      <c r="F288" s="470"/>
      <c r="G288" s="470"/>
      <c r="H288" s="10" t="str">
        <f>IF(F289=B32354,C32354,"")</f>
        <v/>
      </c>
      <c r="I288" s="8"/>
      <c r="J288" s="2"/>
      <c r="K288" s="1"/>
      <c r="M288" s="11" t="str">
        <f>IF(F289=B32354,E32354,"")</f>
        <v/>
      </c>
    </row>
    <row r="289" spans="1:14" ht="38.25" x14ac:dyDescent="0.2">
      <c r="A289" s="6"/>
      <c r="B289" s="9" t="s">
        <v>419</v>
      </c>
      <c r="C289" s="8"/>
      <c r="D289" s="9" t="s">
        <v>420</v>
      </c>
      <c r="E289" s="8"/>
      <c r="F289" s="12" t="str">
        <f>'MEDICAL DEVICE'!G58</f>
        <v>No</v>
      </c>
      <c r="G289" s="8" t="s">
        <v>14</v>
      </c>
      <c r="H289" s="12">
        <f>'MEDICAL DEVICE'!I58</f>
        <v>0</v>
      </c>
      <c r="I289" s="8"/>
      <c r="J289" s="2"/>
      <c r="K289" s="1"/>
      <c r="L289" s="4" t="s">
        <v>15</v>
      </c>
      <c r="N289" s="4" t="s">
        <v>421</v>
      </c>
    </row>
    <row r="290" spans="1:14" x14ac:dyDescent="0.2">
      <c r="A290" s="6"/>
      <c r="B290" s="470"/>
      <c r="C290" s="470"/>
      <c r="D290" s="470"/>
      <c r="E290" s="470"/>
      <c r="F290" s="470"/>
      <c r="G290" s="470"/>
      <c r="H290" s="10" t="str">
        <f>IF(F291=B32357,C32357,"")</f>
        <v/>
      </c>
      <c r="I290" s="8"/>
      <c r="J290" s="2"/>
      <c r="K290" s="1"/>
      <c r="M290" s="11" t="str">
        <f>IF(F291=B32357,E32357,"")</f>
        <v/>
      </c>
    </row>
    <row r="291" spans="1:14" ht="38.25" x14ac:dyDescent="0.2">
      <c r="A291" s="6"/>
      <c r="B291" s="9" t="s">
        <v>422</v>
      </c>
      <c r="C291" s="8"/>
      <c r="D291" s="30" t="s">
        <v>423</v>
      </c>
      <c r="E291" s="8"/>
      <c r="F291" s="12" t="str">
        <f>'MEDICAL DEVICE'!G60</f>
        <v>No</v>
      </c>
      <c r="G291" s="8" t="s">
        <v>14</v>
      </c>
      <c r="H291" s="12">
        <f>'MEDICAL DEVICE'!I60</f>
        <v>0</v>
      </c>
      <c r="I291" s="8"/>
      <c r="J291" s="2"/>
      <c r="K291" s="1"/>
      <c r="L291" s="4" t="s">
        <v>15</v>
      </c>
      <c r="N291" s="4" t="s">
        <v>424</v>
      </c>
    </row>
    <row r="292" spans="1:14" x14ac:dyDescent="0.2">
      <c r="A292" s="6"/>
      <c r="B292" s="470"/>
      <c r="C292" s="470"/>
      <c r="D292" s="470"/>
      <c r="E292" s="470"/>
      <c r="F292" s="470"/>
      <c r="G292" s="470"/>
      <c r="H292" s="10" t="str">
        <f>IF(F293=B32360,C32360,"")</f>
        <v/>
      </c>
      <c r="I292" s="8"/>
      <c r="J292" s="2"/>
      <c r="K292" s="1"/>
      <c r="M292" s="11" t="str">
        <f>IF(F293=B32360,E32360,"")</f>
        <v/>
      </c>
    </row>
    <row r="293" spans="1:14" ht="51" x14ac:dyDescent="0.2">
      <c r="A293" s="6"/>
      <c r="B293" s="9" t="s">
        <v>425</v>
      </c>
      <c r="C293" s="8"/>
      <c r="D293" s="9" t="s">
        <v>426</v>
      </c>
      <c r="E293" s="8"/>
      <c r="F293" s="12" t="str">
        <f>'MEDICAL DEVICE'!G62</f>
        <v>No</v>
      </c>
      <c r="G293" s="8" t="s">
        <v>14</v>
      </c>
      <c r="H293" s="12">
        <f>'MEDICAL DEVICE'!I62</f>
        <v>0</v>
      </c>
      <c r="I293" s="8"/>
      <c r="J293" s="2"/>
      <c r="K293" s="1"/>
      <c r="L293" s="4" t="s">
        <v>15</v>
      </c>
      <c r="N293" s="4" t="s">
        <v>427</v>
      </c>
    </row>
    <row r="294" spans="1:14" x14ac:dyDescent="0.2">
      <c r="A294" s="6"/>
      <c r="B294" s="470"/>
      <c r="C294" s="470"/>
      <c r="D294" s="470"/>
      <c r="E294" s="470"/>
      <c r="F294" s="470"/>
      <c r="G294" s="470"/>
      <c r="H294" s="10" t="str">
        <f>IF(F295=B32363,C32363,"")</f>
        <v/>
      </c>
      <c r="I294" s="8"/>
      <c r="J294" s="2"/>
      <c r="K294" s="1"/>
      <c r="M294" s="11" t="str">
        <f>IF(F295=B32363,E32363,"")</f>
        <v/>
      </c>
    </row>
    <row r="295" spans="1:14" ht="25.5" x14ac:dyDescent="0.2">
      <c r="A295" s="6"/>
      <c r="B295" s="9" t="s">
        <v>428</v>
      </c>
      <c r="C295" s="8"/>
      <c r="D295" s="9" t="s">
        <v>429</v>
      </c>
      <c r="E295" s="8"/>
      <c r="F295" s="12" t="str">
        <f>'MEDICAL DEVICE'!G64</f>
        <v>No</v>
      </c>
      <c r="G295" s="8" t="s">
        <v>14</v>
      </c>
      <c r="H295" s="12" t="str">
        <f>'MEDICAL DEVICE'!I64</f>
        <v>None other than the above.</v>
      </c>
      <c r="I295" s="8"/>
      <c r="J295" s="2"/>
      <c r="K295" s="1"/>
      <c r="L295" s="4" t="s">
        <v>15</v>
      </c>
      <c r="N295" s="4" t="s">
        <v>430</v>
      </c>
    </row>
    <row r="296" spans="1:14" x14ac:dyDescent="0.2">
      <c r="A296" s="6"/>
      <c r="B296" s="470"/>
      <c r="C296" s="470"/>
      <c r="D296" s="470"/>
      <c r="E296" s="470"/>
      <c r="F296" s="470"/>
      <c r="G296" s="470"/>
      <c r="H296" s="10" t="str">
        <f>IF(F297=B32364,C32364,"")</f>
        <v>Enter Response</v>
      </c>
      <c r="I296" s="8"/>
      <c r="J296" s="2"/>
      <c r="K296" s="1"/>
      <c r="M296" s="11" t="str">
        <f>IF(F297=B32364,E32364,"")</f>
        <v>2</v>
      </c>
    </row>
    <row r="297" spans="1:14" ht="25.5" x14ac:dyDescent="0.2">
      <c r="A297" s="6"/>
      <c r="B297" s="9" t="s">
        <v>431</v>
      </c>
      <c r="C297" s="8"/>
      <c r="D297" s="9" t="s">
        <v>432</v>
      </c>
      <c r="E297" s="8"/>
      <c r="F297" s="5" t="s">
        <v>13</v>
      </c>
      <c r="G297" s="8" t="s">
        <v>14</v>
      </c>
      <c r="H297" s="12" t="str">
        <f>'MEDICAL DEVICE'!G66</f>
        <v>Other than standard ports (SQL, http/https) the following ports are used by the PeriWatch Vigilance system: 8000, 8002, 8014, 8081-8084</v>
      </c>
      <c r="I297" s="8"/>
      <c r="J297" s="2"/>
      <c r="K297" s="1"/>
      <c r="L297" s="4" t="s">
        <v>15</v>
      </c>
      <c r="N297" s="4" t="s">
        <v>433</v>
      </c>
    </row>
    <row r="298" spans="1:14" x14ac:dyDescent="0.2">
      <c r="A298" s="6"/>
      <c r="B298" s="470"/>
      <c r="C298" s="470"/>
      <c r="D298" s="470"/>
      <c r="E298" s="470"/>
      <c r="F298" s="470"/>
      <c r="G298" s="470"/>
      <c r="H298" s="10" t="str">
        <f>IF(F299=B32366,C32366,"")</f>
        <v>Enter Response</v>
      </c>
      <c r="I298" s="8"/>
      <c r="J298" s="2"/>
      <c r="K298" s="1"/>
      <c r="M298" s="11" t="str">
        <f>IF(F299=B32366,E32366,"")</f>
        <v>2</v>
      </c>
    </row>
    <row r="299" spans="1:14" ht="25.5" x14ac:dyDescent="0.2">
      <c r="A299" s="6"/>
      <c r="B299" s="9" t="s">
        <v>434</v>
      </c>
      <c r="C299" s="8"/>
      <c r="D299" s="9" t="s">
        <v>435</v>
      </c>
      <c r="E299" s="8"/>
      <c r="F299" s="5" t="s">
        <v>13</v>
      </c>
      <c r="G299" s="8" t="s">
        <v>14</v>
      </c>
      <c r="H299" s="12" t="str">
        <f>'MEDICAL DEVICE'!G68</f>
        <v>Customer is in charge of OS patches. PeriGen provides critical patches when needed (rare), regular fixes and enhancements are packaged in maintenance releases once of twice a year.</v>
      </c>
      <c r="I299" s="8"/>
      <c r="J299" s="2"/>
      <c r="K299" s="1"/>
      <c r="L299" s="4" t="s">
        <v>15</v>
      </c>
      <c r="N299" s="4" t="s">
        <v>436</v>
      </c>
    </row>
    <row r="300" spans="1:14" x14ac:dyDescent="0.2">
      <c r="A300" s="6"/>
      <c r="B300" s="470"/>
      <c r="C300" s="470"/>
      <c r="D300" s="470"/>
      <c r="E300" s="470"/>
      <c r="F300" s="470"/>
      <c r="G300" s="470"/>
      <c r="H300" s="10" t="str">
        <f>IF(F301=B32374,C32374,"")&amp;IF(F301=B32375,C32375,"")&amp;IF(F301=B32376,C32376,"")</f>
        <v/>
      </c>
      <c r="I300" s="8"/>
      <c r="J300" s="2"/>
      <c r="K300" s="1"/>
      <c r="M300" s="11" t="str">
        <f>IF(F301=B32374,E32374,"")&amp;IF(F301=B32375,E32375,"")&amp;IF(F301=B32376,E32376,"")</f>
        <v/>
      </c>
    </row>
    <row r="301" spans="1:14" ht="63.75" x14ac:dyDescent="0.2">
      <c r="A301" s="6"/>
      <c r="B301" s="9" t="s">
        <v>437</v>
      </c>
      <c r="C301" s="8"/>
      <c r="D301" s="30" t="s">
        <v>438</v>
      </c>
      <c r="E301" s="8"/>
      <c r="F301" s="12" t="str">
        <f>'MEDICAL DEVICE'!G70</f>
        <v>Supports Multiple</v>
      </c>
      <c r="G301" s="8" t="s">
        <v>14</v>
      </c>
      <c r="H301" s="12" t="str">
        <f>'MEDICAL DEVICE'!I70</f>
        <v>Device supports NYP installed/maintained SCCM Agent for patch deployment
Manual updates by NYP
Manual updates of vendor software by Vendor (coordinated with NYP)</v>
      </c>
      <c r="I301" s="8"/>
      <c r="J301" s="2"/>
      <c r="K301" s="1"/>
      <c r="L301" s="4" t="s">
        <v>15</v>
      </c>
      <c r="N301" s="4" t="s">
        <v>439</v>
      </c>
    </row>
    <row r="302" spans="1:14" x14ac:dyDescent="0.2">
      <c r="A302" s="6"/>
      <c r="B302" s="470"/>
      <c r="C302" s="470"/>
      <c r="D302" s="470"/>
      <c r="E302" s="470"/>
      <c r="F302" s="470"/>
      <c r="G302" s="470"/>
      <c r="H302" s="10" t="str">
        <f>IF(F303=B32377,C32377,"")&amp;IF(F303=B32379,C32379,"")</f>
        <v/>
      </c>
      <c r="I302" s="8"/>
      <c r="J302" s="2"/>
      <c r="K302" s="1"/>
      <c r="M302" s="11" t="str">
        <f>IF(F303=B32377,E32377,"")&amp;IF(F303=B32379,E32379,"")</f>
        <v/>
      </c>
    </row>
    <row r="303" spans="1:14" ht="51" x14ac:dyDescent="0.2">
      <c r="A303" s="6"/>
      <c r="B303" s="9" t="s">
        <v>440</v>
      </c>
      <c r="C303" s="8"/>
      <c r="D303" s="9" t="s">
        <v>441</v>
      </c>
      <c r="E303" s="8"/>
      <c r="F303" s="12" t="str">
        <f>'MEDICAL DEVICE'!G73</f>
        <v>Yes</v>
      </c>
      <c r="G303" s="8" t="s">
        <v>14</v>
      </c>
      <c r="H303" s="12">
        <f>'MEDICAL DEVICE'!I73</f>
        <v>0</v>
      </c>
      <c r="I303" s="8"/>
      <c r="J303" s="2"/>
      <c r="K303" s="1"/>
      <c r="L303" s="4" t="s">
        <v>15</v>
      </c>
      <c r="N303" s="4" t="s">
        <v>442</v>
      </c>
    </row>
    <row r="304" spans="1:14" x14ac:dyDescent="0.2">
      <c r="A304" s="6"/>
      <c r="B304" s="470"/>
      <c r="C304" s="470"/>
      <c r="D304" s="470"/>
      <c r="E304" s="470"/>
      <c r="F304" s="470"/>
      <c r="G304" s="470"/>
      <c r="H304" s="10" t="str">
        <f>IF(F305=B32380,C32380,"")&amp;IF(F305=B32382,C32382,"")</f>
        <v/>
      </c>
      <c r="I304" s="8"/>
      <c r="J304" s="2"/>
      <c r="K304" s="1"/>
      <c r="M304" s="11" t="str">
        <f>IF(F305=B32380,E32380,"")&amp;IF(F305=B32382,E32382,"")</f>
        <v/>
      </c>
    </row>
    <row r="305" spans="1:14" ht="38.25" x14ac:dyDescent="0.2">
      <c r="A305" s="6"/>
      <c r="B305" s="9" t="s">
        <v>443</v>
      </c>
      <c r="C305" s="8"/>
      <c r="D305" s="9" t="s">
        <v>444</v>
      </c>
      <c r="E305" s="8"/>
      <c r="F305" s="12" t="str">
        <f>'MEDICAL DEVICE'!G75</f>
        <v>No</v>
      </c>
      <c r="G305" s="8" t="s">
        <v>14</v>
      </c>
      <c r="H305" s="12">
        <f>'MEDICAL DEVICE'!I75</f>
        <v>0</v>
      </c>
      <c r="I305" s="8"/>
      <c r="J305" s="2"/>
      <c r="K305" s="1"/>
      <c r="L305" s="4" t="s">
        <v>15</v>
      </c>
      <c r="N305" s="4" t="s">
        <v>445</v>
      </c>
    </row>
    <row r="306" spans="1:14" x14ac:dyDescent="0.2">
      <c r="A306" s="6"/>
      <c r="B306" s="470"/>
      <c r="C306" s="470"/>
      <c r="D306" s="470"/>
      <c r="E306" s="470"/>
      <c r="F306" s="470"/>
      <c r="G306" s="470"/>
      <c r="H306" s="10" t="str">
        <f>IF(F307=B32383,C32383,"")&amp;IF(F307=B32385,C32385,"")</f>
        <v/>
      </c>
      <c r="I306" s="8"/>
      <c r="J306" s="2"/>
      <c r="K306" s="1"/>
      <c r="M306" s="11" t="str">
        <f>IF(F307=B32383,E32383,"")&amp;IF(F307=B32385,E32385,"")</f>
        <v/>
      </c>
    </row>
    <row r="307" spans="1:14" ht="38.25" x14ac:dyDescent="0.2">
      <c r="A307" s="6"/>
      <c r="B307" s="9" t="s">
        <v>446</v>
      </c>
      <c r="C307" s="8"/>
      <c r="D307" s="9" t="s">
        <v>447</v>
      </c>
      <c r="E307" s="8"/>
      <c r="F307" s="12" t="str">
        <f>'MEDICAL DEVICE'!G77</f>
        <v>Yes</v>
      </c>
      <c r="G307" s="8" t="s">
        <v>14</v>
      </c>
      <c r="H307" s="12">
        <f>'MEDICAL DEVICE'!I77</f>
        <v>0</v>
      </c>
      <c r="I307" s="8"/>
      <c r="J307" s="2"/>
      <c r="K307" s="1"/>
      <c r="L307" s="4" t="s">
        <v>15</v>
      </c>
      <c r="N307" s="4" t="s">
        <v>448</v>
      </c>
    </row>
    <row r="308" spans="1:14" x14ac:dyDescent="0.2">
      <c r="A308" s="6"/>
      <c r="B308" s="470"/>
      <c r="C308" s="470"/>
      <c r="D308" s="470"/>
      <c r="E308" s="470"/>
      <c r="F308" s="470"/>
      <c r="G308" s="470"/>
      <c r="H308" s="10" t="str">
        <f>IF(F309=B32386,C32386,"")&amp;IF(F309=B32388,C32388,"")</f>
        <v/>
      </c>
      <c r="I308" s="8"/>
      <c r="J308" s="2"/>
      <c r="K308" s="1"/>
      <c r="M308" s="11" t="str">
        <f>IF(F309=B32386,E32386,"")&amp;IF(F309=B32388,E32388,"")</f>
        <v/>
      </c>
    </row>
    <row r="309" spans="1:14" ht="51" x14ac:dyDescent="0.2">
      <c r="A309" s="6"/>
      <c r="B309" s="9" t="s">
        <v>449</v>
      </c>
      <c r="C309" s="8"/>
      <c r="D309" s="9" t="s">
        <v>450</v>
      </c>
      <c r="E309" s="8"/>
      <c r="F309" s="12" t="str">
        <f>'MEDICAL DEVICE'!G79</f>
        <v>Yes</v>
      </c>
      <c r="G309" s="8" t="s">
        <v>14</v>
      </c>
      <c r="H309" s="12">
        <f>'MEDICAL DEVICE'!I79</f>
        <v>0</v>
      </c>
      <c r="I309" s="8"/>
      <c r="J309" s="2"/>
      <c r="K309" s="1"/>
      <c r="L309" s="4" t="s">
        <v>15</v>
      </c>
      <c r="N309" s="4" t="s">
        <v>451</v>
      </c>
    </row>
    <row r="310" spans="1:14" x14ac:dyDescent="0.2">
      <c r="A310" s="6"/>
      <c r="B310" s="470"/>
      <c r="C310" s="470"/>
      <c r="D310" s="470"/>
      <c r="E310" s="470"/>
      <c r="F310" s="470"/>
      <c r="G310" s="470"/>
      <c r="H310" s="10" t="str">
        <f>IF(F311=B32389,C32389,"")&amp;IF(F311=B32391,C32391,"")</f>
        <v>Comments:</v>
      </c>
      <c r="I310" s="8"/>
      <c r="J310" s="2"/>
      <c r="K310" s="1"/>
      <c r="M310" s="11" t="str">
        <f>IF(F311=B32389,E32389,"")&amp;IF(F311=B32391,E32391,"")</f>
        <v>2</v>
      </c>
    </row>
    <row r="311" spans="1:14" ht="38.25" x14ac:dyDescent="0.2">
      <c r="A311" s="6"/>
      <c r="B311" s="9" t="s">
        <v>452</v>
      </c>
      <c r="C311" s="8"/>
      <c r="D311" s="9" t="s">
        <v>453</v>
      </c>
      <c r="E311" s="8"/>
      <c r="F311" s="12" t="str">
        <f>'MEDICAL DEVICE'!G81</f>
        <v>No</v>
      </c>
      <c r="G311" s="8" t="s">
        <v>14</v>
      </c>
      <c r="H311" s="12">
        <f>'MEDICAL DEVICE'!I81</f>
        <v>0</v>
      </c>
      <c r="I311" s="8"/>
      <c r="J311" s="2"/>
      <c r="K311" s="1"/>
      <c r="L311" s="4" t="s">
        <v>15</v>
      </c>
      <c r="N311" s="4" t="s">
        <v>454</v>
      </c>
    </row>
    <row r="312" spans="1:14" x14ac:dyDescent="0.2">
      <c r="A312" s="6"/>
      <c r="B312" s="470"/>
      <c r="C312" s="470"/>
      <c r="D312" s="470"/>
      <c r="E312" s="470"/>
      <c r="F312" s="470"/>
      <c r="G312" s="470"/>
      <c r="H312" s="10" t="str">
        <f>IF(F313=B32394,C32394,"")&amp;IF(F313=B32395,C32395,"")</f>
        <v/>
      </c>
      <c r="I312" s="8"/>
      <c r="J312" s="2"/>
      <c r="K312" s="1"/>
      <c r="M312" s="11" t="str">
        <f>IF(F313=B32394,E32394,"")&amp;IF(F313=B32395,E32395,"")</f>
        <v/>
      </c>
    </row>
    <row r="313" spans="1:14" ht="63.75" x14ac:dyDescent="0.2">
      <c r="A313" s="6"/>
      <c r="B313" s="9" t="s">
        <v>455</v>
      </c>
      <c r="C313" s="8"/>
      <c r="D313" s="9" t="s">
        <v>456</v>
      </c>
      <c r="E313" s="8"/>
      <c r="F313" s="12" t="str">
        <f>'MEDICAL DEVICE'!G84</f>
        <v>NYP Standard - Cylance malware protection</v>
      </c>
      <c r="G313" s="8" t="s">
        <v>14</v>
      </c>
      <c r="H313" s="12">
        <f>'MEDICAL DEVICE'!I84</f>
        <v>0</v>
      </c>
      <c r="I313" s="8"/>
      <c r="J313" s="2"/>
      <c r="K313" s="1"/>
      <c r="L313" s="4" t="s">
        <v>15</v>
      </c>
      <c r="N313" s="4" t="s">
        <v>457</v>
      </c>
    </row>
    <row r="314" spans="1:14" x14ac:dyDescent="0.2">
      <c r="A314" s="6"/>
      <c r="B314" s="470"/>
      <c r="C314" s="470"/>
      <c r="D314" s="470"/>
      <c r="E314" s="470"/>
      <c r="F314" s="470"/>
      <c r="G314" s="470"/>
      <c r="H314" s="10" t="str">
        <f>IF(F315=B32403,C32403,"")</f>
        <v/>
      </c>
      <c r="I314" s="8"/>
      <c r="J314" s="2"/>
      <c r="K314" s="1"/>
      <c r="M314" s="11" t="str">
        <f>IF(F315=B32403,E32403,"")</f>
        <v/>
      </c>
    </row>
    <row r="315" spans="1:14" ht="25.5" x14ac:dyDescent="0.2">
      <c r="A315" s="6"/>
      <c r="B315" s="9" t="s">
        <v>458</v>
      </c>
      <c r="C315" s="8"/>
      <c r="D315" s="30" t="s">
        <v>459</v>
      </c>
      <c r="E315" s="8"/>
      <c r="F315" s="12" t="str">
        <f>'MEDICAL DEVICE'!G86</f>
        <v>Continuously and automatically (on access)</v>
      </c>
      <c r="G315" s="8" t="s">
        <v>14</v>
      </c>
      <c r="H315" s="12" t="str">
        <f>'MEDICAL DEVICE'!I86</f>
        <v>Some exclusions are required on the server</v>
      </c>
      <c r="I315" s="8"/>
      <c r="J315" s="2"/>
      <c r="K315" s="1"/>
      <c r="L315" s="4" t="s">
        <v>15</v>
      </c>
      <c r="N315" s="4" t="s">
        <v>460</v>
      </c>
    </row>
    <row r="316" spans="1:14" x14ac:dyDescent="0.2">
      <c r="A316" s="6"/>
      <c r="B316" s="470"/>
      <c r="C316" s="470"/>
      <c r="D316" s="470"/>
      <c r="E316" s="470"/>
      <c r="F316" s="470"/>
      <c r="G316" s="470"/>
      <c r="H316" s="10" t="str">
        <f>IF(F317=B32404,C32404,"")&amp;IF(F317=B32406,C32406,"")</f>
        <v/>
      </c>
      <c r="I316" s="8"/>
      <c r="J316" s="2"/>
      <c r="K316" s="1"/>
      <c r="M316" s="11" t="str">
        <f>IF(F317=B32404,E32404,"")&amp;IF(F317=B32406,E32406,"")</f>
        <v/>
      </c>
    </row>
    <row r="317" spans="1:14" ht="25.5" x14ac:dyDescent="0.2">
      <c r="A317" s="6"/>
      <c r="B317" s="9" t="s">
        <v>461</v>
      </c>
      <c r="C317" s="8"/>
      <c r="D317" s="30" t="s">
        <v>462</v>
      </c>
      <c r="E317" s="8"/>
      <c r="F317" s="12" t="str">
        <f>'MEDICAL DEVICE'!G89</f>
        <v>Yes</v>
      </c>
      <c r="G317" s="8" t="s">
        <v>14</v>
      </c>
      <c r="H317" s="12">
        <f>'MEDICAL DEVICE'!I89</f>
        <v>0</v>
      </c>
      <c r="I317" s="8"/>
      <c r="J317" s="2"/>
      <c r="K317" s="1"/>
      <c r="L317" s="4" t="s">
        <v>15</v>
      </c>
      <c r="N317" s="4" t="s">
        <v>463</v>
      </c>
    </row>
    <row r="318" spans="1:14" x14ac:dyDescent="0.2">
      <c r="A318" s="6"/>
      <c r="B318" s="470"/>
      <c r="C318" s="470"/>
      <c r="D318" s="470"/>
      <c r="E318" s="470"/>
      <c r="F318" s="470"/>
      <c r="G318" s="470"/>
      <c r="H318" s="10" t="str">
        <f>IF(F319=B32408,C32408,"")&amp;IF(F319=B32410,C32410,"")</f>
        <v/>
      </c>
      <c r="I318" s="8"/>
      <c r="J318" s="2"/>
      <c r="K318" s="1"/>
      <c r="M318" s="11" t="str">
        <f>IF(F319=B32408,E32408,"")&amp;IF(F319=B32410,E32410,"")</f>
        <v/>
      </c>
    </row>
    <row r="319" spans="1:14" ht="38.25" x14ac:dyDescent="0.2">
      <c r="A319" s="6"/>
      <c r="B319" s="9" t="s">
        <v>464</v>
      </c>
      <c r="C319" s="8"/>
      <c r="D319" s="30" t="s">
        <v>465</v>
      </c>
      <c r="E319" s="8"/>
      <c r="F319" s="12" t="str">
        <f>'MEDICAL DEVICE'!G91</f>
        <v>NYP Standard - Bit locker through NYP AD Domain rules</v>
      </c>
      <c r="G319" s="8" t="s">
        <v>14</v>
      </c>
      <c r="H319" s="12">
        <f>'MEDICAL DEVICE'!I91</f>
        <v>0</v>
      </c>
      <c r="I319" s="8"/>
      <c r="J319" s="2"/>
      <c r="K319" s="1"/>
      <c r="L319" s="4" t="s">
        <v>15</v>
      </c>
      <c r="N319" s="4" t="s">
        <v>466</v>
      </c>
    </row>
    <row r="320" spans="1:14" x14ac:dyDescent="0.2">
      <c r="A320" s="6"/>
      <c r="B320" s="470"/>
      <c r="C320" s="470"/>
      <c r="D320" s="470"/>
      <c r="E320" s="470"/>
      <c r="F320" s="470"/>
      <c r="G320" s="470"/>
      <c r="H320" s="10" t="str">
        <f>IF(F321=B32411,C32411,"")&amp;IF(F321=B32413,C32413,"")</f>
        <v>Comments:</v>
      </c>
      <c r="I320" s="8"/>
      <c r="J320" s="2"/>
      <c r="K320" s="1"/>
      <c r="M320" s="11" t="str">
        <f>IF(F321=B32411,E32411,"")&amp;IF(F321=B32413,E32413,"")</f>
        <v>1</v>
      </c>
    </row>
    <row r="321" spans="1:14" ht="25.5" x14ac:dyDescent="0.2">
      <c r="A321" s="6"/>
      <c r="B321" s="9" t="s">
        <v>467</v>
      </c>
      <c r="C321" s="8"/>
      <c r="D321" s="9" t="s">
        <v>468</v>
      </c>
      <c r="E321" s="8"/>
      <c r="F321" s="12" t="str">
        <f>'MEDICAL DEVICE'!G93</f>
        <v>N/A</v>
      </c>
      <c r="G321" s="8" t="s">
        <v>14</v>
      </c>
      <c r="H321" s="12" t="str">
        <f>'MEDICAL DEVICE'!I93</f>
        <v>DICOM images are not used as part of this solution</v>
      </c>
      <c r="I321" s="8"/>
      <c r="J321" s="2"/>
      <c r="K321" s="1"/>
      <c r="L321" s="4" t="s">
        <v>15</v>
      </c>
      <c r="N321" s="4" t="s">
        <v>469</v>
      </c>
    </row>
    <row r="322" spans="1:14" x14ac:dyDescent="0.2">
      <c r="A322" s="6"/>
      <c r="B322" s="470"/>
      <c r="C322" s="470"/>
      <c r="D322" s="470"/>
      <c r="E322" s="470"/>
      <c r="F322" s="470"/>
      <c r="G322" s="470"/>
      <c r="H322" s="10" t="str">
        <f>IF(F323=B32414,C32414,"")&amp;IF(F323=B32416,C32416,"")</f>
        <v>Comments:</v>
      </c>
      <c r="I322" s="8"/>
      <c r="J322" s="2"/>
      <c r="K322" s="1"/>
      <c r="M322" s="11" t="str">
        <f>IF(F323=B32414,E32414,"")&amp;IF(F323=B32416,E32416,"")</f>
        <v>1</v>
      </c>
    </row>
    <row r="323" spans="1:14" ht="102" x14ac:dyDescent="0.2">
      <c r="A323" s="6"/>
      <c r="B323" s="9" t="s">
        <v>470</v>
      </c>
      <c r="C323" s="8"/>
      <c r="D323" s="30" t="s">
        <v>471</v>
      </c>
      <c r="E323" s="8"/>
      <c r="F323" s="12" t="str">
        <f>'MEDICAL DEVICE'!G97</f>
        <v>N/A</v>
      </c>
      <c r="G323" s="8" t="s">
        <v>14</v>
      </c>
      <c r="H323" s="12" t="str">
        <f>'MEDICAL DEVICE'!I97</f>
        <v>Joined to NYP domain</v>
      </c>
      <c r="I323" s="8"/>
      <c r="J323" s="2"/>
      <c r="K323" s="1"/>
      <c r="L323" s="4" t="s">
        <v>15</v>
      </c>
      <c r="N323" s="4" t="s">
        <v>472</v>
      </c>
    </row>
    <row r="324" spans="1:14" x14ac:dyDescent="0.2">
      <c r="A324" s="6"/>
      <c r="B324" s="470"/>
      <c r="C324" s="470"/>
      <c r="D324" s="470"/>
      <c r="E324" s="470"/>
      <c r="F324" s="470"/>
      <c r="G324" s="470"/>
      <c r="H324" s="10" t="str">
        <f>IF(F325=B32417,C32417,"")&amp;IF(F325=B32419,C32419,"")</f>
        <v>Comments:</v>
      </c>
      <c r="I324" s="8"/>
      <c r="J324" s="2"/>
      <c r="K324" s="1"/>
      <c r="M324" s="11" t="str">
        <f>IF(F325=B32417,E32417,"")&amp;IF(F325=B32419,E32419,"")</f>
        <v>1</v>
      </c>
    </row>
    <row r="325" spans="1:14" ht="38.25" x14ac:dyDescent="0.2">
      <c r="A325" s="6"/>
      <c r="B325" s="9" t="s">
        <v>473</v>
      </c>
      <c r="C325" s="8"/>
      <c r="D325" s="9" t="s">
        <v>474</v>
      </c>
      <c r="E325" s="8"/>
      <c r="F325" s="12" t="str">
        <f>'MEDICAL DEVICE'!G99</f>
        <v>N/A</v>
      </c>
      <c r="G325" s="8" t="s">
        <v>14</v>
      </c>
      <c r="H325" s="12">
        <f>'MEDICAL DEVICE'!I99</f>
        <v>0</v>
      </c>
      <c r="I325" s="8"/>
      <c r="J325" s="2"/>
      <c r="K325" s="1"/>
      <c r="L325" s="4" t="s">
        <v>15</v>
      </c>
      <c r="N325" s="4" t="s">
        <v>475</v>
      </c>
    </row>
    <row r="326" spans="1:14" x14ac:dyDescent="0.2">
      <c r="A326" s="6"/>
      <c r="B326" s="470"/>
      <c r="C326" s="470"/>
      <c r="D326" s="470"/>
      <c r="E326" s="470"/>
      <c r="F326" s="470"/>
      <c r="G326" s="470"/>
      <c r="H326" s="10" t="str">
        <f>IF(F327=B32420,C32420,"")&amp;IF(F327=B32422,C32422,"")</f>
        <v>Please Explain</v>
      </c>
      <c r="I326" s="8"/>
      <c r="J326" s="2"/>
      <c r="K326" s="1"/>
      <c r="M326" s="11" t="str">
        <f>IF(F327=B32420,E32420,"")&amp;IF(F327=B32422,E32422,"")</f>
        <v>1</v>
      </c>
    </row>
    <row r="327" spans="1:14" ht="38.25" x14ac:dyDescent="0.2">
      <c r="A327" s="6"/>
      <c r="B327" s="9" t="s">
        <v>476</v>
      </c>
      <c r="C327" s="8"/>
      <c r="D327" s="9" t="s">
        <v>477</v>
      </c>
      <c r="E327" s="8"/>
      <c r="F327" s="12" t="str">
        <f>'MEDICAL DEVICE'!G101</f>
        <v>N/A</v>
      </c>
      <c r="G327" s="8" t="s">
        <v>14</v>
      </c>
      <c r="H327" s="12">
        <f>'MEDICAL DEVICE'!I101</f>
        <v>0</v>
      </c>
      <c r="I327" s="8"/>
      <c r="J327" s="2"/>
      <c r="K327" s="1"/>
      <c r="L327" s="4" t="s">
        <v>15</v>
      </c>
      <c r="N327" s="4" t="s">
        <v>478</v>
      </c>
    </row>
    <row r="328" spans="1:14" x14ac:dyDescent="0.2">
      <c r="A328" s="6"/>
      <c r="B328" s="470"/>
      <c r="C328" s="470"/>
      <c r="D328" s="470"/>
      <c r="E328" s="470"/>
      <c r="F328" s="470"/>
      <c r="G328" s="470"/>
      <c r="H328" s="10" t="str">
        <f>IF(F329=B32424,C32424,"")&amp;IF(F329=B32425,C32425,"")</f>
        <v>Comments:</v>
      </c>
      <c r="I328" s="8"/>
      <c r="J328" s="2"/>
      <c r="K328" s="1"/>
      <c r="M328" s="11" t="str">
        <f>IF(F329=B32424,E32424,"")&amp;IF(F329=B32425,E32425,"")</f>
        <v>1</v>
      </c>
    </row>
    <row r="329" spans="1:14" ht="25.5" x14ac:dyDescent="0.2">
      <c r="A329" s="6"/>
      <c r="B329" s="9" t="s">
        <v>479</v>
      </c>
      <c r="C329" s="8"/>
      <c r="D329" s="9" t="s">
        <v>480</v>
      </c>
      <c r="E329" s="8"/>
      <c r="F329" s="12" t="str">
        <f>'MEDICAL DEVICE'!G103</f>
        <v>N/A</v>
      </c>
      <c r="G329" s="8" t="s">
        <v>14</v>
      </c>
      <c r="H329" s="12">
        <f>'MEDICAL DEVICE'!I103</f>
        <v>0</v>
      </c>
      <c r="I329" s="8"/>
      <c r="J329" s="2"/>
      <c r="K329" s="1"/>
      <c r="L329" s="4" t="s">
        <v>15</v>
      </c>
      <c r="N329" s="4" t="s">
        <v>481</v>
      </c>
    </row>
    <row r="330" spans="1:14" x14ac:dyDescent="0.2">
      <c r="A330" s="6"/>
      <c r="B330" s="470"/>
      <c r="C330" s="470"/>
      <c r="D330" s="470"/>
      <c r="E330" s="470"/>
      <c r="F330" s="470"/>
      <c r="G330" s="470"/>
      <c r="H330" s="10" t="str">
        <f>IF(F331=B32427,C32427,"")&amp;IF(F331=B32428,C32428,"")</f>
        <v>Comments:</v>
      </c>
      <c r="I330" s="8"/>
      <c r="J330" s="2"/>
      <c r="K330" s="1"/>
      <c r="M330" s="11" t="str">
        <f>IF(F331=B32427,E32427,"")&amp;IF(F331=B32428,E32428,"")</f>
        <v>1</v>
      </c>
    </row>
    <row r="331" spans="1:14" ht="38.25" x14ac:dyDescent="0.2">
      <c r="A331" s="6"/>
      <c r="B331" s="9" t="s">
        <v>482</v>
      </c>
      <c r="C331" s="8"/>
      <c r="D331" s="9" t="s">
        <v>483</v>
      </c>
      <c r="E331" s="8"/>
      <c r="F331" s="12" t="str">
        <f>'MEDICAL DEVICE'!G105</f>
        <v>N/A</v>
      </c>
      <c r="G331" s="8" t="s">
        <v>14</v>
      </c>
      <c r="H331" s="12">
        <f>'MEDICAL DEVICE'!I105</f>
        <v>0</v>
      </c>
      <c r="I331" s="8"/>
      <c r="J331" s="2"/>
      <c r="K331" s="1"/>
      <c r="L331" s="4" t="s">
        <v>15</v>
      </c>
      <c r="N331" s="4" t="s">
        <v>484</v>
      </c>
    </row>
    <row r="332" spans="1:14" x14ac:dyDescent="0.2">
      <c r="A332" s="6"/>
      <c r="B332" s="470"/>
      <c r="C332" s="470"/>
      <c r="D332" s="470"/>
      <c r="E332" s="470"/>
      <c r="F332" s="470"/>
      <c r="G332" s="470"/>
      <c r="H332" s="10" t="str">
        <f>IF(F333=B32430,C32430,"")&amp;IF(F333=B32431,C32431,"")</f>
        <v>Comments:</v>
      </c>
      <c r="I332" s="8"/>
      <c r="J332" s="2"/>
      <c r="K332" s="1"/>
      <c r="M332" s="11" t="str">
        <f>IF(F333=B32430,E32430,"")&amp;IF(F333=B32431,E32431,"")</f>
        <v>1</v>
      </c>
    </row>
    <row r="333" spans="1:14" ht="38.25" x14ac:dyDescent="0.2">
      <c r="A333" s="6"/>
      <c r="B333" s="9" t="s">
        <v>485</v>
      </c>
      <c r="C333" s="8"/>
      <c r="D333" s="9" t="s">
        <v>486</v>
      </c>
      <c r="E333" s="8"/>
      <c r="F333" s="12" t="str">
        <f>'MEDICAL DEVICE'!G107</f>
        <v>N/A</v>
      </c>
      <c r="G333" s="8" t="s">
        <v>14</v>
      </c>
      <c r="H333" s="12">
        <f>'MEDICAL DEVICE'!I107</f>
        <v>0</v>
      </c>
      <c r="I333" s="8"/>
      <c r="J333" s="2"/>
      <c r="K333" s="1"/>
      <c r="L333" s="4" t="s">
        <v>15</v>
      </c>
      <c r="N333" s="4" t="s">
        <v>487</v>
      </c>
    </row>
    <row r="334" spans="1:14" x14ac:dyDescent="0.2">
      <c r="A334" s="6"/>
      <c r="B334" s="470"/>
      <c r="C334" s="470"/>
      <c r="D334" s="470"/>
      <c r="E334" s="470"/>
      <c r="F334" s="470"/>
      <c r="G334" s="470"/>
      <c r="H334" s="10" t="str">
        <f>IF(F335=B32433,C32433,"")&amp;IF(F335=B32434,C32434,"")</f>
        <v>Comments:</v>
      </c>
      <c r="I334" s="8"/>
      <c r="J334" s="2"/>
      <c r="K334" s="1"/>
      <c r="M334" s="11" t="str">
        <f>IF(F335=B32433,E32433,"")&amp;IF(F335=B32434,E32434,"")</f>
        <v>1</v>
      </c>
    </row>
    <row r="335" spans="1:14" ht="38.25" x14ac:dyDescent="0.2">
      <c r="A335" s="6"/>
      <c r="B335" s="9" t="s">
        <v>488</v>
      </c>
      <c r="C335" s="8"/>
      <c r="D335" s="9" t="s">
        <v>489</v>
      </c>
      <c r="E335" s="8"/>
      <c r="F335" s="12" t="str">
        <f>'MEDICAL DEVICE'!G109</f>
        <v>N/A</v>
      </c>
      <c r="G335" s="8" t="s">
        <v>14</v>
      </c>
      <c r="H335" s="12">
        <f>'MEDICAL DEVICE'!I109</f>
        <v>0</v>
      </c>
      <c r="I335" s="8"/>
      <c r="J335" s="2"/>
      <c r="K335" s="1"/>
      <c r="L335" s="4" t="s">
        <v>15</v>
      </c>
      <c r="N335" s="4" t="s">
        <v>490</v>
      </c>
    </row>
    <row r="336" spans="1:14" x14ac:dyDescent="0.2">
      <c r="A336" s="6"/>
      <c r="B336" s="470"/>
      <c r="C336" s="470"/>
      <c r="D336" s="470"/>
      <c r="E336" s="470"/>
      <c r="F336" s="470"/>
      <c r="G336" s="470"/>
      <c r="H336" s="10" t="str">
        <f>IF(F337=B32436,C32436,"")&amp;IF(F337=B32437,C32437,"")</f>
        <v>Comments:</v>
      </c>
      <c r="I336" s="8"/>
      <c r="J336" s="2"/>
      <c r="K336" s="1"/>
      <c r="M336" s="11" t="str">
        <f>IF(F337=B32436,E32436,"")&amp;IF(F337=B32437,E32437,"")</f>
        <v>1</v>
      </c>
    </row>
    <row r="337" spans="1:14" ht="38.25" x14ac:dyDescent="0.2">
      <c r="A337" s="6"/>
      <c r="B337" s="9" t="s">
        <v>491</v>
      </c>
      <c r="C337" s="8"/>
      <c r="D337" s="9" t="s">
        <v>492</v>
      </c>
      <c r="E337" s="8"/>
      <c r="F337" s="12" t="str">
        <f>'MEDICAL DEVICE'!G109</f>
        <v>N/A</v>
      </c>
      <c r="G337" s="8" t="s">
        <v>14</v>
      </c>
      <c r="H337" s="12">
        <f>'MEDICAL DEVICE'!I109</f>
        <v>0</v>
      </c>
      <c r="I337" s="8"/>
      <c r="J337" s="2"/>
      <c r="K337" s="1"/>
      <c r="L337" s="4" t="s">
        <v>15</v>
      </c>
      <c r="N337" s="4" t="s">
        <v>493</v>
      </c>
    </row>
    <row r="338" spans="1:14" x14ac:dyDescent="0.2">
      <c r="A338" s="6"/>
      <c r="B338" s="470"/>
      <c r="C338" s="470"/>
      <c r="D338" s="470"/>
      <c r="E338" s="470"/>
      <c r="F338" s="470"/>
      <c r="G338" s="470"/>
      <c r="H338" s="10" t="str">
        <f>IF(F339=B32438,C32438,"")&amp;IF(F339=B32440,C32440,"")</f>
        <v/>
      </c>
      <c r="I338" s="8"/>
      <c r="J338" s="2"/>
      <c r="K338" s="1"/>
      <c r="M338" s="11" t="str">
        <f>IF(F339=B32438,E32438,"")&amp;IF(F339=B32440,E32440,"")</f>
        <v/>
      </c>
    </row>
    <row r="339" spans="1:14" ht="38.25" x14ac:dyDescent="0.2">
      <c r="A339" s="6"/>
      <c r="B339" s="9" t="s">
        <v>494</v>
      </c>
      <c r="C339" s="8"/>
      <c r="D339" s="9" t="s">
        <v>495</v>
      </c>
      <c r="E339" s="8"/>
      <c r="F339" s="12" t="str">
        <f>'MEDICAL DEVICE'!G112</f>
        <v>Yes</v>
      </c>
      <c r="G339" s="8" t="s">
        <v>14</v>
      </c>
      <c r="H339" s="12">
        <f>'MEDICAL DEVICE'!I112</f>
        <v>0</v>
      </c>
      <c r="I339" s="8"/>
      <c r="J339" s="2"/>
      <c r="K339" s="1"/>
      <c r="L339" s="4" t="s">
        <v>15</v>
      </c>
      <c r="N339" s="4" t="s">
        <v>496</v>
      </c>
    </row>
    <row r="340" spans="1:14" x14ac:dyDescent="0.2">
      <c r="A340" s="6"/>
      <c r="B340" s="470"/>
      <c r="C340" s="470"/>
      <c r="D340" s="470"/>
      <c r="E340" s="470"/>
      <c r="F340" s="470"/>
      <c r="G340" s="470"/>
      <c r="H340" s="10" t="str">
        <f>IF(F341=B32441,C32441,"")&amp;IF(F341=B32443,C32443,"")</f>
        <v/>
      </c>
      <c r="I340" s="8"/>
      <c r="J340" s="2"/>
      <c r="K340" s="1"/>
      <c r="M340" s="11" t="str">
        <f>IF(F341=B32441,E32441,"")&amp;IF(F341=B32443,E32443,"")</f>
        <v/>
      </c>
    </row>
    <row r="341" spans="1:14" ht="38.25" x14ac:dyDescent="0.2">
      <c r="A341" s="6"/>
      <c r="B341" s="9" t="s">
        <v>497</v>
      </c>
      <c r="C341" s="8"/>
      <c r="D341" s="9" t="s">
        <v>498</v>
      </c>
      <c r="E341" s="8"/>
      <c r="F341" s="12" t="str">
        <f>'MEDICAL DEVICE'!G114</f>
        <v>Yes</v>
      </c>
      <c r="G341" s="8" t="s">
        <v>14</v>
      </c>
      <c r="H341" s="12">
        <f>'MEDICAL DEVICE'!I114</f>
        <v>0</v>
      </c>
      <c r="I341" s="8"/>
      <c r="J341" s="2"/>
      <c r="K341" s="1"/>
      <c r="L341" s="4" t="s">
        <v>15</v>
      </c>
      <c r="N341" s="4" t="s">
        <v>499</v>
      </c>
    </row>
    <row r="342" spans="1:14" x14ac:dyDescent="0.2">
      <c r="A342" s="6"/>
      <c r="B342" s="470"/>
      <c r="C342" s="470"/>
      <c r="D342" s="470"/>
      <c r="E342" s="470"/>
      <c r="F342" s="470"/>
      <c r="G342" s="470"/>
      <c r="H342" s="10" t="str">
        <f>IF(F343=B32444,C32444,"")&amp;IF(F343=B32446,C32446,"")</f>
        <v/>
      </c>
      <c r="I342" s="8"/>
      <c r="J342" s="2"/>
      <c r="K342" s="1"/>
      <c r="M342" s="11" t="str">
        <f>IF(F343=B32444,E32444,"")&amp;IF(F343=B32446,E32446,"")</f>
        <v/>
      </c>
    </row>
    <row r="343" spans="1:14" ht="25.5" x14ac:dyDescent="0.2">
      <c r="A343" s="6"/>
      <c r="B343" s="9" t="s">
        <v>500</v>
      </c>
      <c r="C343" s="8"/>
      <c r="D343" s="9" t="s">
        <v>501</v>
      </c>
      <c r="E343" s="8"/>
      <c r="F343" s="12" t="str">
        <f>'MEDICAL DEVICE'!G116</f>
        <v>Yes</v>
      </c>
      <c r="G343" s="8" t="s">
        <v>14</v>
      </c>
      <c r="H343" s="12" t="str">
        <f>'MEDICAL DEVICE'!I116</f>
        <v>on demand</v>
      </c>
      <c r="I343" s="8"/>
      <c r="J343" s="2"/>
      <c r="K343" s="1"/>
      <c r="L343" s="4" t="s">
        <v>15</v>
      </c>
      <c r="N343" s="4" t="s">
        <v>502</v>
      </c>
    </row>
    <row r="344" spans="1:14" x14ac:dyDescent="0.2">
      <c r="A344" s="6"/>
      <c r="B344" s="470"/>
      <c r="C344" s="470"/>
      <c r="D344" s="470"/>
      <c r="E344" s="470"/>
      <c r="F344" s="470"/>
      <c r="G344" s="470"/>
      <c r="H344" s="10" t="str">
        <f>IF(F345=B32449,C32449,"")</f>
        <v/>
      </c>
      <c r="I344" s="8"/>
      <c r="J344" s="2"/>
      <c r="K344" s="1"/>
      <c r="M344" s="11" t="str">
        <f>IF(F345=B32449,E32449,"")</f>
        <v/>
      </c>
    </row>
    <row r="345" spans="1:14" ht="25.5" x14ac:dyDescent="0.2">
      <c r="A345" s="6"/>
      <c r="B345" s="9" t="s">
        <v>503</v>
      </c>
      <c r="C345" s="8"/>
      <c r="D345" s="9" t="s">
        <v>259</v>
      </c>
      <c r="E345" s="8"/>
      <c r="F345" s="12" t="str">
        <f>'MEDICAL DEVICE'!G117</f>
        <v>Yes</v>
      </c>
      <c r="G345" s="8" t="s">
        <v>14</v>
      </c>
      <c r="H345" s="12"/>
      <c r="I345" s="8"/>
      <c r="J345" s="2"/>
      <c r="K345" s="1"/>
      <c r="L345" s="4" t="s">
        <v>15</v>
      </c>
      <c r="N345" s="4" t="s">
        <v>504</v>
      </c>
    </row>
    <row r="346" spans="1:14" x14ac:dyDescent="0.2">
      <c r="A346" s="6"/>
      <c r="B346" s="470"/>
      <c r="C346" s="470"/>
      <c r="D346" s="470"/>
      <c r="E346" s="470"/>
      <c r="F346" s="470"/>
      <c r="G346" s="470"/>
      <c r="H346" s="10" t="str">
        <f>IF(F347=B32452,C32452,"")</f>
        <v/>
      </c>
      <c r="I346" s="8"/>
      <c r="J346" s="2"/>
      <c r="K346" s="1"/>
      <c r="M346" s="11" t="str">
        <f>IF(F347=B32452,E32452,"")</f>
        <v/>
      </c>
    </row>
    <row r="347" spans="1:14" ht="25.5" x14ac:dyDescent="0.2">
      <c r="A347" s="6"/>
      <c r="B347" s="9" t="s">
        <v>505</v>
      </c>
      <c r="C347" s="8"/>
      <c r="D347" s="9" t="s">
        <v>262</v>
      </c>
      <c r="E347" s="8"/>
      <c r="F347" s="12" t="str">
        <f>'MEDICAL DEVICE'!G118</f>
        <v>No</v>
      </c>
      <c r="G347" s="8" t="s">
        <v>14</v>
      </c>
      <c r="H347" s="12"/>
      <c r="I347" s="8"/>
      <c r="J347" s="2"/>
      <c r="K347" s="1"/>
      <c r="L347" s="4" t="s">
        <v>15</v>
      </c>
      <c r="N347" s="4" t="s">
        <v>506</v>
      </c>
    </row>
    <row r="348" spans="1:14" x14ac:dyDescent="0.2">
      <c r="A348" s="6"/>
      <c r="B348" s="470"/>
      <c r="C348" s="470"/>
      <c r="D348" s="470"/>
      <c r="E348" s="470"/>
      <c r="F348" s="470"/>
      <c r="G348" s="470"/>
      <c r="H348" s="10" t="str">
        <f>IF(F349=B32455,C32455,"")</f>
        <v/>
      </c>
      <c r="I348" s="8"/>
      <c r="J348" s="2"/>
      <c r="K348" s="1"/>
      <c r="M348" s="11" t="str">
        <f>IF(F349=B32455,E32455,"")</f>
        <v/>
      </c>
    </row>
    <row r="349" spans="1:14" ht="25.5" x14ac:dyDescent="0.2">
      <c r="A349" s="6"/>
      <c r="B349" s="9" t="s">
        <v>507</v>
      </c>
      <c r="C349" s="8"/>
      <c r="D349" s="9" t="s">
        <v>265</v>
      </c>
      <c r="E349" s="8"/>
      <c r="F349" s="12" t="str">
        <f>'MEDICAL DEVICE'!G119</f>
        <v>Yes</v>
      </c>
      <c r="G349" s="8" t="s">
        <v>14</v>
      </c>
      <c r="H349" s="12"/>
      <c r="I349" s="8"/>
      <c r="J349" s="2"/>
      <c r="K349" s="1"/>
      <c r="L349" s="4" t="s">
        <v>15</v>
      </c>
      <c r="N349" s="4" t="s">
        <v>508</v>
      </c>
    </row>
    <row r="350" spans="1:14" x14ac:dyDescent="0.2">
      <c r="A350" s="6"/>
      <c r="B350" s="470"/>
      <c r="C350" s="470"/>
      <c r="D350" s="470"/>
      <c r="E350" s="470"/>
      <c r="F350" s="470"/>
      <c r="G350" s="470"/>
      <c r="H350" s="10" t="str">
        <f>IF(F351=B32458,C32458,"")</f>
        <v/>
      </c>
      <c r="I350" s="8"/>
      <c r="J350" s="2"/>
      <c r="K350" s="1"/>
      <c r="M350" s="11" t="str">
        <f>IF(F351=B32458,E32458,"")</f>
        <v/>
      </c>
    </row>
    <row r="351" spans="1:14" ht="25.5" x14ac:dyDescent="0.2">
      <c r="A351" s="6"/>
      <c r="B351" s="9" t="s">
        <v>509</v>
      </c>
      <c r="C351" s="8"/>
      <c r="D351" s="9" t="s">
        <v>268</v>
      </c>
      <c r="E351" s="8"/>
      <c r="F351" s="12" t="str">
        <f>'MEDICAL DEVICE'!G120</f>
        <v>Yes</v>
      </c>
      <c r="G351" s="8" t="s">
        <v>14</v>
      </c>
      <c r="H351" s="12"/>
      <c r="I351" s="8"/>
      <c r="J351" s="2"/>
      <c r="K351" s="1"/>
      <c r="L351" s="4" t="s">
        <v>15</v>
      </c>
      <c r="N351" s="4" t="s">
        <v>510</v>
      </c>
    </row>
    <row r="352" spans="1:14" x14ac:dyDescent="0.2">
      <c r="A352" s="6"/>
      <c r="B352" s="470"/>
      <c r="C352" s="470"/>
      <c r="D352" s="470"/>
      <c r="E352" s="470"/>
      <c r="F352" s="470"/>
      <c r="G352" s="470"/>
      <c r="H352" s="10" t="str">
        <f>IF(F353=B32461,C32461,"")</f>
        <v/>
      </c>
      <c r="I352" s="8"/>
      <c r="J352" s="2"/>
      <c r="K352" s="1"/>
      <c r="M352" s="11" t="str">
        <f>IF(F353=B32461,E32461,"")</f>
        <v/>
      </c>
    </row>
    <row r="353" spans="1:14" ht="25.5" x14ac:dyDescent="0.2">
      <c r="A353" s="6"/>
      <c r="B353" s="9" t="s">
        <v>511</v>
      </c>
      <c r="C353" s="8"/>
      <c r="D353" s="9" t="s">
        <v>271</v>
      </c>
      <c r="E353" s="8"/>
      <c r="F353" s="12" t="str">
        <f>'MEDICAL DEVICE'!G121</f>
        <v>Yes</v>
      </c>
      <c r="G353" s="8" t="s">
        <v>14</v>
      </c>
      <c r="H353" s="12"/>
      <c r="I353" s="8"/>
      <c r="J353" s="2"/>
      <c r="K353" s="1"/>
      <c r="L353" s="4" t="s">
        <v>15</v>
      </c>
      <c r="N353" s="4" t="s">
        <v>512</v>
      </c>
    </row>
    <row r="354" spans="1:14" x14ac:dyDescent="0.2">
      <c r="A354" s="6"/>
      <c r="B354" s="470"/>
      <c r="C354" s="470"/>
      <c r="D354" s="470"/>
      <c r="E354" s="470"/>
      <c r="F354" s="470"/>
      <c r="G354" s="470"/>
      <c r="H354" s="10" t="str">
        <f>IF(F355=B32464,C32464,"")</f>
        <v/>
      </c>
      <c r="I354" s="8"/>
      <c r="J354" s="2"/>
      <c r="K354" s="1"/>
      <c r="M354" s="11" t="str">
        <f>IF(F355=B32464,E32464,"")</f>
        <v/>
      </c>
    </row>
    <row r="355" spans="1:14" ht="25.5" x14ac:dyDescent="0.2">
      <c r="A355" s="6"/>
      <c r="B355" s="9" t="s">
        <v>513</v>
      </c>
      <c r="C355" s="8"/>
      <c r="D355" s="9" t="s">
        <v>514</v>
      </c>
      <c r="E355" s="8"/>
      <c r="F355" s="12" t="str">
        <f>'MEDICAL DEVICE'!G122</f>
        <v>No</v>
      </c>
      <c r="G355" s="8" t="s">
        <v>14</v>
      </c>
      <c r="H355" s="12"/>
      <c r="I355" s="8"/>
      <c r="J355" s="2"/>
      <c r="K355" s="1"/>
      <c r="L355" s="4" t="s">
        <v>15</v>
      </c>
      <c r="N355" s="4" t="s">
        <v>515</v>
      </c>
    </row>
    <row r="356" spans="1:14" x14ac:dyDescent="0.2">
      <c r="A356" s="6"/>
      <c r="B356" s="470"/>
      <c r="C356" s="470"/>
      <c r="D356" s="470"/>
      <c r="E356" s="470"/>
      <c r="F356" s="470"/>
      <c r="G356" s="470"/>
      <c r="H356" s="10" t="str">
        <f>IF(F357=B32467,C32467,"")</f>
        <v/>
      </c>
      <c r="I356" s="8"/>
      <c r="J356" s="2"/>
      <c r="K356" s="1"/>
      <c r="M356" s="11" t="str">
        <f>IF(F357=B32467,E32467,"")</f>
        <v/>
      </c>
    </row>
    <row r="357" spans="1:14" ht="25.5" x14ac:dyDescent="0.2">
      <c r="A357" s="6"/>
      <c r="B357" s="9" t="s">
        <v>516</v>
      </c>
      <c r="C357" s="8"/>
      <c r="D357" s="9" t="s">
        <v>517</v>
      </c>
      <c r="E357" s="8"/>
      <c r="F357" s="12" t="str">
        <f>'MEDICAL DEVICE'!G124</f>
        <v>Yes</v>
      </c>
      <c r="G357" s="8" t="s">
        <v>14</v>
      </c>
      <c r="H357" s="12"/>
      <c r="I357" s="8"/>
      <c r="J357" s="2"/>
      <c r="K357" s="1"/>
      <c r="L357" s="4" t="s">
        <v>15</v>
      </c>
      <c r="N357" s="4" t="s">
        <v>518</v>
      </c>
    </row>
    <row r="358" spans="1:14" x14ac:dyDescent="0.2">
      <c r="A358" s="6"/>
      <c r="B358" s="470"/>
      <c r="C358" s="470"/>
      <c r="D358" s="470"/>
      <c r="E358" s="470"/>
      <c r="F358" s="470"/>
      <c r="G358" s="470"/>
      <c r="H358" s="10" t="str">
        <f>IF(F359=B32470,C32470,"")</f>
        <v/>
      </c>
      <c r="I358" s="8"/>
      <c r="J358" s="2"/>
      <c r="K358" s="1"/>
      <c r="M358" s="11" t="str">
        <f>IF(F359=B32470,E32470,"")</f>
        <v/>
      </c>
    </row>
    <row r="359" spans="1:14" ht="25.5" x14ac:dyDescent="0.2">
      <c r="A359" s="6"/>
      <c r="B359" s="9" t="s">
        <v>519</v>
      </c>
      <c r="C359" s="8"/>
      <c r="D359" s="9" t="s">
        <v>520</v>
      </c>
      <c r="E359" s="8"/>
      <c r="F359" s="12" t="str">
        <f>'MEDICAL DEVICE'!G126</f>
        <v>Yes</v>
      </c>
      <c r="G359" s="8" t="s">
        <v>14</v>
      </c>
      <c r="H359" s="12"/>
      <c r="I359" s="8"/>
      <c r="J359" s="2"/>
      <c r="K359" s="1"/>
      <c r="L359" s="4" t="s">
        <v>15</v>
      </c>
      <c r="N359" s="4" t="s">
        <v>521</v>
      </c>
    </row>
    <row r="360" spans="1:14" x14ac:dyDescent="0.2">
      <c r="A360" s="6"/>
      <c r="B360" s="470"/>
      <c r="C360" s="470"/>
      <c r="D360" s="470"/>
      <c r="E360" s="470"/>
      <c r="F360" s="470"/>
      <c r="G360" s="470"/>
      <c r="H360" s="10" t="str">
        <f>IF(F361=B32473,C32473,"")</f>
        <v/>
      </c>
      <c r="I360" s="8"/>
      <c r="J360" s="2"/>
      <c r="K360" s="1"/>
      <c r="M360" s="11" t="str">
        <f>IF(F361=B32473,E32473,"")</f>
        <v/>
      </c>
    </row>
    <row r="361" spans="1:14" ht="25.5" x14ac:dyDescent="0.2">
      <c r="A361" s="6"/>
      <c r="B361" s="9" t="s">
        <v>522</v>
      </c>
      <c r="C361" s="8"/>
      <c r="D361" s="9" t="s">
        <v>523</v>
      </c>
      <c r="E361" s="8"/>
      <c r="F361" s="12" t="str">
        <f>'MEDICAL DEVICE'!G127</f>
        <v>Yes</v>
      </c>
      <c r="G361" s="8" t="s">
        <v>14</v>
      </c>
      <c r="H361" s="12"/>
      <c r="I361" s="8"/>
      <c r="J361" s="2"/>
      <c r="K361" s="1"/>
      <c r="L361" s="4" t="s">
        <v>15</v>
      </c>
      <c r="N361" s="4" t="s">
        <v>524</v>
      </c>
    </row>
    <row r="362" spans="1:14" x14ac:dyDescent="0.2">
      <c r="A362" s="6"/>
      <c r="B362" s="470"/>
      <c r="C362" s="470"/>
      <c r="D362" s="470"/>
      <c r="E362" s="470"/>
      <c r="F362" s="470"/>
      <c r="G362" s="470"/>
      <c r="H362" s="10" t="str">
        <f>IF(F363=B32476,C32476,"")</f>
        <v/>
      </c>
      <c r="I362" s="8"/>
      <c r="J362" s="2"/>
      <c r="K362" s="1"/>
      <c r="M362" s="11" t="str">
        <f>IF(F363=B32476,E32476,"")</f>
        <v/>
      </c>
    </row>
    <row r="363" spans="1:14" ht="25.5" x14ac:dyDescent="0.2">
      <c r="A363" s="6"/>
      <c r="B363" s="9" t="s">
        <v>525</v>
      </c>
      <c r="C363" s="8"/>
      <c r="D363" s="9" t="s">
        <v>526</v>
      </c>
      <c r="E363" s="8"/>
      <c r="F363" s="12" t="str">
        <f>'MEDICAL DEVICE'!G128</f>
        <v>Yes</v>
      </c>
      <c r="G363" s="8" t="s">
        <v>14</v>
      </c>
      <c r="H363" s="12"/>
      <c r="I363" s="8"/>
      <c r="J363" s="2"/>
      <c r="K363" s="1"/>
      <c r="L363" s="4" t="s">
        <v>15</v>
      </c>
      <c r="N363" s="4" t="s">
        <v>527</v>
      </c>
    </row>
    <row r="364" spans="1:14" x14ac:dyDescent="0.2">
      <c r="A364" s="6"/>
      <c r="B364" s="470"/>
      <c r="C364" s="470"/>
      <c r="D364" s="470"/>
      <c r="E364" s="470"/>
      <c r="F364" s="470"/>
      <c r="G364" s="470"/>
      <c r="H364" s="10" t="str">
        <f>IF(F365=B32479,C32479,"")</f>
        <v/>
      </c>
      <c r="I364" s="8"/>
      <c r="J364" s="2"/>
      <c r="K364" s="1"/>
      <c r="M364" s="11" t="str">
        <f>IF(F365=B32479,E32479,"")</f>
        <v/>
      </c>
    </row>
    <row r="365" spans="1:14" ht="25.5" x14ac:dyDescent="0.2">
      <c r="A365" s="6"/>
      <c r="B365" s="9" t="s">
        <v>528</v>
      </c>
      <c r="C365" s="8"/>
      <c r="D365" s="9" t="s">
        <v>529</v>
      </c>
      <c r="E365" s="8"/>
      <c r="F365" s="12" t="str">
        <f>'MEDICAL DEVICE'!G129</f>
        <v>Yes</v>
      </c>
      <c r="G365" s="8" t="s">
        <v>14</v>
      </c>
      <c r="H365" s="12"/>
      <c r="I365" s="8"/>
      <c r="J365" s="2"/>
      <c r="K365" s="1"/>
      <c r="L365" s="4" t="s">
        <v>15</v>
      </c>
      <c r="N365" s="4" t="s">
        <v>530</v>
      </c>
    </row>
    <row r="366" spans="1:14" x14ac:dyDescent="0.2">
      <c r="A366" s="6"/>
      <c r="B366" s="470"/>
      <c r="C366" s="470"/>
      <c r="D366" s="470"/>
      <c r="E366" s="470"/>
      <c r="F366" s="470"/>
      <c r="G366" s="470"/>
      <c r="H366" s="10" t="str">
        <f>IF(F367=B32480,C32480,"")&amp;IF(F367=B32482,C32482,"")</f>
        <v>Comments:</v>
      </c>
      <c r="I366" s="8"/>
      <c r="J366" s="2"/>
      <c r="K366" s="1"/>
      <c r="M366" s="11" t="str">
        <f>IF(F367=B32480,E32480,"")&amp;IF(F367=B32482,E32482,"")</f>
        <v>1</v>
      </c>
    </row>
    <row r="367" spans="1:14" ht="38.25" x14ac:dyDescent="0.2">
      <c r="A367" s="6"/>
      <c r="B367" s="9" t="s">
        <v>531</v>
      </c>
      <c r="C367" s="8"/>
      <c r="D367" s="9" t="s">
        <v>532</v>
      </c>
      <c r="E367" s="8"/>
      <c r="F367" s="12" t="str">
        <f>'MEDICAL DEVICE'!G131</f>
        <v>N/A</v>
      </c>
      <c r="G367" s="8" t="s">
        <v>14</v>
      </c>
      <c r="H367" s="12" t="str">
        <f>'MEDICAL DEVICE'!I131</f>
        <v>The software is installed using standard Windows installer (MSI) packages.</v>
      </c>
      <c r="I367" s="8"/>
      <c r="J367" s="2"/>
      <c r="K367" s="1"/>
      <c r="L367" s="4" t="s">
        <v>15</v>
      </c>
      <c r="N367" s="4" t="s">
        <v>533</v>
      </c>
    </row>
    <row r="368" spans="1:14" x14ac:dyDescent="0.2">
      <c r="A368" s="6"/>
      <c r="B368" s="470"/>
      <c r="C368" s="470"/>
      <c r="D368" s="470"/>
      <c r="E368" s="470"/>
      <c r="F368" s="470"/>
      <c r="G368" s="470"/>
      <c r="H368" s="10" t="str">
        <f>IF(F369=B32483,C32483,"")&amp;IF(F369=B32485,C32485,"")</f>
        <v>Comments:</v>
      </c>
      <c r="I368" s="8"/>
      <c r="J368" s="2"/>
      <c r="K368" s="1"/>
      <c r="M368" s="11" t="str">
        <f>IF(F369=B32483,E32483,"")&amp;IF(F369=B32485,E32485,"")</f>
        <v>2</v>
      </c>
    </row>
    <row r="369" spans="1:14" ht="38.25" x14ac:dyDescent="0.2">
      <c r="A369" s="6"/>
      <c r="B369" s="9" t="s">
        <v>534</v>
      </c>
      <c r="C369" s="8"/>
      <c r="D369" s="9" t="s">
        <v>535</v>
      </c>
      <c r="E369" s="8"/>
      <c r="F369" s="12" t="str">
        <f>'MEDICAL DEVICE'!G133</f>
        <v>Yes</v>
      </c>
      <c r="G369" s="8" t="s">
        <v>14</v>
      </c>
      <c r="H369" s="12" t="str">
        <f>'MEDICAL DEVICE'!I133</f>
        <v>The only standalone 3rd party tool is Lyniate Rhapsody (HL7 integration engine). Tools embedded into the software solution are inventoried, reviewed and coverd by the application testing mentioned above</v>
      </c>
      <c r="I369" s="8"/>
      <c r="J369" s="2"/>
      <c r="K369" s="1"/>
      <c r="L369" s="4" t="s">
        <v>15</v>
      </c>
      <c r="N369" s="4" t="s">
        <v>536</v>
      </c>
    </row>
    <row r="370" spans="1:14" x14ac:dyDescent="0.2">
      <c r="A370" s="6"/>
      <c r="B370" s="470"/>
      <c r="C370" s="470"/>
      <c r="D370" s="470"/>
      <c r="E370" s="470"/>
      <c r="F370" s="470"/>
      <c r="G370" s="470"/>
      <c r="H370" s="10" t="str">
        <f>IF(F371=B32488,C32488,"")</f>
        <v/>
      </c>
      <c r="I370" s="8"/>
      <c r="J370" s="2"/>
      <c r="K370" s="1"/>
      <c r="M370" s="11" t="str">
        <f>IF(F371=B32488,E32488,"")</f>
        <v/>
      </c>
    </row>
    <row r="371" spans="1:14" ht="38.25" x14ac:dyDescent="0.2">
      <c r="A371" s="6"/>
      <c r="B371" s="9" t="s">
        <v>537</v>
      </c>
      <c r="C371" s="8"/>
      <c r="D371" s="9" t="s">
        <v>538</v>
      </c>
      <c r="E371" s="8"/>
      <c r="F371" s="12" t="str">
        <f>'MEDICAL DEVICE'!G134</f>
        <v>Yes</v>
      </c>
      <c r="G371" s="8" t="s">
        <v>14</v>
      </c>
      <c r="H371" s="12"/>
      <c r="I371" s="8"/>
      <c r="J371" s="2"/>
      <c r="K371" s="1"/>
      <c r="L371" s="4" t="s">
        <v>15</v>
      </c>
      <c r="N371" s="4" t="s">
        <v>539</v>
      </c>
    </row>
    <row r="372" spans="1:14" x14ac:dyDescent="0.2">
      <c r="A372" s="6"/>
      <c r="B372" s="470"/>
      <c r="C372" s="470"/>
      <c r="D372" s="470"/>
      <c r="E372" s="470"/>
      <c r="F372" s="470"/>
      <c r="G372" s="470"/>
      <c r="H372" s="10" t="str">
        <f>IF(F373=B32491,C32491,"")</f>
        <v/>
      </c>
      <c r="I372" s="8"/>
      <c r="J372" s="2"/>
      <c r="K372" s="1"/>
      <c r="M372" s="11" t="str">
        <f>IF(F373=B32491,E32491,"")</f>
        <v/>
      </c>
    </row>
    <row r="373" spans="1:14" ht="25.5" x14ac:dyDescent="0.2">
      <c r="A373" s="6"/>
      <c r="B373" s="9" t="s">
        <v>540</v>
      </c>
      <c r="C373" s="8"/>
      <c r="D373" s="9" t="s">
        <v>541</v>
      </c>
      <c r="E373" s="8"/>
      <c r="F373" s="12" t="str">
        <f>'MEDICAL DEVICE'!G135</f>
        <v>Yes</v>
      </c>
      <c r="G373" s="8" t="s">
        <v>14</v>
      </c>
      <c r="H373" s="12"/>
      <c r="I373" s="8"/>
      <c r="J373" s="2"/>
      <c r="K373" s="1"/>
      <c r="L373" s="4" t="s">
        <v>15</v>
      </c>
      <c r="N373" s="4" t="s">
        <v>542</v>
      </c>
    </row>
    <row r="374" spans="1:14" x14ac:dyDescent="0.2">
      <c r="A374" s="6"/>
      <c r="B374" s="470"/>
      <c r="C374" s="470"/>
      <c r="D374" s="470"/>
      <c r="E374" s="470"/>
      <c r="F374" s="470"/>
      <c r="G374" s="470"/>
      <c r="H374" s="10" t="str">
        <f>IF(F375=B32498,C32498,"")</f>
        <v/>
      </c>
      <c r="I374" s="8"/>
      <c r="J374" s="2"/>
      <c r="K374" s="1"/>
      <c r="M374" s="11" t="str">
        <f>IF(F375=B32498,E32498,"")</f>
        <v/>
      </c>
    </row>
    <row r="375" spans="1:14" ht="25.5" x14ac:dyDescent="0.2">
      <c r="A375" s="6"/>
      <c r="B375" s="9" t="s">
        <v>543</v>
      </c>
      <c r="C375" s="8"/>
      <c r="D375" s="9" t="s">
        <v>544</v>
      </c>
      <c r="E375" s="8"/>
      <c r="F375" s="12" t="str">
        <f>'MEDICAL DEVICE'!G137</f>
        <v>Software-only product</v>
      </c>
      <c r="G375" s="8" t="s">
        <v>14</v>
      </c>
      <c r="H375" s="12">
        <f>'MEDICAL DEVICE'!I137</f>
        <v>0</v>
      </c>
      <c r="I375" s="8"/>
      <c r="J375" s="2"/>
      <c r="K375" s="1"/>
      <c r="L375" s="4" t="s">
        <v>15</v>
      </c>
      <c r="N375" s="4" t="s">
        <v>545</v>
      </c>
    </row>
    <row r="376" spans="1:14" x14ac:dyDescent="0.2">
      <c r="A376" s="6"/>
      <c r="B376" s="470"/>
      <c r="C376" s="470"/>
      <c r="D376" s="470"/>
      <c r="E376" s="470"/>
      <c r="F376" s="470"/>
      <c r="G376" s="470"/>
      <c r="H376" s="10" t="str">
        <f>IF(F377=B32504,C32504,"")</f>
        <v/>
      </c>
      <c r="I376" s="8"/>
      <c r="J376" s="2"/>
      <c r="K376" s="1"/>
      <c r="M376" s="11" t="str">
        <f>IF(F377=B32504,E32504,"")</f>
        <v/>
      </c>
    </row>
    <row r="377" spans="1:14" ht="25.5" x14ac:dyDescent="0.2">
      <c r="A377" s="6"/>
      <c r="B377" s="9" t="s">
        <v>546</v>
      </c>
      <c r="C377" s="8"/>
      <c r="D377" s="9" t="s">
        <v>547</v>
      </c>
      <c r="E377" s="8"/>
      <c r="F377" s="12" t="str">
        <f>'MEDICAL DEVICE'!G140</f>
        <v>Remote troubleshooting via Remote Desktop</v>
      </c>
      <c r="G377" s="8" t="s">
        <v>14</v>
      </c>
      <c r="H377" s="12" t="str">
        <f>'MEDICAL DEVICE'!I140</f>
        <v>and remote installation and monitoring</v>
      </c>
      <c r="I377" s="8"/>
      <c r="J377" s="2"/>
      <c r="K377" s="1"/>
      <c r="L377" s="4" t="s">
        <v>15</v>
      </c>
      <c r="N377" s="4" t="s">
        <v>548</v>
      </c>
    </row>
    <row r="378" spans="1:14" x14ac:dyDescent="0.2">
      <c r="A378" s="6"/>
      <c r="B378" s="470"/>
      <c r="C378" s="470"/>
      <c r="D378" s="470"/>
      <c r="E378" s="470"/>
      <c r="F378" s="470"/>
      <c r="G378" s="470"/>
      <c r="H378" s="10" t="str">
        <f>IF(F379=B32505,C32505,"")</f>
        <v>Comments:</v>
      </c>
      <c r="I378" s="8"/>
      <c r="J378" s="2"/>
      <c r="K378" s="1"/>
      <c r="M378" s="11" t="str">
        <f>IF(F379=B32505,E32505,"")</f>
        <v>2</v>
      </c>
    </row>
    <row r="379" spans="1:14" ht="76.5" x14ac:dyDescent="0.2">
      <c r="A379" s="6"/>
      <c r="B379" s="9" t="s">
        <v>549</v>
      </c>
      <c r="C379" s="8"/>
      <c r="D379" s="30" t="s">
        <v>313</v>
      </c>
      <c r="E379" s="8"/>
      <c r="F379" s="12" t="str">
        <f>'MEDICAL DEVICE'!G143</f>
        <v>No</v>
      </c>
      <c r="G379" s="8" t="s">
        <v>14</v>
      </c>
      <c r="H379" s="12" t="str">
        <f>'MEDICAL DEVICE'!I143</f>
        <v>PeriWatch Vigilance is a 100% browser-based solution that can be access from any device that is authrized to access the network. PeriGen has a mobile version of the site that is adapted to the mobile device screen format. This option is to be discussed as part of deployment planning.</v>
      </c>
      <c r="I379" s="8"/>
      <c r="J379" s="2"/>
      <c r="K379" s="1"/>
      <c r="L379" s="4" t="s">
        <v>15</v>
      </c>
      <c r="N379" s="4" t="s">
        <v>550</v>
      </c>
    </row>
    <row r="380" spans="1:14" x14ac:dyDescent="0.2">
      <c r="A380" s="6"/>
      <c r="B380" s="470"/>
      <c r="C380" s="470"/>
      <c r="D380" s="470"/>
      <c r="E380" s="470"/>
      <c r="F380" s="470"/>
      <c r="G380" s="470"/>
      <c r="H380" s="10" t="str">
        <f>IF(F381=B32508,C32508,"")</f>
        <v>Enter Response</v>
      </c>
      <c r="I380" s="8"/>
      <c r="J380" s="2"/>
      <c r="K380" s="1"/>
      <c r="M380" s="11" t="str">
        <f>IF(F381=B32508,E32508,"")</f>
        <v>2</v>
      </c>
    </row>
    <row r="381" spans="1:14" ht="25.5" x14ac:dyDescent="0.2">
      <c r="A381" s="6"/>
      <c r="B381" s="9" t="s">
        <v>551</v>
      </c>
      <c r="C381" s="8"/>
      <c r="D381" s="30" t="s">
        <v>552</v>
      </c>
      <c r="E381" s="8"/>
      <c r="F381" s="5" t="s">
        <v>13</v>
      </c>
      <c r="G381" s="8" t="s">
        <v>14</v>
      </c>
      <c r="H381" s="12">
        <f>'MEDICAL DEVICE'!I144</f>
        <v>0</v>
      </c>
      <c r="I381" s="8"/>
      <c r="J381" s="2"/>
      <c r="K381" s="1"/>
      <c r="L381" s="4" t="s">
        <v>15</v>
      </c>
      <c r="N381" s="4" t="s">
        <v>553</v>
      </c>
    </row>
    <row r="382" spans="1:14" ht="27.6" customHeight="1" x14ac:dyDescent="0.2">
      <c r="A382" s="6"/>
      <c r="B382" s="475" t="s">
        <v>554</v>
      </c>
      <c r="C382" s="476"/>
      <c r="D382" s="476"/>
      <c r="E382" s="476"/>
      <c r="F382" s="476"/>
      <c r="G382" s="476"/>
      <c r="H382" s="476"/>
      <c r="I382" s="477"/>
      <c r="J382" s="2"/>
      <c r="K382" s="1"/>
      <c r="L382" s="4"/>
      <c r="N382" s="4"/>
    </row>
    <row r="383" spans="1:14" x14ac:dyDescent="0.2">
      <c r="A383" s="6"/>
      <c r="B383" s="470"/>
      <c r="C383" s="470"/>
      <c r="D383" s="470"/>
      <c r="E383" s="470"/>
      <c r="F383" s="470"/>
      <c r="G383" s="470"/>
      <c r="H383" s="10" t="str">
        <f>IF(F384=B32510,C32510,"")</f>
        <v>Enter Response</v>
      </c>
      <c r="I383" s="8"/>
      <c r="J383" s="2"/>
      <c r="K383" s="1"/>
      <c r="M383" s="11" t="str">
        <f>IF(F384=B32510,E32510,"")</f>
        <v>2</v>
      </c>
    </row>
    <row r="384" spans="1:14" ht="25.5" x14ac:dyDescent="0.2">
      <c r="A384" s="6"/>
      <c r="B384" s="9" t="s">
        <v>555</v>
      </c>
      <c r="C384" s="8"/>
      <c r="D384" s="9" t="s">
        <v>556</v>
      </c>
      <c r="E384" s="8"/>
      <c r="F384" s="5" t="s">
        <v>13</v>
      </c>
      <c r="G384" s="8" t="s">
        <v>14</v>
      </c>
      <c r="H384" s="12">
        <f>'VENDOR HOSTED'!I4</f>
        <v>0</v>
      </c>
      <c r="I384" s="8"/>
      <c r="J384" s="2"/>
      <c r="K384" s="1"/>
      <c r="L384" s="4" t="s">
        <v>15</v>
      </c>
      <c r="N384" s="4" t="s">
        <v>557</v>
      </c>
    </row>
    <row r="385" spans="1:14" x14ac:dyDescent="0.2">
      <c r="A385" s="6"/>
      <c r="B385" s="470"/>
      <c r="C385" s="470"/>
      <c r="D385" s="470"/>
      <c r="E385" s="470"/>
      <c r="F385" s="470"/>
      <c r="G385" s="470"/>
      <c r="H385" s="10" t="str">
        <f>IF(F386=B32512,C32512,"")</f>
        <v>Enter Response</v>
      </c>
      <c r="I385" s="8"/>
      <c r="J385" s="2"/>
      <c r="K385" s="1"/>
      <c r="M385" s="11" t="str">
        <f>IF(F386=B32512,E32512,"")</f>
        <v>2</v>
      </c>
    </row>
    <row r="386" spans="1:14" ht="25.5" x14ac:dyDescent="0.2">
      <c r="A386" s="6"/>
      <c r="B386" s="9" t="s">
        <v>558</v>
      </c>
      <c r="C386" s="8"/>
      <c r="D386" s="9" t="s">
        <v>559</v>
      </c>
      <c r="E386" s="8"/>
      <c r="F386" s="5" t="s">
        <v>13</v>
      </c>
      <c r="G386" s="8" t="s">
        <v>14</v>
      </c>
      <c r="H386" s="12">
        <f>'VENDOR HOSTED'!I5</f>
        <v>0</v>
      </c>
      <c r="I386" s="8"/>
      <c r="J386" s="2"/>
      <c r="K386" s="1"/>
      <c r="L386" s="4" t="s">
        <v>15</v>
      </c>
      <c r="N386" s="4" t="s">
        <v>560</v>
      </c>
    </row>
    <row r="387" spans="1:14" x14ac:dyDescent="0.2">
      <c r="A387" s="6"/>
      <c r="B387" s="470"/>
      <c r="C387" s="470"/>
      <c r="D387" s="470"/>
      <c r="E387" s="470"/>
      <c r="F387" s="470"/>
      <c r="G387" s="470"/>
      <c r="H387" s="10" t="str">
        <f>IF(F388=B32514,C32514,"")</f>
        <v>Enter Response</v>
      </c>
      <c r="I387" s="8"/>
      <c r="J387" s="2"/>
      <c r="K387" s="1"/>
      <c r="M387" s="11" t="str">
        <f>IF(F388=B32514,E32514,"")</f>
        <v>2</v>
      </c>
    </row>
    <row r="388" spans="1:14" ht="25.5" x14ac:dyDescent="0.2">
      <c r="A388" s="6"/>
      <c r="B388" s="9" t="s">
        <v>561</v>
      </c>
      <c r="C388" s="8"/>
      <c r="D388" s="9" t="s">
        <v>562</v>
      </c>
      <c r="E388" s="8"/>
      <c r="F388" s="5" t="s">
        <v>13</v>
      </c>
      <c r="G388" s="8" t="s">
        <v>14</v>
      </c>
      <c r="H388" s="12">
        <f>'VENDOR HOSTED'!I6</f>
        <v>0</v>
      </c>
      <c r="I388" s="8"/>
      <c r="J388" s="2"/>
      <c r="K388" s="1"/>
      <c r="L388" s="4" t="s">
        <v>15</v>
      </c>
      <c r="N388" s="4" t="s">
        <v>563</v>
      </c>
    </row>
    <row r="389" spans="1:14" x14ac:dyDescent="0.2">
      <c r="A389" s="6"/>
      <c r="B389" s="470"/>
      <c r="C389" s="470"/>
      <c r="D389" s="470"/>
      <c r="E389" s="470"/>
      <c r="F389" s="470"/>
      <c r="G389" s="470"/>
      <c r="H389" s="10" t="str">
        <f>IF(F390=B32516,C32516,"")&amp;IF(F390=B32517,C32517,"")</f>
        <v/>
      </c>
      <c r="I389" s="8"/>
      <c r="J389" s="2"/>
      <c r="K389" s="1"/>
      <c r="M389" s="11" t="str">
        <f>IF(F390=B32517,E32517,"")</f>
        <v/>
      </c>
    </row>
    <row r="390" spans="1:14" ht="38.25" x14ac:dyDescent="0.2">
      <c r="A390" s="6"/>
      <c r="B390" s="9" t="s">
        <v>564</v>
      </c>
      <c r="C390" s="8"/>
      <c r="D390" s="9" t="s">
        <v>565</v>
      </c>
      <c r="E390" s="8"/>
      <c r="F390" s="5">
        <f>'VENDOR HOSTED'!I8</f>
        <v>0</v>
      </c>
      <c r="G390" s="8" t="s">
        <v>14</v>
      </c>
      <c r="H390" s="12">
        <f>'VENDOR HOSTED'!W8</f>
        <v>0</v>
      </c>
      <c r="I390" s="8"/>
      <c r="J390" s="2"/>
      <c r="K390" s="1"/>
      <c r="L390" s="4" t="s">
        <v>15</v>
      </c>
      <c r="N390" s="4" t="s">
        <v>566</v>
      </c>
    </row>
    <row r="391" spans="1:14" x14ac:dyDescent="0.2">
      <c r="A391" s="6"/>
      <c r="B391" s="470"/>
      <c r="C391" s="470"/>
      <c r="D391" s="470"/>
      <c r="E391" s="470"/>
      <c r="F391" s="470"/>
      <c r="G391" s="470"/>
      <c r="H391" s="10" t="str">
        <f>IF(F392=B32519,C32519,"")&amp;IF(F392=B32521,C32521,"")</f>
        <v/>
      </c>
      <c r="I391" s="8"/>
      <c r="J391" s="2"/>
      <c r="K391" s="1"/>
      <c r="M391" s="11" t="str">
        <f>IF(F392=B32519,E32519,"")&amp;IF(F392=B32521,E32521,"")</f>
        <v/>
      </c>
    </row>
    <row r="392" spans="1:14" ht="51" x14ac:dyDescent="0.2">
      <c r="A392" s="6"/>
      <c r="B392" s="9" t="s">
        <v>567</v>
      </c>
      <c r="C392" s="8"/>
      <c r="D392" s="9" t="s">
        <v>568</v>
      </c>
      <c r="E392" s="8"/>
      <c r="F392" s="5">
        <f>'VENDOR HOSTED'!I11</f>
        <v>0</v>
      </c>
      <c r="G392" s="8" t="s">
        <v>14</v>
      </c>
      <c r="H392" s="12">
        <f>'VENDOR HOSTED'!W11</f>
        <v>0</v>
      </c>
      <c r="I392" s="8"/>
      <c r="J392" s="2"/>
      <c r="K392" s="1"/>
      <c r="L392" s="4" t="s">
        <v>15</v>
      </c>
      <c r="N392" s="4" t="s">
        <v>569</v>
      </c>
    </row>
    <row r="393" spans="1:14" x14ac:dyDescent="0.2">
      <c r="A393" s="6"/>
      <c r="B393" s="470"/>
      <c r="C393" s="470"/>
      <c r="D393" s="470"/>
      <c r="E393" s="470"/>
      <c r="F393" s="470"/>
      <c r="G393" s="470"/>
      <c r="H393" s="10" t="str">
        <f>IF(F394=B32522,C32522,"")&amp;IF(F394=B32524,C32524,"")</f>
        <v/>
      </c>
      <c r="I393" s="8"/>
      <c r="J393" s="2"/>
      <c r="K393" s="1"/>
      <c r="M393" s="11" t="str">
        <f>IF(F394=B32522,E32522,"")&amp;IF(F394=B32524,E32524,"")</f>
        <v/>
      </c>
    </row>
    <row r="394" spans="1:14" ht="38.25" x14ac:dyDescent="0.2">
      <c r="A394" s="6"/>
      <c r="B394" s="9" t="s">
        <v>570</v>
      </c>
      <c r="C394" s="8"/>
      <c r="D394" s="9" t="s">
        <v>571</v>
      </c>
      <c r="E394" s="8"/>
      <c r="F394" s="5">
        <f>'VENDOR HOSTED'!I13</f>
        <v>0</v>
      </c>
      <c r="G394" s="8" t="s">
        <v>14</v>
      </c>
      <c r="H394" s="12">
        <f>'VENDOR HOSTED'!W13</f>
        <v>0</v>
      </c>
      <c r="I394" s="8"/>
      <c r="J394" s="2"/>
      <c r="K394" s="1"/>
      <c r="L394" s="4" t="s">
        <v>15</v>
      </c>
      <c r="N394" s="4" t="s">
        <v>572</v>
      </c>
    </row>
    <row r="395" spans="1:14" x14ac:dyDescent="0.2">
      <c r="A395" s="6"/>
      <c r="B395" s="470"/>
      <c r="C395" s="470"/>
      <c r="D395" s="470"/>
      <c r="E395" s="470"/>
      <c r="F395" s="470"/>
      <c r="G395" s="470"/>
      <c r="H395" s="10" t="str">
        <f>IF(F396=B32525,C32525,"")&amp;IF(F396=B32527,C32527,"")</f>
        <v/>
      </c>
      <c r="I395" s="8"/>
      <c r="J395" s="2"/>
      <c r="K395" s="1"/>
      <c r="M395" s="11" t="str">
        <f>IF(F396=B32525,E32525,"")&amp;IF(F396=B32527,E32527,"")</f>
        <v/>
      </c>
    </row>
    <row r="396" spans="1:14" ht="51" x14ac:dyDescent="0.2">
      <c r="A396" s="6"/>
      <c r="B396" s="9" t="s">
        <v>573</v>
      </c>
      <c r="C396" s="8"/>
      <c r="D396" s="9" t="s">
        <v>574</v>
      </c>
      <c r="E396" s="8"/>
      <c r="F396" s="5">
        <f>'VENDOR HOSTED'!I15</f>
        <v>0</v>
      </c>
      <c r="G396" s="8" t="s">
        <v>14</v>
      </c>
      <c r="H396" s="12">
        <f>'VENDOR HOSTED'!W15</f>
        <v>0</v>
      </c>
      <c r="I396" s="8"/>
      <c r="J396" s="2"/>
      <c r="K396" s="1"/>
      <c r="L396" s="4" t="s">
        <v>15</v>
      </c>
      <c r="N396" s="4" t="s">
        <v>575</v>
      </c>
    </row>
    <row r="397" spans="1:14" x14ac:dyDescent="0.2">
      <c r="A397" s="6"/>
      <c r="B397" s="470"/>
      <c r="C397" s="470"/>
      <c r="D397" s="470"/>
      <c r="E397" s="470"/>
      <c r="F397" s="470"/>
      <c r="G397" s="470"/>
      <c r="H397" s="10" t="str">
        <f>IF(F398=B32528,C32528,"")&amp;IF(F398=B32530,C32530,"")</f>
        <v/>
      </c>
      <c r="I397" s="8"/>
      <c r="J397" s="2"/>
      <c r="K397" s="1"/>
      <c r="M397" s="11" t="str">
        <f>IF(F398=B32528,E32528,"")&amp;IF(F398=B32530,E32530,"")</f>
        <v/>
      </c>
    </row>
    <row r="398" spans="1:14" ht="38.25" x14ac:dyDescent="0.2">
      <c r="A398" s="6"/>
      <c r="B398" s="9" t="s">
        <v>576</v>
      </c>
      <c r="C398" s="8"/>
      <c r="D398" s="9" t="s">
        <v>577</v>
      </c>
      <c r="E398" s="8"/>
      <c r="F398" s="5">
        <f>'VENDOR HOSTED'!I17</f>
        <v>0</v>
      </c>
      <c r="G398" s="8" t="s">
        <v>14</v>
      </c>
      <c r="H398" s="12">
        <f>'VENDOR HOSTED'!W17</f>
        <v>0</v>
      </c>
      <c r="I398" s="8"/>
      <c r="J398" s="2"/>
      <c r="K398" s="1"/>
      <c r="L398" s="4" t="s">
        <v>15</v>
      </c>
      <c r="N398" s="4" t="s">
        <v>578</v>
      </c>
    </row>
    <row r="399" spans="1:14" x14ac:dyDescent="0.2">
      <c r="A399" s="6"/>
      <c r="B399" s="470"/>
      <c r="C399" s="470"/>
      <c r="D399" s="470"/>
      <c r="E399" s="470"/>
      <c r="F399" s="470"/>
      <c r="G399" s="470"/>
      <c r="H399" s="10" t="str">
        <f>IF(F400=B32531,C32531,"")&amp;IF(F400=B32533,C32533,"")</f>
        <v/>
      </c>
      <c r="I399" s="8"/>
      <c r="J399" s="2"/>
      <c r="K399" s="1"/>
      <c r="M399" s="11" t="str">
        <f>IF(F400=B32531,E32531,"")&amp;IF(F400=B32533,E32533,"")</f>
        <v/>
      </c>
    </row>
    <row r="400" spans="1:14" ht="25.5" x14ac:dyDescent="0.2">
      <c r="A400" s="6"/>
      <c r="B400" s="9" t="s">
        <v>579</v>
      </c>
      <c r="C400" s="8"/>
      <c r="D400" s="9" t="s">
        <v>580</v>
      </c>
      <c r="E400" s="8"/>
      <c r="F400" s="5">
        <f>'VENDOR HOSTED'!I19</f>
        <v>0</v>
      </c>
      <c r="G400" s="8" t="s">
        <v>14</v>
      </c>
      <c r="H400" s="12">
        <f>'VENDOR HOSTED'!W19</f>
        <v>0</v>
      </c>
      <c r="I400" s="8"/>
      <c r="J400" s="2"/>
      <c r="K400" s="1"/>
      <c r="L400" s="4" t="s">
        <v>15</v>
      </c>
      <c r="N400" s="4" t="s">
        <v>581</v>
      </c>
    </row>
    <row r="401" spans="1:14" x14ac:dyDescent="0.2">
      <c r="A401" s="6"/>
      <c r="B401" s="470"/>
      <c r="C401" s="470"/>
      <c r="D401" s="470"/>
      <c r="E401" s="470"/>
      <c r="F401" s="470"/>
      <c r="G401" s="470"/>
      <c r="H401" s="10" t="str">
        <f>IF(F402=B32534,C32534,"")&amp;IF(F402=B32536,C32536,"")</f>
        <v/>
      </c>
      <c r="I401" s="8"/>
      <c r="J401" s="2"/>
      <c r="K401" s="1"/>
      <c r="M401" s="11" t="str">
        <f>IF(F402=B32534,E32534,"")&amp;IF(F402=B32536,E32536,"")</f>
        <v/>
      </c>
    </row>
    <row r="402" spans="1:14" ht="51" x14ac:dyDescent="0.2">
      <c r="A402" s="6"/>
      <c r="B402" s="9" t="s">
        <v>582</v>
      </c>
      <c r="C402" s="8"/>
      <c r="D402" s="9" t="s">
        <v>583</v>
      </c>
      <c r="E402" s="8"/>
      <c r="F402" s="5">
        <f>'VENDOR HOSTED'!I21</f>
        <v>0</v>
      </c>
      <c r="G402" s="8" t="s">
        <v>14</v>
      </c>
      <c r="H402" s="12">
        <f>'VENDOR HOSTED'!W21</f>
        <v>0</v>
      </c>
      <c r="I402" s="8"/>
      <c r="J402" s="2"/>
      <c r="K402" s="1"/>
      <c r="L402" s="4" t="s">
        <v>15</v>
      </c>
      <c r="N402" s="4" t="s">
        <v>584</v>
      </c>
    </row>
    <row r="403" spans="1:14" x14ac:dyDescent="0.2">
      <c r="A403" s="6"/>
      <c r="B403" s="470"/>
      <c r="C403" s="470"/>
      <c r="D403" s="470"/>
      <c r="E403" s="470"/>
      <c r="F403" s="470"/>
      <c r="G403" s="470"/>
      <c r="H403" s="10" t="str">
        <f>IF(F404=B32537,C32537,"")&amp;IF(F404=B32539,C32539,"")</f>
        <v/>
      </c>
      <c r="I403" s="8"/>
      <c r="J403" s="2"/>
      <c r="K403" s="1"/>
      <c r="M403" s="11" t="str">
        <f>IF(F404=B32537,E32537,"")&amp;IF(F404=B32539,E32539,"")</f>
        <v/>
      </c>
    </row>
    <row r="404" spans="1:14" ht="25.5" x14ac:dyDescent="0.2">
      <c r="A404" s="6"/>
      <c r="B404" s="9" t="s">
        <v>585</v>
      </c>
      <c r="C404" s="8"/>
      <c r="D404" s="9" t="s">
        <v>586</v>
      </c>
      <c r="E404" s="8"/>
      <c r="F404" s="5">
        <f>'VENDOR HOSTED'!I24</f>
        <v>0</v>
      </c>
      <c r="G404" s="8" t="s">
        <v>14</v>
      </c>
      <c r="H404" s="12">
        <f>'VENDOR HOSTED'!W24</f>
        <v>0</v>
      </c>
      <c r="I404" s="8"/>
      <c r="J404" s="2"/>
      <c r="K404" s="1"/>
      <c r="L404" s="4" t="s">
        <v>15</v>
      </c>
      <c r="N404" s="4" t="s">
        <v>587</v>
      </c>
    </row>
    <row r="405" spans="1:14" x14ac:dyDescent="0.2">
      <c r="A405" s="6"/>
      <c r="B405" s="470"/>
      <c r="C405" s="470"/>
      <c r="D405" s="470"/>
      <c r="E405" s="470"/>
      <c r="F405" s="470"/>
      <c r="G405" s="470"/>
      <c r="H405" s="10" t="str">
        <f>IF(F406=B32540,C32540,"")&amp;IF(F406=B32542,C32542,"")</f>
        <v/>
      </c>
      <c r="I405" s="8"/>
      <c r="J405" s="2"/>
      <c r="K405" s="1"/>
      <c r="M405" s="11" t="str">
        <f>IF(F406=B32540,E32540,"")&amp;IF(F406=B32542,E32542,"")</f>
        <v/>
      </c>
    </row>
    <row r="406" spans="1:14" ht="38.25" x14ac:dyDescent="0.2">
      <c r="A406" s="6"/>
      <c r="B406" s="9" t="s">
        <v>588</v>
      </c>
      <c r="C406" s="8"/>
      <c r="D406" s="9" t="s">
        <v>589</v>
      </c>
      <c r="E406" s="8"/>
      <c r="F406" s="5">
        <f>'VENDOR HOSTED'!I26</f>
        <v>0</v>
      </c>
      <c r="G406" s="8" t="s">
        <v>14</v>
      </c>
      <c r="H406" s="12">
        <f>'VENDOR HOSTED'!W26</f>
        <v>0</v>
      </c>
      <c r="I406" s="8"/>
      <c r="J406" s="2"/>
      <c r="K406" s="1"/>
      <c r="L406" s="4" t="s">
        <v>15</v>
      </c>
      <c r="N406" s="4" t="s">
        <v>590</v>
      </c>
    </row>
    <row r="407" spans="1:14" x14ac:dyDescent="0.2">
      <c r="A407" s="6"/>
      <c r="B407" s="470"/>
      <c r="C407" s="470"/>
      <c r="D407" s="470"/>
      <c r="E407" s="470"/>
      <c r="F407" s="470"/>
      <c r="G407" s="470"/>
      <c r="H407" s="10" t="str">
        <f>IF(F408=B32543,C32543,"")&amp;IF(F408=B32545,C32545,"")</f>
        <v/>
      </c>
      <c r="I407" s="8"/>
      <c r="J407" s="2"/>
      <c r="K407" s="1"/>
      <c r="M407" s="11" t="str">
        <f>IF(F408=B32543,E32543,"")&amp;IF(F408=B32545,E32545,"")</f>
        <v/>
      </c>
    </row>
    <row r="408" spans="1:14" ht="76.5" x14ac:dyDescent="0.2">
      <c r="A408" s="6"/>
      <c r="B408" s="9" t="s">
        <v>591</v>
      </c>
      <c r="C408" s="8"/>
      <c r="D408" s="9" t="s">
        <v>592</v>
      </c>
      <c r="E408" s="8"/>
      <c r="F408" s="5">
        <f>'VENDOR HOSTED'!I28</f>
        <v>0</v>
      </c>
      <c r="G408" s="8" t="s">
        <v>14</v>
      </c>
      <c r="H408" s="12">
        <f>'VENDOR HOSTED'!W28</f>
        <v>0</v>
      </c>
      <c r="I408" s="8"/>
      <c r="J408" s="2"/>
      <c r="K408" s="1"/>
      <c r="L408" s="4" t="s">
        <v>15</v>
      </c>
      <c r="N408" s="4" t="s">
        <v>593</v>
      </c>
    </row>
    <row r="409" spans="1:14" x14ac:dyDescent="0.2">
      <c r="A409" s="6"/>
      <c r="B409" s="470"/>
      <c r="C409" s="470"/>
      <c r="D409" s="470"/>
      <c r="E409" s="470"/>
      <c r="F409" s="470"/>
      <c r="G409" s="470"/>
      <c r="H409" s="10" t="str">
        <f>IF(F410=B32546,C32546,"")&amp;IF(F410=B32548,C32548,"")</f>
        <v/>
      </c>
      <c r="I409" s="8"/>
      <c r="J409" s="2"/>
      <c r="K409" s="1"/>
      <c r="M409" s="11" t="str">
        <f>IF(F410=B32546,E32546,"")&amp;IF(F410=B32548,E32548,"")</f>
        <v/>
      </c>
    </row>
    <row r="410" spans="1:14" ht="38.25" x14ac:dyDescent="0.2">
      <c r="A410" s="6"/>
      <c r="B410" s="9" t="s">
        <v>594</v>
      </c>
      <c r="C410" s="8"/>
      <c r="D410" s="9" t="s">
        <v>595</v>
      </c>
      <c r="E410" s="8"/>
      <c r="F410" s="5">
        <f>'VENDOR HOSTED'!I30</f>
        <v>0</v>
      </c>
      <c r="G410" s="8" t="s">
        <v>14</v>
      </c>
      <c r="H410" s="12">
        <f>'VENDOR HOSTED'!W30</f>
        <v>0</v>
      </c>
      <c r="I410" s="8"/>
      <c r="J410" s="2"/>
      <c r="K410" s="1"/>
      <c r="L410" s="4" t="s">
        <v>15</v>
      </c>
      <c r="N410" s="4" t="s">
        <v>596</v>
      </c>
    </row>
    <row r="411" spans="1:14" x14ac:dyDescent="0.2">
      <c r="A411" s="6"/>
      <c r="B411" s="470"/>
      <c r="C411" s="470"/>
      <c r="D411" s="470"/>
      <c r="E411" s="470"/>
      <c r="F411" s="470"/>
      <c r="G411" s="470"/>
      <c r="H411" s="10" t="str">
        <f>IF(F412=B32549,C32549,"")&amp;IF(F412=B32551,C32551,"")</f>
        <v/>
      </c>
      <c r="I411" s="8"/>
      <c r="J411" s="2"/>
      <c r="K411" s="1"/>
      <c r="M411" s="11" t="str">
        <f>IF(F412=B32549,E32549,"")&amp;IF(F412=B32551,E32551,"")</f>
        <v/>
      </c>
    </row>
    <row r="412" spans="1:14" ht="76.5" x14ac:dyDescent="0.2">
      <c r="A412" s="6"/>
      <c r="B412" s="9" t="s">
        <v>597</v>
      </c>
      <c r="C412" s="8"/>
      <c r="D412" s="9" t="s">
        <v>598</v>
      </c>
      <c r="E412" s="8"/>
      <c r="F412" s="5">
        <f>'VENDOR HOSTED'!I33</f>
        <v>0</v>
      </c>
      <c r="G412" s="8" t="s">
        <v>14</v>
      </c>
      <c r="H412" s="12">
        <f>'VENDOR HOSTED'!W33</f>
        <v>0</v>
      </c>
      <c r="I412" s="8"/>
      <c r="J412" s="2"/>
      <c r="K412" s="1"/>
      <c r="L412" s="4" t="s">
        <v>15</v>
      </c>
      <c r="N412" s="4" t="s">
        <v>599</v>
      </c>
    </row>
    <row r="413" spans="1:14" x14ac:dyDescent="0.2">
      <c r="A413" s="6"/>
      <c r="B413" s="470"/>
      <c r="C413" s="470"/>
      <c r="D413" s="470"/>
      <c r="E413" s="470"/>
      <c r="F413" s="470"/>
      <c r="G413" s="470"/>
      <c r="H413" s="10" t="str">
        <f>IF(F414=B32552,C32552,"")&amp;IF(F414=B32554,C32554,"")</f>
        <v/>
      </c>
      <c r="I413" s="8"/>
      <c r="J413" s="2"/>
      <c r="K413" s="1"/>
      <c r="M413" s="11" t="str">
        <f>IF(F414=B32552,E32552,"")&amp;IF(F414=B32554,E32554,"")</f>
        <v/>
      </c>
    </row>
    <row r="414" spans="1:14" ht="25.5" x14ac:dyDescent="0.2">
      <c r="A414" s="6"/>
      <c r="B414" s="9" t="s">
        <v>600</v>
      </c>
      <c r="C414" s="8"/>
      <c r="D414" s="9" t="s">
        <v>601</v>
      </c>
      <c r="E414" s="8"/>
      <c r="F414" s="5">
        <f>'VENDOR HOSTED'!I35</f>
        <v>0</v>
      </c>
      <c r="G414" s="8" t="s">
        <v>14</v>
      </c>
      <c r="H414" s="12">
        <f>'VENDOR HOSTED'!W35</f>
        <v>0</v>
      </c>
      <c r="I414" s="8"/>
      <c r="J414" s="2"/>
      <c r="K414" s="1"/>
      <c r="L414" s="4" t="s">
        <v>15</v>
      </c>
      <c r="N414" s="4" t="s">
        <v>602</v>
      </c>
    </row>
    <row r="415" spans="1:14" x14ac:dyDescent="0.2">
      <c r="A415" s="6"/>
      <c r="B415" s="470"/>
      <c r="C415" s="470"/>
      <c r="D415" s="470"/>
      <c r="E415" s="470"/>
      <c r="F415" s="470"/>
      <c r="G415" s="470"/>
      <c r="H415" s="10" t="str">
        <f>IF(F416=B32555,C32555,"")&amp;IF(F416=B32557,C32557,"")</f>
        <v/>
      </c>
      <c r="I415" s="8"/>
      <c r="J415" s="2"/>
      <c r="K415" s="1"/>
      <c r="M415" s="11" t="str">
        <f>IF(F416=B32555,E32555,"")&amp;IF(F416=B32557,E32557,"")</f>
        <v/>
      </c>
    </row>
    <row r="416" spans="1:14" ht="63.75" x14ac:dyDescent="0.2">
      <c r="A416" s="6"/>
      <c r="B416" s="9" t="s">
        <v>603</v>
      </c>
      <c r="C416" s="8"/>
      <c r="D416" s="9" t="s">
        <v>604</v>
      </c>
      <c r="E416" s="8"/>
      <c r="F416" s="5">
        <f>'VENDOR HOSTED'!I37</f>
        <v>0</v>
      </c>
      <c r="G416" s="8" t="s">
        <v>14</v>
      </c>
      <c r="H416" s="12">
        <f>'VENDOR HOSTED'!W37</f>
        <v>0</v>
      </c>
      <c r="I416" s="8"/>
      <c r="J416" s="2"/>
      <c r="K416" s="1"/>
      <c r="L416" s="4" t="s">
        <v>15</v>
      </c>
      <c r="N416" s="4" t="s">
        <v>605</v>
      </c>
    </row>
    <row r="417" spans="1:14" x14ac:dyDescent="0.2">
      <c r="A417" s="6"/>
      <c r="B417" s="470"/>
      <c r="C417" s="470"/>
      <c r="D417" s="470"/>
      <c r="E417" s="470"/>
      <c r="F417" s="470"/>
      <c r="G417" s="470"/>
      <c r="H417" s="10" t="str">
        <f>IF(F418=B32558,C32558,"")&amp;IF(F418=B32560,C32560,"")</f>
        <v/>
      </c>
      <c r="I417" s="8"/>
      <c r="J417" s="2"/>
      <c r="K417" s="1"/>
      <c r="M417" s="11" t="str">
        <f>IF(F418=B32558,E32558,"")&amp;IF(F418=B32560,E32560,"")</f>
        <v/>
      </c>
    </row>
    <row r="418" spans="1:14" ht="38.25" x14ac:dyDescent="0.2">
      <c r="A418" s="6"/>
      <c r="B418" s="9" t="s">
        <v>606</v>
      </c>
      <c r="C418" s="8"/>
      <c r="D418" s="9" t="s">
        <v>607</v>
      </c>
      <c r="E418" s="8"/>
      <c r="F418" s="5">
        <f>'VENDOR HOSTED'!I39</f>
        <v>0</v>
      </c>
      <c r="G418" s="8" t="s">
        <v>14</v>
      </c>
      <c r="H418" s="12">
        <f>'VENDOR HOSTED'!W39</f>
        <v>0</v>
      </c>
      <c r="I418" s="8"/>
      <c r="J418" s="2"/>
      <c r="K418" s="1"/>
      <c r="L418" s="4" t="s">
        <v>15</v>
      </c>
      <c r="N418" s="4" t="s">
        <v>608</v>
      </c>
    </row>
    <row r="419" spans="1:14" x14ac:dyDescent="0.2">
      <c r="A419" s="6"/>
      <c r="B419" s="470"/>
      <c r="C419" s="470"/>
      <c r="D419" s="470"/>
      <c r="E419" s="470"/>
      <c r="F419" s="470"/>
      <c r="G419" s="470"/>
      <c r="H419" s="10" t="str">
        <f>IF(F420=B32561,C32561,"")&amp;IF(F420=B32563,C32563,"")</f>
        <v/>
      </c>
      <c r="I419" s="8"/>
      <c r="J419" s="2"/>
      <c r="K419" s="1"/>
      <c r="M419" s="11" t="str">
        <f>IF(F420=B32561,E32561,"")&amp;IF(F420=B32563,E32563,"")</f>
        <v/>
      </c>
    </row>
    <row r="420" spans="1:14" ht="25.5" x14ac:dyDescent="0.2">
      <c r="A420" s="6"/>
      <c r="B420" s="9" t="s">
        <v>609</v>
      </c>
      <c r="C420" s="8"/>
      <c r="D420" s="9" t="s">
        <v>610</v>
      </c>
      <c r="E420" s="8"/>
      <c r="F420" s="5">
        <f>'VENDOR HOSTED'!I41</f>
        <v>0</v>
      </c>
      <c r="G420" s="8" t="s">
        <v>14</v>
      </c>
      <c r="H420" s="12">
        <f>'VENDOR HOSTED'!W41</f>
        <v>0</v>
      </c>
      <c r="I420" s="8"/>
      <c r="J420" s="2"/>
      <c r="K420" s="1"/>
      <c r="L420" s="4" t="s">
        <v>15</v>
      </c>
      <c r="N420" s="4" t="s">
        <v>611</v>
      </c>
    </row>
    <row r="421" spans="1:14" x14ac:dyDescent="0.2">
      <c r="A421" s="6"/>
      <c r="B421" s="470"/>
      <c r="C421" s="470"/>
      <c r="D421" s="470"/>
      <c r="E421" s="470"/>
      <c r="F421" s="470"/>
      <c r="G421" s="470"/>
      <c r="H421" s="10" t="str">
        <f>IF(F422=B32564,C32564,"")&amp;IF(F422=B32566,C32566,"")</f>
        <v/>
      </c>
      <c r="I421" s="8"/>
      <c r="J421" s="2"/>
      <c r="K421" s="1"/>
      <c r="M421" s="11" t="str">
        <f>IF(F422=B32564,E32564,"")&amp;IF(F422=B32566,E32566,"")</f>
        <v/>
      </c>
    </row>
    <row r="422" spans="1:14" ht="63.75" x14ac:dyDescent="0.2">
      <c r="A422" s="6"/>
      <c r="B422" s="9" t="s">
        <v>612</v>
      </c>
      <c r="C422" s="8"/>
      <c r="D422" s="9" t="s">
        <v>613</v>
      </c>
      <c r="E422" s="8"/>
      <c r="F422" s="5">
        <f>'VENDOR HOSTED'!I44</f>
        <v>0</v>
      </c>
      <c r="G422" s="8" t="s">
        <v>14</v>
      </c>
      <c r="H422" s="12">
        <f>'VENDOR HOSTED'!W44</f>
        <v>0</v>
      </c>
      <c r="I422" s="8"/>
      <c r="J422" s="2"/>
      <c r="K422" s="1"/>
      <c r="L422" s="4" t="s">
        <v>15</v>
      </c>
      <c r="N422" s="4" t="s">
        <v>614</v>
      </c>
    </row>
    <row r="423" spans="1:14" x14ac:dyDescent="0.2">
      <c r="A423" s="6"/>
      <c r="B423" s="470"/>
      <c r="C423" s="470"/>
      <c r="D423" s="470"/>
      <c r="E423" s="470"/>
      <c r="F423" s="470"/>
      <c r="G423" s="470"/>
      <c r="H423" s="10" t="str">
        <f>IF(F424=B32567,C32567,"")&amp;IF(F424=B32569,C32569,"")</f>
        <v/>
      </c>
      <c r="I423" s="8"/>
      <c r="J423" s="2"/>
      <c r="K423" s="1"/>
      <c r="M423" s="11" t="str">
        <f>IF(F424=B32567,E32567,"")&amp;IF(F424=B32569,E32569,"")</f>
        <v/>
      </c>
    </row>
    <row r="424" spans="1:14" ht="63.75" x14ac:dyDescent="0.2">
      <c r="A424" s="6"/>
      <c r="B424" s="9" t="s">
        <v>615</v>
      </c>
      <c r="C424" s="8"/>
      <c r="D424" s="9" t="s">
        <v>616</v>
      </c>
      <c r="E424" s="8"/>
      <c r="F424" s="5">
        <f>'VENDOR HOSTED'!I47</f>
        <v>0</v>
      </c>
      <c r="G424" s="8" t="s">
        <v>14</v>
      </c>
      <c r="H424" s="12">
        <f>'VENDOR HOSTED'!W47</f>
        <v>0</v>
      </c>
      <c r="I424" s="8"/>
      <c r="J424" s="2"/>
      <c r="K424" s="1"/>
      <c r="L424" s="4" t="s">
        <v>15</v>
      </c>
      <c r="N424" s="4" t="s">
        <v>617</v>
      </c>
    </row>
    <row r="425" spans="1:14" x14ac:dyDescent="0.2">
      <c r="A425" s="6"/>
      <c r="B425" s="478">
        <v>3</v>
      </c>
      <c r="C425" s="478"/>
      <c r="D425" s="478"/>
      <c r="E425" s="478"/>
      <c r="F425" s="478"/>
      <c r="G425" s="478"/>
      <c r="H425" s="10" t="str">
        <f>IF(F426=B32570,C32570,"")&amp;IF(F426=B32571,C32571,"")&amp;IF(F426=B32572,C32572,"")</f>
        <v/>
      </c>
      <c r="I425" s="8"/>
      <c r="J425" s="2"/>
      <c r="K425" s="1"/>
      <c r="M425" s="11" t="str">
        <f>IF(F426=B32570,E32570,"")&amp;IF(F426=B32571,E32571,"")&amp;IF(F426=B32572,E32572,"")</f>
        <v/>
      </c>
    </row>
    <row r="426" spans="1:14" ht="63.75" x14ac:dyDescent="0.2">
      <c r="A426" s="6"/>
      <c r="B426" s="9" t="s">
        <v>618</v>
      </c>
      <c r="C426" s="8"/>
      <c r="D426" s="9" t="s">
        <v>619</v>
      </c>
      <c r="E426" s="8"/>
      <c r="F426" s="5">
        <f>'VENDOR HOSTED'!I49</f>
        <v>0</v>
      </c>
      <c r="G426" s="8" t="s">
        <v>14</v>
      </c>
      <c r="H426" s="12">
        <f>'VENDOR HOSTED'!W49</f>
        <v>0</v>
      </c>
      <c r="I426" s="8"/>
      <c r="J426" s="2"/>
      <c r="K426" s="1"/>
      <c r="L426" s="4" t="s">
        <v>15</v>
      </c>
      <c r="N426" s="4" t="s">
        <v>620</v>
      </c>
    </row>
    <row r="427" spans="1:14" x14ac:dyDescent="0.2">
      <c r="A427" s="6"/>
      <c r="B427" s="470"/>
      <c r="C427" s="470"/>
      <c r="D427" s="470"/>
      <c r="E427" s="470"/>
      <c r="F427" s="470"/>
      <c r="G427" s="470"/>
      <c r="H427" s="10" t="str">
        <f>IF(F428=B32573,C32573,"")&amp;IF(F428=B32575,C32575,"")</f>
        <v/>
      </c>
      <c r="I427" s="8"/>
      <c r="J427" s="2"/>
      <c r="K427" s="1"/>
      <c r="M427" s="11" t="str">
        <f>IF(F428=B32573,E32573,"")&amp;IF(F428=B32575,E32575,"")</f>
        <v/>
      </c>
    </row>
    <row r="428" spans="1:14" ht="25.5" x14ac:dyDescent="0.2">
      <c r="A428" s="6"/>
      <c r="B428" s="9" t="s">
        <v>621</v>
      </c>
      <c r="C428" s="8"/>
      <c r="D428" s="9" t="s">
        <v>622</v>
      </c>
      <c r="E428" s="8"/>
      <c r="F428" s="5">
        <f>'VENDOR HOSTED'!I51</f>
        <v>0</v>
      </c>
      <c r="G428" s="8" t="s">
        <v>14</v>
      </c>
      <c r="H428" s="12">
        <f>'VENDOR HOSTED'!W51</f>
        <v>0</v>
      </c>
      <c r="I428" s="8"/>
      <c r="J428" s="2"/>
      <c r="K428" s="1"/>
      <c r="L428" s="4" t="s">
        <v>15</v>
      </c>
      <c r="N428" s="4" t="s">
        <v>623</v>
      </c>
    </row>
    <row r="429" spans="1:14" x14ac:dyDescent="0.2">
      <c r="A429" s="6"/>
      <c r="B429" s="470"/>
      <c r="C429" s="470"/>
      <c r="D429" s="470"/>
      <c r="E429" s="470"/>
      <c r="F429" s="470"/>
      <c r="G429" s="470"/>
      <c r="H429" s="10" t="str">
        <f>IF(F430=B32576,C32576,"")&amp;IF(F430=B32578,C32578,"")</f>
        <v/>
      </c>
      <c r="I429" s="8"/>
      <c r="J429" s="2"/>
      <c r="K429" s="1"/>
      <c r="M429" s="11" t="str">
        <f>IF(F430=B32576,E32576,"")&amp;IF(F430=B32578,E32578,"")</f>
        <v/>
      </c>
    </row>
    <row r="430" spans="1:14" ht="38.25" x14ac:dyDescent="0.2">
      <c r="A430" s="6"/>
      <c r="B430" s="9" t="s">
        <v>624</v>
      </c>
      <c r="C430" s="8"/>
      <c r="D430" s="9" t="s">
        <v>625</v>
      </c>
      <c r="E430" s="8"/>
      <c r="F430" s="5">
        <f>'VENDOR HOSTED'!I53</f>
        <v>0</v>
      </c>
      <c r="G430" s="8" t="s">
        <v>14</v>
      </c>
      <c r="H430" s="12">
        <f>'VENDOR HOSTED'!W53</f>
        <v>0</v>
      </c>
      <c r="I430" s="8"/>
      <c r="J430" s="2"/>
      <c r="K430" s="1"/>
      <c r="L430" s="4" t="s">
        <v>15</v>
      </c>
      <c r="N430" s="4" t="s">
        <v>626</v>
      </c>
    </row>
    <row r="431" spans="1:14" x14ac:dyDescent="0.2">
      <c r="A431" s="6"/>
      <c r="B431" s="470"/>
      <c r="C431" s="470"/>
      <c r="D431" s="470"/>
      <c r="E431" s="470"/>
      <c r="F431" s="470"/>
      <c r="G431" s="470"/>
      <c r="H431" s="10" t="str">
        <f>IF(F432=B32579,C32579,"")&amp;IF(F432=B32581,C32581,"")</f>
        <v/>
      </c>
      <c r="I431" s="8"/>
      <c r="J431" s="2"/>
      <c r="K431" s="1"/>
      <c r="M431" s="11" t="str">
        <f>IF(F432=B32579,E32579,"")&amp;IF(F432=B32581,E32581,"")</f>
        <v/>
      </c>
    </row>
    <row r="432" spans="1:14" ht="38.25" x14ac:dyDescent="0.2">
      <c r="A432" s="6"/>
      <c r="B432" s="9" t="s">
        <v>627</v>
      </c>
      <c r="C432" s="8"/>
      <c r="D432" s="9" t="s">
        <v>628</v>
      </c>
      <c r="E432" s="8"/>
      <c r="F432" s="5">
        <f>'VENDOR HOSTED'!I55</f>
        <v>0</v>
      </c>
      <c r="G432" s="8" t="s">
        <v>14</v>
      </c>
      <c r="H432" s="12">
        <f>'VENDOR HOSTED'!W55</f>
        <v>0</v>
      </c>
      <c r="I432" s="8"/>
      <c r="J432" s="2"/>
      <c r="K432" s="1"/>
      <c r="L432" s="4" t="s">
        <v>15</v>
      </c>
      <c r="N432" s="4" t="s">
        <v>629</v>
      </c>
    </row>
    <row r="433" spans="1:14" x14ac:dyDescent="0.2">
      <c r="A433" s="6"/>
      <c r="B433" s="478">
        <v>3</v>
      </c>
      <c r="C433" s="478"/>
      <c r="D433" s="478"/>
      <c r="E433" s="478"/>
      <c r="F433" s="478"/>
      <c r="G433" s="478"/>
      <c r="H433" s="10" t="str">
        <f>IF(F434=B32582,C32582,"")&amp;IF(F434=B32583,C32583,"")&amp;IF(F434=B32584,C32584,"")</f>
        <v/>
      </c>
      <c r="I433" s="8"/>
      <c r="J433" s="2"/>
      <c r="K433" s="1"/>
      <c r="M433" s="11" t="str">
        <f>IF(F434=B32582,E32582,"")&amp;IF(F434=B32583,E32583,"")&amp;IF(F434=B32584,E32584,"")</f>
        <v/>
      </c>
    </row>
    <row r="434" spans="1:14" ht="51" x14ac:dyDescent="0.2">
      <c r="A434" s="6"/>
      <c r="B434" s="9" t="s">
        <v>630</v>
      </c>
      <c r="C434" s="8"/>
      <c r="D434" s="9" t="s">
        <v>631</v>
      </c>
      <c r="E434" s="8"/>
      <c r="F434" s="5">
        <f>'VENDOR HOSTED'!I57</f>
        <v>0</v>
      </c>
      <c r="G434" s="8" t="s">
        <v>14</v>
      </c>
      <c r="H434" s="12">
        <f>'VENDOR HOSTED'!W57</f>
        <v>0</v>
      </c>
      <c r="I434" s="8"/>
      <c r="J434" s="2"/>
      <c r="K434" s="1"/>
      <c r="L434" s="4" t="s">
        <v>15</v>
      </c>
      <c r="N434" s="4" t="s">
        <v>632</v>
      </c>
    </row>
    <row r="435" spans="1:14" x14ac:dyDescent="0.2">
      <c r="A435" s="6"/>
      <c r="B435" s="470"/>
      <c r="C435" s="470"/>
      <c r="D435" s="470"/>
      <c r="E435" s="470"/>
      <c r="F435" s="470"/>
      <c r="G435" s="470"/>
      <c r="H435" s="10" t="str">
        <f>IF(F436=B32585,C32585,"")&amp;IF(F436=B32587,C32587,"")</f>
        <v/>
      </c>
      <c r="I435" s="8"/>
      <c r="J435" s="2"/>
      <c r="K435" s="1"/>
      <c r="M435" s="11" t="str">
        <f>IF(F436=B32585,E32585,"")&amp;IF(F436=B32587,E32587,"")</f>
        <v/>
      </c>
    </row>
    <row r="436" spans="1:14" ht="25.5" x14ac:dyDescent="0.2">
      <c r="A436" s="6"/>
      <c r="B436" s="9" t="s">
        <v>633</v>
      </c>
      <c r="C436" s="8"/>
      <c r="D436" s="9" t="s">
        <v>634</v>
      </c>
      <c r="E436" s="8"/>
      <c r="F436" s="5">
        <f>'VENDOR HOSTED'!I59</f>
        <v>0</v>
      </c>
      <c r="G436" s="8" t="s">
        <v>14</v>
      </c>
      <c r="H436" s="12">
        <f>'VENDOR HOSTED'!W59</f>
        <v>0</v>
      </c>
      <c r="I436" s="8"/>
      <c r="J436" s="2"/>
      <c r="K436" s="1"/>
      <c r="L436" s="4" t="s">
        <v>15</v>
      </c>
      <c r="N436" s="4" t="s">
        <v>635</v>
      </c>
    </row>
    <row r="437" spans="1:14" x14ac:dyDescent="0.2">
      <c r="A437" s="6"/>
      <c r="B437" s="470"/>
      <c r="C437" s="470"/>
      <c r="D437" s="470"/>
      <c r="E437" s="470"/>
      <c r="F437" s="470"/>
      <c r="G437" s="470"/>
      <c r="H437" s="10" t="str">
        <f>IF(F438=B32588,C32588,"")&amp;IF(F438=B32590,C32590,"")</f>
        <v/>
      </c>
      <c r="I437" s="8"/>
      <c r="J437" s="2"/>
      <c r="K437" s="1"/>
      <c r="M437" s="11" t="str">
        <f>IF(F438=B32588,E32588,"")&amp;IF(F438=B32590,E32590,"")</f>
        <v/>
      </c>
    </row>
    <row r="438" spans="1:14" ht="51" x14ac:dyDescent="0.2">
      <c r="A438" s="6"/>
      <c r="B438" s="9" t="s">
        <v>636</v>
      </c>
      <c r="C438" s="8"/>
      <c r="D438" s="9" t="s">
        <v>637</v>
      </c>
      <c r="E438" s="8"/>
      <c r="F438" s="5">
        <f>'VENDOR HOSTED'!I61</f>
        <v>0</v>
      </c>
      <c r="G438" s="8" t="s">
        <v>14</v>
      </c>
      <c r="H438" s="12">
        <f>'VENDOR HOSTED'!W61</f>
        <v>0</v>
      </c>
      <c r="I438" s="8"/>
      <c r="J438" s="2"/>
      <c r="K438" s="1"/>
      <c r="L438" s="4" t="s">
        <v>15</v>
      </c>
      <c r="N438" s="4" t="s">
        <v>638</v>
      </c>
    </row>
    <row r="439" spans="1:14" x14ac:dyDescent="0.2">
      <c r="A439" s="6"/>
      <c r="B439" s="470"/>
      <c r="C439" s="470"/>
      <c r="D439" s="470"/>
      <c r="E439" s="470"/>
      <c r="F439" s="470"/>
      <c r="G439" s="470"/>
      <c r="H439" s="10" t="str">
        <f>IF(F440=B32591,C32591,"")&amp;IF(F440=B32593,C32593,"")</f>
        <v/>
      </c>
      <c r="I439" s="8"/>
      <c r="J439" s="2"/>
      <c r="K439" s="1"/>
      <c r="M439" s="11" t="str">
        <f>IF(F440=B32591,E32591,"")&amp;IF(F440=B32593,E32593,"")</f>
        <v/>
      </c>
    </row>
    <row r="440" spans="1:14" ht="38.25" x14ac:dyDescent="0.2">
      <c r="A440" s="6"/>
      <c r="B440" s="9" t="s">
        <v>639</v>
      </c>
      <c r="C440" s="8"/>
      <c r="D440" s="9" t="s">
        <v>640</v>
      </c>
      <c r="E440" s="8"/>
      <c r="F440" s="5">
        <f>'VENDOR HOSTED'!I63</f>
        <v>0</v>
      </c>
      <c r="G440" s="8" t="s">
        <v>14</v>
      </c>
      <c r="H440" s="12">
        <f>'VENDOR HOSTED'!W63</f>
        <v>0</v>
      </c>
      <c r="I440" s="8"/>
      <c r="J440" s="2"/>
      <c r="K440" s="1"/>
      <c r="L440" s="4" t="s">
        <v>15</v>
      </c>
      <c r="N440" s="4" t="s">
        <v>641</v>
      </c>
    </row>
    <row r="441" spans="1:14" x14ac:dyDescent="0.2">
      <c r="A441" s="6"/>
      <c r="B441" s="470"/>
      <c r="C441" s="470"/>
      <c r="D441" s="470"/>
      <c r="E441" s="470"/>
      <c r="F441" s="470"/>
      <c r="G441" s="470"/>
      <c r="H441" s="10" t="str">
        <f>IF(F442=B32594,C32594,"")&amp;IF(F442=B32596,C32596,"")</f>
        <v/>
      </c>
      <c r="I441" s="8"/>
      <c r="J441" s="2"/>
      <c r="K441" s="1"/>
      <c r="M441" s="11" t="str">
        <f>IF(F442=B32594,E32594,"")&amp;IF(F442=B32596,E32596,"")</f>
        <v/>
      </c>
    </row>
    <row r="442" spans="1:14" ht="25.5" x14ac:dyDescent="0.2">
      <c r="A442" s="6"/>
      <c r="B442" s="9" t="s">
        <v>642</v>
      </c>
      <c r="C442" s="8"/>
      <c r="D442" s="9" t="s">
        <v>643</v>
      </c>
      <c r="E442" s="8"/>
      <c r="F442" s="5">
        <f>'VENDOR HOSTED'!I65</f>
        <v>0</v>
      </c>
      <c r="G442" s="8" t="s">
        <v>14</v>
      </c>
      <c r="H442" s="12">
        <f>'VENDOR HOSTED'!W65</f>
        <v>0</v>
      </c>
      <c r="I442" s="8"/>
      <c r="J442" s="2"/>
      <c r="K442" s="1"/>
      <c r="L442" s="4" t="s">
        <v>15</v>
      </c>
      <c r="N442" s="4" t="s">
        <v>644</v>
      </c>
    </row>
    <row r="443" spans="1:14" x14ac:dyDescent="0.2">
      <c r="A443" s="6"/>
      <c r="B443" s="470"/>
      <c r="C443" s="470"/>
      <c r="D443" s="470"/>
      <c r="E443" s="470"/>
      <c r="F443" s="470"/>
      <c r="G443" s="470"/>
      <c r="H443" s="10" t="str">
        <f>IF(F444=B32597,C32597,"")&amp;IF(F444=B32599,C32599,"")</f>
        <v/>
      </c>
      <c r="I443" s="8"/>
      <c r="J443" s="2"/>
      <c r="K443" s="1"/>
      <c r="M443" s="11" t="str">
        <f>IF(F444=B32597,E32597,"")&amp;IF(F444=B32599,E32599,"")</f>
        <v/>
      </c>
    </row>
    <row r="444" spans="1:14" ht="51" x14ac:dyDescent="0.2">
      <c r="A444" s="6"/>
      <c r="B444" s="9" t="s">
        <v>645</v>
      </c>
      <c r="C444" s="8"/>
      <c r="D444" s="9" t="s">
        <v>646</v>
      </c>
      <c r="E444" s="8"/>
      <c r="F444" s="5">
        <f>'VENDOR HOSTED'!I67</f>
        <v>0</v>
      </c>
      <c r="G444" s="8" t="s">
        <v>14</v>
      </c>
      <c r="H444" s="12">
        <f>'VENDOR HOSTED'!W67</f>
        <v>0</v>
      </c>
      <c r="I444" s="8"/>
      <c r="J444" s="2"/>
      <c r="K444" s="1"/>
      <c r="L444" s="4" t="s">
        <v>15</v>
      </c>
      <c r="N444" s="4" t="s">
        <v>647</v>
      </c>
    </row>
    <row r="445" spans="1:14" x14ac:dyDescent="0.2">
      <c r="A445" s="6"/>
      <c r="B445" s="470"/>
      <c r="C445" s="470"/>
      <c r="D445" s="470"/>
      <c r="E445" s="470"/>
      <c r="F445" s="470"/>
      <c r="G445" s="470"/>
      <c r="H445" s="10" t="str">
        <f>IF(F446=B32600,C32600,"")&amp;IF(F446=B32602,C32602,"")</f>
        <v/>
      </c>
      <c r="I445" s="8"/>
      <c r="J445" s="2"/>
      <c r="K445" s="1"/>
      <c r="M445" s="11" t="str">
        <f>IF(F446=B32600,E32600,"")&amp;IF(F446=B32602,E32602,"")</f>
        <v/>
      </c>
    </row>
    <row r="446" spans="1:14" ht="76.5" x14ac:dyDescent="0.2">
      <c r="A446" s="6"/>
      <c r="B446" s="9" t="s">
        <v>648</v>
      </c>
      <c r="C446" s="8"/>
      <c r="D446" s="9" t="s">
        <v>649</v>
      </c>
      <c r="E446" s="8"/>
      <c r="F446" s="5">
        <f>'VENDOR HOSTED'!I69</f>
        <v>0</v>
      </c>
      <c r="G446" s="8" t="s">
        <v>14</v>
      </c>
      <c r="H446" s="12">
        <f>'VENDOR HOSTED'!W69</f>
        <v>0</v>
      </c>
      <c r="I446" s="8"/>
      <c r="J446" s="2"/>
      <c r="K446" s="1"/>
      <c r="L446" s="4" t="s">
        <v>15</v>
      </c>
      <c r="N446" s="4" t="s">
        <v>650</v>
      </c>
    </row>
    <row r="447" spans="1:14" x14ac:dyDescent="0.2">
      <c r="A447" s="6"/>
      <c r="B447" s="478">
        <v>3</v>
      </c>
      <c r="C447" s="478"/>
      <c r="D447" s="478"/>
      <c r="E447" s="478"/>
      <c r="F447" s="478"/>
      <c r="G447" s="478"/>
      <c r="H447" s="10" t="str">
        <f>IF(F448=B32603,C32603,"")&amp;IF(F448=B32604,C32604,"")&amp;IF(F448=B32605,C32605,"")</f>
        <v/>
      </c>
      <c r="I447" s="8"/>
      <c r="J447" s="2"/>
      <c r="K447" s="1"/>
      <c r="M447" s="11" t="str">
        <f>IF(F448=B32603,E32603,"")&amp;IF(F448=B32604,E32604,"")&amp;IF(F448=B32605,E32605,"")</f>
        <v/>
      </c>
    </row>
    <row r="448" spans="1:14" ht="38.25" x14ac:dyDescent="0.2">
      <c r="A448" s="6"/>
      <c r="B448" s="9" t="s">
        <v>651</v>
      </c>
      <c r="C448" s="8"/>
      <c r="D448" s="9" t="s">
        <v>652</v>
      </c>
      <c r="E448" s="8"/>
      <c r="F448" s="5">
        <f>'VENDOR HOSTED'!I71</f>
        <v>0</v>
      </c>
      <c r="G448" s="8" t="s">
        <v>14</v>
      </c>
      <c r="H448" s="12">
        <f>'VENDOR HOSTED'!W71</f>
        <v>0</v>
      </c>
      <c r="I448" s="8"/>
      <c r="J448" s="2"/>
      <c r="K448" s="1"/>
      <c r="L448" s="4" t="s">
        <v>15</v>
      </c>
      <c r="N448" s="4" t="s">
        <v>653</v>
      </c>
    </row>
    <row r="449" spans="1:14" x14ac:dyDescent="0.2">
      <c r="A449" s="6"/>
      <c r="B449" s="470"/>
      <c r="C449" s="470"/>
      <c r="D449" s="470"/>
      <c r="E449" s="470"/>
      <c r="F449" s="470"/>
      <c r="G449" s="470"/>
      <c r="H449" s="10" t="str">
        <f>IF(F450=B32606,C32606,"")&amp;IF(F450=B32607,C32607,"")&amp;IF(F450=B32608,C32608,"")</f>
        <v/>
      </c>
      <c r="I449" s="8"/>
      <c r="J449" s="2"/>
      <c r="K449" s="1"/>
      <c r="M449" s="11" t="str">
        <f>IF(F450=B32606,E32606,"")&amp;IF(F450=B32607,E32607,"")&amp;IF(F450=B32608,E32608,"")</f>
        <v/>
      </c>
    </row>
    <row r="450" spans="1:14" ht="38.25" x14ac:dyDescent="0.2">
      <c r="A450" s="6"/>
      <c r="B450" s="9" t="s">
        <v>654</v>
      </c>
      <c r="C450" s="8"/>
      <c r="D450" s="9" t="s">
        <v>655</v>
      </c>
      <c r="E450" s="8"/>
      <c r="F450" s="5">
        <f>'VENDOR HOSTED'!I73</f>
        <v>0</v>
      </c>
      <c r="G450" s="8" t="s">
        <v>14</v>
      </c>
      <c r="H450" s="12">
        <f>'VENDOR HOSTED'!W73</f>
        <v>0</v>
      </c>
      <c r="I450" s="8"/>
      <c r="J450" s="2"/>
      <c r="K450" s="1"/>
      <c r="L450" s="4" t="s">
        <v>15</v>
      </c>
      <c r="N450" s="4" t="s">
        <v>656</v>
      </c>
    </row>
    <row r="451" spans="1:14" x14ac:dyDescent="0.2">
      <c r="A451" s="6"/>
      <c r="B451" s="470"/>
      <c r="C451" s="470"/>
      <c r="D451" s="470"/>
      <c r="E451" s="470"/>
      <c r="F451" s="470"/>
      <c r="G451" s="470"/>
      <c r="H451" s="10" t="str">
        <f>IF(F452=B32609,C32609,"")&amp;IF(F452=B32610,C32610,"")&amp;IF(F452=B32611,C32611,"")</f>
        <v/>
      </c>
      <c r="I451" s="8"/>
      <c r="J451" s="2"/>
      <c r="K451" s="1"/>
      <c r="M451" s="11" t="str">
        <f>IF(F452=B32609,E32609,"")&amp;IF(F452=B32610,E32610,"")&amp;IF(F452=B32611,E32611,"")</f>
        <v/>
      </c>
    </row>
    <row r="452" spans="1:14" ht="51" x14ac:dyDescent="0.2">
      <c r="A452" s="6"/>
      <c r="B452" s="9" t="s">
        <v>657</v>
      </c>
      <c r="C452" s="8"/>
      <c r="D452" s="30" t="s">
        <v>658</v>
      </c>
      <c r="E452" s="8"/>
      <c r="F452" s="5">
        <f>'VENDOR HOSTED'!I75</f>
        <v>0</v>
      </c>
      <c r="G452" s="8" t="s">
        <v>14</v>
      </c>
      <c r="H452" s="12">
        <f>'VENDOR HOSTED'!W75</f>
        <v>0</v>
      </c>
      <c r="I452" s="8"/>
      <c r="J452" s="2"/>
      <c r="K452" s="1"/>
      <c r="L452" s="4" t="s">
        <v>15</v>
      </c>
      <c r="N452" s="4" t="s">
        <v>659</v>
      </c>
    </row>
    <row r="453" spans="1:14" x14ac:dyDescent="0.2">
      <c r="A453" s="6"/>
      <c r="B453" s="470"/>
      <c r="C453" s="470"/>
      <c r="D453" s="470"/>
      <c r="E453" s="470"/>
      <c r="F453" s="470"/>
      <c r="G453" s="470"/>
      <c r="H453" s="10" t="str">
        <f>IF(F454=B32612,C32612,"")&amp;IF(F454=B32614,C32614,"")</f>
        <v/>
      </c>
      <c r="I453" s="8"/>
      <c r="J453" s="2"/>
      <c r="K453" s="1"/>
      <c r="M453" s="11" t="str">
        <f>IF(F454=B32612,E32612,"")&amp;IF(F454=B32614,E32614,"")</f>
        <v/>
      </c>
    </row>
    <row r="454" spans="1:14" ht="25.5" x14ac:dyDescent="0.2">
      <c r="A454" s="6"/>
      <c r="B454" s="9" t="s">
        <v>660</v>
      </c>
      <c r="C454" s="8"/>
      <c r="D454" s="9" t="s">
        <v>661</v>
      </c>
      <c r="E454" s="8"/>
      <c r="F454" s="5">
        <f>'VENDOR HOSTED'!I77</f>
        <v>0</v>
      </c>
      <c r="G454" s="8" t="s">
        <v>14</v>
      </c>
      <c r="H454" s="12">
        <f>'VENDOR HOSTED'!W77</f>
        <v>0</v>
      </c>
      <c r="I454" s="8"/>
      <c r="J454" s="2"/>
      <c r="K454" s="1"/>
      <c r="L454" s="4" t="s">
        <v>15</v>
      </c>
      <c r="N454" s="4" t="s">
        <v>662</v>
      </c>
    </row>
    <row r="455" spans="1:14" x14ac:dyDescent="0.2">
      <c r="A455" s="6"/>
      <c r="B455" s="470"/>
      <c r="C455" s="470"/>
      <c r="D455" s="470"/>
      <c r="E455" s="470"/>
      <c r="F455" s="470"/>
      <c r="G455" s="470"/>
      <c r="H455" s="10" t="str">
        <f>IF(F456=B32615,C32615,"")&amp;IF(F456=B32617,C32617,"")</f>
        <v/>
      </c>
      <c r="I455" s="8"/>
      <c r="J455" s="2"/>
      <c r="K455" s="1"/>
      <c r="M455" s="11" t="str">
        <f>IF(F456=B32615,E32615,"")&amp;IF(F456=B32617,E32617,"")</f>
        <v/>
      </c>
    </row>
    <row r="456" spans="1:14" ht="38.25" x14ac:dyDescent="0.2">
      <c r="A456" s="6"/>
      <c r="B456" s="9" t="s">
        <v>663</v>
      </c>
      <c r="C456" s="8"/>
      <c r="D456" s="9" t="s">
        <v>664</v>
      </c>
      <c r="E456" s="8"/>
      <c r="F456" s="5">
        <f>'VENDOR HOSTED'!I79</f>
        <v>0</v>
      </c>
      <c r="G456" s="8" t="s">
        <v>14</v>
      </c>
      <c r="H456" s="12">
        <f>'VENDOR HOSTED'!W79</f>
        <v>0</v>
      </c>
      <c r="I456" s="8"/>
      <c r="J456" s="2"/>
      <c r="K456" s="1"/>
      <c r="L456" s="4" t="s">
        <v>15</v>
      </c>
      <c r="N456" s="4" t="s">
        <v>665</v>
      </c>
    </row>
    <row r="457" spans="1:14" x14ac:dyDescent="0.2">
      <c r="A457" s="6"/>
      <c r="B457" s="470"/>
      <c r="C457" s="470"/>
      <c r="D457" s="470"/>
      <c r="E457" s="470"/>
      <c r="F457" s="470"/>
      <c r="G457" s="470"/>
      <c r="H457" s="10" t="str">
        <f>IF(F458=B32618,C32618,"")&amp;IF(F458=B32620,C32620,"")</f>
        <v/>
      </c>
      <c r="I457" s="8"/>
      <c r="J457" s="2"/>
      <c r="K457" s="1"/>
      <c r="M457" s="11" t="str">
        <f>IF(F458=B32618,E32618,"")&amp;IF(F458=B32620,E32620,"")</f>
        <v/>
      </c>
    </row>
    <row r="458" spans="1:14" ht="38.25" x14ac:dyDescent="0.2">
      <c r="A458" s="6"/>
      <c r="B458" s="9" t="s">
        <v>666</v>
      </c>
      <c r="C458" s="8"/>
      <c r="D458" s="9" t="s">
        <v>667</v>
      </c>
      <c r="E458" s="8"/>
      <c r="F458" s="5">
        <f>'VENDOR HOSTED'!I81</f>
        <v>0</v>
      </c>
      <c r="G458" s="8" t="s">
        <v>14</v>
      </c>
      <c r="H458" s="12">
        <f>'VENDOR HOSTED'!W81</f>
        <v>0</v>
      </c>
      <c r="I458" s="8"/>
      <c r="J458" s="2"/>
      <c r="K458" s="1"/>
      <c r="L458" s="4" t="s">
        <v>15</v>
      </c>
      <c r="N458" s="4" t="s">
        <v>668</v>
      </c>
    </row>
    <row r="459" spans="1:14" x14ac:dyDescent="0.2">
      <c r="A459" s="6"/>
      <c r="B459" s="470"/>
      <c r="C459" s="470"/>
      <c r="D459" s="470"/>
      <c r="E459" s="470"/>
      <c r="F459" s="470"/>
      <c r="G459" s="470"/>
      <c r="H459" s="10" t="str">
        <f>IF(F460=B32621,C32621,"")&amp;IF(F460=B32623,C32623,"")</f>
        <v/>
      </c>
      <c r="I459" s="8"/>
      <c r="J459" s="2"/>
      <c r="K459" s="1"/>
      <c r="M459" s="11" t="str">
        <f>IF(F460=B32621,E32621,"")&amp;IF(F460=B32623,E32623,"")</f>
        <v/>
      </c>
    </row>
    <row r="460" spans="1:14" ht="25.5" x14ac:dyDescent="0.2">
      <c r="A460" s="6"/>
      <c r="B460" s="9" t="s">
        <v>669</v>
      </c>
      <c r="C460" s="8"/>
      <c r="D460" s="9" t="s">
        <v>670</v>
      </c>
      <c r="E460" s="8"/>
      <c r="F460" s="5">
        <f>'VENDOR HOSTED'!I83</f>
        <v>0</v>
      </c>
      <c r="G460" s="8" t="s">
        <v>14</v>
      </c>
      <c r="H460" s="12">
        <f>'VENDOR HOSTED'!W83</f>
        <v>0</v>
      </c>
      <c r="I460" s="8"/>
      <c r="J460" s="2"/>
      <c r="K460" s="1"/>
      <c r="L460" s="4" t="s">
        <v>15</v>
      </c>
      <c r="N460" s="4" t="s">
        <v>671</v>
      </c>
    </row>
    <row r="461" spans="1:14" x14ac:dyDescent="0.2">
      <c r="A461" s="6"/>
      <c r="B461" s="470"/>
      <c r="C461" s="470"/>
      <c r="D461" s="470"/>
      <c r="E461" s="470"/>
      <c r="F461" s="470"/>
      <c r="G461" s="470"/>
      <c r="H461" s="10" t="str">
        <f>IF(F462=B32624,C32624,"")&amp;IF(F462=B32626,C32626,"")</f>
        <v/>
      </c>
      <c r="I461" s="8"/>
      <c r="J461" s="2"/>
      <c r="K461" s="1"/>
      <c r="M461" s="11" t="str">
        <f>IF(F462=B32624,E32624,"")&amp;IF(F462=B32626,E32626,"")</f>
        <v/>
      </c>
    </row>
    <row r="462" spans="1:14" ht="63.75" x14ac:dyDescent="0.2">
      <c r="A462" s="6"/>
      <c r="B462" s="9" t="s">
        <v>672</v>
      </c>
      <c r="C462" s="8"/>
      <c r="D462" s="9" t="s">
        <v>673</v>
      </c>
      <c r="E462" s="8"/>
      <c r="F462" s="5">
        <f>'VENDOR HOSTED'!I85</f>
        <v>0</v>
      </c>
      <c r="G462" s="8" t="s">
        <v>14</v>
      </c>
      <c r="H462" s="12">
        <f>'VENDOR HOSTED'!W85</f>
        <v>0</v>
      </c>
      <c r="I462" s="8"/>
      <c r="J462" s="2"/>
      <c r="K462" s="1"/>
      <c r="L462" s="4" t="s">
        <v>15</v>
      </c>
      <c r="N462" s="4" t="s">
        <v>674</v>
      </c>
    </row>
    <row r="463" spans="1:14" x14ac:dyDescent="0.2">
      <c r="A463" s="6"/>
      <c r="B463" s="470"/>
      <c r="C463" s="470"/>
      <c r="D463" s="470"/>
      <c r="E463" s="470"/>
      <c r="F463" s="470"/>
      <c r="G463" s="470"/>
      <c r="H463" s="10" t="str">
        <f>IF(F464=B32627,C32627,"")&amp;IF(F464=B32629,C32629,"")</f>
        <v/>
      </c>
      <c r="I463" s="8"/>
      <c r="J463" s="2"/>
      <c r="K463" s="1"/>
      <c r="M463" s="11" t="str">
        <f>IF(F464=B32627,E32627,"")&amp;IF(F464=B32629,E32629,"")</f>
        <v/>
      </c>
    </row>
    <row r="464" spans="1:14" ht="25.5" x14ac:dyDescent="0.2">
      <c r="A464" s="6"/>
      <c r="B464" s="9" t="s">
        <v>675</v>
      </c>
      <c r="C464" s="8"/>
      <c r="D464" s="9" t="s">
        <v>676</v>
      </c>
      <c r="E464" s="8"/>
      <c r="F464" s="5">
        <f>'VENDOR HOSTED'!I87</f>
        <v>0</v>
      </c>
      <c r="G464" s="8" t="s">
        <v>14</v>
      </c>
      <c r="H464" s="12">
        <f>'VENDOR HOSTED'!W87</f>
        <v>0</v>
      </c>
      <c r="I464" s="8"/>
      <c r="J464" s="2"/>
      <c r="K464" s="1"/>
      <c r="L464" s="4" t="s">
        <v>15</v>
      </c>
      <c r="N464" s="4" t="s">
        <v>677</v>
      </c>
    </row>
    <row r="465" spans="1:14" x14ac:dyDescent="0.2">
      <c r="A465" s="6"/>
      <c r="B465" s="470"/>
      <c r="C465" s="470"/>
      <c r="D465" s="470"/>
      <c r="E465" s="470"/>
      <c r="F465" s="470"/>
      <c r="G465" s="470"/>
      <c r="H465" s="10" t="str">
        <f>IF(F466=B32630,C32630,"")&amp;IF(F466=B32632,C32632,"")</f>
        <v/>
      </c>
      <c r="I465" s="8"/>
      <c r="J465" s="2"/>
      <c r="K465" s="1"/>
      <c r="M465" s="11" t="str">
        <f>IF(F466=B32630,E32630,"")&amp;IF(F466=B32632,E32632,"")</f>
        <v/>
      </c>
    </row>
    <row r="466" spans="1:14" ht="38.25" x14ac:dyDescent="0.2">
      <c r="A466" s="6"/>
      <c r="B466" s="9" t="s">
        <v>678</v>
      </c>
      <c r="C466" s="8"/>
      <c r="D466" s="9" t="s">
        <v>679</v>
      </c>
      <c r="E466" s="8"/>
      <c r="F466" s="5">
        <f>'VENDOR HOSTED'!I89</f>
        <v>0</v>
      </c>
      <c r="G466" s="8" t="s">
        <v>14</v>
      </c>
      <c r="H466" s="12">
        <f>'VENDOR HOSTED'!W89</f>
        <v>0</v>
      </c>
      <c r="I466" s="8"/>
      <c r="J466" s="2"/>
      <c r="K466" s="1"/>
      <c r="L466" s="4" t="s">
        <v>15</v>
      </c>
      <c r="N466" s="4" t="s">
        <v>680</v>
      </c>
    </row>
    <row r="467" spans="1:14" x14ac:dyDescent="0.2">
      <c r="A467" s="6"/>
      <c r="B467" s="470"/>
      <c r="C467" s="470"/>
      <c r="D467" s="470"/>
      <c r="E467" s="470"/>
      <c r="F467" s="470"/>
      <c r="G467" s="470"/>
      <c r="H467" s="10" t="str">
        <f>IF(F468=B32633,C32633,"")&amp;IF(F468=B32635,C32635,"")</f>
        <v/>
      </c>
      <c r="I467" s="8"/>
      <c r="J467" s="2"/>
      <c r="K467" s="1"/>
      <c r="M467" s="11" t="str">
        <f>IF(F468=B32633,E32633,"")&amp;IF(F468=B32635,E32635,"")</f>
        <v/>
      </c>
    </row>
    <row r="468" spans="1:14" ht="38.25" x14ac:dyDescent="0.2">
      <c r="A468" s="6"/>
      <c r="B468" s="9" t="s">
        <v>681</v>
      </c>
      <c r="C468" s="8"/>
      <c r="D468" s="9" t="s">
        <v>682</v>
      </c>
      <c r="E468" s="8"/>
      <c r="F468" s="5">
        <f>'VENDOR HOSTED'!I91</f>
        <v>0</v>
      </c>
      <c r="G468" s="8" t="s">
        <v>14</v>
      </c>
      <c r="H468" s="12">
        <f>'VENDOR HOSTED'!W91</f>
        <v>0</v>
      </c>
      <c r="I468" s="8"/>
      <c r="J468" s="2"/>
      <c r="K468" s="1"/>
      <c r="L468" s="4" t="s">
        <v>15</v>
      </c>
      <c r="N468" s="4" t="s">
        <v>683</v>
      </c>
    </row>
    <row r="469" spans="1:14" x14ac:dyDescent="0.2">
      <c r="A469" s="6"/>
      <c r="B469" s="470"/>
      <c r="C469" s="470"/>
      <c r="D469" s="470"/>
      <c r="E469" s="470"/>
      <c r="F469" s="470"/>
      <c r="G469" s="470"/>
      <c r="H469" s="10" t="str">
        <f>IF(F470=B32636,C32636,"")&amp;IF(F470=B32638,C32638,"")</f>
        <v/>
      </c>
      <c r="I469" s="8"/>
      <c r="J469" s="2"/>
      <c r="K469" s="1"/>
      <c r="M469" s="11" t="str">
        <f>IF(F470=B32636,E32636,"")&amp;IF(F470=B32638,E32638,"")</f>
        <v/>
      </c>
    </row>
    <row r="470" spans="1:14" ht="63.75" x14ac:dyDescent="0.2">
      <c r="A470" s="6"/>
      <c r="B470" s="9" t="s">
        <v>684</v>
      </c>
      <c r="C470" s="8"/>
      <c r="D470" s="9" t="s">
        <v>685</v>
      </c>
      <c r="E470" s="8"/>
      <c r="F470" s="5">
        <f>'VENDOR HOSTED'!I93</f>
        <v>0</v>
      </c>
      <c r="G470" s="8" t="s">
        <v>14</v>
      </c>
      <c r="H470" s="12">
        <f>'VENDOR HOSTED'!W93</f>
        <v>0</v>
      </c>
      <c r="I470" s="8"/>
      <c r="J470" s="2"/>
      <c r="K470" s="1"/>
      <c r="L470" s="4" t="s">
        <v>15</v>
      </c>
      <c r="N470" s="4" t="s">
        <v>686</v>
      </c>
    </row>
    <row r="471" spans="1:14" x14ac:dyDescent="0.2">
      <c r="A471" s="6"/>
      <c r="B471" s="470"/>
      <c r="C471" s="470"/>
      <c r="D471" s="470"/>
      <c r="E471" s="470"/>
      <c r="F471" s="470"/>
      <c r="G471" s="470"/>
      <c r="H471" s="10" t="str">
        <f>IF(F472=B32639,C32639,"")&amp;IF(F472=B32641,C32641,"")</f>
        <v/>
      </c>
      <c r="I471" s="8"/>
      <c r="J471" s="2"/>
      <c r="K471" s="1"/>
      <c r="M471" s="11" t="str">
        <f>IF(F472=B32639,E32639,"")&amp;IF(F472=B32641,E32641,"")</f>
        <v/>
      </c>
    </row>
    <row r="472" spans="1:14" ht="38.25" x14ac:dyDescent="0.2">
      <c r="A472" s="6"/>
      <c r="B472" s="9" t="s">
        <v>687</v>
      </c>
      <c r="C472" s="8"/>
      <c r="D472" s="9" t="s">
        <v>688</v>
      </c>
      <c r="E472" s="8"/>
      <c r="F472" s="5">
        <f>'VENDOR HOSTED'!I95</f>
        <v>0</v>
      </c>
      <c r="G472" s="8" t="s">
        <v>14</v>
      </c>
      <c r="H472" s="12">
        <f>'VENDOR HOSTED'!W95</f>
        <v>0</v>
      </c>
      <c r="I472" s="8"/>
      <c r="J472" s="2"/>
      <c r="K472" s="1"/>
      <c r="L472" s="4" t="s">
        <v>15</v>
      </c>
      <c r="N472" s="4" t="s">
        <v>689</v>
      </c>
    </row>
    <row r="473" spans="1:14" x14ac:dyDescent="0.2">
      <c r="A473" s="6"/>
      <c r="B473" s="470"/>
      <c r="C473" s="470"/>
      <c r="D473" s="470"/>
      <c r="E473" s="470"/>
      <c r="F473" s="470"/>
      <c r="G473" s="470"/>
      <c r="H473" s="10" t="str">
        <f>IF(F474=B32642,C32642,"")&amp;IF(F474=B32644,C32644,"")</f>
        <v/>
      </c>
      <c r="I473" s="8"/>
      <c r="J473" s="2"/>
      <c r="K473" s="1"/>
      <c r="M473" s="11" t="str">
        <f>IF(F474=B32642,E32642,"")&amp;IF(F474=B32644,E32644,"")</f>
        <v/>
      </c>
    </row>
    <row r="474" spans="1:14" ht="38.25" x14ac:dyDescent="0.2">
      <c r="A474" s="6"/>
      <c r="B474" s="9" t="s">
        <v>690</v>
      </c>
      <c r="C474" s="8"/>
      <c r="D474" s="9" t="s">
        <v>691</v>
      </c>
      <c r="E474" s="8"/>
      <c r="F474" s="5">
        <f>'VENDOR HOSTED'!I97</f>
        <v>0</v>
      </c>
      <c r="G474" s="8" t="s">
        <v>14</v>
      </c>
      <c r="H474" s="12">
        <f>'VENDOR HOSTED'!W97</f>
        <v>0</v>
      </c>
      <c r="I474" s="8"/>
      <c r="J474" s="2"/>
      <c r="K474" s="1"/>
      <c r="L474" s="4" t="s">
        <v>15</v>
      </c>
      <c r="N474" s="4" t="s">
        <v>692</v>
      </c>
    </row>
    <row r="475" spans="1:14" x14ac:dyDescent="0.2">
      <c r="A475" s="6"/>
      <c r="B475" s="470"/>
      <c r="C475" s="470"/>
      <c r="D475" s="470"/>
      <c r="E475" s="470"/>
      <c r="F475" s="470"/>
      <c r="G475" s="470"/>
      <c r="H475" s="10" t="str">
        <f>IF(F476=B32645,C32645,"")&amp;IF(F476=B32647,C32647,"")</f>
        <v/>
      </c>
      <c r="I475" s="8"/>
      <c r="J475" s="2"/>
      <c r="K475" s="1"/>
      <c r="M475" s="11" t="str">
        <f>IF(F476=B32645,E32645,"")&amp;IF(F476=B32647,E32647,"")</f>
        <v/>
      </c>
    </row>
    <row r="476" spans="1:14" ht="38.25" x14ac:dyDescent="0.2">
      <c r="A476" s="6"/>
      <c r="B476" s="9" t="s">
        <v>693</v>
      </c>
      <c r="C476" s="8"/>
      <c r="D476" s="9" t="s">
        <v>694</v>
      </c>
      <c r="E476" s="8"/>
      <c r="F476" s="5">
        <f>'VENDOR HOSTED'!I99</f>
        <v>0</v>
      </c>
      <c r="G476" s="8" t="s">
        <v>14</v>
      </c>
      <c r="H476" s="12">
        <f>'VENDOR HOSTED'!W99</f>
        <v>0</v>
      </c>
      <c r="I476" s="8"/>
      <c r="J476" s="2"/>
      <c r="K476" s="1"/>
      <c r="L476" s="4" t="s">
        <v>15</v>
      </c>
      <c r="N476" s="4" t="s">
        <v>695</v>
      </c>
    </row>
    <row r="477" spans="1:14" x14ac:dyDescent="0.2">
      <c r="A477" s="6"/>
      <c r="B477" s="470"/>
      <c r="C477" s="470"/>
      <c r="D477" s="470"/>
      <c r="E477" s="470"/>
      <c r="F477" s="470"/>
      <c r="G477" s="470"/>
      <c r="H477" s="10" t="str">
        <f>IF(F478=B32648,C32648,"")&amp;IF(F478=B32650,C32650,"")</f>
        <v/>
      </c>
      <c r="I477" s="8"/>
      <c r="J477" s="2"/>
      <c r="K477" s="1"/>
      <c r="M477" s="11" t="str">
        <f>IF(F478=B32648,E32648,"")&amp;IF(F478=B32650,E32650,"")</f>
        <v/>
      </c>
    </row>
    <row r="478" spans="1:14" ht="38.25" x14ac:dyDescent="0.2">
      <c r="A478" s="6"/>
      <c r="B478" s="9" t="s">
        <v>696</v>
      </c>
      <c r="C478" s="8"/>
      <c r="D478" s="9" t="s">
        <v>697</v>
      </c>
      <c r="E478" s="8"/>
      <c r="F478" s="5">
        <f>'VENDOR HOSTED'!I101</f>
        <v>0</v>
      </c>
      <c r="G478" s="8" t="s">
        <v>14</v>
      </c>
      <c r="H478" s="12">
        <f>'VENDOR HOSTED'!W101</f>
        <v>0</v>
      </c>
      <c r="I478" s="8"/>
      <c r="J478" s="2"/>
      <c r="K478" s="1"/>
      <c r="L478" s="4" t="s">
        <v>15</v>
      </c>
      <c r="N478" s="4" t="s">
        <v>698</v>
      </c>
    </row>
    <row r="479" spans="1:14" x14ac:dyDescent="0.2">
      <c r="A479" s="6"/>
      <c r="B479" s="470"/>
      <c r="C479" s="470"/>
      <c r="D479" s="470"/>
      <c r="E479" s="470"/>
      <c r="F479" s="470"/>
      <c r="G479" s="470"/>
      <c r="H479" s="10" t="str">
        <f>IF(F480=B32651,C32651,"")&amp;IF(F480=B32653,C32653,"")</f>
        <v/>
      </c>
      <c r="I479" s="8"/>
      <c r="J479" s="2"/>
      <c r="K479" s="1"/>
      <c r="M479" s="11" t="str">
        <f>IF(F480=B32651,E32651,"")&amp;IF(F480=B32653,E32653,"")</f>
        <v/>
      </c>
    </row>
    <row r="480" spans="1:14" ht="38.25" x14ac:dyDescent="0.2">
      <c r="A480" s="6"/>
      <c r="B480" s="9" t="s">
        <v>699</v>
      </c>
      <c r="C480" s="8"/>
      <c r="D480" s="9" t="s">
        <v>700</v>
      </c>
      <c r="E480" s="8"/>
      <c r="F480" s="5">
        <f>'VENDOR HOSTED'!I103</f>
        <v>0</v>
      </c>
      <c r="G480" s="8" t="s">
        <v>14</v>
      </c>
      <c r="H480" s="12">
        <f>'VENDOR HOSTED'!W103</f>
        <v>0</v>
      </c>
      <c r="I480" s="8"/>
      <c r="J480" s="2"/>
      <c r="K480" s="1"/>
      <c r="L480" s="4" t="s">
        <v>15</v>
      </c>
      <c r="N480" s="4" t="s">
        <v>701</v>
      </c>
    </row>
    <row r="481" spans="1:14" x14ac:dyDescent="0.2">
      <c r="A481" s="6"/>
      <c r="B481" s="470"/>
      <c r="C481" s="470"/>
      <c r="D481" s="470"/>
      <c r="E481" s="470"/>
      <c r="F481" s="470"/>
      <c r="G481" s="470"/>
      <c r="H481" s="10" t="str">
        <f>IF(F482=B32654,C32654,"")&amp;IF(F482=B32656,C32656,"")</f>
        <v/>
      </c>
      <c r="I481" s="8"/>
      <c r="J481" s="2"/>
      <c r="K481" s="1"/>
      <c r="M481" s="11" t="str">
        <f>IF(F482=B32654,E32654,"")&amp;IF(F482=B32656,E32656,"")</f>
        <v/>
      </c>
    </row>
    <row r="482" spans="1:14" ht="51" x14ac:dyDescent="0.2">
      <c r="A482" s="6"/>
      <c r="B482" s="9" t="s">
        <v>702</v>
      </c>
      <c r="C482" s="8"/>
      <c r="D482" s="9" t="s">
        <v>703</v>
      </c>
      <c r="E482" s="8"/>
      <c r="F482" s="5">
        <f>'VENDOR HOSTED'!I105</f>
        <v>0</v>
      </c>
      <c r="G482" s="8" t="s">
        <v>14</v>
      </c>
      <c r="H482" s="12">
        <f>'VENDOR HOSTED'!W105</f>
        <v>0</v>
      </c>
      <c r="I482" s="8"/>
      <c r="J482" s="2"/>
      <c r="K482" s="1"/>
      <c r="L482" s="4" t="s">
        <v>15</v>
      </c>
      <c r="N482" s="4" t="s">
        <v>704</v>
      </c>
    </row>
    <row r="483" spans="1:14" x14ac:dyDescent="0.2">
      <c r="A483" s="6"/>
      <c r="B483" s="470"/>
      <c r="C483" s="470"/>
      <c r="D483" s="470"/>
      <c r="E483" s="470"/>
      <c r="F483" s="470"/>
      <c r="G483" s="470"/>
      <c r="H483" s="10" t="str">
        <f>IF(F484=B32657,C32657,"")&amp;IF(F484=B32659,C32659,"")</f>
        <v/>
      </c>
      <c r="I483" s="8"/>
      <c r="J483" s="2"/>
      <c r="K483" s="1"/>
      <c r="M483" s="11" t="str">
        <f>IF(F484=B32657,E32657,"")&amp;IF(F484=B32659,E32659,"")</f>
        <v/>
      </c>
    </row>
    <row r="484" spans="1:14" ht="38.25" x14ac:dyDescent="0.2">
      <c r="A484" s="6"/>
      <c r="B484" s="9" t="s">
        <v>705</v>
      </c>
      <c r="C484" s="8"/>
      <c r="D484" s="9" t="s">
        <v>706</v>
      </c>
      <c r="E484" s="8"/>
      <c r="F484" s="5">
        <f>'VENDOR HOSTED'!I107</f>
        <v>0</v>
      </c>
      <c r="G484" s="8" t="s">
        <v>14</v>
      </c>
      <c r="H484" s="12">
        <f>'VENDOR HOSTED'!W107</f>
        <v>0</v>
      </c>
      <c r="I484" s="8"/>
      <c r="J484" s="2"/>
      <c r="K484" s="1"/>
      <c r="L484" s="4" t="s">
        <v>15</v>
      </c>
      <c r="N484" s="4" t="s">
        <v>707</v>
      </c>
    </row>
    <row r="485" spans="1:14" x14ac:dyDescent="0.2">
      <c r="A485" s="6"/>
      <c r="B485" s="470"/>
      <c r="C485" s="470"/>
      <c r="D485" s="470"/>
      <c r="E485" s="470"/>
      <c r="F485" s="470"/>
      <c r="G485" s="470"/>
      <c r="H485" s="10" t="str">
        <f>IF(F486=B32660,C32660,"")&amp;IF(F486=B32662,C32662,"")</f>
        <v/>
      </c>
      <c r="I485" s="8"/>
      <c r="J485" s="2"/>
      <c r="K485" s="1"/>
      <c r="M485" s="11" t="str">
        <f>IF(F486=B32660,E32660,"")&amp;IF(F486=B32662,E32662,"")</f>
        <v/>
      </c>
    </row>
    <row r="486" spans="1:14" ht="63.75" x14ac:dyDescent="0.2">
      <c r="A486" s="6"/>
      <c r="B486" s="9" t="s">
        <v>708</v>
      </c>
      <c r="C486" s="8"/>
      <c r="D486" s="9" t="s">
        <v>709</v>
      </c>
      <c r="E486" s="8"/>
      <c r="F486" s="5">
        <f>'VENDOR HOSTED'!I109</f>
        <v>0</v>
      </c>
      <c r="G486" s="8" t="s">
        <v>14</v>
      </c>
      <c r="H486" s="12">
        <f>'VENDOR HOSTED'!W109</f>
        <v>0</v>
      </c>
      <c r="I486" s="8"/>
      <c r="J486" s="2"/>
      <c r="K486" s="1"/>
      <c r="L486" s="4" t="s">
        <v>15</v>
      </c>
      <c r="N486" s="4" t="s">
        <v>710</v>
      </c>
    </row>
    <row r="487" spans="1:14" x14ac:dyDescent="0.2">
      <c r="A487" s="6"/>
      <c r="B487" s="470"/>
      <c r="C487" s="470"/>
      <c r="D487" s="470"/>
      <c r="E487" s="470"/>
      <c r="F487" s="470"/>
      <c r="G487" s="470"/>
      <c r="H487" s="10" t="str">
        <f>IF(F488=B32663,C32663,"")&amp;IF(F488=B32665,C32665,"")</f>
        <v/>
      </c>
      <c r="I487" s="8"/>
      <c r="J487" s="2"/>
      <c r="K487" s="1"/>
      <c r="M487" s="11" t="str">
        <f>IF(F488=B32663,E32663,"")&amp;IF(F488=B32665,E32665,"")</f>
        <v/>
      </c>
    </row>
    <row r="488" spans="1:14" ht="51" x14ac:dyDescent="0.2">
      <c r="A488" s="6"/>
      <c r="B488" s="9" t="s">
        <v>711</v>
      </c>
      <c r="C488" s="8"/>
      <c r="D488" s="9" t="s">
        <v>712</v>
      </c>
      <c r="E488" s="8"/>
      <c r="F488" s="5">
        <f>'VENDOR HOSTED'!I111</f>
        <v>0</v>
      </c>
      <c r="G488" s="8" t="s">
        <v>14</v>
      </c>
      <c r="H488" s="12">
        <f>'VENDOR HOSTED'!W111</f>
        <v>0</v>
      </c>
      <c r="I488" s="8"/>
      <c r="J488" s="2"/>
      <c r="K488" s="1"/>
      <c r="L488" s="4" t="s">
        <v>15</v>
      </c>
      <c r="N488" s="4" t="s">
        <v>713</v>
      </c>
    </row>
    <row r="489" spans="1:14" x14ac:dyDescent="0.2">
      <c r="A489" s="6"/>
      <c r="B489" s="470"/>
      <c r="C489" s="470"/>
      <c r="D489" s="470"/>
      <c r="E489" s="470"/>
      <c r="F489" s="470"/>
      <c r="G489" s="470"/>
      <c r="H489" s="10" t="str">
        <f>IF(F490=B32666,C32666,"")&amp;IF(F490=B32668,C32668,"")</f>
        <v/>
      </c>
      <c r="I489" s="8"/>
      <c r="J489" s="2"/>
      <c r="K489" s="1"/>
      <c r="M489" s="11" t="str">
        <f>IF(F490=B32666,E32666,"")&amp;IF(F490=B32668,E32668,"")</f>
        <v/>
      </c>
    </row>
    <row r="490" spans="1:14" ht="38.25" x14ac:dyDescent="0.2">
      <c r="A490" s="6"/>
      <c r="B490" s="9" t="s">
        <v>714</v>
      </c>
      <c r="C490" s="8"/>
      <c r="D490" s="9" t="s">
        <v>715</v>
      </c>
      <c r="E490" s="8"/>
      <c r="F490" s="5">
        <f>'VENDOR HOSTED'!I114</f>
        <v>0</v>
      </c>
      <c r="G490" s="8" t="s">
        <v>14</v>
      </c>
      <c r="H490" s="12">
        <f>'VENDOR HOSTED'!W114</f>
        <v>0</v>
      </c>
      <c r="I490" s="8"/>
      <c r="J490" s="2"/>
      <c r="K490" s="1"/>
      <c r="L490" s="4" t="s">
        <v>15</v>
      </c>
      <c r="N490" s="4" t="s">
        <v>716</v>
      </c>
    </row>
    <row r="491" spans="1:14" x14ac:dyDescent="0.2">
      <c r="A491" s="6"/>
      <c r="B491" s="470"/>
      <c r="C491" s="470"/>
      <c r="D491" s="470"/>
      <c r="E491" s="470"/>
      <c r="F491" s="470"/>
      <c r="G491" s="470"/>
      <c r="H491" s="10" t="str">
        <f>IF(F492=B32669,C32669,"")&amp;IF(F492=B32671,C32671,"")</f>
        <v/>
      </c>
      <c r="I491" s="8"/>
      <c r="J491" s="2"/>
      <c r="K491" s="1"/>
      <c r="M491" s="11" t="str">
        <f>IF(F492=B32669,E32669,"")&amp;IF(F492=B32671,E32671,"")</f>
        <v/>
      </c>
    </row>
    <row r="492" spans="1:14" ht="25.5" x14ac:dyDescent="0.2">
      <c r="A492" s="6"/>
      <c r="B492" s="9" t="s">
        <v>717</v>
      </c>
      <c r="C492" s="8"/>
      <c r="D492" s="9" t="s">
        <v>718</v>
      </c>
      <c r="E492" s="8"/>
      <c r="F492" s="5">
        <f>'VENDOR HOSTED'!I116</f>
        <v>0</v>
      </c>
      <c r="G492" s="8" t="s">
        <v>14</v>
      </c>
      <c r="H492" s="12">
        <f>'VENDOR HOSTED'!W116</f>
        <v>0</v>
      </c>
      <c r="I492" s="8"/>
      <c r="J492" s="2"/>
      <c r="K492" s="1"/>
      <c r="L492" s="4" t="s">
        <v>15</v>
      </c>
      <c r="N492" s="4" t="s">
        <v>719</v>
      </c>
    </row>
    <row r="493" spans="1:14" x14ac:dyDescent="0.2">
      <c r="A493" s="6"/>
      <c r="B493" s="470"/>
      <c r="C493" s="470"/>
      <c r="D493" s="470"/>
      <c r="E493" s="470"/>
      <c r="F493" s="470"/>
      <c r="G493" s="470"/>
      <c r="H493" s="10" t="str">
        <f>IF(F494=B32672,C32672,"")&amp;IF(F494=B32674,C32674,"")</f>
        <v/>
      </c>
      <c r="I493" s="8"/>
      <c r="J493" s="2"/>
      <c r="K493" s="1"/>
      <c r="M493" s="11" t="str">
        <f>IF(F494=B32672,E32672,"")&amp;IF(F494=B32674,E32674,"")</f>
        <v/>
      </c>
    </row>
    <row r="494" spans="1:14" ht="76.5" x14ac:dyDescent="0.2">
      <c r="A494" s="6"/>
      <c r="B494" s="9" t="s">
        <v>720</v>
      </c>
      <c r="C494" s="8"/>
      <c r="D494" s="9" t="s">
        <v>721</v>
      </c>
      <c r="E494" s="8"/>
      <c r="F494" s="5">
        <f>'VENDOR HOSTED'!I119</f>
        <v>0</v>
      </c>
      <c r="G494" s="8" t="s">
        <v>14</v>
      </c>
      <c r="H494" s="12">
        <f>'VENDOR HOSTED'!W119</f>
        <v>0</v>
      </c>
      <c r="I494" s="8"/>
      <c r="J494" s="2"/>
      <c r="K494" s="1"/>
      <c r="L494" s="4" t="s">
        <v>15</v>
      </c>
      <c r="N494" s="4" t="s">
        <v>722</v>
      </c>
    </row>
    <row r="495" spans="1:14" x14ac:dyDescent="0.2">
      <c r="A495" s="6"/>
      <c r="B495" s="470"/>
      <c r="C495" s="470"/>
      <c r="D495" s="470"/>
      <c r="E495" s="470"/>
      <c r="F495" s="470"/>
      <c r="G495" s="470"/>
      <c r="H495" s="10" t="str">
        <f>IF(F496=B32675,C32675,"")&amp;IF(F496=B32677,C32677,"")</f>
        <v/>
      </c>
      <c r="I495" s="8"/>
      <c r="J495" s="2"/>
      <c r="K495" s="1"/>
      <c r="M495" s="11" t="str">
        <f>IF(F496=B32675,E32675,"")&amp;IF(F496=B32677,E32677,"")</f>
        <v/>
      </c>
    </row>
    <row r="496" spans="1:14" ht="38.25" x14ac:dyDescent="0.2">
      <c r="A496" s="6"/>
      <c r="B496" s="9" t="s">
        <v>723</v>
      </c>
      <c r="C496" s="8"/>
      <c r="D496" s="9" t="s">
        <v>724</v>
      </c>
      <c r="E496" s="8"/>
      <c r="F496" s="5">
        <f>'VENDOR HOSTED'!I121</f>
        <v>0</v>
      </c>
      <c r="G496" s="8" t="s">
        <v>14</v>
      </c>
      <c r="H496" s="12">
        <f>'VENDOR HOSTED'!W121</f>
        <v>0</v>
      </c>
      <c r="I496" s="8"/>
      <c r="J496" s="2"/>
      <c r="K496" s="1"/>
      <c r="L496" s="4" t="s">
        <v>15</v>
      </c>
      <c r="N496" s="4" t="s">
        <v>725</v>
      </c>
    </row>
    <row r="497" spans="1:14" x14ac:dyDescent="0.2">
      <c r="A497" s="6"/>
      <c r="B497" s="470"/>
      <c r="C497" s="470"/>
      <c r="D497" s="470"/>
      <c r="E497" s="470"/>
      <c r="F497" s="470"/>
      <c r="G497" s="470"/>
      <c r="H497" s="10" t="str">
        <f>IF(F498=B32678,C32678,"")&amp;IF(F498=B32680,C32680,"")</f>
        <v/>
      </c>
      <c r="I497" s="8"/>
      <c r="J497" s="2"/>
      <c r="K497" s="1"/>
      <c r="M497" s="11" t="str">
        <f>IF(F498=B32678,E32678,"")&amp;IF(F498=B32680,E32680,"")</f>
        <v/>
      </c>
    </row>
    <row r="498" spans="1:14" ht="25.5" x14ac:dyDescent="0.2">
      <c r="A498" s="6"/>
      <c r="B498" s="9" t="s">
        <v>726</v>
      </c>
      <c r="C498" s="8"/>
      <c r="D498" s="9" t="s">
        <v>727</v>
      </c>
      <c r="E498" s="8"/>
      <c r="F498" s="5">
        <f>'VENDOR HOSTED'!I124</f>
        <v>0</v>
      </c>
      <c r="G498" s="8" t="s">
        <v>14</v>
      </c>
      <c r="H498" s="12">
        <f>'VENDOR HOSTED'!W124</f>
        <v>0</v>
      </c>
      <c r="I498" s="8"/>
      <c r="J498" s="2"/>
      <c r="K498" s="1"/>
      <c r="L498" s="4" t="s">
        <v>15</v>
      </c>
      <c r="N498" s="4" t="s">
        <v>728</v>
      </c>
    </row>
    <row r="499" spans="1:14" x14ac:dyDescent="0.2">
      <c r="A499" s="6"/>
      <c r="B499" s="470"/>
      <c r="C499" s="470"/>
      <c r="D499" s="470"/>
      <c r="E499" s="470"/>
      <c r="F499" s="470"/>
      <c r="G499" s="470"/>
      <c r="H499" s="10" t="str">
        <f>IF(F500=B32681,C32681,"")&amp;IF(F500=B32683,C32683,"")</f>
        <v/>
      </c>
      <c r="I499" s="8"/>
      <c r="J499" s="2"/>
      <c r="K499" s="1"/>
      <c r="M499" s="11" t="str">
        <f>IF(F500=B32681,E32681,"")&amp;IF(F500=B32683,E32683,"")</f>
        <v/>
      </c>
    </row>
    <row r="500" spans="1:14" ht="63.75" x14ac:dyDescent="0.2">
      <c r="A500" s="6"/>
      <c r="B500" s="9" t="s">
        <v>729</v>
      </c>
      <c r="C500" s="8"/>
      <c r="D500" s="9" t="s">
        <v>730</v>
      </c>
      <c r="E500" s="8"/>
      <c r="F500" s="5">
        <f>'VENDOR HOSTED'!I126</f>
        <v>0</v>
      </c>
      <c r="G500" s="8" t="s">
        <v>14</v>
      </c>
      <c r="H500" s="12">
        <f>'VENDOR HOSTED'!W126</f>
        <v>0</v>
      </c>
      <c r="I500" s="8"/>
      <c r="J500" s="2"/>
      <c r="K500" s="1"/>
      <c r="L500" s="4" t="s">
        <v>15</v>
      </c>
      <c r="N500" s="4" t="s">
        <v>731</v>
      </c>
    </row>
    <row r="501" spans="1:14" x14ac:dyDescent="0.2">
      <c r="A501" s="6"/>
      <c r="B501" s="470"/>
      <c r="C501" s="470"/>
      <c r="D501" s="470"/>
      <c r="E501" s="470"/>
      <c r="F501" s="470"/>
      <c r="G501" s="470"/>
      <c r="H501" s="10" t="str">
        <f>IF(F502=B32684,C32684,"")&amp;IF(F502=B32686,C32686,"")</f>
        <v/>
      </c>
      <c r="I501" s="8"/>
      <c r="J501" s="2"/>
      <c r="K501" s="1"/>
      <c r="M501" s="11" t="str">
        <f>IF(F502=B32684,E32684,"")&amp;IF(F502=B32686,E32686,"")</f>
        <v/>
      </c>
    </row>
    <row r="502" spans="1:14" ht="76.5" x14ac:dyDescent="0.2">
      <c r="A502" s="6"/>
      <c r="B502" s="9" t="s">
        <v>732</v>
      </c>
      <c r="C502" s="8"/>
      <c r="D502" s="9" t="s">
        <v>733</v>
      </c>
      <c r="E502" s="8"/>
      <c r="F502" s="5">
        <f>'VENDOR HOSTED'!I128</f>
        <v>0</v>
      </c>
      <c r="G502" s="8" t="s">
        <v>14</v>
      </c>
      <c r="H502" s="12">
        <f>'VENDOR HOSTED'!W128</f>
        <v>0</v>
      </c>
      <c r="I502" s="8"/>
      <c r="J502" s="2"/>
      <c r="K502" s="1"/>
      <c r="L502" s="4" t="s">
        <v>15</v>
      </c>
      <c r="N502" s="4" t="s">
        <v>734</v>
      </c>
    </row>
    <row r="503" spans="1:14" x14ac:dyDescent="0.2">
      <c r="A503" s="6"/>
      <c r="B503" s="470"/>
      <c r="C503" s="470"/>
      <c r="D503" s="470"/>
      <c r="E503" s="470"/>
      <c r="F503" s="470"/>
      <c r="G503" s="470"/>
      <c r="H503" s="10" t="str">
        <f>IF(F504=B32687,C32687,"")&amp;IF(F504=B32689,C32689,"")</f>
        <v/>
      </c>
      <c r="I503" s="8"/>
      <c r="J503" s="2"/>
      <c r="K503" s="1"/>
      <c r="M503" s="11" t="str">
        <f>IF(F504=B32687,E32687,"")&amp;IF(F504=B32689,E32689,"")</f>
        <v/>
      </c>
    </row>
    <row r="504" spans="1:14" ht="51" x14ac:dyDescent="0.2">
      <c r="A504" s="6"/>
      <c r="B504" s="9" t="s">
        <v>735</v>
      </c>
      <c r="C504" s="8"/>
      <c r="D504" s="9" t="s">
        <v>736</v>
      </c>
      <c r="E504" s="8"/>
      <c r="F504" s="5">
        <f>'VENDOR HOSTED'!I130</f>
        <v>0</v>
      </c>
      <c r="G504" s="8" t="s">
        <v>14</v>
      </c>
      <c r="H504" s="12">
        <f>'VENDOR HOSTED'!W130</f>
        <v>0</v>
      </c>
      <c r="I504" s="8"/>
      <c r="J504" s="2"/>
      <c r="K504" s="1"/>
      <c r="L504" s="4" t="s">
        <v>15</v>
      </c>
      <c r="N504" s="4" t="s">
        <v>737</v>
      </c>
    </row>
    <row r="505" spans="1:14" x14ac:dyDescent="0.2">
      <c r="A505" s="6"/>
      <c r="B505" s="470"/>
      <c r="C505" s="470"/>
      <c r="D505" s="470"/>
      <c r="E505" s="470"/>
      <c r="F505" s="470"/>
      <c r="G505" s="470"/>
      <c r="H505" s="10" t="str">
        <f>IF(F506=B32690,C32690,"")&amp;IF(F506=B32692,C32692,"")</f>
        <v/>
      </c>
      <c r="I505" s="8"/>
      <c r="J505" s="2"/>
      <c r="K505" s="1"/>
      <c r="M505" s="11" t="str">
        <f>IF(F506=B32690,E32690,"")&amp;IF(F506=B32692,E32692,"")</f>
        <v/>
      </c>
    </row>
    <row r="506" spans="1:14" ht="38.25" x14ac:dyDescent="0.2">
      <c r="A506" s="6"/>
      <c r="B506" s="9" t="s">
        <v>738</v>
      </c>
      <c r="C506" s="8"/>
      <c r="D506" s="9" t="s">
        <v>739</v>
      </c>
      <c r="E506" s="8"/>
      <c r="F506" s="5">
        <f>'VENDOR HOSTED'!I133</f>
        <v>0</v>
      </c>
      <c r="G506" s="8" t="s">
        <v>14</v>
      </c>
      <c r="H506" s="12">
        <f>'VENDOR HOSTED'!W133</f>
        <v>0</v>
      </c>
      <c r="I506" s="8"/>
      <c r="J506" s="2"/>
      <c r="K506" s="1"/>
      <c r="L506" s="4" t="s">
        <v>15</v>
      </c>
      <c r="N506" s="4" t="s">
        <v>740</v>
      </c>
    </row>
    <row r="507" spans="1:14" x14ac:dyDescent="0.2">
      <c r="A507" s="6"/>
      <c r="B507" s="470"/>
      <c r="C507" s="470"/>
      <c r="D507" s="470"/>
      <c r="E507" s="470"/>
      <c r="F507" s="470"/>
      <c r="G507" s="470"/>
      <c r="H507" s="10" t="str">
        <f>IF(F508=B32693,C32693,"")&amp;IF(F508=B32695,C32695,"")</f>
        <v/>
      </c>
      <c r="I507" s="8"/>
      <c r="J507" s="2"/>
      <c r="K507" s="1"/>
      <c r="M507" s="11" t="str">
        <f>IF(F508=B32693,E32693,"")&amp;IF(F508=B32695,E32695,"")</f>
        <v/>
      </c>
    </row>
    <row r="508" spans="1:14" ht="38.25" x14ac:dyDescent="0.2">
      <c r="A508" s="6"/>
      <c r="B508" s="9" t="s">
        <v>741</v>
      </c>
      <c r="C508" s="8"/>
      <c r="D508" s="9" t="s">
        <v>742</v>
      </c>
      <c r="E508" s="8"/>
      <c r="F508" s="5">
        <f>'VENDOR HOSTED'!I135</f>
        <v>0</v>
      </c>
      <c r="G508" s="8" t="s">
        <v>14</v>
      </c>
      <c r="H508" s="12">
        <f>'VENDOR HOSTED'!W135</f>
        <v>0</v>
      </c>
      <c r="I508" s="8"/>
      <c r="J508" s="2"/>
      <c r="K508" s="1"/>
      <c r="L508" s="4" t="s">
        <v>15</v>
      </c>
      <c r="N508" s="4" t="s">
        <v>743</v>
      </c>
    </row>
    <row r="509" spans="1:14" x14ac:dyDescent="0.2">
      <c r="A509" s="6"/>
      <c r="B509" s="470"/>
      <c r="C509" s="470"/>
      <c r="D509" s="470"/>
      <c r="E509" s="470"/>
      <c r="F509" s="470"/>
      <c r="G509" s="470"/>
      <c r="H509" s="10" t="str">
        <f>IF(F510=B32696,C32696,"")&amp;IF(F510=B32698,C32698,"")</f>
        <v/>
      </c>
      <c r="I509" s="8"/>
      <c r="J509" s="2"/>
      <c r="K509" s="1"/>
      <c r="M509" s="11" t="str">
        <f>IF(F510=B32696,E32696,"")&amp;IF(F510=B32698,E32698,"")</f>
        <v/>
      </c>
    </row>
    <row r="510" spans="1:14" ht="38.25" x14ac:dyDescent="0.2">
      <c r="A510" s="6"/>
      <c r="B510" s="9" t="s">
        <v>744</v>
      </c>
      <c r="C510" s="8"/>
      <c r="D510" s="9" t="s">
        <v>745</v>
      </c>
      <c r="E510" s="8"/>
      <c r="F510" s="5">
        <f>'VENDOR HOSTED'!I137</f>
        <v>0</v>
      </c>
      <c r="G510" s="8" t="s">
        <v>14</v>
      </c>
      <c r="H510" s="12">
        <f>'VENDOR HOSTED'!W137</f>
        <v>0</v>
      </c>
      <c r="I510" s="8"/>
      <c r="J510" s="2"/>
      <c r="K510" s="1"/>
      <c r="L510" s="4" t="s">
        <v>15</v>
      </c>
      <c r="N510" s="4" t="s">
        <v>746</v>
      </c>
    </row>
    <row r="511" spans="1:14" x14ac:dyDescent="0.2">
      <c r="A511" s="6"/>
      <c r="B511" s="470"/>
      <c r="C511" s="470"/>
      <c r="D511" s="470"/>
      <c r="E511" s="470"/>
      <c r="F511" s="470"/>
      <c r="G511" s="470"/>
      <c r="H511" s="10" t="str">
        <f>IF(F512=B32699,C32699,"")&amp;IF(F512=B32701,C32701,"")</f>
        <v/>
      </c>
      <c r="I511" s="8"/>
      <c r="J511" s="2"/>
      <c r="K511" s="1"/>
      <c r="M511" s="11" t="str">
        <f>IF(F512=B32699,E32699,"")&amp;IF(F512=B32701,E32701,"")</f>
        <v/>
      </c>
    </row>
    <row r="512" spans="1:14" ht="63.75" x14ac:dyDescent="0.2">
      <c r="A512" s="6"/>
      <c r="B512" s="9" t="s">
        <v>747</v>
      </c>
      <c r="C512" s="8"/>
      <c r="D512" s="9" t="s">
        <v>748</v>
      </c>
      <c r="E512" s="8"/>
      <c r="F512" s="5">
        <f>'VENDOR HOSTED'!I140</f>
        <v>0</v>
      </c>
      <c r="G512" s="8" t="s">
        <v>14</v>
      </c>
      <c r="H512" s="12">
        <f>'VENDOR HOSTED'!W140</f>
        <v>0</v>
      </c>
      <c r="I512" s="8"/>
      <c r="J512" s="2"/>
      <c r="K512" s="1"/>
      <c r="L512" s="4" t="s">
        <v>15</v>
      </c>
      <c r="N512" s="4" t="s">
        <v>749</v>
      </c>
    </row>
    <row r="513" spans="1:14" x14ac:dyDescent="0.2">
      <c r="A513" s="6"/>
      <c r="B513" s="470"/>
      <c r="C513" s="470"/>
      <c r="D513" s="470"/>
      <c r="E513" s="470"/>
      <c r="F513" s="470"/>
      <c r="G513" s="470"/>
      <c r="H513" s="10" t="str">
        <f>IF(F514=B32702,C32702,"")&amp;IF(F514=B32704,C32704,"")</f>
        <v/>
      </c>
      <c r="I513" s="8"/>
      <c r="J513" s="2"/>
      <c r="K513" s="1"/>
      <c r="M513" s="11" t="str">
        <f>IF(F514=B32702,E32702,"")&amp;IF(F514=B32704,E32704,"")</f>
        <v/>
      </c>
    </row>
    <row r="514" spans="1:14" ht="38.25" x14ac:dyDescent="0.2">
      <c r="A514" s="6"/>
      <c r="B514" s="9" t="s">
        <v>750</v>
      </c>
      <c r="C514" s="8"/>
      <c r="D514" s="9" t="s">
        <v>751</v>
      </c>
      <c r="E514" s="8"/>
      <c r="F514" s="5">
        <f>'VENDOR HOSTED'!I142</f>
        <v>0</v>
      </c>
      <c r="G514" s="8" t="s">
        <v>14</v>
      </c>
      <c r="H514" s="12">
        <f>'VENDOR HOSTED'!W142</f>
        <v>0</v>
      </c>
      <c r="I514" s="8"/>
      <c r="J514" s="2"/>
      <c r="K514" s="1"/>
      <c r="L514" s="4" t="s">
        <v>15</v>
      </c>
      <c r="N514" s="4" t="s">
        <v>752</v>
      </c>
    </row>
    <row r="515" spans="1:14" x14ac:dyDescent="0.2">
      <c r="A515" s="6"/>
      <c r="B515" s="470"/>
      <c r="C515" s="470"/>
      <c r="D515" s="470"/>
      <c r="E515" s="470"/>
      <c r="F515" s="470"/>
      <c r="G515" s="470"/>
      <c r="H515" s="10" t="str">
        <f>IF(F516=B32705,C32705,"")&amp;IF(F516=B32707,C32707,"")</f>
        <v/>
      </c>
      <c r="I515" s="8"/>
      <c r="J515" s="2"/>
      <c r="K515" s="1"/>
      <c r="M515" s="11" t="str">
        <f>IF(F516=B32705,E32705,"")&amp;IF(F516=B32707,E32707,"")</f>
        <v/>
      </c>
    </row>
    <row r="516" spans="1:14" ht="51" x14ac:dyDescent="0.2">
      <c r="A516" s="6"/>
      <c r="B516" s="9" t="s">
        <v>753</v>
      </c>
      <c r="C516" s="8"/>
      <c r="D516" s="9" t="s">
        <v>754</v>
      </c>
      <c r="E516" s="8"/>
      <c r="F516" s="5">
        <f>'VENDOR HOSTED'!I144</f>
        <v>0</v>
      </c>
      <c r="G516" s="8" t="s">
        <v>14</v>
      </c>
      <c r="H516" s="12">
        <f>'VENDOR HOSTED'!W144</f>
        <v>0</v>
      </c>
      <c r="I516" s="8"/>
      <c r="J516" s="2"/>
      <c r="K516" s="1"/>
      <c r="L516" s="4" t="s">
        <v>15</v>
      </c>
      <c r="N516" s="4" t="s">
        <v>755</v>
      </c>
    </row>
    <row r="517" spans="1:14" x14ac:dyDescent="0.2">
      <c r="A517" s="6"/>
      <c r="B517" s="470"/>
      <c r="C517" s="470"/>
      <c r="D517" s="470"/>
      <c r="E517" s="470"/>
      <c r="F517" s="470"/>
      <c r="G517" s="470"/>
      <c r="H517" s="10" t="str">
        <f>IF(F518=B32708,C32708,"")&amp;IF(F518=B32710,C32710,"")</f>
        <v/>
      </c>
      <c r="I517" s="8"/>
      <c r="J517" s="2"/>
      <c r="K517" s="1"/>
      <c r="M517" s="11" t="str">
        <f>IF(F518=B32708,E32708,"")&amp;IF(F518=B32710,E32710,"")</f>
        <v/>
      </c>
    </row>
    <row r="518" spans="1:14" ht="63.75" x14ac:dyDescent="0.2">
      <c r="A518" s="6"/>
      <c r="B518" s="9" t="s">
        <v>756</v>
      </c>
      <c r="C518" s="8"/>
      <c r="D518" s="9" t="s">
        <v>757</v>
      </c>
      <c r="E518" s="8"/>
      <c r="F518" s="5">
        <f>'VENDOR HOSTED'!I146</f>
        <v>0</v>
      </c>
      <c r="G518" s="8" t="s">
        <v>14</v>
      </c>
      <c r="H518" s="12">
        <f>'VENDOR HOSTED'!W146</f>
        <v>0</v>
      </c>
      <c r="I518" s="8"/>
      <c r="J518" s="2"/>
      <c r="K518" s="1"/>
      <c r="L518" s="4" t="s">
        <v>15</v>
      </c>
      <c r="N518" s="4" t="s">
        <v>758</v>
      </c>
    </row>
    <row r="519" spans="1:14" x14ac:dyDescent="0.2">
      <c r="A519" s="6"/>
      <c r="B519" s="480">
        <v>3</v>
      </c>
      <c r="C519" s="480"/>
      <c r="D519" s="480"/>
      <c r="E519" s="480"/>
      <c r="F519" s="480"/>
      <c r="G519" s="480"/>
      <c r="H519" s="10" t="str">
        <f>IF(F520=B32711,C32711,"")&amp;IF(F520=B32712,C32712,"")&amp;IF(F520=B32713,C32713,"")</f>
        <v/>
      </c>
      <c r="I519" s="8"/>
      <c r="J519" s="2"/>
      <c r="K519" s="1"/>
      <c r="M519" s="11" t="str">
        <f>IF(F520=B32711,E32711,"")&amp;IF(F520=B32712,E32712,"")&amp;IF(F520=B32713,E32713,"")</f>
        <v/>
      </c>
    </row>
    <row r="520" spans="1:14" ht="63.75" x14ac:dyDescent="0.2">
      <c r="A520" s="6"/>
      <c r="B520" s="9" t="s">
        <v>759</v>
      </c>
      <c r="C520" s="8"/>
      <c r="D520" s="9" t="s">
        <v>760</v>
      </c>
      <c r="E520" s="8"/>
      <c r="F520" s="5">
        <f>'VENDOR HOSTED'!I149</f>
        <v>0</v>
      </c>
      <c r="G520" s="8" t="s">
        <v>14</v>
      </c>
      <c r="H520" s="12">
        <f>'VENDOR HOSTED'!W149</f>
        <v>0</v>
      </c>
      <c r="I520" s="8"/>
      <c r="J520" s="2"/>
      <c r="K520" s="1"/>
      <c r="L520" s="4" t="s">
        <v>15</v>
      </c>
      <c r="N520" s="4" t="s">
        <v>761</v>
      </c>
    </row>
    <row r="521" spans="1:14" x14ac:dyDescent="0.2">
      <c r="A521" s="6"/>
      <c r="B521" s="480">
        <v>3</v>
      </c>
      <c r="C521" s="480"/>
      <c r="D521" s="480"/>
      <c r="E521" s="480"/>
      <c r="F521" s="480"/>
      <c r="G521" s="480"/>
      <c r="H521" s="140" t="str">
        <f>IF(F522=B32714,C32714,"")&amp;IF(F522=B32715,C32715,"")&amp;IF(F522=B32716,C32716,"")</f>
        <v/>
      </c>
      <c r="I521" s="8"/>
      <c r="J521" s="2"/>
      <c r="K521" s="1"/>
      <c r="M521" s="11" t="str">
        <f>IF(F522=B32714,E32714,"")&amp;IF(F522=B32715,E32715,"")&amp;IF(F522=B32716,E32716,"")</f>
        <v/>
      </c>
    </row>
    <row r="522" spans="1:14" ht="38.25" x14ac:dyDescent="0.2">
      <c r="A522" s="6"/>
      <c r="B522" s="9" t="s">
        <v>762</v>
      </c>
      <c r="C522" s="8"/>
      <c r="D522" s="9" t="s">
        <v>763</v>
      </c>
      <c r="E522" s="8"/>
      <c r="F522" s="5">
        <f>'VENDOR HOSTED'!I151</f>
        <v>0</v>
      </c>
      <c r="G522" s="8" t="s">
        <v>14</v>
      </c>
      <c r="H522" s="12">
        <f>'VENDOR HOSTED'!W151</f>
        <v>0</v>
      </c>
      <c r="I522" s="8"/>
      <c r="J522" s="2"/>
      <c r="K522" s="1"/>
      <c r="L522" s="4" t="s">
        <v>15</v>
      </c>
      <c r="N522" s="4" t="s">
        <v>764</v>
      </c>
    </row>
    <row r="523" spans="1:14" x14ac:dyDescent="0.2">
      <c r="A523" s="6"/>
      <c r="B523" s="470"/>
      <c r="C523" s="470"/>
      <c r="D523" s="470"/>
      <c r="E523" s="470"/>
      <c r="F523" s="470"/>
      <c r="G523" s="470"/>
      <c r="H523" s="10" t="str">
        <f>IF(F524=B32717,C32717,"")&amp;IF(F524=B32719,C32719,"")</f>
        <v/>
      </c>
      <c r="I523" s="8"/>
      <c r="J523" s="2"/>
      <c r="K523" s="1"/>
      <c r="M523" s="11" t="str">
        <f>IF(F524=B32717,E32717,"")&amp;IF(F524=B32719,E32719,"")</f>
        <v/>
      </c>
    </row>
    <row r="524" spans="1:14" ht="51" x14ac:dyDescent="0.2">
      <c r="A524" s="6"/>
      <c r="B524" s="9" t="s">
        <v>765</v>
      </c>
      <c r="C524" s="8"/>
      <c r="D524" s="9" t="s">
        <v>766</v>
      </c>
      <c r="E524" s="8"/>
      <c r="F524" s="5">
        <f>'VENDOR HOSTED'!I153</f>
        <v>0</v>
      </c>
      <c r="G524" s="8" t="s">
        <v>14</v>
      </c>
      <c r="H524" s="12">
        <f>'VENDOR HOSTED'!W153</f>
        <v>0</v>
      </c>
      <c r="I524" s="8"/>
      <c r="J524" s="2"/>
      <c r="K524" s="1"/>
      <c r="L524" s="4" t="s">
        <v>15</v>
      </c>
      <c r="N524" s="4" t="s">
        <v>767</v>
      </c>
    </row>
    <row r="525" spans="1:14" x14ac:dyDescent="0.2">
      <c r="A525" s="6"/>
      <c r="B525" s="470"/>
      <c r="C525" s="470"/>
      <c r="D525" s="470"/>
      <c r="E525" s="470"/>
      <c r="F525" s="470"/>
      <c r="G525" s="470"/>
      <c r="H525" s="10" t="str">
        <f>IF(F526=B32720,C32720,"")&amp;IF(F526=B32722,C32722,"")</f>
        <v/>
      </c>
      <c r="I525" s="8"/>
      <c r="J525" s="2"/>
      <c r="K525" s="1"/>
      <c r="M525" s="11" t="str">
        <f>IF(F526=B32720,E32720,"")&amp;IF(F526=B32722,E32722,"")</f>
        <v/>
      </c>
    </row>
    <row r="526" spans="1:14" ht="51" x14ac:dyDescent="0.2">
      <c r="A526" s="6"/>
      <c r="B526" s="9" t="s">
        <v>768</v>
      </c>
      <c r="C526" s="8"/>
      <c r="D526" s="9" t="s">
        <v>769</v>
      </c>
      <c r="E526" s="8"/>
      <c r="F526" s="5">
        <f>'VENDOR HOSTED'!I155</f>
        <v>0</v>
      </c>
      <c r="G526" s="8" t="s">
        <v>14</v>
      </c>
      <c r="H526" s="12">
        <f>'VENDOR HOSTED'!W155</f>
        <v>0</v>
      </c>
      <c r="I526" s="8"/>
      <c r="J526" s="2"/>
      <c r="K526" s="1"/>
      <c r="L526" s="4" t="s">
        <v>15</v>
      </c>
      <c r="N526" s="4" t="s">
        <v>770</v>
      </c>
    </row>
    <row r="527" spans="1:14" x14ac:dyDescent="0.2">
      <c r="A527" s="6"/>
      <c r="B527" s="470"/>
      <c r="C527" s="470"/>
      <c r="D527" s="470"/>
      <c r="E527" s="470"/>
      <c r="F527" s="470"/>
      <c r="G527" s="470"/>
      <c r="H527" s="10" t="str">
        <f>IF(F528=B32723,C32723,"")&amp;IF(F528=B32725,C32725,"")</f>
        <v/>
      </c>
      <c r="I527" s="8"/>
      <c r="J527" s="2"/>
      <c r="K527" s="1"/>
      <c r="M527" s="11" t="str">
        <f>IF(F528=B32723,E32723,"")&amp;IF(F528=B32725,E32725,"")</f>
        <v/>
      </c>
    </row>
    <row r="528" spans="1:14" ht="38.25" x14ac:dyDescent="0.2">
      <c r="A528" s="6"/>
      <c r="B528" s="9" t="s">
        <v>771</v>
      </c>
      <c r="C528" s="8"/>
      <c r="D528" s="9" t="s">
        <v>772</v>
      </c>
      <c r="E528" s="8"/>
      <c r="F528" s="5">
        <f>'VENDOR HOSTED'!I157</f>
        <v>0</v>
      </c>
      <c r="G528" s="8" t="s">
        <v>14</v>
      </c>
      <c r="H528" s="12">
        <f>'VENDOR HOSTED'!W157</f>
        <v>0</v>
      </c>
      <c r="I528" s="8"/>
      <c r="J528" s="2"/>
      <c r="K528" s="1"/>
      <c r="L528" s="4" t="s">
        <v>15</v>
      </c>
      <c r="N528" s="4" t="s">
        <v>773</v>
      </c>
    </row>
    <row r="529" spans="1:14" x14ac:dyDescent="0.2">
      <c r="A529" s="6"/>
      <c r="B529" s="480">
        <v>3</v>
      </c>
      <c r="C529" s="480"/>
      <c r="D529" s="480"/>
      <c r="E529" s="480"/>
      <c r="F529" s="480"/>
      <c r="G529" s="480"/>
      <c r="H529" s="10" t="str">
        <f>IF(F530=B32726,C32726,"")&amp;IF(F530=B32727,C32727,"")&amp;IF(F530=B32728,C32728,"")</f>
        <v/>
      </c>
      <c r="I529" s="8"/>
      <c r="J529" s="2"/>
      <c r="K529" s="1"/>
      <c r="M529" s="11" t="str">
        <f>IF(F530=B32726,E32726,"")&amp;IF(F530=B32727,E32727,"")&amp;IF(F530=B32728,E32728,"")</f>
        <v/>
      </c>
    </row>
    <row r="530" spans="1:14" ht="51" x14ac:dyDescent="0.2">
      <c r="A530" s="6"/>
      <c r="B530" s="9" t="s">
        <v>774</v>
      </c>
      <c r="C530" s="8"/>
      <c r="D530" s="9" t="s">
        <v>775</v>
      </c>
      <c r="E530" s="8"/>
      <c r="F530" s="5">
        <f>'VENDOR HOSTED'!I159</f>
        <v>0</v>
      </c>
      <c r="G530" s="8" t="s">
        <v>14</v>
      </c>
      <c r="H530" s="12">
        <f>'VENDOR HOSTED'!W159</f>
        <v>0</v>
      </c>
      <c r="I530" s="8"/>
      <c r="J530" s="2"/>
      <c r="K530" s="1"/>
      <c r="L530" s="4" t="s">
        <v>15</v>
      </c>
      <c r="N530" s="4" t="s">
        <v>776</v>
      </c>
    </row>
    <row r="531" spans="1:14" x14ac:dyDescent="0.2">
      <c r="A531" s="6"/>
      <c r="B531" s="470"/>
      <c r="C531" s="470"/>
      <c r="D531" s="470"/>
      <c r="E531" s="470"/>
      <c r="F531" s="470"/>
      <c r="G531" s="470"/>
      <c r="H531" s="10" t="str">
        <f>IF(F532=B32729,C32729,"")&amp;IF(F532=B32731,C32731,"")</f>
        <v/>
      </c>
      <c r="I531" s="8"/>
      <c r="J531" s="2"/>
      <c r="K531" s="1"/>
      <c r="M531" s="11" t="str">
        <f>IF(F532=B32729,E32729,"")&amp;IF(F532=B32731,E32731,"")</f>
        <v/>
      </c>
    </row>
    <row r="532" spans="1:14" ht="51" x14ac:dyDescent="0.2">
      <c r="A532" s="6"/>
      <c r="B532" s="9" t="s">
        <v>777</v>
      </c>
      <c r="C532" s="8"/>
      <c r="D532" s="9" t="s">
        <v>778</v>
      </c>
      <c r="E532" s="8"/>
      <c r="F532" s="5">
        <f>'VENDOR HOSTED'!I161</f>
        <v>0</v>
      </c>
      <c r="G532" s="8" t="s">
        <v>14</v>
      </c>
      <c r="H532" s="12">
        <f>'VENDOR HOSTED'!W161</f>
        <v>0</v>
      </c>
      <c r="I532" s="8"/>
      <c r="J532" s="2"/>
      <c r="K532" s="1"/>
      <c r="L532" s="4" t="s">
        <v>15</v>
      </c>
      <c r="N532" s="4" t="s">
        <v>779</v>
      </c>
    </row>
    <row r="533" spans="1:14" x14ac:dyDescent="0.2">
      <c r="A533" s="6"/>
      <c r="B533" s="470"/>
      <c r="C533" s="470"/>
      <c r="D533" s="470"/>
      <c r="E533" s="470"/>
      <c r="F533" s="470"/>
      <c r="G533" s="470"/>
      <c r="H533" s="10" t="str">
        <f>IF(F534=B32732,C32732,"")&amp;IF(F534=B32734,C32734,"")</f>
        <v/>
      </c>
      <c r="I533" s="8"/>
      <c r="J533" s="2"/>
      <c r="K533" s="1"/>
      <c r="M533" s="11" t="str">
        <f>IF(F534=B32732,E32732,"")&amp;IF(F534=B32734,E32734,"")</f>
        <v/>
      </c>
    </row>
    <row r="534" spans="1:14" ht="63.75" x14ac:dyDescent="0.2">
      <c r="A534" s="6"/>
      <c r="B534" s="9" t="s">
        <v>780</v>
      </c>
      <c r="C534" s="8"/>
      <c r="D534" s="9" t="s">
        <v>781</v>
      </c>
      <c r="E534" s="8"/>
      <c r="F534" s="5">
        <f>'VENDOR HOSTED'!I163</f>
        <v>0</v>
      </c>
      <c r="G534" s="8" t="s">
        <v>14</v>
      </c>
      <c r="H534" s="12">
        <f>'VENDOR HOSTED'!W163</f>
        <v>0</v>
      </c>
      <c r="I534" s="8"/>
      <c r="J534" s="2"/>
      <c r="K534" s="1"/>
      <c r="L534" s="4" t="s">
        <v>15</v>
      </c>
      <c r="N534" s="4" t="s">
        <v>782</v>
      </c>
    </row>
    <row r="535" spans="1:14" x14ac:dyDescent="0.2">
      <c r="A535" s="6"/>
      <c r="B535" s="470"/>
      <c r="C535" s="470"/>
      <c r="D535" s="470"/>
      <c r="E535" s="470"/>
      <c r="F535" s="470"/>
      <c r="G535" s="470"/>
      <c r="H535" s="10" t="str">
        <f>IF(F536=B32735,C32735,"")&amp;IF(F536=B32737,C32737,"")</f>
        <v/>
      </c>
      <c r="I535" s="8"/>
      <c r="J535" s="2"/>
      <c r="K535" s="1"/>
      <c r="M535" s="11" t="str">
        <f>IF(F536=B32735,E32735,"")&amp;IF(F536=B32737,E32737,"")</f>
        <v/>
      </c>
    </row>
    <row r="536" spans="1:14" ht="25.5" x14ac:dyDescent="0.2">
      <c r="A536" s="6"/>
      <c r="B536" s="9" t="s">
        <v>783</v>
      </c>
      <c r="C536" s="8"/>
      <c r="D536" s="9" t="s">
        <v>784</v>
      </c>
      <c r="E536" s="8"/>
      <c r="F536" s="5">
        <f>'VENDOR HOSTED'!I165</f>
        <v>0</v>
      </c>
      <c r="G536" s="8" t="s">
        <v>14</v>
      </c>
      <c r="H536" s="12">
        <f>'VENDOR HOSTED'!W165</f>
        <v>0</v>
      </c>
      <c r="I536" s="8"/>
      <c r="J536" s="2"/>
      <c r="K536" s="1"/>
      <c r="L536" s="4" t="s">
        <v>15</v>
      </c>
      <c r="N536" s="4" t="s">
        <v>785</v>
      </c>
    </row>
    <row r="537" spans="1:14" x14ac:dyDescent="0.2">
      <c r="A537" s="6"/>
      <c r="B537" s="470"/>
      <c r="C537" s="470"/>
      <c r="D537" s="470"/>
      <c r="E537" s="470"/>
      <c r="F537" s="470"/>
      <c r="G537" s="470"/>
      <c r="H537" s="10" t="str">
        <f>IF(F538=B32738,C32738,"")&amp;IF(F538=B32740,C32740,"")</f>
        <v/>
      </c>
      <c r="I537" s="8"/>
      <c r="J537" s="2"/>
      <c r="K537" s="1"/>
      <c r="M537" s="11" t="str">
        <f>IF(F538=B32738,E32738,"")&amp;IF(F538=B32740,E32740,"")</f>
        <v/>
      </c>
    </row>
    <row r="538" spans="1:14" ht="51" x14ac:dyDescent="0.2">
      <c r="A538" s="6"/>
      <c r="B538" s="9" t="s">
        <v>786</v>
      </c>
      <c r="C538" s="8"/>
      <c r="D538" s="9" t="s">
        <v>787</v>
      </c>
      <c r="E538" s="8"/>
      <c r="F538" s="5">
        <f>'VENDOR HOSTED'!I167</f>
        <v>0</v>
      </c>
      <c r="G538" s="8" t="s">
        <v>14</v>
      </c>
      <c r="H538" s="12">
        <f>'VENDOR HOSTED'!W167</f>
        <v>0</v>
      </c>
      <c r="I538" s="8"/>
      <c r="J538" s="2"/>
      <c r="K538" s="1"/>
      <c r="L538" s="4" t="s">
        <v>15</v>
      </c>
      <c r="N538" s="4" t="s">
        <v>788</v>
      </c>
    </row>
    <row r="539" spans="1:14" x14ac:dyDescent="0.2">
      <c r="A539" s="6"/>
      <c r="B539" s="470"/>
      <c r="C539" s="470"/>
      <c r="D539" s="470"/>
      <c r="E539" s="470"/>
      <c r="F539" s="470"/>
      <c r="G539" s="470"/>
      <c r="H539" s="10" t="str">
        <f>IF(F540=B32741,C32741,"")&amp;IF(F540=B32743,C32743,"")</f>
        <v/>
      </c>
      <c r="I539" s="8"/>
      <c r="J539" s="2"/>
      <c r="K539" s="1"/>
      <c r="M539" s="11" t="str">
        <f>IF(F540=B32741,E32741,"")&amp;IF(F540=B32743,E32743,"")</f>
        <v/>
      </c>
    </row>
    <row r="540" spans="1:14" ht="51" x14ac:dyDescent="0.2">
      <c r="A540" s="6"/>
      <c r="B540" s="9" t="s">
        <v>789</v>
      </c>
      <c r="C540" s="8"/>
      <c r="D540" s="9" t="s">
        <v>790</v>
      </c>
      <c r="E540" s="8"/>
      <c r="F540" s="5">
        <f>'VENDOR HOSTED'!I169</f>
        <v>0</v>
      </c>
      <c r="G540" s="8" t="s">
        <v>14</v>
      </c>
      <c r="H540" s="12">
        <f>'VENDOR HOSTED'!W169</f>
        <v>0</v>
      </c>
      <c r="I540" s="8"/>
      <c r="J540" s="2"/>
      <c r="K540" s="1"/>
      <c r="L540" s="4" t="s">
        <v>15</v>
      </c>
      <c r="N540" s="4" t="s">
        <v>791</v>
      </c>
    </row>
    <row r="541" spans="1:14" x14ac:dyDescent="0.2">
      <c r="A541" s="6"/>
      <c r="B541" s="470"/>
      <c r="C541" s="470"/>
      <c r="D541" s="470"/>
      <c r="E541" s="470"/>
      <c r="F541" s="470"/>
      <c r="G541" s="470"/>
      <c r="H541" s="10" t="str">
        <f>IF(F542=B32744,C32744,"")&amp;IF(F542=B32746,C32746,"")</f>
        <v/>
      </c>
      <c r="I541" s="8"/>
      <c r="J541" s="2"/>
      <c r="K541" s="1"/>
      <c r="M541" s="11" t="str">
        <f>IF(F542=B32744,E32744,"")&amp;IF(F542=B32746,E32746,"")</f>
        <v/>
      </c>
    </row>
    <row r="542" spans="1:14" ht="38.25" x14ac:dyDescent="0.2">
      <c r="A542" s="6"/>
      <c r="B542" s="9" t="s">
        <v>792</v>
      </c>
      <c r="C542" s="8"/>
      <c r="D542" s="9" t="s">
        <v>793</v>
      </c>
      <c r="E542" s="8"/>
      <c r="F542" s="5">
        <f>'VENDOR HOSTED'!I171</f>
        <v>0</v>
      </c>
      <c r="G542" s="8" t="s">
        <v>14</v>
      </c>
      <c r="H542" s="12">
        <f>'VENDOR HOSTED'!W171</f>
        <v>0</v>
      </c>
      <c r="I542" s="8"/>
      <c r="J542" s="2"/>
      <c r="K542" s="1"/>
      <c r="L542" s="4" t="s">
        <v>15</v>
      </c>
      <c r="N542" s="4" t="s">
        <v>794</v>
      </c>
    </row>
    <row r="543" spans="1:14" x14ac:dyDescent="0.2">
      <c r="A543" s="6"/>
      <c r="B543" s="470"/>
      <c r="C543" s="470"/>
      <c r="D543" s="470"/>
      <c r="E543" s="470"/>
      <c r="F543" s="470"/>
      <c r="G543" s="470"/>
      <c r="H543" s="10" t="str">
        <f>IF(F544=B32747,C32747,"")&amp;IF(F544=B32749,C32749,"")</f>
        <v/>
      </c>
      <c r="I543" s="8"/>
      <c r="J543" s="2"/>
      <c r="K543" s="1"/>
      <c r="M543" s="11" t="str">
        <f>IF(F544=B32747,E32747,"")&amp;IF(F544=B32749,E32749,"")</f>
        <v/>
      </c>
    </row>
    <row r="544" spans="1:14" ht="51" x14ac:dyDescent="0.2">
      <c r="A544" s="6"/>
      <c r="B544" s="9" t="s">
        <v>795</v>
      </c>
      <c r="C544" s="8"/>
      <c r="D544" s="9" t="s">
        <v>796</v>
      </c>
      <c r="E544" s="8"/>
      <c r="F544" s="5">
        <f>'VENDOR HOSTED'!I173</f>
        <v>0</v>
      </c>
      <c r="G544" s="8" t="s">
        <v>14</v>
      </c>
      <c r="H544" s="12">
        <f>'VENDOR HOSTED'!W173</f>
        <v>0</v>
      </c>
      <c r="I544" s="8"/>
      <c r="J544" s="2"/>
      <c r="K544" s="1"/>
      <c r="L544" s="4" t="s">
        <v>15</v>
      </c>
      <c r="N544" s="4" t="s">
        <v>797</v>
      </c>
    </row>
    <row r="545" spans="1:14" x14ac:dyDescent="0.2">
      <c r="A545" s="6"/>
      <c r="B545" s="470"/>
      <c r="C545" s="470"/>
      <c r="D545" s="470"/>
      <c r="E545" s="470"/>
      <c r="F545" s="470"/>
      <c r="G545" s="470"/>
      <c r="H545" s="10" t="str">
        <f>IF(F546=B32750,C32750,"")&amp;IF(F546=B32752,C32752,"")</f>
        <v/>
      </c>
      <c r="I545" s="8"/>
      <c r="J545" s="2"/>
      <c r="K545" s="1"/>
      <c r="M545" s="11" t="str">
        <f>IF(F546=B32750,E32750,"")&amp;IF(F546=B32752,E32752,"")</f>
        <v/>
      </c>
    </row>
    <row r="546" spans="1:14" ht="89.25" x14ac:dyDescent="0.2">
      <c r="A546" s="6"/>
      <c r="B546" s="9" t="s">
        <v>798</v>
      </c>
      <c r="C546" s="8"/>
      <c r="D546" s="9" t="s">
        <v>799</v>
      </c>
      <c r="E546" s="8"/>
      <c r="F546" s="5">
        <f>'VENDOR HOSTED'!I175</f>
        <v>0</v>
      </c>
      <c r="G546" s="8" t="s">
        <v>14</v>
      </c>
      <c r="H546" s="12">
        <f>'VENDOR HOSTED'!W175</f>
        <v>0</v>
      </c>
      <c r="I546" s="8"/>
      <c r="J546" s="2"/>
      <c r="K546" s="1"/>
      <c r="L546" s="4" t="s">
        <v>15</v>
      </c>
      <c r="N546" s="4" t="s">
        <v>800</v>
      </c>
    </row>
    <row r="547" spans="1:14" x14ac:dyDescent="0.2">
      <c r="A547" s="6"/>
      <c r="B547" s="470"/>
      <c r="C547" s="470"/>
      <c r="D547" s="470"/>
      <c r="E547" s="470"/>
      <c r="F547" s="470"/>
      <c r="G547" s="470"/>
      <c r="H547" s="10" t="str">
        <f>IF(F548=B32753,C32753,"")&amp;IF(F548=B32755,C32755,"")</f>
        <v/>
      </c>
      <c r="I547" s="8"/>
      <c r="J547" s="2"/>
      <c r="K547" s="1"/>
      <c r="M547" s="11" t="str">
        <f>IF(F548=B32753,E32753,"")&amp;IF(F548=B32755,E32755,"")</f>
        <v/>
      </c>
    </row>
    <row r="548" spans="1:14" ht="76.5" x14ac:dyDescent="0.2">
      <c r="A548" s="6"/>
      <c r="B548" s="9" t="s">
        <v>801</v>
      </c>
      <c r="C548" s="8"/>
      <c r="D548" s="9" t="s">
        <v>802</v>
      </c>
      <c r="E548" s="8"/>
      <c r="F548" s="5">
        <f>'VENDOR HOSTED'!I177</f>
        <v>0</v>
      </c>
      <c r="G548" s="8" t="s">
        <v>14</v>
      </c>
      <c r="H548" s="12">
        <f>'VENDOR HOSTED'!W177</f>
        <v>0</v>
      </c>
      <c r="I548" s="8"/>
      <c r="J548" s="2"/>
      <c r="K548" s="1"/>
      <c r="L548" s="4" t="s">
        <v>15</v>
      </c>
      <c r="N548" s="4" t="s">
        <v>803</v>
      </c>
    </row>
    <row r="549" spans="1:14" x14ac:dyDescent="0.2">
      <c r="A549" s="6"/>
      <c r="B549" s="470"/>
      <c r="C549" s="470"/>
      <c r="D549" s="470"/>
      <c r="E549" s="470"/>
      <c r="F549" s="470"/>
      <c r="G549" s="470"/>
      <c r="H549" s="10" t="str">
        <f>IF(F550=B32756,C32756,"")&amp;IF(F550=B32758,C32758,"")</f>
        <v/>
      </c>
      <c r="I549" s="8"/>
      <c r="J549" s="2"/>
      <c r="K549" s="1"/>
      <c r="M549" s="11" t="str">
        <f>IF(F550=B32756,E32756,"")&amp;IF(F550=B32758,E32758,"")</f>
        <v/>
      </c>
    </row>
    <row r="550" spans="1:14" ht="63.75" x14ac:dyDescent="0.2">
      <c r="A550" s="6"/>
      <c r="B550" s="9" t="s">
        <v>804</v>
      </c>
      <c r="C550" s="8"/>
      <c r="D550" s="9" t="s">
        <v>805</v>
      </c>
      <c r="E550" s="8"/>
      <c r="F550" s="5">
        <f>'VENDOR HOSTED'!I179</f>
        <v>0</v>
      </c>
      <c r="G550" s="8" t="s">
        <v>14</v>
      </c>
      <c r="H550" s="12">
        <f>'VENDOR HOSTED'!W179</f>
        <v>0</v>
      </c>
      <c r="I550" s="8"/>
      <c r="J550" s="2"/>
      <c r="K550" s="1"/>
      <c r="L550" s="4" t="s">
        <v>15</v>
      </c>
      <c r="N550" s="4" t="s">
        <v>806</v>
      </c>
    </row>
    <row r="551" spans="1:14" x14ac:dyDescent="0.2">
      <c r="A551" s="6"/>
      <c r="B551" s="470"/>
      <c r="C551" s="470"/>
      <c r="D551" s="470"/>
      <c r="E551" s="470"/>
      <c r="F551" s="470"/>
      <c r="G551" s="470"/>
      <c r="H551" s="10" t="str">
        <f>IF(F552=B32759,C32759,"")&amp;IF(F552=B32761,C32761,"")</f>
        <v/>
      </c>
      <c r="I551" s="8"/>
      <c r="J551" s="2"/>
      <c r="K551" s="1"/>
      <c r="M551" s="11" t="str">
        <f>IF(F552=B32759,E32759,"")&amp;IF(F552=B32761,E32761,"")</f>
        <v/>
      </c>
    </row>
    <row r="552" spans="1:14" ht="63.75" x14ac:dyDescent="0.2">
      <c r="A552" s="6"/>
      <c r="B552" s="9" t="s">
        <v>807</v>
      </c>
      <c r="C552" s="8"/>
      <c r="D552" s="9" t="s">
        <v>808</v>
      </c>
      <c r="E552" s="8"/>
      <c r="F552" s="5">
        <f>'VENDOR HOSTED'!I181</f>
        <v>0</v>
      </c>
      <c r="G552" s="8" t="s">
        <v>14</v>
      </c>
      <c r="H552" s="12">
        <f>'VENDOR HOSTED'!W181</f>
        <v>0</v>
      </c>
      <c r="I552" s="8"/>
      <c r="J552" s="2"/>
      <c r="K552" s="1"/>
      <c r="L552" s="4" t="s">
        <v>15</v>
      </c>
      <c r="N552" s="4" t="s">
        <v>809</v>
      </c>
    </row>
    <row r="553" spans="1:14" x14ac:dyDescent="0.2">
      <c r="A553" s="6"/>
      <c r="B553" s="470"/>
      <c r="C553" s="470"/>
      <c r="D553" s="470"/>
      <c r="E553" s="470"/>
      <c r="F553" s="470"/>
      <c r="G553" s="470"/>
      <c r="H553" s="10" t="str">
        <f>IF(F554=B32762,C32762,"")&amp;IF(F554=B32764,C32764,"")</f>
        <v/>
      </c>
      <c r="I553" s="8"/>
      <c r="J553" s="2"/>
      <c r="K553" s="1"/>
      <c r="M553" s="11" t="str">
        <f>IF(F554=B32762,E32762,"")&amp;IF(F554=B32764,E32764,"")</f>
        <v/>
      </c>
    </row>
    <row r="554" spans="1:14" ht="38.25" x14ac:dyDescent="0.2">
      <c r="A554" s="6"/>
      <c r="B554" s="9" t="s">
        <v>810</v>
      </c>
      <c r="C554" s="8"/>
      <c r="D554" s="9" t="s">
        <v>811</v>
      </c>
      <c r="E554" s="8"/>
      <c r="F554" s="5">
        <f>'VENDOR HOSTED'!I183</f>
        <v>0</v>
      </c>
      <c r="G554" s="8" t="s">
        <v>14</v>
      </c>
      <c r="H554" s="12">
        <f>'VENDOR HOSTED'!W183</f>
        <v>0</v>
      </c>
      <c r="I554" s="8"/>
      <c r="J554" s="2"/>
      <c r="K554" s="1"/>
      <c r="L554" s="4" t="s">
        <v>15</v>
      </c>
      <c r="N554" s="4" t="s">
        <v>812</v>
      </c>
    </row>
    <row r="555" spans="1:14" x14ac:dyDescent="0.2">
      <c r="A555" s="6"/>
      <c r="B555" s="470"/>
      <c r="C555" s="470"/>
      <c r="D555" s="470"/>
      <c r="E555" s="470"/>
      <c r="F555" s="470"/>
      <c r="G555" s="470"/>
      <c r="H555" s="10" t="str">
        <f>IF(F556=B32765,C32765,"")&amp;IF(F556=B32767,C32767,"")</f>
        <v/>
      </c>
      <c r="I555" s="8"/>
      <c r="J555" s="2"/>
      <c r="K555" s="1"/>
      <c r="M555" s="11" t="str">
        <f>IF(F556=B32765,E32765,"")&amp;IF(F556=B32767,E32767,"")</f>
        <v/>
      </c>
    </row>
    <row r="556" spans="1:14" ht="25.5" x14ac:dyDescent="0.2">
      <c r="A556" s="6"/>
      <c r="B556" s="9" t="s">
        <v>813</v>
      </c>
      <c r="C556" s="8"/>
      <c r="D556" s="9" t="s">
        <v>814</v>
      </c>
      <c r="E556" s="8"/>
      <c r="F556" s="5">
        <f>'VENDOR HOSTED'!I185</f>
        <v>0</v>
      </c>
      <c r="G556" s="8" t="s">
        <v>14</v>
      </c>
      <c r="H556" s="12">
        <f>'VENDOR HOSTED'!W185</f>
        <v>0</v>
      </c>
      <c r="I556" s="8"/>
      <c r="J556" s="2"/>
      <c r="K556" s="1"/>
      <c r="L556" s="4" t="s">
        <v>15</v>
      </c>
      <c r="N556" s="4" t="s">
        <v>815</v>
      </c>
    </row>
    <row r="557" spans="1:14" x14ac:dyDescent="0.2">
      <c r="A557" s="6"/>
      <c r="B557" s="479"/>
      <c r="C557" s="479"/>
      <c r="D557" s="479"/>
      <c r="E557" s="479"/>
      <c r="F557" s="479"/>
      <c r="G557" s="479"/>
      <c r="H557" s="10" t="str">
        <f>IF(F558=B32768,C32768,"")</f>
        <v>Enter Response</v>
      </c>
      <c r="I557" s="8"/>
      <c r="J557" s="2"/>
      <c r="K557" s="1"/>
      <c r="M557" s="11" t="str">
        <f>IF(F558=B32768,E32768,"")</f>
        <v>2</v>
      </c>
    </row>
    <row r="558" spans="1:14" ht="25.5" x14ac:dyDescent="0.2">
      <c r="A558" s="6"/>
      <c r="B558" s="9" t="s">
        <v>816</v>
      </c>
      <c r="C558" s="8"/>
      <c r="D558" s="30" t="s">
        <v>817</v>
      </c>
      <c r="E558" s="8"/>
      <c r="F558" s="5" t="s">
        <v>13</v>
      </c>
      <c r="G558" s="8" t="s">
        <v>14</v>
      </c>
      <c r="H558" s="12">
        <f>'VENDOR HOSTED'!I187</f>
        <v>0</v>
      </c>
      <c r="I558" s="8"/>
      <c r="J558" s="2"/>
      <c r="K558" s="1"/>
      <c r="L558" s="4" t="s">
        <v>15</v>
      </c>
      <c r="N558" s="4" t="s">
        <v>818</v>
      </c>
    </row>
    <row r="559" spans="1:14" x14ac:dyDescent="0.2">
      <c r="A559" s="6"/>
      <c r="B559" s="470"/>
      <c r="C559" s="470"/>
      <c r="D559" s="470"/>
      <c r="E559" s="470"/>
      <c r="F559" s="470"/>
      <c r="G559" s="470"/>
      <c r="H559" s="8"/>
      <c r="I559" s="8"/>
      <c r="J559" s="2"/>
      <c r="K559" s="1"/>
    </row>
    <row r="560" spans="1:14" s="150" customFormat="1" ht="30.75" customHeight="1" x14ac:dyDescent="0.2">
      <c r="A560" s="147"/>
      <c r="B560" s="475" t="s">
        <v>819</v>
      </c>
      <c r="C560" s="476"/>
      <c r="D560" s="476"/>
      <c r="E560" s="476"/>
      <c r="F560" s="476"/>
      <c r="G560" s="476"/>
      <c r="H560" s="476"/>
      <c r="I560" s="477"/>
      <c r="J560" s="148"/>
      <c r="K560" s="149"/>
    </row>
    <row r="561" spans="1:14" ht="51" x14ac:dyDescent="0.2">
      <c r="A561" s="6"/>
      <c r="B561" s="9" t="s">
        <v>820</v>
      </c>
      <c r="C561" s="8"/>
      <c r="D561" s="30" t="s">
        <v>821</v>
      </c>
      <c r="E561" s="8"/>
      <c r="F561" s="5">
        <f>'VENDOR HOSTED'!I191</f>
        <v>0</v>
      </c>
      <c r="G561" s="8" t="s">
        <v>14</v>
      </c>
      <c r="H561" s="12" t="e">
        <f>'VENDOR HOSTED'!#REF!</f>
        <v>#REF!</v>
      </c>
      <c r="I561" s="8"/>
      <c r="J561" s="2"/>
      <c r="K561" s="1"/>
      <c r="L561" s="4" t="s">
        <v>15</v>
      </c>
      <c r="N561" s="4" t="s">
        <v>822</v>
      </c>
    </row>
    <row r="562" spans="1:14" x14ac:dyDescent="0.2">
      <c r="A562" s="6"/>
      <c r="B562" s="479"/>
      <c r="C562" s="479"/>
      <c r="D562" s="479"/>
      <c r="E562" s="479"/>
      <c r="F562" s="479"/>
      <c r="G562" s="479"/>
      <c r="H562" s="10" t="str">
        <f>IF(F563=B32775,C32775,"")</f>
        <v/>
      </c>
      <c r="I562" s="8"/>
      <c r="J562" s="2"/>
      <c r="K562" s="1"/>
      <c r="M562" s="11" t="str">
        <f>IF(F563=B32775,E32775,"")</f>
        <v/>
      </c>
    </row>
    <row r="563" spans="1:14" x14ac:dyDescent="0.2">
      <c r="A563" s="6"/>
      <c r="B563" s="9" t="s">
        <v>823</v>
      </c>
      <c r="C563" s="8"/>
      <c r="D563" s="30" t="s">
        <v>824</v>
      </c>
      <c r="E563" s="8"/>
      <c r="F563" s="5">
        <f>'VENDOR HOSTED'!I193</f>
        <v>0</v>
      </c>
      <c r="G563" s="8" t="s">
        <v>14</v>
      </c>
      <c r="H563" s="278" t="str">
        <f>'VENDOR HOSTED'!W193</f>
        <v xml:space="preserve"> </v>
      </c>
      <c r="I563" s="8"/>
      <c r="J563" s="2"/>
      <c r="K563" s="1"/>
      <c r="L563" s="4" t="s">
        <v>15</v>
      </c>
      <c r="N563" s="4" t="s">
        <v>825</v>
      </c>
    </row>
    <row r="564" spans="1:14" x14ac:dyDescent="0.2">
      <c r="A564" s="6"/>
      <c r="B564" s="470"/>
      <c r="C564" s="470"/>
      <c r="D564" s="470"/>
      <c r="E564" s="470"/>
      <c r="F564" s="470"/>
      <c r="G564" s="470"/>
      <c r="H564" s="10" t="str">
        <f>IF(F565=B32781,C32781,"")</f>
        <v/>
      </c>
      <c r="I564" s="8"/>
      <c r="J564" s="2"/>
      <c r="K564" s="1"/>
      <c r="M564" s="11" t="str">
        <f>IF(F565=B32781,E32781,"")</f>
        <v/>
      </c>
    </row>
    <row r="565" spans="1:14" x14ac:dyDescent="0.2">
      <c r="A565" s="6"/>
      <c r="B565" s="9" t="s">
        <v>826</v>
      </c>
      <c r="C565" s="8"/>
      <c r="D565" s="30" t="s">
        <v>827</v>
      </c>
      <c r="E565" s="8"/>
      <c r="F565" s="5">
        <f>'VENDOR HOSTED'!I195</f>
        <v>0</v>
      </c>
      <c r="G565" s="8" t="s">
        <v>14</v>
      </c>
      <c r="H565" s="278" t="str">
        <f>'VENDOR HOSTED'!W195</f>
        <v xml:space="preserve">  </v>
      </c>
      <c r="I565" s="8"/>
      <c r="J565" s="2"/>
      <c r="K565" s="1"/>
      <c r="L565" s="4" t="s">
        <v>15</v>
      </c>
      <c r="N565" s="4" t="s">
        <v>828</v>
      </c>
    </row>
    <row r="566" spans="1:14" x14ac:dyDescent="0.2">
      <c r="A566" s="6"/>
      <c r="B566" s="479"/>
      <c r="C566" s="479"/>
      <c r="D566" s="479"/>
      <c r="E566" s="479"/>
      <c r="F566" s="479"/>
      <c r="G566" s="479"/>
      <c r="H566" s="10" t="str">
        <f>IF(F567=B32785,C32785,"")</f>
        <v/>
      </c>
      <c r="I566" s="8"/>
      <c r="J566" s="2"/>
      <c r="K566" s="1"/>
      <c r="M566" s="11" t="str">
        <f>IF(F567=B32785,E32785,"")</f>
        <v/>
      </c>
    </row>
    <row r="567" spans="1:14" x14ac:dyDescent="0.2">
      <c r="A567" s="6"/>
      <c r="B567" s="9" t="s">
        <v>829</v>
      </c>
      <c r="C567" s="8"/>
      <c r="D567" s="30" t="s">
        <v>830</v>
      </c>
      <c r="E567" s="8"/>
      <c r="F567" s="5">
        <f>'VENDOR HOSTED'!I197</f>
        <v>0</v>
      </c>
      <c r="G567" s="8" t="s">
        <v>14</v>
      </c>
      <c r="H567" s="278" t="str">
        <f>'VENDOR HOSTED'!W197</f>
        <v xml:space="preserve"> </v>
      </c>
      <c r="I567" s="8"/>
      <c r="J567" s="2"/>
      <c r="K567" s="1"/>
      <c r="L567" s="4" t="s">
        <v>15</v>
      </c>
      <c r="N567" s="4" t="s">
        <v>831</v>
      </c>
    </row>
    <row r="568" spans="1:14" x14ac:dyDescent="0.2">
      <c r="A568" s="6"/>
      <c r="B568" s="470"/>
      <c r="C568" s="470"/>
      <c r="D568" s="470"/>
      <c r="E568" s="470"/>
      <c r="F568" s="470"/>
      <c r="G568" s="470"/>
      <c r="H568" s="8"/>
      <c r="I568" s="8"/>
      <c r="J568" s="2"/>
      <c r="K568" s="1"/>
    </row>
    <row r="569" spans="1:14" ht="25.5" x14ac:dyDescent="0.2">
      <c r="A569" s="6"/>
      <c r="B569" s="9" t="s">
        <v>832</v>
      </c>
      <c r="C569" s="8"/>
      <c r="D569" s="9" t="s">
        <v>833</v>
      </c>
      <c r="E569" s="8"/>
      <c r="F569" s="5">
        <f>'VENDOR HOSTED'!I199</f>
        <v>0</v>
      </c>
      <c r="G569" s="8" t="s">
        <v>14</v>
      </c>
      <c r="H569" s="12">
        <f>'VENDOR HOSTED'!W258</f>
        <v>0</v>
      </c>
      <c r="I569" s="8"/>
      <c r="J569" s="2"/>
      <c r="K569" s="1"/>
      <c r="L569" s="4" t="s">
        <v>15</v>
      </c>
      <c r="N569" s="4" t="s">
        <v>834</v>
      </c>
    </row>
    <row r="570" spans="1:14" x14ac:dyDescent="0.2">
      <c r="A570" s="6"/>
      <c r="B570" s="470"/>
      <c r="C570" s="470"/>
      <c r="D570" s="470"/>
      <c r="E570" s="470"/>
      <c r="F570" s="470"/>
      <c r="G570" s="470"/>
      <c r="H570" s="8"/>
      <c r="I570" s="8"/>
      <c r="J570" s="2"/>
      <c r="K570" s="1"/>
    </row>
    <row r="571" spans="1:14" ht="25.5" x14ac:dyDescent="0.2">
      <c r="A571" s="6"/>
      <c r="B571" s="9" t="s">
        <v>835</v>
      </c>
      <c r="C571" s="8"/>
      <c r="D571" s="30" t="s">
        <v>836</v>
      </c>
      <c r="E571" s="8"/>
      <c r="F571" s="5">
        <f>'VENDOR HOSTED'!I201</f>
        <v>0</v>
      </c>
      <c r="G571" s="8" t="s">
        <v>14</v>
      </c>
      <c r="H571" s="12">
        <f>'VENDOR HOSTED'!W260</f>
        <v>0</v>
      </c>
      <c r="I571" s="8"/>
      <c r="J571" s="2"/>
      <c r="K571" s="1"/>
      <c r="L571" s="4" t="s">
        <v>15</v>
      </c>
      <c r="N571" s="4" t="s">
        <v>837</v>
      </c>
    </row>
    <row r="572" spans="1:14" x14ac:dyDescent="0.2">
      <c r="A572" s="6"/>
      <c r="B572" s="470"/>
      <c r="C572" s="470"/>
      <c r="D572" s="470"/>
      <c r="E572" s="470"/>
      <c r="F572" s="470"/>
      <c r="G572" s="470"/>
      <c r="H572" s="8"/>
      <c r="I572" s="8"/>
      <c r="J572" s="2"/>
      <c r="K572" s="1"/>
    </row>
    <row r="573" spans="1:14" x14ac:dyDescent="0.2">
      <c r="A573" s="6"/>
      <c r="B573" s="9" t="s">
        <v>838</v>
      </c>
      <c r="C573" s="8"/>
      <c r="D573" s="9" t="s">
        <v>839</v>
      </c>
      <c r="E573" s="8"/>
      <c r="F573" s="5">
        <f>'VENDOR HOSTED'!I203</f>
        <v>0</v>
      </c>
      <c r="G573" s="8" t="s">
        <v>14</v>
      </c>
      <c r="H573" s="12">
        <f>'VENDOR HOSTED'!W262</f>
        <v>0</v>
      </c>
      <c r="I573" s="8"/>
      <c r="J573" s="2"/>
      <c r="K573" s="1"/>
      <c r="L573" s="4" t="s">
        <v>15</v>
      </c>
      <c r="N573" s="4" t="s">
        <v>840</v>
      </c>
    </row>
    <row r="574" spans="1:14" x14ac:dyDescent="0.2">
      <c r="A574" s="6"/>
      <c r="B574" s="470"/>
      <c r="C574" s="470"/>
      <c r="D574" s="470"/>
      <c r="E574" s="470"/>
      <c r="F574" s="470"/>
      <c r="G574" s="470"/>
      <c r="H574" s="8"/>
      <c r="I574" s="8"/>
      <c r="J574" s="2"/>
      <c r="K574" s="1"/>
    </row>
    <row r="575" spans="1:14" ht="25.5" x14ac:dyDescent="0.2">
      <c r="A575" s="6"/>
      <c r="B575" s="9" t="s">
        <v>841</v>
      </c>
      <c r="C575" s="8"/>
      <c r="D575" s="9" t="s">
        <v>842</v>
      </c>
      <c r="E575" s="8"/>
      <c r="F575" s="5">
        <f>'VENDOR HOSTED'!I205</f>
        <v>0</v>
      </c>
      <c r="G575" s="8" t="s">
        <v>14</v>
      </c>
      <c r="H575" s="12">
        <f>'VENDOR HOSTED'!W264</f>
        <v>0</v>
      </c>
      <c r="I575" s="8"/>
      <c r="J575" s="2"/>
      <c r="K575" s="1"/>
      <c r="L575" s="4" t="s">
        <v>15</v>
      </c>
      <c r="N575" s="4" t="s">
        <v>843</v>
      </c>
    </row>
    <row r="576" spans="1:14" x14ac:dyDescent="0.2">
      <c r="A576" s="6"/>
      <c r="B576" s="470"/>
      <c r="C576" s="470"/>
      <c r="D576" s="470"/>
      <c r="E576" s="470"/>
      <c r="F576" s="470"/>
      <c r="G576" s="470"/>
      <c r="H576" s="8"/>
      <c r="I576" s="8"/>
      <c r="J576" s="2"/>
      <c r="K576" s="1"/>
    </row>
    <row r="577" spans="1:14" ht="25.5" x14ac:dyDescent="0.2">
      <c r="A577" s="6"/>
      <c r="B577" s="9" t="s">
        <v>844</v>
      </c>
      <c r="C577" s="8"/>
      <c r="D577" s="9" t="s">
        <v>845</v>
      </c>
      <c r="E577" s="8"/>
      <c r="F577" s="5">
        <f>'VENDOR HOSTED'!I207</f>
        <v>0</v>
      </c>
      <c r="G577" s="8" t="s">
        <v>14</v>
      </c>
      <c r="H577" s="12">
        <f>'VENDOR HOSTED'!W266</f>
        <v>0</v>
      </c>
      <c r="I577" s="8"/>
      <c r="J577" s="2"/>
      <c r="K577" s="1"/>
      <c r="L577" s="4" t="s">
        <v>15</v>
      </c>
      <c r="N577" s="4" t="s">
        <v>846</v>
      </c>
    </row>
    <row r="578" spans="1:14" x14ac:dyDescent="0.2">
      <c r="A578" s="6"/>
      <c r="B578" s="481"/>
      <c r="C578" s="481"/>
      <c r="D578" s="481"/>
      <c r="E578" s="481"/>
      <c r="F578" s="481"/>
      <c r="G578" s="481"/>
      <c r="H578" s="10" t="str">
        <f>IF(F579=B32808,C32808,"")</f>
        <v/>
      </c>
      <c r="I578" s="8"/>
      <c r="J578" s="2"/>
      <c r="K578" s="1"/>
      <c r="M578" s="11" t="str">
        <f>IF(F579=B32808,E32808,"")</f>
        <v/>
      </c>
    </row>
    <row r="579" spans="1:14" ht="25.5" x14ac:dyDescent="0.2">
      <c r="A579" s="6"/>
      <c r="B579" s="9" t="s">
        <v>847</v>
      </c>
      <c r="C579" s="8"/>
      <c r="D579" s="9" t="s">
        <v>848</v>
      </c>
      <c r="E579" s="8"/>
      <c r="F579" s="5">
        <f>'VENDOR HOSTED'!I209</f>
        <v>0</v>
      </c>
      <c r="G579" s="8" t="s">
        <v>14</v>
      </c>
      <c r="H579" s="278" t="str">
        <f>'VENDOR HOSTED'!W209</f>
        <v xml:space="preserve"> </v>
      </c>
      <c r="I579" s="8"/>
      <c r="J579" s="2"/>
      <c r="K579" s="1"/>
      <c r="L579" s="4" t="s">
        <v>15</v>
      </c>
      <c r="N579" s="4" t="s">
        <v>849</v>
      </c>
    </row>
    <row r="580" spans="1:14" x14ac:dyDescent="0.2">
      <c r="A580" s="6"/>
      <c r="B580" s="479"/>
      <c r="C580" s="479"/>
      <c r="D580" s="479"/>
      <c r="E580" s="479"/>
      <c r="F580" s="479"/>
      <c r="G580" s="479"/>
      <c r="H580" s="10" t="str">
        <f>IF(F581=B32810,C32810,"")</f>
        <v/>
      </c>
      <c r="I580" s="8"/>
      <c r="J580" s="2"/>
      <c r="K580" s="1"/>
      <c r="M580" s="11" t="str">
        <f>IF(F581=B32810,E32810,"")</f>
        <v/>
      </c>
    </row>
    <row r="581" spans="1:14" ht="38.25" x14ac:dyDescent="0.2">
      <c r="A581" s="6"/>
      <c r="B581" s="9" t="s">
        <v>850</v>
      </c>
      <c r="C581" s="8"/>
      <c r="D581" s="30" t="s">
        <v>851</v>
      </c>
      <c r="E581" s="8"/>
      <c r="F581" s="5">
        <f>'VENDOR HOSTED'!I211</f>
        <v>0</v>
      </c>
      <c r="G581" s="8" t="s">
        <v>14</v>
      </c>
      <c r="H581" s="278" t="str">
        <f>'VENDOR HOSTED'!W211</f>
        <v xml:space="preserve"> </v>
      </c>
      <c r="I581" s="8"/>
      <c r="J581" s="2"/>
      <c r="K581" s="1"/>
      <c r="L581" s="4" t="s">
        <v>15</v>
      </c>
      <c r="N581" s="4" t="s">
        <v>852</v>
      </c>
    </row>
    <row r="582" spans="1:14" x14ac:dyDescent="0.2">
      <c r="A582" s="6"/>
      <c r="B582" s="479"/>
      <c r="C582" s="479"/>
      <c r="D582" s="479"/>
      <c r="E582" s="479"/>
      <c r="F582" s="479"/>
      <c r="G582" s="479"/>
      <c r="H582" s="10" t="str">
        <f>IF(F583=B32813,C32813,"")</f>
        <v/>
      </c>
      <c r="I582" s="8"/>
      <c r="J582" s="2"/>
      <c r="K582" s="1"/>
      <c r="M582" s="11" t="str">
        <f>IF(F583=B32813,E32813,"")</f>
        <v/>
      </c>
    </row>
    <row r="583" spans="1:14" ht="25.5" x14ac:dyDescent="0.2">
      <c r="A583" s="6"/>
      <c r="B583" s="30" t="s">
        <v>853</v>
      </c>
      <c r="C583" s="8"/>
      <c r="D583" s="30" t="s">
        <v>854</v>
      </c>
      <c r="E583" s="8"/>
      <c r="F583" s="5">
        <f>'VENDOR HOSTED'!I213</f>
        <v>0</v>
      </c>
      <c r="G583" s="8" t="s">
        <v>14</v>
      </c>
      <c r="H583" s="278">
        <f>'VENDOR HOSTED'!W213</f>
        <v>0</v>
      </c>
      <c r="I583" s="8"/>
      <c r="J583" s="2"/>
      <c r="K583" s="1"/>
      <c r="L583" s="4" t="s">
        <v>15</v>
      </c>
      <c r="N583" s="4" t="s">
        <v>855</v>
      </c>
    </row>
    <row r="584" spans="1:14" x14ac:dyDescent="0.2">
      <c r="A584" s="6"/>
      <c r="B584" s="470"/>
      <c r="C584" s="470"/>
      <c r="D584" s="470"/>
      <c r="E584" s="470"/>
      <c r="F584" s="470"/>
      <c r="G584" s="470"/>
      <c r="H584" s="8"/>
      <c r="I584" s="8"/>
      <c r="J584" s="2"/>
      <c r="K584" s="1"/>
    </row>
    <row r="585" spans="1:14" ht="25.5" x14ac:dyDescent="0.2">
      <c r="A585" s="6"/>
      <c r="B585" s="9" t="s">
        <v>856</v>
      </c>
      <c r="C585" s="8"/>
      <c r="D585" s="30" t="s">
        <v>857</v>
      </c>
      <c r="E585" s="8"/>
      <c r="F585" s="5">
        <f>'VENDOR HOSTED'!I215</f>
        <v>0</v>
      </c>
      <c r="G585" s="8" t="s">
        <v>14</v>
      </c>
      <c r="H585" s="12">
        <f>'VENDOR HOSTED'!W274</f>
        <v>0</v>
      </c>
      <c r="I585" s="8"/>
      <c r="J585" s="2"/>
      <c r="K585" s="1"/>
      <c r="L585" s="4" t="s">
        <v>15</v>
      </c>
      <c r="N585" s="4" t="s">
        <v>858</v>
      </c>
    </row>
    <row r="586" spans="1:14" x14ac:dyDescent="0.2">
      <c r="A586" s="6"/>
      <c r="B586" s="479"/>
      <c r="C586" s="479"/>
      <c r="D586" s="479"/>
      <c r="E586" s="479"/>
      <c r="F586" s="479"/>
      <c r="G586" s="479"/>
      <c r="H586" s="10" t="str">
        <f>IF(F587=B32821,C32821,"")</f>
        <v/>
      </c>
      <c r="I586" s="8"/>
      <c r="J586" s="2"/>
      <c r="K586" s="1"/>
      <c r="M586" s="11" t="str">
        <f>IF(F587=B32821,E32821,"")</f>
        <v/>
      </c>
    </row>
    <row r="587" spans="1:14" ht="25.5" x14ac:dyDescent="0.2">
      <c r="A587" s="6"/>
      <c r="B587" s="9" t="s">
        <v>859</v>
      </c>
      <c r="C587" s="8"/>
      <c r="D587" s="9" t="s">
        <v>860</v>
      </c>
      <c r="E587" s="8"/>
      <c r="F587" s="5">
        <f>'VENDOR HOSTED'!I217</f>
        <v>0</v>
      </c>
      <c r="G587" s="8" t="s">
        <v>14</v>
      </c>
      <c r="H587" s="278" t="str">
        <f>'VENDOR HOSTED'!W217</f>
        <v xml:space="preserve"> </v>
      </c>
      <c r="I587" s="8"/>
      <c r="J587" s="2"/>
      <c r="K587" s="1"/>
      <c r="L587" s="4" t="s">
        <v>15</v>
      </c>
      <c r="N587" s="4" t="s">
        <v>861</v>
      </c>
    </row>
    <row r="588" spans="1:14" x14ac:dyDescent="0.2">
      <c r="A588" s="6"/>
      <c r="B588" s="479"/>
      <c r="C588" s="479"/>
      <c r="D588" s="479"/>
      <c r="E588" s="479"/>
      <c r="F588" s="479"/>
      <c r="G588" s="479"/>
      <c r="H588" s="10" t="str">
        <f>IF(F589=B32823,C32823,"")</f>
        <v/>
      </c>
      <c r="I588" s="8"/>
      <c r="J588" s="2"/>
      <c r="K588" s="1"/>
      <c r="M588" s="11" t="str">
        <f>IF(F589=B32823,E32823,"")</f>
        <v/>
      </c>
    </row>
    <row r="589" spans="1:14" ht="25.5" x14ac:dyDescent="0.2">
      <c r="A589" s="6"/>
      <c r="B589" s="9" t="s">
        <v>862</v>
      </c>
      <c r="C589" s="8"/>
      <c r="D589" s="9" t="s">
        <v>863</v>
      </c>
      <c r="E589" s="8"/>
      <c r="F589" s="5">
        <f>'VENDOR HOSTED'!I219</f>
        <v>0</v>
      </c>
      <c r="G589" s="8" t="s">
        <v>14</v>
      </c>
      <c r="H589" s="278" t="str">
        <f>'VENDOR HOSTED'!W219</f>
        <v xml:space="preserve"> </v>
      </c>
      <c r="I589" s="8"/>
      <c r="J589" s="2"/>
      <c r="K589" s="1"/>
      <c r="L589" s="4" t="s">
        <v>15</v>
      </c>
      <c r="N589" s="4" t="s">
        <v>864</v>
      </c>
    </row>
    <row r="590" spans="1:14" x14ac:dyDescent="0.2">
      <c r="A590" s="6"/>
      <c r="B590" s="470"/>
      <c r="C590" s="470"/>
      <c r="D590" s="470"/>
      <c r="E590" s="470"/>
      <c r="F590" s="470"/>
      <c r="G590" s="470"/>
      <c r="H590" s="8"/>
      <c r="I590" s="8"/>
      <c r="J590" s="2"/>
      <c r="K590" s="1"/>
    </row>
    <row r="591" spans="1:14" ht="25.5" x14ac:dyDescent="0.2">
      <c r="A591" s="6"/>
      <c r="B591" s="9" t="s">
        <v>865</v>
      </c>
      <c r="C591" s="8"/>
      <c r="D591" s="9" t="s">
        <v>866</v>
      </c>
      <c r="E591" s="8"/>
      <c r="F591" s="5">
        <f>'VENDOR HOSTED'!I221</f>
        <v>0</v>
      </c>
      <c r="G591" s="8" t="s">
        <v>14</v>
      </c>
      <c r="H591" s="12">
        <f>'VENDOR HOSTED'!W280</f>
        <v>0</v>
      </c>
      <c r="I591" s="8"/>
      <c r="J591" s="2"/>
      <c r="K591" s="1"/>
      <c r="L591" s="4" t="s">
        <v>15</v>
      </c>
      <c r="N591" s="4" t="s">
        <v>867</v>
      </c>
    </row>
    <row r="592" spans="1:14" x14ac:dyDescent="0.2">
      <c r="A592" s="6"/>
      <c r="B592" s="479"/>
      <c r="C592" s="479"/>
      <c r="D592" s="479"/>
      <c r="E592" s="479"/>
      <c r="F592" s="479"/>
      <c r="G592" s="479"/>
      <c r="H592" s="10" t="str">
        <f>IF(F593=B32829,C32829,"")</f>
        <v>Please explain:</v>
      </c>
      <c r="I592" s="8"/>
      <c r="J592" s="2"/>
      <c r="K592" s="1"/>
      <c r="M592" s="11" t="str">
        <f>IF(F593=B32829,E32829,"")</f>
        <v>2</v>
      </c>
    </row>
    <row r="593" spans="1:14" x14ac:dyDescent="0.2">
      <c r="A593" s="6"/>
      <c r="B593" s="279" t="s">
        <v>868</v>
      </c>
      <c r="C593" s="280"/>
      <c r="D593" s="279" t="s">
        <v>869</v>
      </c>
      <c r="E593" s="280"/>
      <c r="F593" s="281" t="s">
        <v>870</v>
      </c>
      <c r="G593" s="280" t="s">
        <v>14</v>
      </c>
      <c r="H593" s="278">
        <f>'VENDOR HOSTED'!I223</f>
        <v>0</v>
      </c>
      <c r="I593" s="280"/>
      <c r="J593" s="2"/>
      <c r="K593" s="1"/>
      <c r="L593" s="4" t="s">
        <v>15</v>
      </c>
      <c r="N593" s="4" t="s">
        <v>871</v>
      </c>
    </row>
    <row r="594" spans="1:14" x14ac:dyDescent="0.2">
      <c r="A594" s="6"/>
      <c r="B594" s="483"/>
      <c r="C594" s="483"/>
      <c r="D594" s="483"/>
      <c r="E594" s="483"/>
      <c r="F594" s="483"/>
      <c r="G594" s="483"/>
      <c r="H594" s="280"/>
      <c r="I594" s="280"/>
      <c r="J594" s="2"/>
      <c r="K594" s="1"/>
    </row>
    <row r="595" spans="1:14" x14ac:dyDescent="0.2">
      <c r="A595" s="6"/>
      <c r="B595" s="279" t="s">
        <v>872</v>
      </c>
      <c r="C595" s="280"/>
      <c r="D595" s="279" t="s">
        <v>873</v>
      </c>
      <c r="E595" s="280"/>
      <c r="F595" s="281">
        <f>'VENDOR HOSTED'!I225</f>
        <v>0</v>
      </c>
      <c r="G595" s="280" t="s">
        <v>14</v>
      </c>
      <c r="H595" s="278" t="s">
        <v>874</v>
      </c>
      <c r="I595" s="280"/>
      <c r="J595" s="2"/>
      <c r="K595" s="1"/>
      <c r="L595" s="4" t="s">
        <v>15</v>
      </c>
      <c r="N595" s="4" t="s">
        <v>875</v>
      </c>
    </row>
    <row r="596" spans="1:14" x14ac:dyDescent="0.2">
      <c r="A596" s="6"/>
      <c r="B596" s="484"/>
      <c r="C596" s="484"/>
      <c r="D596" s="484"/>
      <c r="E596" s="484"/>
      <c r="F596" s="484"/>
      <c r="G596" s="484"/>
      <c r="H596" s="282" t="str">
        <f>IF(F597=B32834,C32834,"")</f>
        <v>Please explain:</v>
      </c>
      <c r="I596" s="280"/>
      <c r="J596" s="2"/>
      <c r="K596" s="1"/>
      <c r="M596" s="11" t="str">
        <f>IF(F597=B32834,E32834,"")</f>
        <v>2</v>
      </c>
    </row>
    <row r="597" spans="1:14" ht="25.5" x14ac:dyDescent="0.2">
      <c r="A597" s="6"/>
      <c r="B597" s="279" t="s">
        <v>876</v>
      </c>
      <c r="C597" s="280"/>
      <c r="D597" s="279" t="s">
        <v>877</v>
      </c>
      <c r="E597" s="280"/>
      <c r="F597" s="281" t="s">
        <v>870</v>
      </c>
      <c r="G597" s="280" t="s">
        <v>14</v>
      </c>
      <c r="H597" s="278">
        <f>'VENDOR HOSTED'!I227</f>
        <v>0</v>
      </c>
      <c r="I597" s="280"/>
      <c r="J597" s="2"/>
      <c r="K597" s="1"/>
      <c r="L597" s="4" t="s">
        <v>15</v>
      </c>
      <c r="N597" s="4" t="s">
        <v>878</v>
      </c>
    </row>
    <row r="598" spans="1:14" x14ac:dyDescent="0.2">
      <c r="A598" s="6"/>
      <c r="B598" s="484"/>
      <c r="C598" s="484"/>
      <c r="D598" s="484"/>
      <c r="E598" s="484"/>
      <c r="F598" s="484"/>
      <c r="G598" s="484"/>
      <c r="H598" s="282" t="str">
        <f>IF(F599=B32836,C32836,"")</f>
        <v>Please explain:</v>
      </c>
      <c r="I598" s="280"/>
      <c r="J598" s="2"/>
      <c r="K598" s="1"/>
      <c r="M598" s="11" t="str">
        <f>IF(F599=B32836,E32836,"")</f>
        <v>2</v>
      </c>
    </row>
    <row r="599" spans="1:14" x14ac:dyDescent="0.2">
      <c r="A599" s="6"/>
      <c r="B599" s="279" t="s">
        <v>879</v>
      </c>
      <c r="C599" s="280"/>
      <c r="D599" s="279" t="s">
        <v>880</v>
      </c>
      <c r="E599" s="280"/>
      <c r="F599" s="281" t="s">
        <v>870</v>
      </c>
      <c r="G599" s="280" t="s">
        <v>14</v>
      </c>
      <c r="H599" s="278">
        <f>'VENDOR HOSTED'!I229</f>
        <v>0</v>
      </c>
      <c r="I599" s="280"/>
      <c r="J599" s="2"/>
      <c r="K599" s="1"/>
      <c r="L599" s="4" t="s">
        <v>15</v>
      </c>
      <c r="N599" s="4" t="s">
        <v>881</v>
      </c>
    </row>
    <row r="600" spans="1:14" x14ac:dyDescent="0.2">
      <c r="A600" s="6"/>
      <c r="B600" s="484"/>
      <c r="C600" s="484"/>
      <c r="D600" s="484"/>
      <c r="E600" s="484"/>
      <c r="F600" s="484"/>
      <c r="G600" s="484"/>
      <c r="H600" s="282" t="str">
        <f>IF(F601=B32838,C32838,"")</f>
        <v/>
      </c>
      <c r="I600" s="280"/>
      <c r="J600" s="2"/>
      <c r="K600" s="1"/>
      <c r="M600" s="11" t="str">
        <f>IF(F601=B32838,E32838,"")</f>
        <v/>
      </c>
    </row>
    <row r="601" spans="1:14" ht="38.25" x14ac:dyDescent="0.2">
      <c r="A601" s="6"/>
      <c r="B601" s="279" t="s">
        <v>882</v>
      </c>
      <c r="C601" s="280"/>
      <c r="D601" s="279" t="s">
        <v>883</v>
      </c>
      <c r="E601" s="280"/>
      <c r="F601" s="278">
        <f>'VENDOR HOSTED'!I231</f>
        <v>0</v>
      </c>
      <c r="G601" s="280" t="s">
        <v>14</v>
      </c>
      <c r="H601" s="278" t="str">
        <f>'VENDOR HOSTED'!W231</f>
        <v xml:space="preserve"> </v>
      </c>
      <c r="I601" s="280"/>
      <c r="J601" s="2"/>
      <c r="K601" s="1"/>
      <c r="L601" s="4" t="s">
        <v>15</v>
      </c>
      <c r="N601" s="4" t="s">
        <v>884</v>
      </c>
    </row>
    <row r="602" spans="1:14" x14ac:dyDescent="0.2">
      <c r="A602" s="6"/>
      <c r="B602" s="484"/>
      <c r="C602" s="484"/>
      <c r="D602" s="484"/>
      <c r="E602" s="484"/>
      <c r="F602" s="484"/>
      <c r="G602" s="484"/>
      <c r="H602" s="282" t="str">
        <f>IF(F603=B32841,C32841,"")</f>
        <v/>
      </c>
      <c r="I602" s="280"/>
      <c r="J602" s="2"/>
      <c r="K602" s="1"/>
      <c r="M602" s="11" t="str">
        <f>IF(F603=B32841,E32841,"")</f>
        <v/>
      </c>
    </row>
    <row r="603" spans="1:14" ht="38.25" x14ac:dyDescent="0.2">
      <c r="A603" s="6"/>
      <c r="B603" s="279" t="s">
        <v>885</v>
      </c>
      <c r="C603" s="280"/>
      <c r="D603" s="279" t="s">
        <v>886</v>
      </c>
      <c r="E603" s="280"/>
      <c r="F603" s="278">
        <f>'VENDOR HOSTED'!I233</f>
        <v>0</v>
      </c>
      <c r="G603" s="280" t="s">
        <v>14</v>
      </c>
      <c r="H603" s="278" t="str">
        <f>'VENDOR HOSTED'!W233</f>
        <v xml:space="preserve"> </v>
      </c>
      <c r="I603" s="280"/>
      <c r="J603" s="2"/>
      <c r="K603" s="1"/>
      <c r="L603" s="4" t="s">
        <v>15</v>
      </c>
      <c r="N603" s="4" t="s">
        <v>887</v>
      </c>
    </row>
    <row r="604" spans="1:14" x14ac:dyDescent="0.2">
      <c r="A604" s="6"/>
      <c r="B604" s="483"/>
      <c r="C604" s="483"/>
      <c r="D604" s="483"/>
      <c r="E604" s="483"/>
      <c r="F604" s="483"/>
      <c r="G604" s="483"/>
      <c r="H604" s="280"/>
      <c r="I604" s="280"/>
      <c r="J604" s="2"/>
      <c r="K604" s="1"/>
    </row>
    <row r="605" spans="1:14" ht="25.5" x14ac:dyDescent="0.2">
      <c r="A605" s="6"/>
      <c r="B605" s="279" t="s">
        <v>888</v>
      </c>
      <c r="C605" s="280"/>
      <c r="D605" s="279" t="s">
        <v>889</v>
      </c>
      <c r="E605" s="280"/>
      <c r="F605" s="278">
        <f>'VENDOR HOSTED'!I235</f>
        <v>0</v>
      </c>
      <c r="G605" s="280" t="s">
        <v>14</v>
      </c>
      <c r="H605" s="278"/>
      <c r="I605" s="280"/>
      <c r="J605" s="2"/>
      <c r="K605" s="1"/>
      <c r="L605" s="4" t="s">
        <v>15</v>
      </c>
      <c r="N605" s="4" t="s">
        <v>890</v>
      </c>
    </row>
    <row r="606" spans="1:14" x14ac:dyDescent="0.2">
      <c r="A606" s="6"/>
      <c r="B606" s="484"/>
      <c r="C606" s="484"/>
      <c r="D606" s="484"/>
      <c r="E606" s="484"/>
      <c r="F606" s="484"/>
      <c r="G606" s="484"/>
      <c r="H606" s="282" t="str">
        <f>IF(F607=B32847,C32847,"")</f>
        <v/>
      </c>
      <c r="I606" s="280"/>
      <c r="J606" s="2"/>
      <c r="K606" s="1"/>
      <c r="M606" s="11" t="str">
        <f>IF(F607=B32847,E32847,"")</f>
        <v/>
      </c>
    </row>
    <row r="607" spans="1:14" ht="25.5" x14ac:dyDescent="0.2">
      <c r="A607" s="6"/>
      <c r="B607" s="279" t="s">
        <v>891</v>
      </c>
      <c r="C607" s="280"/>
      <c r="D607" s="279" t="s">
        <v>892</v>
      </c>
      <c r="E607" s="280"/>
      <c r="F607" s="281">
        <f>'VENDOR HOSTED'!I237</f>
        <v>0</v>
      </c>
      <c r="G607" s="280" t="s">
        <v>14</v>
      </c>
      <c r="H607" s="278" t="str">
        <f>'VENDOR HOSTED'!W237</f>
        <v xml:space="preserve"> </v>
      </c>
      <c r="I607" s="280"/>
      <c r="J607" s="2"/>
      <c r="K607" s="1"/>
      <c r="L607" s="4" t="s">
        <v>15</v>
      </c>
      <c r="N607" s="4" t="s">
        <v>893</v>
      </c>
    </row>
    <row r="608" spans="1:14" x14ac:dyDescent="0.2">
      <c r="A608" s="6"/>
      <c r="B608" s="484"/>
      <c r="C608" s="484"/>
      <c r="D608" s="484"/>
      <c r="E608" s="484"/>
      <c r="F608" s="484"/>
      <c r="G608" s="484"/>
      <c r="H608" s="282" t="str">
        <f>IF(F609=B32850,C32850,"")</f>
        <v>Please elaborate:</v>
      </c>
      <c r="I608" s="280"/>
      <c r="J608" s="2"/>
      <c r="K608" s="1"/>
      <c r="M608" s="11" t="str">
        <f>IF(F609=B32850,E32850,"")</f>
        <v>2</v>
      </c>
    </row>
    <row r="609" spans="1:14" x14ac:dyDescent="0.2">
      <c r="A609" s="6"/>
      <c r="B609" s="279" t="s">
        <v>894</v>
      </c>
      <c r="C609" s="280"/>
      <c r="D609" s="279" t="s">
        <v>895</v>
      </c>
      <c r="E609" s="280"/>
      <c r="F609" s="281" t="s">
        <v>896</v>
      </c>
      <c r="G609" s="280" t="s">
        <v>14</v>
      </c>
      <c r="H609" s="278">
        <f>'VENDOR HOSTED'!I239</f>
        <v>0</v>
      </c>
      <c r="I609" s="280"/>
      <c r="J609" s="2"/>
      <c r="K609" s="1"/>
      <c r="L609" s="4" t="s">
        <v>15</v>
      </c>
      <c r="N609" s="4" t="s">
        <v>897</v>
      </c>
    </row>
    <row r="610" spans="1:14" x14ac:dyDescent="0.2">
      <c r="A610" s="6"/>
      <c r="B610" s="484"/>
      <c r="C610" s="484"/>
      <c r="D610" s="484"/>
      <c r="E610" s="484"/>
      <c r="F610" s="484"/>
      <c r="G610" s="484"/>
      <c r="H610" s="282" t="str">
        <f>IF(F611=B32852,C32852,"")</f>
        <v>Please elaborate:</v>
      </c>
      <c r="I610" s="280"/>
      <c r="J610" s="2"/>
      <c r="K610" s="1"/>
      <c r="M610" s="11" t="str">
        <f>IF(F611=B32852,E32852,"")</f>
        <v>2</v>
      </c>
    </row>
    <row r="611" spans="1:14" ht="25.5" x14ac:dyDescent="0.2">
      <c r="A611" s="6"/>
      <c r="B611" s="279" t="s">
        <v>898</v>
      </c>
      <c r="C611" s="280"/>
      <c r="D611" s="279" t="s">
        <v>899</v>
      </c>
      <c r="E611" s="280"/>
      <c r="F611" s="281" t="s">
        <v>896</v>
      </c>
      <c r="G611" s="280" t="s">
        <v>14</v>
      </c>
      <c r="H611" s="278">
        <f>'VENDOR HOSTED'!I241</f>
        <v>0</v>
      </c>
      <c r="I611" s="280"/>
      <c r="J611" s="2"/>
      <c r="K611" s="1"/>
      <c r="L611" s="4" t="s">
        <v>15</v>
      </c>
      <c r="N611" s="4" t="s">
        <v>900</v>
      </c>
    </row>
    <row r="612" spans="1:14" x14ac:dyDescent="0.2">
      <c r="A612" s="6"/>
      <c r="B612" s="484"/>
      <c r="C612" s="484"/>
      <c r="D612" s="484"/>
      <c r="E612" s="484"/>
      <c r="F612" s="484"/>
      <c r="G612" s="484"/>
      <c r="H612" s="282" t="str">
        <f>IF(F613=B32854,C32854,"")</f>
        <v/>
      </c>
      <c r="I612" s="280"/>
      <c r="J612" s="2"/>
      <c r="K612" s="1"/>
      <c r="M612" s="11" t="str">
        <f>IF(F613=B32854,E32854,"")</f>
        <v/>
      </c>
    </row>
    <row r="613" spans="1:14" ht="25.5" x14ac:dyDescent="0.2">
      <c r="A613" s="6"/>
      <c r="B613" s="279" t="s">
        <v>901</v>
      </c>
      <c r="C613" s="280"/>
      <c r="D613" s="279" t="s">
        <v>902</v>
      </c>
      <c r="E613" s="280"/>
      <c r="F613" s="278">
        <f>'VENDOR HOSTED'!I243</f>
        <v>0</v>
      </c>
      <c r="G613" s="280" t="s">
        <v>14</v>
      </c>
      <c r="H613" s="278" t="str">
        <f>'VENDOR HOSTED'!W243</f>
        <v xml:space="preserve"> </v>
      </c>
      <c r="I613" s="280"/>
      <c r="J613" s="2"/>
      <c r="K613" s="1"/>
      <c r="L613" s="4" t="s">
        <v>15</v>
      </c>
      <c r="N613" s="4" t="s">
        <v>903</v>
      </c>
    </row>
    <row r="614" spans="1:14" x14ac:dyDescent="0.2">
      <c r="A614" s="6"/>
      <c r="B614" s="484"/>
      <c r="C614" s="484"/>
      <c r="D614" s="484"/>
      <c r="E614" s="484"/>
      <c r="F614" s="484"/>
      <c r="G614" s="484"/>
      <c r="H614" s="282" t="str">
        <f>IF(F615=B32857,C32857,"")</f>
        <v>Please elaborate:</v>
      </c>
      <c r="I614" s="280"/>
      <c r="J614" s="2"/>
      <c r="K614" s="1"/>
      <c r="M614" s="11" t="str">
        <f>IF(F615=B32857,E32857,"")</f>
        <v>2</v>
      </c>
    </row>
    <row r="615" spans="1:14" x14ac:dyDescent="0.2">
      <c r="A615" s="6"/>
      <c r="B615" s="279" t="s">
        <v>904</v>
      </c>
      <c r="C615" s="280"/>
      <c r="D615" s="279" t="s">
        <v>905</v>
      </c>
      <c r="E615" s="280"/>
      <c r="F615" s="281" t="s">
        <v>896</v>
      </c>
      <c r="G615" s="280" t="s">
        <v>14</v>
      </c>
      <c r="H615" s="278">
        <f>'VENDOR HOSTED'!I245</f>
        <v>0</v>
      </c>
      <c r="I615" s="280"/>
      <c r="J615" s="2"/>
      <c r="K615" s="1"/>
      <c r="L615" s="4" t="s">
        <v>15</v>
      </c>
      <c r="N615" s="4" t="s">
        <v>906</v>
      </c>
    </row>
    <row r="616" spans="1:14" x14ac:dyDescent="0.2">
      <c r="A616" s="6"/>
      <c r="B616" s="483"/>
      <c r="C616" s="483"/>
      <c r="D616" s="483"/>
      <c r="E616" s="483"/>
      <c r="F616" s="483"/>
      <c r="G616" s="483"/>
      <c r="H616" s="280"/>
      <c r="I616" s="280"/>
      <c r="J616" s="2"/>
      <c r="K616" s="1"/>
    </row>
    <row r="617" spans="1:14" ht="25.5" x14ac:dyDescent="0.2">
      <c r="A617" s="6"/>
      <c r="B617" s="279" t="s">
        <v>907</v>
      </c>
      <c r="C617" s="280"/>
      <c r="D617" s="279" t="s">
        <v>908</v>
      </c>
      <c r="E617" s="280"/>
      <c r="F617" s="278">
        <f>'VENDOR HOSTED'!I247</f>
        <v>0</v>
      </c>
      <c r="G617" s="280" t="s">
        <v>14</v>
      </c>
      <c r="H617" s="278"/>
      <c r="I617" s="280"/>
      <c r="J617" s="2"/>
      <c r="K617" s="1"/>
      <c r="L617" s="4" t="s">
        <v>15</v>
      </c>
      <c r="N617" s="4" t="s">
        <v>909</v>
      </c>
    </row>
    <row r="618" spans="1:14" x14ac:dyDescent="0.2">
      <c r="A618" s="6"/>
      <c r="B618" s="483"/>
      <c r="C618" s="483"/>
      <c r="D618" s="483"/>
      <c r="E618" s="483"/>
      <c r="F618" s="483"/>
      <c r="G618" s="483"/>
      <c r="H618" s="280"/>
      <c r="I618" s="280"/>
      <c r="J618" s="2"/>
      <c r="K618" s="1"/>
    </row>
    <row r="619" spans="1:14" ht="25.5" x14ac:dyDescent="0.2">
      <c r="A619" s="6"/>
      <c r="B619" s="279" t="s">
        <v>910</v>
      </c>
      <c r="C619" s="280"/>
      <c r="D619" s="279" t="s">
        <v>911</v>
      </c>
      <c r="E619" s="280"/>
      <c r="F619" s="278">
        <f>'VENDOR HOSTED'!I249</f>
        <v>0</v>
      </c>
      <c r="G619" s="280" t="s">
        <v>14</v>
      </c>
      <c r="H619" s="278"/>
      <c r="I619" s="280"/>
      <c r="J619" s="2"/>
      <c r="K619" s="1"/>
      <c r="L619" s="4" t="s">
        <v>15</v>
      </c>
      <c r="N619" s="4" t="s">
        <v>912</v>
      </c>
    </row>
    <row r="620" spans="1:14" x14ac:dyDescent="0.2">
      <c r="A620" s="6"/>
      <c r="B620" s="484"/>
      <c r="C620" s="484"/>
      <c r="D620" s="484"/>
      <c r="E620" s="484"/>
      <c r="F620" s="484"/>
      <c r="G620" s="484"/>
      <c r="H620" s="282" t="str">
        <f>IF(F621=B32865,C32865,"")</f>
        <v>Please elaborate:</v>
      </c>
      <c r="I620" s="280"/>
      <c r="J620" s="2"/>
      <c r="K620" s="1"/>
      <c r="M620" s="11" t="str">
        <f>IF(F621=B32865,E32865,"")</f>
        <v>2</v>
      </c>
    </row>
    <row r="621" spans="1:14" x14ac:dyDescent="0.2">
      <c r="A621" s="6"/>
      <c r="B621" s="279" t="s">
        <v>913</v>
      </c>
      <c r="C621" s="280"/>
      <c r="D621" s="279" t="s">
        <v>914</v>
      </c>
      <c r="E621" s="280"/>
      <c r="F621" s="281" t="s">
        <v>896</v>
      </c>
      <c r="G621" s="280" t="s">
        <v>14</v>
      </c>
      <c r="H621" s="278">
        <f>'VENDOR HOSTED'!I251</f>
        <v>0</v>
      </c>
      <c r="I621" s="280"/>
      <c r="J621" s="2"/>
      <c r="K621" s="1"/>
      <c r="L621" s="4" t="s">
        <v>15</v>
      </c>
      <c r="N621" s="4" t="s">
        <v>915</v>
      </c>
    </row>
    <row r="622" spans="1:14" x14ac:dyDescent="0.2">
      <c r="A622" s="6"/>
      <c r="B622" s="483"/>
      <c r="C622" s="483"/>
      <c r="D622" s="483"/>
      <c r="E622" s="483"/>
      <c r="F622" s="483"/>
      <c r="G622" s="483"/>
      <c r="H622" s="280"/>
      <c r="I622" s="280"/>
      <c r="J622" s="2"/>
      <c r="K622" s="1"/>
    </row>
    <row r="623" spans="1:14" ht="76.5" x14ac:dyDescent="0.2">
      <c r="A623" s="6"/>
      <c r="B623" s="279" t="s">
        <v>916</v>
      </c>
      <c r="C623" s="280"/>
      <c r="D623" s="279" t="s">
        <v>917</v>
      </c>
      <c r="E623" s="280"/>
      <c r="F623" s="281" t="s">
        <v>918</v>
      </c>
      <c r="G623" s="280" t="s">
        <v>14</v>
      </c>
      <c r="H623" s="278"/>
      <c r="I623" s="280"/>
      <c r="J623" s="13" t="str">
        <f>IF(F623=B32867,D32867,"")</f>
        <v>Please provide attachment:</v>
      </c>
      <c r="K623" s="1"/>
      <c r="L623" s="4" t="s">
        <v>15</v>
      </c>
      <c r="N623" s="4" t="s">
        <v>919</v>
      </c>
    </row>
    <row r="624" spans="1:14" ht="6.4" customHeight="1" x14ac:dyDescent="0.2">
      <c r="A624" s="6"/>
      <c r="B624" s="483"/>
      <c r="C624" s="483"/>
      <c r="D624" s="483"/>
      <c r="E624" s="483"/>
      <c r="F624" s="483"/>
      <c r="G624" s="483"/>
      <c r="H624" s="483"/>
      <c r="I624" s="483"/>
      <c r="J624" s="2"/>
      <c r="K624" s="1"/>
    </row>
    <row r="625" spans="1:12" x14ac:dyDescent="0.2">
      <c r="A625" s="6"/>
      <c r="B625" s="283"/>
      <c r="C625" s="283"/>
      <c r="D625" s="283"/>
      <c r="E625" s="283"/>
      <c r="F625" s="283"/>
      <c r="G625" s="283"/>
      <c r="H625" s="283"/>
      <c r="I625" s="283"/>
      <c r="J625" s="2"/>
      <c r="K625" s="1"/>
      <c r="L625" s="4" t="s">
        <v>920</v>
      </c>
    </row>
    <row r="626" spans="1:12" x14ac:dyDescent="0.2">
      <c r="A626" s="6"/>
      <c r="J626" s="2"/>
      <c r="K626" s="1"/>
      <c r="L626" s="4" t="s">
        <v>920</v>
      </c>
    </row>
    <row r="627" spans="1:12" x14ac:dyDescent="0.2">
      <c r="A627" s="6"/>
      <c r="J627" s="2"/>
      <c r="K627" s="1"/>
      <c r="L627" s="4" t="s">
        <v>920</v>
      </c>
    </row>
    <row r="628" spans="1:12" x14ac:dyDescent="0.2">
      <c r="A628" s="6"/>
      <c r="B628" s="473" t="s">
        <v>921</v>
      </c>
      <c r="C628" s="482"/>
      <c r="D628" s="482"/>
      <c r="E628" s="482"/>
      <c r="F628" s="482"/>
      <c r="G628" s="482"/>
      <c r="H628" s="482"/>
      <c r="I628" s="482"/>
      <c r="J628" s="2"/>
      <c r="K628" s="1"/>
      <c r="L628" s="4" t="s">
        <v>920</v>
      </c>
    </row>
    <row r="629" spans="1:12" x14ac:dyDescent="0.2">
      <c r="A629" s="6"/>
      <c r="J629" s="2"/>
      <c r="K629" s="1"/>
      <c r="L629" s="4" t="s">
        <v>920</v>
      </c>
    </row>
    <row r="630" spans="1:12" x14ac:dyDescent="0.2">
      <c r="B630" s="14"/>
      <c r="C630" s="14"/>
      <c r="D630" s="14"/>
      <c r="E630" s="14"/>
      <c r="F630" s="14"/>
      <c r="G630" s="14"/>
      <c r="H630" s="14"/>
      <c r="I630" s="14"/>
    </row>
    <row r="32003" spans="2:5" x14ac:dyDescent="0.2">
      <c r="B32003" s="4" t="s">
        <v>13</v>
      </c>
      <c r="C32003" s="4" t="s">
        <v>922</v>
      </c>
      <c r="D32003" s="4" t="s">
        <v>0</v>
      </c>
      <c r="E32003" s="4" t="s">
        <v>923</v>
      </c>
    </row>
    <row r="32004" spans="2:5" x14ac:dyDescent="0.2">
      <c r="B32004" s="4" t="s">
        <v>19</v>
      </c>
      <c r="C32004" s="4" t="s">
        <v>922</v>
      </c>
      <c r="D32004" s="4" t="s">
        <v>0</v>
      </c>
      <c r="E32004" s="4" t="s">
        <v>923</v>
      </c>
    </row>
    <row r="32005" spans="2:5" x14ac:dyDescent="0.2">
      <c r="B32005" s="4" t="s">
        <v>13</v>
      </c>
      <c r="C32005" s="4" t="s">
        <v>922</v>
      </c>
      <c r="D32005" s="4" t="s">
        <v>0</v>
      </c>
      <c r="E32005" s="4" t="s">
        <v>923</v>
      </c>
    </row>
    <row r="32006" spans="2:5" x14ac:dyDescent="0.2">
      <c r="B32006" s="4" t="s">
        <v>13</v>
      </c>
      <c r="C32006" s="4" t="s">
        <v>922</v>
      </c>
      <c r="D32006" s="4" t="s">
        <v>0</v>
      </c>
      <c r="E32006" s="4" t="s">
        <v>923</v>
      </c>
    </row>
    <row r="32007" spans="2:5" x14ac:dyDescent="0.2">
      <c r="B32007" s="4" t="s">
        <v>13</v>
      </c>
      <c r="C32007" s="4" t="s">
        <v>922</v>
      </c>
      <c r="D32007" s="4" t="s">
        <v>0</v>
      </c>
      <c r="E32007" s="4" t="s">
        <v>923</v>
      </c>
    </row>
    <row r="32008" spans="2:5" x14ac:dyDescent="0.2">
      <c r="B32008" s="4" t="s">
        <v>13</v>
      </c>
      <c r="C32008" s="4" t="s">
        <v>922</v>
      </c>
      <c r="D32008" s="4" t="s">
        <v>0</v>
      </c>
      <c r="E32008" s="4" t="s">
        <v>923</v>
      </c>
    </row>
    <row r="32009" spans="2:5" x14ac:dyDescent="0.2">
      <c r="B32009" s="4" t="s">
        <v>13</v>
      </c>
      <c r="C32009" s="4" t="s">
        <v>922</v>
      </c>
      <c r="D32009" s="4" t="s">
        <v>0</v>
      </c>
      <c r="E32009" s="4" t="s">
        <v>923</v>
      </c>
    </row>
    <row r="32010" spans="2:5" x14ac:dyDescent="0.2">
      <c r="B32010" s="4" t="s">
        <v>924</v>
      </c>
      <c r="C32010" s="4" t="s">
        <v>0</v>
      </c>
      <c r="D32010" s="4" t="s">
        <v>0</v>
      </c>
      <c r="E32010" s="4" t="s">
        <v>925</v>
      </c>
    </row>
    <row r="32011" spans="2:5" x14ac:dyDescent="0.2">
      <c r="B32011" s="4" t="s">
        <v>926</v>
      </c>
      <c r="C32011" s="4" t="s">
        <v>0</v>
      </c>
      <c r="D32011" s="4" t="s">
        <v>0</v>
      </c>
      <c r="E32011" s="4" t="s">
        <v>925</v>
      </c>
    </row>
    <row r="32012" spans="2:5" x14ac:dyDescent="0.2">
      <c r="B32012" s="4" t="s">
        <v>924</v>
      </c>
      <c r="C32012" s="4" t="s">
        <v>0</v>
      </c>
      <c r="D32012" s="4" t="s">
        <v>0</v>
      </c>
      <c r="E32012" s="4" t="s">
        <v>925</v>
      </c>
    </row>
    <row r="32013" spans="2:5" x14ac:dyDescent="0.2">
      <c r="B32013" s="4" t="s">
        <v>926</v>
      </c>
      <c r="C32013" s="4" t="s">
        <v>0</v>
      </c>
      <c r="D32013" s="4" t="s">
        <v>0</v>
      </c>
      <c r="E32013" s="4" t="s">
        <v>925</v>
      </c>
    </row>
    <row r="32014" spans="2:5" x14ac:dyDescent="0.2">
      <c r="B32014" s="4" t="s">
        <v>13</v>
      </c>
      <c r="C32014" s="4" t="s">
        <v>922</v>
      </c>
      <c r="D32014" s="4" t="s">
        <v>0</v>
      </c>
      <c r="E32014" s="4" t="s">
        <v>923</v>
      </c>
    </row>
    <row r="32015" spans="2:5" x14ac:dyDescent="0.2">
      <c r="B32015" s="4" t="s">
        <v>927</v>
      </c>
      <c r="C32015" s="4" t="s">
        <v>0</v>
      </c>
      <c r="D32015" s="4" t="s">
        <v>928</v>
      </c>
      <c r="E32015" s="4" t="s">
        <v>925</v>
      </c>
    </row>
    <row r="32016" spans="2:5" x14ac:dyDescent="0.2">
      <c r="B32016" s="4" t="s">
        <v>929</v>
      </c>
      <c r="C32016" s="4" t="s">
        <v>0</v>
      </c>
      <c r="D32016" s="4" t="s">
        <v>0</v>
      </c>
      <c r="E32016" s="4" t="s">
        <v>925</v>
      </c>
    </row>
    <row r="32017" spans="2:5" x14ac:dyDescent="0.2">
      <c r="B32017" s="4" t="s">
        <v>930</v>
      </c>
      <c r="C32017" s="4" t="s">
        <v>931</v>
      </c>
      <c r="D32017" s="4" t="s">
        <v>0</v>
      </c>
      <c r="E32017" s="4" t="s">
        <v>923</v>
      </c>
    </row>
    <row r="32018" spans="2:5" x14ac:dyDescent="0.2">
      <c r="B32018" s="4" t="s">
        <v>932</v>
      </c>
      <c r="C32018" s="4" t="s">
        <v>0</v>
      </c>
      <c r="D32018" s="4" t="s">
        <v>0</v>
      </c>
      <c r="E32018" s="4" t="s">
        <v>925</v>
      </c>
    </row>
    <row r="32019" spans="2:5" x14ac:dyDescent="0.2">
      <c r="B32019" s="4" t="s">
        <v>930</v>
      </c>
      <c r="C32019" s="4" t="s">
        <v>0</v>
      </c>
      <c r="D32019" s="4" t="s">
        <v>0</v>
      </c>
      <c r="E32019" s="4" t="s">
        <v>925</v>
      </c>
    </row>
    <row r="32020" spans="2:5" x14ac:dyDescent="0.2">
      <c r="B32020" s="4" t="s">
        <v>932</v>
      </c>
      <c r="C32020" s="4" t="s">
        <v>0</v>
      </c>
      <c r="D32020" s="4" t="s">
        <v>0</v>
      </c>
      <c r="E32020" s="4" t="s">
        <v>925</v>
      </c>
    </row>
    <row r="32021" spans="2:5" x14ac:dyDescent="0.2">
      <c r="B32021" s="4" t="s">
        <v>930</v>
      </c>
      <c r="C32021" s="4" t="s">
        <v>0</v>
      </c>
      <c r="D32021" s="4" t="s">
        <v>0</v>
      </c>
      <c r="E32021" s="4" t="s">
        <v>925</v>
      </c>
    </row>
    <row r="32022" spans="2:5" x14ac:dyDescent="0.2">
      <c r="B32022" s="4" t="s">
        <v>932</v>
      </c>
      <c r="C32022" s="4" t="s">
        <v>0</v>
      </c>
      <c r="D32022" s="4" t="s">
        <v>0</v>
      </c>
      <c r="E32022" s="4" t="s">
        <v>925</v>
      </c>
    </row>
    <row r="32023" spans="2:5" x14ac:dyDescent="0.2">
      <c r="B32023" s="4" t="s">
        <v>930</v>
      </c>
      <c r="C32023" s="4" t="s">
        <v>0</v>
      </c>
      <c r="D32023" s="4" t="s">
        <v>0</v>
      </c>
      <c r="E32023" s="4" t="s">
        <v>925</v>
      </c>
    </row>
    <row r="32024" spans="2:5" x14ac:dyDescent="0.2">
      <c r="B32024" s="4" t="s">
        <v>932</v>
      </c>
      <c r="C32024" s="4" t="s">
        <v>0</v>
      </c>
      <c r="D32024" s="4" t="s">
        <v>0</v>
      </c>
      <c r="E32024" s="4" t="s">
        <v>925</v>
      </c>
    </row>
    <row r="32025" spans="2:5" x14ac:dyDescent="0.2">
      <c r="B32025" s="4" t="s">
        <v>13</v>
      </c>
      <c r="C32025" s="4" t="s">
        <v>922</v>
      </c>
      <c r="D32025" s="4" t="s">
        <v>0</v>
      </c>
      <c r="E32025" s="4" t="s">
        <v>923</v>
      </c>
    </row>
    <row r="32026" spans="2:5" x14ac:dyDescent="0.2">
      <c r="B32026" s="4" t="s">
        <v>929</v>
      </c>
      <c r="C32026" s="4" t="s">
        <v>0</v>
      </c>
      <c r="D32026" s="4" t="s">
        <v>0</v>
      </c>
      <c r="E32026" s="4" t="s">
        <v>925</v>
      </c>
    </row>
    <row r="32027" spans="2:5" x14ac:dyDescent="0.2">
      <c r="B32027" s="4" t="s">
        <v>13</v>
      </c>
      <c r="C32027" s="4" t="s">
        <v>922</v>
      </c>
      <c r="D32027" s="4" t="s">
        <v>0</v>
      </c>
      <c r="E32027" s="4" t="s">
        <v>923</v>
      </c>
    </row>
    <row r="32028" spans="2:5" x14ac:dyDescent="0.2">
      <c r="B32028" s="4" t="s">
        <v>929</v>
      </c>
      <c r="C32028" s="4" t="s">
        <v>0</v>
      </c>
      <c r="D32028" s="4" t="s">
        <v>0</v>
      </c>
      <c r="E32028" s="4" t="s">
        <v>925</v>
      </c>
    </row>
    <row r="32029" spans="2:5" x14ac:dyDescent="0.2">
      <c r="B32029" s="4" t="s">
        <v>13</v>
      </c>
      <c r="C32029" s="4" t="s">
        <v>922</v>
      </c>
      <c r="D32029" s="4" t="s">
        <v>0</v>
      </c>
      <c r="E32029" s="4" t="s">
        <v>923</v>
      </c>
    </row>
    <row r="32030" spans="2:5" x14ac:dyDescent="0.2">
      <c r="B32030" s="4" t="s">
        <v>13</v>
      </c>
      <c r="C32030" s="4" t="s">
        <v>922</v>
      </c>
      <c r="D32030" s="4" t="s">
        <v>0</v>
      </c>
      <c r="E32030" s="4" t="s">
        <v>923</v>
      </c>
    </row>
    <row r="32031" spans="2:5" x14ac:dyDescent="0.2">
      <c r="B32031" s="4" t="s">
        <v>13</v>
      </c>
      <c r="C32031" s="4" t="s">
        <v>922</v>
      </c>
      <c r="D32031" s="4" t="s">
        <v>0</v>
      </c>
      <c r="E32031" s="4" t="s">
        <v>923</v>
      </c>
    </row>
    <row r="32032" spans="2:5" x14ac:dyDescent="0.2">
      <c r="B32032" s="4" t="s">
        <v>13</v>
      </c>
      <c r="C32032" s="4" t="s">
        <v>922</v>
      </c>
      <c r="D32032" s="4" t="s">
        <v>0</v>
      </c>
      <c r="E32032" s="4" t="s">
        <v>923</v>
      </c>
    </row>
    <row r="32033" spans="2:5" x14ac:dyDescent="0.2">
      <c r="B32033" s="4" t="s">
        <v>930</v>
      </c>
      <c r="C32033" s="4" t="s">
        <v>0</v>
      </c>
      <c r="D32033" s="4" t="s">
        <v>0</v>
      </c>
      <c r="E32033" s="4" t="s">
        <v>925</v>
      </c>
    </row>
    <row r="32034" spans="2:5" x14ac:dyDescent="0.2">
      <c r="B32034" s="4" t="s">
        <v>932</v>
      </c>
      <c r="C32034" s="4" t="s">
        <v>0</v>
      </c>
      <c r="D32034" s="4" t="s">
        <v>0</v>
      </c>
      <c r="E32034" s="4" t="s">
        <v>925</v>
      </c>
    </row>
    <row r="32035" spans="2:5" x14ac:dyDescent="0.2">
      <c r="B32035" s="4" t="s">
        <v>929</v>
      </c>
      <c r="C32035" s="4" t="s">
        <v>933</v>
      </c>
      <c r="D32035" s="4" t="s">
        <v>0</v>
      </c>
      <c r="E32035" s="4" t="s">
        <v>934</v>
      </c>
    </row>
    <row r="32036" spans="2:5" x14ac:dyDescent="0.2">
      <c r="B32036" s="4" t="s">
        <v>930</v>
      </c>
      <c r="C32036" s="4" t="s">
        <v>0</v>
      </c>
      <c r="D32036" s="4" t="s">
        <v>0</v>
      </c>
      <c r="E32036" s="4" t="s">
        <v>925</v>
      </c>
    </row>
    <row r="32037" spans="2:5" x14ac:dyDescent="0.2">
      <c r="B32037" s="4" t="s">
        <v>932</v>
      </c>
      <c r="C32037" s="4" t="s">
        <v>0</v>
      </c>
      <c r="D32037" s="4" t="s">
        <v>0</v>
      </c>
      <c r="E32037" s="4" t="s">
        <v>925</v>
      </c>
    </row>
    <row r="32038" spans="2:5" x14ac:dyDescent="0.2">
      <c r="B32038" s="4" t="s">
        <v>929</v>
      </c>
      <c r="C32038" s="4" t="s">
        <v>933</v>
      </c>
      <c r="D32038" s="4" t="s">
        <v>0</v>
      </c>
      <c r="E32038" s="4" t="s">
        <v>934</v>
      </c>
    </row>
    <row r="32039" spans="2:5" x14ac:dyDescent="0.2">
      <c r="B32039" s="4" t="s">
        <v>930</v>
      </c>
      <c r="C32039" s="4" t="s">
        <v>0</v>
      </c>
      <c r="D32039" s="4" t="s">
        <v>0</v>
      </c>
      <c r="E32039" s="4" t="s">
        <v>925</v>
      </c>
    </row>
    <row r="32040" spans="2:5" x14ac:dyDescent="0.2">
      <c r="B32040" s="4" t="s">
        <v>932</v>
      </c>
      <c r="C32040" s="4" t="s">
        <v>0</v>
      </c>
      <c r="D32040" s="4" t="s">
        <v>0</v>
      </c>
      <c r="E32040" s="4" t="s">
        <v>925</v>
      </c>
    </row>
    <row r="32041" spans="2:5" x14ac:dyDescent="0.2">
      <c r="B32041" s="4" t="s">
        <v>929</v>
      </c>
      <c r="C32041" s="4" t="s">
        <v>933</v>
      </c>
      <c r="D32041" s="4" t="s">
        <v>0</v>
      </c>
      <c r="E32041" s="4" t="s">
        <v>934</v>
      </c>
    </row>
    <row r="32042" spans="2:5" x14ac:dyDescent="0.2">
      <c r="B32042" s="4" t="s">
        <v>930</v>
      </c>
      <c r="C32042" s="4" t="s">
        <v>0</v>
      </c>
      <c r="D32042" s="4" t="s">
        <v>0</v>
      </c>
      <c r="E32042" s="4" t="s">
        <v>925</v>
      </c>
    </row>
    <row r="32043" spans="2:5" x14ac:dyDescent="0.2">
      <c r="B32043" s="4" t="s">
        <v>932</v>
      </c>
      <c r="C32043" s="4" t="s">
        <v>0</v>
      </c>
      <c r="D32043" s="4" t="s">
        <v>0</v>
      </c>
      <c r="E32043" s="4" t="s">
        <v>925</v>
      </c>
    </row>
    <row r="32044" spans="2:5" x14ac:dyDescent="0.2">
      <c r="B32044" s="4" t="s">
        <v>929</v>
      </c>
      <c r="C32044" s="4" t="s">
        <v>933</v>
      </c>
      <c r="D32044" s="4" t="s">
        <v>0</v>
      </c>
      <c r="E32044" s="4" t="s">
        <v>934</v>
      </c>
    </row>
    <row r="32045" spans="2:5" x14ac:dyDescent="0.2">
      <c r="B32045" s="4" t="s">
        <v>930</v>
      </c>
      <c r="C32045" s="4" t="s">
        <v>0</v>
      </c>
      <c r="D32045" s="4" t="s">
        <v>0</v>
      </c>
      <c r="E32045" s="4" t="s">
        <v>925</v>
      </c>
    </row>
    <row r="32046" spans="2:5" x14ac:dyDescent="0.2">
      <c r="B32046" s="4" t="s">
        <v>932</v>
      </c>
      <c r="C32046" s="4" t="s">
        <v>0</v>
      </c>
      <c r="D32046" s="4" t="s">
        <v>0</v>
      </c>
      <c r="E32046" s="4" t="s">
        <v>925</v>
      </c>
    </row>
    <row r="32047" spans="2:5" x14ac:dyDescent="0.2">
      <c r="B32047" s="4" t="s">
        <v>929</v>
      </c>
      <c r="C32047" s="4" t="s">
        <v>933</v>
      </c>
      <c r="D32047" s="4" t="s">
        <v>0</v>
      </c>
      <c r="E32047" s="4" t="s">
        <v>934</v>
      </c>
    </row>
    <row r="32048" spans="2:5" x14ac:dyDescent="0.2">
      <c r="B32048" s="4" t="s">
        <v>930</v>
      </c>
      <c r="C32048" s="4" t="s">
        <v>935</v>
      </c>
      <c r="D32048" s="4" t="s">
        <v>0</v>
      </c>
      <c r="E32048" s="4" t="s">
        <v>923</v>
      </c>
    </row>
    <row r="32049" spans="2:5" x14ac:dyDescent="0.2">
      <c r="B32049" s="4" t="s">
        <v>932</v>
      </c>
      <c r="C32049" s="4" t="s">
        <v>0</v>
      </c>
      <c r="D32049" s="4" t="s">
        <v>0</v>
      </c>
      <c r="E32049" s="4" t="s">
        <v>925</v>
      </c>
    </row>
    <row r="32050" spans="2:5" x14ac:dyDescent="0.2">
      <c r="B32050" s="4" t="s">
        <v>929</v>
      </c>
      <c r="C32050" s="4" t="s">
        <v>0</v>
      </c>
      <c r="D32050" s="4" t="s">
        <v>0</v>
      </c>
      <c r="E32050" s="4" t="s">
        <v>925</v>
      </c>
    </row>
    <row r="32051" spans="2:5" x14ac:dyDescent="0.2">
      <c r="B32051" s="4" t="s">
        <v>930</v>
      </c>
      <c r="C32051" s="4" t="s">
        <v>0</v>
      </c>
      <c r="D32051" s="4" t="s">
        <v>0</v>
      </c>
      <c r="E32051" s="4" t="s">
        <v>925</v>
      </c>
    </row>
    <row r="32052" spans="2:5" x14ac:dyDescent="0.2">
      <c r="B32052" s="4" t="s">
        <v>932</v>
      </c>
      <c r="C32052" s="4" t="s">
        <v>0</v>
      </c>
      <c r="D32052" s="4" t="s">
        <v>0</v>
      </c>
      <c r="E32052" s="4" t="s">
        <v>925</v>
      </c>
    </row>
    <row r="32053" spans="2:5" x14ac:dyDescent="0.2">
      <c r="B32053" s="4" t="s">
        <v>929</v>
      </c>
      <c r="C32053" s="4" t="s">
        <v>933</v>
      </c>
      <c r="D32053" s="4" t="s">
        <v>0</v>
      </c>
      <c r="E32053" s="4" t="s">
        <v>934</v>
      </c>
    </row>
    <row r="32054" spans="2:5" x14ac:dyDescent="0.2">
      <c r="B32054" s="4" t="s">
        <v>930</v>
      </c>
      <c r="C32054" s="4" t="s">
        <v>0</v>
      </c>
      <c r="D32054" s="4" t="s">
        <v>0</v>
      </c>
      <c r="E32054" s="4" t="s">
        <v>925</v>
      </c>
    </row>
    <row r="32055" spans="2:5" x14ac:dyDescent="0.2">
      <c r="B32055" s="4" t="s">
        <v>932</v>
      </c>
      <c r="C32055" s="4" t="s">
        <v>0</v>
      </c>
      <c r="D32055" s="4" t="s">
        <v>0</v>
      </c>
      <c r="E32055" s="4" t="s">
        <v>925</v>
      </c>
    </row>
    <row r="32056" spans="2:5" x14ac:dyDescent="0.2">
      <c r="B32056" s="4" t="s">
        <v>929</v>
      </c>
      <c r="C32056" s="4" t="s">
        <v>933</v>
      </c>
      <c r="D32056" s="4" t="s">
        <v>0</v>
      </c>
      <c r="E32056" s="4" t="s">
        <v>934</v>
      </c>
    </row>
    <row r="32057" spans="2:5" x14ac:dyDescent="0.2">
      <c r="B32057" s="4" t="s">
        <v>930</v>
      </c>
      <c r="C32057" s="4" t="s">
        <v>935</v>
      </c>
      <c r="D32057" s="4" t="s">
        <v>0</v>
      </c>
      <c r="E32057" s="4" t="s">
        <v>923</v>
      </c>
    </row>
    <row r="32058" spans="2:5" x14ac:dyDescent="0.2">
      <c r="B32058" s="4" t="s">
        <v>932</v>
      </c>
      <c r="C32058" s="4" t="s">
        <v>0</v>
      </c>
      <c r="D32058" s="4" t="s">
        <v>0</v>
      </c>
      <c r="E32058" s="4" t="s">
        <v>925</v>
      </c>
    </row>
    <row r="32059" spans="2:5" x14ac:dyDescent="0.2">
      <c r="B32059" s="4" t="s">
        <v>929</v>
      </c>
      <c r="C32059" s="4" t="s">
        <v>0</v>
      </c>
      <c r="D32059" s="4" t="s">
        <v>0</v>
      </c>
      <c r="E32059" s="4" t="s">
        <v>925</v>
      </c>
    </row>
    <row r="32060" spans="2:5" x14ac:dyDescent="0.2">
      <c r="B32060" s="4" t="s">
        <v>930</v>
      </c>
      <c r="C32060" s="4" t="s">
        <v>0</v>
      </c>
      <c r="D32060" s="4" t="s">
        <v>0</v>
      </c>
      <c r="E32060" s="4" t="s">
        <v>925</v>
      </c>
    </row>
    <row r="32061" spans="2:5" x14ac:dyDescent="0.2">
      <c r="B32061" s="4" t="s">
        <v>932</v>
      </c>
      <c r="C32061" s="4" t="s">
        <v>0</v>
      </c>
      <c r="D32061" s="4" t="s">
        <v>0</v>
      </c>
      <c r="E32061" s="4" t="s">
        <v>925</v>
      </c>
    </row>
    <row r="32062" spans="2:5" x14ac:dyDescent="0.2">
      <c r="B32062" s="4" t="s">
        <v>929</v>
      </c>
      <c r="C32062" s="4" t="s">
        <v>933</v>
      </c>
      <c r="D32062" s="4" t="s">
        <v>0</v>
      </c>
      <c r="E32062" s="4" t="s">
        <v>934</v>
      </c>
    </row>
    <row r="32063" spans="2:5" x14ac:dyDescent="0.2">
      <c r="B32063" s="4" t="s">
        <v>930</v>
      </c>
      <c r="C32063" s="4" t="s">
        <v>0</v>
      </c>
      <c r="D32063" s="4" t="s">
        <v>0</v>
      </c>
      <c r="E32063" s="4" t="s">
        <v>925</v>
      </c>
    </row>
    <row r="32064" spans="2:5" x14ac:dyDescent="0.2">
      <c r="B32064" s="4" t="s">
        <v>932</v>
      </c>
      <c r="C32064" s="4" t="s">
        <v>0</v>
      </c>
      <c r="D32064" s="4" t="s">
        <v>0</v>
      </c>
      <c r="E32064" s="4" t="s">
        <v>925</v>
      </c>
    </row>
    <row r="32065" spans="2:5" x14ac:dyDescent="0.2">
      <c r="B32065" s="4" t="s">
        <v>929</v>
      </c>
      <c r="C32065" s="4" t="s">
        <v>933</v>
      </c>
      <c r="D32065" s="4" t="s">
        <v>0</v>
      </c>
      <c r="E32065" s="4" t="s">
        <v>934</v>
      </c>
    </row>
    <row r="32066" spans="2:5" x14ac:dyDescent="0.2">
      <c r="B32066" s="4" t="s">
        <v>930</v>
      </c>
      <c r="C32066" s="4" t="s">
        <v>0</v>
      </c>
      <c r="D32066" s="4" t="s">
        <v>0</v>
      </c>
      <c r="E32066" s="4" t="s">
        <v>925</v>
      </c>
    </row>
    <row r="32067" spans="2:5" x14ac:dyDescent="0.2">
      <c r="B32067" s="4" t="s">
        <v>932</v>
      </c>
      <c r="C32067" s="4" t="s">
        <v>0</v>
      </c>
      <c r="D32067" s="4" t="s">
        <v>0</v>
      </c>
      <c r="E32067" s="4" t="s">
        <v>925</v>
      </c>
    </row>
    <row r="32068" spans="2:5" x14ac:dyDescent="0.2">
      <c r="B32068" s="4" t="s">
        <v>929</v>
      </c>
      <c r="C32068" s="4" t="s">
        <v>933</v>
      </c>
      <c r="D32068" s="4" t="s">
        <v>0</v>
      </c>
      <c r="E32068" s="4" t="s">
        <v>934</v>
      </c>
    </row>
    <row r="32069" spans="2:5" x14ac:dyDescent="0.2">
      <c r="B32069" s="4" t="s">
        <v>930</v>
      </c>
      <c r="C32069" s="4" t="s">
        <v>0</v>
      </c>
      <c r="D32069" s="4" t="s">
        <v>0</v>
      </c>
      <c r="E32069" s="4" t="s">
        <v>925</v>
      </c>
    </row>
    <row r="32070" spans="2:5" x14ac:dyDescent="0.2">
      <c r="B32070" s="4" t="s">
        <v>932</v>
      </c>
      <c r="C32070" s="4" t="s">
        <v>0</v>
      </c>
      <c r="D32070" s="4" t="s">
        <v>0</v>
      </c>
      <c r="E32070" s="4" t="s">
        <v>925</v>
      </c>
    </row>
    <row r="32071" spans="2:5" x14ac:dyDescent="0.2">
      <c r="B32071" s="4" t="s">
        <v>929</v>
      </c>
      <c r="C32071" s="4" t="s">
        <v>933</v>
      </c>
      <c r="D32071" s="4" t="s">
        <v>0</v>
      </c>
      <c r="E32071" s="4" t="s">
        <v>934</v>
      </c>
    </row>
    <row r="32072" spans="2:5" x14ac:dyDescent="0.2">
      <c r="B32072" s="4" t="s">
        <v>930</v>
      </c>
      <c r="C32072" s="4" t="s">
        <v>0</v>
      </c>
      <c r="D32072" s="4" t="s">
        <v>0</v>
      </c>
      <c r="E32072" s="4" t="s">
        <v>925</v>
      </c>
    </row>
    <row r="32073" spans="2:5" x14ac:dyDescent="0.2">
      <c r="B32073" s="4" t="s">
        <v>932</v>
      </c>
      <c r="C32073" s="4" t="s">
        <v>0</v>
      </c>
      <c r="D32073" s="4" t="s">
        <v>0</v>
      </c>
      <c r="E32073" s="4" t="s">
        <v>925</v>
      </c>
    </row>
    <row r="32074" spans="2:5" x14ac:dyDescent="0.2">
      <c r="B32074" s="4" t="s">
        <v>929</v>
      </c>
      <c r="C32074" s="4" t="s">
        <v>933</v>
      </c>
      <c r="D32074" s="4" t="s">
        <v>0</v>
      </c>
      <c r="E32074" s="4" t="s">
        <v>934</v>
      </c>
    </row>
    <row r="32075" spans="2:5" x14ac:dyDescent="0.2">
      <c r="B32075" s="4" t="s">
        <v>930</v>
      </c>
      <c r="C32075" s="4" t="s">
        <v>0</v>
      </c>
      <c r="D32075" s="4" t="s">
        <v>0</v>
      </c>
      <c r="E32075" s="4" t="s">
        <v>925</v>
      </c>
    </row>
    <row r="32076" spans="2:5" x14ac:dyDescent="0.2">
      <c r="B32076" s="4" t="s">
        <v>932</v>
      </c>
      <c r="C32076" s="4" t="s">
        <v>0</v>
      </c>
      <c r="D32076" s="4" t="s">
        <v>0</v>
      </c>
      <c r="E32076" s="4" t="s">
        <v>925</v>
      </c>
    </row>
    <row r="32077" spans="2:5" x14ac:dyDescent="0.2">
      <c r="B32077" s="4" t="s">
        <v>929</v>
      </c>
      <c r="C32077" s="4" t="s">
        <v>933</v>
      </c>
      <c r="D32077" s="4" t="s">
        <v>0</v>
      </c>
      <c r="E32077" s="4" t="s">
        <v>934</v>
      </c>
    </row>
    <row r="32078" spans="2:5" x14ac:dyDescent="0.2">
      <c r="B32078" s="4" t="s">
        <v>930</v>
      </c>
      <c r="C32078" s="4" t="s">
        <v>0</v>
      </c>
      <c r="D32078" s="4" t="s">
        <v>0</v>
      </c>
      <c r="E32078" s="4" t="s">
        <v>925</v>
      </c>
    </row>
    <row r="32079" spans="2:5" x14ac:dyDescent="0.2">
      <c r="B32079" s="4" t="s">
        <v>932</v>
      </c>
      <c r="C32079" s="4" t="s">
        <v>0</v>
      </c>
      <c r="D32079" s="4" t="s">
        <v>0</v>
      </c>
      <c r="E32079" s="4" t="s">
        <v>925</v>
      </c>
    </row>
    <row r="32080" spans="2:5" x14ac:dyDescent="0.2">
      <c r="B32080" s="4" t="s">
        <v>929</v>
      </c>
      <c r="C32080" s="4" t="s">
        <v>933</v>
      </c>
      <c r="D32080" s="4" t="s">
        <v>0</v>
      </c>
      <c r="E32080" s="4" t="s">
        <v>934</v>
      </c>
    </row>
    <row r="32081" spans="2:5" x14ac:dyDescent="0.2">
      <c r="B32081" s="4" t="s">
        <v>930</v>
      </c>
      <c r="C32081" s="4" t="s">
        <v>0</v>
      </c>
      <c r="D32081" s="4" t="s">
        <v>0</v>
      </c>
      <c r="E32081" s="4" t="s">
        <v>925</v>
      </c>
    </row>
    <row r="32082" spans="2:5" x14ac:dyDescent="0.2">
      <c r="B32082" s="4" t="s">
        <v>932</v>
      </c>
      <c r="C32082" s="4" t="s">
        <v>0</v>
      </c>
      <c r="D32082" s="4" t="s">
        <v>0</v>
      </c>
      <c r="E32082" s="4" t="s">
        <v>925</v>
      </c>
    </row>
    <row r="32083" spans="2:5" x14ac:dyDescent="0.2">
      <c r="B32083" s="4" t="s">
        <v>929</v>
      </c>
      <c r="C32083" s="4" t="s">
        <v>933</v>
      </c>
      <c r="D32083" s="4" t="s">
        <v>0</v>
      </c>
      <c r="E32083" s="4" t="s">
        <v>934</v>
      </c>
    </row>
    <row r="32084" spans="2:5" x14ac:dyDescent="0.2">
      <c r="B32084" s="4" t="s">
        <v>930</v>
      </c>
      <c r="C32084" s="4" t="s">
        <v>0</v>
      </c>
      <c r="D32084" s="4" t="s">
        <v>0</v>
      </c>
      <c r="E32084" s="4" t="s">
        <v>925</v>
      </c>
    </row>
    <row r="32085" spans="2:5" x14ac:dyDescent="0.2">
      <c r="B32085" s="4" t="s">
        <v>932</v>
      </c>
      <c r="C32085" s="4" t="s">
        <v>0</v>
      </c>
      <c r="D32085" s="4" t="s">
        <v>0</v>
      </c>
      <c r="E32085" s="4" t="s">
        <v>925</v>
      </c>
    </row>
    <row r="32086" spans="2:5" x14ac:dyDescent="0.2">
      <c r="B32086" s="4" t="s">
        <v>929</v>
      </c>
      <c r="C32086" s="4" t="s">
        <v>933</v>
      </c>
      <c r="D32086" s="4" t="s">
        <v>0</v>
      </c>
      <c r="E32086" s="4" t="s">
        <v>934</v>
      </c>
    </row>
    <row r="32087" spans="2:5" x14ac:dyDescent="0.2">
      <c r="B32087" s="4" t="s">
        <v>930</v>
      </c>
      <c r="C32087" s="4" t="s">
        <v>0</v>
      </c>
      <c r="D32087" s="4" t="s">
        <v>0</v>
      </c>
      <c r="E32087" s="4" t="s">
        <v>925</v>
      </c>
    </row>
    <row r="32088" spans="2:5" x14ac:dyDescent="0.2">
      <c r="B32088" s="4" t="s">
        <v>932</v>
      </c>
      <c r="C32088" s="4" t="s">
        <v>0</v>
      </c>
      <c r="D32088" s="4" t="s">
        <v>0</v>
      </c>
      <c r="E32088" s="4" t="s">
        <v>925</v>
      </c>
    </row>
    <row r="32089" spans="2:5" x14ac:dyDescent="0.2">
      <c r="B32089" s="4" t="s">
        <v>929</v>
      </c>
      <c r="C32089" s="4" t="s">
        <v>933</v>
      </c>
      <c r="D32089" s="4" t="s">
        <v>0</v>
      </c>
      <c r="E32089" s="4" t="s">
        <v>934</v>
      </c>
    </row>
    <row r="32090" spans="2:5" x14ac:dyDescent="0.2">
      <c r="B32090" s="4" t="s">
        <v>930</v>
      </c>
      <c r="C32090" s="4" t="s">
        <v>0</v>
      </c>
      <c r="D32090" s="4" t="s">
        <v>0</v>
      </c>
      <c r="E32090" s="4" t="s">
        <v>925</v>
      </c>
    </row>
    <row r="32091" spans="2:5" x14ac:dyDescent="0.2">
      <c r="B32091" s="4" t="s">
        <v>932</v>
      </c>
      <c r="C32091" s="4" t="s">
        <v>0</v>
      </c>
      <c r="D32091" s="4" t="s">
        <v>0</v>
      </c>
      <c r="E32091" s="4" t="s">
        <v>925</v>
      </c>
    </row>
    <row r="32092" spans="2:5" x14ac:dyDescent="0.2">
      <c r="B32092" s="4" t="s">
        <v>929</v>
      </c>
      <c r="C32092" s="4" t="s">
        <v>933</v>
      </c>
      <c r="D32092" s="4" t="s">
        <v>0</v>
      </c>
      <c r="E32092" s="4" t="s">
        <v>934</v>
      </c>
    </row>
    <row r="32093" spans="2:5" x14ac:dyDescent="0.2">
      <c r="B32093" s="4" t="s">
        <v>930</v>
      </c>
      <c r="C32093" s="4" t="s">
        <v>0</v>
      </c>
      <c r="D32093" s="4" t="s">
        <v>0</v>
      </c>
      <c r="E32093" s="4" t="s">
        <v>925</v>
      </c>
    </row>
    <row r="32094" spans="2:5" x14ac:dyDescent="0.2">
      <c r="B32094" s="4" t="s">
        <v>932</v>
      </c>
      <c r="C32094" s="4" t="s">
        <v>0</v>
      </c>
      <c r="D32094" s="4" t="s">
        <v>0</v>
      </c>
      <c r="E32094" s="4" t="s">
        <v>925</v>
      </c>
    </row>
    <row r="32095" spans="2:5" x14ac:dyDescent="0.2">
      <c r="B32095" s="4" t="s">
        <v>929</v>
      </c>
      <c r="C32095" s="4" t="s">
        <v>933</v>
      </c>
      <c r="D32095" s="4" t="s">
        <v>0</v>
      </c>
      <c r="E32095" s="4" t="s">
        <v>934</v>
      </c>
    </row>
    <row r="32096" spans="2:5" x14ac:dyDescent="0.2">
      <c r="B32096" s="4" t="s">
        <v>930</v>
      </c>
      <c r="C32096" s="4" t="s">
        <v>0</v>
      </c>
      <c r="D32096" s="4" t="s">
        <v>0</v>
      </c>
      <c r="E32096" s="4" t="s">
        <v>925</v>
      </c>
    </row>
    <row r="32097" spans="2:5" x14ac:dyDescent="0.2">
      <c r="B32097" s="4" t="s">
        <v>932</v>
      </c>
      <c r="C32097" s="4" t="s">
        <v>0</v>
      </c>
      <c r="D32097" s="4" t="s">
        <v>0</v>
      </c>
      <c r="E32097" s="4" t="s">
        <v>925</v>
      </c>
    </row>
    <row r="32098" spans="2:5" x14ac:dyDescent="0.2">
      <c r="B32098" s="4" t="s">
        <v>929</v>
      </c>
      <c r="C32098" s="4" t="s">
        <v>933</v>
      </c>
      <c r="D32098" s="4" t="s">
        <v>0</v>
      </c>
      <c r="E32098" s="4" t="s">
        <v>934</v>
      </c>
    </row>
    <row r="32099" spans="2:5" x14ac:dyDescent="0.2">
      <c r="B32099" s="4" t="s">
        <v>930</v>
      </c>
      <c r="C32099" s="4" t="s">
        <v>0</v>
      </c>
      <c r="D32099" s="4" t="s">
        <v>0</v>
      </c>
      <c r="E32099" s="4" t="s">
        <v>925</v>
      </c>
    </row>
    <row r="32100" spans="2:5" x14ac:dyDescent="0.2">
      <c r="B32100" s="4" t="s">
        <v>932</v>
      </c>
      <c r="C32100" s="4" t="s">
        <v>0</v>
      </c>
      <c r="D32100" s="4" t="s">
        <v>0</v>
      </c>
      <c r="E32100" s="4" t="s">
        <v>925</v>
      </c>
    </row>
    <row r="32101" spans="2:5" x14ac:dyDescent="0.2">
      <c r="B32101" s="4" t="s">
        <v>929</v>
      </c>
      <c r="C32101" s="4" t="s">
        <v>933</v>
      </c>
      <c r="D32101" s="4" t="s">
        <v>0</v>
      </c>
      <c r="E32101" s="4" t="s">
        <v>934</v>
      </c>
    </row>
    <row r="32102" spans="2:5" x14ac:dyDescent="0.2">
      <c r="B32102" s="4" t="s">
        <v>932</v>
      </c>
      <c r="C32102" s="4" t="s">
        <v>0</v>
      </c>
      <c r="D32102" s="4" t="s">
        <v>0</v>
      </c>
      <c r="E32102" s="4" t="s">
        <v>925</v>
      </c>
    </row>
    <row r="32103" spans="2:5" x14ac:dyDescent="0.2">
      <c r="B32103" s="4" t="s">
        <v>930</v>
      </c>
      <c r="C32103" s="4" t="s">
        <v>936</v>
      </c>
      <c r="D32103" s="4" t="s">
        <v>0</v>
      </c>
      <c r="E32103" s="4" t="s">
        <v>923</v>
      </c>
    </row>
    <row r="32104" spans="2:5" x14ac:dyDescent="0.2">
      <c r="B32104" s="4" t="s">
        <v>924</v>
      </c>
      <c r="C32104" s="4" t="s">
        <v>933</v>
      </c>
      <c r="D32104" s="4" t="s">
        <v>0</v>
      </c>
      <c r="E32104" s="4" t="s">
        <v>923</v>
      </c>
    </row>
    <row r="32105" spans="2:5" x14ac:dyDescent="0.2">
      <c r="B32105" s="4" t="s">
        <v>926</v>
      </c>
      <c r="C32105" s="4" t="s">
        <v>0</v>
      </c>
      <c r="D32105" s="4" t="s">
        <v>0</v>
      </c>
      <c r="E32105" s="4" t="s">
        <v>925</v>
      </c>
    </row>
    <row r="32106" spans="2:5" x14ac:dyDescent="0.2">
      <c r="B32106" s="4" t="s">
        <v>13</v>
      </c>
      <c r="C32106" s="4" t="s">
        <v>922</v>
      </c>
      <c r="D32106" s="4" t="s">
        <v>0</v>
      </c>
      <c r="E32106" s="4" t="s">
        <v>923</v>
      </c>
    </row>
    <row r="32107" spans="2:5" x14ac:dyDescent="0.2">
      <c r="B32107" s="4" t="s">
        <v>929</v>
      </c>
      <c r="C32107" s="4" t="s">
        <v>0</v>
      </c>
      <c r="D32107" s="4" t="s">
        <v>0</v>
      </c>
      <c r="E32107" s="4" t="s">
        <v>925</v>
      </c>
    </row>
    <row r="32108" spans="2:5" x14ac:dyDescent="0.2">
      <c r="B32108" s="4" t="s">
        <v>13</v>
      </c>
      <c r="C32108" s="4" t="s">
        <v>922</v>
      </c>
      <c r="D32108" s="4" t="s">
        <v>0</v>
      </c>
      <c r="E32108" s="4" t="s">
        <v>923</v>
      </c>
    </row>
    <row r="32109" spans="2:5" x14ac:dyDescent="0.2">
      <c r="B32109" s="4" t="s">
        <v>929</v>
      </c>
      <c r="C32109" s="4" t="s">
        <v>0</v>
      </c>
      <c r="D32109" s="4" t="s">
        <v>0</v>
      </c>
      <c r="E32109" s="4" t="s">
        <v>925</v>
      </c>
    </row>
    <row r="32110" spans="2:5" x14ac:dyDescent="0.2">
      <c r="B32110" s="4" t="s">
        <v>932</v>
      </c>
      <c r="C32110" s="4" t="s">
        <v>935</v>
      </c>
      <c r="D32110" s="4" t="s">
        <v>0</v>
      </c>
      <c r="E32110" s="4" t="s">
        <v>923</v>
      </c>
    </row>
    <row r="32111" spans="2:5" x14ac:dyDescent="0.2">
      <c r="B32111" s="4" t="s">
        <v>929</v>
      </c>
      <c r="C32111" s="4" t="s">
        <v>935</v>
      </c>
      <c r="D32111" s="4" t="s">
        <v>0</v>
      </c>
      <c r="E32111" s="4" t="s">
        <v>923</v>
      </c>
    </row>
    <row r="32112" spans="2:5" x14ac:dyDescent="0.2">
      <c r="B32112" s="4" t="s">
        <v>930</v>
      </c>
      <c r="C32112" s="4" t="s">
        <v>0</v>
      </c>
      <c r="D32112" s="4" t="s">
        <v>0</v>
      </c>
      <c r="E32112" s="4" t="s">
        <v>925</v>
      </c>
    </row>
    <row r="32113" spans="2:5" x14ac:dyDescent="0.2">
      <c r="B32113" s="4" t="s">
        <v>930</v>
      </c>
      <c r="C32113" s="4" t="s">
        <v>0</v>
      </c>
      <c r="D32113" s="4" t="s">
        <v>0</v>
      </c>
      <c r="E32113" s="4" t="s">
        <v>925</v>
      </c>
    </row>
    <row r="32114" spans="2:5" x14ac:dyDescent="0.2">
      <c r="B32114" s="4" t="s">
        <v>932</v>
      </c>
      <c r="C32114" s="4" t="s">
        <v>935</v>
      </c>
      <c r="D32114" s="4" t="s">
        <v>0</v>
      </c>
      <c r="E32114" s="4" t="s">
        <v>934</v>
      </c>
    </row>
    <row r="32115" spans="2:5" x14ac:dyDescent="0.2">
      <c r="B32115" s="4" t="s">
        <v>929</v>
      </c>
      <c r="C32115" s="4" t="s">
        <v>933</v>
      </c>
      <c r="D32115" s="4" t="s">
        <v>0</v>
      </c>
      <c r="E32115" s="4" t="s">
        <v>934</v>
      </c>
    </row>
    <row r="32116" spans="2:5" x14ac:dyDescent="0.2">
      <c r="B32116" s="4" t="s">
        <v>930</v>
      </c>
      <c r="C32116" s="4" t="s">
        <v>0</v>
      </c>
      <c r="D32116" s="4" t="s">
        <v>0</v>
      </c>
      <c r="E32116" s="4" t="s">
        <v>925</v>
      </c>
    </row>
    <row r="32117" spans="2:5" x14ac:dyDescent="0.2">
      <c r="B32117" s="4" t="s">
        <v>932</v>
      </c>
      <c r="C32117" s="4" t="s">
        <v>935</v>
      </c>
      <c r="D32117" s="4" t="s">
        <v>0</v>
      </c>
      <c r="E32117" s="4" t="s">
        <v>934</v>
      </c>
    </row>
    <row r="32118" spans="2:5" x14ac:dyDescent="0.2">
      <c r="B32118" s="4" t="s">
        <v>929</v>
      </c>
      <c r="C32118" s="4" t="s">
        <v>933</v>
      </c>
      <c r="D32118" s="4" t="s">
        <v>0</v>
      </c>
      <c r="E32118" s="4" t="s">
        <v>934</v>
      </c>
    </row>
    <row r="32119" spans="2:5" x14ac:dyDescent="0.2">
      <c r="B32119" s="4" t="s">
        <v>930</v>
      </c>
      <c r="C32119" s="4" t="s">
        <v>0</v>
      </c>
      <c r="D32119" s="4" t="s">
        <v>0</v>
      </c>
      <c r="E32119" s="4" t="s">
        <v>925</v>
      </c>
    </row>
    <row r="32120" spans="2:5" x14ac:dyDescent="0.2">
      <c r="B32120" s="4" t="s">
        <v>932</v>
      </c>
      <c r="C32120" s="4" t="s">
        <v>935</v>
      </c>
      <c r="D32120" s="4" t="s">
        <v>0</v>
      </c>
      <c r="E32120" s="4" t="s">
        <v>934</v>
      </c>
    </row>
    <row r="32121" spans="2:5" x14ac:dyDescent="0.2">
      <c r="B32121" s="4" t="s">
        <v>929</v>
      </c>
      <c r="C32121" s="4" t="s">
        <v>933</v>
      </c>
      <c r="D32121" s="4" t="s">
        <v>0</v>
      </c>
      <c r="E32121" s="4" t="s">
        <v>934</v>
      </c>
    </row>
    <row r="32122" spans="2:5" x14ac:dyDescent="0.2">
      <c r="B32122" s="4" t="s">
        <v>930</v>
      </c>
      <c r="C32122" s="4" t="s">
        <v>0</v>
      </c>
      <c r="D32122" s="4" t="s">
        <v>0</v>
      </c>
      <c r="E32122" s="4" t="s">
        <v>925</v>
      </c>
    </row>
    <row r="32123" spans="2:5" x14ac:dyDescent="0.2">
      <c r="B32123" s="4" t="s">
        <v>932</v>
      </c>
      <c r="C32123" s="4" t="s">
        <v>935</v>
      </c>
      <c r="D32123" s="4" t="s">
        <v>0</v>
      </c>
      <c r="E32123" s="4" t="s">
        <v>934</v>
      </c>
    </row>
    <row r="32124" spans="2:5" x14ac:dyDescent="0.2">
      <c r="B32124" s="4" t="s">
        <v>929</v>
      </c>
      <c r="C32124" s="4" t="s">
        <v>933</v>
      </c>
      <c r="D32124" s="4" t="s">
        <v>0</v>
      </c>
      <c r="E32124" s="4" t="s">
        <v>934</v>
      </c>
    </row>
    <row r="32125" spans="2:5" x14ac:dyDescent="0.2">
      <c r="B32125" s="4" t="s">
        <v>930</v>
      </c>
      <c r="C32125" s="4" t="s">
        <v>0</v>
      </c>
      <c r="D32125" s="4" t="s">
        <v>0</v>
      </c>
      <c r="E32125" s="4" t="s">
        <v>925</v>
      </c>
    </row>
    <row r="32126" spans="2:5" x14ac:dyDescent="0.2">
      <c r="B32126" s="4" t="s">
        <v>932</v>
      </c>
      <c r="C32126" s="4" t="s">
        <v>935</v>
      </c>
      <c r="D32126" s="4" t="s">
        <v>0</v>
      </c>
      <c r="E32126" s="4" t="s">
        <v>934</v>
      </c>
    </row>
    <row r="32127" spans="2:5" x14ac:dyDescent="0.2">
      <c r="B32127" s="4" t="s">
        <v>929</v>
      </c>
      <c r="C32127" s="4" t="s">
        <v>933</v>
      </c>
      <c r="D32127" s="4" t="s">
        <v>0</v>
      </c>
      <c r="E32127" s="4" t="s">
        <v>934</v>
      </c>
    </row>
    <row r="32128" spans="2:5" x14ac:dyDescent="0.2">
      <c r="B32128" s="4" t="s">
        <v>930</v>
      </c>
      <c r="C32128" s="4" t="s">
        <v>0</v>
      </c>
      <c r="D32128" s="4" t="s">
        <v>0</v>
      </c>
      <c r="E32128" s="4" t="s">
        <v>925</v>
      </c>
    </row>
    <row r="32129" spans="2:5" x14ac:dyDescent="0.2">
      <c r="B32129" s="4" t="s">
        <v>932</v>
      </c>
      <c r="C32129" s="4" t="s">
        <v>935</v>
      </c>
      <c r="D32129" s="4" t="s">
        <v>0</v>
      </c>
      <c r="E32129" s="4" t="s">
        <v>934</v>
      </c>
    </row>
    <row r="32130" spans="2:5" x14ac:dyDescent="0.2">
      <c r="B32130" s="4" t="s">
        <v>929</v>
      </c>
      <c r="C32130" s="4" t="s">
        <v>933</v>
      </c>
      <c r="D32130" s="4" t="s">
        <v>0</v>
      </c>
      <c r="E32130" s="4" t="s">
        <v>934</v>
      </c>
    </row>
    <row r="32131" spans="2:5" x14ac:dyDescent="0.2">
      <c r="B32131" s="4" t="s">
        <v>930</v>
      </c>
      <c r="C32131" s="4" t="s">
        <v>0</v>
      </c>
      <c r="D32131" s="4" t="s">
        <v>0</v>
      </c>
      <c r="E32131" s="4" t="s">
        <v>925</v>
      </c>
    </row>
    <row r="32132" spans="2:5" x14ac:dyDescent="0.2">
      <c r="B32132" s="4" t="s">
        <v>932</v>
      </c>
      <c r="C32132" s="4" t="s">
        <v>0</v>
      </c>
      <c r="D32132" s="4" t="s">
        <v>0</v>
      </c>
      <c r="E32132" s="4" t="s">
        <v>925</v>
      </c>
    </row>
    <row r="32133" spans="2:5" x14ac:dyDescent="0.2">
      <c r="B32133" s="4" t="s">
        <v>929</v>
      </c>
      <c r="C32133" s="4" t="s">
        <v>933</v>
      </c>
      <c r="D32133" s="4" t="s">
        <v>0</v>
      </c>
      <c r="E32133" s="4" t="s">
        <v>934</v>
      </c>
    </row>
    <row r="32134" spans="2:5" x14ac:dyDescent="0.2">
      <c r="B32134" s="4" t="s">
        <v>932</v>
      </c>
      <c r="C32134" s="4" t="s">
        <v>935</v>
      </c>
      <c r="D32134" s="4" t="s">
        <v>0</v>
      </c>
      <c r="E32134" s="4" t="s">
        <v>923</v>
      </c>
    </row>
    <row r="32135" spans="2:5" x14ac:dyDescent="0.2">
      <c r="B32135" s="4" t="s">
        <v>929</v>
      </c>
      <c r="C32135" s="4" t="s">
        <v>935</v>
      </c>
      <c r="D32135" s="4" t="s">
        <v>0</v>
      </c>
      <c r="E32135" s="4" t="s">
        <v>923</v>
      </c>
    </row>
    <row r="32136" spans="2:5" x14ac:dyDescent="0.2">
      <c r="B32136" s="4" t="s">
        <v>930</v>
      </c>
      <c r="C32136" s="4" t="s">
        <v>0</v>
      </c>
      <c r="D32136" s="4" t="s">
        <v>0</v>
      </c>
      <c r="E32136" s="4" t="s">
        <v>925</v>
      </c>
    </row>
    <row r="32137" spans="2:5" x14ac:dyDescent="0.2">
      <c r="B32137" s="4" t="s">
        <v>932</v>
      </c>
      <c r="C32137" s="4" t="s">
        <v>935</v>
      </c>
      <c r="D32137" s="4" t="s">
        <v>0</v>
      </c>
      <c r="E32137" s="4" t="s">
        <v>923</v>
      </c>
    </row>
    <row r="32138" spans="2:5" x14ac:dyDescent="0.2">
      <c r="B32138" s="4" t="s">
        <v>929</v>
      </c>
      <c r="C32138" s="4" t="s">
        <v>935</v>
      </c>
      <c r="D32138" s="4" t="s">
        <v>0</v>
      </c>
      <c r="E32138" s="4" t="s">
        <v>923</v>
      </c>
    </row>
    <row r="32139" spans="2:5" x14ac:dyDescent="0.2">
      <c r="B32139" s="4" t="s">
        <v>930</v>
      </c>
      <c r="C32139" s="4" t="s">
        <v>0</v>
      </c>
      <c r="D32139" s="4" t="s">
        <v>0</v>
      </c>
      <c r="E32139" s="4" t="s">
        <v>925</v>
      </c>
    </row>
    <row r="32140" spans="2:5" x14ac:dyDescent="0.2">
      <c r="B32140" s="4" t="s">
        <v>932</v>
      </c>
      <c r="C32140" s="4" t="s">
        <v>935</v>
      </c>
      <c r="D32140" s="4" t="s">
        <v>0</v>
      </c>
      <c r="E32140" s="4" t="s">
        <v>923</v>
      </c>
    </row>
    <row r="32141" spans="2:5" x14ac:dyDescent="0.2">
      <c r="B32141" s="4" t="s">
        <v>929</v>
      </c>
      <c r="C32141" s="4" t="s">
        <v>935</v>
      </c>
      <c r="D32141" s="4" t="s">
        <v>0</v>
      </c>
      <c r="E32141" s="4" t="s">
        <v>923</v>
      </c>
    </row>
    <row r="32142" spans="2:5" x14ac:dyDescent="0.2">
      <c r="B32142" s="4" t="s">
        <v>930</v>
      </c>
      <c r="C32142" s="4" t="s">
        <v>0</v>
      </c>
      <c r="D32142" s="4" t="s">
        <v>0</v>
      </c>
      <c r="E32142" s="4" t="s">
        <v>925</v>
      </c>
    </row>
    <row r="32143" spans="2:5" x14ac:dyDescent="0.2">
      <c r="B32143" s="4" t="s">
        <v>932</v>
      </c>
      <c r="C32143" s="4" t="s">
        <v>935</v>
      </c>
      <c r="D32143" s="4" t="s">
        <v>0</v>
      </c>
      <c r="E32143" s="4" t="s">
        <v>923</v>
      </c>
    </row>
    <row r="32144" spans="2:5" x14ac:dyDescent="0.2">
      <c r="B32144" s="4" t="s">
        <v>929</v>
      </c>
      <c r="C32144" s="4" t="s">
        <v>935</v>
      </c>
      <c r="D32144" s="4" t="s">
        <v>0</v>
      </c>
      <c r="E32144" s="4" t="s">
        <v>923</v>
      </c>
    </row>
    <row r="32145" spans="2:5" x14ac:dyDescent="0.2">
      <c r="B32145" s="4" t="s">
        <v>930</v>
      </c>
      <c r="C32145" s="4" t="s">
        <v>0</v>
      </c>
      <c r="D32145" s="4" t="s">
        <v>0</v>
      </c>
      <c r="E32145" s="4" t="s">
        <v>925</v>
      </c>
    </row>
    <row r="32146" spans="2:5" x14ac:dyDescent="0.2">
      <c r="B32146" s="4" t="s">
        <v>930</v>
      </c>
      <c r="C32146" s="4" t="s">
        <v>935</v>
      </c>
      <c r="D32146" s="4" t="s">
        <v>0</v>
      </c>
      <c r="E32146" s="4" t="s">
        <v>923</v>
      </c>
    </row>
    <row r="32147" spans="2:5" x14ac:dyDescent="0.2">
      <c r="B32147" s="4" t="s">
        <v>932</v>
      </c>
      <c r="C32147" s="4" t="s">
        <v>0</v>
      </c>
      <c r="D32147" s="4" t="s">
        <v>0</v>
      </c>
      <c r="E32147" s="4" t="s">
        <v>925</v>
      </c>
    </row>
    <row r="32148" spans="2:5" x14ac:dyDescent="0.2">
      <c r="B32148" s="4" t="s">
        <v>929</v>
      </c>
      <c r="C32148" s="4" t="s">
        <v>0</v>
      </c>
      <c r="D32148" s="4" t="s">
        <v>0</v>
      </c>
      <c r="E32148" s="4" t="s">
        <v>925</v>
      </c>
    </row>
    <row r="32149" spans="2:5" x14ac:dyDescent="0.2">
      <c r="B32149" s="4" t="s">
        <v>932</v>
      </c>
      <c r="C32149" s="4" t="s">
        <v>935</v>
      </c>
      <c r="D32149" s="4" t="s">
        <v>0</v>
      </c>
      <c r="E32149" s="4" t="s">
        <v>923</v>
      </c>
    </row>
    <row r="32150" spans="2:5" x14ac:dyDescent="0.2">
      <c r="B32150" s="4" t="s">
        <v>929</v>
      </c>
      <c r="C32150" s="4" t="s">
        <v>935</v>
      </c>
      <c r="D32150" s="4" t="s">
        <v>0</v>
      </c>
      <c r="E32150" s="4" t="s">
        <v>923</v>
      </c>
    </row>
    <row r="32151" spans="2:5" x14ac:dyDescent="0.2">
      <c r="B32151" s="4" t="s">
        <v>930</v>
      </c>
      <c r="C32151" s="4" t="s">
        <v>0</v>
      </c>
      <c r="D32151" s="4" t="s">
        <v>0</v>
      </c>
      <c r="E32151" s="4" t="s">
        <v>925</v>
      </c>
    </row>
    <row r="32152" spans="2:5" x14ac:dyDescent="0.2">
      <c r="B32152" s="4" t="s">
        <v>930</v>
      </c>
      <c r="C32152" s="4" t="s">
        <v>0</v>
      </c>
      <c r="D32152" s="4" t="s">
        <v>0</v>
      </c>
      <c r="E32152" s="4" t="s">
        <v>925</v>
      </c>
    </row>
    <row r="32153" spans="2:5" x14ac:dyDescent="0.2">
      <c r="B32153" s="4" t="s">
        <v>932</v>
      </c>
      <c r="C32153" s="4" t="s">
        <v>0</v>
      </c>
      <c r="D32153" s="4" t="s">
        <v>0</v>
      </c>
      <c r="E32153" s="4" t="s">
        <v>925</v>
      </c>
    </row>
    <row r="32154" spans="2:5" x14ac:dyDescent="0.2">
      <c r="B32154" s="4" t="s">
        <v>930</v>
      </c>
      <c r="C32154" s="4" t="s">
        <v>933</v>
      </c>
      <c r="D32154" s="4" t="s">
        <v>0</v>
      </c>
      <c r="E32154" s="4" t="s">
        <v>934</v>
      </c>
    </row>
    <row r="32155" spans="2:5" x14ac:dyDescent="0.2">
      <c r="B32155" s="4" t="s">
        <v>932</v>
      </c>
      <c r="C32155" s="4" t="s">
        <v>935</v>
      </c>
      <c r="D32155" s="4" t="s">
        <v>0</v>
      </c>
      <c r="E32155" s="4" t="s">
        <v>923</v>
      </c>
    </row>
    <row r="32156" spans="2:5" x14ac:dyDescent="0.2">
      <c r="B32156" s="4" t="s">
        <v>929</v>
      </c>
      <c r="C32156" s="4" t="s">
        <v>935</v>
      </c>
      <c r="D32156" s="4" t="s">
        <v>0</v>
      </c>
      <c r="E32156" s="4" t="s">
        <v>923</v>
      </c>
    </row>
    <row r="32157" spans="2:5" x14ac:dyDescent="0.2">
      <c r="B32157" s="4" t="s">
        <v>930</v>
      </c>
      <c r="C32157" s="4" t="s">
        <v>0</v>
      </c>
      <c r="D32157" s="4" t="s">
        <v>0</v>
      </c>
      <c r="E32157" s="4" t="s">
        <v>925</v>
      </c>
    </row>
    <row r="32158" spans="2:5" x14ac:dyDescent="0.2">
      <c r="B32158" s="4" t="s">
        <v>932</v>
      </c>
      <c r="C32158" s="4" t="s">
        <v>935</v>
      </c>
      <c r="D32158" s="4" t="s">
        <v>0</v>
      </c>
      <c r="E32158" s="4" t="s">
        <v>923</v>
      </c>
    </row>
    <row r="32159" spans="2:5" x14ac:dyDescent="0.2">
      <c r="B32159" s="4" t="s">
        <v>929</v>
      </c>
      <c r="C32159" s="4" t="s">
        <v>935</v>
      </c>
      <c r="D32159" s="4" t="s">
        <v>0</v>
      </c>
      <c r="E32159" s="4" t="s">
        <v>923</v>
      </c>
    </row>
    <row r="32160" spans="2:5" x14ac:dyDescent="0.2">
      <c r="B32160" s="4" t="s">
        <v>930</v>
      </c>
      <c r="C32160" s="4" t="s">
        <v>0</v>
      </c>
      <c r="D32160" s="4" t="s">
        <v>0</v>
      </c>
      <c r="E32160" s="4" t="s">
        <v>925</v>
      </c>
    </row>
    <row r="32161" spans="2:5" x14ac:dyDescent="0.2">
      <c r="B32161" s="4" t="s">
        <v>13</v>
      </c>
      <c r="C32161" s="4" t="s">
        <v>922</v>
      </c>
      <c r="D32161" s="4" t="s">
        <v>0</v>
      </c>
      <c r="E32161" s="4" t="s">
        <v>923</v>
      </c>
    </row>
    <row r="32162" spans="2:5" x14ac:dyDescent="0.2">
      <c r="B32162" s="4" t="s">
        <v>929</v>
      </c>
      <c r="C32162" s="4" t="s">
        <v>0</v>
      </c>
      <c r="D32162" s="4" t="s">
        <v>0</v>
      </c>
      <c r="E32162" s="4" t="s">
        <v>925</v>
      </c>
    </row>
    <row r="32163" spans="2:5" x14ac:dyDescent="0.2">
      <c r="B32163" s="4" t="s">
        <v>13</v>
      </c>
      <c r="C32163" s="4" t="s">
        <v>922</v>
      </c>
      <c r="D32163" s="4" t="s">
        <v>0</v>
      </c>
      <c r="E32163" s="4" t="s">
        <v>923</v>
      </c>
    </row>
    <row r="32164" spans="2:5" x14ac:dyDescent="0.2">
      <c r="B32164" s="4" t="s">
        <v>929</v>
      </c>
      <c r="C32164" s="4" t="s">
        <v>0</v>
      </c>
      <c r="D32164" s="4" t="s">
        <v>0</v>
      </c>
      <c r="E32164" s="4" t="s">
        <v>925</v>
      </c>
    </row>
    <row r="32165" spans="2:5" x14ac:dyDescent="0.2">
      <c r="B32165" s="4" t="s">
        <v>930</v>
      </c>
      <c r="C32165" s="4" t="s">
        <v>0</v>
      </c>
      <c r="D32165" s="4" t="s">
        <v>0</v>
      </c>
      <c r="E32165" s="4" t="s">
        <v>925</v>
      </c>
    </row>
    <row r="32166" spans="2:5" x14ac:dyDescent="0.2">
      <c r="B32166" s="4" t="s">
        <v>932</v>
      </c>
      <c r="C32166" s="4" t="s">
        <v>0</v>
      </c>
      <c r="D32166" s="4" t="s">
        <v>0</v>
      </c>
      <c r="E32166" s="4" t="s">
        <v>925</v>
      </c>
    </row>
    <row r="32167" spans="2:5" x14ac:dyDescent="0.2">
      <c r="B32167" s="4" t="s">
        <v>929</v>
      </c>
      <c r="C32167" s="4" t="s">
        <v>933</v>
      </c>
      <c r="D32167" s="4" t="s">
        <v>0</v>
      </c>
      <c r="E32167" s="4" t="s">
        <v>934</v>
      </c>
    </row>
    <row r="32168" spans="2:5" x14ac:dyDescent="0.2">
      <c r="B32168" s="4" t="s">
        <v>930</v>
      </c>
      <c r="C32168" s="4" t="s">
        <v>0</v>
      </c>
      <c r="D32168" s="4" t="s">
        <v>0</v>
      </c>
      <c r="E32168" s="4" t="s">
        <v>925</v>
      </c>
    </row>
    <row r="32169" spans="2:5" x14ac:dyDescent="0.2">
      <c r="B32169" s="4" t="s">
        <v>932</v>
      </c>
      <c r="C32169" s="4" t="s">
        <v>0</v>
      </c>
      <c r="D32169" s="4" t="s">
        <v>0</v>
      </c>
      <c r="E32169" s="4" t="s">
        <v>925</v>
      </c>
    </row>
    <row r="32170" spans="2:5" x14ac:dyDescent="0.2">
      <c r="B32170" s="4" t="s">
        <v>929</v>
      </c>
      <c r="C32170" s="4" t="s">
        <v>933</v>
      </c>
      <c r="D32170" s="4" t="s">
        <v>0</v>
      </c>
      <c r="E32170" s="4" t="s">
        <v>934</v>
      </c>
    </row>
    <row r="32171" spans="2:5" x14ac:dyDescent="0.2">
      <c r="B32171" s="4" t="s">
        <v>930</v>
      </c>
      <c r="C32171" s="4" t="s">
        <v>0</v>
      </c>
      <c r="D32171" s="4" t="s">
        <v>0</v>
      </c>
      <c r="E32171" s="4" t="s">
        <v>925</v>
      </c>
    </row>
    <row r="32172" spans="2:5" x14ac:dyDescent="0.2">
      <c r="B32172" s="4" t="s">
        <v>932</v>
      </c>
      <c r="C32172" s="4" t="s">
        <v>0</v>
      </c>
      <c r="D32172" s="4" t="s">
        <v>0</v>
      </c>
      <c r="E32172" s="4" t="s">
        <v>925</v>
      </c>
    </row>
    <row r="32173" spans="2:5" x14ac:dyDescent="0.2">
      <c r="B32173" s="4" t="s">
        <v>929</v>
      </c>
      <c r="C32173" s="4" t="s">
        <v>933</v>
      </c>
      <c r="D32173" s="4" t="s">
        <v>0</v>
      </c>
      <c r="E32173" s="4" t="s">
        <v>934</v>
      </c>
    </row>
    <row r="32174" spans="2:5" x14ac:dyDescent="0.2">
      <c r="B32174" s="4" t="s">
        <v>932</v>
      </c>
      <c r="C32174" s="4" t="s">
        <v>0</v>
      </c>
      <c r="D32174" s="4" t="s">
        <v>0</v>
      </c>
      <c r="E32174" s="4" t="s">
        <v>925</v>
      </c>
    </row>
    <row r="32175" spans="2:5" x14ac:dyDescent="0.2">
      <c r="B32175" s="4" t="s">
        <v>930</v>
      </c>
      <c r="C32175" s="4" t="s">
        <v>0</v>
      </c>
      <c r="D32175" s="4" t="s">
        <v>0</v>
      </c>
      <c r="E32175" s="4" t="s">
        <v>925</v>
      </c>
    </row>
    <row r="32176" spans="2:5" x14ac:dyDescent="0.2">
      <c r="B32176" s="4" t="s">
        <v>930</v>
      </c>
      <c r="C32176" s="4" t="s">
        <v>935</v>
      </c>
      <c r="D32176" s="4" t="s">
        <v>0</v>
      </c>
      <c r="E32176" s="4" t="s">
        <v>923</v>
      </c>
    </row>
    <row r="32177" spans="2:5" x14ac:dyDescent="0.2">
      <c r="B32177" s="4" t="s">
        <v>932</v>
      </c>
      <c r="C32177" s="4" t="s">
        <v>0</v>
      </c>
      <c r="D32177" s="4" t="s">
        <v>0</v>
      </c>
      <c r="E32177" s="4" t="s">
        <v>925</v>
      </c>
    </row>
    <row r="32178" spans="2:5" x14ac:dyDescent="0.2">
      <c r="B32178" s="4" t="s">
        <v>929</v>
      </c>
      <c r="C32178" s="4" t="s">
        <v>0</v>
      </c>
      <c r="D32178" s="4" t="s">
        <v>0</v>
      </c>
      <c r="E32178" s="4" t="s">
        <v>925</v>
      </c>
    </row>
    <row r="32179" spans="2:5" x14ac:dyDescent="0.2">
      <c r="B32179" s="4" t="s">
        <v>930</v>
      </c>
      <c r="C32179" s="4" t="s">
        <v>935</v>
      </c>
      <c r="D32179" s="4" t="s">
        <v>0</v>
      </c>
      <c r="E32179" s="4" t="s">
        <v>923</v>
      </c>
    </row>
    <row r="32180" spans="2:5" x14ac:dyDescent="0.2">
      <c r="B32180" s="4" t="s">
        <v>932</v>
      </c>
      <c r="C32180" s="4" t="s">
        <v>0</v>
      </c>
      <c r="D32180" s="4" t="s">
        <v>0</v>
      </c>
      <c r="E32180" s="4" t="s">
        <v>925</v>
      </c>
    </row>
    <row r="32181" spans="2:5" x14ac:dyDescent="0.2">
      <c r="B32181" s="4" t="s">
        <v>929</v>
      </c>
      <c r="C32181" s="4" t="s">
        <v>0</v>
      </c>
      <c r="D32181" s="4" t="s">
        <v>0</v>
      </c>
      <c r="E32181" s="4" t="s">
        <v>925</v>
      </c>
    </row>
    <row r="32182" spans="2:5" x14ac:dyDescent="0.2">
      <c r="B32182" s="4" t="s">
        <v>930</v>
      </c>
      <c r="C32182" s="4" t="s">
        <v>935</v>
      </c>
      <c r="D32182" s="4" t="s">
        <v>0</v>
      </c>
      <c r="E32182" s="4" t="s">
        <v>923</v>
      </c>
    </row>
    <row r="32183" spans="2:5" x14ac:dyDescent="0.2">
      <c r="B32183" s="4" t="s">
        <v>932</v>
      </c>
      <c r="C32183" s="4" t="s">
        <v>0</v>
      </c>
      <c r="D32183" s="4" t="s">
        <v>0</v>
      </c>
      <c r="E32183" s="4" t="s">
        <v>925</v>
      </c>
    </row>
    <row r="32184" spans="2:5" x14ac:dyDescent="0.2">
      <c r="B32184" s="4" t="s">
        <v>929</v>
      </c>
      <c r="C32184" s="4" t="s">
        <v>0</v>
      </c>
      <c r="D32184" s="4" t="s">
        <v>0</v>
      </c>
      <c r="E32184" s="4" t="s">
        <v>925</v>
      </c>
    </row>
    <row r="32185" spans="2:5" x14ac:dyDescent="0.2">
      <c r="B32185" s="4" t="s">
        <v>13</v>
      </c>
      <c r="C32185" s="4" t="s">
        <v>922</v>
      </c>
      <c r="D32185" s="4" t="s">
        <v>0</v>
      </c>
      <c r="E32185" s="4" t="s">
        <v>923</v>
      </c>
    </row>
    <row r="32186" spans="2:5" x14ac:dyDescent="0.2">
      <c r="B32186" s="4" t="s">
        <v>929</v>
      </c>
      <c r="C32186" s="4" t="s">
        <v>0</v>
      </c>
      <c r="D32186" s="4" t="s">
        <v>0</v>
      </c>
      <c r="E32186" s="4" t="s">
        <v>925</v>
      </c>
    </row>
    <row r="32187" spans="2:5" x14ac:dyDescent="0.2">
      <c r="B32187" s="4" t="s">
        <v>930</v>
      </c>
      <c r="C32187" s="4" t="s">
        <v>0</v>
      </c>
      <c r="D32187" s="4" t="s">
        <v>0</v>
      </c>
      <c r="E32187" s="4" t="s">
        <v>925</v>
      </c>
    </row>
    <row r="32188" spans="2:5" x14ac:dyDescent="0.2">
      <c r="B32188" s="4" t="s">
        <v>932</v>
      </c>
      <c r="C32188" s="4" t="s">
        <v>0</v>
      </c>
      <c r="D32188" s="4" t="s">
        <v>0</v>
      </c>
      <c r="E32188" s="4" t="s">
        <v>925</v>
      </c>
    </row>
    <row r="32189" spans="2:5" x14ac:dyDescent="0.2">
      <c r="B32189" s="4" t="s">
        <v>929</v>
      </c>
      <c r="C32189" s="4" t="s">
        <v>933</v>
      </c>
      <c r="D32189" s="4" t="s">
        <v>0</v>
      </c>
      <c r="E32189" s="4" t="s">
        <v>934</v>
      </c>
    </row>
    <row r="32190" spans="2:5" x14ac:dyDescent="0.2">
      <c r="B32190" s="4" t="s">
        <v>930</v>
      </c>
      <c r="C32190" s="4" t="s">
        <v>0</v>
      </c>
      <c r="D32190" s="4" t="s">
        <v>0</v>
      </c>
      <c r="E32190" s="4" t="s">
        <v>925</v>
      </c>
    </row>
    <row r="32191" spans="2:5" x14ac:dyDescent="0.2">
      <c r="B32191" s="4" t="s">
        <v>932</v>
      </c>
      <c r="C32191" s="4" t="s">
        <v>0</v>
      </c>
      <c r="D32191" s="4" t="s">
        <v>0</v>
      </c>
      <c r="E32191" s="4" t="s">
        <v>925</v>
      </c>
    </row>
    <row r="32192" spans="2:5" x14ac:dyDescent="0.2">
      <c r="B32192" s="4" t="s">
        <v>929</v>
      </c>
      <c r="C32192" s="4" t="s">
        <v>933</v>
      </c>
      <c r="D32192" s="4" t="s">
        <v>0</v>
      </c>
      <c r="E32192" s="4" t="s">
        <v>934</v>
      </c>
    </row>
    <row r="32193" spans="2:5" x14ac:dyDescent="0.2">
      <c r="B32193" s="4" t="s">
        <v>930</v>
      </c>
      <c r="C32193" s="4" t="s">
        <v>0</v>
      </c>
      <c r="D32193" s="4" t="s">
        <v>0</v>
      </c>
      <c r="E32193" s="4" t="s">
        <v>925</v>
      </c>
    </row>
    <row r="32194" spans="2:5" x14ac:dyDescent="0.2">
      <c r="B32194" s="4" t="s">
        <v>932</v>
      </c>
      <c r="C32194" s="4" t="s">
        <v>0</v>
      </c>
      <c r="D32194" s="4" t="s">
        <v>0</v>
      </c>
      <c r="E32194" s="4" t="s">
        <v>925</v>
      </c>
    </row>
    <row r="32195" spans="2:5" x14ac:dyDescent="0.2">
      <c r="B32195" s="4" t="s">
        <v>929</v>
      </c>
      <c r="C32195" s="4" t="s">
        <v>933</v>
      </c>
      <c r="D32195" s="4" t="s">
        <v>0</v>
      </c>
      <c r="E32195" s="4" t="s">
        <v>934</v>
      </c>
    </row>
    <row r="32196" spans="2:5" x14ac:dyDescent="0.2">
      <c r="B32196" s="4" t="s">
        <v>932</v>
      </c>
      <c r="C32196" s="4" t="s">
        <v>935</v>
      </c>
      <c r="D32196" s="4" t="s">
        <v>0</v>
      </c>
      <c r="E32196" s="4" t="s">
        <v>923</v>
      </c>
    </row>
    <row r="32197" spans="2:5" x14ac:dyDescent="0.2">
      <c r="B32197" s="4" t="s">
        <v>929</v>
      </c>
      <c r="C32197" s="4" t="s">
        <v>935</v>
      </c>
      <c r="D32197" s="4" t="s">
        <v>0</v>
      </c>
      <c r="E32197" s="4" t="s">
        <v>923</v>
      </c>
    </row>
    <row r="32198" spans="2:5" x14ac:dyDescent="0.2">
      <c r="B32198" s="4" t="s">
        <v>930</v>
      </c>
      <c r="C32198" s="4" t="s">
        <v>0</v>
      </c>
      <c r="D32198" s="4" t="s">
        <v>0</v>
      </c>
      <c r="E32198" s="4" t="s">
        <v>925</v>
      </c>
    </row>
    <row r="32199" spans="2:5" x14ac:dyDescent="0.2">
      <c r="B32199" s="4" t="s">
        <v>932</v>
      </c>
      <c r="C32199" s="4" t="s">
        <v>935</v>
      </c>
      <c r="D32199" s="4" t="s">
        <v>0</v>
      </c>
      <c r="E32199" s="4" t="s">
        <v>923</v>
      </c>
    </row>
    <row r="32200" spans="2:5" x14ac:dyDescent="0.2">
      <c r="B32200" s="4" t="s">
        <v>929</v>
      </c>
      <c r="C32200" s="4" t="s">
        <v>935</v>
      </c>
      <c r="D32200" s="4" t="s">
        <v>0</v>
      </c>
      <c r="E32200" s="4" t="s">
        <v>923</v>
      </c>
    </row>
    <row r="32201" spans="2:5" x14ac:dyDescent="0.2">
      <c r="B32201" s="4" t="s">
        <v>930</v>
      </c>
      <c r="C32201" s="4" t="s">
        <v>0</v>
      </c>
      <c r="D32201" s="4" t="s">
        <v>0</v>
      </c>
      <c r="E32201" s="4" t="s">
        <v>925</v>
      </c>
    </row>
    <row r="32202" spans="2:5" x14ac:dyDescent="0.2">
      <c r="B32202" s="4" t="s">
        <v>932</v>
      </c>
      <c r="C32202" s="4" t="s">
        <v>935</v>
      </c>
      <c r="D32202" s="4" t="s">
        <v>0</v>
      </c>
      <c r="E32202" s="4" t="s">
        <v>923</v>
      </c>
    </row>
    <row r="32203" spans="2:5" x14ac:dyDescent="0.2">
      <c r="B32203" s="4" t="s">
        <v>929</v>
      </c>
      <c r="C32203" s="4" t="s">
        <v>935</v>
      </c>
      <c r="D32203" s="4" t="s">
        <v>0</v>
      </c>
      <c r="E32203" s="4" t="s">
        <v>923</v>
      </c>
    </row>
    <row r="32204" spans="2:5" x14ac:dyDescent="0.2">
      <c r="B32204" s="4" t="s">
        <v>930</v>
      </c>
      <c r="C32204" s="4" t="s">
        <v>0</v>
      </c>
      <c r="D32204" s="4" t="s">
        <v>0</v>
      </c>
      <c r="E32204" s="4" t="s">
        <v>925</v>
      </c>
    </row>
    <row r="32205" spans="2:5" x14ac:dyDescent="0.2">
      <c r="B32205" s="4" t="s">
        <v>930</v>
      </c>
      <c r="C32205" s="4" t="s">
        <v>0</v>
      </c>
      <c r="D32205" s="4" t="s">
        <v>0</v>
      </c>
      <c r="E32205" s="4" t="s">
        <v>925</v>
      </c>
    </row>
    <row r="32206" spans="2:5" x14ac:dyDescent="0.2">
      <c r="B32206" s="4" t="s">
        <v>932</v>
      </c>
      <c r="C32206" s="4" t="s">
        <v>0</v>
      </c>
      <c r="D32206" s="4" t="s">
        <v>0</v>
      </c>
      <c r="E32206" s="4" t="s">
        <v>925</v>
      </c>
    </row>
    <row r="32207" spans="2:5" x14ac:dyDescent="0.2">
      <c r="B32207" s="4" t="s">
        <v>929</v>
      </c>
      <c r="C32207" s="4" t="s">
        <v>933</v>
      </c>
      <c r="D32207" s="4" t="s">
        <v>0</v>
      </c>
      <c r="E32207" s="4" t="s">
        <v>934</v>
      </c>
    </row>
    <row r="32208" spans="2:5" x14ac:dyDescent="0.2">
      <c r="B32208" s="4" t="s">
        <v>930</v>
      </c>
      <c r="C32208" s="4" t="s">
        <v>0</v>
      </c>
      <c r="D32208" s="4" t="s">
        <v>0</v>
      </c>
      <c r="E32208" s="4" t="s">
        <v>925</v>
      </c>
    </row>
    <row r="32209" spans="2:5" x14ac:dyDescent="0.2">
      <c r="B32209" s="4" t="s">
        <v>932</v>
      </c>
      <c r="C32209" s="4" t="s">
        <v>0</v>
      </c>
      <c r="D32209" s="4" t="s">
        <v>0</v>
      </c>
      <c r="E32209" s="4" t="s">
        <v>925</v>
      </c>
    </row>
    <row r="32210" spans="2:5" x14ac:dyDescent="0.2">
      <c r="B32210" s="4" t="s">
        <v>929</v>
      </c>
      <c r="C32210" s="4" t="s">
        <v>933</v>
      </c>
      <c r="D32210" s="4" t="s">
        <v>0</v>
      </c>
      <c r="E32210" s="4" t="s">
        <v>934</v>
      </c>
    </row>
    <row r="32211" spans="2:5" x14ac:dyDescent="0.2">
      <c r="B32211" s="4" t="s">
        <v>930</v>
      </c>
      <c r="C32211" s="4" t="s">
        <v>0</v>
      </c>
      <c r="D32211" s="4" t="s">
        <v>0</v>
      </c>
      <c r="E32211" s="4" t="s">
        <v>925</v>
      </c>
    </row>
    <row r="32212" spans="2:5" x14ac:dyDescent="0.2">
      <c r="B32212" s="4" t="s">
        <v>932</v>
      </c>
      <c r="C32212" s="4" t="s">
        <v>0</v>
      </c>
      <c r="D32212" s="4" t="s">
        <v>0</v>
      </c>
      <c r="E32212" s="4" t="s">
        <v>925</v>
      </c>
    </row>
    <row r="32213" spans="2:5" x14ac:dyDescent="0.2">
      <c r="B32213" s="4" t="s">
        <v>929</v>
      </c>
      <c r="C32213" s="4" t="s">
        <v>933</v>
      </c>
      <c r="D32213" s="4" t="s">
        <v>0</v>
      </c>
      <c r="E32213" s="4" t="s">
        <v>934</v>
      </c>
    </row>
    <row r="32214" spans="2:5" x14ac:dyDescent="0.2">
      <c r="B32214" s="4" t="s">
        <v>930</v>
      </c>
      <c r="C32214" s="4" t="s">
        <v>0</v>
      </c>
      <c r="D32214" s="4" t="s">
        <v>0</v>
      </c>
      <c r="E32214" s="4" t="s">
        <v>925</v>
      </c>
    </row>
    <row r="32215" spans="2:5" x14ac:dyDescent="0.2">
      <c r="B32215" s="4" t="s">
        <v>932</v>
      </c>
      <c r="C32215" s="4" t="s">
        <v>0</v>
      </c>
      <c r="D32215" s="4" t="s">
        <v>0</v>
      </c>
      <c r="E32215" s="4" t="s">
        <v>925</v>
      </c>
    </row>
    <row r="32216" spans="2:5" x14ac:dyDescent="0.2">
      <c r="B32216" s="4" t="s">
        <v>929</v>
      </c>
      <c r="C32216" s="4" t="s">
        <v>933</v>
      </c>
      <c r="D32216" s="4" t="s">
        <v>0</v>
      </c>
      <c r="E32216" s="4" t="s">
        <v>934</v>
      </c>
    </row>
    <row r="32217" spans="2:5" x14ac:dyDescent="0.2">
      <c r="B32217" s="4" t="s">
        <v>930</v>
      </c>
      <c r="C32217" s="4" t="s">
        <v>0</v>
      </c>
      <c r="D32217" s="4" t="s">
        <v>0</v>
      </c>
      <c r="E32217" s="4" t="s">
        <v>925</v>
      </c>
    </row>
    <row r="32218" spans="2:5" x14ac:dyDescent="0.2">
      <c r="B32218" s="4" t="s">
        <v>932</v>
      </c>
      <c r="C32218" s="4" t="s">
        <v>0</v>
      </c>
      <c r="D32218" s="4" t="s">
        <v>0</v>
      </c>
      <c r="E32218" s="4" t="s">
        <v>925</v>
      </c>
    </row>
    <row r="32219" spans="2:5" x14ac:dyDescent="0.2">
      <c r="B32219" s="4" t="s">
        <v>929</v>
      </c>
      <c r="C32219" s="4" t="s">
        <v>933</v>
      </c>
      <c r="D32219" s="4" t="s">
        <v>0</v>
      </c>
      <c r="E32219" s="4" t="s">
        <v>934</v>
      </c>
    </row>
    <row r="32220" spans="2:5" x14ac:dyDescent="0.2">
      <c r="B32220" s="4" t="s">
        <v>930</v>
      </c>
      <c r="C32220" s="4" t="s">
        <v>0</v>
      </c>
      <c r="D32220" s="4" t="s">
        <v>0</v>
      </c>
      <c r="E32220" s="4" t="s">
        <v>925</v>
      </c>
    </row>
    <row r="32221" spans="2:5" x14ac:dyDescent="0.2">
      <c r="B32221" s="4" t="s">
        <v>932</v>
      </c>
      <c r="C32221" s="4" t="s">
        <v>0</v>
      </c>
      <c r="D32221" s="4" t="s">
        <v>0</v>
      </c>
      <c r="E32221" s="4" t="s">
        <v>925</v>
      </c>
    </row>
    <row r="32222" spans="2:5" x14ac:dyDescent="0.2">
      <c r="B32222" s="4" t="s">
        <v>929</v>
      </c>
      <c r="C32222" s="4" t="s">
        <v>933</v>
      </c>
      <c r="D32222" s="4" t="s">
        <v>0</v>
      </c>
      <c r="E32222" s="4" t="s">
        <v>934</v>
      </c>
    </row>
    <row r="32223" spans="2:5" x14ac:dyDescent="0.2">
      <c r="B32223" s="4" t="s">
        <v>930</v>
      </c>
      <c r="C32223" s="4" t="s">
        <v>0</v>
      </c>
      <c r="D32223" s="4" t="s">
        <v>0</v>
      </c>
      <c r="E32223" s="4" t="s">
        <v>925</v>
      </c>
    </row>
    <row r="32224" spans="2:5" x14ac:dyDescent="0.2">
      <c r="B32224" s="4" t="s">
        <v>932</v>
      </c>
      <c r="C32224" s="4" t="s">
        <v>0</v>
      </c>
      <c r="D32224" s="4" t="s">
        <v>0</v>
      </c>
      <c r="E32224" s="4" t="s">
        <v>925</v>
      </c>
    </row>
    <row r="32225" spans="2:5" x14ac:dyDescent="0.2">
      <c r="B32225" s="4" t="s">
        <v>929</v>
      </c>
      <c r="C32225" s="4" t="s">
        <v>933</v>
      </c>
      <c r="D32225" s="4" t="s">
        <v>0</v>
      </c>
      <c r="E32225" s="4" t="s">
        <v>934</v>
      </c>
    </row>
    <row r="32226" spans="2:5" x14ac:dyDescent="0.2">
      <c r="B32226" s="4" t="s">
        <v>13</v>
      </c>
      <c r="C32226" s="4" t="s">
        <v>922</v>
      </c>
      <c r="D32226" s="4" t="s">
        <v>0</v>
      </c>
      <c r="E32226" s="4" t="s">
        <v>923</v>
      </c>
    </row>
    <row r="32227" spans="2:5" x14ac:dyDescent="0.2">
      <c r="B32227" s="4" t="s">
        <v>929</v>
      </c>
      <c r="C32227" s="4" t="s">
        <v>0</v>
      </c>
      <c r="D32227" s="4" t="s">
        <v>0</v>
      </c>
      <c r="E32227" s="4" t="s">
        <v>925</v>
      </c>
    </row>
    <row r="32228" spans="2:5" x14ac:dyDescent="0.2">
      <c r="B32228" s="4" t="s">
        <v>930</v>
      </c>
      <c r="C32228" s="4" t="s">
        <v>0</v>
      </c>
      <c r="D32228" s="4" t="s">
        <v>0</v>
      </c>
      <c r="E32228" s="4" t="s">
        <v>925</v>
      </c>
    </row>
    <row r="32229" spans="2:5" x14ac:dyDescent="0.2">
      <c r="B32229" s="4" t="s">
        <v>932</v>
      </c>
      <c r="C32229" s="4" t="s">
        <v>0</v>
      </c>
      <c r="D32229" s="4" t="s">
        <v>0</v>
      </c>
      <c r="E32229" s="4" t="s">
        <v>925</v>
      </c>
    </row>
    <row r="32230" spans="2:5" x14ac:dyDescent="0.2">
      <c r="B32230" s="4" t="s">
        <v>929</v>
      </c>
      <c r="C32230" s="4" t="s">
        <v>933</v>
      </c>
      <c r="D32230" s="4" t="s">
        <v>0</v>
      </c>
      <c r="E32230" s="4" t="s">
        <v>934</v>
      </c>
    </row>
    <row r="32231" spans="2:5" x14ac:dyDescent="0.2">
      <c r="B32231" s="4" t="s">
        <v>13</v>
      </c>
      <c r="C32231" s="4" t="s">
        <v>922</v>
      </c>
      <c r="D32231" s="4" t="s">
        <v>0</v>
      </c>
      <c r="E32231" s="4" t="s">
        <v>923</v>
      </c>
    </row>
    <row r="32232" spans="2:5" x14ac:dyDescent="0.2">
      <c r="B32232" s="4" t="s">
        <v>929</v>
      </c>
      <c r="C32232" s="4" t="s">
        <v>0</v>
      </c>
      <c r="D32232" s="4" t="s">
        <v>0</v>
      </c>
      <c r="E32232" s="4" t="s">
        <v>925</v>
      </c>
    </row>
    <row r="32233" spans="2:5" x14ac:dyDescent="0.2">
      <c r="B32233" s="4" t="s">
        <v>930</v>
      </c>
      <c r="C32233" s="4" t="s">
        <v>0</v>
      </c>
      <c r="D32233" s="4" t="s">
        <v>0</v>
      </c>
      <c r="E32233" s="4" t="s">
        <v>925</v>
      </c>
    </row>
    <row r="32234" spans="2:5" x14ac:dyDescent="0.2">
      <c r="B32234" s="4" t="s">
        <v>932</v>
      </c>
      <c r="C32234" s="4" t="s">
        <v>0</v>
      </c>
      <c r="D32234" s="4" t="s">
        <v>0</v>
      </c>
      <c r="E32234" s="4" t="s">
        <v>925</v>
      </c>
    </row>
    <row r="32235" spans="2:5" x14ac:dyDescent="0.2">
      <c r="B32235" s="4" t="s">
        <v>929</v>
      </c>
      <c r="C32235" s="4" t="s">
        <v>0</v>
      </c>
      <c r="D32235" s="4" t="s">
        <v>0</v>
      </c>
      <c r="E32235" s="4" t="s">
        <v>925</v>
      </c>
    </row>
    <row r="32236" spans="2:5" x14ac:dyDescent="0.2">
      <c r="B32236" s="4" t="s">
        <v>930</v>
      </c>
      <c r="C32236" s="4" t="s">
        <v>0</v>
      </c>
      <c r="D32236" s="4" t="s">
        <v>0</v>
      </c>
      <c r="E32236" s="4" t="s">
        <v>925</v>
      </c>
    </row>
    <row r="32237" spans="2:5" x14ac:dyDescent="0.2">
      <c r="B32237" s="4" t="s">
        <v>932</v>
      </c>
      <c r="C32237" s="4" t="s">
        <v>0</v>
      </c>
      <c r="D32237" s="4" t="s">
        <v>0</v>
      </c>
      <c r="E32237" s="4" t="s">
        <v>925</v>
      </c>
    </row>
    <row r="32238" spans="2:5" x14ac:dyDescent="0.2">
      <c r="B32238" s="4" t="s">
        <v>929</v>
      </c>
      <c r="C32238" s="4" t="s">
        <v>933</v>
      </c>
      <c r="D32238" s="4" t="s">
        <v>0</v>
      </c>
      <c r="E32238" s="4" t="s">
        <v>934</v>
      </c>
    </row>
    <row r="32239" spans="2:5" x14ac:dyDescent="0.2">
      <c r="B32239" s="4" t="s">
        <v>930</v>
      </c>
      <c r="C32239" s="4" t="s">
        <v>0</v>
      </c>
      <c r="D32239" s="4" t="s">
        <v>0</v>
      </c>
      <c r="E32239" s="4" t="s">
        <v>925</v>
      </c>
    </row>
    <row r="32240" spans="2:5" x14ac:dyDescent="0.2">
      <c r="B32240" s="4" t="s">
        <v>932</v>
      </c>
      <c r="C32240" s="4" t="s">
        <v>0</v>
      </c>
      <c r="D32240" s="4" t="s">
        <v>0</v>
      </c>
      <c r="E32240" s="4" t="s">
        <v>925</v>
      </c>
    </row>
    <row r="32241" spans="2:5" x14ac:dyDescent="0.2">
      <c r="B32241" s="4" t="s">
        <v>929</v>
      </c>
      <c r="C32241" s="4" t="s">
        <v>933</v>
      </c>
      <c r="D32241" s="4" t="s">
        <v>0</v>
      </c>
      <c r="E32241" s="4" t="s">
        <v>934</v>
      </c>
    </row>
    <row r="32242" spans="2:5" x14ac:dyDescent="0.2">
      <c r="B32242" s="4" t="s">
        <v>930</v>
      </c>
      <c r="C32242" s="4" t="s">
        <v>935</v>
      </c>
      <c r="D32242" s="4" t="s">
        <v>0</v>
      </c>
      <c r="E32242" s="4" t="s">
        <v>923</v>
      </c>
    </row>
    <row r="32243" spans="2:5" x14ac:dyDescent="0.2">
      <c r="B32243" s="4" t="s">
        <v>932</v>
      </c>
      <c r="C32243" s="4" t="s">
        <v>0</v>
      </c>
      <c r="D32243" s="4" t="s">
        <v>0</v>
      </c>
      <c r="E32243" s="4" t="s">
        <v>925</v>
      </c>
    </row>
    <row r="32244" spans="2:5" x14ac:dyDescent="0.2">
      <c r="B32244" s="4" t="s">
        <v>929</v>
      </c>
      <c r="C32244" s="4" t="s">
        <v>0</v>
      </c>
      <c r="D32244" s="4" t="s">
        <v>0</v>
      </c>
      <c r="E32244" s="4" t="s">
        <v>925</v>
      </c>
    </row>
    <row r="32245" spans="2:5" x14ac:dyDescent="0.2">
      <c r="B32245" s="4" t="s">
        <v>930</v>
      </c>
      <c r="C32245" s="4" t="s">
        <v>0</v>
      </c>
      <c r="D32245" s="4" t="s">
        <v>0</v>
      </c>
      <c r="E32245" s="4" t="s">
        <v>925</v>
      </c>
    </row>
    <row r="32246" spans="2:5" x14ac:dyDescent="0.2">
      <c r="B32246" s="4" t="s">
        <v>932</v>
      </c>
      <c r="C32246" s="4" t="s">
        <v>0</v>
      </c>
      <c r="D32246" s="4" t="s">
        <v>0</v>
      </c>
      <c r="E32246" s="4" t="s">
        <v>925</v>
      </c>
    </row>
    <row r="32247" spans="2:5" x14ac:dyDescent="0.2">
      <c r="B32247" s="4" t="s">
        <v>929</v>
      </c>
      <c r="C32247" s="4" t="s">
        <v>933</v>
      </c>
      <c r="D32247" s="4" t="s">
        <v>0</v>
      </c>
      <c r="E32247" s="4" t="s">
        <v>934</v>
      </c>
    </row>
    <row r="32248" spans="2:5" x14ac:dyDescent="0.2">
      <c r="B32248" s="4" t="s">
        <v>932</v>
      </c>
      <c r="C32248" s="4" t="s">
        <v>935</v>
      </c>
      <c r="D32248" s="4" t="s">
        <v>0</v>
      </c>
      <c r="E32248" s="4" t="s">
        <v>923</v>
      </c>
    </row>
    <row r="32249" spans="2:5" x14ac:dyDescent="0.2">
      <c r="B32249" s="4" t="s">
        <v>929</v>
      </c>
      <c r="C32249" s="4" t="s">
        <v>935</v>
      </c>
      <c r="D32249" s="4" t="s">
        <v>0</v>
      </c>
      <c r="E32249" s="4" t="s">
        <v>923</v>
      </c>
    </row>
    <row r="32250" spans="2:5" x14ac:dyDescent="0.2">
      <c r="B32250" s="4" t="s">
        <v>930</v>
      </c>
      <c r="C32250" s="4" t="s">
        <v>0</v>
      </c>
      <c r="D32250" s="4" t="s">
        <v>0</v>
      </c>
      <c r="E32250" s="4" t="s">
        <v>925</v>
      </c>
    </row>
    <row r="32251" spans="2:5" x14ac:dyDescent="0.2">
      <c r="B32251" s="4" t="s">
        <v>932</v>
      </c>
      <c r="C32251" s="4" t="s">
        <v>935</v>
      </c>
      <c r="D32251" s="4" t="s">
        <v>0</v>
      </c>
      <c r="E32251" s="4" t="s">
        <v>923</v>
      </c>
    </row>
    <row r="32252" spans="2:5" x14ac:dyDescent="0.2">
      <c r="B32252" s="4" t="s">
        <v>929</v>
      </c>
      <c r="C32252" s="4" t="s">
        <v>935</v>
      </c>
      <c r="D32252" s="4" t="s">
        <v>0</v>
      </c>
      <c r="E32252" s="4" t="s">
        <v>923</v>
      </c>
    </row>
    <row r="32253" spans="2:5" x14ac:dyDescent="0.2">
      <c r="B32253" s="4" t="s">
        <v>930</v>
      </c>
      <c r="C32253" s="4" t="s">
        <v>0</v>
      </c>
      <c r="D32253" s="4" t="s">
        <v>0</v>
      </c>
      <c r="E32253" s="4" t="s">
        <v>925</v>
      </c>
    </row>
    <row r="32254" spans="2:5" x14ac:dyDescent="0.2">
      <c r="B32254" s="4" t="s">
        <v>13</v>
      </c>
      <c r="C32254" s="4" t="s">
        <v>922</v>
      </c>
      <c r="D32254" s="4" t="s">
        <v>0</v>
      </c>
      <c r="E32254" s="4" t="s">
        <v>923</v>
      </c>
    </row>
    <row r="32255" spans="2:5" x14ac:dyDescent="0.2">
      <c r="B32255" s="4" t="s">
        <v>930</v>
      </c>
      <c r="C32255" s="4" t="s">
        <v>0</v>
      </c>
      <c r="D32255" s="4" t="s">
        <v>0</v>
      </c>
      <c r="E32255" s="4" t="s">
        <v>925</v>
      </c>
    </row>
    <row r="32256" spans="2:5" x14ac:dyDescent="0.2">
      <c r="B32256" s="4" t="s">
        <v>932</v>
      </c>
      <c r="C32256" s="4" t="s">
        <v>937</v>
      </c>
      <c r="D32256" s="4" t="s">
        <v>0</v>
      </c>
      <c r="E32256" s="4" t="s">
        <v>923</v>
      </c>
    </row>
    <row r="32257" spans="2:5" x14ac:dyDescent="0.2">
      <c r="B32257" s="4" t="s">
        <v>929</v>
      </c>
      <c r="C32257" s="4" t="s">
        <v>0</v>
      </c>
      <c r="D32257" s="4" t="s">
        <v>0</v>
      </c>
      <c r="E32257" s="4" t="s">
        <v>925</v>
      </c>
    </row>
    <row r="32258" spans="2:5" x14ac:dyDescent="0.2">
      <c r="B32258" s="4" t="s">
        <v>930</v>
      </c>
      <c r="C32258" s="4" t="s">
        <v>0</v>
      </c>
      <c r="D32258" s="4" t="s">
        <v>0</v>
      </c>
      <c r="E32258" s="4" t="s">
        <v>925</v>
      </c>
    </row>
    <row r="32259" spans="2:5" x14ac:dyDescent="0.2">
      <c r="B32259" s="4" t="s">
        <v>932</v>
      </c>
      <c r="C32259" s="4" t="s">
        <v>0</v>
      </c>
      <c r="D32259" s="4" t="s">
        <v>0</v>
      </c>
      <c r="E32259" s="4" t="s">
        <v>925</v>
      </c>
    </row>
    <row r="32260" spans="2:5" x14ac:dyDescent="0.2">
      <c r="B32260" s="4" t="s">
        <v>929</v>
      </c>
      <c r="C32260" s="4" t="s">
        <v>933</v>
      </c>
      <c r="D32260" s="4" t="s">
        <v>0</v>
      </c>
      <c r="E32260" s="4" t="s">
        <v>934</v>
      </c>
    </row>
    <row r="32261" spans="2:5" x14ac:dyDescent="0.2">
      <c r="B32261" s="4" t="s">
        <v>13</v>
      </c>
      <c r="C32261" s="4" t="s">
        <v>922</v>
      </c>
      <c r="D32261" s="4" t="s">
        <v>0</v>
      </c>
      <c r="E32261" s="4" t="s">
        <v>923</v>
      </c>
    </row>
    <row r="32262" spans="2:5" x14ac:dyDescent="0.2">
      <c r="B32262" s="4" t="s">
        <v>930</v>
      </c>
      <c r="C32262" s="4" t="s">
        <v>0</v>
      </c>
      <c r="D32262" s="4" t="s">
        <v>0</v>
      </c>
      <c r="E32262" s="4" t="s">
        <v>925</v>
      </c>
    </row>
    <row r="32263" spans="2:5" x14ac:dyDescent="0.2">
      <c r="B32263" s="4" t="s">
        <v>932</v>
      </c>
      <c r="C32263" s="4" t="s">
        <v>0</v>
      </c>
      <c r="D32263" s="4" t="s">
        <v>0</v>
      </c>
      <c r="E32263" s="4" t="s">
        <v>925</v>
      </c>
    </row>
    <row r="32264" spans="2:5" x14ac:dyDescent="0.2">
      <c r="B32264" s="4" t="s">
        <v>929</v>
      </c>
      <c r="C32264" s="4" t="s">
        <v>933</v>
      </c>
      <c r="D32264" s="4" t="s">
        <v>0</v>
      </c>
      <c r="E32264" s="4" t="s">
        <v>934</v>
      </c>
    </row>
    <row r="32265" spans="2:5" x14ac:dyDescent="0.2">
      <c r="B32265" s="4" t="s">
        <v>929</v>
      </c>
      <c r="C32265" s="4" t="s">
        <v>0</v>
      </c>
      <c r="D32265" s="4" t="s">
        <v>0</v>
      </c>
      <c r="E32265" s="4" t="s">
        <v>925</v>
      </c>
    </row>
    <row r="32266" spans="2:5" x14ac:dyDescent="0.2">
      <c r="B32266" s="4" t="s">
        <v>938</v>
      </c>
      <c r="C32266" s="4" t="s">
        <v>0</v>
      </c>
      <c r="D32266" s="4" t="s">
        <v>0</v>
      </c>
      <c r="E32266" s="4" t="s">
        <v>925</v>
      </c>
    </row>
    <row r="32267" spans="2:5" x14ac:dyDescent="0.2">
      <c r="B32267" s="4" t="s">
        <v>939</v>
      </c>
      <c r="C32267" s="4" t="s">
        <v>0</v>
      </c>
      <c r="D32267" s="4" t="s">
        <v>0</v>
      </c>
      <c r="E32267" s="4" t="s">
        <v>925</v>
      </c>
    </row>
    <row r="32268" spans="2:5" x14ac:dyDescent="0.2">
      <c r="B32268" s="4" t="s">
        <v>13</v>
      </c>
      <c r="C32268" s="4" t="s">
        <v>922</v>
      </c>
      <c r="D32268" s="4" t="s">
        <v>0</v>
      </c>
      <c r="E32268" s="4" t="s">
        <v>923</v>
      </c>
    </row>
    <row r="32269" spans="2:5" x14ac:dyDescent="0.2">
      <c r="B32269" s="4" t="s">
        <v>929</v>
      </c>
      <c r="C32269" s="4" t="s">
        <v>0</v>
      </c>
      <c r="D32269" s="4" t="s">
        <v>0</v>
      </c>
      <c r="E32269" s="4" t="s">
        <v>925</v>
      </c>
    </row>
    <row r="32270" spans="2:5" x14ac:dyDescent="0.2">
      <c r="B32270" s="4" t="s">
        <v>13</v>
      </c>
      <c r="C32270" s="4" t="s">
        <v>940</v>
      </c>
      <c r="D32270" s="4" t="s">
        <v>0</v>
      </c>
      <c r="E32270" s="4" t="s">
        <v>923</v>
      </c>
    </row>
    <row r="32271" spans="2:5" x14ac:dyDescent="0.2">
      <c r="B32271" s="4" t="s">
        <v>929</v>
      </c>
      <c r="C32271" s="4" t="s">
        <v>0</v>
      </c>
      <c r="D32271" s="4" t="s">
        <v>0</v>
      </c>
      <c r="E32271" s="4" t="s">
        <v>925</v>
      </c>
    </row>
    <row r="32272" spans="2:5" x14ac:dyDescent="0.2">
      <c r="B32272" s="4" t="s">
        <v>13</v>
      </c>
      <c r="C32272" s="4" t="s">
        <v>922</v>
      </c>
      <c r="D32272" s="4" t="s">
        <v>0</v>
      </c>
      <c r="E32272" s="4" t="s">
        <v>923</v>
      </c>
    </row>
    <row r="32273" spans="2:5" x14ac:dyDescent="0.2">
      <c r="B32273" s="4" t="s">
        <v>929</v>
      </c>
      <c r="C32273" s="4" t="s">
        <v>0</v>
      </c>
      <c r="D32273" s="4" t="s">
        <v>0</v>
      </c>
      <c r="E32273" s="4" t="s">
        <v>925</v>
      </c>
    </row>
    <row r="32274" spans="2:5" x14ac:dyDescent="0.2">
      <c r="B32274" s="4" t="s">
        <v>13</v>
      </c>
      <c r="C32274" s="4" t="s">
        <v>922</v>
      </c>
      <c r="D32274" s="4" t="s">
        <v>0</v>
      </c>
      <c r="E32274" s="4" t="s">
        <v>923</v>
      </c>
    </row>
    <row r="32275" spans="2:5" x14ac:dyDescent="0.2">
      <c r="B32275" s="4" t="s">
        <v>929</v>
      </c>
      <c r="C32275" s="4" t="s">
        <v>0</v>
      </c>
      <c r="D32275" s="4" t="s">
        <v>0</v>
      </c>
      <c r="E32275" s="4" t="s">
        <v>925</v>
      </c>
    </row>
    <row r="32276" spans="2:5" x14ac:dyDescent="0.2">
      <c r="B32276" s="4" t="s">
        <v>13</v>
      </c>
      <c r="C32276" s="4" t="s">
        <v>922</v>
      </c>
      <c r="D32276" s="4" t="s">
        <v>0</v>
      </c>
      <c r="E32276" s="4" t="s">
        <v>923</v>
      </c>
    </row>
    <row r="32277" spans="2:5" x14ac:dyDescent="0.2">
      <c r="B32277" s="4" t="s">
        <v>929</v>
      </c>
      <c r="C32277" s="4" t="s">
        <v>0</v>
      </c>
      <c r="D32277" s="4" t="s">
        <v>0</v>
      </c>
      <c r="E32277" s="4" t="s">
        <v>925</v>
      </c>
    </row>
    <row r="32278" spans="2:5" x14ac:dyDescent="0.2">
      <c r="B32278" s="4" t="s">
        <v>13</v>
      </c>
      <c r="C32278" s="4" t="s">
        <v>922</v>
      </c>
      <c r="D32278" s="4" t="s">
        <v>0</v>
      </c>
      <c r="E32278" s="4" t="s">
        <v>923</v>
      </c>
    </row>
    <row r="32279" spans="2:5" x14ac:dyDescent="0.2">
      <c r="B32279" s="4" t="s">
        <v>929</v>
      </c>
      <c r="C32279" s="4" t="s">
        <v>0</v>
      </c>
      <c r="D32279" s="4" t="s">
        <v>0</v>
      </c>
      <c r="E32279" s="4" t="s">
        <v>925</v>
      </c>
    </row>
    <row r="32280" spans="2:5" x14ac:dyDescent="0.2">
      <c r="B32280" s="4" t="s">
        <v>13</v>
      </c>
      <c r="C32280" s="4" t="s">
        <v>922</v>
      </c>
      <c r="D32280" s="4" t="s">
        <v>0</v>
      </c>
      <c r="E32280" s="4" t="s">
        <v>923</v>
      </c>
    </row>
    <row r="32281" spans="2:5" x14ac:dyDescent="0.2">
      <c r="B32281" s="4" t="s">
        <v>929</v>
      </c>
      <c r="C32281" s="4" t="s">
        <v>0</v>
      </c>
      <c r="D32281" s="4" t="s">
        <v>0</v>
      </c>
      <c r="E32281" s="4" t="s">
        <v>925</v>
      </c>
    </row>
    <row r="32282" spans="2:5" x14ac:dyDescent="0.2">
      <c r="B32282" s="4" t="s">
        <v>930</v>
      </c>
      <c r="C32282" s="4" t="s">
        <v>0</v>
      </c>
      <c r="D32282" s="4" t="s">
        <v>0</v>
      </c>
      <c r="E32282" s="4" t="s">
        <v>925</v>
      </c>
    </row>
    <row r="32283" spans="2:5" x14ac:dyDescent="0.2">
      <c r="B32283" s="4" t="s">
        <v>932</v>
      </c>
      <c r="C32283" s="4" t="s">
        <v>0</v>
      </c>
      <c r="D32283" s="4" t="s">
        <v>0</v>
      </c>
      <c r="E32283" s="4" t="s">
        <v>925</v>
      </c>
    </row>
    <row r="32284" spans="2:5" x14ac:dyDescent="0.2">
      <c r="B32284" s="4" t="s">
        <v>929</v>
      </c>
      <c r="C32284" s="4" t="s">
        <v>933</v>
      </c>
      <c r="D32284" s="4" t="s">
        <v>0</v>
      </c>
      <c r="E32284" s="4" t="s">
        <v>934</v>
      </c>
    </row>
    <row r="32285" spans="2:5" x14ac:dyDescent="0.2">
      <c r="B32285" s="4" t="s">
        <v>941</v>
      </c>
      <c r="C32285" s="4" t="s">
        <v>0</v>
      </c>
      <c r="D32285" s="4" t="s">
        <v>0</v>
      </c>
      <c r="E32285" s="4" t="s">
        <v>925</v>
      </c>
    </row>
    <row r="32286" spans="2:5" x14ac:dyDescent="0.2">
      <c r="B32286" s="4" t="s">
        <v>942</v>
      </c>
      <c r="C32286" s="4" t="s">
        <v>0</v>
      </c>
      <c r="D32286" s="4" t="s">
        <v>0</v>
      </c>
      <c r="E32286" s="4" t="s">
        <v>925</v>
      </c>
    </row>
    <row r="32287" spans="2:5" x14ac:dyDescent="0.2">
      <c r="B32287" s="4" t="s">
        <v>943</v>
      </c>
      <c r="C32287" s="4" t="s">
        <v>0</v>
      </c>
      <c r="D32287" s="4" t="s">
        <v>0</v>
      </c>
      <c r="E32287" s="4" t="s">
        <v>925</v>
      </c>
    </row>
    <row r="32288" spans="2:5" x14ac:dyDescent="0.2">
      <c r="B32288" s="4" t="s">
        <v>929</v>
      </c>
      <c r="C32288" s="4" t="s">
        <v>935</v>
      </c>
      <c r="D32288" s="4" t="s">
        <v>0</v>
      </c>
      <c r="E32288" s="4" t="s">
        <v>934</v>
      </c>
    </row>
    <row r="32289" spans="2:5" x14ac:dyDescent="0.2">
      <c r="B32289" s="4" t="s">
        <v>932</v>
      </c>
      <c r="C32289" s="4" t="s">
        <v>933</v>
      </c>
      <c r="D32289" s="4" t="s">
        <v>0</v>
      </c>
      <c r="E32289" s="4" t="s">
        <v>923</v>
      </c>
    </row>
    <row r="32290" spans="2:5" x14ac:dyDescent="0.2">
      <c r="B32290" s="4" t="s">
        <v>930</v>
      </c>
      <c r="C32290" s="4" t="s">
        <v>0</v>
      </c>
      <c r="D32290" s="4" t="s">
        <v>0</v>
      </c>
      <c r="E32290" s="4" t="s">
        <v>925</v>
      </c>
    </row>
    <row r="32291" spans="2:5" x14ac:dyDescent="0.2">
      <c r="B32291" s="4" t="s">
        <v>929</v>
      </c>
      <c r="C32291" s="4" t="s">
        <v>933</v>
      </c>
      <c r="D32291" s="4" t="s">
        <v>0</v>
      </c>
      <c r="E32291" s="4" t="s">
        <v>934</v>
      </c>
    </row>
    <row r="32292" spans="2:5" x14ac:dyDescent="0.2">
      <c r="B32292" s="4" t="s">
        <v>358</v>
      </c>
      <c r="C32292" s="4" t="s">
        <v>0</v>
      </c>
      <c r="D32292" s="4" t="s">
        <v>944</v>
      </c>
      <c r="E32292" s="4" t="s">
        <v>925</v>
      </c>
    </row>
    <row r="32293" spans="2:5" x14ac:dyDescent="0.2">
      <c r="B32293" s="4" t="s">
        <v>929</v>
      </c>
      <c r="C32293" s="4" t="s">
        <v>935</v>
      </c>
      <c r="D32293" s="4" t="s">
        <v>0</v>
      </c>
      <c r="E32293" s="4" t="s">
        <v>934</v>
      </c>
    </row>
    <row r="32294" spans="2:5" x14ac:dyDescent="0.2">
      <c r="B32294" s="4" t="s">
        <v>13</v>
      </c>
      <c r="C32294" s="4" t="s">
        <v>922</v>
      </c>
      <c r="D32294" s="4" t="s">
        <v>0</v>
      </c>
      <c r="E32294" s="4" t="s">
        <v>923</v>
      </c>
    </row>
    <row r="32295" spans="2:5" x14ac:dyDescent="0.2">
      <c r="B32295" s="4" t="s">
        <v>929</v>
      </c>
      <c r="C32295" s="4" t="s">
        <v>0</v>
      </c>
      <c r="D32295" s="4" t="s">
        <v>0</v>
      </c>
      <c r="E32295" s="4" t="s">
        <v>925</v>
      </c>
    </row>
    <row r="32296" spans="2:5" x14ac:dyDescent="0.2">
      <c r="B32296" s="4" t="s">
        <v>13</v>
      </c>
      <c r="C32296" s="4" t="s">
        <v>922</v>
      </c>
      <c r="D32296" s="4" t="s">
        <v>0</v>
      </c>
      <c r="E32296" s="4" t="s">
        <v>923</v>
      </c>
    </row>
    <row r="32297" spans="2:5" x14ac:dyDescent="0.2">
      <c r="B32297" s="4" t="s">
        <v>929</v>
      </c>
      <c r="C32297" s="4" t="s">
        <v>0</v>
      </c>
      <c r="D32297" s="4" t="s">
        <v>0</v>
      </c>
      <c r="E32297" s="4" t="s">
        <v>925</v>
      </c>
    </row>
    <row r="32298" spans="2:5" x14ac:dyDescent="0.2">
      <c r="B32298" s="4" t="s">
        <v>932</v>
      </c>
      <c r="C32298" s="4" t="s">
        <v>933</v>
      </c>
      <c r="D32298" s="4" t="s">
        <v>0</v>
      </c>
      <c r="E32298" s="4" t="s">
        <v>923</v>
      </c>
    </row>
    <row r="32299" spans="2:5" x14ac:dyDescent="0.2">
      <c r="B32299" s="4" t="s">
        <v>930</v>
      </c>
      <c r="C32299" s="4" t="s">
        <v>0</v>
      </c>
      <c r="D32299" s="4" t="s">
        <v>0</v>
      </c>
      <c r="E32299" s="4" t="s">
        <v>925</v>
      </c>
    </row>
    <row r="32300" spans="2:5" x14ac:dyDescent="0.2">
      <c r="B32300" s="4" t="s">
        <v>929</v>
      </c>
      <c r="C32300" s="4" t="s">
        <v>933</v>
      </c>
      <c r="D32300" s="4" t="s">
        <v>0</v>
      </c>
      <c r="E32300" s="4" t="s">
        <v>934</v>
      </c>
    </row>
    <row r="32301" spans="2:5" x14ac:dyDescent="0.2">
      <c r="B32301" s="4" t="s">
        <v>932</v>
      </c>
      <c r="C32301" s="4" t="s">
        <v>933</v>
      </c>
      <c r="D32301" s="4" t="s">
        <v>0</v>
      </c>
      <c r="E32301" s="4" t="s">
        <v>923</v>
      </c>
    </row>
    <row r="32302" spans="2:5" x14ac:dyDescent="0.2">
      <c r="B32302" s="4" t="s">
        <v>930</v>
      </c>
      <c r="C32302" s="4" t="s">
        <v>0</v>
      </c>
      <c r="D32302" s="4" t="s">
        <v>0</v>
      </c>
      <c r="E32302" s="4" t="s">
        <v>925</v>
      </c>
    </row>
    <row r="32303" spans="2:5" x14ac:dyDescent="0.2">
      <c r="B32303" s="4" t="s">
        <v>929</v>
      </c>
      <c r="C32303" s="4" t="s">
        <v>933</v>
      </c>
      <c r="D32303" s="4" t="s">
        <v>0</v>
      </c>
      <c r="E32303" s="4" t="s">
        <v>934</v>
      </c>
    </row>
    <row r="32304" spans="2:5" x14ac:dyDescent="0.2">
      <c r="B32304" s="4" t="s">
        <v>932</v>
      </c>
      <c r="C32304" s="4" t="s">
        <v>933</v>
      </c>
      <c r="D32304" s="4" t="s">
        <v>0</v>
      </c>
      <c r="E32304" s="4" t="s">
        <v>923</v>
      </c>
    </row>
    <row r="32305" spans="2:5" x14ac:dyDescent="0.2">
      <c r="B32305" s="4" t="s">
        <v>930</v>
      </c>
      <c r="C32305" s="4" t="s">
        <v>0</v>
      </c>
      <c r="D32305" s="4" t="s">
        <v>0</v>
      </c>
      <c r="E32305" s="4" t="s">
        <v>925</v>
      </c>
    </row>
    <row r="32306" spans="2:5" x14ac:dyDescent="0.2">
      <c r="B32306" s="4" t="s">
        <v>929</v>
      </c>
      <c r="C32306" s="4" t="s">
        <v>933</v>
      </c>
      <c r="D32306" s="4" t="s">
        <v>0</v>
      </c>
      <c r="E32306" s="4" t="s">
        <v>934</v>
      </c>
    </row>
    <row r="32307" spans="2:5" x14ac:dyDescent="0.2">
      <c r="B32307" s="4" t="s">
        <v>932</v>
      </c>
      <c r="C32307" s="4" t="s">
        <v>933</v>
      </c>
      <c r="D32307" s="4" t="s">
        <v>0</v>
      </c>
      <c r="E32307" s="4" t="s">
        <v>923</v>
      </c>
    </row>
    <row r="32308" spans="2:5" x14ac:dyDescent="0.2">
      <c r="B32308" s="4" t="s">
        <v>930</v>
      </c>
      <c r="C32308" s="4" t="s">
        <v>0</v>
      </c>
      <c r="D32308" s="4" t="s">
        <v>0</v>
      </c>
      <c r="E32308" s="4" t="s">
        <v>925</v>
      </c>
    </row>
    <row r="32309" spans="2:5" x14ac:dyDescent="0.2">
      <c r="B32309" s="4" t="s">
        <v>929</v>
      </c>
      <c r="C32309" s="4" t="s">
        <v>933</v>
      </c>
      <c r="D32309" s="4" t="s">
        <v>0</v>
      </c>
      <c r="E32309" s="4" t="s">
        <v>934</v>
      </c>
    </row>
    <row r="32310" spans="2:5" x14ac:dyDescent="0.2">
      <c r="B32310" s="4" t="s">
        <v>932</v>
      </c>
      <c r="C32310" s="4" t="s">
        <v>933</v>
      </c>
      <c r="D32310" s="4" t="s">
        <v>0</v>
      </c>
      <c r="E32310" s="4" t="s">
        <v>923</v>
      </c>
    </row>
    <row r="32311" spans="2:5" x14ac:dyDescent="0.2">
      <c r="B32311" s="4" t="s">
        <v>930</v>
      </c>
      <c r="C32311" s="4" t="s">
        <v>0</v>
      </c>
      <c r="D32311" s="4" t="s">
        <v>0</v>
      </c>
      <c r="E32311" s="4" t="s">
        <v>925</v>
      </c>
    </row>
    <row r="32312" spans="2:5" x14ac:dyDescent="0.2">
      <c r="B32312" s="4" t="s">
        <v>929</v>
      </c>
      <c r="C32312" s="4" t="s">
        <v>933</v>
      </c>
      <c r="D32312" s="4" t="s">
        <v>0</v>
      </c>
      <c r="E32312" s="4" t="s">
        <v>934</v>
      </c>
    </row>
    <row r="32313" spans="2:5" x14ac:dyDescent="0.2">
      <c r="B32313" s="4" t="s">
        <v>932</v>
      </c>
      <c r="C32313" s="4" t="s">
        <v>933</v>
      </c>
      <c r="D32313" s="4" t="s">
        <v>0</v>
      </c>
      <c r="E32313" s="4" t="s">
        <v>923</v>
      </c>
    </row>
    <row r="32314" spans="2:5" x14ac:dyDescent="0.2">
      <c r="B32314" s="4" t="s">
        <v>930</v>
      </c>
      <c r="C32314" s="4" t="s">
        <v>0</v>
      </c>
      <c r="D32314" s="4" t="s">
        <v>0</v>
      </c>
      <c r="E32314" s="4" t="s">
        <v>925</v>
      </c>
    </row>
    <row r="32315" spans="2:5" x14ac:dyDescent="0.2">
      <c r="B32315" s="4" t="s">
        <v>929</v>
      </c>
      <c r="C32315" s="4" t="s">
        <v>933</v>
      </c>
      <c r="D32315" s="4" t="s">
        <v>0</v>
      </c>
      <c r="E32315" s="4" t="s">
        <v>934</v>
      </c>
    </row>
    <row r="32316" spans="2:5" x14ac:dyDescent="0.2">
      <c r="B32316" s="4" t="s">
        <v>932</v>
      </c>
      <c r="C32316" s="4" t="s">
        <v>933</v>
      </c>
      <c r="D32316" s="4" t="s">
        <v>0</v>
      </c>
      <c r="E32316" s="4" t="s">
        <v>923</v>
      </c>
    </row>
    <row r="32317" spans="2:5" x14ac:dyDescent="0.2">
      <c r="B32317" s="4" t="s">
        <v>930</v>
      </c>
      <c r="C32317" s="4" t="s">
        <v>0</v>
      </c>
      <c r="D32317" s="4" t="s">
        <v>0</v>
      </c>
      <c r="E32317" s="4" t="s">
        <v>925</v>
      </c>
    </row>
    <row r="32318" spans="2:5" x14ac:dyDescent="0.2">
      <c r="B32318" s="4" t="s">
        <v>929</v>
      </c>
      <c r="C32318" s="4" t="s">
        <v>933</v>
      </c>
      <c r="D32318" s="4" t="s">
        <v>0</v>
      </c>
      <c r="E32318" s="4" t="s">
        <v>934</v>
      </c>
    </row>
    <row r="32319" spans="2:5" x14ac:dyDescent="0.2">
      <c r="B32319" s="4" t="s">
        <v>932</v>
      </c>
      <c r="C32319" s="4" t="s">
        <v>933</v>
      </c>
      <c r="D32319" s="4" t="s">
        <v>0</v>
      </c>
      <c r="E32319" s="4" t="s">
        <v>923</v>
      </c>
    </row>
    <row r="32320" spans="2:5" x14ac:dyDescent="0.2">
      <c r="B32320" s="4" t="s">
        <v>930</v>
      </c>
      <c r="C32320" s="4" t="s">
        <v>0</v>
      </c>
      <c r="D32320" s="4" t="s">
        <v>0</v>
      </c>
      <c r="E32320" s="4" t="s">
        <v>925</v>
      </c>
    </row>
    <row r="32321" spans="2:5" x14ac:dyDescent="0.2">
      <c r="B32321" s="4" t="s">
        <v>929</v>
      </c>
      <c r="C32321" s="4" t="s">
        <v>933</v>
      </c>
      <c r="D32321" s="4" t="s">
        <v>0</v>
      </c>
      <c r="E32321" s="4" t="s">
        <v>934</v>
      </c>
    </row>
    <row r="32322" spans="2:5" x14ac:dyDescent="0.2">
      <c r="B32322" s="4" t="s">
        <v>932</v>
      </c>
      <c r="C32322" s="4" t="s">
        <v>933</v>
      </c>
      <c r="D32322" s="4" t="s">
        <v>0</v>
      </c>
      <c r="E32322" s="4" t="s">
        <v>923</v>
      </c>
    </row>
    <row r="32323" spans="2:5" x14ac:dyDescent="0.2">
      <c r="B32323" s="4" t="s">
        <v>930</v>
      </c>
      <c r="C32323" s="4" t="s">
        <v>0</v>
      </c>
      <c r="D32323" s="4" t="s">
        <v>0</v>
      </c>
      <c r="E32323" s="4" t="s">
        <v>925</v>
      </c>
    </row>
    <row r="32324" spans="2:5" x14ac:dyDescent="0.2">
      <c r="B32324" s="4" t="s">
        <v>929</v>
      </c>
      <c r="C32324" s="4" t="s">
        <v>933</v>
      </c>
      <c r="D32324" s="4" t="s">
        <v>0</v>
      </c>
      <c r="E32324" s="4" t="s">
        <v>934</v>
      </c>
    </row>
    <row r="32325" spans="2:5" x14ac:dyDescent="0.2">
      <c r="B32325" s="4" t="s">
        <v>930</v>
      </c>
      <c r="C32325" s="4" t="s">
        <v>0</v>
      </c>
      <c r="D32325" s="4" t="s">
        <v>0</v>
      </c>
      <c r="E32325" s="4" t="s">
        <v>925</v>
      </c>
    </row>
    <row r="32326" spans="2:5" x14ac:dyDescent="0.2">
      <c r="B32326" s="4" t="s">
        <v>932</v>
      </c>
      <c r="C32326" s="4" t="s">
        <v>0</v>
      </c>
      <c r="D32326" s="4" t="s">
        <v>0</v>
      </c>
      <c r="E32326" s="4" t="s">
        <v>925</v>
      </c>
    </row>
    <row r="32327" spans="2:5" x14ac:dyDescent="0.2">
      <c r="B32327" s="4" t="s">
        <v>929</v>
      </c>
      <c r="C32327" s="4" t="s">
        <v>933</v>
      </c>
      <c r="D32327" s="4" t="s">
        <v>0</v>
      </c>
      <c r="E32327" s="4" t="s">
        <v>934</v>
      </c>
    </row>
    <row r="32328" spans="2:5" x14ac:dyDescent="0.2">
      <c r="B32328" s="4" t="s">
        <v>930</v>
      </c>
      <c r="C32328" s="4" t="s">
        <v>0</v>
      </c>
      <c r="D32328" s="4" t="s">
        <v>0</v>
      </c>
      <c r="E32328" s="4" t="s">
        <v>925</v>
      </c>
    </row>
    <row r="32329" spans="2:5" x14ac:dyDescent="0.2">
      <c r="B32329" s="4" t="s">
        <v>932</v>
      </c>
      <c r="C32329" s="4" t="s">
        <v>0</v>
      </c>
      <c r="D32329" s="4" t="s">
        <v>0</v>
      </c>
      <c r="E32329" s="4" t="s">
        <v>925</v>
      </c>
    </row>
    <row r="32330" spans="2:5" x14ac:dyDescent="0.2">
      <c r="B32330" s="4" t="s">
        <v>929</v>
      </c>
      <c r="C32330" s="4" t="s">
        <v>933</v>
      </c>
      <c r="D32330" s="4" t="s">
        <v>0</v>
      </c>
      <c r="E32330" s="4" t="s">
        <v>934</v>
      </c>
    </row>
    <row r="32331" spans="2:5" x14ac:dyDescent="0.2">
      <c r="B32331" s="4" t="s">
        <v>930</v>
      </c>
      <c r="C32331" s="4" t="s">
        <v>0</v>
      </c>
      <c r="D32331" s="4" t="s">
        <v>0</v>
      </c>
      <c r="E32331" s="4" t="s">
        <v>925</v>
      </c>
    </row>
    <row r="32332" spans="2:5" x14ac:dyDescent="0.2">
      <c r="B32332" s="4" t="s">
        <v>932</v>
      </c>
      <c r="C32332" s="4" t="s">
        <v>0</v>
      </c>
      <c r="D32332" s="4" t="s">
        <v>0</v>
      </c>
      <c r="E32332" s="4" t="s">
        <v>925</v>
      </c>
    </row>
    <row r="32333" spans="2:5" x14ac:dyDescent="0.2">
      <c r="B32333" s="4" t="s">
        <v>929</v>
      </c>
      <c r="C32333" s="4" t="s">
        <v>933</v>
      </c>
      <c r="D32333" s="4" t="s">
        <v>0</v>
      </c>
      <c r="E32333" s="4" t="s">
        <v>934</v>
      </c>
    </row>
    <row r="32334" spans="2:5" x14ac:dyDescent="0.2">
      <c r="B32334" s="4" t="s">
        <v>930</v>
      </c>
      <c r="C32334" s="4" t="s">
        <v>0</v>
      </c>
      <c r="D32334" s="4" t="s">
        <v>0</v>
      </c>
      <c r="E32334" s="4" t="s">
        <v>925</v>
      </c>
    </row>
    <row r="32335" spans="2:5" x14ac:dyDescent="0.2">
      <c r="B32335" s="4" t="s">
        <v>932</v>
      </c>
      <c r="C32335" s="4" t="s">
        <v>0</v>
      </c>
      <c r="D32335" s="4" t="s">
        <v>0</v>
      </c>
      <c r="E32335" s="4" t="s">
        <v>925</v>
      </c>
    </row>
    <row r="32336" spans="2:5" x14ac:dyDescent="0.2">
      <c r="B32336" s="4" t="s">
        <v>929</v>
      </c>
      <c r="C32336" s="4" t="s">
        <v>933</v>
      </c>
      <c r="D32336" s="4" t="s">
        <v>0</v>
      </c>
      <c r="E32336" s="4" t="s">
        <v>934</v>
      </c>
    </row>
    <row r="32337" spans="2:5" x14ac:dyDescent="0.2">
      <c r="B32337" s="4" t="s">
        <v>930</v>
      </c>
      <c r="C32337" s="4" t="s">
        <v>0</v>
      </c>
      <c r="D32337" s="4" t="s">
        <v>0</v>
      </c>
      <c r="E32337" s="4" t="s">
        <v>925</v>
      </c>
    </row>
    <row r="32338" spans="2:5" x14ac:dyDescent="0.2">
      <c r="B32338" s="4" t="s">
        <v>932</v>
      </c>
      <c r="C32338" s="4" t="s">
        <v>0</v>
      </c>
      <c r="D32338" s="4" t="s">
        <v>0</v>
      </c>
      <c r="E32338" s="4" t="s">
        <v>925</v>
      </c>
    </row>
    <row r="32339" spans="2:5" x14ac:dyDescent="0.2">
      <c r="B32339" s="4" t="s">
        <v>929</v>
      </c>
      <c r="C32339" s="4" t="s">
        <v>933</v>
      </c>
      <c r="D32339" s="4" t="s">
        <v>0</v>
      </c>
      <c r="E32339" s="4" t="s">
        <v>934</v>
      </c>
    </row>
    <row r="32340" spans="2:5" x14ac:dyDescent="0.2">
      <c r="B32340" s="4" t="s">
        <v>930</v>
      </c>
      <c r="C32340" s="4" t="s">
        <v>0</v>
      </c>
      <c r="D32340" s="4" t="s">
        <v>0</v>
      </c>
      <c r="E32340" s="4" t="s">
        <v>925</v>
      </c>
    </row>
    <row r="32341" spans="2:5" x14ac:dyDescent="0.2">
      <c r="B32341" s="4" t="s">
        <v>932</v>
      </c>
      <c r="C32341" s="4" t="s">
        <v>0</v>
      </c>
      <c r="D32341" s="4" t="s">
        <v>0</v>
      </c>
      <c r="E32341" s="4" t="s">
        <v>925</v>
      </c>
    </row>
    <row r="32342" spans="2:5" x14ac:dyDescent="0.2">
      <c r="B32342" s="4" t="s">
        <v>929</v>
      </c>
      <c r="C32342" s="4" t="s">
        <v>933</v>
      </c>
      <c r="D32342" s="4" t="s">
        <v>0</v>
      </c>
      <c r="E32342" s="4" t="s">
        <v>934</v>
      </c>
    </row>
    <row r="32343" spans="2:5" x14ac:dyDescent="0.2">
      <c r="B32343" s="4" t="s">
        <v>930</v>
      </c>
      <c r="C32343" s="4" t="s">
        <v>0</v>
      </c>
      <c r="D32343" s="4" t="s">
        <v>0</v>
      </c>
      <c r="E32343" s="4" t="s">
        <v>925</v>
      </c>
    </row>
    <row r="32344" spans="2:5" x14ac:dyDescent="0.2">
      <c r="B32344" s="4" t="s">
        <v>932</v>
      </c>
      <c r="C32344" s="4" t="s">
        <v>0</v>
      </c>
      <c r="D32344" s="4" t="s">
        <v>0</v>
      </c>
      <c r="E32344" s="4" t="s">
        <v>925</v>
      </c>
    </row>
    <row r="32345" spans="2:5" x14ac:dyDescent="0.2">
      <c r="B32345" s="4" t="s">
        <v>929</v>
      </c>
      <c r="C32345" s="4" t="s">
        <v>933</v>
      </c>
      <c r="D32345" s="4" t="s">
        <v>0</v>
      </c>
      <c r="E32345" s="4" t="s">
        <v>934</v>
      </c>
    </row>
    <row r="32346" spans="2:5" x14ac:dyDescent="0.2">
      <c r="B32346" s="4" t="s">
        <v>930</v>
      </c>
      <c r="C32346" s="4" t="s">
        <v>0</v>
      </c>
      <c r="D32346" s="4" t="s">
        <v>0</v>
      </c>
      <c r="E32346" s="4" t="s">
        <v>925</v>
      </c>
    </row>
    <row r="32347" spans="2:5" x14ac:dyDescent="0.2">
      <c r="B32347" s="4" t="s">
        <v>932</v>
      </c>
      <c r="C32347" s="4" t="s">
        <v>0</v>
      </c>
      <c r="D32347" s="4" t="s">
        <v>0</v>
      </c>
      <c r="E32347" s="4" t="s">
        <v>925</v>
      </c>
    </row>
    <row r="32348" spans="2:5" x14ac:dyDescent="0.2">
      <c r="B32348" s="4" t="s">
        <v>929</v>
      </c>
      <c r="C32348" s="4" t="s">
        <v>933</v>
      </c>
      <c r="D32348" s="4" t="s">
        <v>0</v>
      </c>
      <c r="E32348" s="4" t="s">
        <v>934</v>
      </c>
    </row>
    <row r="32349" spans="2:5" x14ac:dyDescent="0.2">
      <c r="B32349" s="4" t="s">
        <v>930</v>
      </c>
      <c r="C32349" s="4" t="s">
        <v>0</v>
      </c>
      <c r="D32349" s="4" t="s">
        <v>0</v>
      </c>
      <c r="E32349" s="4" t="s">
        <v>925</v>
      </c>
    </row>
    <row r="32350" spans="2:5" x14ac:dyDescent="0.2">
      <c r="B32350" s="4" t="s">
        <v>932</v>
      </c>
      <c r="C32350" s="4" t="s">
        <v>0</v>
      </c>
      <c r="D32350" s="4" t="s">
        <v>0</v>
      </c>
      <c r="E32350" s="4" t="s">
        <v>925</v>
      </c>
    </row>
    <row r="32351" spans="2:5" x14ac:dyDescent="0.2">
      <c r="B32351" s="4" t="s">
        <v>929</v>
      </c>
      <c r="C32351" s="4" t="s">
        <v>933</v>
      </c>
      <c r="D32351" s="4" t="s">
        <v>0</v>
      </c>
      <c r="E32351" s="4" t="s">
        <v>934</v>
      </c>
    </row>
    <row r="32352" spans="2:5" x14ac:dyDescent="0.2">
      <c r="B32352" s="4" t="s">
        <v>930</v>
      </c>
      <c r="C32352" s="4" t="s">
        <v>0</v>
      </c>
      <c r="D32352" s="4" t="s">
        <v>0</v>
      </c>
      <c r="E32352" s="4" t="s">
        <v>925</v>
      </c>
    </row>
    <row r="32353" spans="2:5" x14ac:dyDescent="0.2">
      <c r="B32353" s="4" t="s">
        <v>932</v>
      </c>
      <c r="C32353" s="4" t="s">
        <v>0</v>
      </c>
      <c r="D32353" s="4" t="s">
        <v>0</v>
      </c>
      <c r="E32353" s="4" t="s">
        <v>925</v>
      </c>
    </row>
    <row r="32354" spans="2:5" x14ac:dyDescent="0.2">
      <c r="B32354" s="4" t="s">
        <v>929</v>
      </c>
      <c r="C32354" s="4" t="s">
        <v>933</v>
      </c>
      <c r="D32354" s="4" t="s">
        <v>0</v>
      </c>
      <c r="E32354" s="4" t="s">
        <v>934</v>
      </c>
    </row>
    <row r="32355" spans="2:5" x14ac:dyDescent="0.2">
      <c r="B32355" s="4" t="s">
        <v>930</v>
      </c>
      <c r="C32355" s="4" t="s">
        <v>0</v>
      </c>
      <c r="D32355" s="4" t="s">
        <v>0</v>
      </c>
      <c r="E32355" s="4" t="s">
        <v>925</v>
      </c>
    </row>
    <row r="32356" spans="2:5" x14ac:dyDescent="0.2">
      <c r="B32356" s="4" t="s">
        <v>932</v>
      </c>
      <c r="C32356" s="4" t="s">
        <v>0</v>
      </c>
      <c r="D32356" s="4" t="s">
        <v>0</v>
      </c>
      <c r="E32356" s="4" t="s">
        <v>925</v>
      </c>
    </row>
    <row r="32357" spans="2:5" x14ac:dyDescent="0.2">
      <c r="B32357" s="4" t="s">
        <v>929</v>
      </c>
      <c r="C32357" s="4" t="s">
        <v>933</v>
      </c>
      <c r="D32357" s="4" t="s">
        <v>0</v>
      </c>
      <c r="E32357" s="4" t="s">
        <v>934</v>
      </c>
    </row>
    <row r="32358" spans="2:5" x14ac:dyDescent="0.2">
      <c r="B32358" s="4" t="s">
        <v>930</v>
      </c>
      <c r="C32358" s="4" t="s">
        <v>0</v>
      </c>
      <c r="D32358" s="4" t="s">
        <v>0</v>
      </c>
      <c r="E32358" s="4" t="s">
        <v>925</v>
      </c>
    </row>
    <row r="32359" spans="2:5" x14ac:dyDescent="0.2">
      <c r="B32359" s="4" t="s">
        <v>932</v>
      </c>
      <c r="C32359" s="4" t="s">
        <v>0</v>
      </c>
      <c r="D32359" s="4" t="s">
        <v>0</v>
      </c>
      <c r="E32359" s="4" t="s">
        <v>925</v>
      </c>
    </row>
    <row r="32360" spans="2:5" x14ac:dyDescent="0.2">
      <c r="B32360" s="4" t="s">
        <v>929</v>
      </c>
      <c r="C32360" s="4" t="s">
        <v>933</v>
      </c>
      <c r="D32360" s="4" t="s">
        <v>0</v>
      </c>
      <c r="E32360" s="4" t="s">
        <v>934</v>
      </c>
    </row>
    <row r="32361" spans="2:5" x14ac:dyDescent="0.2">
      <c r="B32361" s="4" t="s">
        <v>930</v>
      </c>
      <c r="C32361" s="4" t="s">
        <v>0</v>
      </c>
      <c r="D32361" s="4" t="s">
        <v>0</v>
      </c>
      <c r="E32361" s="4" t="s">
        <v>925</v>
      </c>
    </row>
    <row r="32362" spans="2:5" x14ac:dyDescent="0.2">
      <c r="B32362" s="4" t="s">
        <v>932</v>
      </c>
      <c r="C32362" s="4" t="s">
        <v>0</v>
      </c>
      <c r="D32362" s="4" t="s">
        <v>0</v>
      </c>
      <c r="E32362" s="4" t="s">
        <v>925</v>
      </c>
    </row>
    <row r="32363" spans="2:5" x14ac:dyDescent="0.2">
      <c r="B32363" s="4" t="s">
        <v>929</v>
      </c>
      <c r="C32363" s="4" t="s">
        <v>933</v>
      </c>
      <c r="D32363" s="4" t="s">
        <v>0</v>
      </c>
      <c r="E32363" s="4" t="s">
        <v>934</v>
      </c>
    </row>
    <row r="32364" spans="2:5" x14ac:dyDescent="0.2">
      <c r="B32364" s="4" t="s">
        <v>13</v>
      </c>
      <c r="C32364" s="4" t="s">
        <v>922</v>
      </c>
      <c r="D32364" s="4" t="s">
        <v>0</v>
      </c>
      <c r="E32364" s="4" t="s">
        <v>923</v>
      </c>
    </row>
    <row r="32365" spans="2:5" x14ac:dyDescent="0.2">
      <c r="B32365" s="4" t="s">
        <v>929</v>
      </c>
      <c r="C32365" s="4" t="s">
        <v>0</v>
      </c>
      <c r="D32365" s="4" t="s">
        <v>0</v>
      </c>
      <c r="E32365" s="4" t="s">
        <v>925</v>
      </c>
    </row>
    <row r="32366" spans="2:5" x14ac:dyDescent="0.2">
      <c r="B32366" s="4" t="s">
        <v>13</v>
      </c>
      <c r="C32366" s="4" t="s">
        <v>922</v>
      </c>
      <c r="D32366" s="4" t="s">
        <v>0</v>
      </c>
      <c r="E32366" s="4" t="s">
        <v>923</v>
      </c>
    </row>
    <row r="32367" spans="2:5" x14ac:dyDescent="0.2">
      <c r="B32367" s="4" t="s">
        <v>929</v>
      </c>
      <c r="C32367" s="4" t="s">
        <v>0</v>
      </c>
      <c r="D32367" s="4" t="s">
        <v>0</v>
      </c>
      <c r="E32367" s="4" t="s">
        <v>925</v>
      </c>
    </row>
    <row r="32368" spans="2:5" x14ac:dyDescent="0.2">
      <c r="B32368" s="4" t="s">
        <v>945</v>
      </c>
      <c r="C32368" s="4" t="s">
        <v>0</v>
      </c>
      <c r="D32368" s="4" t="s">
        <v>0</v>
      </c>
      <c r="E32368" s="4" t="s">
        <v>925</v>
      </c>
    </row>
    <row r="32369" spans="2:5" x14ac:dyDescent="0.2">
      <c r="B32369" s="4" t="s">
        <v>946</v>
      </c>
      <c r="C32369" s="4" t="s">
        <v>0</v>
      </c>
      <c r="D32369" s="4" t="s">
        <v>0</v>
      </c>
      <c r="E32369" s="4" t="s">
        <v>925</v>
      </c>
    </row>
    <row r="32370" spans="2:5" x14ac:dyDescent="0.2">
      <c r="B32370" s="4" t="s">
        <v>947</v>
      </c>
      <c r="C32370" s="4" t="s">
        <v>0</v>
      </c>
      <c r="D32370" s="4" t="s">
        <v>0</v>
      </c>
      <c r="E32370" s="4" t="s">
        <v>925</v>
      </c>
    </row>
    <row r="32371" spans="2:5" x14ac:dyDescent="0.2">
      <c r="B32371" s="4" t="s">
        <v>948</v>
      </c>
      <c r="C32371" s="4" t="s">
        <v>0</v>
      </c>
      <c r="D32371" s="4" t="s">
        <v>0</v>
      </c>
      <c r="E32371" s="4" t="s">
        <v>925</v>
      </c>
    </row>
    <row r="32372" spans="2:5" x14ac:dyDescent="0.2">
      <c r="B32372" s="4" t="s">
        <v>949</v>
      </c>
      <c r="C32372" s="4" t="s">
        <v>0</v>
      </c>
      <c r="D32372" s="4" t="s">
        <v>0</v>
      </c>
      <c r="E32372" s="4" t="s">
        <v>925</v>
      </c>
    </row>
    <row r="32373" spans="2:5" x14ac:dyDescent="0.2">
      <c r="B32373" s="4" t="s">
        <v>950</v>
      </c>
      <c r="C32373" s="4" t="s">
        <v>0</v>
      </c>
      <c r="D32373" s="4" t="s">
        <v>0</v>
      </c>
      <c r="E32373" s="4" t="s">
        <v>925</v>
      </c>
    </row>
    <row r="32374" spans="2:5" x14ac:dyDescent="0.2">
      <c r="B32374" s="4" t="s">
        <v>951</v>
      </c>
      <c r="C32374" s="4" t="s">
        <v>935</v>
      </c>
      <c r="D32374" s="4" t="s">
        <v>0</v>
      </c>
      <c r="E32374" s="4" t="s">
        <v>923</v>
      </c>
    </row>
    <row r="32375" spans="2:5" x14ac:dyDescent="0.2">
      <c r="B32375" s="4" t="s">
        <v>929</v>
      </c>
      <c r="C32375" s="4" t="s">
        <v>935</v>
      </c>
      <c r="D32375" s="4" t="s">
        <v>0</v>
      </c>
      <c r="E32375" s="4" t="s">
        <v>934</v>
      </c>
    </row>
    <row r="32376" spans="2:5" x14ac:dyDescent="0.2">
      <c r="B32376" s="4" t="s">
        <v>952</v>
      </c>
      <c r="C32376" s="4" t="s">
        <v>933</v>
      </c>
      <c r="D32376" s="4" t="s">
        <v>0</v>
      </c>
      <c r="E32376" s="4" t="s">
        <v>923</v>
      </c>
    </row>
    <row r="32377" spans="2:5" x14ac:dyDescent="0.2">
      <c r="B32377" s="4" t="s">
        <v>932</v>
      </c>
      <c r="C32377" s="4" t="s">
        <v>933</v>
      </c>
      <c r="D32377" s="4" t="s">
        <v>0</v>
      </c>
      <c r="E32377" s="4" t="s">
        <v>923</v>
      </c>
    </row>
    <row r="32378" spans="2:5" x14ac:dyDescent="0.2">
      <c r="B32378" s="4" t="s">
        <v>930</v>
      </c>
      <c r="C32378" s="4" t="s">
        <v>0</v>
      </c>
      <c r="D32378" s="4" t="s">
        <v>0</v>
      </c>
      <c r="E32378" s="4" t="s">
        <v>925</v>
      </c>
    </row>
    <row r="32379" spans="2:5" x14ac:dyDescent="0.2">
      <c r="B32379" s="4" t="s">
        <v>929</v>
      </c>
      <c r="C32379" s="4" t="s">
        <v>933</v>
      </c>
      <c r="D32379" s="4" t="s">
        <v>0</v>
      </c>
      <c r="E32379" s="4" t="s">
        <v>934</v>
      </c>
    </row>
    <row r="32380" spans="2:5" x14ac:dyDescent="0.2">
      <c r="B32380" s="4" t="s">
        <v>930</v>
      </c>
      <c r="C32380" s="4" t="s">
        <v>933</v>
      </c>
      <c r="D32380" s="4" t="s">
        <v>0</v>
      </c>
      <c r="E32380" s="4" t="s">
        <v>923</v>
      </c>
    </row>
    <row r="32381" spans="2:5" x14ac:dyDescent="0.2">
      <c r="B32381" s="4" t="s">
        <v>932</v>
      </c>
      <c r="C32381" s="4" t="s">
        <v>0</v>
      </c>
      <c r="D32381" s="4" t="s">
        <v>0</v>
      </c>
      <c r="E32381" s="4" t="s">
        <v>925</v>
      </c>
    </row>
    <row r="32382" spans="2:5" x14ac:dyDescent="0.2">
      <c r="B32382" s="4" t="s">
        <v>929</v>
      </c>
      <c r="C32382" s="4" t="s">
        <v>933</v>
      </c>
      <c r="D32382" s="4" t="s">
        <v>0</v>
      </c>
      <c r="E32382" s="4" t="s">
        <v>934</v>
      </c>
    </row>
    <row r="32383" spans="2:5" x14ac:dyDescent="0.2">
      <c r="B32383" s="4" t="s">
        <v>932</v>
      </c>
      <c r="C32383" s="4" t="s">
        <v>933</v>
      </c>
      <c r="D32383" s="4" t="s">
        <v>0</v>
      </c>
      <c r="E32383" s="4" t="s">
        <v>923</v>
      </c>
    </row>
    <row r="32384" spans="2:5" x14ac:dyDescent="0.2">
      <c r="B32384" s="4" t="s">
        <v>930</v>
      </c>
      <c r="C32384" s="4" t="s">
        <v>0</v>
      </c>
      <c r="D32384" s="4" t="s">
        <v>0</v>
      </c>
      <c r="E32384" s="4" t="s">
        <v>925</v>
      </c>
    </row>
    <row r="32385" spans="2:5" x14ac:dyDescent="0.2">
      <c r="B32385" s="4" t="s">
        <v>929</v>
      </c>
      <c r="C32385" s="4" t="s">
        <v>933</v>
      </c>
      <c r="D32385" s="4" t="s">
        <v>0</v>
      </c>
      <c r="E32385" s="4" t="s">
        <v>934</v>
      </c>
    </row>
    <row r="32386" spans="2:5" x14ac:dyDescent="0.2">
      <c r="B32386" s="4" t="s">
        <v>932</v>
      </c>
      <c r="C32386" s="4" t="s">
        <v>933</v>
      </c>
      <c r="D32386" s="4" t="s">
        <v>0</v>
      </c>
      <c r="E32386" s="4" t="s">
        <v>923</v>
      </c>
    </row>
    <row r="32387" spans="2:5" x14ac:dyDescent="0.2">
      <c r="B32387" s="4" t="s">
        <v>930</v>
      </c>
      <c r="C32387" s="4" t="s">
        <v>0</v>
      </c>
      <c r="D32387" s="4" t="s">
        <v>0</v>
      </c>
      <c r="E32387" s="4" t="s">
        <v>925</v>
      </c>
    </row>
    <row r="32388" spans="2:5" x14ac:dyDescent="0.2">
      <c r="B32388" s="4" t="s">
        <v>929</v>
      </c>
      <c r="C32388" s="4" t="s">
        <v>933</v>
      </c>
      <c r="D32388" s="4" t="s">
        <v>0</v>
      </c>
      <c r="E32388" s="4" t="s">
        <v>934</v>
      </c>
    </row>
    <row r="32389" spans="2:5" x14ac:dyDescent="0.2">
      <c r="B32389" s="4" t="s">
        <v>932</v>
      </c>
      <c r="C32389" s="4" t="s">
        <v>933</v>
      </c>
      <c r="D32389" s="4" t="s">
        <v>0</v>
      </c>
      <c r="E32389" s="4" t="s">
        <v>923</v>
      </c>
    </row>
    <row r="32390" spans="2:5" x14ac:dyDescent="0.2">
      <c r="B32390" s="4" t="s">
        <v>930</v>
      </c>
      <c r="C32390" s="4" t="s">
        <v>0</v>
      </c>
      <c r="D32390" s="4" t="s">
        <v>0</v>
      </c>
      <c r="E32390" s="4" t="s">
        <v>925</v>
      </c>
    </row>
    <row r="32391" spans="2:5" x14ac:dyDescent="0.2">
      <c r="B32391" s="4" t="s">
        <v>929</v>
      </c>
      <c r="C32391" s="4" t="s">
        <v>933</v>
      </c>
      <c r="D32391" s="4" t="s">
        <v>0</v>
      </c>
      <c r="E32391" s="4" t="s">
        <v>934</v>
      </c>
    </row>
    <row r="32392" spans="2:5" x14ac:dyDescent="0.2">
      <c r="B32392" s="4" t="s">
        <v>953</v>
      </c>
      <c r="C32392" s="4" t="s">
        <v>0</v>
      </c>
      <c r="D32392" s="4" t="s">
        <v>0</v>
      </c>
      <c r="E32392" s="4" t="s">
        <v>925</v>
      </c>
    </row>
    <row r="32393" spans="2:5" x14ac:dyDescent="0.2">
      <c r="B32393" s="4" t="s">
        <v>954</v>
      </c>
      <c r="C32393" s="4" t="s">
        <v>0</v>
      </c>
      <c r="D32393" s="4" t="s">
        <v>0</v>
      </c>
      <c r="E32393" s="4" t="s">
        <v>925</v>
      </c>
    </row>
    <row r="32394" spans="2:5" x14ac:dyDescent="0.2">
      <c r="B32394" s="4" t="s">
        <v>955</v>
      </c>
      <c r="C32394" s="4" t="s">
        <v>935</v>
      </c>
      <c r="D32394" s="4" t="s">
        <v>0</v>
      </c>
      <c r="E32394" s="4" t="s">
        <v>923</v>
      </c>
    </row>
    <row r="32395" spans="2:5" x14ac:dyDescent="0.2">
      <c r="B32395" s="4" t="s">
        <v>929</v>
      </c>
      <c r="C32395" s="4" t="s">
        <v>935</v>
      </c>
      <c r="D32395" s="4" t="s">
        <v>0</v>
      </c>
      <c r="E32395" s="4" t="s">
        <v>934</v>
      </c>
    </row>
    <row r="32396" spans="2:5" x14ac:dyDescent="0.2">
      <c r="B32396" s="4" t="s">
        <v>956</v>
      </c>
      <c r="C32396" s="4" t="s">
        <v>0</v>
      </c>
      <c r="D32396" s="4" t="s">
        <v>0</v>
      </c>
      <c r="E32396" s="4" t="s">
        <v>925</v>
      </c>
    </row>
    <row r="32397" spans="2:5" x14ac:dyDescent="0.2">
      <c r="B32397" s="4" t="s">
        <v>957</v>
      </c>
      <c r="C32397" s="4" t="s">
        <v>0</v>
      </c>
      <c r="D32397" s="4" t="s">
        <v>0</v>
      </c>
      <c r="E32397" s="4" t="s">
        <v>925</v>
      </c>
    </row>
    <row r="32398" spans="2:5" x14ac:dyDescent="0.2">
      <c r="B32398" s="4" t="s">
        <v>958</v>
      </c>
      <c r="C32398" s="4" t="s">
        <v>0</v>
      </c>
      <c r="D32398" s="4" t="s">
        <v>0</v>
      </c>
      <c r="E32398" s="4" t="s">
        <v>925</v>
      </c>
    </row>
    <row r="32399" spans="2:5" x14ac:dyDescent="0.2">
      <c r="B32399" s="4" t="s">
        <v>959</v>
      </c>
      <c r="C32399" s="4" t="s">
        <v>0</v>
      </c>
      <c r="D32399" s="4" t="s">
        <v>0</v>
      </c>
      <c r="E32399" s="4" t="s">
        <v>925</v>
      </c>
    </row>
    <row r="32400" spans="2:5" x14ac:dyDescent="0.2">
      <c r="B32400" s="4" t="s">
        <v>960</v>
      </c>
      <c r="C32400" s="4" t="s">
        <v>0</v>
      </c>
      <c r="D32400" s="4" t="s">
        <v>0</v>
      </c>
      <c r="E32400" s="4" t="s">
        <v>925</v>
      </c>
    </row>
    <row r="32401" spans="2:5" x14ac:dyDescent="0.2">
      <c r="B32401" s="4" t="s">
        <v>961</v>
      </c>
      <c r="C32401" s="4" t="s">
        <v>0</v>
      </c>
      <c r="D32401" s="4" t="s">
        <v>0</v>
      </c>
      <c r="E32401" s="4" t="s">
        <v>925</v>
      </c>
    </row>
    <row r="32402" spans="2:5" x14ac:dyDescent="0.2">
      <c r="B32402" s="4" t="s">
        <v>962</v>
      </c>
      <c r="C32402" s="4" t="s">
        <v>0</v>
      </c>
      <c r="D32402" s="4" t="s">
        <v>0</v>
      </c>
      <c r="E32402" s="4" t="s">
        <v>925</v>
      </c>
    </row>
    <row r="32403" spans="2:5" x14ac:dyDescent="0.2">
      <c r="B32403" s="4" t="s">
        <v>929</v>
      </c>
      <c r="C32403" s="4" t="s">
        <v>935</v>
      </c>
      <c r="D32403" s="4" t="s">
        <v>0</v>
      </c>
      <c r="E32403" s="4" t="s">
        <v>934</v>
      </c>
    </row>
    <row r="32404" spans="2:5" x14ac:dyDescent="0.2">
      <c r="B32404" s="4" t="s">
        <v>932</v>
      </c>
      <c r="C32404" s="4" t="s">
        <v>933</v>
      </c>
      <c r="D32404" s="4" t="s">
        <v>0</v>
      </c>
      <c r="E32404" s="4" t="s">
        <v>923</v>
      </c>
    </row>
    <row r="32405" spans="2:5" x14ac:dyDescent="0.2">
      <c r="B32405" s="4" t="s">
        <v>930</v>
      </c>
      <c r="C32405" s="4" t="s">
        <v>0</v>
      </c>
      <c r="D32405" s="4" t="s">
        <v>0</v>
      </c>
      <c r="E32405" s="4" t="s">
        <v>925</v>
      </c>
    </row>
    <row r="32406" spans="2:5" x14ac:dyDescent="0.2">
      <c r="B32406" s="4" t="s">
        <v>929</v>
      </c>
      <c r="C32406" s="4" t="s">
        <v>933</v>
      </c>
      <c r="D32406" s="4" t="s">
        <v>0</v>
      </c>
      <c r="E32406" s="4" t="s">
        <v>934</v>
      </c>
    </row>
    <row r="32407" spans="2:5" x14ac:dyDescent="0.2">
      <c r="B32407" s="4" t="s">
        <v>963</v>
      </c>
      <c r="C32407" s="4" t="s">
        <v>0</v>
      </c>
      <c r="D32407" s="4" t="s">
        <v>0</v>
      </c>
      <c r="E32407" s="4" t="s">
        <v>925</v>
      </c>
    </row>
    <row r="32408" spans="2:5" x14ac:dyDescent="0.2">
      <c r="B32408" s="4" t="s">
        <v>964</v>
      </c>
      <c r="C32408" s="4" t="s">
        <v>935</v>
      </c>
      <c r="D32408" s="4" t="s">
        <v>0</v>
      </c>
      <c r="E32408" s="4" t="s">
        <v>923</v>
      </c>
    </row>
    <row r="32409" spans="2:5" x14ac:dyDescent="0.2">
      <c r="B32409" s="4" t="s">
        <v>965</v>
      </c>
      <c r="C32409" s="4" t="s">
        <v>0</v>
      </c>
      <c r="D32409" s="4" t="s">
        <v>0</v>
      </c>
      <c r="E32409" s="4" t="s">
        <v>925</v>
      </c>
    </row>
    <row r="32410" spans="2:5" x14ac:dyDescent="0.2">
      <c r="B32410" s="4" t="s">
        <v>929</v>
      </c>
      <c r="C32410" s="4" t="s">
        <v>935</v>
      </c>
      <c r="D32410" s="4" t="s">
        <v>0</v>
      </c>
      <c r="E32410" s="4" t="s">
        <v>934</v>
      </c>
    </row>
    <row r="32411" spans="2:5" x14ac:dyDescent="0.2">
      <c r="B32411" s="4" t="s">
        <v>932</v>
      </c>
      <c r="C32411" s="4" t="s">
        <v>933</v>
      </c>
      <c r="D32411" s="4" t="s">
        <v>0</v>
      </c>
      <c r="E32411" s="4" t="s">
        <v>923</v>
      </c>
    </row>
    <row r="32412" spans="2:5" x14ac:dyDescent="0.2">
      <c r="B32412" s="4" t="s">
        <v>930</v>
      </c>
      <c r="C32412" s="4" t="s">
        <v>0</v>
      </c>
      <c r="D32412" s="4" t="s">
        <v>0</v>
      </c>
      <c r="E32412" s="4" t="s">
        <v>925</v>
      </c>
    </row>
    <row r="32413" spans="2:5" x14ac:dyDescent="0.2">
      <c r="B32413" s="4" t="s">
        <v>929</v>
      </c>
      <c r="C32413" s="4" t="s">
        <v>933</v>
      </c>
      <c r="D32413" s="4" t="s">
        <v>0</v>
      </c>
      <c r="E32413" s="4" t="s">
        <v>934</v>
      </c>
    </row>
    <row r="32414" spans="2:5" x14ac:dyDescent="0.2">
      <c r="B32414" s="4" t="s">
        <v>932</v>
      </c>
      <c r="C32414" s="4" t="s">
        <v>933</v>
      </c>
      <c r="D32414" s="4" t="s">
        <v>0</v>
      </c>
      <c r="E32414" s="4" t="s">
        <v>923</v>
      </c>
    </row>
    <row r="32415" spans="2:5" x14ac:dyDescent="0.2">
      <c r="B32415" s="4" t="s">
        <v>930</v>
      </c>
      <c r="C32415" s="4" t="s">
        <v>0</v>
      </c>
      <c r="D32415" s="4" t="s">
        <v>0</v>
      </c>
      <c r="E32415" s="4" t="s">
        <v>925</v>
      </c>
    </row>
    <row r="32416" spans="2:5" x14ac:dyDescent="0.2">
      <c r="B32416" s="4" t="s">
        <v>929</v>
      </c>
      <c r="C32416" s="4" t="s">
        <v>933</v>
      </c>
      <c r="D32416" s="4" t="s">
        <v>0</v>
      </c>
      <c r="E32416" s="4" t="s">
        <v>934</v>
      </c>
    </row>
    <row r="32417" spans="2:5" x14ac:dyDescent="0.2">
      <c r="B32417" s="4" t="s">
        <v>932</v>
      </c>
      <c r="C32417" s="4" t="s">
        <v>933</v>
      </c>
      <c r="D32417" s="4" t="s">
        <v>0</v>
      </c>
      <c r="E32417" s="4" t="s">
        <v>923</v>
      </c>
    </row>
    <row r="32418" spans="2:5" x14ac:dyDescent="0.2">
      <c r="B32418" s="4" t="s">
        <v>930</v>
      </c>
      <c r="C32418" s="4" t="s">
        <v>0</v>
      </c>
      <c r="D32418" s="4" t="s">
        <v>0</v>
      </c>
      <c r="E32418" s="4" t="s">
        <v>925</v>
      </c>
    </row>
    <row r="32419" spans="2:5" x14ac:dyDescent="0.2">
      <c r="B32419" s="4" t="s">
        <v>929</v>
      </c>
      <c r="C32419" s="4" t="s">
        <v>933</v>
      </c>
      <c r="D32419" s="4" t="s">
        <v>0</v>
      </c>
      <c r="E32419" s="4" t="s">
        <v>934</v>
      </c>
    </row>
    <row r="32420" spans="2:5" x14ac:dyDescent="0.2">
      <c r="B32420" s="4" t="s">
        <v>930</v>
      </c>
      <c r="C32420" s="4" t="s">
        <v>935</v>
      </c>
      <c r="D32420" s="4" t="s">
        <v>0</v>
      </c>
      <c r="E32420" s="4" t="s">
        <v>923</v>
      </c>
    </row>
    <row r="32421" spans="2:5" x14ac:dyDescent="0.2">
      <c r="B32421" s="4" t="s">
        <v>932</v>
      </c>
      <c r="C32421" s="4" t="s">
        <v>0</v>
      </c>
      <c r="D32421" s="4" t="s">
        <v>0</v>
      </c>
      <c r="E32421" s="4" t="s">
        <v>925</v>
      </c>
    </row>
    <row r="32422" spans="2:5" x14ac:dyDescent="0.2">
      <c r="B32422" s="4" t="s">
        <v>929</v>
      </c>
      <c r="C32422" s="4" t="s">
        <v>935</v>
      </c>
      <c r="D32422" s="4" t="s">
        <v>0</v>
      </c>
      <c r="E32422" s="4" t="s">
        <v>934</v>
      </c>
    </row>
    <row r="32423" spans="2:5" x14ac:dyDescent="0.2">
      <c r="B32423" s="4" t="s">
        <v>930</v>
      </c>
      <c r="C32423" s="4" t="s">
        <v>0</v>
      </c>
      <c r="D32423" s="4" t="s">
        <v>0</v>
      </c>
      <c r="E32423" s="4" t="s">
        <v>925</v>
      </c>
    </row>
    <row r="32424" spans="2:5" x14ac:dyDescent="0.2">
      <c r="B32424" s="4" t="s">
        <v>932</v>
      </c>
      <c r="C32424" s="4" t="s">
        <v>935</v>
      </c>
      <c r="D32424" s="4" t="s">
        <v>0</v>
      </c>
      <c r="E32424" s="4" t="s">
        <v>923</v>
      </c>
    </row>
    <row r="32425" spans="2:5" x14ac:dyDescent="0.2">
      <c r="B32425" s="4" t="s">
        <v>929</v>
      </c>
      <c r="C32425" s="4" t="s">
        <v>933</v>
      </c>
      <c r="D32425" s="4" t="s">
        <v>0</v>
      </c>
      <c r="E32425" s="4" t="s">
        <v>934</v>
      </c>
    </row>
    <row r="32426" spans="2:5" x14ac:dyDescent="0.2">
      <c r="B32426" s="4" t="s">
        <v>930</v>
      </c>
      <c r="C32426" s="4" t="s">
        <v>0</v>
      </c>
      <c r="D32426" s="4" t="s">
        <v>0</v>
      </c>
      <c r="E32426" s="4" t="s">
        <v>925</v>
      </c>
    </row>
    <row r="32427" spans="2:5" x14ac:dyDescent="0.2">
      <c r="B32427" s="4" t="s">
        <v>932</v>
      </c>
      <c r="C32427" s="4" t="s">
        <v>935</v>
      </c>
      <c r="D32427" s="4" t="s">
        <v>0</v>
      </c>
      <c r="E32427" s="4" t="s">
        <v>923</v>
      </c>
    </row>
    <row r="32428" spans="2:5" x14ac:dyDescent="0.2">
      <c r="B32428" s="4" t="s">
        <v>929</v>
      </c>
      <c r="C32428" s="4" t="s">
        <v>933</v>
      </c>
      <c r="D32428" s="4" t="s">
        <v>0</v>
      </c>
      <c r="E32428" s="4" t="s">
        <v>934</v>
      </c>
    </row>
    <row r="32429" spans="2:5" x14ac:dyDescent="0.2">
      <c r="B32429" s="4" t="s">
        <v>930</v>
      </c>
      <c r="C32429" s="4" t="s">
        <v>0</v>
      </c>
      <c r="D32429" s="4" t="s">
        <v>0</v>
      </c>
      <c r="E32429" s="4" t="s">
        <v>925</v>
      </c>
    </row>
    <row r="32430" spans="2:5" x14ac:dyDescent="0.2">
      <c r="B32430" s="4" t="s">
        <v>932</v>
      </c>
      <c r="C32430" s="4" t="s">
        <v>935</v>
      </c>
      <c r="D32430" s="4" t="s">
        <v>0</v>
      </c>
      <c r="E32430" s="4" t="s">
        <v>923</v>
      </c>
    </row>
    <row r="32431" spans="2:5" x14ac:dyDescent="0.2">
      <c r="B32431" s="4" t="s">
        <v>929</v>
      </c>
      <c r="C32431" s="4" t="s">
        <v>933</v>
      </c>
      <c r="D32431" s="4" t="s">
        <v>0</v>
      </c>
      <c r="E32431" s="4" t="s">
        <v>934</v>
      </c>
    </row>
    <row r="32432" spans="2:5" x14ac:dyDescent="0.2">
      <c r="B32432" s="4" t="s">
        <v>930</v>
      </c>
      <c r="C32432" s="4" t="s">
        <v>0</v>
      </c>
      <c r="D32432" s="4" t="s">
        <v>0</v>
      </c>
      <c r="E32432" s="4" t="s">
        <v>925</v>
      </c>
    </row>
    <row r="32433" spans="2:5" x14ac:dyDescent="0.2">
      <c r="B32433" s="4" t="s">
        <v>932</v>
      </c>
      <c r="C32433" s="4" t="s">
        <v>935</v>
      </c>
      <c r="D32433" s="4" t="s">
        <v>0</v>
      </c>
      <c r="E32433" s="4" t="s">
        <v>923</v>
      </c>
    </row>
    <row r="32434" spans="2:5" x14ac:dyDescent="0.2">
      <c r="B32434" s="4" t="s">
        <v>929</v>
      </c>
      <c r="C32434" s="4" t="s">
        <v>933</v>
      </c>
      <c r="D32434" s="4" t="s">
        <v>0</v>
      </c>
      <c r="E32434" s="4" t="s">
        <v>934</v>
      </c>
    </row>
    <row r="32435" spans="2:5" x14ac:dyDescent="0.2">
      <c r="B32435" s="4" t="s">
        <v>930</v>
      </c>
      <c r="C32435" s="4" t="s">
        <v>0</v>
      </c>
      <c r="D32435" s="4" t="s">
        <v>0</v>
      </c>
      <c r="E32435" s="4" t="s">
        <v>925</v>
      </c>
    </row>
    <row r="32436" spans="2:5" x14ac:dyDescent="0.2">
      <c r="B32436" s="4" t="s">
        <v>932</v>
      </c>
      <c r="C32436" s="4" t="s">
        <v>935</v>
      </c>
      <c r="D32436" s="4" t="s">
        <v>0</v>
      </c>
      <c r="E32436" s="4" t="s">
        <v>923</v>
      </c>
    </row>
    <row r="32437" spans="2:5" x14ac:dyDescent="0.2">
      <c r="B32437" s="4" t="s">
        <v>929</v>
      </c>
      <c r="C32437" s="4" t="s">
        <v>933</v>
      </c>
      <c r="D32437" s="4" t="s">
        <v>0</v>
      </c>
      <c r="E32437" s="4" t="s">
        <v>934</v>
      </c>
    </row>
    <row r="32438" spans="2:5" x14ac:dyDescent="0.2">
      <c r="B32438" s="4" t="s">
        <v>932</v>
      </c>
      <c r="C32438" s="4" t="s">
        <v>933</v>
      </c>
      <c r="D32438" s="4" t="s">
        <v>0</v>
      </c>
      <c r="E32438" s="4" t="s">
        <v>923</v>
      </c>
    </row>
    <row r="32439" spans="2:5" x14ac:dyDescent="0.2">
      <c r="B32439" s="4" t="s">
        <v>930</v>
      </c>
      <c r="C32439" s="4" t="s">
        <v>0</v>
      </c>
      <c r="D32439" s="4" t="s">
        <v>0</v>
      </c>
      <c r="E32439" s="4" t="s">
        <v>925</v>
      </c>
    </row>
    <row r="32440" spans="2:5" x14ac:dyDescent="0.2">
      <c r="B32440" s="4" t="s">
        <v>929</v>
      </c>
      <c r="C32440" s="4" t="s">
        <v>933</v>
      </c>
      <c r="D32440" s="4" t="s">
        <v>0</v>
      </c>
      <c r="E32440" s="4" t="s">
        <v>934</v>
      </c>
    </row>
    <row r="32441" spans="2:5" x14ac:dyDescent="0.2">
      <c r="B32441" s="4" t="s">
        <v>932</v>
      </c>
      <c r="C32441" s="4" t="s">
        <v>933</v>
      </c>
      <c r="D32441" s="4" t="s">
        <v>0</v>
      </c>
      <c r="E32441" s="4" t="s">
        <v>923</v>
      </c>
    </row>
    <row r="32442" spans="2:5" x14ac:dyDescent="0.2">
      <c r="B32442" s="4" t="s">
        <v>930</v>
      </c>
      <c r="C32442" s="4" t="s">
        <v>0</v>
      </c>
      <c r="D32442" s="4" t="s">
        <v>0</v>
      </c>
      <c r="E32442" s="4" t="s">
        <v>925</v>
      </c>
    </row>
    <row r="32443" spans="2:5" x14ac:dyDescent="0.2">
      <c r="B32443" s="4" t="s">
        <v>929</v>
      </c>
      <c r="C32443" s="4" t="s">
        <v>933</v>
      </c>
      <c r="D32443" s="4" t="s">
        <v>0</v>
      </c>
      <c r="E32443" s="4" t="s">
        <v>934</v>
      </c>
    </row>
    <row r="32444" spans="2:5" x14ac:dyDescent="0.2">
      <c r="B32444" s="4" t="s">
        <v>932</v>
      </c>
      <c r="C32444" s="4" t="s">
        <v>933</v>
      </c>
      <c r="D32444" s="4" t="s">
        <v>0</v>
      </c>
      <c r="E32444" s="4" t="s">
        <v>923</v>
      </c>
    </row>
    <row r="32445" spans="2:5" x14ac:dyDescent="0.2">
      <c r="B32445" s="4" t="s">
        <v>930</v>
      </c>
      <c r="C32445" s="4" t="s">
        <v>0</v>
      </c>
      <c r="D32445" s="4" t="s">
        <v>0</v>
      </c>
      <c r="E32445" s="4" t="s">
        <v>925</v>
      </c>
    </row>
    <row r="32446" spans="2:5" x14ac:dyDescent="0.2">
      <c r="B32446" s="4" t="s">
        <v>929</v>
      </c>
      <c r="C32446" s="4" t="s">
        <v>933</v>
      </c>
      <c r="D32446" s="4" t="s">
        <v>0</v>
      </c>
      <c r="E32446" s="4" t="s">
        <v>934</v>
      </c>
    </row>
    <row r="32447" spans="2:5" x14ac:dyDescent="0.2">
      <c r="B32447" s="4" t="s">
        <v>930</v>
      </c>
      <c r="C32447" s="4" t="s">
        <v>0</v>
      </c>
      <c r="D32447" s="4" t="s">
        <v>0</v>
      </c>
      <c r="E32447" s="4" t="s">
        <v>925</v>
      </c>
    </row>
    <row r="32448" spans="2:5" x14ac:dyDescent="0.2">
      <c r="B32448" s="4" t="s">
        <v>932</v>
      </c>
      <c r="C32448" s="4" t="s">
        <v>0</v>
      </c>
      <c r="D32448" s="4" t="s">
        <v>0</v>
      </c>
      <c r="E32448" s="4" t="s">
        <v>925</v>
      </c>
    </row>
    <row r="32449" spans="2:5" x14ac:dyDescent="0.2">
      <c r="B32449" s="4" t="s">
        <v>929</v>
      </c>
      <c r="C32449" s="4" t="s">
        <v>933</v>
      </c>
      <c r="D32449" s="4" t="s">
        <v>0</v>
      </c>
      <c r="E32449" s="4" t="s">
        <v>934</v>
      </c>
    </row>
    <row r="32450" spans="2:5" x14ac:dyDescent="0.2">
      <c r="B32450" s="4" t="s">
        <v>930</v>
      </c>
      <c r="C32450" s="4" t="s">
        <v>0</v>
      </c>
      <c r="D32450" s="4" t="s">
        <v>0</v>
      </c>
      <c r="E32450" s="4" t="s">
        <v>925</v>
      </c>
    </row>
    <row r="32451" spans="2:5" x14ac:dyDescent="0.2">
      <c r="B32451" s="4" t="s">
        <v>932</v>
      </c>
      <c r="C32451" s="4" t="s">
        <v>0</v>
      </c>
      <c r="D32451" s="4" t="s">
        <v>0</v>
      </c>
      <c r="E32451" s="4" t="s">
        <v>925</v>
      </c>
    </row>
    <row r="32452" spans="2:5" x14ac:dyDescent="0.2">
      <c r="B32452" s="4" t="s">
        <v>929</v>
      </c>
      <c r="C32452" s="4" t="s">
        <v>933</v>
      </c>
      <c r="D32452" s="4" t="s">
        <v>0</v>
      </c>
      <c r="E32452" s="4" t="s">
        <v>934</v>
      </c>
    </row>
    <row r="32453" spans="2:5" x14ac:dyDescent="0.2">
      <c r="B32453" s="4" t="s">
        <v>930</v>
      </c>
      <c r="C32453" s="4" t="s">
        <v>0</v>
      </c>
      <c r="D32453" s="4" t="s">
        <v>0</v>
      </c>
      <c r="E32453" s="4" t="s">
        <v>925</v>
      </c>
    </row>
    <row r="32454" spans="2:5" x14ac:dyDescent="0.2">
      <c r="B32454" s="4" t="s">
        <v>932</v>
      </c>
      <c r="C32454" s="4" t="s">
        <v>0</v>
      </c>
      <c r="D32454" s="4" t="s">
        <v>0</v>
      </c>
      <c r="E32454" s="4" t="s">
        <v>925</v>
      </c>
    </row>
    <row r="32455" spans="2:5" x14ac:dyDescent="0.2">
      <c r="B32455" s="4" t="s">
        <v>929</v>
      </c>
      <c r="C32455" s="4" t="s">
        <v>933</v>
      </c>
      <c r="D32455" s="4" t="s">
        <v>0</v>
      </c>
      <c r="E32455" s="4" t="s">
        <v>934</v>
      </c>
    </row>
    <row r="32456" spans="2:5" x14ac:dyDescent="0.2">
      <c r="B32456" s="4" t="s">
        <v>930</v>
      </c>
      <c r="C32456" s="4" t="s">
        <v>0</v>
      </c>
      <c r="D32456" s="4" t="s">
        <v>0</v>
      </c>
      <c r="E32456" s="4" t="s">
        <v>925</v>
      </c>
    </row>
    <row r="32457" spans="2:5" x14ac:dyDescent="0.2">
      <c r="B32457" s="4" t="s">
        <v>932</v>
      </c>
      <c r="C32457" s="4" t="s">
        <v>0</v>
      </c>
      <c r="D32457" s="4" t="s">
        <v>0</v>
      </c>
      <c r="E32457" s="4" t="s">
        <v>925</v>
      </c>
    </row>
    <row r="32458" spans="2:5" x14ac:dyDescent="0.2">
      <c r="B32458" s="4" t="s">
        <v>929</v>
      </c>
      <c r="C32458" s="4" t="s">
        <v>933</v>
      </c>
      <c r="D32458" s="4" t="s">
        <v>0</v>
      </c>
      <c r="E32458" s="4" t="s">
        <v>934</v>
      </c>
    </row>
    <row r="32459" spans="2:5" x14ac:dyDescent="0.2">
      <c r="B32459" s="4" t="s">
        <v>930</v>
      </c>
      <c r="C32459" s="4" t="s">
        <v>0</v>
      </c>
      <c r="D32459" s="4" t="s">
        <v>0</v>
      </c>
      <c r="E32459" s="4" t="s">
        <v>925</v>
      </c>
    </row>
    <row r="32460" spans="2:5" x14ac:dyDescent="0.2">
      <c r="B32460" s="4" t="s">
        <v>932</v>
      </c>
      <c r="C32460" s="4" t="s">
        <v>0</v>
      </c>
      <c r="D32460" s="4" t="s">
        <v>0</v>
      </c>
      <c r="E32460" s="4" t="s">
        <v>925</v>
      </c>
    </row>
    <row r="32461" spans="2:5" x14ac:dyDescent="0.2">
      <c r="B32461" s="4" t="s">
        <v>929</v>
      </c>
      <c r="C32461" s="4" t="s">
        <v>933</v>
      </c>
      <c r="D32461" s="4" t="s">
        <v>0</v>
      </c>
      <c r="E32461" s="4" t="s">
        <v>934</v>
      </c>
    </row>
    <row r="32462" spans="2:5" x14ac:dyDescent="0.2">
      <c r="B32462" s="4" t="s">
        <v>930</v>
      </c>
      <c r="C32462" s="4" t="s">
        <v>0</v>
      </c>
      <c r="D32462" s="4" t="s">
        <v>0</v>
      </c>
      <c r="E32462" s="4" t="s">
        <v>925</v>
      </c>
    </row>
    <row r="32463" spans="2:5" x14ac:dyDescent="0.2">
      <c r="B32463" s="4" t="s">
        <v>932</v>
      </c>
      <c r="C32463" s="4" t="s">
        <v>0</v>
      </c>
      <c r="D32463" s="4" t="s">
        <v>0</v>
      </c>
      <c r="E32463" s="4" t="s">
        <v>925</v>
      </c>
    </row>
    <row r="32464" spans="2:5" x14ac:dyDescent="0.2">
      <c r="B32464" s="4" t="s">
        <v>929</v>
      </c>
      <c r="C32464" s="4" t="s">
        <v>933</v>
      </c>
      <c r="D32464" s="4" t="s">
        <v>0</v>
      </c>
      <c r="E32464" s="4" t="s">
        <v>934</v>
      </c>
    </row>
    <row r="32465" spans="2:5" x14ac:dyDescent="0.2">
      <c r="B32465" s="4" t="s">
        <v>932</v>
      </c>
      <c r="C32465" s="4" t="s">
        <v>0</v>
      </c>
      <c r="D32465" s="4" t="s">
        <v>0</v>
      </c>
      <c r="E32465" s="4" t="s">
        <v>925</v>
      </c>
    </row>
    <row r="32466" spans="2:5" x14ac:dyDescent="0.2">
      <c r="B32466" s="4" t="s">
        <v>930</v>
      </c>
      <c r="C32466" s="4" t="s">
        <v>0</v>
      </c>
      <c r="D32466" s="4" t="s">
        <v>0</v>
      </c>
      <c r="E32466" s="4" t="s">
        <v>925</v>
      </c>
    </row>
    <row r="32467" spans="2:5" x14ac:dyDescent="0.2">
      <c r="B32467" s="4" t="s">
        <v>929</v>
      </c>
      <c r="C32467" s="4" t="s">
        <v>933</v>
      </c>
      <c r="D32467" s="4" t="s">
        <v>0</v>
      </c>
      <c r="E32467" s="4" t="s">
        <v>934</v>
      </c>
    </row>
    <row r="32468" spans="2:5" x14ac:dyDescent="0.2">
      <c r="B32468" s="4" t="s">
        <v>932</v>
      </c>
      <c r="C32468" s="4" t="s">
        <v>0</v>
      </c>
      <c r="D32468" s="4" t="s">
        <v>0</v>
      </c>
      <c r="E32468" s="4" t="s">
        <v>925</v>
      </c>
    </row>
    <row r="32469" spans="2:5" x14ac:dyDescent="0.2">
      <c r="B32469" s="4" t="s">
        <v>930</v>
      </c>
      <c r="C32469" s="4" t="s">
        <v>0</v>
      </c>
      <c r="D32469" s="4" t="s">
        <v>0</v>
      </c>
      <c r="E32469" s="4" t="s">
        <v>925</v>
      </c>
    </row>
    <row r="32470" spans="2:5" x14ac:dyDescent="0.2">
      <c r="B32470" s="4" t="s">
        <v>929</v>
      </c>
      <c r="C32470" s="4" t="s">
        <v>933</v>
      </c>
      <c r="D32470" s="4" t="s">
        <v>0</v>
      </c>
      <c r="E32470" s="4" t="s">
        <v>934</v>
      </c>
    </row>
    <row r="32471" spans="2:5" x14ac:dyDescent="0.2">
      <c r="B32471" s="4" t="s">
        <v>932</v>
      </c>
      <c r="C32471" s="4" t="s">
        <v>0</v>
      </c>
      <c r="D32471" s="4" t="s">
        <v>0</v>
      </c>
      <c r="E32471" s="4" t="s">
        <v>925</v>
      </c>
    </row>
    <row r="32472" spans="2:5" x14ac:dyDescent="0.2">
      <c r="B32472" s="4" t="s">
        <v>930</v>
      </c>
      <c r="C32472" s="4" t="s">
        <v>0</v>
      </c>
      <c r="D32472" s="4" t="s">
        <v>0</v>
      </c>
      <c r="E32472" s="4" t="s">
        <v>925</v>
      </c>
    </row>
    <row r="32473" spans="2:5" x14ac:dyDescent="0.2">
      <c r="B32473" s="4" t="s">
        <v>929</v>
      </c>
      <c r="C32473" s="4" t="s">
        <v>933</v>
      </c>
      <c r="D32473" s="4" t="s">
        <v>0</v>
      </c>
      <c r="E32473" s="4" t="s">
        <v>934</v>
      </c>
    </row>
    <row r="32474" spans="2:5" x14ac:dyDescent="0.2">
      <c r="B32474" s="4" t="s">
        <v>932</v>
      </c>
      <c r="C32474" s="4" t="s">
        <v>0</v>
      </c>
      <c r="D32474" s="4" t="s">
        <v>0</v>
      </c>
      <c r="E32474" s="4" t="s">
        <v>925</v>
      </c>
    </row>
    <row r="32475" spans="2:5" x14ac:dyDescent="0.2">
      <c r="B32475" s="4" t="s">
        <v>930</v>
      </c>
      <c r="C32475" s="4" t="s">
        <v>0</v>
      </c>
      <c r="D32475" s="4" t="s">
        <v>0</v>
      </c>
      <c r="E32475" s="4" t="s">
        <v>925</v>
      </c>
    </row>
    <row r="32476" spans="2:5" x14ac:dyDescent="0.2">
      <c r="B32476" s="4" t="s">
        <v>929</v>
      </c>
      <c r="C32476" s="4" t="s">
        <v>933</v>
      </c>
      <c r="D32476" s="4" t="s">
        <v>0</v>
      </c>
      <c r="E32476" s="4" t="s">
        <v>934</v>
      </c>
    </row>
    <row r="32477" spans="2:5" x14ac:dyDescent="0.2">
      <c r="B32477" s="4" t="s">
        <v>932</v>
      </c>
      <c r="C32477" s="4" t="s">
        <v>0</v>
      </c>
      <c r="D32477" s="4" t="s">
        <v>0</v>
      </c>
      <c r="E32477" s="4" t="s">
        <v>925</v>
      </c>
    </row>
    <row r="32478" spans="2:5" x14ac:dyDescent="0.2">
      <c r="B32478" s="4" t="s">
        <v>930</v>
      </c>
      <c r="C32478" s="4" t="s">
        <v>0</v>
      </c>
      <c r="D32478" s="4" t="s">
        <v>0</v>
      </c>
      <c r="E32478" s="4" t="s">
        <v>925</v>
      </c>
    </row>
    <row r="32479" spans="2:5" x14ac:dyDescent="0.2">
      <c r="B32479" s="4" t="s">
        <v>929</v>
      </c>
      <c r="C32479" s="4" t="s">
        <v>933</v>
      </c>
      <c r="D32479" s="4" t="s">
        <v>0</v>
      </c>
      <c r="E32479" s="4" t="s">
        <v>934</v>
      </c>
    </row>
    <row r="32480" spans="2:5" x14ac:dyDescent="0.2">
      <c r="B32480" s="4" t="s">
        <v>930</v>
      </c>
      <c r="C32480" s="4" t="s">
        <v>935</v>
      </c>
      <c r="D32480" s="4" t="s">
        <v>0</v>
      </c>
      <c r="E32480" s="4" t="s">
        <v>923</v>
      </c>
    </row>
    <row r="32481" spans="2:5" x14ac:dyDescent="0.2">
      <c r="B32481" s="4" t="s">
        <v>932</v>
      </c>
      <c r="C32481" s="4" t="s">
        <v>0</v>
      </c>
      <c r="D32481" s="4" t="s">
        <v>0</v>
      </c>
      <c r="E32481" s="4" t="s">
        <v>925</v>
      </c>
    </row>
    <row r="32482" spans="2:5" x14ac:dyDescent="0.2">
      <c r="B32482" s="4" t="s">
        <v>929</v>
      </c>
      <c r="C32482" s="4" t="s">
        <v>933</v>
      </c>
      <c r="D32482" s="4" t="s">
        <v>0</v>
      </c>
      <c r="E32482" s="4" t="s">
        <v>934</v>
      </c>
    </row>
    <row r="32483" spans="2:5" x14ac:dyDescent="0.2">
      <c r="B32483" s="4" t="s">
        <v>930</v>
      </c>
      <c r="C32483" s="4" t="s">
        <v>933</v>
      </c>
      <c r="D32483" s="4" t="s">
        <v>0</v>
      </c>
      <c r="E32483" s="4" t="s">
        <v>923</v>
      </c>
    </row>
    <row r="32484" spans="2:5" x14ac:dyDescent="0.2">
      <c r="B32484" s="4" t="s">
        <v>932</v>
      </c>
      <c r="C32484" s="4" t="s">
        <v>0</v>
      </c>
      <c r="D32484" s="4" t="s">
        <v>0</v>
      </c>
      <c r="E32484" s="4" t="s">
        <v>925</v>
      </c>
    </row>
    <row r="32485" spans="2:5" x14ac:dyDescent="0.2">
      <c r="B32485" s="4" t="s">
        <v>929</v>
      </c>
      <c r="C32485" s="4" t="s">
        <v>933</v>
      </c>
      <c r="D32485" s="4" t="s">
        <v>0</v>
      </c>
      <c r="E32485" s="4" t="s">
        <v>934</v>
      </c>
    </row>
    <row r="32486" spans="2:5" x14ac:dyDescent="0.2">
      <c r="B32486" s="4" t="s">
        <v>932</v>
      </c>
      <c r="C32486" s="4" t="s">
        <v>0</v>
      </c>
      <c r="D32486" s="4" t="s">
        <v>0</v>
      </c>
      <c r="E32486" s="4" t="s">
        <v>925</v>
      </c>
    </row>
    <row r="32487" spans="2:5" x14ac:dyDescent="0.2">
      <c r="B32487" s="4" t="s">
        <v>930</v>
      </c>
      <c r="C32487" s="4" t="s">
        <v>0</v>
      </c>
      <c r="D32487" s="4" t="s">
        <v>0</v>
      </c>
      <c r="E32487" s="4" t="s">
        <v>925</v>
      </c>
    </row>
    <row r="32488" spans="2:5" x14ac:dyDescent="0.2">
      <c r="B32488" s="4" t="s">
        <v>929</v>
      </c>
      <c r="C32488" s="4" t="s">
        <v>933</v>
      </c>
      <c r="D32488" s="4" t="s">
        <v>0</v>
      </c>
      <c r="E32488" s="4" t="s">
        <v>934</v>
      </c>
    </row>
    <row r="32489" spans="2:5" x14ac:dyDescent="0.2">
      <c r="B32489" s="4" t="s">
        <v>932</v>
      </c>
      <c r="C32489" s="4" t="s">
        <v>0</v>
      </c>
      <c r="D32489" s="4" t="s">
        <v>0</v>
      </c>
      <c r="E32489" s="4" t="s">
        <v>925</v>
      </c>
    </row>
    <row r="32490" spans="2:5" x14ac:dyDescent="0.2">
      <c r="B32490" s="4" t="s">
        <v>930</v>
      </c>
      <c r="C32490" s="4" t="s">
        <v>0</v>
      </c>
      <c r="D32490" s="4" t="s">
        <v>0</v>
      </c>
      <c r="E32490" s="4" t="s">
        <v>925</v>
      </c>
    </row>
    <row r="32491" spans="2:5" x14ac:dyDescent="0.2">
      <c r="B32491" s="4" t="s">
        <v>929</v>
      </c>
      <c r="C32491" s="4" t="s">
        <v>933</v>
      </c>
      <c r="D32491" s="4" t="s">
        <v>0</v>
      </c>
      <c r="E32491" s="4" t="s">
        <v>934</v>
      </c>
    </row>
    <row r="32492" spans="2:5" x14ac:dyDescent="0.2">
      <c r="B32492" s="4" t="s">
        <v>966</v>
      </c>
      <c r="C32492" s="4" t="s">
        <v>0</v>
      </c>
      <c r="D32492" s="4" t="s">
        <v>0</v>
      </c>
      <c r="E32492" s="4" t="s">
        <v>925</v>
      </c>
    </row>
    <row r="32493" spans="2:5" x14ac:dyDescent="0.2">
      <c r="B32493" s="4" t="s">
        <v>967</v>
      </c>
      <c r="C32493" s="4" t="s">
        <v>0</v>
      </c>
      <c r="D32493" s="4" t="s">
        <v>0</v>
      </c>
      <c r="E32493" s="4" t="s">
        <v>925</v>
      </c>
    </row>
    <row r="32494" spans="2:5" x14ac:dyDescent="0.2">
      <c r="B32494" s="4" t="s">
        <v>968</v>
      </c>
      <c r="C32494" s="4" t="s">
        <v>0</v>
      </c>
      <c r="D32494" s="4" t="s">
        <v>0</v>
      </c>
      <c r="E32494" s="4" t="s">
        <v>925</v>
      </c>
    </row>
    <row r="32495" spans="2:5" x14ac:dyDescent="0.2">
      <c r="B32495" s="4" t="s">
        <v>969</v>
      </c>
      <c r="C32495" s="4" t="s">
        <v>0</v>
      </c>
      <c r="D32495" s="4" t="s">
        <v>0</v>
      </c>
      <c r="E32495" s="4" t="s">
        <v>925</v>
      </c>
    </row>
    <row r="32496" spans="2:5" x14ac:dyDescent="0.2">
      <c r="B32496" s="4" t="s">
        <v>951</v>
      </c>
      <c r="C32496" s="4" t="s">
        <v>0</v>
      </c>
      <c r="D32496" s="4" t="s">
        <v>0</v>
      </c>
      <c r="E32496" s="4" t="s">
        <v>925</v>
      </c>
    </row>
    <row r="32497" spans="2:5" x14ac:dyDescent="0.2">
      <c r="B32497" s="4" t="s">
        <v>970</v>
      </c>
      <c r="C32497" s="4" t="s">
        <v>0</v>
      </c>
      <c r="D32497" s="4" t="s">
        <v>0</v>
      </c>
      <c r="E32497" s="4" t="s">
        <v>925</v>
      </c>
    </row>
    <row r="32498" spans="2:5" x14ac:dyDescent="0.2">
      <c r="B32498" s="4" t="s">
        <v>929</v>
      </c>
      <c r="C32498" s="4" t="s">
        <v>935</v>
      </c>
      <c r="D32498" s="4" t="s">
        <v>0</v>
      </c>
      <c r="E32498" s="4" t="s">
        <v>934</v>
      </c>
    </row>
    <row r="32499" spans="2:5" x14ac:dyDescent="0.2">
      <c r="B32499" s="4" t="s">
        <v>971</v>
      </c>
      <c r="C32499" s="4" t="s">
        <v>0</v>
      </c>
      <c r="D32499" s="4" t="s">
        <v>0</v>
      </c>
      <c r="E32499" s="4" t="s">
        <v>925</v>
      </c>
    </row>
    <row r="32500" spans="2:5" x14ac:dyDescent="0.2">
      <c r="B32500" s="4" t="s">
        <v>972</v>
      </c>
      <c r="C32500" s="4" t="s">
        <v>0</v>
      </c>
      <c r="D32500" s="4" t="s">
        <v>0</v>
      </c>
      <c r="E32500" s="4" t="s">
        <v>925</v>
      </c>
    </row>
    <row r="32501" spans="2:5" x14ac:dyDescent="0.2">
      <c r="B32501" s="4" t="s">
        <v>973</v>
      </c>
      <c r="C32501" s="4" t="s">
        <v>0</v>
      </c>
      <c r="D32501" s="4" t="s">
        <v>0</v>
      </c>
      <c r="E32501" s="4" t="s">
        <v>925</v>
      </c>
    </row>
    <row r="32502" spans="2:5" x14ac:dyDescent="0.2">
      <c r="B32502" s="4" t="s">
        <v>974</v>
      </c>
      <c r="C32502" s="4" t="s">
        <v>0</v>
      </c>
      <c r="D32502" s="4" t="s">
        <v>0</v>
      </c>
      <c r="E32502" s="4" t="s">
        <v>925</v>
      </c>
    </row>
    <row r="32503" spans="2:5" x14ac:dyDescent="0.2">
      <c r="B32503" s="4" t="s">
        <v>951</v>
      </c>
      <c r="C32503" s="4" t="s">
        <v>0</v>
      </c>
      <c r="D32503" s="4" t="s">
        <v>0</v>
      </c>
      <c r="E32503" s="4" t="s">
        <v>925</v>
      </c>
    </row>
    <row r="32504" spans="2:5" x14ac:dyDescent="0.2">
      <c r="B32504" s="4" t="s">
        <v>929</v>
      </c>
      <c r="C32504" s="4" t="s">
        <v>935</v>
      </c>
      <c r="D32504" s="4" t="s">
        <v>0</v>
      </c>
      <c r="E32504" s="4" t="s">
        <v>934</v>
      </c>
    </row>
    <row r="32505" spans="2:5" x14ac:dyDescent="0.2">
      <c r="B32505" s="4" t="s">
        <v>932</v>
      </c>
      <c r="C32505" s="4" t="s">
        <v>933</v>
      </c>
      <c r="D32505" s="4" t="s">
        <v>0</v>
      </c>
      <c r="E32505" s="4" t="s">
        <v>923</v>
      </c>
    </row>
    <row r="32506" spans="2:5" x14ac:dyDescent="0.2">
      <c r="B32506" s="4" t="s">
        <v>930</v>
      </c>
      <c r="C32506" s="4" t="s">
        <v>0</v>
      </c>
      <c r="D32506" s="4" t="s">
        <v>0</v>
      </c>
      <c r="E32506" s="4" t="s">
        <v>925</v>
      </c>
    </row>
    <row r="32507" spans="2:5" x14ac:dyDescent="0.2">
      <c r="B32507" s="4" t="s">
        <v>929</v>
      </c>
      <c r="C32507" s="4" t="s">
        <v>0</v>
      </c>
      <c r="D32507" s="4" t="s">
        <v>0</v>
      </c>
      <c r="E32507" s="4" t="s">
        <v>925</v>
      </c>
    </row>
    <row r="32508" spans="2:5" x14ac:dyDescent="0.2">
      <c r="B32508" s="4" t="s">
        <v>13</v>
      </c>
      <c r="C32508" s="4" t="s">
        <v>922</v>
      </c>
      <c r="D32508" s="4" t="s">
        <v>0</v>
      </c>
      <c r="E32508" s="4" t="s">
        <v>923</v>
      </c>
    </row>
    <row r="32509" spans="2:5" x14ac:dyDescent="0.2">
      <c r="B32509" s="4" t="s">
        <v>929</v>
      </c>
      <c r="C32509" s="4" t="s">
        <v>0</v>
      </c>
      <c r="D32509" s="4" t="s">
        <v>0</v>
      </c>
      <c r="E32509" s="4" t="s">
        <v>925</v>
      </c>
    </row>
    <row r="32510" spans="2:5" x14ac:dyDescent="0.2">
      <c r="B32510" s="4" t="s">
        <v>13</v>
      </c>
      <c r="C32510" s="4" t="s">
        <v>922</v>
      </c>
      <c r="D32510" s="4" t="s">
        <v>0</v>
      </c>
      <c r="E32510" s="4" t="s">
        <v>923</v>
      </c>
    </row>
    <row r="32511" spans="2:5" x14ac:dyDescent="0.2">
      <c r="B32511" s="4" t="s">
        <v>929</v>
      </c>
      <c r="C32511" s="4" t="s">
        <v>0</v>
      </c>
      <c r="D32511" s="4" t="s">
        <v>0</v>
      </c>
      <c r="E32511" s="4" t="s">
        <v>925</v>
      </c>
    </row>
    <row r="32512" spans="2:5" x14ac:dyDescent="0.2">
      <c r="B32512" s="4" t="s">
        <v>13</v>
      </c>
      <c r="C32512" s="4" t="s">
        <v>922</v>
      </c>
      <c r="D32512" s="4" t="s">
        <v>0</v>
      </c>
      <c r="E32512" s="4" t="s">
        <v>923</v>
      </c>
    </row>
    <row r="32513" spans="2:5" x14ac:dyDescent="0.2">
      <c r="B32513" s="4" t="s">
        <v>929</v>
      </c>
      <c r="C32513" s="4" t="s">
        <v>0</v>
      </c>
      <c r="D32513" s="4" t="s">
        <v>0</v>
      </c>
      <c r="E32513" s="4" t="s">
        <v>925</v>
      </c>
    </row>
    <row r="32514" spans="2:5" x14ac:dyDescent="0.2">
      <c r="B32514" s="4" t="s">
        <v>13</v>
      </c>
      <c r="C32514" s="4" t="s">
        <v>922</v>
      </c>
      <c r="D32514" s="4" t="s">
        <v>0</v>
      </c>
      <c r="E32514" s="4" t="s">
        <v>923</v>
      </c>
    </row>
    <row r="32515" spans="2:5" x14ac:dyDescent="0.2">
      <c r="B32515" s="4" t="s">
        <v>929</v>
      </c>
      <c r="C32515" s="4" t="s">
        <v>0</v>
      </c>
      <c r="D32515" s="4" t="s">
        <v>0</v>
      </c>
      <c r="E32515" s="4" t="s">
        <v>925</v>
      </c>
    </row>
    <row r="32516" spans="2:5" x14ac:dyDescent="0.2">
      <c r="B32516" s="4" t="s">
        <v>932</v>
      </c>
      <c r="C32516" s="4" t="s">
        <v>0</v>
      </c>
      <c r="D32516" s="4" t="s">
        <v>0</v>
      </c>
      <c r="E32516" s="4" t="s">
        <v>925</v>
      </c>
    </row>
    <row r="32517" spans="2:5" x14ac:dyDescent="0.2">
      <c r="B32517" s="4" t="s">
        <v>930</v>
      </c>
      <c r="C32517" s="4" t="s">
        <v>933</v>
      </c>
      <c r="D32517" s="4" t="s">
        <v>0</v>
      </c>
      <c r="E32517" s="4" t="s">
        <v>923</v>
      </c>
    </row>
    <row r="32518" spans="2:5" x14ac:dyDescent="0.2">
      <c r="B32518" s="4" t="s">
        <v>929</v>
      </c>
      <c r="C32518" s="4" t="s">
        <v>0</v>
      </c>
      <c r="D32518" s="4" t="s">
        <v>0</v>
      </c>
      <c r="E32518" s="4" t="s">
        <v>925</v>
      </c>
    </row>
    <row r="32519" spans="2:5" x14ac:dyDescent="0.2">
      <c r="B32519" s="4" t="s">
        <v>932</v>
      </c>
      <c r="C32519" s="4" t="s">
        <v>933</v>
      </c>
      <c r="D32519" s="4" t="s">
        <v>0</v>
      </c>
      <c r="E32519" s="4" t="s">
        <v>923</v>
      </c>
    </row>
    <row r="32520" spans="2:5" x14ac:dyDescent="0.2">
      <c r="B32520" s="4" t="s">
        <v>930</v>
      </c>
      <c r="C32520" s="4" t="s">
        <v>0</v>
      </c>
      <c r="D32520" s="4" t="s">
        <v>0</v>
      </c>
      <c r="E32520" s="4" t="s">
        <v>925</v>
      </c>
    </row>
    <row r="32521" spans="2:5" x14ac:dyDescent="0.2">
      <c r="B32521" s="4" t="s">
        <v>929</v>
      </c>
      <c r="C32521" s="4" t="s">
        <v>933</v>
      </c>
      <c r="D32521" s="4" t="s">
        <v>0</v>
      </c>
      <c r="E32521" s="4" t="s">
        <v>934</v>
      </c>
    </row>
    <row r="32522" spans="2:5" x14ac:dyDescent="0.2">
      <c r="B32522" s="4" t="s">
        <v>932</v>
      </c>
      <c r="C32522" s="4" t="s">
        <v>933</v>
      </c>
      <c r="D32522" s="4" t="s">
        <v>0</v>
      </c>
      <c r="E32522" s="4" t="s">
        <v>923</v>
      </c>
    </row>
    <row r="32523" spans="2:5" x14ac:dyDescent="0.2">
      <c r="B32523" s="4" t="s">
        <v>930</v>
      </c>
      <c r="C32523" s="4" t="s">
        <v>0</v>
      </c>
      <c r="D32523" s="4" t="s">
        <v>0</v>
      </c>
      <c r="E32523" s="4" t="s">
        <v>925</v>
      </c>
    </row>
    <row r="32524" spans="2:5" x14ac:dyDescent="0.2">
      <c r="B32524" s="4" t="s">
        <v>929</v>
      </c>
      <c r="C32524" s="4" t="s">
        <v>933</v>
      </c>
      <c r="D32524" s="4" t="s">
        <v>0</v>
      </c>
      <c r="E32524" s="4" t="s">
        <v>934</v>
      </c>
    </row>
    <row r="32525" spans="2:5" x14ac:dyDescent="0.2">
      <c r="B32525" s="4" t="s">
        <v>932</v>
      </c>
      <c r="C32525" s="4" t="s">
        <v>933</v>
      </c>
      <c r="D32525" s="4" t="s">
        <v>0</v>
      </c>
      <c r="E32525" s="4" t="s">
        <v>923</v>
      </c>
    </row>
    <row r="32526" spans="2:5" x14ac:dyDescent="0.2">
      <c r="B32526" s="4" t="s">
        <v>930</v>
      </c>
      <c r="C32526" s="4" t="s">
        <v>0</v>
      </c>
      <c r="D32526" s="4" t="s">
        <v>0</v>
      </c>
      <c r="E32526" s="4" t="s">
        <v>925</v>
      </c>
    </row>
    <row r="32527" spans="2:5" x14ac:dyDescent="0.2">
      <c r="B32527" s="4" t="s">
        <v>929</v>
      </c>
      <c r="C32527" s="4" t="s">
        <v>933</v>
      </c>
      <c r="D32527" s="4" t="s">
        <v>0</v>
      </c>
      <c r="E32527" s="4" t="s">
        <v>934</v>
      </c>
    </row>
    <row r="32528" spans="2:5" x14ac:dyDescent="0.2">
      <c r="B32528" s="4" t="s">
        <v>932</v>
      </c>
      <c r="C32528" s="4" t="s">
        <v>933</v>
      </c>
      <c r="D32528" s="4" t="s">
        <v>0</v>
      </c>
      <c r="E32528" s="4" t="s">
        <v>923</v>
      </c>
    </row>
    <row r="32529" spans="2:5" x14ac:dyDescent="0.2">
      <c r="B32529" s="4" t="s">
        <v>930</v>
      </c>
      <c r="C32529" s="4" t="s">
        <v>0</v>
      </c>
      <c r="D32529" s="4" t="s">
        <v>0</v>
      </c>
      <c r="E32529" s="4" t="s">
        <v>925</v>
      </c>
    </row>
    <row r="32530" spans="2:5" x14ac:dyDescent="0.2">
      <c r="B32530" s="4" t="s">
        <v>929</v>
      </c>
      <c r="C32530" s="4" t="s">
        <v>933</v>
      </c>
      <c r="D32530" s="4" t="s">
        <v>0</v>
      </c>
      <c r="E32530" s="4" t="s">
        <v>934</v>
      </c>
    </row>
    <row r="32531" spans="2:5" x14ac:dyDescent="0.2">
      <c r="B32531" s="4" t="s">
        <v>932</v>
      </c>
      <c r="C32531" s="4" t="s">
        <v>933</v>
      </c>
      <c r="D32531" s="4" t="s">
        <v>0</v>
      </c>
      <c r="E32531" s="4" t="s">
        <v>923</v>
      </c>
    </row>
    <row r="32532" spans="2:5" x14ac:dyDescent="0.2">
      <c r="B32532" s="4" t="s">
        <v>930</v>
      </c>
      <c r="C32532" s="4" t="s">
        <v>0</v>
      </c>
      <c r="D32532" s="4" t="s">
        <v>0</v>
      </c>
      <c r="E32532" s="4" t="s">
        <v>925</v>
      </c>
    </row>
    <row r="32533" spans="2:5" x14ac:dyDescent="0.2">
      <c r="B32533" s="4" t="s">
        <v>929</v>
      </c>
      <c r="C32533" s="4" t="s">
        <v>933</v>
      </c>
      <c r="D32533" s="4" t="s">
        <v>0</v>
      </c>
      <c r="E32533" s="4" t="s">
        <v>934</v>
      </c>
    </row>
    <row r="32534" spans="2:5" x14ac:dyDescent="0.2">
      <c r="B32534" s="4" t="s">
        <v>932</v>
      </c>
      <c r="C32534" s="4" t="s">
        <v>933</v>
      </c>
      <c r="D32534" s="4" t="s">
        <v>0</v>
      </c>
      <c r="E32534" s="4" t="s">
        <v>923</v>
      </c>
    </row>
    <row r="32535" spans="2:5" x14ac:dyDescent="0.2">
      <c r="B32535" s="4" t="s">
        <v>930</v>
      </c>
      <c r="C32535" s="4" t="s">
        <v>0</v>
      </c>
      <c r="D32535" s="4" t="s">
        <v>0</v>
      </c>
      <c r="E32535" s="4" t="s">
        <v>925</v>
      </c>
    </row>
    <row r="32536" spans="2:5" x14ac:dyDescent="0.2">
      <c r="B32536" s="4" t="s">
        <v>929</v>
      </c>
      <c r="C32536" s="4" t="s">
        <v>933</v>
      </c>
      <c r="D32536" s="4" t="s">
        <v>0</v>
      </c>
      <c r="E32536" s="4" t="s">
        <v>934</v>
      </c>
    </row>
    <row r="32537" spans="2:5" x14ac:dyDescent="0.2">
      <c r="B32537" s="4" t="s">
        <v>932</v>
      </c>
      <c r="C32537" s="4" t="s">
        <v>933</v>
      </c>
      <c r="D32537" s="4" t="s">
        <v>0</v>
      </c>
      <c r="E32537" s="4" t="s">
        <v>923</v>
      </c>
    </row>
    <row r="32538" spans="2:5" x14ac:dyDescent="0.2">
      <c r="B32538" s="4" t="s">
        <v>930</v>
      </c>
      <c r="C32538" s="4" t="s">
        <v>0</v>
      </c>
      <c r="D32538" s="4" t="s">
        <v>0</v>
      </c>
      <c r="E32538" s="4" t="s">
        <v>925</v>
      </c>
    </row>
    <row r="32539" spans="2:5" x14ac:dyDescent="0.2">
      <c r="B32539" s="4" t="s">
        <v>929</v>
      </c>
      <c r="C32539" s="4" t="s">
        <v>933</v>
      </c>
      <c r="D32539" s="4" t="s">
        <v>0</v>
      </c>
      <c r="E32539" s="4" t="s">
        <v>934</v>
      </c>
    </row>
    <row r="32540" spans="2:5" x14ac:dyDescent="0.2">
      <c r="B32540" s="4" t="s">
        <v>932</v>
      </c>
      <c r="C32540" s="4" t="s">
        <v>933</v>
      </c>
      <c r="D32540" s="4" t="s">
        <v>0</v>
      </c>
      <c r="E32540" s="4" t="s">
        <v>923</v>
      </c>
    </row>
    <row r="32541" spans="2:5" x14ac:dyDescent="0.2">
      <c r="B32541" s="4" t="s">
        <v>930</v>
      </c>
      <c r="C32541" s="4" t="s">
        <v>0</v>
      </c>
      <c r="D32541" s="4" t="s">
        <v>0</v>
      </c>
      <c r="E32541" s="4" t="s">
        <v>925</v>
      </c>
    </row>
    <row r="32542" spans="2:5" x14ac:dyDescent="0.2">
      <c r="B32542" s="4" t="s">
        <v>929</v>
      </c>
      <c r="C32542" s="4" t="s">
        <v>933</v>
      </c>
      <c r="D32542" s="4" t="s">
        <v>0</v>
      </c>
      <c r="E32542" s="4" t="s">
        <v>934</v>
      </c>
    </row>
    <row r="32543" spans="2:5" x14ac:dyDescent="0.2">
      <c r="B32543" s="4" t="s">
        <v>932</v>
      </c>
      <c r="C32543" s="4" t="s">
        <v>933</v>
      </c>
      <c r="D32543" s="4" t="s">
        <v>0</v>
      </c>
      <c r="E32543" s="4" t="s">
        <v>923</v>
      </c>
    </row>
    <row r="32544" spans="2:5" x14ac:dyDescent="0.2">
      <c r="B32544" s="4" t="s">
        <v>930</v>
      </c>
      <c r="C32544" s="4" t="s">
        <v>0</v>
      </c>
      <c r="D32544" s="4" t="s">
        <v>0</v>
      </c>
      <c r="E32544" s="4" t="s">
        <v>925</v>
      </c>
    </row>
    <row r="32545" spans="2:5" x14ac:dyDescent="0.2">
      <c r="B32545" s="4" t="s">
        <v>929</v>
      </c>
      <c r="C32545" s="4" t="s">
        <v>933</v>
      </c>
      <c r="D32545" s="4" t="s">
        <v>0</v>
      </c>
      <c r="E32545" s="4" t="s">
        <v>934</v>
      </c>
    </row>
    <row r="32546" spans="2:5" x14ac:dyDescent="0.2">
      <c r="B32546" s="4" t="s">
        <v>932</v>
      </c>
      <c r="C32546" s="4" t="s">
        <v>933</v>
      </c>
      <c r="D32546" s="4" t="s">
        <v>0</v>
      </c>
      <c r="E32546" s="4" t="s">
        <v>923</v>
      </c>
    </row>
    <row r="32547" spans="2:5" x14ac:dyDescent="0.2">
      <c r="B32547" s="4" t="s">
        <v>930</v>
      </c>
      <c r="C32547" s="4" t="s">
        <v>0</v>
      </c>
      <c r="D32547" s="4" t="s">
        <v>0</v>
      </c>
      <c r="E32547" s="4" t="s">
        <v>925</v>
      </c>
    </row>
    <row r="32548" spans="2:5" x14ac:dyDescent="0.2">
      <c r="B32548" s="4" t="s">
        <v>929</v>
      </c>
      <c r="C32548" s="4" t="s">
        <v>933</v>
      </c>
      <c r="D32548" s="4" t="s">
        <v>0</v>
      </c>
      <c r="E32548" s="4" t="s">
        <v>934</v>
      </c>
    </row>
    <row r="32549" spans="2:5" x14ac:dyDescent="0.2">
      <c r="B32549" s="4" t="s">
        <v>932</v>
      </c>
      <c r="C32549" s="4" t="s">
        <v>933</v>
      </c>
      <c r="D32549" s="4" t="s">
        <v>0</v>
      </c>
      <c r="E32549" s="4" t="s">
        <v>923</v>
      </c>
    </row>
    <row r="32550" spans="2:5" x14ac:dyDescent="0.2">
      <c r="B32550" s="4" t="s">
        <v>930</v>
      </c>
      <c r="C32550" s="4" t="s">
        <v>0</v>
      </c>
      <c r="D32550" s="4" t="s">
        <v>0</v>
      </c>
      <c r="E32550" s="4" t="s">
        <v>925</v>
      </c>
    </row>
    <row r="32551" spans="2:5" x14ac:dyDescent="0.2">
      <c r="B32551" s="4" t="s">
        <v>929</v>
      </c>
      <c r="C32551" s="4" t="s">
        <v>933</v>
      </c>
      <c r="D32551" s="4" t="s">
        <v>0</v>
      </c>
      <c r="E32551" s="4" t="s">
        <v>934</v>
      </c>
    </row>
    <row r="32552" spans="2:5" x14ac:dyDescent="0.2">
      <c r="B32552" s="4" t="s">
        <v>932</v>
      </c>
      <c r="C32552" s="4" t="s">
        <v>933</v>
      </c>
      <c r="D32552" s="4" t="s">
        <v>0</v>
      </c>
      <c r="E32552" s="4" t="s">
        <v>923</v>
      </c>
    </row>
    <row r="32553" spans="2:5" x14ac:dyDescent="0.2">
      <c r="B32553" s="4" t="s">
        <v>930</v>
      </c>
      <c r="C32553" s="4" t="s">
        <v>0</v>
      </c>
      <c r="D32553" s="4" t="s">
        <v>0</v>
      </c>
      <c r="E32553" s="4" t="s">
        <v>925</v>
      </c>
    </row>
    <row r="32554" spans="2:5" x14ac:dyDescent="0.2">
      <c r="B32554" s="4" t="s">
        <v>929</v>
      </c>
      <c r="C32554" s="4" t="s">
        <v>933</v>
      </c>
      <c r="D32554" s="4" t="s">
        <v>0</v>
      </c>
      <c r="E32554" s="4" t="s">
        <v>934</v>
      </c>
    </row>
    <row r="32555" spans="2:5" x14ac:dyDescent="0.2">
      <c r="B32555" s="4" t="s">
        <v>932</v>
      </c>
      <c r="C32555" s="4" t="s">
        <v>933</v>
      </c>
      <c r="D32555" s="4" t="s">
        <v>0</v>
      </c>
      <c r="E32555" s="4" t="s">
        <v>923</v>
      </c>
    </row>
    <row r="32556" spans="2:5" x14ac:dyDescent="0.2">
      <c r="B32556" s="4" t="s">
        <v>930</v>
      </c>
      <c r="C32556" s="4" t="s">
        <v>0</v>
      </c>
      <c r="D32556" s="4" t="s">
        <v>0</v>
      </c>
      <c r="E32556" s="4" t="s">
        <v>925</v>
      </c>
    </row>
    <row r="32557" spans="2:5" x14ac:dyDescent="0.2">
      <c r="B32557" s="4" t="s">
        <v>929</v>
      </c>
      <c r="C32557" s="4" t="s">
        <v>933</v>
      </c>
      <c r="D32557" s="4" t="s">
        <v>0</v>
      </c>
      <c r="E32557" s="4" t="s">
        <v>934</v>
      </c>
    </row>
    <row r="32558" spans="2:5" x14ac:dyDescent="0.2">
      <c r="B32558" s="4" t="s">
        <v>932</v>
      </c>
      <c r="C32558" s="4" t="s">
        <v>933</v>
      </c>
      <c r="D32558" s="4" t="s">
        <v>0</v>
      </c>
      <c r="E32558" s="4" t="s">
        <v>923</v>
      </c>
    </row>
    <row r="32559" spans="2:5" x14ac:dyDescent="0.2">
      <c r="B32559" s="4" t="s">
        <v>930</v>
      </c>
      <c r="C32559" s="4" t="s">
        <v>0</v>
      </c>
      <c r="D32559" s="4" t="s">
        <v>0</v>
      </c>
      <c r="E32559" s="4" t="s">
        <v>925</v>
      </c>
    </row>
    <row r="32560" spans="2:5" x14ac:dyDescent="0.2">
      <c r="B32560" s="4" t="s">
        <v>929</v>
      </c>
      <c r="C32560" s="4" t="s">
        <v>933</v>
      </c>
      <c r="D32560" s="4" t="s">
        <v>0</v>
      </c>
      <c r="E32560" s="4" t="s">
        <v>934</v>
      </c>
    </row>
    <row r="32561" spans="2:5" x14ac:dyDescent="0.2">
      <c r="B32561" s="4" t="s">
        <v>932</v>
      </c>
      <c r="C32561" s="4" t="s">
        <v>933</v>
      </c>
      <c r="D32561" s="4" t="s">
        <v>0</v>
      </c>
      <c r="E32561" s="4" t="s">
        <v>923</v>
      </c>
    </row>
    <row r="32562" spans="2:5" x14ac:dyDescent="0.2">
      <c r="B32562" s="4" t="s">
        <v>930</v>
      </c>
      <c r="C32562" s="4" t="s">
        <v>0</v>
      </c>
      <c r="D32562" s="4" t="s">
        <v>0</v>
      </c>
      <c r="E32562" s="4" t="s">
        <v>925</v>
      </c>
    </row>
    <row r="32563" spans="2:5" x14ac:dyDescent="0.2">
      <c r="B32563" s="4" t="s">
        <v>929</v>
      </c>
      <c r="C32563" s="4" t="s">
        <v>933</v>
      </c>
      <c r="D32563" s="4" t="s">
        <v>0</v>
      </c>
      <c r="E32563" s="4" t="s">
        <v>934</v>
      </c>
    </row>
    <row r="32564" spans="2:5" x14ac:dyDescent="0.2">
      <c r="B32564" s="4" t="s">
        <v>932</v>
      </c>
      <c r="C32564" s="4" t="s">
        <v>933</v>
      </c>
      <c r="D32564" s="4" t="s">
        <v>0</v>
      </c>
      <c r="E32564" s="4" t="s">
        <v>923</v>
      </c>
    </row>
    <row r="32565" spans="2:5" x14ac:dyDescent="0.2">
      <c r="B32565" s="4" t="s">
        <v>930</v>
      </c>
      <c r="C32565" s="4" t="s">
        <v>0</v>
      </c>
      <c r="D32565" s="4" t="s">
        <v>0</v>
      </c>
      <c r="E32565" s="4" t="s">
        <v>925</v>
      </c>
    </row>
    <row r="32566" spans="2:5" x14ac:dyDescent="0.2">
      <c r="B32566" s="4" t="s">
        <v>929</v>
      </c>
      <c r="C32566" s="4" t="s">
        <v>933</v>
      </c>
      <c r="D32566" s="4" t="s">
        <v>0</v>
      </c>
      <c r="E32566" s="4" t="s">
        <v>934</v>
      </c>
    </row>
    <row r="32567" spans="2:5" x14ac:dyDescent="0.2">
      <c r="B32567" s="4" t="s">
        <v>932</v>
      </c>
      <c r="C32567" s="4" t="s">
        <v>933</v>
      </c>
      <c r="D32567" s="4" t="s">
        <v>0</v>
      </c>
      <c r="E32567" s="4" t="s">
        <v>923</v>
      </c>
    </row>
    <row r="32568" spans="2:5" x14ac:dyDescent="0.2">
      <c r="B32568" s="4" t="s">
        <v>930</v>
      </c>
      <c r="C32568" s="4" t="s">
        <v>0</v>
      </c>
      <c r="D32568" s="4" t="s">
        <v>0</v>
      </c>
      <c r="E32568" s="4" t="s">
        <v>925</v>
      </c>
    </row>
    <row r="32569" spans="2:5" x14ac:dyDescent="0.2">
      <c r="B32569" s="4" t="s">
        <v>929</v>
      </c>
      <c r="C32569" s="4" t="s">
        <v>933</v>
      </c>
      <c r="D32569" s="4" t="s">
        <v>0</v>
      </c>
      <c r="E32569" s="4" t="s">
        <v>934</v>
      </c>
    </row>
    <row r="32570" spans="2:5" x14ac:dyDescent="0.2">
      <c r="B32570" s="4" t="s">
        <v>930</v>
      </c>
      <c r="C32570" s="4" t="s">
        <v>936</v>
      </c>
      <c r="D32570" s="4" t="s">
        <v>0</v>
      </c>
      <c r="E32570" s="4" t="s">
        <v>923</v>
      </c>
    </row>
    <row r="32571" spans="2:5" x14ac:dyDescent="0.2">
      <c r="B32571" s="4" t="s">
        <v>932</v>
      </c>
      <c r="C32571" s="4" t="s">
        <v>933</v>
      </c>
      <c r="D32571" s="4" t="s">
        <v>0</v>
      </c>
      <c r="E32571" s="4" t="s">
        <v>923</v>
      </c>
    </row>
    <row r="32572" spans="2:5" x14ac:dyDescent="0.2">
      <c r="B32572" s="4" t="s">
        <v>929</v>
      </c>
      <c r="C32572" s="4" t="s">
        <v>935</v>
      </c>
      <c r="D32572" s="4" t="s">
        <v>0</v>
      </c>
      <c r="E32572" s="4" t="s">
        <v>934</v>
      </c>
    </row>
    <row r="32573" spans="2:5" x14ac:dyDescent="0.2">
      <c r="B32573" s="4" t="s">
        <v>932</v>
      </c>
      <c r="C32573" s="4" t="s">
        <v>933</v>
      </c>
      <c r="D32573" s="4" t="s">
        <v>0</v>
      </c>
      <c r="E32573" s="4" t="s">
        <v>923</v>
      </c>
    </row>
    <row r="32574" spans="2:5" x14ac:dyDescent="0.2">
      <c r="B32574" s="4" t="s">
        <v>930</v>
      </c>
      <c r="C32574" s="4" t="s">
        <v>0</v>
      </c>
      <c r="D32574" s="4" t="s">
        <v>0</v>
      </c>
      <c r="E32574" s="4" t="s">
        <v>925</v>
      </c>
    </row>
    <row r="32575" spans="2:5" x14ac:dyDescent="0.2">
      <c r="B32575" s="4" t="s">
        <v>929</v>
      </c>
      <c r="C32575" s="4" t="s">
        <v>933</v>
      </c>
      <c r="D32575" s="4" t="s">
        <v>0</v>
      </c>
      <c r="E32575" s="4" t="s">
        <v>934</v>
      </c>
    </row>
    <row r="32576" spans="2:5" x14ac:dyDescent="0.2">
      <c r="B32576" s="4" t="s">
        <v>932</v>
      </c>
      <c r="C32576" s="4" t="s">
        <v>933</v>
      </c>
      <c r="D32576" s="4" t="s">
        <v>0</v>
      </c>
      <c r="E32576" s="4" t="s">
        <v>923</v>
      </c>
    </row>
    <row r="32577" spans="2:5" x14ac:dyDescent="0.2">
      <c r="B32577" s="4" t="s">
        <v>930</v>
      </c>
      <c r="C32577" s="4" t="s">
        <v>0</v>
      </c>
      <c r="D32577" s="4" t="s">
        <v>0</v>
      </c>
      <c r="E32577" s="4" t="s">
        <v>925</v>
      </c>
    </row>
    <row r="32578" spans="2:5" x14ac:dyDescent="0.2">
      <c r="B32578" s="4" t="s">
        <v>929</v>
      </c>
      <c r="C32578" s="4" t="s">
        <v>933</v>
      </c>
      <c r="D32578" s="4" t="s">
        <v>0</v>
      </c>
      <c r="E32578" s="4" t="s">
        <v>934</v>
      </c>
    </row>
    <row r="32579" spans="2:5" x14ac:dyDescent="0.2">
      <c r="B32579" s="4" t="s">
        <v>932</v>
      </c>
      <c r="C32579" s="4" t="s">
        <v>933</v>
      </c>
      <c r="D32579" s="4" t="s">
        <v>0</v>
      </c>
      <c r="E32579" s="4" t="s">
        <v>923</v>
      </c>
    </row>
    <row r="32580" spans="2:5" x14ac:dyDescent="0.2">
      <c r="B32580" s="4" t="s">
        <v>930</v>
      </c>
      <c r="C32580" s="4" t="s">
        <v>0</v>
      </c>
      <c r="D32580" s="4" t="s">
        <v>0</v>
      </c>
      <c r="E32580" s="4" t="s">
        <v>925</v>
      </c>
    </row>
    <row r="32581" spans="2:5" x14ac:dyDescent="0.2">
      <c r="B32581" s="4" t="s">
        <v>929</v>
      </c>
      <c r="C32581" s="4" t="s">
        <v>933</v>
      </c>
      <c r="D32581" s="4" t="s">
        <v>0</v>
      </c>
      <c r="E32581" s="4" t="s">
        <v>934</v>
      </c>
    </row>
    <row r="32582" spans="2:5" x14ac:dyDescent="0.2">
      <c r="B32582" s="4" t="s">
        <v>930</v>
      </c>
      <c r="C32582" s="4" t="s">
        <v>975</v>
      </c>
      <c r="D32582" s="4" t="s">
        <v>0</v>
      </c>
      <c r="E32582" s="4" t="s">
        <v>923</v>
      </c>
    </row>
    <row r="32583" spans="2:5" x14ac:dyDescent="0.2">
      <c r="B32583" s="4" t="s">
        <v>932</v>
      </c>
      <c r="C32583" s="4" t="s">
        <v>933</v>
      </c>
      <c r="D32583" s="4" t="s">
        <v>0</v>
      </c>
      <c r="E32583" s="4" t="s">
        <v>923</v>
      </c>
    </row>
    <row r="32584" spans="2:5" x14ac:dyDescent="0.2">
      <c r="B32584" s="4" t="s">
        <v>929</v>
      </c>
      <c r="C32584" s="4" t="s">
        <v>935</v>
      </c>
      <c r="D32584" s="4" t="s">
        <v>0</v>
      </c>
      <c r="E32584" s="4" t="s">
        <v>934</v>
      </c>
    </row>
    <row r="32585" spans="2:5" x14ac:dyDescent="0.2">
      <c r="B32585" s="4" t="s">
        <v>932</v>
      </c>
      <c r="C32585" s="4" t="s">
        <v>933</v>
      </c>
      <c r="D32585" s="4" t="s">
        <v>0</v>
      </c>
      <c r="E32585" s="4" t="s">
        <v>923</v>
      </c>
    </row>
    <row r="32586" spans="2:5" x14ac:dyDescent="0.2">
      <c r="B32586" s="4" t="s">
        <v>930</v>
      </c>
      <c r="C32586" s="4" t="s">
        <v>0</v>
      </c>
      <c r="D32586" s="4" t="s">
        <v>0</v>
      </c>
      <c r="E32586" s="4" t="s">
        <v>925</v>
      </c>
    </row>
    <row r="32587" spans="2:5" x14ac:dyDescent="0.2">
      <c r="B32587" s="4" t="s">
        <v>929</v>
      </c>
      <c r="C32587" s="4" t="s">
        <v>933</v>
      </c>
      <c r="D32587" s="4" t="s">
        <v>0</v>
      </c>
      <c r="E32587" s="4" t="s">
        <v>934</v>
      </c>
    </row>
    <row r="32588" spans="2:5" x14ac:dyDescent="0.2">
      <c r="B32588" s="4" t="s">
        <v>932</v>
      </c>
      <c r="C32588" s="4" t="s">
        <v>933</v>
      </c>
      <c r="D32588" s="4" t="s">
        <v>0</v>
      </c>
      <c r="E32588" s="4" t="s">
        <v>923</v>
      </c>
    </row>
    <row r="32589" spans="2:5" x14ac:dyDescent="0.2">
      <c r="B32589" s="4" t="s">
        <v>930</v>
      </c>
      <c r="C32589" s="4" t="s">
        <v>0</v>
      </c>
      <c r="D32589" s="4" t="s">
        <v>0</v>
      </c>
      <c r="E32589" s="4" t="s">
        <v>925</v>
      </c>
    </row>
    <row r="32590" spans="2:5" x14ac:dyDescent="0.2">
      <c r="B32590" s="4" t="s">
        <v>929</v>
      </c>
      <c r="C32590" s="4" t="s">
        <v>933</v>
      </c>
      <c r="D32590" s="4" t="s">
        <v>0</v>
      </c>
      <c r="E32590" s="4" t="s">
        <v>934</v>
      </c>
    </row>
    <row r="32591" spans="2:5" x14ac:dyDescent="0.2">
      <c r="B32591" s="4" t="s">
        <v>932</v>
      </c>
      <c r="C32591" s="4" t="s">
        <v>933</v>
      </c>
      <c r="D32591" s="4" t="s">
        <v>0</v>
      </c>
      <c r="E32591" s="4" t="s">
        <v>923</v>
      </c>
    </row>
    <row r="32592" spans="2:5" x14ac:dyDescent="0.2">
      <c r="B32592" s="4" t="s">
        <v>930</v>
      </c>
      <c r="C32592" s="4" t="s">
        <v>0</v>
      </c>
      <c r="D32592" s="4" t="s">
        <v>0</v>
      </c>
      <c r="E32592" s="4" t="s">
        <v>925</v>
      </c>
    </row>
    <row r="32593" spans="2:5" x14ac:dyDescent="0.2">
      <c r="B32593" s="4" t="s">
        <v>929</v>
      </c>
      <c r="C32593" s="4" t="s">
        <v>933</v>
      </c>
      <c r="D32593" s="4" t="s">
        <v>0</v>
      </c>
      <c r="E32593" s="4" t="s">
        <v>934</v>
      </c>
    </row>
    <row r="32594" spans="2:5" x14ac:dyDescent="0.2">
      <c r="B32594" s="4" t="s">
        <v>932</v>
      </c>
      <c r="C32594" s="4" t="s">
        <v>933</v>
      </c>
      <c r="D32594" s="4" t="s">
        <v>0</v>
      </c>
      <c r="E32594" s="4" t="s">
        <v>923</v>
      </c>
    </row>
    <row r="32595" spans="2:5" x14ac:dyDescent="0.2">
      <c r="B32595" s="4" t="s">
        <v>930</v>
      </c>
      <c r="C32595" s="4" t="s">
        <v>0</v>
      </c>
      <c r="D32595" s="4" t="s">
        <v>0</v>
      </c>
      <c r="E32595" s="4" t="s">
        <v>925</v>
      </c>
    </row>
    <row r="32596" spans="2:5" x14ac:dyDescent="0.2">
      <c r="B32596" s="4" t="s">
        <v>929</v>
      </c>
      <c r="C32596" s="4" t="s">
        <v>933</v>
      </c>
      <c r="D32596" s="4" t="s">
        <v>0</v>
      </c>
      <c r="E32596" s="4" t="s">
        <v>934</v>
      </c>
    </row>
    <row r="32597" spans="2:5" x14ac:dyDescent="0.2">
      <c r="B32597" s="4" t="s">
        <v>932</v>
      </c>
      <c r="C32597" s="4" t="s">
        <v>933</v>
      </c>
      <c r="D32597" s="4" t="s">
        <v>0</v>
      </c>
      <c r="E32597" s="4" t="s">
        <v>923</v>
      </c>
    </row>
    <row r="32598" spans="2:5" x14ac:dyDescent="0.2">
      <c r="B32598" s="4" t="s">
        <v>930</v>
      </c>
      <c r="C32598" s="4" t="s">
        <v>0</v>
      </c>
      <c r="D32598" s="4" t="s">
        <v>0</v>
      </c>
      <c r="E32598" s="4" t="s">
        <v>925</v>
      </c>
    </row>
    <row r="32599" spans="2:5" x14ac:dyDescent="0.2">
      <c r="B32599" s="4" t="s">
        <v>929</v>
      </c>
      <c r="C32599" s="4" t="s">
        <v>933</v>
      </c>
      <c r="D32599" s="4" t="s">
        <v>0</v>
      </c>
      <c r="E32599" s="4" t="s">
        <v>934</v>
      </c>
    </row>
    <row r="32600" spans="2:5" x14ac:dyDescent="0.2">
      <c r="B32600" s="4" t="s">
        <v>932</v>
      </c>
      <c r="C32600" s="4" t="s">
        <v>933</v>
      </c>
      <c r="D32600" s="4" t="s">
        <v>0</v>
      </c>
      <c r="E32600" s="4" t="s">
        <v>923</v>
      </c>
    </row>
    <row r="32601" spans="2:5" x14ac:dyDescent="0.2">
      <c r="B32601" s="4" t="s">
        <v>930</v>
      </c>
      <c r="C32601" s="4" t="s">
        <v>0</v>
      </c>
      <c r="D32601" s="4" t="s">
        <v>0</v>
      </c>
      <c r="E32601" s="4" t="s">
        <v>925</v>
      </c>
    </row>
    <row r="32602" spans="2:5" x14ac:dyDescent="0.2">
      <c r="B32602" s="4" t="s">
        <v>929</v>
      </c>
      <c r="C32602" s="4" t="s">
        <v>933</v>
      </c>
      <c r="D32602" s="4" t="s">
        <v>0</v>
      </c>
      <c r="E32602" s="4" t="s">
        <v>934</v>
      </c>
    </row>
    <row r="32603" spans="2:5" x14ac:dyDescent="0.2">
      <c r="B32603" s="4" t="s">
        <v>930</v>
      </c>
      <c r="C32603" s="4" t="s">
        <v>976</v>
      </c>
      <c r="D32603" s="4" t="s">
        <v>0</v>
      </c>
      <c r="E32603" s="4" t="s">
        <v>923</v>
      </c>
    </row>
    <row r="32604" spans="2:5" x14ac:dyDescent="0.2">
      <c r="B32604" s="4" t="s">
        <v>932</v>
      </c>
      <c r="C32604" s="4" t="s">
        <v>933</v>
      </c>
      <c r="D32604" s="4" t="s">
        <v>0</v>
      </c>
      <c r="E32604" s="4" t="s">
        <v>923</v>
      </c>
    </row>
    <row r="32605" spans="2:5" x14ac:dyDescent="0.2">
      <c r="B32605" s="4" t="s">
        <v>929</v>
      </c>
      <c r="C32605" s="4" t="s">
        <v>935</v>
      </c>
      <c r="D32605" s="4" t="s">
        <v>0</v>
      </c>
      <c r="E32605" s="4" t="s">
        <v>934</v>
      </c>
    </row>
    <row r="32606" spans="2:5" x14ac:dyDescent="0.2">
      <c r="B32606" s="4" t="s">
        <v>930</v>
      </c>
      <c r="C32606" s="4" t="s">
        <v>976</v>
      </c>
      <c r="D32606" s="4" t="s">
        <v>0</v>
      </c>
      <c r="E32606" s="4" t="s">
        <v>923</v>
      </c>
    </row>
    <row r="32607" spans="2:5" x14ac:dyDescent="0.2">
      <c r="B32607" s="4" t="s">
        <v>932</v>
      </c>
      <c r="C32607" s="4" t="s">
        <v>933</v>
      </c>
      <c r="D32607" s="4" t="s">
        <v>0</v>
      </c>
      <c r="E32607" s="4" t="s">
        <v>923</v>
      </c>
    </row>
    <row r="32608" spans="2:5" x14ac:dyDescent="0.2">
      <c r="B32608" s="4" t="s">
        <v>929</v>
      </c>
      <c r="C32608" s="4" t="s">
        <v>935</v>
      </c>
      <c r="D32608" s="4" t="s">
        <v>0</v>
      </c>
      <c r="E32608" s="4" t="s">
        <v>934</v>
      </c>
    </row>
    <row r="32609" spans="2:5" x14ac:dyDescent="0.2">
      <c r="B32609" s="4" t="s">
        <v>930</v>
      </c>
      <c r="C32609" s="4" t="s">
        <v>976</v>
      </c>
      <c r="D32609" s="4" t="s">
        <v>0</v>
      </c>
      <c r="E32609" s="4" t="s">
        <v>923</v>
      </c>
    </row>
    <row r="32610" spans="2:5" x14ac:dyDescent="0.2">
      <c r="B32610" s="4" t="s">
        <v>932</v>
      </c>
      <c r="C32610" s="4" t="s">
        <v>933</v>
      </c>
      <c r="D32610" s="4" t="s">
        <v>0</v>
      </c>
      <c r="E32610" s="4" t="s">
        <v>923</v>
      </c>
    </row>
    <row r="32611" spans="2:5" x14ac:dyDescent="0.2">
      <c r="B32611" s="4" t="s">
        <v>929</v>
      </c>
      <c r="C32611" s="4" t="s">
        <v>935</v>
      </c>
      <c r="D32611" s="4" t="s">
        <v>0</v>
      </c>
      <c r="E32611" s="4" t="s">
        <v>934</v>
      </c>
    </row>
    <row r="32612" spans="2:5" x14ac:dyDescent="0.2">
      <c r="B32612" s="4" t="s">
        <v>932</v>
      </c>
      <c r="C32612" s="4" t="s">
        <v>933</v>
      </c>
      <c r="D32612" s="4" t="s">
        <v>0</v>
      </c>
      <c r="E32612" s="4" t="s">
        <v>923</v>
      </c>
    </row>
    <row r="32613" spans="2:5" x14ac:dyDescent="0.2">
      <c r="B32613" s="4" t="s">
        <v>930</v>
      </c>
      <c r="C32613" s="4" t="s">
        <v>0</v>
      </c>
      <c r="D32613" s="4" t="s">
        <v>0</v>
      </c>
      <c r="E32613" s="4" t="s">
        <v>925</v>
      </c>
    </row>
    <row r="32614" spans="2:5" x14ac:dyDescent="0.2">
      <c r="B32614" s="4" t="s">
        <v>929</v>
      </c>
      <c r="C32614" s="4" t="s">
        <v>933</v>
      </c>
      <c r="D32614" s="4" t="s">
        <v>0</v>
      </c>
      <c r="E32614" s="4" t="s">
        <v>934</v>
      </c>
    </row>
    <row r="32615" spans="2:5" x14ac:dyDescent="0.2">
      <c r="B32615" s="4" t="s">
        <v>932</v>
      </c>
      <c r="C32615" s="4" t="s">
        <v>933</v>
      </c>
      <c r="D32615" s="4" t="s">
        <v>0</v>
      </c>
      <c r="E32615" s="4" t="s">
        <v>923</v>
      </c>
    </row>
    <row r="32616" spans="2:5" x14ac:dyDescent="0.2">
      <c r="B32616" s="4" t="s">
        <v>930</v>
      </c>
      <c r="C32616" s="4" t="s">
        <v>0</v>
      </c>
      <c r="D32616" s="4" t="s">
        <v>0</v>
      </c>
      <c r="E32616" s="4" t="s">
        <v>925</v>
      </c>
    </row>
    <row r="32617" spans="2:5" x14ac:dyDescent="0.2">
      <c r="B32617" s="4" t="s">
        <v>929</v>
      </c>
      <c r="C32617" s="4" t="s">
        <v>933</v>
      </c>
      <c r="D32617" s="4" t="s">
        <v>0</v>
      </c>
      <c r="E32617" s="4" t="s">
        <v>934</v>
      </c>
    </row>
    <row r="32618" spans="2:5" x14ac:dyDescent="0.2">
      <c r="B32618" s="4" t="s">
        <v>932</v>
      </c>
      <c r="C32618" s="4" t="s">
        <v>933</v>
      </c>
      <c r="D32618" s="4" t="s">
        <v>0</v>
      </c>
      <c r="E32618" s="4" t="s">
        <v>923</v>
      </c>
    </row>
    <row r="32619" spans="2:5" x14ac:dyDescent="0.2">
      <c r="B32619" s="4" t="s">
        <v>930</v>
      </c>
      <c r="C32619" s="4" t="s">
        <v>0</v>
      </c>
      <c r="D32619" s="4" t="s">
        <v>0</v>
      </c>
      <c r="E32619" s="4" t="s">
        <v>925</v>
      </c>
    </row>
    <row r="32620" spans="2:5" x14ac:dyDescent="0.2">
      <c r="B32620" s="4" t="s">
        <v>929</v>
      </c>
      <c r="C32620" s="4" t="s">
        <v>933</v>
      </c>
      <c r="D32620" s="4" t="s">
        <v>0</v>
      </c>
      <c r="E32620" s="4" t="s">
        <v>934</v>
      </c>
    </row>
    <row r="32621" spans="2:5" x14ac:dyDescent="0.2">
      <c r="B32621" s="4" t="s">
        <v>932</v>
      </c>
      <c r="C32621" s="4" t="s">
        <v>933</v>
      </c>
      <c r="D32621" s="4" t="s">
        <v>0</v>
      </c>
      <c r="E32621" s="4" t="s">
        <v>923</v>
      </c>
    </row>
    <row r="32622" spans="2:5" x14ac:dyDescent="0.2">
      <c r="B32622" s="4" t="s">
        <v>930</v>
      </c>
      <c r="C32622" s="4" t="s">
        <v>0</v>
      </c>
      <c r="D32622" s="4" t="s">
        <v>0</v>
      </c>
      <c r="E32622" s="4" t="s">
        <v>925</v>
      </c>
    </row>
    <row r="32623" spans="2:5" x14ac:dyDescent="0.2">
      <c r="B32623" s="4" t="s">
        <v>929</v>
      </c>
      <c r="C32623" s="4" t="s">
        <v>933</v>
      </c>
      <c r="D32623" s="4" t="s">
        <v>0</v>
      </c>
      <c r="E32623" s="4" t="s">
        <v>934</v>
      </c>
    </row>
    <row r="32624" spans="2:5" x14ac:dyDescent="0.2">
      <c r="B32624" s="4" t="s">
        <v>932</v>
      </c>
      <c r="C32624" s="4" t="s">
        <v>933</v>
      </c>
      <c r="D32624" s="4" t="s">
        <v>0</v>
      </c>
      <c r="E32624" s="4" t="s">
        <v>923</v>
      </c>
    </row>
    <row r="32625" spans="2:5" x14ac:dyDescent="0.2">
      <c r="B32625" s="4" t="s">
        <v>930</v>
      </c>
      <c r="C32625" s="4" t="s">
        <v>0</v>
      </c>
      <c r="D32625" s="4" t="s">
        <v>0</v>
      </c>
      <c r="E32625" s="4" t="s">
        <v>925</v>
      </c>
    </row>
    <row r="32626" spans="2:5" x14ac:dyDescent="0.2">
      <c r="B32626" s="4" t="s">
        <v>929</v>
      </c>
      <c r="C32626" s="4" t="s">
        <v>933</v>
      </c>
      <c r="D32626" s="4" t="s">
        <v>0</v>
      </c>
      <c r="E32626" s="4" t="s">
        <v>934</v>
      </c>
    </row>
    <row r="32627" spans="2:5" x14ac:dyDescent="0.2">
      <c r="B32627" s="4" t="s">
        <v>932</v>
      </c>
      <c r="C32627" s="4" t="s">
        <v>933</v>
      </c>
      <c r="D32627" s="4" t="s">
        <v>0</v>
      </c>
      <c r="E32627" s="4" t="s">
        <v>923</v>
      </c>
    </row>
    <row r="32628" spans="2:5" x14ac:dyDescent="0.2">
      <c r="B32628" s="4" t="s">
        <v>930</v>
      </c>
      <c r="C32628" s="4" t="s">
        <v>0</v>
      </c>
      <c r="D32628" s="4" t="s">
        <v>0</v>
      </c>
      <c r="E32628" s="4" t="s">
        <v>925</v>
      </c>
    </row>
    <row r="32629" spans="2:5" x14ac:dyDescent="0.2">
      <c r="B32629" s="4" t="s">
        <v>929</v>
      </c>
      <c r="C32629" s="4" t="s">
        <v>933</v>
      </c>
      <c r="D32629" s="4" t="s">
        <v>0</v>
      </c>
      <c r="E32629" s="4" t="s">
        <v>934</v>
      </c>
    </row>
    <row r="32630" spans="2:5" x14ac:dyDescent="0.2">
      <c r="B32630" s="4" t="s">
        <v>932</v>
      </c>
      <c r="C32630" s="4" t="s">
        <v>933</v>
      </c>
      <c r="D32630" s="4" t="s">
        <v>0</v>
      </c>
      <c r="E32630" s="4" t="s">
        <v>923</v>
      </c>
    </row>
    <row r="32631" spans="2:5" x14ac:dyDescent="0.2">
      <c r="B32631" s="4" t="s">
        <v>930</v>
      </c>
      <c r="C32631" s="4" t="s">
        <v>0</v>
      </c>
      <c r="D32631" s="4" t="s">
        <v>0</v>
      </c>
      <c r="E32631" s="4" t="s">
        <v>925</v>
      </c>
    </row>
    <row r="32632" spans="2:5" x14ac:dyDescent="0.2">
      <c r="B32632" s="4" t="s">
        <v>929</v>
      </c>
      <c r="C32632" s="4" t="s">
        <v>933</v>
      </c>
      <c r="D32632" s="4" t="s">
        <v>0</v>
      </c>
      <c r="E32632" s="4" t="s">
        <v>934</v>
      </c>
    </row>
    <row r="32633" spans="2:5" x14ac:dyDescent="0.2">
      <c r="B32633" s="4" t="s">
        <v>932</v>
      </c>
      <c r="C32633" s="4" t="s">
        <v>933</v>
      </c>
      <c r="D32633" s="4" t="s">
        <v>0</v>
      </c>
      <c r="E32633" s="4" t="s">
        <v>923</v>
      </c>
    </row>
    <row r="32634" spans="2:5" x14ac:dyDescent="0.2">
      <c r="B32634" s="4" t="s">
        <v>930</v>
      </c>
      <c r="C32634" s="4" t="s">
        <v>0</v>
      </c>
      <c r="D32634" s="4" t="s">
        <v>0</v>
      </c>
      <c r="E32634" s="4" t="s">
        <v>925</v>
      </c>
    </row>
    <row r="32635" spans="2:5" x14ac:dyDescent="0.2">
      <c r="B32635" s="4" t="s">
        <v>929</v>
      </c>
      <c r="C32635" s="4" t="s">
        <v>933</v>
      </c>
      <c r="D32635" s="4" t="s">
        <v>0</v>
      </c>
      <c r="E32635" s="4" t="s">
        <v>934</v>
      </c>
    </row>
    <row r="32636" spans="2:5" x14ac:dyDescent="0.2">
      <c r="B32636" s="4" t="s">
        <v>932</v>
      </c>
      <c r="C32636" s="4" t="s">
        <v>933</v>
      </c>
      <c r="D32636" s="4" t="s">
        <v>0</v>
      </c>
      <c r="E32636" s="4" t="s">
        <v>923</v>
      </c>
    </row>
    <row r="32637" spans="2:5" x14ac:dyDescent="0.2">
      <c r="B32637" s="4" t="s">
        <v>930</v>
      </c>
      <c r="C32637" s="4" t="s">
        <v>0</v>
      </c>
      <c r="D32637" s="4" t="s">
        <v>0</v>
      </c>
      <c r="E32637" s="4" t="s">
        <v>925</v>
      </c>
    </row>
    <row r="32638" spans="2:5" x14ac:dyDescent="0.2">
      <c r="B32638" s="4" t="s">
        <v>929</v>
      </c>
      <c r="C32638" s="4" t="s">
        <v>933</v>
      </c>
      <c r="D32638" s="4" t="s">
        <v>0</v>
      </c>
      <c r="E32638" s="4" t="s">
        <v>934</v>
      </c>
    </row>
    <row r="32639" spans="2:5" x14ac:dyDescent="0.2">
      <c r="B32639" s="4" t="s">
        <v>932</v>
      </c>
      <c r="C32639" s="4" t="s">
        <v>933</v>
      </c>
      <c r="D32639" s="4" t="s">
        <v>0</v>
      </c>
      <c r="E32639" s="4" t="s">
        <v>923</v>
      </c>
    </row>
    <row r="32640" spans="2:5" x14ac:dyDescent="0.2">
      <c r="B32640" s="4" t="s">
        <v>930</v>
      </c>
      <c r="C32640" s="4" t="s">
        <v>0</v>
      </c>
      <c r="D32640" s="4" t="s">
        <v>0</v>
      </c>
      <c r="E32640" s="4" t="s">
        <v>925</v>
      </c>
    </row>
    <row r="32641" spans="2:5" x14ac:dyDescent="0.2">
      <c r="B32641" s="4" t="s">
        <v>929</v>
      </c>
      <c r="C32641" s="4" t="s">
        <v>933</v>
      </c>
      <c r="D32641" s="4" t="s">
        <v>0</v>
      </c>
      <c r="E32641" s="4" t="s">
        <v>934</v>
      </c>
    </row>
    <row r="32642" spans="2:5" x14ac:dyDescent="0.2">
      <c r="B32642" s="4" t="s">
        <v>932</v>
      </c>
      <c r="C32642" s="4" t="s">
        <v>933</v>
      </c>
      <c r="D32642" s="4" t="s">
        <v>0</v>
      </c>
      <c r="E32642" s="4" t="s">
        <v>923</v>
      </c>
    </row>
    <row r="32643" spans="2:5" x14ac:dyDescent="0.2">
      <c r="B32643" s="4" t="s">
        <v>930</v>
      </c>
      <c r="C32643" s="4" t="s">
        <v>0</v>
      </c>
      <c r="D32643" s="4" t="s">
        <v>0</v>
      </c>
      <c r="E32643" s="4" t="s">
        <v>925</v>
      </c>
    </row>
    <row r="32644" spans="2:5" x14ac:dyDescent="0.2">
      <c r="B32644" s="4" t="s">
        <v>929</v>
      </c>
      <c r="C32644" s="4" t="s">
        <v>933</v>
      </c>
      <c r="D32644" s="4" t="s">
        <v>0</v>
      </c>
      <c r="E32644" s="4" t="s">
        <v>934</v>
      </c>
    </row>
    <row r="32645" spans="2:5" x14ac:dyDescent="0.2">
      <c r="B32645" s="4" t="s">
        <v>932</v>
      </c>
      <c r="C32645" s="4" t="s">
        <v>933</v>
      </c>
      <c r="D32645" s="4" t="s">
        <v>0</v>
      </c>
      <c r="E32645" s="4" t="s">
        <v>923</v>
      </c>
    </row>
    <row r="32646" spans="2:5" x14ac:dyDescent="0.2">
      <c r="B32646" s="4" t="s">
        <v>930</v>
      </c>
      <c r="C32646" s="4" t="s">
        <v>0</v>
      </c>
      <c r="D32646" s="4" t="s">
        <v>0</v>
      </c>
      <c r="E32646" s="4" t="s">
        <v>925</v>
      </c>
    </row>
    <row r="32647" spans="2:5" x14ac:dyDescent="0.2">
      <c r="B32647" s="4" t="s">
        <v>929</v>
      </c>
      <c r="C32647" s="4" t="s">
        <v>933</v>
      </c>
      <c r="D32647" s="4" t="s">
        <v>0</v>
      </c>
      <c r="E32647" s="4" t="s">
        <v>934</v>
      </c>
    </row>
    <row r="32648" spans="2:5" x14ac:dyDescent="0.2">
      <c r="B32648" s="4" t="s">
        <v>932</v>
      </c>
      <c r="C32648" s="4" t="s">
        <v>933</v>
      </c>
      <c r="D32648" s="4" t="s">
        <v>0</v>
      </c>
      <c r="E32648" s="4" t="s">
        <v>923</v>
      </c>
    </row>
    <row r="32649" spans="2:5" x14ac:dyDescent="0.2">
      <c r="B32649" s="4" t="s">
        <v>930</v>
      </c>
      <c r="C32649" s="4" t="s">
        <v>0</v>
      </c>
      <c r="D32649" s="4" t="s">
        <v>0</v>
      </c>
      <c r="E32649" s="4" t="s">
        <v>925</v>
      </c>
    </row>
    <row r="32650" spans="2:5" x14ac:dyDescent="0.2">
      <c r="B32650" s="4" t="s">
        <v>929</v>
      </c>
      <c r="C32650" s="4" t="s">
        <v>933</v>
      </c>
      <c r="D32650" s="4" t="s">
        <v>0</v>
      </c>
      <c r="E32650" s="4" t="s">
        <v>934</v>
      </c>
    </row>
    <row r="32651" spans="2:5" x14ac:dyDescent="0.2">
      <c r="B32651" s="4" t="s">
        <v>932</v>
      </c>
      <c r="C32651" s="4" t="s">
        <v>933</v>
      </c>
      <c r="D32651" s="4" t="s">
        <v>0</v>
      </c>
      <c r="E32651" s="4" t="s">
        <v>923</v>
      </c>
    </row>
    <row r="32652" spans="2:5" x14ac:dyDescent="0.2">
      <c r="B32652" s="4" t="s">
        <v>930</v>
      </c>
      <c r="C32652" s="4" t="s">
        <v>0</v>
      </c>
      <c r="D32652" s="4" t="s">
        <v>0</v>
      </c>
      <c r="E32652" s="4" t="s">
        <v>925</v>
      </c>
    </row>
    <row r="32653" spans="2:5" x14ac:dyDescent="0.2">
      <c r="B32653" s="4" t="s">
        <v>929</v>
      </c>
      <c r="C32653" s="4" t="s">
        <v>933</v>
      </c>
      <c r="D32653" s="4" t="s">
        <v>0</v>
      </c>
      <c r="E32653" s="4" t="s">
        <v>934</v>
      </c>
    </row>
    <row r="32654" spans="2:5" x14ac:dyDescent="0.2">
      <c r="B32654" s="4" t="s">
        <v>930</v>
      </c>
      <c r="C32654" s="4" t="s">
        <v>935</v>
      </c>
      <c r="D32654" s="4" t="s">
        <v>0</v>
      </c>
      <c r="E32654" s="4" t="s">
        <v>923</v>
      </c>
    </row>
    <row r="32655" spans="2:5" x14ac:dyDescent="0.2">
      <c r="B32655" s="4" t="s">
        <v>932</v>
      </c>
      <c r="C32655" s="4" t="s">
        <v>0</v>
      </c>
      <c r="D32655" s="4" t="s">
        <v>0</v>
      </c>
      <c r="E32655" s="4" t="s">
        <v>925</v>
      </c>
    </row>
    <row r="32656" spans="2:5" x14ac:dyDescent="0.2">
      <c r="B32656" s="4" t="s">
        <v>929</v>
      </c>
      <c r="C32656" s="4" t="s">
        <v>933</v>
      </c>
      <c r="D32656" s="4" t="s">
        <v>0</v>
      </c>
      <c r="E32656" s="4" t="s">
        <v>934</v>
      </c>
    </row>
    <row r="32657" spans="2:5" x14ac:dyDescent="0.2">
      <c r="B32657" s="4" t="s">
        <v>932</v>
      </c>
      <c r="C32657" s="4" t="s">
        <v>933</v>
      </c>
      <c r="D32657" s="4" t="s">
        <v>0</v>
      </c>
      <c r="E32657" s="4" t="s">
        <v>923</v>
      </c>
    </row>
    <row r="32658" spans="2:5" x14ac:dyDescent="0.2">
      <c r="B32658" s="4" t="s">
        <v>930</v>
      </c>
      <c r="C32658" s="4" t="s">
        <v>0</v>
      </c>
      <c r="D32658" s="4" t="s">
        <v>0</v>
      </c>
      <c r="E32658" s="4" t="s">
        <v>925</v>
      </c>
    </row>
    <row r="32659" spans="2:5" x14ac:dyDescent="0.2">
      <c r="B32659" s="4" t="s">
        <v>929</v>
      </c>
      <c r="C32659" s="4" t="s">
        <v>933</v>
      </c>
      <c r="D32659" s="4" t="s">
        <v>0</v>
      </c>
      <c r="E32659" s="4" t="s">
        <v>934</v>
      </c>
    </row>
    <row r="32660" spans="2:5" x14ac:dyDescent="0.2">
      <c r="B32660" s="4" t="s">
        <v>932</v>
      </c>
      <c r="C32660" s="4" t="s">
        <v>933</v>
      </c>
      <c r="D32660" s="4" t="s">
        <v>0</v>
      </c>
      <c r="E32660" s="4" t="s">
        <v>923</v>
      </c>
    </row>
    <row r="32661" spans="2:5" x14ac:dyDescent="0.2">
      <c r="B32661" s="4" t="s">
        <v>930</v>
      </c>
      <c r="C32661" s="4" t="s">
        <v>0</v>
      </c>
      <c r="D32661" s="4" t="s">
        <v>0</v>
      </c>
      <c r="E32661" s="4" t="s">
        <v>925</v>
      </c>
    </row>
    <row r="32662" spans="2:5" x14ac:dyDescent="0.2">
      <c r="B32662" s="4" t="s">
        <v>929</v>
      </c>
      <c r="C32662" s="4" t="s">
        <v>933</v>
      </c>
      <c r="D32662" s="4" t="s">
        <v>0</v>
      </c>
      <c r="E32662" s="4" t="s">
        <v>934</v>
      </c>
    </row>
    <row r="32663" spans="2:5" x14ac:dyDescent="0.2">
      <c r="B32663" s="4" t="s">
        <v>932</v>
      </c>
      <c r="C32663" s="4" t="s">
        <v>933</v>
      </c>
      <c r="D32663" s="4" t="s">
        <v>0</v>
      </c>
      <c r="E32663" s="4" t="s">
        <v>923</v>
      </c>
    </row>
    <row r="32664" spans="2:5" x14ac:dyDescent="0.2">
      <c r="B32664" s="4" t="s">
        <v>930</v>
      </c>
      <c r="C32664" s="4" t="s">
        <v>0</v>
      </c>
      <c r="D32664" s="4" t="s">
        <v>0</v>
      </c>
      <c r="E32664" s="4" t="s">
        <v>925</v>
      </c>
    </row>
    <row r="32665" spans="2:5" x14ac:dyDescent="0.2">
      <c r="B32665" s="4" t="s">
        <v>929</v>
      </c>
      <c r="C32665" s="4" t="s">
        <v>933</v>
      </c>
      <c r="D32665" s="4" t="s">
        <v>0</v>
      </c>
      <c r="E32665" s="4" t="s">
        <v>934</v>
      </c>
    </row>
    <row r="32666" spans="2:5" x14ac:dyDescent="0.2">
      <c r="B32666" s="4" t="s">
        <v>932</v>
      </c>
      <c r="C32666" s="4" t="s">
        <v>933</v>
      </c>
      <c r="D32666" s="4" t="s">
        <v>0</v>
      </c>
      <c r="E32666" s="4" t="s">
        <v>923</v>
      </c>
    </row>
    <row r="32667" spans="2:5" x14ac:dyDescent="0.2">
      <c r="B32667" s="4" t="s">
        <v>930</v>
      </c>
      <c r="C32667" s="4" t="s">
        <v>0</v>
      </c>
      <c r="D32667" s="4" t="s">
        <v>0</v>
      </c>
      <c r="E32667" s="4" t="s">
        <v>925</v>
      </c>
    </row>
    <row r="32668" spans="2:5" x14ac:dyDescent="0.2">
      <c r="B32668" s="4" t="s">
        <v>929</v>
      </c>
      <c r="C32668" s="4" t="s">
        <v>933</v>
      </c>
      <c r="D32668" s="4" t="s">
        <v>0</v>
      </c>
      <c r="E32668" s="4" t="s">
        <v>934</v>
      </c>
    </row>
    <row r="32669" spans="2:5" x14ac:dyDescent="0.2">
      <c r="B32669" s="4" t="s">
        <v>932</v>
      </c>
      <c r="C32669" s="4" t="s">
        <v>933</v>
      </c>
      <c r="D32669" s="4" t="s">
        <v>0</v>
      </c>
      <c r="E32669" s="4" t="s">
        <v>923</v>
      </c>
    </row>
    <row r="32670" spans="2:5" x14ac:dyDescent="0.2">
      <c r="B32670" s="4" t="s">
        <v>930</v>
      </c>
      <c r="C32670" s="4" t="s">
        <v>0</v>
      </c>
      <c r="D32670" s="4" t="s">
        <v>0</v>
      </c>
      <c r="E32670" s="4" t="s">
        <v>925</v>
      </c>
    </row>
    <row r="32671" spans="2:5" x14ac:dyDescent="0.2">
      <c r="B32671" s="4" t="s">
        <v>929</v>
      </c>
      <c r="C32671" s="4" t="s">
        <v>933</v>
      </c>
      <c r="D32671" s="4" t="s">
        <v>0</v>
      </c>
      <c r="E32671" s="4" t="s">
        <v>934</v>
      </c>
    </row>
    <row r="32672" spans="2:5" x14ac:dyDescent="0.2">
      <c r="B32672" s="4" t="s">
        <v>932</v>
      </c>
      <c r="C32672" s="4" t="s">
        <v>933</v>
      </c>
      <c r="D32672" s="4" t="s">
        <v>0</v>
      </c>
      <c r="E32672" s="4" t="s">
        <v>923</v>
      </c>
    </row>
    <row r="32673" spans="2:5" x14ac:dyDescent="0.2">
      <c r="B32673" s="4" t="s">
        <v>930</v>
      </c>
      <c r="C32673" s="4" t="s">
        <v>0</v>
      </c>
      <c r="D32673" s="4" t="s">
        <v>0</v>
      </c>
      <c r="E32673" s="4" t="s">
        <v>925</v>
      </c>
    </row>
    <row r="32674" spans="2:5" x14ac:dyDescent="0.2">
      <c r="B32674" s="4" t="s">
        <v>929</v>
      </c>
      <c r="C32674" s="4" t="s">
        <v>933</v>
      </c>
      <c r="D32674" s="4" t="s">
        <v>0</v>
      </c>
      <c r="E32674" s="4" t="s">
        <v>934</v>
      </c>
    </row>
    <row r="32675" spans="2:5" x14ac:dyDescent="0.2">
      <c r="B32675" s="4" t="s">
        <v>932</v>
      </c>
      <c r="C32675" s="4" t="s">
        <v>933</v>
      </c>
      <c r="D32675" s="4" t="s">
        <v>0</v>
      </c>
      <c r="E32675" s="4" t="s">
        <v>923</v>
      </c>
    </row>
    <row r="32676" spans="2:5" x14ac:dyDescent="0.2">
      <c r="B32676" s="4" t="s">
        <v>930</v>
      </c>
      <c r="C32676" s="4" t="s">
        <v>0</v>
      </c>
      <c r="D32676" s="4" t="s">
        <v>0</v>
      </c>
      <c r="E32676" s="4" t="s">
        <v>925</v>
      </c>
    </row>
    <row r="32677" spans="2:5" x14ac:dyDescent="0.2">
      <c r="B32677" s="4" t="s">
        <v>929</v>
      </c>
      <c r="C32677" s="4" t="s">
        <v>933</v>
      </c>
      <c r="D32677" s="4" t="s">
        <v>0</v>
      </c>
      <c r="E32677" s="4" t="s">
        <v>934</v>
      </c>
    </row>
    <row r="32678" spans="2:5" x14ac:dyDescent="0.2">
      <c r="B32678" s="4" t="s">
        <v>932</v>
      </c>
      <c r="C32678" s="4" t="s">
        <v>933</v>
      </c>
      <c r="D32678" s="4" t="s">
        <v>0</v>
      </c>
      <c r="E32678" s="4" t="s">
        <v>923</v>
      </c>
    </row>
    <row r="32679" spans="2:5" x14ac:dyDescent="0.2">
      <c r="B32679" s="4" t="s">
        <v>930</v>
      </c>
      <c r="C32679" s="4" t="s">
        <v>0</v>
      </c>
      <c r="D32679" s="4" t="s">
        <v>0</v>
      </c>
      <c r="E32679" s="4" t="s">
        <v>925</v>
      </c>
    </row>
    <row r="32680" spans="2:5" x14ac:dyDescent="0.2">
      <c r="B32680" s="4" t="s">
        <v>929</v>
      </c>
      <c r="C32680" s="4" t="s">
        <v>933</v>
      </c>
      <c r="D32680" s="4" t="s">
        <v>0</v>
      </c>
      <c r="E32680" s="4" t="s">
        <v>934</v>
      </c>
    </row>
    <row r="32681" spans="2:5" x14ac:dyDescent="0.2">
      <c r="B32681" s="4" t="s">
        <v>932</v>
      </c>
      <c r="C32681" s="4" t="s">
        <v>933</v>
      </c>
      <c r="D32681" s="4" t="s">
        <v>0</v>
      </c>
      <c r="E32681" s="4" t="s">
        <v>923</v>
      </c>
    </row>
    <row r="32682" spans="2:5" x14ac:dyDescent="0.2">
      <c r="B32682" s="4" t="s">
        <v>930</v>
      </c>
      <c r="C32682" s="4" t="s">
        <v>0</v>
      </c>
      <c r="D32682" s="4" t="s">
        <v>0</v>
      </c>
      <c r="E32682" s="4" t="s">
        <v>925</v>
      </c>
    </row>
    <row r="32683" spans="2:5" x14ac:dyDescent="0.2">
      <c r="B32683" s="4" t="s">
        <v>929</v>
      </c>
      <c r="C32683" s="4" t="s">
        <v>933</v>
      </c>
      <c r="D32683" s="4" t="s">
        <v>0</v>
      </c>
      <c r="E32683" s="4" t="s">
        <v>934</v>
      </c>
    </row>
    <row r="32684" spans="2:5" x14ac:dyDescent="0.2">
      <c r="B32684" s="4" t="s">
        <v>932</v>
      </c>
      <c r="C32684" s="4" t="s">
        <v>933</v>
      </c>
      <c r="D32684" s="4" t="s">
        <v>0</v>
      </c>
      <c r="E32684" s="4" t="s">
        <v>923</v>
      </c>
    </row>
    <row r="32685" spans="2:5" x14ac:dyDescent="0.2">
      <c r="B32685" s="4" t="s">
        <v>930</v>
      </c>
      <c r="C32685" s="4" t="s">
        <v>0</v>
      </c>
      <c r="D32685" s="4" t="s">
        <v>0</v>
      </c>
      <c r="E32685" s="4" t="s">
        <v>925</v>
      </c>
    </row>
    <row r="32686" spans="2:5" x14ac:dyDescent="0.2">
      <c r="B32686" s="4" t="s">
        <v>929</v>
      </c>
      <c r="C32686" s="4" t="s">
        <v>933</v>
      </c>
      <c r="D32686" s="4" t="s">
        <v>0</v>
      </c>
      <c r="E32686" s="4" t="s">
        <v>934</v>
      </c>
    </row>
    <row r="32687" spans="2:5" x14ac:dyDescent="0.2">
      <c r="B32687" s="4" t="s">
        <v>932</v>
      </c>
      <c r="C32687" s="4" t="s">
        <v>933</v>
      </c>
      <c r="D32687" s="4" t="s">
        <v>0</v>
      </c>
      <c r="E32687" s="4" t="s">
        <v>923</v>
      </c>
    </row>
    <row r="32688" spans="2:5" x14ac:dyDescent="0.2">
      <c r="B32688" s="4" t="s">
        <v>930</v>
      </c>
      <c r="C32688" s="4" t="s">
        <v>0</v>
      </c>
      <c r="D32688" s="4" t="s">
        <v>0</v>
      </c>
      <c r="E32688" s="4" t="s">
        <v>925</v>
      </c>
    </row>
    <row r="32689" spans="2:5" x14ac:dyDescent="0.2">
      <c r="B32689" s="4" t="s">
        <v>929</v>
      </c>
      <c r="C32689" s="4" t="s">
        <v>933</v>
      </c>
      <c r="D32689" s="4" t="s">
        <v>0</v>
      </c>
      <c r="E32689" s="4" t="s">
        <v>934</v>
      </c>
    </row>
    <row r="32690" spans="2:5" x14ac:dyDescent="0.2">
      <c r="B32690" s="4" t="s">
        <v>932</v>
      </c>
      <c r="C32690" s="4" t="s">
        <v>933</v>
      </c>
      <c r="D32690" s="4" t="s">
        <v>0</v>
      </c>
      <c r="E32690" s="4" t="s">
        <v>923</v>
      </c>
    </row>
    <row r="32691" spans="2:5" x14ac:dyDescent="0.2">
      <c r="B32691" s="4" t="s">
        <v>930</v>
      </c>
      <c r="C32691" s="4" t="s">
        <v>0</v>
      </c>
      <c r="D32691" s="4" t="s">
        <v>0</v>
      </c>
      <c r="E32691" s="4" t="s">
        <v>925</v>
      </c>
    </row>
    <row r="32692" spans="2:5" x14ac:dyDescent="0.2">
      <c r="B32692" s="4" t="s">
        <v>929</v>
      </c>
      <c r="C32692" s="4" t="s">
        <v>933</v>
      </c>
      <c r="D32692" s="4" t="s">
        <v>0</v>
      </c>
      <c r="E32692" s="4" t="s">
        <v>934</v>
      </c>
    </row>
    <row r="32693" spans="2:5" x14ac:dyDescent="0.2">
      <c r="B32693" s="4" t="s">
        <v>932</v>
      </c>
      <c r="C32693" s="4" t="s">
        <v>933</v>
      </c>
      <c r="D32693" s="4" t="s">
        <v>0</v>
      </c>
      <c r="E32693" s="4" t="s">
        <v>923</v>
      </c>
    </row>
    <row r="32694" spans="2:5" x14ac:dyDescent="0.2">
      <c r="B32694" s="4" t="s">
        <v>930</v>
      </c>
      <c r="C32694" s="4" t="s">
        <v>0</v>
      </c>
      <c r="D32694" s="4" t="s">
        <v>0</v>
      </c>
      <c r="E32694" s="4" t="s">
        <v>925</v>
      </c>
    </row>
    <row r="32695" spans="2:5" x14ac:dyDescent="0.2">
      <c r="B32695" s="4" t="s">
        <v>929</v>
      </c>
      <c r="C32695" s="4" t="s">
        <v>933</v>
      </c>
      <c r="D32695" s="4" t="s">
        <v>0</v>
      </c>
      <c r="E32695" s="4" t="s">
        <v>934</v>
      </c>
    </row>
    <row r="32696" spans="2:5" x14ac:dyDescent="0.2">
      <c r="B32696" s="4" t="s">
        <v>932</v>
      </c>
      <c r="C32696" s="4" t="s">
        <v>933</v>
      </c>
      <c r="D32696" s="4" t="s">
        <v>0</v>
      </c>
      <c r="E32696" s="4" t="s">
        <v>923</v>
      </c>
    </row>
    <row r="32697" spans="2:5" x14ac:dyDescent="0.2">
      <c r="B32697" s="4" t="s">
        <v>930</v>
      </c>
      <c r="C32697" s="4" t="s">
        <v>0</v>
      </c>
      <c r="D32697" s="4" t="s">
        <v>0</v>
      </c>
      <c r="E32697" s="4" t="s">
        <v>925</v>
      </c>
    </row>
    <row r="32698" spans="2:5" x14ac:dyDescent="0.2">
      <c r="B32698" s="4" t="s">
        <v>929</v>
      </c>
      <c r="C32698" s="4" t="s">
        <v>933</v>
      </c>
      <c r="D32698" s="4" t="s">
        <v>0</v>
      </c>
      <c r="E32698" s="4" t="s">
        <v>934</v>
      </c>
    </row>
    <row r="32699" spans="2:5" x14ac:dyDescent="0.2">
      <c r="B32699" s="4" t="s">
        <v>932</v>
      </c>
      <c r="C32699" s="4" t="s">
        <v>933</v>
      </c>
      <c r="D32699" s="4" t="s">
        <v>0</v>
      </c>
      <c r="E32699" s="4" t="s">
        <v>923</v>
      </c>
    </row>
    <row r="32700" spans="2:5" x14ac:dyDescent="0.2">
      <c r="B32700" s="4" t="s">
        <v>930</v>
      </c>
      <c r="C32700" s="4" t="s">
        <v>0</v>
      </c>
      <c r="D32700" s="4" t="s">
        <v>0</v>
      </c>
      <c r="E32700" s="4" t="s">
        <v>925</v>
      </c>
    </row>
    <row r="32701" spans="2:5" x14ac:dyDescent="0.2">
      <c r="B32701" s="4" t="s">
        <v>929</v>
      </c>
      <c r="C32701" s="4" t="s">
        <v>933</v>
      </c>
      <c r="D32701" s="4" t="s">
        <v>0</v>
      </c>
      <c r="E32701" s="4" t="s">
        <v>934</v>
      </c>
    </row>
    <row r="32702" spans="2:5" x14ac:dyDescent="0.2">
      <c r="B32702" s="4" t="s">
        <v>932</v>
      </c>
      <c r="C32702" s="4" t="s">
        <v>933</v>
      </c>
      <c r="D32702" s="4" t="s">
        <v>0</v>
      </c>
      <c r="E32702" s="4" t="s">
        <v>923</v>
      </c>
    </row>
    <row r="32703" spans="2:5" x14ac:dyDescent="0.2">
      <c r="B32703" s="4" t="s">
        <v>930</v>
      </c>
      <c r="C32703" s="4" t="s">
        <v>0</v>
      </c>
      <c r="D32703" s="4" t="s">
        <v>0</v>
      </c>
      <c r="E32703" s="4" t="s">
        <v>925</v>
      </c>
    </row>
    <row r="32704" spans="2:5" x14ac:dyDescent="0.2">
      <c r="B32704" s="4" t="s">
        <v>929</v>
      </c>
      <c r="C32704" s="4" t="s">
        <v>933</v>
      </c>
      <c r="D32704" s="4" t="s">
        <v>0</v>
      </c>
      <c r="E32704" s="4" t="s">
        <v>934</v>
      </c>
    </row>
    <row r="32705" spans="2:5" x14ac:dyDescent="0.2">
      <c r="B32705" s="4" t="s">
        <v>932</v>
      </c>
      <c r="C32705" s="4" t="s">
        <v>933</v>
      </c>
      <c r="D32705" s="4" t="s">
        <v>0</v>
      </c>
      <c r="E32705" s="4" t="s">
        <v>923</v>
      </c>
    </row>
    <row r="32706" spans="2:5" x14ac:dyDescent="0.2">
      <c r="B32706" s="4" t="s">
        <v>930</v>
      </c>
      <c r="C32706" s="4" t="s">
        <v>0</v>
      </c>
      <c r="D32706" s="4" t="s">
        <v>0</v>
      </c>
      <c r="E32706" s="4" t="s">
        <v>925</v>
      </c>
    </row>
    <row r="32707" spans="2:5" x14ac:dyDescent="0.2">
      <c r="B32707" s="4" t="s">
        <v>929</v>
      </c>
      <c r="C32707" s="4" t="s">
        <v>933</v>
      </c>
      <c r="D32707" s="4" t="s">
        <v>0</v>
      </c>
      <c r="E32707" s="4" t="s">
        <v>934</v>
      </c>
    </row>
    <row r="32708" spans="2:5" x14ac:dyDescent="0.2">
      <c r="B32708" s="4" t="s">
        <v>932</v>
      </c>
      <c r="C32708" s="4" t="s">
        <v>933</v>
      </c>
      <c r="D32708" s="4" t="s">
        <v>0</v>
      </c>
      <c r="E32708" s="4" t="s">
        <v>923</v>
      </c>
    </row>
    <row r="32709" spans="2:5" x14ac:dyDescent="0.2">
      <c r="B32709" s="4" t="s">
        <v>930</v>
      </c>
      <c r="C32709" s="4" t="s">
        <v>0</v>
      </c>
      <c r="D32709" s="4" t="s">
        <v>0</v>
      </c>
      <c r="E32709" s="4" t="s">
        <v>925</v>
      </c>
    </row>
    <row r="32710" spans="2:5" x14ac:dyDescent="0.2">
      <c r="B32710" s="4" t="s">
        <v>929</v>
      </c>
      <c r="C32710" s="4" t="s">
        <v>933</v>
      </c>
      <c r="D32710" s="4" t="s">
        <v>0</v>
      </c>
      <c r="E32710" s="4" t="s">
        <v>934</v>
      </c>
    </row>
    <row r="32711" spans="2:5" x14ac:dyDescent="0.2">
      <c r="B32711" s="4" t="s">
        <v>930</v>
      </c>
      <c r="C32711" s="4" t="s">
        <v>936</v>
      </c>
      <c r="D32711" s="4" t="s">
        <v>0</v>
      </c>
      <c r="E32711" s="4" t="s">
        <v>923</v>
      </c>
    </row>
    <row r="32712" spans="2:5" x14ac:dyDescent="0.2">
      <c r="B32712" s="4" t="s">
        <v>932</v>
      </c>
      <c r="C32712" s="4" t="s">
        <v>933</v>
      </c>
      <c r="D32712" s="4" t="s">
        <v>0</v>
      </c>
      <c r="E32712" s="4" t="s">
        <v>923</v>
      </c>
    </row>
    <row r="32713" spans="2:5" x14ac:dyDescent="0.2">
      <c r="B32713" s="4" t="s">
        <v>929</v>
      </c>
      <c r="C32713" s="4" t="s">
        <v>935</v>
      </c>
      <c r="D32713" s="4" t="s">
        <v>0</v>
      </c>
      <c r="E32713" s="4" t="s">
        <v>934</v>
      </c>
    </row>
    <row r="32714" spans="2:5" x14ac:dyDescent="0.2">
      <c r="B32714" s="4" t="s">
        <v>930</v>
      </c>
      <c r="C32714" s="4" t="s">
        <v>936</v>
      </c>
      <c r="D32714" s="4" t="s">
        <v>0</v>
      </c>
      <c r="E32714" s="4" t="s">
        <v>923</v>
      </c>
    </row>
    <row r="32715" spans="2:5" x14ac:dyDescent="0.2">
      <c r="B32715" s="4" t="s">
        <v>932</v>
      </c>
      <c r="C32715" s="4" t="s">
        <v>933</v>
      </c>
      <c r="D32715" s="4" t="s">
        <v>0</v>
      </c>
      <c r="E32715" s="4" t="s">
        <v>923</v>
      </c>
    </row>
    <row r="32716" spans="2:5" x14ac:dyDescent="0.2">
      <c r="B32716" s="4" t="s">
        <v>929</v>
      </c>
      <c r="C32716" s="4" t="s">
        <v>935</v>
      </c>
      <c r="D32716" s="4" t="s">
        <v>0</v>
      </c>
      <c r="E32716" s="4" t="s">
        <v>934</v>
      </c>
    </row>
    <row r="32717" spans="2:5" x14ac:dyDescent="0.2">
      <c r="B32717" s="4" t="s">
        <v>932</v>
      </c>
      <c r="C32717" s="4" t="s">
        <v>933</v>
      </c>
      <c r="D32717" s="4" t="s">
        <v>0</v>
      </c>
      <c r="E32717" s="4" t="s">
        <v>923</v>
      </c>
    </row>
    <row r="32718" spans="2:5" x14ac:dyDescent="0.2">
      <c r="B32718" s="4" t="s">
        <v>930</v>
      </c>
      <c r="C32718" s="4" t="s">
        <v>0</v>
      </c>
      <c r="D32718" s="4" t="s">
        <v>0</v>
      </c>
      <c r="E32718" s="4" t="s">
        <v>925</v>
      </c>
    </row>
    <row r="32719" spans="2:5" x14ac:dyDescent="0.2">
      <c r="B32719" s="4" t="s">
        <v>929</v>
      </c>
      <c r="C32719" s="4" t="s">
        <v>933</v>
      </c>
      <c r="D32719" s="4" t="s">
        <v>0</v>
      </c>
      <c r="E32719" s="4" t="s">
        <v>934</v>
      </c>
    </row>
    <row r="32720" spans="2:5" x14ac:dyDescent="0.2">
      <c r="B32720" s="4" t="s">
        <v>932</v>
      </c>
      <c r="C32720" s="4" t="s">
        <v>933</v>
      </c>
      <c r="D32720" s="4" t="s">
        <v>0</v>
      </c>
      <c r="E32720" s="4" t="s">
        <v>923</v>
      </c>
    </row>
    <row r="32721" spans="2:5" x14ac:dyDescent="0.2">
      <c r="B32721" s="4" t="s">
        <v>930</v>
      </c>
      <c r="C32721" s="4" t="s">
        <v>0</v>
      </c>
      <c r="D32721" s="4" t="s">
        <v>0</v>
      </c>
      <c r="E32721" s="4" t="s">
        <v>925</v>
      </c>
    </row>
    <row r="32722" spans="2:5" x14ac:dyDescent="0.2">
      <c r="B32722" s="4" t="s">
        <v>929</v>
      </c>
      <c r="C32722" s="4" t="s">
        <v>933</v>
      </c>
      <c r="D32722" s="4" t="s">
        <v>0</v>
      </c>
      <c r="E32722" s="4" t="s">
        <v>934</v>
      </c>
    </row>
    <row r="32723" spans="2:5" x14ac:dyDescent="0.2">
      <c r="B32723" s="4" t="s">
        <v>932</v>
      </c>
      <c r="C32723" s="4" t="s">
        <v>933</v>
      </c>
      <c r="D32723" s="4" t="s">
        <v>0</v>
      </c>
      <c r="E32723" s="4" t="s">
        <v>923</v>
      </c>
    </row>
    <row r="32724" spans="2:5" x14ac:dyDescent="0.2">
      <c r="B32724" s="4" t="s">
        <v>930</v>
      </c>
      <c r="C32724" s="4" t="s">
        <v>0</v>
      </c>
      <c r="D32724" s="4" t="s">
        <v>0</v>
      </c>
      <c r="E32724" s="4" t="s">
        <v>925</v>
      </c>
    </row>
    <row r="32725" spans="2:5" x14ac:dyDescent="0.2">
      <c r="B32725" s="4" t="s">
        <v>929</v>
      </c>
      <c r="C32725" s="4" t="s">
        <v>933</v>
      </c>
      <c r="D32725" s="4" t="s">
        <v>0</v>
      </c>
      <c r="E32725" s="4" t="s">
        <v>934</v>
      </c>
    </row>
    <row r="32726" spans="2:5" x14ac:dyDescent="0.2">
      <c r="B32726" s="4" t="s">
        <v>930</v>
      </c>
      <c r="C32726" s="4" t="s">
        <v>977</v>
      </c>
      <c r="D32726" s="4" t="s">
        <v>0</v>
      </c>
      <c r="E32726" s="4" t="s">
        <v>923</v>
      </c>
    </row>
    <row r="32727" spans="2:5" x14ac:dyDescent="0.2">
      <c r="B32727" s="4" t="s">
        <v>932</v>
      </c>
      <c r="C32727" s="4" t="s">
        <v>933</v>
      </c>
      <c r="D32727" s="4" t="s">
        <v>0</v>
      </c>
      <c r="E32727" s="4" t="s">
        <v>923</v>
      </c>
    </row>
    <row r="32728" spans="2:5" x14ac:dyDescent="0.2">
      <c r="B32728" s="4" t="s">
        <v>929</v>
      </c>
      <c r="C32728" s="4" t="s">
        <v>936</v>
      </c>
      <c r="D32728" s="4" t="s">
        <v>0</v>
      </c>
      <c r="E32728" s="4" t="s">
        <v>934</v>
      </c>
    </row>
    <row r="32729" spans="2:5" x14ac:dyDescent="0.2">
      <c r="B32729" s="4" t="s">
        <v>932</v>
      </c>
      <c r="C32729" s="4" t="s">
        <v>933</v>
      </c>
      <c r="D32729" s="4" t="s">
        <v>0</v>
      </c>
      <c r="E32729" s="4" t="s">
        <v>923</v>
      </c>
    </row>
    <row r="32730" spans="2:5" x14ac:dyDescent="0.2">
      <c r="B32730" s="4" t="s">
        <v>930</v>
      </c>
      <c r="C32730" s="4" t="s">
        <v>0</v>
      </c>
      <c r="D32730" s="4" t="s">
        <v>0</v>
      </c>
      <c r="E32730" s="4" t="s">
        <v>925</v>
      </c>
    </row>
    <row r="32731" spans="2:5" x14ac:dyDescent="0.2">
      <c r="B32731" s="4" t="s">
        <v>929</v>
      </c>
      <c r="C32731" s="4" t="s">
        <v>933</v>
      </c>
      <c r="D32731" s="4" t="s">
        <v>0</v>
      </c>
      <c r="E32731" s="4" t="s">
        <v>934</v>
      </c>
    </row>
    <row r="32732" spans="2:5" x14ac:dyDescent="0.2">
      <c r="B32732" s="4" t="s">
        <v>932</v>
      </c>
      <c r="C32732" s="4" t="s">
        <v>933</v>
      </c>
      <c r="D32732" s="4" t="s">
        <v>0</v>
      </c>
      <c r="E32732" s="4" t="s">
        <v>923</v>
      </c>
    </row>
    <row r="32733" spans="2:5" x14ac:dyDescent="0.2">
      <c r="B32733" s="4" t="s">
        <v>930</v>
      </c>
      <c r="C32733" s="4" t="s">
        <v>0</v>
      </c>
      <c r="D32733" s="4" t="s">
        <v>0</v>
      </c>
      <c r="E32733" s="4" t="s">
        <v>925</v>
      </c>
    </row>
    <row r="32734" spans="2:5" x14ac:dyDescent="0.2">
      <c r="B32734" s="4" t="s">
        <v>929</v>
      </c>
      <c r="C32734" s="4" t="s">
        <v>933</v>
      </c>
      <c r="D32734" s="4" t="s">
        <v>0</v>
      </c>
      <c r="E32734" s="4" t="s">
        <v>934</v>
      </c>
    </row>
    <row r="32735" spans="2:5" x14ac:dyDescent="0.2">
      <c r="B32735" s="4" t="s">
        <v>932</v>
      </c>
      <c r="C32735" s="4" t="s">
        <v>933</v>
      </c>
      <c r="D32735" s="4" t="s">
        <v>0</v>
      </c>
      <c r="E32735" s="4" t="s">
        <v>923</v>
      </c>
    </row>
    <row r="32736" spans="2:5" x14ac:dyDescent="0.2">
      <c r="B32736" s="4" t="s">
        <v>930</v>
      </c>
      <c r="C32736" s="4" t="s">
        <v>0</v>
      </c>
      <c r="D32736" s="4" t="s">
        <v>0</v>
      </c>
      <c r="E32736" s="4" t="s">
        <v>925</v>
      </c>
    </row>
    <row r="32737" spans="2:5" x14ac:dyDescent="0.2">
      <c r="B32737" s="4" t="s">
        <v>929</v>
      </c>
      <c r="C32737" s="4" t="s">
        <v>933</v>
      </c>
      <c r="D32737" s="4" t="s">
        <v>0</v>
      </c>
      <c r="E32737" s="4" t="s">
        <v>934</v>
      </c>
    </row>
    <row r="32738" spans="2:5" x14ac:dyDescent="0.2">
      <c r="B32738" s="4" t="s">
        <v>932</v>
      </c>
      <c r="C32738" s="4" t="s">
        <v>933</v>
      </c>
      <c r="D32738" s="4" t="s">
        <v>0</v>
      </c>
      <c r="E32738" s="4" t="s">
        <v>923</v>
      </c>
    </row>
    <row r="32739" spans="2:5" x14ac:dyDescent="0.2">
      <c r="B32739" s="4" t="s">
        <v>930</v>
      </c>
      <c r="C32739" s="4" t="s">
        <v>0</v>
      </c>
      <c r="D32739" s="4" t="s">
        <v>0</v>
      </c>
      <c r="E32739" s="4" t="s">
        <v>925</v>
      </c>
    </row>
    <row r="32740" spans="2:5" x14ac:dyDescent="0.2">
      <c r="B32740" s="4" t="s">
        <v>929</v>
      </c>
      <c r="C32740" s="4" t="s">
        <v>933</v>
      </c>
      <c r="D32740" s="4" t="s">
        <v>0</v>
      </c>
      <c r="E32740" s="4" t="s">
        <v>934</v>
      </c>
    </row>
    <row r="32741" spans="2:5" x14ac:dyDescent="0.2">
      <c r="B32741" s="4" t="s">
        <v>932</v>
      </c>
      <c r="C32741" s="4" t="s">
        <v>933</v>
      </c>
      <c r="D32741" s="4" t="s">
        <v>0</v>
      </c>
      <c r="E32741" s="4" t="s">
        <v>923</v>
      </c>
    </row>
    <row r="32742" spans="2:5" x14ac:dyDescent="0.2">
      <c r="B32742" s="4" t="s">
        <v>930</v>
      </c>
      <c r="C32742" s="4" t="s">
        <v>0</v>
      </c>
      <c r="D32742" s="4" t="s">
        <v>0</v>
      </c>
      <c r="E32742" s="4" t="s">
        <v>925</v>
      </c>
    </row>
    <row r="32743" spans="2:5" x14ac:dyDescent="0.2">
      <c r="B32743" s="4" t="s">
        <v>929</v>
      </c>
      <c r="C32743" s="4" t="s">
        <v>933</v>
      </c>
      <c r="D32743" s="4" t="s">
        <v>0</v>
      </c>
      <c r="E32743" s="4" t="s">
        <v>934</v>
      </c>
    </row>
    <row r="32744" spans="2:5" x14ac:dyDescent="0.2">
      <c r="B32744" s="4" t="s">
        <v>932</v>
      </c>
      <c r="C32744" s="4" t="s">
        <v>933</v>
      </c>
      <c r="D32744" s="4" t="s">
        <v>0</v>
      </c>
      <c r="E32744" s="4" t="s">
        <v>923</v>
      </c>
    </row>
    <row r="32745" spans="2:5" x14ac:dyDescent="0.2">
      <c r="B32745" s="4" t="s">
        <v>930</v>
      </c>
      <c r="C32745" s="4" t="s">
        <v>0</v>
      </c>
      <c r="D32745" s="4" t="s">
        <v>0</v>
      </c>
      <c r="E32745" s="4" t="s">
        <v>925</v>
      </c>
    </row>
    <row r="32746" spans="2:5" x14ac:dyDescent="0.2">
      <c r="B32746" s="4" t="s">
        <v>929</v>
      </c>
      <c r="C32746" s="4" t="s">
        <v>933</v>
      </c>
      <c r="D32746" s="4" t="s">
        <v>0</v>
      </c>
      <c r="E32746" s="4" t="s">
        <v>934</v>
      </c>
    </row>
    <row r="32747" spans="2:5" x14ac:dyDescent="0.2">
      <c r="B32747" s="4" t="s">
        <v>932</v>
      </c>
      <c r="C32747" s="4" t="s">
        <v>933</v>
      </c>
      <c r="D32747" s="4" t="s">
        <v>0</v>
      </c>
      <c r="E32747" s="4" t="s">
        <v>923</v>
      </c>
    </row>
    <row r="32748" spans="2:5" x14ac:dyDescent="0.2">
      <c r="B32748" s="4" t="s">
        <v>930</v>
      </c>
      <c r="C32748" s="4" t="s">
        <v>0</v>
      </c>
      <c r="D32748" s="4" t="s">
        <v>0</v>
      </c>
      <c r="E32748" s="4" t="s">
        <v>925</v>
      </c>
    </row>
    <row r="32749" spans="2:5" x14ac:dyDescent="0.2">
      <c r="B32749" s="4" t="s">
        <v>929</v>
      </c>
      <c r="C32749" s="4" t="s">
        <v>933</v>
      </c>
      <c r="D32749" s="4" t="s">
        <v>0</v>
      </c>
      <c r="E32749" s="4" t="s">
        <v>934</v>
      </c>
    </row>
    <row r="32750" spans="2:5" x14ac:dyDescent="0.2">
      <c r="B32750" s="4" t="s">
        <v>932</v>
      </c>
      <c r="C32750" s="4" t="s">
        <v>933</v>
      </c>
      <c r="D32750" s="4" t="s">
        <v>0</v>
      </c>
      <c r="E32750" s="4" t="s">
        <v>923</v>
      </c>
    </row>
    <row r="32751" spans="2:5" x14ac:dyDescent="0.2">
      <c r="B32751" s="4" t="s">
        <v>930</v>
      </c>
      <c r="C32751" s="4" t="s">
        <v>0</v>
      </c>
      <c r="D32751" s="4" t="s">
        <v>0</v>
      </c>
      <c r="E32751" s="4" t="s">
        <v>925</v>
      </c>
    </row>
    <row r="32752" spans="2:5" x14ac:dyDescent="0.2">
      <c r="B32752" s="4" t="s">
        <v>929</v>
      </c>
      <c r="C32752" s="4" t="s">
        <v>933</v>
      </c>
      <c r="D32752" s="4" t="s">
        <v>0</v>
      </c>
      <c r="E32752" s="4" t="s">
        <v>934</v>
      </c>
    </row>
    <row r="32753" spans="2:5" x14ac:dyDescent="0.2">
      <c r="B32753" s="4" t="s">
        <v>932</v>
      </c>
      <c r="C32753" s="4" t="s">
        <v>933</v>
      </c>
      <c r="D32753" s="4" t="s">
        <v>0</v>
      </c>
      <c r="E32753" s="4" t="s">
        <v>923</v>
      </c>
    </row>
    <row r="32754" spans="2:5" x14ac:dyDescent="0.2">
      <c r="B32754" s="4" t="s">
        <v>930</v>
      </c>
      <c r="C32754" s="4" t="s">
        <v>0</v>
      </c>
      <c r="D32754" s="4" t="s">
        <v>0</v>
      </c>
      <c r="E32754" s="4" t="s">
        <v>925</v>
      </c>
    </row>
    <row r="32755" spans="2:5" x14ac:dyDescent="0.2">
      <c r="B32755" s="4" t="s">
        <v>929</v>
      </c>
      <c r="C32755" s="4" t="s">
        <v>933</v>
      </c>
      <c r="D32755" s="4" t="s">
        <v>0</v>
      </c>
      <c r="E32755" s="4" t="s">
        <v>934</v>
      </c>
    </row>
    <row r="32756" spans="2:5" x14ac:dyDescent="0.2">
      <c r="B32756" s="4" t="s">
        <v>932</v>
      </c>
      <c r="C32756" s="4" t="s">
        <v>933</v>
      </c>
      <c r="D32756" s="4" t="s">
        <v>0</v>
      </c>
      <c r="E32756" s="4" t="s">
        <v>923</v>
      </c>
    </row>
    <row r="32757" spans="2:5" x14ac:dyDescent="0.2">
      <c r="B32757" s="4" t="s">
        <v>930</v>
      </c>
      <c r="C32757" s="4" t="s">
        <v>0</v>
      </c>
      <c r="D32757" s="4" t="s">
        <v>0</v>
      </c>
      <c r="E32757" s="4" t="s">
        <v>925</v>
      </c>
    </row>
    <row r="32758" spans="2:5" x14ac:dyDescent="0.2">
      <c r="B32758" s="4" t="s">
        <v>929</v>
      </c>
      <c r="C32758" s="4" t="s">
        <v>933</v>
      </c>
      <c r="D32758" s="4" t="s">
        <v>0</v>
      </c>
      <c r="E32758" s="4" t="s">
        <v>934</v>
      </c>
    </row>
    <row r="32759" spans="2:5" x14ac:dyDescent="0.2">
      <c r="B32759" s="4" t="s">
        <v>932</v>
      </c>
      <c r="C32759" s="4" t="s">
        <v>933</v>
      </c>
      <c r="D32759" s="4" t="s">
        <v>0</v>
      </c>
      <c r="E32759" s="4" t="s">
        <v>923</v>
      </c>
    </row>
    <row r="32760" spans="2:5" x14ac:dyDescent="0.2">
      <c r="B32760" s="4" t="s">
        <v>930</v>
      </c>
      <c r="C32760" s="4" t="s">
        <v>0</v>
      </c>
      <c r="D32760" s="4" t="s">
        <v>0</v>
      </c>
      <c r="E32760" s="4" t="s">
        <v>925</v>
      </c>
    </row>
    <row r="32761" spans="2:5" x14ac:dyDescent="0.2">
      <c r="B32761" s="4" t="s">
        <v>929</v>
      </c>
      <c r="C32761" s="4" t="s">
        <v>933</v>
      </c>
      <c r="D32761" s="4" t="s">
        <v>0</v>
      </c>
      <c r="E32761" s="4" t="s">
        <v>934</v>
      </c>
    </row>
    <row r="32762" spans="2:5" x14ac:dyDescent="0.2">
      <c r="B32762" s="4" t="s">
        <v>932</v>
      </c>
      <c r="C32762" s="4" t="s">
        <v>933</v>
      </c>
      <c r="D32762" s="4" t="s">
        <v>0</v>
      </c>
      <c r="E32762" s="4" t="s">
        <v>923</v>
      </c>
    </row>
    <row r="32763" spans="2:5" x14ac:dyDescent="0.2">
      <c r="B32763" s="4" t="s">
        <v>930</v>
      </c>
      <c r="C32763" s="4" t="s">
        <v>0</v>
      </c>
      <c r="D32763" s="4" t="s">
        <v>0</v>
      </c>
      <c r="E32763" s="4" t="s">
        <v>925</v>
      </c>
    </row>
    <row r="32764" spans="2:5" x14ac:dyDescent="0.2">
      <c r="B32764" s="4" t="s">
        <v>929</v>
      </c>
      <c r="C32764" s="4" t="s">
        <v>933</v>
      </c>
      <c r="D32764" s="4" t="s">
        <v>0</v>
      </c>
      <c r="E32764" s="4" t="s">
        <v>934</v>
      </c>
    </row>
    <row r="32765" spans="2:5" x14ac:dyDescent="0.2">
      <c r="B32765" s="4" t="s">
        <v>932</v>
      </c>
      <c r="C32765" s="4" t="s">
        <v>933</v>
      </c>
      <c r="D32765" s="4" t="s">
        <v>0</v>
      </c>
      <c r="E32765" s="4" t="s">
        <v>923</v>
      </c>
    </row>
    <row r="32766" spans="2:5" x14ac:dyDescent="0.2">
      <c r="B32766" s="4" t="s">
        <v>930</v>
      </c>
      <c r="C32766" s="4" t="s">
        <v>0</v>
      </c>
      <c r="D32766" s="4" t="s">
        <v>0</v>
      </c>
      <c r="E32766" s="4" t="s">
        <v>925</v>
      </c>
    </row>
    <row r="32767" spans="2:5" x14ac:dyDescent="0.2">
      <c r="B32767" s="4" t="s">
        <v>929</v>
      </c>
      <c r="C32767" s="4" t="s">
        <v>933</v>
      </c>
      <c r="D32767" s="4" t="s">
        <v>0</v>
      </c>
      <c r="E32767" s="4" t="s">
        <v>934</v>
      </c>
    </row>
    <row r="32768" spans="2:5" x14ac:dyDescent="0.2">
      <c r="B32768" s="4" t="s">
        <v>13</v>
      </c>
      <c r="C32768" s="4" t="s">
        <v>922</v>
      </c>
      <c r="D32768" s="4" t="s">
        <v>0</v>
      </c>
      <c r="E32768" s="4" t="s">
        <v>923</v>
      </c>
    </row>
    <row r="32769" spans="2:5" x14ac:dyDescent="0.2">
      <c r="B32769" s="4" t="s">
        <v>929</v>
      </c>
      <c r="C32769" s="4" t="s">
        <v>0</v>
      </c>
      <c r="D32769" s="4" t="s">
        <v>0</v>
      </c>
      <c r="E32769" s="4" t="s">
        <v>925</v>
      </c>
    </row>
    <row r="32770" spans="2:5" x14ac:dyDescent="0.2">
      <c r="B32770" s="4" t="s">
        <v>930</v>
      </c>
      <c r="C32770" s="4" t="s">
        <v>0</v>
      </c>
      <c r="D32770" s="4" t="s">
        <v>0</v>
      </c>
      <c r="E32770" s="4" t="s">
        <v>925</v>
      </c>
    </row>
    <row r="32771" spans="2:5" x14ac:dyDescent="0.2">
      <c r="B32771" s="4" t="s">
        <v>932</v>
      </c>
      <c r="C32771" s="4" t="s">
        <v>0</v>
      </c>
      <c r="D32771" s="4" t="s">
        <v>0</v>
      </c>
      <c r="E32771" s="4" t="s">
        <v>925</v>
      </c>
    </row>
    <row r="32772" spans="2:5" x14ac:dyDescent="0.2">
      <c r="B32772" s="4" t="s">
        <v>978</v>
      </c>
      <c r="C32772" s="4" t="s">
        <v>0</v>
      </c>
      <c r="D32772" s="4" t="s">
        <v>0</v>
      </c>
      <c r="E32772" s="4" t="s">
        <v>925</v>
      </c>
    </row>
    <row r="32773" spans="2:5" x14ac:dyDescent="0.2">
      <c r="B32773" s="4" t="s">
        <v>979</v>
      </c>
      <c r="C32773" s="4" t="s">
        <v>0</v>
      </c>
      <c r="D32773" s="4" t="s">
        <v>0</v>
      </c>
      <c r="E32773" s="4" t="s">
        <v>925</v>
      </c>
    </row>
    <row r="32774" spans="2:5" x14ac:dyDescent="0.2">
      <c r="B32774" s="4" t="s">
        <v>980</v>
      </c>
      <c r="C32774" s="4" t="s">
        <v>0</v>
      </c>
      <c r="D32774" s="4" t="s">
        <v>0</v>
      </c>
      <c r="E32774" s="4" t="s">
        <v>925</v>
      </c>
    </row>
    <row r="32775" spans="2:5" x14ac:dyDescent="0.2">
      <c r="B32775" s="4" t="s">
        <v>981</v>
      </c>
      <c r="C32775" s="4" t="s">
        <v>982</v>
      </c>
      <c r="D32775" s="4" t="s">
        <v>0</v>
      </c>
      <c r="E32775" s="4" t="s">
        <v>923</v>
      </c>
    </row>
    <row r="32776" spans="2:5" x14ac:dyDescent="0.2">
      <c r="B32776" s="4" t="s">
        <v>929</v>
      </c>
      <c r="C32776" s="4" t="s">
        <v>0</v>
      </c>
      <c r="D32776" s="4" t="s">
        <v>0</v>
      </c>
      <c r="E32776" s="4" t="s">
        <v>925</v>
      </c>
    </row>
    <row r="32777" spans="2:5" x14ac:dyDescent="0.2">
      <c r="B32777" s="4" t="s">
        <v>983</v>
      </c>
      <c r="C32777" s="4" t="s">
        <v>0</v>
      </c>
      <c r="D32777" s="4" t="s">
        <v>0</v>
      </c>
      <c r="E32777" s="4" t="s">
        <v>925</v>
      </c>
    </row>
    <row r="32778" spans="2:5" x14ac:dyDescent="0.2">
      <c r="B32778" s="4" t="s">
        <v>984</v>
      </c>
      <c r="C32778" s="4" t="s">
        <v>0</v>
      </c>
      <c r="D32778" s="4" t="s">
        <v>0</v>
      </c>
      <c r="E32778" s="4" t="s">
        <v>925</v>
      </c>
    </row>
    <row r="32779" spans="2:5" x14ac:dyDescent="0.2">
      <c r="B32779" s="4" t="s">
        <v>985</v>
      </c>
      <c r="C32779" s="4" t="s">
        <v>0</v>
      </c>
      <c r="D32779" s="4" t="s">
        <v>0</v>
      </c>
      <c r="E32779" s="4" t="s">
        <v>925</v>
      </c>
    </row>
    <row r="32780" spans="2:5" x14ac:dyDescent="0.2">
      <c r="B32780" s="4" t="s">
        <v>986</v>
      </c>
      <c r="C32780" s="4" t="s">
        <v>0</v>
      </c>
      <c r="D32780" s="4" t="s">
        <v>0</v>
      </c>
      <c r="E32780" s="4" t="s">
        <v>925</v>
      </c>
    </row>
    <row r="32781" spans="2:5" x14ac:dyDescent="0.2">
      <c r="B32781" s="4" t="s">
        <v>981</v>
      </c>
      <c r="C32781" s="4" t="s">
        <v>982</v>
      </c>
      <c r="D32781" s="4" t="s">
        <v>0</v>
      </c>
      <c r="E32781" s="4" t="s">
        <v>923</v>
      </c>
    </row>
    <row r="32782" spans="2:5" x14ac:dyDescent="0.2">
      <c r="B32782" s="4" t="s">
        <v>929</v>
      </c>
      <c r="C32782" s="4" t="s">
        <v>0</v>
      </c>
      <c r="D32782" s="4" t="s">
        <v>0</v>
      </c>
      <c r="E32782" s="4" t="s">
        <v>925</v>
      </c>
    </row>
    <row r="32783" spans="2:5" x14ac:dyDescent="0.2">
      <c r="B32783" s="4" t="s">
        <v>987</v>
      </c>
      <c r="C32783" s="4" t="s">
        <v>0</v>
      </c>
      <c r="D32783" s="4" t="s">
        <v>0</v>
      </c>
      <c r="E32783" s="4" t="s">
        <v>925</v>
      </c>
    </row>
    <row r="32784" spans="2:5" x14ac:dyDescent="0.2">
      <c r="B32784" s="4" t="s">
        <v>988</v>
      </c>
      <c r="C32784" s="4" t="s">
        <v>0</v>
      </c>
      <c r="D32784" s="4" t="s">
        <v>0</v>
      </c>
      <c r="E32784" s="4" t="s">
        <v>925</v>
      </c>
    </row>
    <row r="32785" spans="2:5" x14ac:dyDescent="0.2">
      <c r="B32785" s="4" t="s">
        <v>981</v>
      </c>
      <c r="C32785" s="4" t="s">
        <v>982</v>
      </c>
      <c r="D32785" s="4" t="s">
        <v>0</v>
      </c>
      <c r="E32785" s="4" t="s">
        <v>923</v>
      </c>
    </row>
    <row r="32786" spans="2:5" x14ac:dyDescent="0.2">
      <c r="B32786" s="4" t="s">
        <v>929</v>
      </c>
      <c r="C32786" s="4" t="s">
        <v>0</v>
      </c>
      <c r="D32786" s="4" t="s">
        <v>0</v>
      </c>
      <c r="E32786" s="4" t="s">
        <v>925</v>
      </c>
    </row>
    <row r="32787" spans="2:5" x14ac:dyDescent="0.2">
      <c r="B32787" s="4" t="s">
        <v>930</v>
      </c>
      <c r="C32787" s="4" t="s">
        <v>0</v>
      </c>
      <c r="D32787" s="4" t="s">
        <v>0</v>
      </c>
      <c r="E32787" s="4" t="s">
        <v>925</v>
      </c>
    </row>
    <row r="32788" spans="2:5" x14ac:dyDescent="0.2">
      <c r="B32788" s="4" t="s">
        <v>932</v>
      </c>
      <c r="C32788" s="4" t="s">
        <v>0</v>
      </c>
      <c r="D32788" s="4" t="s">
        <v>0</v>
      </c>
      <c r="E32788" s="4" t="s">
        <v>925</v>
      </c>
    </row>
    <row r="32789" spans="2:5" x14ac:dyDescent="0.2">
      <c r="B32789" s="4" t="s">
        <v>929</v>
      </c>
      <c r="C32789" s="4" t="s">
        <v>0</v>
      </c>
      <c r="D32789" s="4" t="s">
        <v>0</v>
      </c>
      <c r="E32789" s="4" t="s">
        <v>925</v>
      </c>
    </row>
    <row r="32790" spans="2:5" x14ac:dyDescent="0.2">
      <c r="B32790" s="4" t="s">
        <v>930</v>
      </c>
      <c r="C32790" s="4" t="s">
        <v>0</v>
      </c>
      <c r="D32790" s="4" t="s">
        <v>0</v>
      </c>
      <c r="E32790" s="4" t="s">
        <v>925</v>
      </c>
    </row>
    <row r="32791" spans="2:5" x14ac:dyDescent="0.2">
      <c r="B32791" s="4" t="s">
        <v>932</v>
      </c>
      <c r="C32791" s="4" t="s">
        <v>0</v>
      </c>
      <c r="D32791" s="4" t="s">
        <v>0</v>
      </c>
      <c r="E32791" s="4" t="s">
        <v>925</v>
      </c>
    </row>
    <row r="32792" spans="2:5" x14ac:dyDescent="0.2">
      <c r="B32792" s="4" t="s">
        <v>929</v>
      </c>
      <c r="C32792" s="4" t="s">
        <v>0</v>
      </c>
      <c r="D32792" s="4" t="s">
        <v>0</v>
      </c>
      <c r="E32792" s="4" t="s">
        <v>925</v>
      </c>
    </row>
    <row r="32793" spans="2:5" x14ac:dyDescent="0.2">
      <c r="B32793" s="4" t="s">
        <v>989</v>
      </c>
      <c r="C32793" s="4" t="s">
        <v>0</v>
      </c>
      <c r="D32793" s="4" t="s">
        <v>0</v>
      </c>
      <c r="E32793" s="4" t="s">
        <v>925</v>
      </c>
    </row>
    <row r="32794" spans="2:5" x14ac:dyDescent="0.2">
      <c r="B32794" s="4" t="s">
        <v>990</v>
      </c>
      <c r="C32794" s="4" t="s">
        <v>0</v>
      </c>
      <c r="D32794" s="4" t="s">
        <v>0</v>
      </c>
      <c r="E32794" s="4" t="s">
        <v>925</v>
      </c>
    </row>
    <row r="32795" spans="2:5" x14ac:dyDescent="0.2">
      <c r="B32795" s="4" t="s">
        <v>991</v>
      </c>
      <c r="C32795" s="4" t="s">
        <v>0</v>
      </c>
      <c r="D32795" s="4" t="s">
        <v>0</v>
      </c>
      <c r="E32795" s="4" t="s">
        <v>925</v>
      </c>
    </row>
    <row r="32796" spans="2:5" x14ac:dyDescent="0.2">
      <c r="B32796" s="4" t="s">
        <v>992</v>
      </c>
      <c r="C32796" s="4" t="s">
        <v>0</v>
      </c>
      <c r="D32796" s="4" t="s">
        <v>0</v>
      </c>
      <c r="E32796" s="4" t="s">
        <v>925</v>
      </c>
    </row>
    <row r="32797" spans="2:5" x14ac:dyDescent="0.2">
      <c r="B32797" s="4" t="s">
        <v>929</v>
      </c>
      <c r="C32797" s="4" t="s">
        <v>0</v>
      </c>
      <c r="D32797" s="4" t="s">
        <v>0</v>
      </c>
      <c r="E32797" s="4" t="s">
        <v>925</v>
      </c>
    </row>
    <row r="32798" spans="2:5" x14ac:dyDescent="0.2">
      <c r="B32798" s="4" t="s">
        <v>930</v>
      </c>
      <c r="C32798" s="4" t="s">
        <v>0</v>
      </c>
      <c r="D32798" s="4" t="s">
        <v>0</v>
      </c>
      <c r="E32798" s="4" t="s">
        <v>925</v>
      </c>
    </row>
    <row r="32799" spans="2:5" x14ac:dyDescent="0.2">
      <c r="B32799" s="4" t="s">
        <v>932</v>
      </c>
      <c r="C32799" s="4" t="s">
        <v>0</v>
      </c>
      <c r="D32799" s="4" t="s">
        <v>0</v>
      </c>
      <c r="E32799" s="4" t="s">
        <v>925</v>
      </c>
    </row>
    <row r="32800" spans="2:5" x14ac:dyDescent="0.2">
      <c r="B32800" s="4" t="s">
        <v>929</v>
      </c>
      <c r="C32800" s="4" t="s">
        <v>0</v>
      </c>
      <c r="D32800" s="4" t="s">
        <v>0</v>
      </c>
      <c r="E32800" s="4" t="s">
        <v>925</v>
      </c>
    </row>
    <row r="32801" spans="2:5" x14ac:dyDescent="0.2">
      <c r="B32801" s="4" t="s">
        <v>930</v>
      </c>
      <c r="C32801" s="4" t="s">
        <v>0</v>
      </c>
      <c r="D32801" s="4" t="s">
        <v>0</v>
      </c>
      <c r="E32801" s="4" t="s">
        <v>925</v>
      </c>
    </row>
    <row r="32802" spans="2:5" x14ac:dyDescent="0.2">
      <c r="B32802" s="4" t="s">
        <v>932</v>
      </c>
      <c r="C32802" s="4" t="s">
        <v>0</v>
      </c>
      <c r="D32802" s="4" t="s">
        <v>0</v>
      </c>
      <c r="E32802" s="4" t="s">
        <v>925</v>
      </c>
    </row>
    <row r="32803" spans="2:5" x14ac:dyDescent="0.2">
      <c r="B32803" s="4" t="s">
        <v>929</v>
      </c>
      <c r="C32803" s="4" t="s">
        <v>0</v>
      </c>
      <c r="D32803" s="4" t="s">
        <v>0</v>
      </c>
      <c r="E32803" s="4" t="s">
        <v>925</v>
      </c>
    </row>
    <row r="32804" spans="2:5" x14ac:dyDescent="0.2">
      <c r="B32804" s="4" t="s">
        <v>993</v>
      </c>
      <c r="C32804" s="4" t="s">
        <v>0</v>
      </c>
      <c r="D32804" s="4" t="s">
        <v>0</v>
      </c>
      <c r="E32804" s="4" t="s">
        <v>925</v>
      </c>
    </row>
    <row r="32805" spans="2:5" x14ac:dyDescent="0.2">
      <c r="B32805" s="4" t="s">
        <v>994</v>
      </c>
      <c r="C32805" s="4" t="s">
        <v>0</v>
      </c>
      <c r="D32805" s="4" t="s">
        <v>0</v>
      </c>
      <c r="E32805" s="4" t="s">
        <v>925</v>
      </c>
    </row>
    <row r="32806" spans="2:5" x14ac:dyDescent="0.2">
      <c r="B32806" s="4" t="s">
        <v>995</v>
      </c>
      <c r="C32806" s="4" t="s">
        <v>0</v>
      </c>
      <c r="D32806" s="4" t="s">
        <v>0</v>
      </c>
      <c r="E32806" s="4" t="s">
        <v>925</v>
      </c>
    </row>
    <row r="32807" spans="2:5" x14ac:dyDescent="0.2">
      <c r="B32807" s="4" t="s">
        <v>996</v>
      </c>
      <c r="C32807" s="4" t="s">
        <v>0</v>
      </c>
      <c r="D32807" s="4" t="s">
        <v>0</v>
      </c>
      <c r="E32807" s="4" t="s">
        <v>925</v>
      </c>
    </row>
    <row r="32808" spans="2:5" x14ac:dyDescent="0.2">
      <c r="B32808" s="4" t="s">
        <v>981</v>
      </c>
      <c r="C32808" s="4" t="s">
        <v>982</v>
      </c>
      <c r="D32808" s="4" t="s">
        <v>0</v>
      </c>
      <c r="E32808" s="4" t="s">
        <v>923</v>
      </c>
    </row>
    <row r="32809" spans="2:5" x14ac:dyDescent="0.2">
      <c r="B32809" s="4" t="s">
        <v>929</v>
      </c>
      <c r="C32809" s="4" t="s">
        <v>0</v>
      </c>
      <c r="D32809" s="4" t="s">
        <v>0</v>
      </c>
      <c r="E32809" s="4" t="s">
        <v>925</v>
      </c>
    </row>
    <row r="32810" spans="2:5" x14ac:dyDescent="0.2">
      <c r="B32810" s="4" t="s">
        <v>930</v>
      </c>
      <c r="C32810" s="4" t="s">
        <v>982</v>
      </c>
      <c r="D32810" s="4" t="s">
        <v>0</v>
      </c>
      <c r="E32810" s="4" t="s">
        <v>923</v>
      </c>
    </row>
    <row r="32811" spans="2:5" x14ac:dyDescent="0.2">
      <c r="B32811" s="4" t="s">
        <v>932</v>
      </c>
      <c r="C32811" s="4" t="s">
        <v>0</v>
      </c>
      <c r="D32811" s="4" t="s">
        <v>0</v>
      </c>
      <c r="E32811" s="4" t="s">
        <v>925</v>
      </c>
    </row>
    <row r="32812" spans="2:5" x14ac:dyDescent="0.2">
      <c r="B32812" s="4" t="s">
        <v>929</v>
      </c>
      <c r="C32812" s="4" t="s">
        <v>0</v>
      </c>
      <c r="D32812" s="4" t="s">
        <v>0</v>
      </c>
      <c r="E32812" s="4" t="s">
        <v>925</v>
      </c>
    </row>
    <row r="32813" spans="2:5" x14ac:dyDescent="0.2">
      <c r="B32813" s="4" t="s">
        <v>930</v>
      </c>
      <c r="C32813" s="4" t="s">
        <v>982</v>
      </c>
      <c r="D32813" s="4" t="s">
        <v>0</v>
      </c>
      <c r="E32813" s="4" t="s">
        <v>923</v>
      </c>
    </row>
    <row r="32814" spans="2:5" x14ac:dyDescent="0.2">
      <c r="B32814" s="4" t="s">
        <v>932</v>
      </c>
      <c r="C32814" s="4" t="s">
        <v>0</v>
      </c>
      <c r="D32814" s="4" t="s">
        <v>0</v>
      </c>
      <c r="E32814" s="4" t="s">
        <v>925</v>
      </c>
    </row>
    <row r="32815" spans="2:5" x14ac:dyDescent="0.2">
      <c r="B32815" s="4" t="s">
        <v>929</v>
      </c>
      <c r="C32815" s="4" t="s">
        <v>0</v>
      </c>
      <c r="D32815" s="4" t="s">
        <v>0</v>
      </c>
      <c r="E32815" s="4" t="s">
        <v>925</v>
      </c>
    </row>
    <row r="32816" spans="2:5" x14ac:dyDescent="0.2">
      <c r="B32816" s="4" t="s">
        <v>930</v>
      </c>
      <c r="C32816" s="4" t="s">
        <v>0</v>
      </c>
      <c r="D32816" s="4" t="s">
        <v>0</v>
      </c>
      <c r="E32816" s="4" t="s">
        <v>925</v>
      </c>
    </row>
    <row r="32817" spans="2:5" x14ac:dyDescent="0.2">
      <c r="B32817" s="4" t="s">
        <v>932</v>
      </c>
      <c r="C32817" s="4" t="s">
        <v>0</v>
      </c>
      <c r="D32817" s="4" t="s">
        <v>0</v>
      </c>
      <c r="E32817" s="4" t="s">
        <v>925</v>
      </c>
    </row>
    <row r="32818" spans="2:5" x14ac:dyDescent="0.2">
      <c r="B32818" s="4" t="s">
        <v>929</v>
      </c>
      <c r="C32818" s="4" t="s">
        <v>0</v>
      </c>
      <c r="D32818" s="4" t="s">
        <v>0</v>
      </c>
      <c r="E32818" s="4" t="s">
        <v>925</v>
      </c>
    </row>
    <row r="32819" spans="2:5" x14ac:dyDescent="0.2">
      <c r="B32819" s="4" t="s">
        <v>997</v>
      </c>
      <c r="C32819" s="4" t="s">
        <v>0</v>
      </c>
      <c r="D32819" s="4" t="s">
        <v>0</v>
      </c>
      <c r="E32819" s="4" t="s">
        <v>925</v>
      </c>
    </row>
    <row r="32820" spans="2:5" x14ac:dyDescent="0.2">
      <c r="B32820" s="4" t="s">
        <v>998</v>
      </c>
      <c r="C32820" s="4" t="s">
        <v>0</v>
      </c>
      <c r="D32820" s="4" t="s">
        <v>0</v>
      </c>
      <c r="E32820" s="4" t="s">
        <v>925</v>
      </c>
    </row>
    <row r="32821" spans="2:5" x14ac:dyDescent="0.2">
      <c r="B32821" s="4" t="s">
        <v>981</v>
      </c>
      <c r="C32821" s="4" t="s">
        <v>982</v>
      </c>
      <c r="D32821" s="4" t="s">
        <v>0</v>
      </c>
      <c r="E32821" s="4" t="s">
        <v>923</v>
      </c>
    </row>
    <row r="32822" spans="2:5" x14ac:dyDescent="0.2">
      <c r="B32822" s="4" t="s">
        <v>929</v>
      </c>
      <c r="C32822" s="4" t="s">
        <v>0</v>
      </c>
      <c r="D32822" s="4" t="s">
        <v>0</v>
      </c>
      <c r="E32822" s="4" t="s">
        <v>925</v>
      </c>
    </row>
    <row r="32823" spans="2:5" x14ac:dyDescent="0.2">
      <c r="B32823" s="4" t="s">
        <v>930</v>
      </c>
      <c r="C32823" s="4" t="s">
        <v>999</v>
      </c>
      <c r="D32823" s="4" t="s">
        <v>0</v>
      </c>
      <c r="E32823" s="4" t="s">
        <v>923</v>
      </c>
    </row>
    <row r="32824" spans="2:5" x14ac:dyDescent="0.2">
      <c r="B32824" s="4" t="s">
        <v>932</v>
      </c>
      <c r="C32824" s="4" t="s">
        <v>0</v>
      </c>
      <c r="D32824" s="4" t="s">
        <v>0</v>
      </c>
      <c r="E32824" s="4" t="s">
        <v>925</v>
      </c>
    </row>
    <row r="32825" spans="2:5" x14ac:dyDescent="0.2">
      <c r="B32825" s="4" t="s">
        <v>929</v>
      </c>
      <c r="C32825" s="4" t="s">
        <v>0</v>
      </c>
      <c r="D32825" s="4" t="s">
        <v>0</v>
      </c>
      <c r="E32825" s="4" t="s">
        <v>925</v>
      </c>
    </row>
    <row r="32826" spans="2:5" x14ac:dyDescent="0.2">
      <c r="B32826" s="4" t="s">
        <v>930</v>
      </c>
      <c r="C32826" s="4" t="s">
        <v>0</v>
      </c>
      <c r="D32826" s="4" t="s">
        <v>0</v>
      </c>
      <c r="E32826" s="4" t="s">
        <v>925</v>
      </c>
    </row>
    <row r="32827" spans="2:5" x14ac:dyDescent="0.2">
      <c r="B32827" s="4" t="s">
        <v>932</v>
      </c>
      <c r="C32827" s="4" t="s">
        <v>0</v>
      </c>
      <c r="D32827" s="4" t="s">
        <v>0</v>
      </c>
      <c r="E32827" s="4" t="s">
        <v>925</v>
      </c>
    </row>
    <row r="32828" spans="2:5" x14ac:dyDescent="0.2">
      <c r="B32828" s="4" t="s">
        <v>929</v>
      </c>
      <c r="C32828" s="4" t="s">
        <v>0</v>
      </c>
      <c r="D32828" s="4" t="s">
        <v>0</v>
      </c>
      <c r="E32828" s="4" t="s">
        <v>925</v>
      </c>
    </row>
    <row r="32829" spans="2:5" x14ac:dyDescent="0.2">
      <c r="B32829" s="4" t="s">
        <v>870</v>
      </c>
      <c r="C32829" s="4" t="s">
        <v>1000</v>
      </c>
      <c r="D32829" s="4" t="s">
        <v>0</v>
      </c>
      <c r="E32829" s="4" t="s">
        <v>923</v>
      </c>
    </row>
    <row r="32830" spans="2:5" x14ac:dyDescent="0.2">
      <c r="B32830" s="4" t="s">
        <v>929</v>
      </c>
      <c r="C32830" s="4" t="s">
        <v>0</v>
      </c>
      <c r="D32830" s="4" t="s">
        <v>0</v>
      </c>
      <c r="E32830" s="4" t="s">
        <v>925</v>
      </c>
    </row>
    <row r="32831" spans="2:5" x14ac:dyDescent="0.2">
      <c r="B32831" s="4" t="s">
        <v>930</v>
      </c>
      <c r="C32831" s="4" t="s">
        <v>0</v>
      </c>
      <c r="D32831" s="4" t="s">
        <v>0</v>
      </c>
      <c r="E32831" s="4" t="s">
        <v>925</v>
      </c>
    </row>
    <row r="32832" spans="2:5" x14ac:dyDescent="0.2">
      <c r="B32832" s="4" t="s">
        <v>932</v>
      </c>
      <c r="C32832" s="4" t="s">
        <v>0</v>
      </c>
      <c r="D32832" s="4" t="s">
        <v>0</v>
      </c>
      <c r="E32832" s="4" t="s">
        <v>925</v>
      </c>
    </row>
    <row r="32833" spans="2:5" x14ac:dyDescent="0.2">
      <c r="B32833" s="4" t="s">
        <v>929</v>
      </c>
      <c r="C32833" s="4" t="s">
        <v>0</v>
      </c>
      <c r="D32833" s="4" t="s">
        <v>0</v>
      </c>
      <c r="E32833" s="4" t="s">
        <v>925</v>
      </c>
    </row>
    <row r="32834" spans="2:5" x14ac:dyDescent="0.2">
      <c r="B32834" s="4" t="s">
        <v>870</v>
      </c>
      <c r="C32834" s="4" t="s">
        <v>1000</v>
      </c>
      <c r="D32834" s="4" t="s">
        <v>0</v>
      </c>
      <c r="E32834" s="4" t="s">
        <v>923</v>
      </c>
    </row>
    <row r="32835" spans="2:5" x14ac:dyDescent="0.2">
      <c r="B32835" s="4" t="s">
        <v>929</v>
      </c>
      <c r="C32835" s="4" t="s">
        <v>0</v>
      </c>
      <c r="D32835" s="4" t="s">
        <v>0</v>
      </c>
      <c r="E32835" s="4" t="s">
        <v>925</v>
      </c>
    </row>
    <row r="32836" spans="2:5" x14ac:dyDescent="0.2">
      <c r="B32836" s="4" t="s">
        <v>870</v>
      </c>
      <c r="C32836" s="4" t="s">
        <v>1000</v>
      </c>
      <c r="D32836" s="4" t="s">
        <v>0</v>
      </c>
      <c r="E32836" s="4" t="s">
        <v>923</v>
      </c>
    </row>
    <row r="32837" spans="2:5" x14ac:dyDescent="0.2">
      <c r="B32837" s="4" t="s">
        <v>929</v>
      </c>
      <c r="C32837" s="4" t="s">
        <v>0</v>
      </c>
      <c r="D32837" s="4" t="s">
        <v>0</v>
      </c>
      <c r="E32837" s="4" t="s">
        <v>925</v>
      </c>
    </row>
    <row r="32838" spans="2:5" x14ac:dyDescent="0.2">
      <c r="B32838" s="4" t="s">
        <v>930</v>
      </c>
      <c r="C32838" s="4" t="s">
        <v>982</v>
      </c>
      <c r="D32838" s="4" t="s">
        <v>0</v>
      </c>
      <c r="E32838" s="4" t="s">
        <v>923</v>
      </c>
    </row>
    <row r="32839" spans="2:5" x14ac:dyDescent="0.2">
      <c r="B32839" s="4" t="s">
        <v>932</v>
      </c>
      <c r="C32839" s="4" t="s">
        <v>0</v>
      </c>
      <c r="D32839" s="4" t="s">
        <v>0</v>
      </c>
      <c r="E32839" s="4" t="s">
        <v>925</v>
      </c>
    </row>
    <row r="32840" spans="2:5" x14ac:dyDescent="0.2">
      <c r="B32840" s="4" t="s">
        <v>929</v>
      </c>
      <c r="C32840" s="4" t="s">
        <v>0</v>
      </c>
      <c r="D32840" s="4" t="s">
        <v>0</v>
      </c>
      <c r="E32840" s="4" t="s">
        <v>925</v>
      </c>
    </row>
    <row r="32841" spans="2:5" x14ac:dyDescent="0.2">
      <c r="B32841" s="4" t="s">
        <v>930</v>
      </c>
      <c r="C32841" s="4" t="s">
        <v>982</v>
      </c>
      <c r="D32841" s="4" t="s">
        <v>0</v>
      </c>
      <c r="E32841" s="4" t="s">
        <v>923</v>
      </c>
    </row>
    <row r="32842" spans="2:5" x14ac:dyDescent="0.2">
      <c r="B32842" s="4" t="s">
        <v>932</v>
      </c>
      <c r="C32842" s="4" t="s">
        <v>0</v>
      </c>
      <c r="D32842" s="4" t="s">
        <v>0</v>
      </c>
      <c r="E32842" s="4" t="s">
        <v>925</v>
      </c>
    </row>
    <row r="32843" spans="2:5" x14ac:dyDescent="0.2">
      <c r="B32843" s="4" t="s">
        <v>929</v>
      </c>
      <c r="C32843" s="4" t="s">
        <v>0</v>
      </c>
      <c r="D32843" s="4" t="s">
        <v>0</v>
      </c>
      <c r="E32843" s="4" t="s">
        <v>925</v>
      </c>
    </row>
    <row r="32844" spans="2:5" x14ac:dyDescent="0.2">
      <c r="B32844" s="4" t="s">
        <v>930</v>
      </c>
      <c r="C32844" s="4" t="s">
        <v>0</v>
      </c>
      <c r="D32844" s="4" t="s">
        <v>0</v>
      </c>
      <c r="E32844" s="4" t="s">
        <v>925</v>
      </c>
    </row>
    <row r="32845" spans="2:5" x14ac:dyDescent="0.2">
      <c r="B32845" s="4" t="s">
        <v>932</v>
      </c>
      <c r="C32845" s="4" t="s">
        <v>0</v>
      </c>
      <c r="D32845" s="4" t="s">
        <v>0</v>
      </c>
      <c r="E32845" s="4" t="s">
        <v>925</v>
      </c>
    </row>
    <row r="32846" spans="2:5" x14ac:dyDescent="0.2">
      <c r="B32846" s="4" t="s">
        <v>929</v>
      </c>
      <c r="C32846" s="4" t="s">
        <v>0</v>
      </c>
      <c r="D32846" s="4" t="s">
        <v>0</v>
      </c>
      <c r="E32846" s="4" t="s">
        <v>925</v>
      </c>
    </row>
    <row r="32847" spans="2:5" x14ac:dyDescent="0.2">
      <c r="B32847" s="4" t="s">
        <v>930</v>
      </c>
      <c r="C32847" s="4" t="s">
        <v>982</v>
      </c>
      <c r="D32847" s="4" t="s">
        <v>0</v>
      </c>
      <c r="E32847" s="4" t="s">
        <v>923</v>
      </c>
    </row>
    <row r="32848" spans="2:5" x14ac:dyDescent="0.2">
      <c r="B32848" s="4" t="s">
        <v>932</v>
      </c>
      <c r="C32848" s="4" t="s">
        <v>0</v>
      </c>
      <c r="D32848" s="4" t="s">
        <v>0</v>
      </c>
      <c r="E32848" s="4" t="s">
        <v>925</v>
      </c>
    </row>
    <row r="32849" spans="2:5" x14ac:dyDescent="0.2">
      <c r="B32849" s="4" t="s">
        <v>929</v>
      </c>
      <c r="C32849" s="4" t="s">
        <v>0</v>
      </c>
      <c r="D32849" s="4" t="s">
        <v>0</v>
      </c>
      <c r="E32849" s="4" t="s">
        <v>925</v>
      </c>
    </row>
    <row r="32850" spans="2:5" x14ac:dyDescent="0.2">
      <c r="B32850" s="4" t="s">
        <v>896</v>
      </c>
      <c r="C32850" s="4" t="s">
        <v>982</v>
      </c>
      <c r="D32850" s="4" t="s">
        <v>0</v>
      </c>
      <c r="E32850" s="4" t="s">
        <v>923</v>
      </c>
    </row>
    <row r="32851" spans="2:5" x14ac:dyDescent="0.2">
      <c r="B32851" s="4" t="s">
        <v>929</v>
      </c>
      <c r="C32851" s="4" t="s">
        <v>0</v>
      </c>
      <c r="D32851" s="4" t="s">
        <v>0</v>
      </c>
      <c r="E32851" s="4" t="s">
        <v>925</v>
      </c>
    </row>
    <row r="32852" spans="2:5" x14ac:dyDescent="0.2">
      <c r="B32852" s="4" t="s">
        <v>896</v>
      </c>
      <c r="C32852" s="4" t="s">
        <v>982</v>
      </c>
      <c r="D32852" s="4" t="s">
        <v>0</v>
      </c>
      <c r="E32852" s="4" t="s">
        <v>923</v>
      </c>
    </row>
    <row r="32853" spans="2:5" x14ac:dyDescent="0.2">
      <c r="B32853" s="4" t="s">
        <v>929</v>
      </c>
      <c r="C32853" s="4" t="s">
        <v>0</v>
      </c>
      <c r="D32853" s="4" t="s">
        <v>0</v>
      </c>
      <c r="E32853" s="4" t="s">
        <v>925</v>
      </c>
    </row>
    <row r="32854" spans="2:5" x14ac:dyDescent="0.2">
      <c r="B32854" s="4" t="s">
        <v>930</v>
      </c>
      <c r="C32854" s="4" t="s">
        <v>982</v>
      </c>
      <c r="D32854" s="4" t="s">
        <v>0</v>
      </c>
      <c r="E32854" s="4" t="s">
        <v>923</v>
      </c>
    </row>
    <row r="32855" spans="2:5" x14ac:dyDescent="0.2">
      <c r="B32855" s="4" t="s">
        <v>932</v>
      </c>
      <c r="C32855" s="4" t="s">
        <v>0</v>
      </c>
      <c r="D32855" s="4" t="s">
        <v>0</v>
      </c>
      <c r="E32855" s="4" t="s">
        <v>925</v>
      </c>
    </row>
    <row r="32856" spans="2:5" x14ac:dyDescent="0.2">
      <c r="B32856" s="4" t="s">
        <v>929</v>
      </c>
      <c r="C32856" s="4" t="s">
        <v>0</v>
      </c>
      <c r="D32856" s="4" t="s">
        <v>0</v>
      </c>
      <c r="E32856" s="4" t="s">
        <v>925</v>
      </c>
    </row>
    <row r="32857" spans="2:5" x14ac:dyDescent="0.2">
      <c r="B32857" s="4" t="s">
        <v>896</v>
      </c>
      <c r="C32857" s="4" t="s">
        <v>982</v>
      </c>
      <c r="D32857" s="4" t="s">
        <v>0</v>
      </c>
      <c r="E32857" s="4" t="s">
        <v>923</v>
      </c>
    </row>
    <row r="32858" spans="2:5" x14ac:dyDescent="0.2">
      <c r="B32858" s="4" t="s">
        <v>929</v>
      </c>
      <c r="C32858" s="4" t="s">
        <v>0</v>
      </c>
      <c r="D32858" s="4" t="s">
        <v>0</v>
      </c>
      <c r="E32858" s="4" t="s">
        <v>925</v>
      </c>
    </row>
    <row r="32859" spans="2:5" x14ac:dyDescent="0.2">
      <c r="B32859" s="4" t="s">
        <v>930</v>
      </c>
      <c r="C32859" s="4" t="s">
        <v>0</v>
      </c>
      <c r="D32859" s="4" t="s">
        <v>0</v>
      </c>
      <c r="E32859" s="4" t="s">
        <v>925</v>
      </c>
    </row>
    <row r="32860" spans="2:5" x14ac:dyDescent="0.2">
      <c r="B32860" s="4" t="s">
        <v>932</v>
      </c>
      <c r="C32860" s="4" t="s">
        <v>0</v>
      </c>
      <c r="D32860" s="4" t="s">
        <v>0</v>
      </c>
      <c r="E32860" s="4" t="s">
        <v>925</v>
      </c>
    </row>
    <row r="32861" spans="2:5" x14ac:dyDescent="0.2">
      <c r="B32861" s="4" t="s">
        <v>929</v>
      </c>
      <c r="C32861" s="4" t="s">
        <v>0</v>
      </c>
      <c r="D32861" s="4" t="s">
        <v>0</v>
      </c>
      <c r="E32861" s="4" t="s">
        <v>925</v>
      </c>
    </row>
    <row r="32862" spans="2:5" x14ac:dyDescent="0.2">
      <c r="B32862" s="4" t="s">
        <v>930</v>
      </c>
      <c r="C32862" s="4" t="s">
        <v>0</v>
      </c>
      <c r="D32862" s="4" t="s">
        <v>0</v>
      </c>
      <c r="E32862" s="4" t="s">
        <v>925</v>
      </c>
    </row>
    <row r="32863" spans="2:5" x14ac:dyDescent="0.2">
      <c r="B32863" s="4" t="s">
        <v>932</v>
      </c>
      <c r="C32863" s="4" t="s">
        <v>0</v>
      </c>
      <c r="D32863" s="4" t="s">
        <v>0</v>
      </c>
      <c r="E32863" s="4" t="s">
        <v>925</v>
      </c>
    </row>
    <row r="32864" spans="2:5" x14ac:dyDescent="0.2">
      <c r="B32864" s="4" t="s">
        <v>929</v>
      </c>
      <c r="C32864" s="4" t="s">
        <v>0</v>
      </c>
      <c r="D32864" s="4" t="s">
        <v>0</v>
      </c>
      <c r="E32864" s="4" t="s">
        <v>925</v>
      </c>
    </row>
    <row r="32865" spans="2:5" x14ac:dyDescent="0.2">
      <c r="B32865" s="4" t="s">
        <v>896</v>
      </c>
      <c r="C32865" s="4" t="s">
        <v>982</v>
      </c>
      <c r="D32865" s="4" t="s">
        <v>0</v>
      </c>
      <c r="E32865" s="4" t="s">
        <v>923</v>
      </c>
    </row>
    <row r="32866" spans="2:5" x14ac:dyDescent="0.2">
      <c r="B32866" s="4" t="s">
        <v>929</v>
      </c>
      <c r="C32866" s="4" t="s">
        <v>0</v>
      </c>
      <c r="D32866" s="4" t="s">
        <v>0</v>
      </c>
      <c r="E32866" s="4" t="s">
        <v>925</v>
      </c>
    </row>
    <row r="32867" spans="2:5" x14ac:dyDescent="0.2">
      <c r="B32867" s="4" t="s">
        <v>918</v>
      </c>
      <c r="C32867" s="4" t="s">
        <v>0</v>
      </c>
      <c r="D32867" s="4" t="s">
        <v>918</v>
      </c>
      <c r="E32867" s="4" t="s">
        <v>925</v>
      </c>
    </row>
    <row r="32868" spans="2:5" x14ac:dyDescent="0.2">
      <c r="B32868" s="4" t="s">
        <v>929</v>
      </c>
      <c r="C32868" s="4" t="s">
        <v>0</v>
      </c>
      <c r="D32868" s="4" t="s">
        <v>0</v>
      </c>
      <c r="E32868" s="4" t="s">
        <v>925</v>
      </c>
    </row>
  </sheetData>
  <mergeCells count="317">
    <mergeCell ref="B226:I226"/>
    <mergeCell ref="B628:I628"/>
    <mergeCell ref="B624:I624"/>
    <mergeCell ref="B622:G622"/>
    <mergeCell ref="B612:G612"/>
    <mergeCell ref="B614:G614"/>
    <mergeCell ref="B616:G616"/>
    <mergeCell ref="B618:G618"/>
    <mergeCell ref="B620:G620"/>
    <mergeCell ref="B610:G610"/>
    <mergeCell ref="B608:G608"/>
    <mergeCell ref="B606:G606"/>
    <mergeCell ref="B604:G604"/>
    <mergeCell ref="B602:G602"/>
    <mergeCell ref="B600:G600"/>
    <mergeCell ref="B598:G598"/>
    <mergeCell ref="B596:G596"/>
    <mergeCell ref="B594:G594"/>
    <mergeCell ref="B586:G586"/>
    <mergeCell ref="B588:G588"/>
    <mergeCell ref="B590:G590"/>
    <mergeCell ref="B592:G592"/>
    <mergeCell ref="B584:G584"/>
    <mergeCell ref="B582:G582"/>
    <mergeCell ref="B580:G580"/>
    <mergeCell ref="B578:G578"/>
    <mergeCell ref="B576:G576"/>
    <mergeCell ref="B574:G574"/>
    <mergeCell ref="B572:G572"/>
    <mergeCell ref="B555:G555"/>
    <mergeCell ref="B553:G553"/>
    <mergeCell ref="B560:I560"/>
    <mergeCell ref="B551:G551"/>
    <mergeCell ref="B549:G549"/>
    <mergeCell ref="B547:G547"/>
    <mergeCell ref="B545:G545"/>
    <mergeCell ref="B543:G543"/>
    <mergeCell ref="B541:G541"/>
    <mergeCell ref="B539:G539"/>
    <mergeCell ref="B537:G537"/>
    <mergeCell ref="B535:G535"/>
    <mergeCell ref="B533:G533"/>
    <mergeCell ref="B531:G531"/>
    <mergeCell ref="B529:G529"/>
    <mergeCell ref="B527:G527"/>
    <mergeCell ref="B525:G525"/>
    <mergeCell ref="B523:G523"/>
    <mergeCell ref="B521:G521"/>
    <mergeCell ref="B519:G519"/>
    <mergeCell ref="B517:G517"/>
    <mergeCell ref="B489:G489"/>
    <mergeCell ref="B487:G487"/>
    <mergeCell ref="B485:G485"/>
    <mergeCell ref="B483:G483"/>
    <mergeCell ref="B481:G481"/>
    <mergeCell ref="B515:G515"/>
    <mergeCell ref="B513:G513"/>
    <mergeCell ref="B511:G511"/>
    <mergeCell ref="B509:G509"/>
    <mergeCell ref="B507:G507"/>
    <mergeCell ref="B505:G505"/>
    <mergeCell ref="B503:G503"/>
    <mergeCell ref="B501:G501"/>
    <mergeCell ref="B499:G499"/>
    <mergeCell ref="B461:G461"/>
    <mergeCell ref="B459:G459"/>
    <mergeCell ref="B457:G457"/>
    <mergeCell ref="B455:G455"/>
    <mergeCell ref="B570:G570"/>
    <mergeCell ref="B568:G568"/>
    <mergeCell ref="B566:G566"/>
    <mergeCell ref="B564:G564"/>
    <mergeCell ref="B562:G562"/>
    <mergeCell ref="B559:G559"/>
    <mergeCell ref="B557:G557"/>
    <mergeCell ref="B479:G479"/>
    <mergeCell ref="B477:G477"/>
    <mergeCell ref="B475:G475"/>
    <mergeCell ref="B473:G473"/>
    <mergeCell ref="B471:G471"/>
    <mergeCell ref="B469:G469"/>
    <mergeCell ref="B467:G467"/>
    <mergeCell ref="B465:G465"/>
    <mergeCell ref="B463:G463"/>
    <mergeCell ref="B497:G497"/>
    <mergeCell ref="B495:G495"/>
    <mergeCell ref="B493:G493"/>
    <mergeCell ref="B491:G491"/>
    <mergeCell ref="B453:G453"/>
    <mergeCell ref="B451:G451"/>
    <mergeCell ref="B449:G449"/>
    <mergeCell ref="B447:G447"/>
    <mergeCell ref="B445:G445"/>
    <mergeCell ref="B443:G443"/>
    <mergeCell ref="B441:G441"/>
    <mergeCell ref="B439:G439"/>
    <mergeCell ref="B437:G437"/>
    <mergeCell ref="B435:G435"/>
    <mergeCell ref="B427:G427"/>
    <mergeCell ref="B429:G429"/>
    <mergeCell ref="B431:G431"/>
    <mergeCell ref="B433:G433"/>
    <mergeCell ref="B425:G425"/>
    <mergeCell ref="B423:G423"/>
    <mergeCell ref="B421:G421"/>
    <mergeCell ref="B419:G419"/>
    <mergeCell ref="B417:G417"/>
    <mergeCell ref="B415:G415"/>
    <mergeCell ref="B413:G413"/>
    <mergeCell ref="B411:G411"/>
    <mergeCell ref="B409:G409"/>
    <mergeCell ref="B407:G407"/>
    <mergeCell ref="B405:G405"/>
    <mergeCell ref="B403:G403"/>
    <mergeCell ref="B401:G401"/>
    <mergeCell ref="B399:G399"/>
    <mergeCell ref="B397:G397"/>
    <mergeCell ref="B395:G395"/>
    <mergeCell ref="B393:G393"/>
    <mergeCell ref="B391:G391"/>
    <mergeCell ref="B389:G389"/>
    <mergeCell ref="B364:G364"/>
    <mergeCell ref="B362:G362"/>
    <mergeCell ref="B360:G360"/>
    <mergeCell ref="B354:G354"/>
    <mergeCell ref="B356:G356"/>
    <mergeCell ref="B358:G358"/>
    <mergeCell ref="B387:G387"/>
    <mergeCell ref="B385:G385"/>
    <mergeCell ref="B383:G383"/>
    <mergeCell ref="B380:G380"/>
    <mergeCell ref="B378:G378"/>
    <mergeCell ref="B376:G376"/>
    <mergeCell ref="B374:G374"/>
    <mergeCell ref="B372:G372"/>
    <mergeCell ref="B370:G370"/>
    <mergeCell ref="B368:G368"/>
    <mergeCell ref="B366:G366"/>
    <mergeCell ref="B382:I382"/>
    <mergeCell ref="B352:G352"/>
    <mergeCell ref="B350:G350"/>
    <mergeCell ref="B348:G348"/>
    <mergeCell ref="B346:G346"/>
    <mergeCell ref="B344:G344"/>
    <mergeCell ref="B342:G342"/>
    <mergeCell ref="B207:G207"/>
    <mergeCell ref="B205:G205"/>
    <mergeCell ref="B203:G203"/>
    <mergeCell ref="B242:G242"/>
    <mergeCell ref="B240:G240"/>
    <mergeCell ref="B238:G238"/>
    <mergeCell ref="B236:G236"/>
    <mergeCell ref="B234:G234"/>
    <mergeCell ref="B232:G232"/>
    <mergeCell ref="B230:G230"/>
    <mergeCell ref="B219:G219"/>
    <mergeCell ref="B221:G221"/>
    <mergeCell ref="B223:G223"/>
    <mergeCell ref="B225:G225"/>
    <mergeCell ref="B228:G228"/>
    <mergeCell ref="B262:G262"/>
    <mergeCell ref="B260:G260"/>
    <mergeCell ref="B258:G258"/>
    <mergeCell ref="B201:G201"/>
    <mergeCell ref="B199:G199"/>
    <mergeCell ref="B197:G197"/>
    <mergeCell ref="B195:G195"/>
    <mergeCell ref="B217:G217"/>
    <mergeCell ref="B215:G215"/>
    <mergeCell ref="B213:G213"/>
    <mergeCell ref="B211:G211"/>
    <mergeCell ref="B209:G209"/>
    <mergeCell ref="B256:G256"/>
    <mergeCell ref="B254:G254"/>
    <mergeCell ref="B252:G252"/>
    <mergeCell ref="B250:G250"/>
    <mergeCell ref="B248:G248"/>
    <mergeCell ref="B246:G246"/>
    <mergeCell ref="B244:G244"/>
    <mergeCell ref="B280:G280"/>
    <mergeCell ref="B278:G278"/>
    <mergeCell ref="B276:G276"/>
    <mergeCell ref="B274:G274"/>
    <mergeCell ref="B272:G272"/>
    <mergeCell ref="B270:G270"/>
    <mergeCell ref="B268:G268"/>
    <mergeCell ref="B266:G266"/>
    <mergeCell ref="B264:G264"/>
    <mergeCell ref="B330:G330"/>
    <mergeCell ref="B288:G288"/>
    <mergeCell ref="B286:G286"/>
    <mergeCell ref="B284:G284"/>
    <mergeCell ref="B282:G282"/>
    <mergeCell ref="B296:G296"/>
    <mergeCell ref="B294:G294"/>
    <mergeCell ref="B292:G292"/>
    <mergeCell ref="B290:G290"/>
    <mergeCell ref="B304:G304"/>
    <mergeCell ref="B302:G302"/>
    <mergeCell ref="B300:G300"/>
    <mergeCell ref="B298:G298"/>
    <mergeCell ref="B340:G340"/>
    <mergeCell ref="B338:G338"/>
    <mergeCell ref="B193:G193"/>
    <mergeCell ref="B191:G191"/>
    <mergeCell ref="B189:G189"/>
    <mergeCell ref="B187:G187"/>
    <mergeCell ref="B185:G185"/>
    <mergeCell ref="B183:G183"/>
    <mergeCell ref="B181:G181"/>
    <mergeCell ref="B312:G312"/>
    <mergeCell ref="B310:G310"/>
    <mergeCell ref="B308:G308"/>
    <mergeCell ref="B306:G306"/>
    <mergeCell ref="B320:G320"/>
    <mergeCell ref="B318:G318"/>
    <mergeCell ref="B316:G316"/>
    <mergeCell ref="B314:G314"/>
    <mergeCell ref="B336:G336"/>
    <mergeCell ref="B334:G334"/>
    <mergeCell ref="B332:G332"/>
    <mergeCell ref="B322:G322"/>
    <mergeCell ref="B324:G324"/>
    <mergeCell ref="B326:G326"/>
    <mergeCell ref="B328:G328"/>
    <mergeCell ref="B179:G179"/>
    <mergeCell ref="B177:G177"/>
    <mergeCell ref="B175:G175"/>
    <mergeCell ref="B165:G165"/>
    <mergeCell ref="B167:G167"/>
    <mergeCell ref="B169:G169"/>
    <mergeCell ref="B171:G171"/>
    <mergeCell ref="B173:G173"/>
    <mergeCell ref="B163:G163"/>
    <mergeCell ref="B161:G161"/>
    <mergeCell ref="B159:G159"/>
    <mergeCell ref="B157:G157"/>
    <mergeCell ref="B155:G155"/>
    <mergeCell ref="B153:G153"/>
    <mergeCell ref="B151:G151"/>
    <mergeCell ref="B149:G149"/>
    <mergeCell ref="B147:G147"/>
    <mergeCell ref="B145:G145"/>
    <mergeCell ref="B143:G143"/>
    <mergeCell ref="B141:G141"/>
    <mergeCell ref="B139:G139"/>
    <mergeCell ref="B137:G137"/>
    <mergeCell ref="B135:G135"/>
    <mergeCell ref="B133:G133"/>
    <mergeCell ref="B131:G131"/>
    <mergeCell ref="B129:G129"/>
    <mergeCell ref="B127:G127"/>
    <mergeCell ref="B125:G125"/>
    <mergeCell ref="B123:G123"/>
    <mergeCell ref="B121:G121"/>
    <mergeCell ref="B119:G119"/>
    <mergeCell ref="B117:G117"/>
    <mergeCell ref="B115:G115"/>
    <mergeCell ref="B113:G113"/>
    <mergeCell ref="B111:G111"/>
    <mergeCell ref="B109:G109"/>
    <mergeCell ref="B107:G107"/>
    <mergeCell ref="B105:G105"/>
    <mergeCell ref="B103:G103"/>
    <mergeCell ref="B101:G101"/>
    <mergeCell ref="B99:G99"/>
    <mergeCell ref="B97:G97"/>
    <mergeCell ref="B95:G95"/>
    <mergeCell ref="B93:G93"/>
    <mergeCell ref="B91:G91"/>
    <mergeCell ref="B89:G89"/>
    <mergeCell ref="B87:G87"/>
    <mergeCell ref="B85:G85"/>
    <mergeCell ref="B83:G83"/>
    <mergeCell ref="B81:G81"/>
    <mergeCell ref="B79:G79"/>
    <mergeCell ref="B77:G77"/>
    <mergeCell ref="B75:G75"/>
    <mergeCell ref="B73:G73"/>
    <mergeCell ref="B47:G47"/>
    <mergeCell ref="B45:G45"/>
    <mergeCell ref="B43:G43"/>
    <mergeCell ref="B41:G41"/>
    <mergeCell ref="B39:G39"/>
    <mergeCell ref="B37:G37"/>
    <mergeCell ref="B71:G71"/>
    <mergeCell ref="B69:G69"/>
    <mergeCell ref="B67:G67"/>
    <mergeCell ref="B65:G65"/>
    <mergeCell ref="B63:G63"/>
    <mergeCell ref="B61:G61"/>
    <mergeCell ref="B59:G59"/>
    <mergeCell ref="B57:G57"/>
    <mergeCell ref="B55:G55"/>
    <mergeCell ref="B53:G53"/>
    <mergeCell ref="B51:G51"/>
    <mergeCell ref="B49:G49"/>
    <mergeCell ref="B2:I4"/>
    <mergeCell ref="B1:I1"/>
    <mergeCell ref="B17:G17"/>
    <mergeCell ref="B15:I15"/>
    <mergeCell ref="B13:I13"/>
    <mergeCell ref="B11:I11"/>
    <mergeCell ref="B9:I9"/>
    <mergeCell ref="B8:I8"/>
    <mergeCell ref="B7:I7"/>
    <mergeCell ref="B6:I6"/>
    <mergeCell ref="B5:I5"/>
    <mergeCell ref="B35:G35"/>
    <mergeCell ref="B33:G33"/>
    <mergeCell ref="B31:G31"/>
    <mergeCell ref="B29:G29"/>
    <mergeCell ref="B27:G27"/>
    <mergeCell ref="B25:G25"/>
    <mergeCell ref="B23:G23"/>
    <mergeCell ref="B21:G21"/>
    <mergeCell ref="B19:G19"/>
  </mergeCells>
  <conditionalFormatting sqref="H17 H19 H21 H23 H25 H27 H29 H35 H39 H47 H49 H51 H53 H55 H57 H59 H61 H63 H65 H67 H69 H71 H73 H75 H77 H79 H81 H83 H85 H87 H89 H91 H93 H95 H97 H99 H101 H103 H105 H107 H109 H111 H113 H115 H117 H119 H121 H123 H125 H127 H129 H131 H133 H135 H137 H139 H141 H143 H145 H147 H149 H151 H153 H155 H159 H161 H163 H165 H167 H169 H171 H173 H175 H177 H179 H181 H183 H185 H187 H189 H191 H193 H195 H197 H201 H203 H205 H207 H209 H211 H213 H215 H217 H219 H221 H225 H228 H230 H232 H234 H236 H238 H240 H242 H244 H246 H248 H250 H252 H254 H256 H258 H260 H262 H264 H266 H268 H270 H272 H274 H276 H278 H280 H282 H284 H286 H288 H290 H292 H294 H296 H298 H300 H302 H304 H306 H308 H310 H312 H314 H316 H318 H320 H322 H324 H326 H328 H330 H332 H334 H336 H338 H340 H342 H344 H346 H348 H350 H352 H354 H356 H358 H360 H362 H364 H366 H368 H370 H372 H374 H376 H378 H380 H383 H385 H387 H389 H391 H393 H395 H397 H399 H401 H403 H405 H407 H409 H411 H413 H415 H417 H419 H421 H423 H425 H427 H429 H431 H433 H435 H437 H439 H441 H443 H445 H447 H449 H451 H453 H455 H457 H459 H461 H463 H465 H467 H469 H471 H473 H475 H477 H479 H481 H483 H485 H487 H489 H491 H493 H495 H497 H499 H501 H503 H505 H507 H509 H511 H513 H515 H517 H519 H521 H523 H525 H527 H529 H531 H533 H535 H537 H539 H541 H543 H545 H547 H549 H551 H553 H555 H557 H562 H564 H566 H578 H580 H582 H586 H588 H592 H596 H598 H600 H602 H606 H608 H610 H612 H614 H620">
    <cfRule type="cellIs" dxfId="1251" priority="591" operator="notEqual">
      <formula>""</formula>
    </cfRule>
  </conditionalFormatting>
  <conditionalFormatting sqref="H18">
    <cfRule type="expression" dxfId="1250" priority="592">
      <formula>$M$17="2"</formula>
    </cfRule>
    <cfRule type="expression" dxfId="1249" priority="593">
      <formula>$M$17="1"</formula>
    </cfRule>
  </conditionalFormatting>
  <conditionalFormatting sqref="H20">
    <cfRule type="expression" dxfId="1248" priority="594">
      <formula>$M$19="2"</formula>
    </cfRule>
    <cfRule type="expression" dxfId="1247" priority="595">
      <formula>$M$19="1"</formula>
    </cfRule>
  </conditionalFormatting>
  <conditionalFormatting sqref="H22">
    <cfRule type="expression" dxfId="1246" priority="596">
      <formula>$M$21="2"</formula>
    </cfRule>
    <cfRule type="expression" dxfId="1245" priority="597">
      <formula>$M$21="1"</formula>
    </cfRule>
  </conditionalFormatting>
  <conditionalFormatting sqref="H24">
    <cfRule type="expression" dxfId="1244" priority="598">
      <formula>$M$23="2"</formula>
    </cfRule>
    <cfRule type="expression" dxfId="1243" priority="599">
      <formula>$M$23="1"</formula>
    </cfRule>
  </conditionalFormatting>
  <conditionalFormatting sqref="H26">
    <cfRule type="expression" dxfId="1242" priority="600">
      <formula>$M$25="2"</formula>
    </cfRule>
    <cfRule type="expression" dxfId="1241" priority="601">
      <formula>$M$25="1"</formula>
    </cfRule>
  </conditionalFormatting>
  <conditionalFormatting sqref="H28">
    <cfRule type="expression" dxfId="1240" priority="602">
      <formula>$M$27="2"</formula>
    </cfRule>
    <cfRule type="expression" dxfId="1239" priority="603">
      <formula>$M$27="1"</formula>
    </cfRule>
  </conditionalFormatting>
  <conditionalFormatting sqref="H30">
    <cfRule type="expression" dxfId="1238" priority="604">
      <formula>$M$29="2"</formula>
    </cfRule>
    <cfRule type="expression" dxfId="1237" priority="605">
      <formula>$M$29="1"</formula>
    </cfRule>
  </conditionalFormatting>
  <conditionalFormatting sqref="H36">
    <cfRule type="expression" dxfId="1236" priority="606">
      <formula>$M$35="2"</formula>
    </cfRule>
    <cfRule type="expression" dxfId="1235" priority="607">
      <formula>$M$35="1"</formula>
    </cfRule>
  </conditionalFormatting>
  <conditionalFormatting sqref="J38">
    <cfRule type="expression" dxfId="1234" priority="608">
      <formula>$J$38&lt;&gt;""</formula>
    </cfRule>
  </conditionalFormatting>
  <conditionalFormatting sqref="H40">
    <cfRule type="expression" dxfId="1233" priority="609">
      <formula>$M$39="2"</formula>
    </cfRule>
    <cfRule type="expression" dxfId="1232" priority="610">
      <formula>$M$39="1"</formula>
    </cfRule>
  </conditionalFormatting>
  <conditionalFormatting sqref="H52">
    <cfRule type="expression" dxfId="1231" priority="615">
      <formula>$M$51="2"</formula>
    </cfRule>
    <cfRule type="expression" dxfId="1230" priority="616">
      <formula>$M$51="1"</formula>
    </cfRule>
  </conditionalFormatting>
  <conditionalFormatting sqref="H60">
    <cfRule type="expression" dxfId="1229" priority="623">
      <formula>$M$59="2"</formula>
    </cfRule>
    <cfRule type="expression" dxfId="1228" priority="624">
      <formula>$M$59="1"</formula>
    </cfRule>
  </conditionalFormatting>
  <conditionalFormatting sqref="H62">
    <cfRule type="expression" dxfId="1227" priority="625">
      <formula>$M$61="2"</formula>
    </cfRule>
    <cfRule type="expression" dxfId="1226" priority="626">
      <formula>$M$61="1"</formula>
    </cfRule>
  </conditionalFormatting>
  <conditionalFormatting sqref="H64">
    <cfRule type="expression" dxfId="1225" priority="627">
      <formula>$M$63="2"</formula>
    </cfRule>
    <cfRule type="expression" dxfId="1224" priority="628">
      <formula>$M$63="1"</formula>
    </cfRule>
  </conditionalFormatting>
  <conditionalFormatting sqref="H66">
    <cfRule type="expression" dxfId="1223" priority="629">
      <formula>$M$65="2"</formula>
    </cfRule>
    <cfRule type="expression" dxfId="1222" priority="630">
      <formula>$M$65="1"</formula>
    </cfRule>
  </conditionalFormatting>
  <conditionalFormatting sqref="H68">
    <cfRule type="expression" dxfId="1221" priority="631">
      <formula>$M$67="2"</formula>
    </cfRule>
    <cfRule type="expression" dxfId="1220" priority="632">
      <formula>$M$67="1"</formula>
    </cfRule>
  </conditionalFormatting>
  <conditionalFormatting sqref="H72">
    <cfRule type="expression" dxfId="1219" priority="635">
      <formula>$M$71="2"</formula>
    </cfRule>
    <cfRule type="expression" dxfId="1218" priority="636">
      <formula>$M$71="1"</formula>
    </cfRule>
  </conditionalFormatting>
  <conditionalFormatting sqref="H74">
    <cfRule type="expression" dxfId="1217" priority="637">
      <formula>$M$73="2"</formula>
    </cfRule>
    <cfRule type="expression" dxfId="1216" priority="638">
      <formula>$M$73="1"</formula>
    </cfRule>
  </conditionalFormatting>
  <conditionalFormatting sqref="H76">
    <cfRule type="expression" dxfId="1215" priority="639">
      <formula>$M$75="2"</formula>
    </cfRule>
    <cfRule type="expression" dxfId="1214" priority="640">
      <formula>$M$75="1"</formula>
    </cfRule>
  </conditionalFormatting>
  <conditionalFormatting sqref="H78">
    <cfRule type="expression" dxfId="1213" priority="641">
      <formula>$M$77="2"</formula>
    </cfRule>
    <cfRule type="expression" dxfId="1212" priority="642">
      <formula>$M$77="1"</formula>
    </cfRule>
  </conditionalFormatting>
  <conditionalFormatting sqref="H82">
    <cfRule type="expression" dxfId="1211" priority="645">
      <formula>$M$81="2"</formula>
    </cfRule>
    <cfRule type="expression" dxfId="1210" priority="646">
      <formula>$M$81="1"</formula>
    </cfRule>
  </conditionalFormatting>
  <conditionalFormatting sqref="H84">
    <cfRule type="expression" dxfId="1209" priority="647">
      <formula>$M$83="2"</formula>
    </cfRule>
    <cfRule type="expression" dxfId="1208" priority="648">
      <formula>$M$83="1"</formula>
    </cfRule>
  </conditionalFormatting>
  <conditionalFormatting sqref="H86">
    <cfRule type="expression" dxfId="1207" priority="649">
      <formula>$M$85="2"</formula>
    </cfRule>
    <cfRule type="expression" dxfId="1206" priority="650">
      <formula>$M$85="1"</formula>
    </cfRule>
  </conditionalFormatting>
  <conditionalFormatting sqref="H88">
    <cfRule type="expression" dxfId="1205" priority="651">
      <formula>$M$87="2"</formula>
    </cfRule>
    <cfRule type="expression" dxfId="1204" priority="652">
      <formula>$M$87="1"</formula>
    </cfRule>
  </conditionalFormatting>
  <conditionalFormatting sqref="H90">
    <cfRule type="expression" dxfId="1203" priority="653">
      <formula>$M$89="2"</formula>
    </cfRule>
    <cfRule type="expression" dxfId="1202" priority="654">
      <formula>$M$89="1"</formula>
    </cfRule>
  </conditionalFormatting>
  <conditionalFormatting sqref="H92">
    <cfRule type="expression" dxfId="1201" priority="655">
      <formula>$M$91="2"</formula>
    </cfRule>
    <cfRule type="expression" dxfId="1200" priority="656">
      <formula>$M$91="1"</formula>
    </cfRule>
  </conditionalFormatting>
  <conditionalFormatting sqref="H94">
    <cfRule type="expression" dxfId="1199" priority="657">
      <formula>$M$93="2"</formula>
    </cfRule>
    <cfRule type="expression" dxfId="1198" priority="658">
      <formula>$M$93="1"</formula>
    </cfRule>
  </conditionalFormatting>
  <conditionalFormatting sqref="H96">
    <cfRule type="expression" dxfId="1197" priority="659">
      <formula>$M$95="2"</formula>
    </cfRule>
    <cfRule type="expression" dxfId="1196" priority="660">
      <formula>$M$95="1"</formula>
    </cfRule>
  </conditionalFormatting>
  <conditionalFormatting sqref="H98">
    <cfRule type="expression" dxfId="1195" priority="661">
      <formula>$M$97="2"</formula>
    </cfRule>
    <cfRule type="expression" dxfId="1194" priority="662">
      <formula>$M$97="1"</formula>
    </cfRule>
  </conditionalFormatting>
  <conditionalFormatting sqref="H100">
    <cfRule type="expression" dxfId="1193" priority="663">
      <formula>$M$99="2"</formula>
    </cfRule>
    <cfRule type="expression" dxfId="1192" priority="664">
      <formula>$M$99="1"</formula>
    </cfRule>
  </conditionalFormatting>
  <conditionalFormatting sqref="H102">
    <cfRule type="expression" dxfId="1191" priority="665">
      <formula>$M$101="2"</formula>
    </cfRule>
    <cfRule type="expression" dxfId="1190" priority="666">
      <formula>$M$101="1"</formula>
    </cfRule>
  </conditionalFormatting>
  <conditionalFormatting sqref="H104">
    <cfRule type="expression" dxfId="1189" priority="667">
      <formula>$M$103="2"</formula>
    </cfRule>
    <cfRule type="expression" dxfId="1188" priority="668">
      <formula>$M$103="1"</formula>
    </cfRule>
  </conditionalFormatting>
  <conditionalFormatting sqref="H106">
    <cfRule type="expression" dxfId="1187" priority="669">
      <formula>$M$105="2"</formula>
    </cfRule>
    <cfRule type="expression" dxfId="1186" priority="670">
      <formula>$M$105="1"</formula>
    </cfRule>
  </conditionalFormatting>
  <conditionalFormatting sqref="H130">
    <cfRule type="expression" dxfId="1185" priority="693">
      <formula>$M$129="2"</formula>
    </cfRule>
    <cfRule type="expression" dxfId="1184" priority="694">
      <formula>$M$129="1"</formula>
    </cfRule>
  </conditionalFormatting>
  <conditionalFormatting sqref="H132">
    <cfRule type="expression" dxfId="1183" priority="695">
      <formula>$M$131="2"</formula>
    </cfRule>
    <cfRule type="expression" dxfId="1182" priority="696">
      <formula>$M$131="1"</formula>
    </cfRule>
  </conditionalFormatting>
  <conditionalFormatting sqref="H134">
    <cfRule type="expression" dxfId="1181" priority="697">
      <formula>$M$133="2"</formula>
    </cfRule>
    <cfRule type="expression" dxfId="1180" priority="698">
      <formula>$M$133="1"</formula>
    </cfRule>
  </conditionalFormatting>
  <conditionalFormatting sqref="H136">
    <cfRule type="expression" dxfId="1179" priority="699">
      <formula>$M$135="2"</formula>
    </cfRule>
    <cfRule type="expression" dxfId="1178" priority="700">
      <formula>$M$135="1"</formula>
    </cfRule>
  </conditionalFormatting>
  <conditionalFormatting sqref="H138">
    <cfRule type="expression" dxfId="1177" priority="701">
      <formula>$M$137="2"</formula>
    </cfRule>
    <cfRule type="expression" dxfId="1176" priority="702">
      <formula>$M$137="1"</formula>
    </cfRule>
  </conditionalFormatting>
  <conditionalFormatting sqref="H140">
    <cfRule type="expression" dxfId="1175" priority="703">
      <formula>$M$139="2"</formula>
    </cfRule>
    <cfRule type="expression" dxfId="1174" priority="704">
      <formula>$M$139="1"</formula>
    </cfRule>
  </conditionalFormatting>
  <conditionalFormatting sqref="H142">
    <cfRule type="expression" dxfId="1173" priority="705">
      <formula>$M$141="2"</formula>
    </cfRule>
    <cfRule type="expression" dxfId="1172" priority="706">
      <formula>$M$141="1"</formula>
    </cfRule>
  </conditionalFormatting>
  <conditionalFormatting sqref="H148">
    <cfRule type="expression" dxfId="1171" priority="711">
      <formula>$M$147="2"</formula>
    </cfRule>
    <cfRule type="expression" dxfId="1170" priority="712">
      <formula>$M$147="1"</formula>
    </cfRule>
  </conditionalFormatting>
  <conditionalFormatting sqref="H150">
    <cfRule type="expression" dxfId="1169" priority="713">
      <formula>$M$149="2"</formula>
    </cfRule>
    <cfRule type="expression" dxfId="1168" priority="714">
      <formula>$M$149="1"</formula>
    </cfRule>
  </conditionalFormatting>
  <conditionalFormatting sqref="H152">
    <cfRule type="expression" dxfId="1167" priority="715">
      <formula>$M$151="2"</formula>
    </cfRule>
    <cfRule type="expression" dxfId="1166" priority="716">
      <formula>$M$151="1"</formula>
    </cfRule>
  </conditionalFormatting>
  <conditionalFormatting sqref="H154">
    <cfRule type="expression" dxfId="1165" priority="717">
      <formula>$M$153="2"</formula>
    </cfRule>
    <cfRule type="expression" dxfId="1164" priority="718">
      <formula>$M$153="1"</formula>
    </cfRule>
  </conditionalFormatting>
  <conditionalFormatting sqref="H156">
    <cfRule type="expression" dxfId="1163" priority="719">
      <formula>$M$155="2"</formula>
    </cfRule>
    <cfRule type="expression" dxfId="1162" priority="720">
      <formula>$M$155="1"</formula>
    </cfRule>
  </conditionalFormatting>
  <conditionalFormatting sqref="H160">
    <cfRule type="expression" dxfId="1161" priority="721">
      <formula>$M$159="2"</formula>
    </cfRule>
    <cfRule type="expression" dxfId="1160" priority="722">
      <formula>$M$159="1"</formula>
    </cfRule>
  </conditionalFormatting>
  <conditionalFormatting sqref="H162">
    <cfRule type="expression" dxfId="1159" priority="723">
      <formula>$M$161="2"</formula>
    </cfRule>
    <cfRule type="expression" dxfId="1158" priority="724">
      <formula>$M$161="1"</formula>
    </cfRule>
  </conditionalFormatting>
  <conditionalFormatting sqref="H164">
    <cfRule type="expression" dxfId="1157" priority="725">
      <formula>$M$163="2"</formula>
    </cfRule>
    <cfRule type="expression" dxfId="1156" priority="726">
      <formula>$M$163="1"</formula>
    </cfRule>
  </conditionalFormatting>
  <conditionalFormatting sqref="H166">
    <cfRule type="expression" dxfId="1155" priority="727">
      <formula>$M$165="2"</formula>
    </cfRule>
    <cfRule type="expression" dxfId="1154" priority="728">
      <formula>$M$165="1"</formula>
    </cfRule>
  </conditionalFormatting>
  <conditionalFormatting sqref="H168">
    <cfRule type="expression" dxfId="1153" priority="729">
      <formula>$M$167="2"</formula>
    </cfRule>
    <cfRule type="expression" dxfId="1152" priority="730">
      <formula>$M$167="1"</formula>
    </cfRule>
  </conditionalFormatting>
  <conditionalFormatting sqref="H170">
    <cfRule type="expression" dxfId="1151" priority="731">
      <formula>$M$169="2"</formula>
    </cfRule>
    <cfRule type="expression" dxfId="1150" priority="732">
      <formula>$M$169="1"</formula>
    </cfRule>
  </conditionalFormatting>
  <conditionalFormatting sqref="H172">
    <cfRule type="expression" dxfId="1149" priority="733">
      <formula>$M$171="2"</formula>
    </cfRule>
    <cfRule type="expression" dxfId="1148" priority="734">
      <formula>$M$171="1"</formula>
    </cfRule>
  </conditionalFormatting>
  <conditionalFormatting sqref="H174">
    <cfRule type="expression" dxfId="1147" priority="735">
      <formula>$M$173="2"</formula>
    </cfRule>
    <cfRule type="expression" dxfId="1146" priority="736">
      <formula>$M$173="1"</formula>
    </cfRule>
  </conditionalFormatting>
  <conditionalFormatting sqref="H176">
    <cfRule type="expression" dxfId="1145" priority="737">
      <formula>$M$175="2"</formula>
    </cfRule>
    <cfRule type="expression" dxfId="1144" priority="738">
      <formula>$M$175="1"</formula>
    </cfRule>
  </conditionalFormatting>
  <conditionalFormatting sqref="H178">
    <cfRule type="expression" dxfId="1143" priority="739">
      <formula>$M$177="2"</formula>
    </cfRule>
    <cfRule type="expression" dxfId="1142" priority="740">
      <formula>$M$177="1"</formula>
    </cfRule>
  </conditionalFormatting>
  <conditionalFormatting sqref="H180">
    <cfRule type="expression" dxfId="1141" priority="741">
      <formula>$M$179="2"</formula>
    </cfRule>
    <cfRule type="expression" dxfId="1140" priority="742">
      <formula>$M$179="1"</formula>
    </cfRule>
  </conditionalFormatting>
  <conditionalFormatting sqref="H182">
    <cfRule type="expression" dxfId="1139" priority="743">
      <formula>$M$181="2"</formula>
    </cfRule>
    <cfRule type="expression" dxfId="1138" priority="744">
      <formula>$M$181="1"</formula>
    </cfRule>
  </conditionalFormatting>
  <conditionalFormatting sqref="H184">
    <cfRule type="expression" dxfId="1137" priority="745">
      <formula>$M$183="2"</formula>
    </cfRule>
    <cfRule type="expression" dxfId="1136" priority="746">
      <formula>$M$183="1"</formula>
    </cfRule>
  </conditionalFormatting>
  <conditionalFormatting sqref="H186">
    <cfRule type="expression" dxfId="1135" priority="747">
      <formula>$M$185="2"</formula>
    </cfRule>
    <cfRule type="expression" dxfId="1134" priority="748">
      <formula>$M$185="1"</formula>
    </cfRule>
  </conditionalFormatting>
  <conditionalFormatting sqref="H188">
    <cfRule type="expression" dxfId="1133" priority="749">
      <formula>$M$187="2"</formula>
    </cfRule>
    <cfRule type="expression" dxfId="1132" priority="750">
      <formula>$M$187="1"</formula>
    </cfRule>
  </conditionalFormatting>
  <conditionalFormatting sqref="H190">
    <cfRule type="expression" dxfId="1131" priority="751">
      <formula>$M$189="2"</formula>
    </cfRule>
    <cfRule type="expression" dxfId="1130" priority="752">
      <formula>$M$189="1"</formula>
    </cfRule>
  </conditionalFormatting>
  <conditionalFormatting sqref="H192">
    <cfRule type="expression" dxfId="1129" priority="753">
      <formula>$M$191="2"</formula>
    </cfRule>
    <cfRule type="expression" dxfId="1128" priority="754">
      <formula>$M$191="1"</formula>
    </cfRule>
  </conditionalFormatting>
  <conditionalFormatting sqref="H194">
    <cfRule type="expression" dxfId="1127" priority="755">
      <formula>$M$193="2"</formula>
    </cfRule>
    <cfRule type="expression" dxfId="1126" priority="756">
      <formula>$M$193="1"</formula>
    </cfRule>
  </conditionalFormatting>
  <conditionalFormatting sqref="H196">
    <cfRule type="expression" dxfId="1125" priority="757">
      <formula>$M$195="2"</formula>
    </cfRule>
    <cfRule type="expression" dxfId="1124" priority="758">
      <formula>$M$195="1"</formula>
    </cfRule>
  </conditionalFormatting>
  <conditionalFormatting sqref="H198">
    <cfRule type="expression" dxfId="1123" priority="759">
      <formula>$M$197="2"</formula>
    </cfRule>
    <cfRule type="expression" dxfId="1122" priority="760">
      <formula>$M$197="1"</formula>
    </cfRule>
  </conditionalFormatting>
  <conditionalFormatting sqref="H202">
    <cfRule type="expression" dxfId="1121" priority="761">
      <formula>$M$201="2"</formula>
    </cfRule>
    <cfRule type="expression" dxfId="1120" priority="762">
      <formula>$M$201="1"</formula>
    </cfRule>
  </conditionalFormatting>
  <conditionalFormatting sqref="H204">
    <cfRule type="expression" dxfId="1119" priority="763">
      <formula>$M$203="2"</formula>
    </cfRule>
    <cfRule type="expression" dxfId="1118" priority="764">
      <formula>$M$203="1"</formula>
    </cfRule>
  </conditionalFormatting>
  <conditionalFormatting sqref="H206">
    <cfRule type="expression" dxfId="1117" priority="765">
      <formula>$M$205="2"</formula>
    </cfRule>
    <cfRule type="expression" dxfId="1116" priority="766">
      <formula>$M$205="1"</formula>
    </cfRule>
  </conditionalFormatting>
  <conditionalFormatting sqref="H208">
    <cfRule type="expression" dxfId="1115" priority="767">
      <formula>$M$207="2"</formula>
    </cfRule>
    <cfRule type="expression" dxfId="1114" priority="768">
      <formula>$M$207="1"</formula>
    </cfRule>
  </conditionalFormatting>
  <conditionalFormatting sqref="H210">
    <cfRule type="expression" dxfId="1113" priority="769">
      <formula>$M$209="2"</formula>
    </cfRule>
    <cfRule type="expression" dxfId="1112" priority="770">
      <formula>$M$209="1"</formula>
    </cfRule>
  </conditionalFormatting>
  <conditionalFormatting sqref="H214">
    <cfRule type="expression" dxfId="1111" priority="773">
      <formula>$M$213="2"</formula>
    </cfRule>
    <cfRule type="expression" dxfId="1110" priority="774">
      <formula>$M$213="1"</formula>
    </cfRule>
  </conditionalFormatting>
  <conditionalFormatting sqref="H216">
    <cfRule type="expression" dxfId="1109" priority="775">
      <formula>$M$215="2"</formula>
    </cfRule>
    <cfRule type="expression" dxfId="1108" priority="776">
      <formula>$M$215="1"</formula>
    </cfRule>
  </conditionalFormatting>
  <conditionalFormatting sqref="H218">
    <cfRule type="expression" dxfId="1107" priority="777">
      <formula>$M$217="2"</formula>
    </cfRule>
    <cfRule type="expression" dxfId="1106" priority="778">
      <formula>$M$217="1"</formula>
    </cfRule>
  </conditionalFormatting>
  <conditionalFormatting sqref="H220">
    <cfRule type="expression" dxfId="1105" priority="779">
      <formula>$M$219="2"</formula>
    </cfRule>
    <cfRule type="expression" dxfId="1104" priority="780">
      <formula>$M$219="1"</formula>
    </cfRule>
  </conditionalFormatting>
  <conditionalFormatting sqref="H222">
    <cfRule type="expression" dxfId="1103" priority="781">
      <formula>$M$221="2"</formula>
    </cfRule>
    <cfRule type="expression" dxfId="1102" priority="782">
      <formula>$M$221="1"</formula>
    </cfRule>
  </conditionalFormatting>
  <conditionalFormatting sqref="H227">
    <cfRule type="expression" dxfId="1101" priority="783">
      <formula>$M$225="2"</formula>
    </cfRule>
    <cfRule type="expression" dxfId="1100" priority="784">
      <formula>$M$225="1"</formula>
    </cfRule>
  </conditionalFormatting>
  <conditionalFormatting sqref="H229">
    <cfRule type="expression" dxfId="1099" priority="785">
      <formula>$M$228="2"</formula>
    </cfRule>
    <cfRule type="expression" dxfId="1098" priority="786">
      <formula>$M$228="1"</formula>
    </cfRule>
  </conditionalFormatting>
  <conditionalFormatting sqref="H231">
    <cfRule type="expression" dxfId="1097" priority="787">
      <formula>$M$230="2"</formula>
    </cfRule>
    <cfRule type="expression" dxfId="1096" priority="788">
      <formula>$M$230="1"</formula>
    </cfRule>
  </conditionalFormatting>
  <conditionalFormatting sqref="H241">
    <cfRule type="expression" dxfId="1095" priority="797">
      <formula>$M$240="2"</formula>
    </cfRule>
    <cfRule type="expression" dxfId="1094" priority="798">
      <formula>$M$240="1"</formula>
    </cfRule>
  </conditionalFormatting>
  <conditionalFormatting sqref="H247">
    <cfRule type="expression" dxfId="1093" priority="803">
      <formula>$M$246="2"</formula>
    </cfRule>
    <cfRule type="expression" dxfId="1092" priority="804">
      <formula>$M$246="1"</formula>
    </cfRule>
  </conditionalFormatting>
  <conditionalFormatting sqref="J247">
    <cfRule type="expression" dxfId="1091" priority="805">
      <formula>$J$247&lt;&gt;""</formula>
    </cfRule>
  </conditionalFormatting>
  <conditionalFormatting sqref="H249">
    <cfRule type="expression" dxfId="1090" priority="806">
      <formula>$M$248="2"</formula>
    </cfRule>
    <cfRule type="expression" dxfId="1089" priority="807">
      <formula>$M$248="1"</formula>
    </cfRule>
  </conditionalFormatting>
  <conditionalFormatting sqref="H251">
    <cfRule type="expression" dxfId="1088" priority="808">
      <formula>$M$250="2"</formula>
    </cfRule>
    <cfRule type="expression" dxfId="1087" priority="809">
      <formula>$M$250="1"</formula>
    </cfRule>
  </conditionalFormatting>
  <conditionalFormatting sqref="H297">
    <cfRule type="expression" dxfId="1086" priority="854">
      <formula>$M$296="2"</formula>
    </cfRule>
    <cfRule type="expression" dxfId="1085" priority="855">
      <formula>$M$296="1"</formula>
    </cfRule>
  </conditionalFormatting>
  <conditionalFormatting sqref="H345">
    <cfRule type="expression" dxfId="1084" priority="902">
      <formula>$M$344="2"</formula>
    </cfRule>
    <cfRule type="expression" dxfId="1083" priority="903">
      <formula>$M$344="1"</formula>
    </cfRule>
  </conditionalFormatting>
  <conditionalFormatting sqref="H347">
    <cfRule type="expression" dxfId="1082" priority="904">
      <formula>$M$346="2"</formula>
    </cfRule>
    <cfRule type="expression" dxfId="1081" priority="905">
      <formula>$M$346="1"</formula>
    </cfRule>
  </conditionalFormatting>
  <conditionalFormatting sqref="H349">
    <cfRule type="expression" dxfId="1080" priority="906">
      <formula>$M$348="2"</formula>
    </cfRule>
    <cfRule type="expression" dxfId="1079" priority="907">
      <formula>$M$348="1"</formula>
    </cfRule>
  </conditionalFormatting>
  <conditionalFormatting sqref="H351">
    <cfRule type="expression" dxfId="1078" priority="908">
      <formula>$M$350="2"</formula>
    </cfRule>
    <cfRule type="expression" dxfId="1077" priority="909">
      <formula>$M$350="1"</formula>
    </cfRule>
  </conditionalFormatting>
  <conditionalFormatting sqref="H353">
    <cfRule type="expression" dxfId="1076" priority="910">
      <formula>$M$352="2"</formula>
    </cfRule>
    <cfRule type="expression" dxfId="1075" priority="911">
      <formula>$M$352="1"</formula>
    </cfRule>
  </conditionalFormatting>
  <conditionalFormatting sqref="H355">
    <cfRule type="expression" dxfId="1074" priority="912">
      <formula>$M$354="2"</formula>
    </cfRule>
    <cfRule type="expression" dxfId="1073" priority="913">
      <formula>$M$354="1"</formula>
    </cfRule>
  </conditionalFormatting>
  <conditionalFormatting sqref="H357">
    <cfRule type="expression" dxfId="1072" priority="914">
      <formula>$M$356="2"</formula>
    </cfRule>
    <cfRule type="expression" dxfId="1071" priority="915">
      <formula>$M$356="1"</formula>
    </cfRule>
  </conditionalFormatting>
  <conditionalFormatting sqref="H359">
    <cfRule type="expression" dxfId="1070" priority="916">
      <formula>$M$358="2"</formula>
    </cfRule>
    <cfRule type="expression" dxfId="1069" priority="917">
      <formula>$M$358="1"</formula>
    </cfRule>
  </conditionalFormatting>
  <conditionalFormatting sqref="H361">
    <cfRule type="expression" dxfId="1068" priority="918">
      <formula>$M$360="2"</formula>
    </cfRule>
    <cfRule type="expression" dxfId="1067" priority="919">
      <formula>$M$360="1"</formula>
    </cfRule>
  </conditionalFormatting>
  <conditionalFormatting sqref="H363">
    <cfRule type="expression" dxfId="1066" priority="920">
      <formula>$M$362="2"</formula>
    </cfRule>
    <cfRule type="expression" dxfId="1065" priority="921">
      <formula>$M$362="1"</formula>
    </cfRule>
  </conditionalFormatting>
  <conditionalFormatting sqref="H365">
    <cfRule type="expression" dxfId="1064" priority="922">
      <formula>$M$364="2"</formula>
    </cfRule>
    <cfRule type="expression" dxfId="1063" priority="923">
      <formula>$M$364="1"</formula>
    </cfRule>
  </conditionalFormatting>
  <conditionalFormatting sqref="H371">
    <cfRule type="expression" dxfId="1062" priority="928">
      <formula>$M$370="2"</formula>
    </cfRule>
    <cfRule type="expression" dxfId="1061" priority="929">
      <formula>$M$370="1"</formula>
    </cfRule>
  </conditionalFormatting>
  <conditionalFormatting sqref="H373">
    <cfRule type="expression" dxfId="1060" priority="930">
      <formula>$M$372="2"</formula>
    </cfRule>
    <cfRule type="expression" dxfId="1059" priority="931">
      <formula>$M$372="1"</formula>
    </cfRule>
  </conditionalFormatting>
  <conditionalFormatting sqref="H384">
    <cfRule type="expression" dxfId="1058" priority="940">
      <formula>$M$383="2"</formula>
    </cfRule>
    <cfRule type="expression" dxfId="1057" priority="941">
      <formula>$M$383="1"</formula>
    </cfRule>
  </conditionalFormatting>
  <conditionalFormatting sqref="H386">
    <cfRule type="expression" dxfId="1056" priority="942">
      <formula>$M$385="2"</formula>
    </cfRule>
    <cfRule type="expression" dxfId="1055" priority="943">
      <formula>$M$385="1"</formula>
    </cfRule>
  </conditionalFormatting>
  <conditionalFormatting sqref="H388">
    <cfRule type="expression" dxfId="1054" priority="944">
      <formula>$M$387="2"</formula>
    </cfRule>
    <cfRule type="expression" dxfId="1053" priority="945">
      <formula>$M$387="1"</formula>
    </cfRule>
  </conditionalFormatting>
  <conditionalFormatting sqref="H390">
    <cfRule type="expression" dxfId="1052" priority="946">
      <formula>$M$389="2"</formula>
    </cfRule>
    <cfRule type="expression" dxfId="1051" priority="947">
      <formula>$M$389="1"</formula>
    </cfRule>
  </conditionalFormatting>
  <conditionalFormatting sqref="H392">
    <cfRule type="expression" dxfId="1050" priority="948">
      <formula>$M$391="2"</formula>
    </cfRule>
    <cfRule type="expression" dxfId="1049" priority="949">
      <formula>$M$391="1"</formula>
    </cfRule>
  </conditionalFormatting>
  <conditionalFormatting sqref="H404">
    <cfRule type="expression" dxfId="1048" priority="960">
      <formula>$M$403="2"</formula>
    </cfRule>
    <cfRule type="expression" dxfId="1047" priority="961">
      <formula>$M$403="1"</formula>
    </cfRule>
  </conditionalFormatting>
  <conditionalFormatting sqref="H424">
    <cfRule type="expression" dxfId="1046" priority="980">
      <formula>$M$423="2"</formula>
    </cfRule>
    <cfRule type="expression" dxfId="1045" priority="981">
      <formula>$M$423="1"</formula>
    </cfRule>
  </conditionalFormatting>
  <conditionalFormatting sqref="J623">
    <cfRule type="expression" dxfId="1044" priority="1154">
      <formula>$J$623&lt;&gt;""</formula>
    </cfRule>
  </conditionalFormatting>
  <conditionalFormatting sqref="H54">
    <cfRule type="expression" dxfId="1043" priority="589">
      <formula>$M$51="2"</formula>
    </cfRule>
    <cfRule type="expression" dxfId="1042" priority="590">
      <formula>$M$51="1"</formula>
    </cfRule>
  </conditionalFormatting>
  <conditionalFormatting sqref="H56">
    <cfRule type="expression" dxfId="1041" priority="587">
      <formula>$M$51="2"</formula>
    </cfRule>
    <cfRule type="expression" dxfId="1040" priority="588">
      <formula>$M$51="1"</formula>
    </cfRule>
  </conditionalFormatting>
  <conditionalFormatting sqref="H58">
    <cfRule type="expression" dxfId="1039" priority="585">
      <formula>$M$51="2"</formula>
    </cfRule>
    <cfRule type="expression" dxfId="1038" priority="586">
      <formula>$M$51="1"</formula>
    </cfRule>
  </conditionalFormatting>
  <conditionalFormatting sqref="H394">
    <cfRule type="expression" dxfId="1037" priority="583">
      <formula>$M$391="2"</formula>
    </cfRule>
    <cfRule type="expression" dxfId="1036" priority="584">
      <formula>$M$391="1"</formula>
    </cfRule>
  </conditionalFormatting>
  <conditionalFormatting sqref="H396">
    <cfRule type="expression" dxfId="1035" priority="581">
      <formula>$M$391="2"</formula>
    </cfRule>
    <cfRule type="expression" dxfId="1034" priority="582">
      <formula>$M$391="1"</formula>
    </cfRule>
  </conditionalFormatting>
  <conditionalFormatting sqref="H398">
    <cfRule type="expression" dxfId="1033" priority="579">
      <formula>$M$391="2"</formula>
    </cfRule>
    <cfRule type="expression" dxfId="1032" priority="580">
      <formula>$M$391="1"</formula>
    </cfRule>
  </conditionalFormatting>
  <conditionalFormatting sqref="H400">
    <cfRule type="expression" dxfId="1031" priority="577">
      <formula>$M$391="2"</formula>
    </cfRule>
    <cfRule type="expression" dxfId="1030" priority="578">
      <formula>$M$391="1"</formula>
    </cfRule>
  </conditionalFormatting>
  <conditionalFormatting sqref="H402">
    <cfRule type="expression" dxfId="1029" priority="575">
      <formula>$M$391="2"</formula>
    </cfRule>
    <cfRule type="expression" dxfId="1028" priority="576">
      <formula>$M$391="1"</formula>
    </cfRule>
  </conditionalFormatting>
  <conditionalFormatting sqref="H406">
    <cfRule type="expression" dxfId="1027" priority="573">
      <formula>$M$403="2"</formula>
    </cfRule>
    <cfRule type="expression" dxfId="1026" priority="574">
      <formula>$M$403="1"</formula>
    </cfRule>
  </conditionalFormatting>
  <conditionalFormatting sqref="H408">
    <cfRule type="expression" dxfId="1025" priority="571">
      <formula>$M$403="2"</formula>
    </cfRule>
    <cfRule type="expression" dxfId="1024" priority="572">
      <formula>$M$403="1"</formula>
    </cfRule>
  </conditionalFormatting>
  <conditionalFormatting sqref="H410">
    <cfRule type="expression" dxfId="1023" priority="569">
      <formula>$M$403="2"</formula>
    </cfRule>
    <cfRule type="expression" dxfId="1022" priority="570">
      <formula>$M$403="1"</formula>
    </cfRule>
  </conditionalFormatting>
  <conditionalFormatting sqref="H412">
    <cfRule type="expression" dxfId="1021" priority="567">
      <formula>$M$403="2"</formula>
    </cfRule>
    <cfRule type="expression" dxfId="1020" priority="568">
      <formula>$M$403="1"</formula>
    </cfRule>
  </conditionalFormatting>
  <conditionalFormatting sqref="H414">
    <cfRule type="expression" dxfId="1019" priority="565">
      <formula>$M$403="2"</formula>
    </cfRule>
    <cfRule type="expression" dxfId="1018" priority="566">
      <formula>$M$403="1"</formula>
    </cfRule>
  </conditionalFormatting>
  <conditionalFormatting sqref="H416">
    <cfRule type="expression" dxfId="1017" priority="563">
      <formula>$M$403="2"</formula>
    </cfRule>
    <cfRule type="expression" dxfId="1016" priority="564">
      <formula>$M$403="1"</formula>
    </cfRule>
  </conditionalFormatting>
  <conditionalFormatting sqref="H418">
    <cfRule type="expression" dxfId="1015" priority="561">
      <formula>$M$403="2"</formula>
    </cfRule>
    <cfRule type="expression" dxfId="1014" priority="562">
      <formula>$M$403="1"</formula>
    </cfRule>
  </conditionalFormatting>
  <conditionalFormatting sqref="H420">
    <cfRule type="expression" dxfId="1013" priority="559">
      <formula>$M$403="2"</formula>
    </cfRule>
    <cfRule type="expression" dxfId="1012" priority="560">
      <formula>$M$403="1"</formula>
    </cfRule>
  </conditionalFormatting>
  <conditionalFormatting sqref="H422">
    <cfRule type="expression" dxfId="1011" priority="557">
      <formula>$M$403="2"</formula>
    </cfRule>
    <cfRule type="expression" dxfId="1010" priority="558">
      <formula>$M$403="1"</formula>
    </cfRule>
  </conditionalFormatting>
  <conditionalFormatting sqref="H426">
    <cfRule type="expression" dxfId="1009" priority="555">
      <formula>$M$423="2"</formula>
    </cfRule>
    <cfRule type="expression" dxfId="1008" priority="556">
      <formula>$M$423="1"</formula>
    </cfRule>
  </conditionalFormatting>
  <conditionalFormatting sqref="H428">
    <cfRule type="expression" dxfId="1007" priority="553">
      <formula>$M$423="2"</formula>
    </cfRule>
    <cfRule type="expression" dxfId="1006" priority="554">
      <formula>$M$423="1"</formula>
    </cfRule>
  </conditionalFormatting>
  <conditionalFormatting sqref="H430">
    <cfRule type="expression" dxfId="1005" priority="551">
      <formula>$M$423="2"</formula>
    </cfRule>
    <cfRule type="expression" dxfId="1004" priority="552">
      <formula>$M$423="1"</formula>
    </cfRule>
  </conditionalFormatting>
  <conditionalFormatting sqref="H432">
    <cfRule type="expression" dxfId="1003" priority="549">
      <formula>$M$423="2"</formula>
    </cfRule>
    <cfRule type="expression" dxfId="1002" priority="550">
      <formula>$M$423="1"</formula>
    </cfRule>
  </conditionalFormatting>
  <conditionalFormatting sqref="H434">
    <cfRule type="expression" dxfId="1001" priority="547">
      <formula>$M$423="2"</formula>
    </cfRule>
    <cfRule type="expression" dxfId="1000" priority="548">
      <formula>$M$423="1"</formula>
    </cfRule>
  </conditionalFormatting>
  <conditionalFormatting sqref="H436">
    <cfRule type="expression" dxfId="999" priority="545">
      <formula>$M$423="2"</formula>
    </cfRule>
    <cfRule type="expression" dxfId="998" priority="546">
      <formula>$M$423="1"</formula>
    </cfRule>
  </conditionalFormatting>
  <conditionalFormatting sqref="H438">
    <cfRule type="expression" dxfId="997" priority="543">
      <formula>$M$423="2"</formula>
    </cfRule>
    <cfRule type="expression" dxfId="996" priority="544">
      <formula>$M$423="1"</formula>
    </cfRule>
  </conditionalFormatting>
  <conditionalFormatting sqref="H440">
    <cfRule type="expression" dxfId="995" priority="541">
      <formula>$M$423="2"</formula>
    </cfRule>
    <cfRule type="expression" dxfId="994" priority="542">
      <formula>$M$423="1"</formula>
    </cfRule>
  </conditionalFormatting>
  <conditionalFormatting sqref="H442">
    <cfRule type="expression" dxfId="993" priority="539">
      <formula>$M$423="2"</formula>
    </cfRule>
    <cfRule type="expression" dxfId="992" priority="540">
      <formula>$M$423="1"</formula>
    </cfRule>
  </conditionalFormatting>
  <conditionalFormatting sqref="H444">
    <cfRule type="expression" dxfId="991" priority="537">
      <formula>$M$423="2"</formula>
    </cfRule>
    <cfRule type="expression" dxfId="990" priority="538">
      <formula>$M$423="1"</formula>
    </cfRule>
  </conditionalFormatting>
  <conditionalFormatting sqref="H446">
    <cfRule type="expression" dxfId="989" priority="535">
      <formula>$M$423="2"</formula>
    </cfRule>
    <cfRule type="expression" dxfId="988" priority="536">
      <formula>$M$423="1"</formula>
    </cfRule>
  </conditionalFormatting>
  <conditionalFormatting sqref="H448">
    <cfRule type="expression" dxfId="987" priority="533">
      <formula>$M$423="2"</formula>
    </cfRule>
    <cfRule type="expression" dxfId="986" priority="534">
      <formula>$M$423="1"</formula>
    </cfRule>
  </conditionalFormatting>
  <conditionalFormatting sqref="H450">
    <cfRule type="expression" dxfId="985" priority="531">
      <formula>$M$423="2"</formula>
    </cfRule>
    <cfRule type="expression" dxfId="984" priority="532">
      <formula>$M$423="1"</formula>
    </cfRule>
  </conditionalFormatting>
  <conditionalFormatting sqref="H452">
    <cfRule type="expression" dxfId="983" priority="529">
      <formula>$M$423="2"</formula>
    </cfRule>
    <cfRule type="expression" dxfId="982" priority="530">
      <formula>$M$423="1"</formula>
    </cfRule>
  </conditionalFormatting>
  <conditionalFormatting sqref="H454">
    <cfRule type="expression" dxfId="981" priority="527">
      <formula>$M$423="2"</formula>
    </cfRule>
    <cfRule type="expression" dxfId="980" priority="528">
      <formula>$M$423="1"</formula>
    </cfRule>
  </conditionalFormatting>
  <conditionalFormatting sqref="H456">
    <cfRule type="expression" dxfId="979" priority="525">
      <formula>$M$423="2"</formula>
    </cfRule>
    <cfRule type="expression" dxfId="978" priority="526">
      <formula>$M$423="1"</formula>
    </cfRule>
  </conditionalFormatting>
  <conditionalFormatting sqref="H458">
    <cfRule type="expression" dxfId="977" priority="523">
      <formula>$M$423="2"</formula>
    </cfRule>
    <cfRule type="expression" dxfId="976" priority="524">
      <formula>$M$423="1"</formula>
    </cfRule>
  </conditionalFormatting>
  <conditionalFormatting sqref="H460">
    <cfRule type="expression" dxfId="975" priority="521">
      <formula>$M$423="2"</formula>
    </cfRule>
    <cfRule type="expression" dxfId="974" priority="522">
      <formula>$M$423="1"</formula>
    </cfRule>
  </conditionalFormatting>
  <conditionalFormatting sqref="H462">
    <cfRule type="expression" dxfId="973" priority="519">
      <formula>$M$423="2"</formula>
    </cfRule>
    <cfRule type="expression" dxfId="972" priority="520">
      <formula>$M$423="1"</formula>
    </cfRule>
  </conditionalFormatting>
  <conditionalFormatting sqref="H464">
    <cfRule type="expression" dxfId="971" priority="517">
      <formula>$M$423="2"</formula>
    </cfRule>
    <cfRule type="expression" dxfId="970" priority="518">
      <formula>$M$423="1"</formula>
    </cfRule>
  </conditionalFormatting>
  <conditionalFormatting sqref="H466">
    <cfRule type="expression" dxfId="969" priority="515">
      <formula>$M$423="2"</formula>
    </cfRule>
    <cfRule type="expression" dxfId="968" priority="516">
      <formula>$M$423="1"</formula>
    </cfRule>
  </conditionalFormatting>
  <conditionalFormatting sqref="H468">
    <cfRule type="expression" dxfId="967" priority="513">
      <formula>$M$423="2"</formula>
    </cfRule>
    <cfRule type="expression" dxfId="966" priority="514">
      <formula>$M$423="1"</formula>
    </cfRule>
  </conditionalFormatting>
  <conditionalFormatting sqref="H470">
    <cfRule type="expression" dxfId="965" priority="511">
      <formula>$M$423="2"</formula>
    </cfRule>
    <cfRule type="expression" dxfId="964" priority="512">
      <formula>$M$423="1"</formula>
    </cfRule>
  </conditionalFormatting>
  <conditionalFormatting sqref="H472">
    <cfRule type="expression" dxfId="963" priority="509">
      <formula>$M$423="2"</formula>
    </cfRule>
    <cfRule type="expression" dxfId="962" priority="510">
      <formula>$M$423="1"</formula>
    </cfRule>
  </conditionalFormatting>
  <conditionalFormatting sqref="H474">
    <cfRule type="expression" dxfId="961" priority="507">
      <formula>$M$423="2"</formula>
    </cfRule>
    <cfRule type="expression" dxfId="960" priority="508">
      <formula>$M$423="1"</formula>
    </cfRule>
  </conditionalFormatting>
  <conditionalFormatting sqref="H476">
    <cfRule type="expression" dxfId="959" priority="505">
      <formula>$M$423="2"</formula>
    </cfRule>
    <cfRule type="expression" dxfId="958" priority="506">
      <formula>$M$423="1"</formula>
    </cfRule>
  </conditionalFormatting>
  <conditionalFormatting sqref="H478">
    <cfRule type="expression" dxfId="957" priority="503">
      <formula>$M$423="2"</formula>
    </cfRule>
    <cfRule type="expression" dxfId="956" priority="504">
      <formula>$M$423="1"</formula>
    </cfRule>
  </conditionalFormatting>
  <conditionalFormatting sqref="H480">
    <cfRule type="expression" dxfId="955" priority="499">
      <formula>$M$423="2"</formula>
    </cfRule>
    <cfRule type="expression" dxfId="954" priority="500">
      <formula>$M$423="1"</formula>
    </cfRule>
  </conditionalFormatting>
  <conditionalFormatting sqref="H482">
    <cfRule type="expression" dxfId="953" priority="497">
      <formula>$M$423="2"</formula>
    </cfRule>
    <cfRule type="expression" dxfId="952" priority="498">
      <formula>$M$423="1"</formula>
    </cfRule>
  </conditionalFormatting>
  <conditionalFormatting sqref="H484">
    <cfRule type="expression" dxfId="951" priority="495">
      <formula>$M$423="2"</formula>
    </cfRule>
    <cfRule type="expression" dxfId="950" priority="496">
      <formula>$M$423="1"</formula>
    </cfRule>
  </conditionalFormatting>
  <conditionalFormatting sqref="H486">
    <cfRule type="expression" dxfId="949" priority="493">
      <formula>$M$423="2"</formula>
    </cfRule>
    <cfRule type="expression" dxfId="948" priority="494">
      <formula>$M$423="1"</formula>
    </cfRule>
  </conditionalFormatting>
  <conditionalFormatting sqref="H488">
    <cfRule type="expression" dxfId="947" priority="491">
      <formula>$M$423="2"</formula>
    </cfRule>
    <cfRule type="expression" dxfId="946" priority="492">
      <formula>$M$423="1"</formula>
    </cfRule>
  </conditionalFormatting>
  <conditionalFormatting sqref="H490">
    <cfRule type="expression" dxfId="945" priority="489">
      <formula>$M$423="2"</formula>
    </cfRule>
    <cfRule type="expression" dxfId="944" priority="490">
      <formula>$M$423="1"</formula>
    </cfRule>
  </conditionalFormatting>
  <conditionalFormatting sqref="H492">
    <cfRule type="expression" dxfId="943" priority="487">
      <formula>$M$423="2"</formula>
    </cfRule>
    <cfRule type="expression" dxfId="942" priority="488">
      <formula>$M$423="1"</formula>
    </cfRule>
  </conditionalFormatting>
  <conditionalFormatting sqref="H494">
    <cfRule type="expression" dxfId="941" priority="485">
      <formula>$M$423="2"</formula>
    </cfRule>
    <cfRule type="expression" dxfId="940" priority="486">
      <formula>$M$423="1"</formula>
    </cfRule>
  </conditionalFormatting>
  <conditionalFormatting sqref="H496">
    <cfRule type="expression" dxfId="939" priority="483">
      <formula>$M$423="2"</formula>
    </cfRule>
    <cfRule type="expression" dxfId="938" priority="484">
      <formula>$M$423="1"</formula>
    </cfRule>
  </conditionalFormatting>
  <conditionalFormatting sqref="H498">
    <cfRule type="expression" dxfId="937" priority="481">
      <formula>$M$423="2"</formula>
    </cfRule>
    <cfRule type="expression" dxfId="936" priority="482">
      <formula>$M$423="1"</formula>
    </cfRule>
  </conditionalFormatting>
  <conditionalFormatting sqref="H502">
    <cfRule type="expression" dxfId="935" priority="477">
      <formula>$M$423="2"</formula>
    </cfRule>
    <cfRule type="expression" dxfId="934" priority="478">
      <formula>$M$423="1"</formula>
    </cfRule>
  </conditionalFormatting>
  <conditionalFormatting sqref="H506">
    <cfRule type="expression" dxfId="933" priority="473">
      <formula>$M$423="2"</formula>
    </cfRule>
    <cfRule type="expression" dxfId="932" priority="474">
      <formula>$M$423="1"</formula>
    </cfRule>
  </conditionalFormatting>
  <conditionalFormatting sqref="H508">
    <cfRule type="expression" dxfId="931" priority="471">
      <formula>$M$423="2"</formula>
    </cfRule>
    <cfRule type="expression" dxfId="930" priority="472">
      <formula>$M$423="1"</formula>
    </cfRule>
  </conditionalFormatting>
  <conditionalFormatting sqref="H512">
    <cfRule type="expression" dxfId="929" priority="467">
      <formula>$M$423="2"</formula>
    </cfRule>
    <cfRule type="expression" dxfId="928" priority="468">
      <formula>$M$423="1"</formula>
    </cfRule>
  </conditionalFormatting>
  <conditionalFormatting sqref="H558">
    <cfRule type="expression" dxfId="927" priority="421">
      <formula>$M$423="2"</formula>
    </cfRule>
    <cfRule type="expression" dxfId="926" priority="422">
      <formula>$M$423="1"</formula>
    </cfRule>
  </conditionalFormatting>
  <conditionalFormatting sqref="H532">
    <cfRule type="expression" dxfId="925" priority="447">
      <formula>$M$423="2"</formula>
    </cfRule>
    <cfRule type="expression" dxfId="924" priority="448">
      <formula>$M$423="1"</formula>
    </cfRule>
  </conditionalFormatting>
  <conditionalFormatting sqref="H561">
    <cfRule type="expression" dxfId="923" priority="419">
      <formula>$M$423="2"</formula>
    </cfRule>
    <cfRule type="expression" dxfId="922" priority="420">
      <formula>$M$423="1"</formula>
    </cfRule>
  </conditionalFormatting>
  <conditionalFormatting sqref="H504">
    <cfRule type="expression" dxfId="921" priority="353">
      <formula>$M$423="2"</formula>
    </cfRule>
    <cfRule type="expression" dxfId="920" priority="354">
      <formula>$M$423="1"</formula>
    </cfRule>
  </conditionalFormatting>
  <conditionalFormatting sqref="H563">
    <cfRule type="expression" dxfId="919" priority="417">
      <formula>$M$423="2"</formula>
    </cfRule>
    <cfRule type="expression" dxfId="918" priority="418">
      <formula>$M$423="1"</formula>
    </cfRule>
  </conditionalFormatting>
  <conditionalFormatting sqref="H565">
    <cfRule type="expression" dxfId="917" priority="415">
      <formula>$M$423="2"</formula>
    </cfRule>
    <cfRule type="expression" dxfId="916" priority="416">
      <formula>$M$423="1"</formula>
    </cfRule>
  </conditionalFormatting>
  <conditionalFormatting sqref="H569">
    <cfRule type="expression" dxfId="915" priority="411">
      <formula>$M$423="2"</formula>
    </cfRule>
    <cfRule type="expression" dxfId="914" priority="412">
      <formula>$M$423="1"</formula>
    </cfRule>
  </conditionalFormatting>
  <conditionalFormatting sqref="H571">
    <cfRule type="expression" dxfId="913" priority="409">
      <formula>$M$423="2"</formula>
    </cfRule>
    <cfRule type="expression" dxfId="912" priority="410">
      <formula>$M$423="1"</formula>
    </cfRule>
  </conditionalFormatting>
  <conditionalFormatting sqref="H573">
    <cfRule type="expression" dxfId="911" priority="407">
      <formula>$M$423="2"</formula>
    </cfRule>
    <cfRule type="expression" dxfId="910" priority="408">
      <formula>$M$423="1"</formula>
    </cfRule>
  </conditionalFormatting>
  <conditionalFormatting sqref="H575">
    <cfRule type="expression" dxfId="909" priority="405">
      <formula>$M$423="2"</formula>
    </cfRule>
    <cfRule type="expression" dxfId="908" priority="406">
      <formula>$M$423="1"</formula>
    </cfRule>
  </conditionalFormatting>
  <conditionalFormatting sqref="H577">
    <cfRule type="expression" dxfId="907" priority="403">
      <formula>$M$423="2"</formula>
    </cfRule>
    <cfRule type="expression" dxfId="906" priority="404">
      <formula>$M$423="1"</formula>
    </cfRule>
  </conditionalFormatting>
  <conditionalFormatting sqref="H579">
    <cfRule type="expression" dxfId="905" priority="401">
      <formula>$M$423="2"</formula>
    </cfRule>
    <cfRule type="expression" dxfId="904" priority="402">
      <formula>$M$423="1"</formula>
    </cfRule>
  </conditionalFormatting>
  <conditionalFormatting sqref="H581">
    <cfRule type="expression" dxfId="903" priority="399">
      <formula>$M$423="2"</formula>
    </cfRule>
    <cfRule type="expression" dxfId="902" priority="400">
      <formula>$M$423="1"</formula>
    </cfRule>
  </conditionalFormatting>
  <conditionalFormatting sqref="H583">
    <cfRule type="expression" dxfId="901" priority="397">
      <formula>$M$423="2"</formula>
    </cfRule>
    <cfRule type="expression" dxfId="900" priority="398">
      <formula>$M$423="1"</formula>
    </cfRule>
  </conditionalFormatting>
  <conditionalFormatting sqref="H585">
    <cfRule type="expression" dxfId="899" priority="395">
      <formula>$M$423="2"</formula>
    </cfRule>
    <cfRule type="expression" dxfId="898" priority="396">
      <formula>$M$423="1"</formula>
    </cfRule>
  </conditionalFormatting>
  <conditionalFormatting sqref="H587">
    <cfRule type="expression" dxfId="897" priority="393">
      <formula>$M$423="2"</formula>
    </cfRule>
    <cfRule type="expression" dxfId="896" priority="394">
      <formula>$M$423="1"</formula>
    </cfRule>
  </conditionalFormatting>
  <conditionalFormatting sqref="H589">
    <cfRule type="expression" dxfId="895" priority="391">
      <formula>$M$423="2"</formula>
    </cfRule>
    <cfRule type="expression" dxfId="894" priority="392">
      <formula>$M$423="1"</formula>
    </cfRule>
  </conditionalFormatting>
  <conditionalFormatting sqref="H591">
    <cfRule type="expression" dxfId="893" priority="389">
      <formula>$M$423="2"</formula>
    </cfRule>
    <cfRule type="expression" dxfId="892" priority="390">
      <formula>$M$423="1"</formula>
    </cfRule>
  </conditionalFormatting>
  <conditionalFormatting sqref="H593">
    <cfRule type="expression" dxfId="891" priority="387">
      <formula>$M$423="2"</formula>
    </cfRule>
    <cfRule type="expression" dxfId="890" priority="388">
      <formula>$M$423="1"</formula>
    </cfRule>
  </conditionalFormatting>
  <conditionalFormatting sqref="H595">
    <cfRule type="expression" dxfId="889" priority="385">
      <formula>$M$423="2"</formula>
    </cfRule>
    <cfRule type="expression" dxfId="888" priority="386">
      <formula>$M$423="1"</formula>
    </cfRule>
  </conditionalFormatting>
  <conditionalFormatting sqref="H597">
    <cfRule type="expression" dxfId="887" priority="383">
      <formula>$M$423="2"</formula>
    </cfRule>
    <cfRule type="expression" dxfId="886" priority="384">
      <formula>$M$423="1"</formula>
    </cfRule>
  </conditionalFormatting>
  <conditionalFormatting sqref="H599">
    <cfRule type="expression" dxfId="885" priority="381">
      <formula>$M$423="2"</formula>
    </cfRule>
    <cfRule type="expression" dxfId="884" priority="382">
      <formula>$M$423="1"</formula>
    </cfRule>
  </conditionalFormatting>
  <conditionalFormatting sqref="H601">
    <cfRule type="expression" dxfId="883" priority="379">
      <formula>$M$423="2"</formula>
    </cfRule>
    <cfRule type="expression" dxfId="882" priority="380">
      <formula>$M$423="1"</formula>
    </cfRule>
  </conditionalFormatting>
  <conditionalFormatting sqref="H619">
    <cfRule type="expression" dxfId="881" priority="361">
      <formula>$M$423="2"</formula>
    </cfRule>
    <cfRule type="expression" dxfId="880" priority="362">
      <formula>$M$423="1"</formula>
    </cfRule>
  </conditionalFormatting>
  <conditionalFormatting sqref="H617">
    <cfRule type="expression" dxfId="879" priority="363">
      <formula>$M$423="2"</formula>
    </cfRule>
    <cfRule type="expression" dxfId="878" priority="364">
      <formula>$M$423="1"</formula>
    </cfRule>
  </conditionalFormatting>
  <conditionalFormatting sqref="H607">
    <cfRule type="expression" dxfId="877" priority="373">
      <formula>$M$423="2"</formula>
    </cfRule>
    <cfRule type="expression" dxfId="876" priority="374">
      <formula>$M$423="1"</formula>
    </cfRule>
  </conditionalFormatting>
  <conditionalFormatting sqref="H609">
    <cfRule type="expression" dxfId="875" priority="371">
      <formula>$M$423="2"</formula>
    </cfRule>
    <cfRule type="expression" dxfId="874" priority="372">
      <formula>$M$423="1"</formula>
    </cfRule>
  </conditionalFormatting>
  <conditionalFormatting sqref="H611">
    <cfRule type="expression" dxfId="873" priority="369">
      <formula>$M$423="2"</formula>
    </cfRule>
    <cfRule type="expression" dxfId="872" priority="370">
      <formula>$M$423="1"</formula>
    </cfRule>
  </conditionalFormatting>
  <conditionalFormatting sqref="H621">
    <cfRule type="expression" dxfId="871" priority="359">
      <formula>$M$423="2"</formula>
    </cfRule>
    <cfRule type="expression" dxfId="870" priority="360">
      <formula>$M$423="1"</formula>
    </cfRule>
  </conditionalFormatting>
  <conditionalFormatting sqref="H615">
    <cfRule type="expression" dxfId="869" priority="365">
      <formula>$M$423="2"</formula>
    </cfRule>
    <cfRule type="expression" dxfId="868" priority="366">
      <formula>$M$423="1"</formula>
    </cfRule>
  </conditionalFormatting>
  <conditionalFormatting sqref="H623">
    <cfRule type="expression" dxfId="867" priority="357">
      <formula>$M$423="2"</formula>
    </cfRule>
    <cfRule type="expression" dxfId="866" priority="358">
      <formula>$M$423="1"</formula>
    </cfRule>
  </conditionalFormatting>
  <conditionalFormatting sqref="H500">
    <cfRule type="expression" dxfId="865" priority="355">
      <formula>$M$423="2"</formula>
    </cfRule>
    <cfRule type="expression" dxfId="864" priority="356">
      <formula>$M$423="1"</formula>
    </cfRule>
  </conditionalFormatting>
  <conditionalFormatting sqref="H510">
    <cfRule type="expression" dxfId="863" priority="351">
      <formula>$M$423="2"</formula>
    </cfRule>
    <cfRule type="expression" dxfId="862" priority="352">
      <formula>$M$423="1"</formula>
    </cfRule>
  </conditionalFormatting>
  <conditionalFormatting sqref="H514">
    <cfRule type="expression" dxfId="861" priority="349">
      <formula>$M$423="2"</formula>
    </cfRule>
    <cfRule type="expression" dxfId="860" priority="350">
      <formula>$M$423="1"</formula>
    </cfRule>
  </conditionalFormatting>
  <conditionalFormatting sqref="H516">
    <cfRule type="expression" dxfId="859" priority="347">
      <formula>$M$423="2"</formula>
    </cfRule>
    <cfRule type="expression" dxfId="858" priority="348">
      <formula>$M$423="1"</formula>
    </cfRule>
  </conditionalFormatting>
  <conditionalFormatting sqref="H518">
    <cfRule type="expression" dxfId="857" priority="345">
      <formula>$M$423="2"</formula>
    </cfRule>
    <cfRule type="expression" dxfId="856" priority="346">
      <formula>$M$423="1"</formula>
    </cfRule>
  </conditionalFormatting>
  <conditionalFormatting sqref="H520">
    <cfRule type="expression" dxfId="855" priority="343">
      <formula>$M$423="2"</formula>
    </cfRule>
    <cfRule type="expression" dxfId="854" priority="344">
      <formula>$M$423="1"</formula>
    </cfRule>
  </conditionalFormatting>
  <conditionalFormatting sqref="H522">
    <cfRule type="expression" dxfId="853" priority="341">
      <formula>$M$423="2"</formula>
    </cfRule>
    <cfRule type="expression" dxfId="852" priority="342">
      <formula>$M$423="1"</formula>
    </cfRule>
  </conditionalFormatting>
  <conditionalFormatting sqref="H524">
    <cfRule type="expression" dxfId="851" priority="339">
      <formula>$M$423="2"</formula>
    </cfRule>
    <cfRule type="expression" dxfId="850" priority="340">
      <formula>$M$423="1"</formula>
    </cfRule>
  </conditionalFormatting>
  <conditionalFormatting sqref="H526">
    <cfRule type="expression" dxfId="849" priority="337">
      <formula>$M$423="2"</formula>
    </cfRule>
    <cfRule type="expression" dxfId="848" priority="338">
      <formula>$M$423="1"</formula>
    </cfRule>
  </conditionalFormatting>
  <conditionalFormatting sqref="H528">
    <cfRule type="expression" dxfId="847" priority="335">
      <formula>$M$423="2"</formula>
    </cfRule>
    <cfRule type="expression" dxfId="846" priority="336">
      <formula>$M$423="1"</formula>
    </cfRule>
  </conditionalFormatting>
  <conditionalFormatting sqref="H530">
    <cfRule type="expression" dxfId="845" priority="333">
      <formula>$M$423="2"</formula>
    </cfRule>
    <cfRule type="expression" dxfId="844" priority="334">
      <formula>$M$423="1"</formula>
    </cfRule>
  </conditionalFormatting>
  <conditionalFormatting sqref="H556">
    <cfRule type="expression" dxfId="843" priority="307">
      <formula>$M$423="2"</formula>
    </cfRule>
    <cfRule type="expression" dxfId="842" priority="308">
      <formula>$M$423="1"</formula>
    </cfRule>
  </conditionalFormatting>
  <conditionalFormatting sqref="H534">
    <cfRule type="expression" dxfId="841" priority="329">
      <formula>$M$423="2"</formula>
    </cfRule>
    <cfRule type="expression" dxfId="840" priority="330">
      <formula>$M$423="1"</formula>
    </cfRule>
  </conditionalFormatting>
  <conditionalFormatting sqref="H536">
    <cfRule type="expression" dxfId="839" priority="327">
      <formula>$M$423="2"</formula>
    </cfRule>
    <cfRule type="expression" dxfId="838" priority="328">
      <formula>$M$423="1"</formula>
    </cfRule>
  </conditionalFormatting>
  <conditionalFormatting sqref="H538">
    <cfRule type="expression" dxfId="837" priority="325">
      <formula>$M$423="2"</formula>
    </cfRule>
    <cfRule type="expression" dxfId="836" priority="326">
      <formula>$M$423="1"</formula>
    </cfRule>
  </conditionalFormatting>
  <conditionalFormatting sqref="H540">
    <cfRule type="expression" dxfId="835" priority="323">
      <formula>$M$423="2"</formula>
    </cfRule>
    <cfRule type="expression" dxfId="834" priority="324">
      <formula>$M$423="1"</formula>
    </cfRule>
  </conditionalFormatting>
  <conditionalFormatting sqref="H542">
    <cfRule type="expression" dxfId="833" priority="321">
      <formula>$M$423="2"</formula>
    </cfRule>
    <cfRule type="expression" dxfId="832" priority="322">
      <formula>$M$423="1"</formula>
    </cfRule>
  </conditionalFormatting>
  <conditionalFormatting sqref="H544">
    <cfRule type="expression" dxfId="831" priority="319">
      <formula>$M$423="2"</formula>
    </cfRule>
    <cfRule type="expression" dxfId="830" priority="320">
      <formula>$M$423="1"</formula>
    </cfRule>
  </conditionalFormatting>
  <conditionalFormatting sqref="H546">
    <cfRule type="expression" dxfId="829" priority="317">
      <formula>$M$423="2"</formula>
    </cfRule>
    <cfRule type="expression" dxfId="828" priority="318">
      <formula>$M$423="1"</formula>
    </cfRule>
  </conditionalFormatting>
  <conditionalFormatting sqref="H548">
    <cfRule type="expression" dxfId="827" priority="315">
      <formula>$M$423="2"</formula>
    </cfRule>
    <cfRule type="expression" dxfId="826" priority="316">
      <formula>$M$423="1"</formula>
    </cfRule>
  </conditionalFormatting>
  <conditionalFormatting sqref="H550">
    <cfRule type="expression" dxfId="825" priority="313">
      <formula>$M$423="2"</formula>
    </cfRule>
    <cfRule type="expression" dxfId="824" priority="314">
      <formula>$M$423="1"</formula>
    </cfRule>
  </conditionalFormatting>
  <conditionalFormatting sqref="H552">
    <cfRule type="expression" dxfId="823" priority="311">
      <formula>$M$423="2"</formula>
    </cfRule>
    <cfRule type="expression" dxfId="822" priority="312">
      <formula>$M$423="1"</formula>
    </cfRule>
  </conditionalFormatting>
  <conditionalFormatting sqref="H554">
    <cfRule type="expression" dxfId="821" priority="309">
      <formula>$M$423="2"</formula>
    </cfRule>
    <cfRule type="expression" dxfId="820" priority="310">
      <formula>$M$423="1"</formula>
    </cfRule>
  </conditionalFormatting>
  <conditionalFormatting sqref="H567">
    <cfRule type="expression" dxfId="819" priority="305">
      <formula>$M$423="2"</formula>
    </cfRule>
    <cfRule type="expression" dxfId="818" priority="306">
      <formula>$M$423="1"</formula>
    </cfRule>
  </conditionalFormatting>
  <conditionalFormatting sqref="F601">
    <cfRule type="expression" dxfId="817" priority="303">
      <formula>$M$423="2"</formula>
    </cfRule>
    <cfRule type="expression" dxfId="816" priority="304">
      <formula>$M$423="1"</formula>
    </cfRule>
  </conditionalFormatting>
  <conditionalFormatting sqref="F603">
    <cfRule type="expression" dxfId="815" priority="301">
      <formula>$M$423="2"</formula>
    </cfRule>
    <cfRule type="expression" dxfId="814" priority="302">
      <formula>$M$423="1"</formula>
    </cfRule>
  </conditionalFormatting>
  <conditionalFormatting sqref="H603">
    <cfRule type="expression" dxfId="813" priority="299">
      <formula>$M$423="2"</formula>
    </cfRule>
    <cfRule type="expression" dxfId="812" priority="300">
      <formula>$M$423="1"</formula>
    </cfRule>
  </conditionalFormatting>
  <conditionalFormatting sqref="F605">
    <cfRule type="expression" dxfId="811" priority="297">
      <formula>$M$423="2"</formula>
    </cfRule>
    <cfRule type="expression" dxfId="810" priority="298">
      <formula>$M$423="1"</formula>
    </cfRule>
  </conditionalFormatting>
  <conditionalFormatting sqref="H605">
    <cfRule type="expression" dxfId="809" priority="295">
      <formula>$M$423="2"</formula>
    </cfRule>
    <cfRule type="expression" dxfId="808" priority="296">
      <formula>$M$423="1"</formula>
    </cfRule>
  </conditionalFormatting>
  <conditionalFormatting sqref="F613">
    <cfRule type="expression" dxfId="807" priority="293">
      <formula>$M$423="2"</formula>
    </cfRule>
    <cfRule type="expression" dxfId="806" priority="294">
      <formula>$M$423="1"</formula>
    </cfRule>
  </conditionalFormatting>
  <conditionalFormatting sqref="H613">
    <cfRule type="expression" dxfId="805" priority="291">
      <formula>$M$423="2"</formula>
    </cfRule>
    <cfRule type="expression" dxfId="804" priority="292">
      <formula>$M$423="1"</formula>
    </cfRule>
  </conditionalFormatting>
  <conditionalFormatting sqref="F619">
    <cfRule type="expression" dxfId="803" priority="285">
      <formula>$M$423="2"</formula>
    </cfRule>
    <cfRule type="expression" dxfId="802" priority="286">
      <formula>$M$423="1"</formula>
    </cfRule>
  </conditionalFormatting>
  <conditionalFormatting sqref="F617">
    <cfRule type="expression" dxfId="801" priority="287">
      <formula>$M$423="2"</formula>
    </cfRule>
    <cfRule type="expression" dxfId="800" priority="288">
      <formula>$M$423="1"</formula>
    </cfRule>
  </conditionalFormatting>
  <conditionalFormatting sqref="H144">
    <cfRule type="expression" dxfId="799" priority="283">
      <formula>$M$145="2"</formula>
    </cfRule>
    <cfRule type="expression" dxfId="798" priority="284">
      <formula>$M$145="1"</formula>
    </cfRule>
  </conditionalFormatting>
  <conditionalFormatting sqref="H146">
    <cfRule type="expression" dxfId="797" priority="281">
      <formula>$M$145="2"</formula>
    </cfRule>
    <cfRule type="expression" dxfId="796" priority="282">
      <formula>$M$145="1"</formula>
    </cfRule>
  </conditionalFormatting>
  <conditionalFormatting sqref="H80">
    <cfRule type="expression" dxfId="795" priority="279">
      <formula>$M$75="2"</formula>
    </cfRule>
    <cfRule type="expression" dxfId="794" priority="280">
      <formula>$M$75="1"</formula>
    </cfRule>
  </conditionalFormatting>
  <conditionalFormatting sqref="H233">
    <cfRule type="expression" dxfId="793" priority="277">
      <formula>$M$230="2"</formula>
    </cfRule>
    <cfRule type="expression" dxfId="792" priority="278">
      <formula>$M$230="1"</formula>
    </cfRule>
  </conditionalFormatting>
  <conditionalFormatting sqref="H235">
    <cfRule type="expression" dxfId="791" priority="275">
      <formula>$M$230="2"</formula>
    </cfRule>
    <cfRule type="expression" dxfId="790" priority="276">
      <formula>$M$230="1"</formula>
    </cfRule>
  </conditionalFormatting>
  <conditionalFormatting sqref="H237">
    <cfRule type="expression" dxfId="789" priority="273">
      <formula>$M$230="2"</formula>
    </cfRule>
    <cfRule type="expression" dxfId="788" priority="274">
      <formula>$M$230="1"</formula>
    </cfRule>
  </conditionalFormatting>
  <conditionalFormatting sqref="H239">
    <cfRule type="expression" dxfId="787" priority="271">
      <formula>$M$230="2"</formula>
    </cfRule>
    <cfRule type="expression" dxfId="786" priority="272">
      <formula>$M$230="1"</formula>
    </cfRule>
  </conditionalFormatting>
  <conditionalFormatting sqref="F241">
    <cfRule type="expression" dxfId="785" priority="269">
      <formula>$M$230="2"</formula>
    </cfRule>
    <cfRule type="expression" dxfId="784" priority="270">
      <formula>$M$230="1"</formula>
    </cfRule>
  </conditionalFormatting>
  <conditionalFormatting sqref="F243">
    <cfRule type="expression" dxfId="783" priority="267">
      <formula>$M$230="2"</formula>
    </cfRule>
    <cfRule type="expression" dxfId="782" priority="268">
      <formula>$M$230="1"</formula>
    </cfRule>
  </conditionalFormatting>
  <conditionalFormatting sqref="F245">
    <cfRule type="expression" dxfId="781" priority="265">
      <formula>$M$230="2"</formula>
    </cfRule>
    <cfRule type="expression" dxfId="780" priority="266">
      <formula>$M$230="1"</formula>
    </cfRule>
  </conditionalFormatting>
  <conditionalFormatting sqref="F253">
    <cfRule type="expression" dxfId="779" priority="263">
      <formula>$M$230="2"</formula>
    </cfRule>
    <cfRule type="expression" dxfId="778" priority="264">
      <formula>$M$230="1"</formula>
    </cfRule>
  </conditionalFormatting>
  <conditionalFormatting sqref="F255">
    <cfRule type="expression" dxfId="777" priority="261">
      <formula>$M$230="2"</formula>
    </cfRule>
    <cfRule type="expression" dxfId="776" priority="262">
      <formula>$M$230="1"</formula>
    </cfRule>
  </conditionalFormatting>
  <conditionalFormatting sqref="F257">
    <cfRule type="expression" dxfId="775" priority="259">
      <formula>$M$230="2"</formula>
    </cfRule>
    <cfRule type="expression" dxfId="774" priority="260">
      <formula>$M$230="1"</formula>
    </cfRule>
  </conditionalFormatting>
  <conditionalFormatting sqref="F259">
    <cfRule type="expression" dxfId="773" priority="253">
      <formula>$M$230="2"</formula>
    </cfRule>
    <cfRule type="expression" dxfId="772" priority="254">
      <formula>$M$230="1"</formula>
    </cfRule>
  </conditionalFormatting>
  <conditionalFormatting sqref="F261">
    <cfRule type="expression" dxfId="771" priority="249">
      <formula>$M$230="2"</formula>
    </cfRule>
    <cfRule type="expression" dxfId="770" priority="250">
      <formula>$M$230="1"</formula>
    </cfRule>
  </conditionalFormatting>
  <conditionalFormatting sqref="F263">
    <cfRule type="expression" dxfId="769" priority="247">
      <formula>$M$230="2"</formula>
    </cfRule>
    <cfRule type="expression" dxfId="768" priority="248">
      <formula>$M$230="1"</formula>
    </cfRule>
  </conditionalFormatting>
  <conditionalFormatting sqref="F265">
    <cfRule type="expression" dxfId="767" priority="245">
      <formula>$M$230="2"</formula>
    </cfRule>
    <cfRule type="expression" dxfId="766" priority="246">
      <formula>$M$230="1"</formula>
    </cfRule>
  </conditionalFormatting>
  <conditionalFormatting sqref="F267">
    <cfRule type="expression" dxfId="765" priority="243">
      <formula>$M$230="2"</formula>
    </cfRule>
    <cfRule type="expression" dxfId="764" priority="244">
      <formula>$M$230="1"</formula>
    </cfRule>
  </conditionalFormatting>
  <conditionalFormatting sqref="F269">
    <cfRule type="expression" dxfId="763" priority="241">
      <formula>$M$230="2"</formula>
    </cfRule>
    <cfRule type="expression" dxfId="762" priority="242">
      <formula>$M$230="1"</formula>
    </cfRule>
  </conditionalFormatting>
  <conditionalFormatting sqref="F271">
    <cfRule type="expression" dxfId="761" priority="221">
      <formula>$M$230="2"</formula>
    </cfRule>
    <cfRule type="expression" dxfId="760" priority="222">
      <formula>$M$230="1"</formula>
    </cfRule>
  </conditionalFormatting>
  <conditionalFormatting sqref="H271">
    <cfRule type="expression" dxfId="759" priority="217">
      <formula>$M$230="2"</formula>
    </cfRule>
    <cfRule type="expression" dxfId="758" priority="218">
      <formula>$M$230="1"</formula>
    </cfRule>
  </conditionalFormatting>
  <conditionalFormatting sqref="F273">
    <cfRule type="expression" dxfId="757" priority="215">
      <formula>$M$230="2"</formula>
    </cfRule>
    <cfRule type="expression" dxfId="756" priority="216">
      <formula>$M$230="1"</formula>
    </cfRule>
  </conditionalFormatting>
  <conditionalFormatting sqref="H273">
    <cfRule type="expression" dxfId="755" priority="213">
      <formula>$M$230="2"</formula>
    </cfRule>
    <cfRule type="expression" dxfId="754" priority="214">
      <formula>$M$230="1"</formula>
    </cfRule>
  </conditionalFormatting>
  <conditionalFormatting sqref="H275">
    <cfRule type="expression" dxfId="753" priority="211">
      <formula>$M$230="2"</formula>
    </cfRule>
    <cfRule type="expression" dxfId="752" priority="212">
      <formula>$M$230="1"</formula>
    </cfRule>
  </conditionalFormatting>
  <conditionalFormatting sqref="H277">
    <cfRule type="expression" dxfId="751" priority="209">
      <formula>$M$230="2"</formula>
    </cfRule>
    <cfRule type="expression" dxfId="750" priority="210">
      <formula>$M$230="1"</formula>
    </cfRule>
  </conditionalFormatting>
  <conditionalFormatting sqref="F275">
    <cfRule type="expression" dxfId="749" priority="207">
      <formula>$M$230="2"</formula>
    </cfRule>
    <cfRule type="expression" dxfId="748" priority="208">
      <formula>$M$230="1"</formula>
    </cfRule>
  </conditionalFormatting>
  <conditionalFormatting sqref="F277">
    <cfRule type="expression" dxfId="747" priority="205">
      <formula>$M$230="2"</formula>
    </cfRule>
    <cfRule type="expression" dxfId="746" priority="206">
      <formula>$M$230="1"</formula>
    </cfRule>
  </conditionalFormatting>
  <conditionalFormatting sqref="F279">
    <cfRule type="expression" dxfId="745" priority="203">
      <formula>$M$230="2"</formula>
    </cfRule>
    <cfRule type="expression" dxfId="744" priority="204">
      <formula>$M$230="1"</formula>
    </cfRule>
  </conditionalFormatting>
  <conditionalFormatting sqref="H279">
    <cfRule type="expression" dxfId="743" priority="201">
      <formula>$M$230="2"</formula>
    </cfRule>
    <cfRule type="expression" dxfId="742" priority="202">
      <formula>$M$230="1"</formula>
    </cfRule>
  </conditionalFormatting>
  <conditionalFormatting sqref="F281">
    <cfRule type="expression" dxfId="741" priority="199">
      <formula>$M$230="2"</formula>
    </cfRule>
    <cfRule type="expression" dxfId="740" priority="200">
      <formula>$M$230="1"</formula>
    </cfRule>
  </conditionalFormatting>
  <conditionalFormatting sqref="H281">
    <cfRule type="expression" dxfId="739" priority="197">
      <formula>$M$230="2"</formula>
    </cfRule>
    <cfRule type="expression" dxfId="738" priority="198">
      <formula>$M$230="1"</formula>
    </cfRule>
  </conditionalFormatting>
  <conditionalFormatting sqref="F283">
    <cfRule type="expression" dxfId="737" priority="195">
      <formula>$M$230="2"</formula>
    </cfRule>
    <cfRule type="expression" dxfId="736" priority="196">
      <formula>$M$230="1"</formula>
    </cfRule>
  </conditionalFormatting>
  <conditionalFormatting sqref="H283">
    <cfRule type="expression" dxfId="735" priority="193">
      <formula>$M$230="2"</formula>
    </cfRule>
    <cfRule type="expression" dxfId="734" priority="194">
      <formula>$M$230="1"</formula>
    </cfRule>
  </conditionalFormatting>
  <conditionalFormatting sqref="F285">
    <cfRule type="expression" dxfId="733" priority="191">
      <formula>$M$230="2"</formula>
    </cfRule>
    <cfRule type="expression" dxfId="732" priority="192">
      <formula>$M$230="1"</formula>
    </cfRule>
  </conditionalFormatting>
  <conditionalFormatting sqref="H285">
    <cfRule type="expression" dxfId="731" priority="189">
      <formula>$M$230="2"</formula>
    </cfRule>
    <cfRule type="expression" dxfId="730" priority="190">
      <formula>$M$230="1"</formula>
    </cfRule>
  </conditionalFormatting>
  <conditionalFormatting sqref="F287">
    <cfRule type="expression" dxfId="729" priority="187">
      <formula>$M$230="2"</formula>
    </cfRule>
    <cfRule type="expression" dxfId="728" priority="188">
      <formula>$M$230="1"</formula>
    </cfRule>
  </conditionalFormatting>
  <conditionalFormatting sqref="H287">
    <cfRule type="expression" dxfId="727" priority="185">
      <formula>$M$230="2"</formula>
    </cfRule>
    <cfRule type="expression" dxfId="726" priority="186">
      <formula>$M$230="1"</formula>
    </cfRule>
  </conditionalFormatting>
  <conditionalFormatting sqref="F289">
    <cfRule type="expression" dxfId="725" priority="183">
      <formula>$M$230="2"</formula>
    </cfRule>
    <cfRule type="expression" dxfId="724" priority="184">
      <formula>$M$230="1"</formula>
    </cfRule>
  </conditionalFormatting>
  <conditionalFormatting sqref="H289">
    <cfRule type="expression" dxfId="723" priority="181">
      <formula>$M$230="2"</formula>
    </cfRule>
    <cfRule type="expression" dxfId="722" priority="182">
      <formula>$M$230="1"</formula>
    </cfRule>
  </conditionalFormatting>
  <conditionalFormatting sqref="F291">
    <cfRule type="expression" dxfId="721" priority="179">
      <formula>$M$230="2"</formula>
    </cfRule>
    <cfRule type="expression" dxfId="720" priority="180">
      <formula>$M$230="1"</formula>
    </cfRule>
  </conditionalFormatting>
  <conditionalFormatting sqref="H291">
    <cfRule type="expression" dxfId="719" priority="177">
      <formula>$M$230="2"</formula>
    </cfRule>
    <cfRule type="expression" dxfId="718" priority="178">
      <formula>$M$230="1"</formula>
    </cfRule>
  </conditionalFormatting>
  <conditionalFormatting sqref="H253">
    <cfRule type="expression" dxfId="717" priority="175">
      <formula>$M$250="2"</formula>
    </cfRule>
    <cfRule type="expression" dxfId="716" priority="176">
      <formula>$M$250="1"</formula>
    </cfRule>
  </conditionalFormatting>
  <conditionalFormatting sqref="H255">
    <cfRule type="expression" dxfId="715" priority="173">
      <formula>$M$250="2"</formula>
    </cfRule>
    <cfRule type="expression" dxfId="714" priority="174">
      <formula>$M$250="1"</formula>
    </cfRule>
  </conditionalFormatting>
  <conditionalFormatting sqref="H257">
    <cfRule type="expression" dxfId="713" priority="171">
      <formula>$M$250="2"</formula>
    </cfRule>
    <cfRule type="expression" dxfId="712" priority="172">
      <formula>$M$250="1"</formula>
    </cfRule>
  </conditionalFormatting>
  <conditionalFormatting sqref="H259">
    <cfRule type="expression" dxfId="711" priority="169">
      <formula>$M$250="2"</formula>
    </cfRule>
    <cfRule type="expression" dxfId="710" priority="170">
      <formula>$M$250="1"</formula>
    </cfRule>
  </conditionalFormatting>
  <conditionalFormatting sqref="H261">
    <cfRule type="expression" dxfId="709" priority="167">
      <formula>$M$250="2"</formula>
    </cfRule>
    <cfRule type="expression" dxfId="708" priority="168">
      <formula>$M$250="1"</formula>
    </cfRule>
  </conditionalFormatting>
  <conditionalFormatting sqref="H263">
    <cfRule type="expression" dxfId="707" priority="165">
      <formula>$M$250="2"</formula>
    </cfRule>
    <cfRule type="expression" dxfId="706" priority="166">
      <formula>$M$250="1"</formula>
    </cfRule>
  </conditionalFormatting>
  <conditionalFormatting sqref="H265">
    <cfRule type="expression" dxfId="705" priority="163">
      <formula>$M$250="2"</formula>
    </cfRule>
    <cfRule type="expression" dxfId="704" priority="164">
      <formula>$M$250="1"</formula>
    </cfRule>
  </conditionalFormatting>
  <conditionalFormatting sqref="H267">
    <cfRule type="expression" dxfId="703" priority="161">
      <formula>$M$250="2"</formula>
    </cfRule>
    <cfRule type="expression" dxfId="702" priority="162">
      <formula>$M$250="1"</formula>
    </cfRule>
  </conditionalFormatting>
  <conditionalFormatting sqref="H269">
    <cfRule type="expression" dxfId="701" priority="159">
      <formula>$M$250="2"</formula>
    </cfRule>
    <cfRule type="expression" dxfId="700" priority="160">
      <formula>$M$250="1"</formula>
    </cfRule>
  </conditionalFormatting>
  <conditionalFormatting sqref="F293">
    <cfRule type="expression" dxfId="699" priority="157">
      <formula>$M$230="2"</formula>
    </cfRule>
    <cfRule type="expression" dxfId="698" priority="158">
      <formula>$M$230="1"</formula>
    </cfRule>
  </conditionalFormatting>
  <conditionalFormatting sqref="H293">
    <cfRule type="expression" dxfId="697" priority="155">
      <formula>$M$230="2"</formula>
    </cfRule>
    <cfRule type="expression" dxfId="696" priority="156">
      <formula>$M$230="1"</formula>
    </cfRule>
  </conditionalFormatting>
  <conditionalFormatting sqref="F295">
    <cfRule type="expression" dxfId="695" priority="153">
      <formula>$M$230="2"</formula>
    </cfRule>
    <cfRule type="expression" dxfId="694" priority="154">
      <formula>$M$230="1"</formula>
    </cfRule>
  </conditionalFormatting>
  <conditionalFormatting sqref="H295">
    <cfRule type="expression" dxfId="693" priority="151">
      <formula>$M$230="2"</formula>
    </cfRule>
    <cfRule type="expression" dxfId="692" priority="152">
      <formula>$M$230="1"</formula>
    </cfRule>
  </conditionalFormatting>
  <conditionalFormatting sqref="H299">
    <cfRule type="expression" dxfId="691" priority="149">
      <formula>$M$296="2"</formula>
    </cfRule>
    <cfRule type="expression" dxfId="690" priority="150">
      <formula>$M$296="1"</formula>
    </cfRule>
  </conditionalFormatting>
  <conditionalFormatting sqref="H301">
    <cfRule type="expression" dxfId="689" priority="147">
      <formula>$M$296="2"</formula>
    </cfRule>
    <cfRule type="expression" dxfId="688" priority="148">
      <formula>$M$296="1"</formula>
    </cfRule>
  </conditionalFormatting>
  <conditionalFormatting sqref="F301">
    <cfRule type="expression" dxfId="687" priority="145">
      <formula>$M$296="2"</formula>
    </cfRule>
    <cfRule type="expression" dxfId="686" priority="146">
      <formula>$M$296="1"</formula>
    </cfRule>
  </conditionalFormatting>
  <conditionalFormatting sqref="F303">
    <cfRule type="expression" dxfId="685" priority="143">
      <formula>$M$296="2"</formula>
    </cfRule>
    <cfRule type="expression" dxfId="684" priority="144">
      <formula>$M$296="1"</formula>
    </cfRule>
  </conditionalFormatting>
  <conditionalFormatting sqref="H303">
    <cfRule type="expression" dxfId="683" priority="141">
      <formula>$M$296="2"</formula>
    </cfRule>
    <cfRule type="expression" dxfId="682" priority="142">
      <formula>$M$296="1"</formula>
    </cfRule>
  </conditionalFormatting>
  <conditionalFormatting sqref="F305">
    <cfRule type="expression" dxfId="681" priority="139">
      <formula>$M$296="2"</formula>
    </cfRule>
    <cfRule type="expression" dxfId="680" priority="140">
      <formula>$M$296="1"</formula>
    </cfRule>
  </conditionalFormatting>
  <conditionalFormatting sqref="H305">
    <cfRule type="expression" dxfId="679" priority="137">
      <formula>$M$296="2"</formula>
    </cfRule>
    <cfRule type="expression" dxfId="678" priority="138">
      <formula>$M$296="1"</formula>
    </cfRule>
  </conditionalFormatting>
  <conditionalFormatting sqref="F307">
    <cfRule type="expression" dxfId="677" priority="135">
      <formula>$M$296="2"</formula>
    </cfRule>
    <cfRule type="expression" dxfId="676" priority="136">
      <formula>$M$296="1"</formula>
    </cfRule>
  </conditionalFormatting>
  <conditionalFormatting sqref="H307">
    <cfRule type="expression" dxfId="675" priority="133">
      <formula>$M$296="2"</formula>
    </cfRule>
    <cfRule type="expression" dxfId="674" priority="134">
      <formula>$M$296="1"</formula>
    </cfRule>
  </conditionalFormatting>
  <conditionalFormatting sqref="F309">
    <cfRule type="expression" dxfId="673" priority="131">
      <formula>$M$296="2"</formula>
    </cfRule>
    <cfRule type="expression" dxfId="672" priority="132">
      <formula>$M$296="1"</formula>
    </cfRule>
  </conditionalFormatting>
  <conditionalFormatting sqref="H309">
    <cfRule type="expression" dxfId="671" priority="129">
      <formula>$M$296="2"</formula>
    </cfRule>
    <cfRule type="expression" dxfId="670" priority="130">
      <formula>$M$296="1"</formula>
    </cfRule>
  </conditionalFormatting>
  <conditionalFormatting sqref="F311">
    <cfRule type="expression" dxfId="669" priority="127">
      <formula>$M$296="2"</formula>
    </cfRule>
    <cfRule type="expression" dxfId="668" priority="128">
      <formula>$M$296="1"</formula>
    </cfRule>
  </conditionalFormatting>
  <conditionalFormatting sqref="H311">
    <cfRule type="expression" dxfId="667" priority="125">
      <formula>$M$296="2"</formula>
    </cfRule>
    <cfRule type="expression" dxfId="666" priority="126">
      <formula>$M$296="1"</formula>
    </cfRule>
  </conditionalFormatting>
  <conditionalFormatting sqref="F313">
    <cfRule type="expression" dxfId="665" priority="123">
      <formula>$M$296="2"</formula>
    </cfRule>
    <cfRule type="expression" dxfId="664" priority="124">
      <formula>$M$296="1"</formula>
    </cfRule>
  </conditionalFormatting>
  <conditionalFormatting sqref="H313">
    <cfRule type="expression" dxfId="663" priority="121">
      <formula>$M$296="2"</formula>
    </cfRule>
    <cfRule type="expression" dxfId="662" priority="122">
      <formula>$M$296="1"</formula>
    </cfRule>
  </conditionalFormatting>
  <conditionalFormatting sqref="F315">
    <cfRule type="expression" dxfId="661" priority="119">
      <formula>$M$296="2"</formula>
    </cfRule>
    <cfRule type="expression" dxfId="660" priority="120">
      <formula>$M$296="1"</formula>
    </cfRule>
  </conditionalFormatting>
  <conditionalFormatting sqref="H315">
    <cfRule type="expression" dxfId="659" priority="117">
      <formula>$M$296="2"</formula>
    </cfRule>
    <cfRule type="expression" dxfId="658" priority="118">
      <formula>$M$296="1"</formula>
    </cfRule>
  </conditionalFormatting>
  <conditionalFormatting sqref="F317">
    <cfRule type="expression" dxfId="657" priority="115">
      <formula>$M$296="2"</formula>
    </cfRule>
    <cfRule type="expression" dxfId="656" priority="116">
      <formula>$M$296="1"</formula>
    </cfRule>
  </conditionalFormatting>
  <conditionalFormatting sqref="H317">
    <cfRule type="expression" dxfId="655" priority="113">
      <formula>$M$296="2"</formula>
    </cfRule>
    <cfRule type="expression" dxfId="654" priority="114">
      <formula>$M$296="1"</formula>
    </cfRule>
  </conditionalFormatting>
  <conditionalFormatting sqref="F319">
    <cfRule type="expression" dxfId="653" priority="111">
      <formula>$M$296="2"</formula>
    </cfRule>
    <cfRule type="expression" dxfId="652" priority="112">
      <formula>$M$296="1"</formula>
    </cfRule>
  </conditionalFormatting>
  <conditionalFormatting sqref="H319">
    <cfRule type="expression" dxfId="651" priority="109">
      <formula>$M$296="2"</formula>
    </cfRule>
    <cfRule type="expression" dxfId="650" priority="110">
      <formula>$M$296="1"</formula>
    </cfRule>
  </conditionalFormatting>
  <conditionalFormatting sqref="F321">
    <cfRule type="expression" dxfId="649" priority="107">
      <formula>$M$296="2"</formula>
    </cfRule>
    <cfRule type="expression" dxfId="648" priority="108">
      <formula>$M$296="1"</formula>
    </cfRule>
  </conditionalFormatting>
  <conditionalFormatting sqref="H321">
    <cfRule type="expression" dxfId="647" priority="105">
      <formula>$M$296="2"</formula>
    </cfRule>
    <cfRule type="expression" dxfId="646" priority="106">
      <formula>$M$296="1"</formula>
    </cfRule>
  </conditionalFormatting>
  <conditionalFormatting sqref="F323">
    <cfRule type="expression" dxfId="645" priority="103">
      <formula>$M$296="2"</formula>
    </cfRule>
    <cfRule type="expression" dxfId="644" priority="104">
      <formula>$M$296="1"</formula>
    </cfRule>
  </conditionalFormatting>
  <conditionalFormatting sqref="F325">
    <cfRule type="expression" dxfId="643" priority="101">
      <formula>$M$296="2"</formula>
    </cfRule>
    <cfRule type="expression" dxfId="642" priority="102">
      <formula>$M$296="1"</formula>
    </cfRule>
  </conditionalFormatting>
  <conditionalFormatting sqref="F327">
    <cfRule type="expression" dxfId="641" priority="99">
      <formula>$M$296="2"</formula>
    </cfRule>
    <cfRule type="expression" dxfId="640" priority="100">
      <formula>$M$296="1"</formula>
    </cfRule>
  </conditionalFormatting>
  <conditionalFormatting sqref="F329">
    <cfRule type="expression" dxfId="639" priority="97">
      <formula>$M$296="2"</formula>
    </cfRule>
    <cfRule type="expression" dxfId="638" priority="98">
      <formula>$M$296="1"</formula>
    </cfRule>
  </conditionalFormatting>
  <conditionalFormatting sqref="F331">
    <cfRule type="expression" dxfId="637" priority="95">
      <formula>$M$296="2"</formula>
    </cfRule>
    <cfRule type="expression" dxfId="636" priority="96">
      <formula>$M$296="1"</formula>
    </cfRule>
  </conditionalFormatting>
  <conditionalFormatting sqref="F333">
    <cfRule type="expression" dxfId="635" priority="93">
      <formula>$M$296="2"</formula>
    </cfRule>
    <cfRule type="expression" dxfId="634" priority="94">
      <formula>$M$296="1"</formula>
    </cfRule>
  </conditionalFormatting>
  <conditionalFormatting sqref="F335">
    <cfRule type="expression" dxfId="633" priority="91">
      <formula>$M$296="2"</formula>
    </cfRule>
    <cfRule type="expression" dxfId="632" priority="92">
      <formula>$M$296="1"</formula>
    </cfRule>
  </conditionalFormatting>
  <conditionalFormatting sqref="F337">
    <cfRule type="expression" dxfId="631" priority="87">
      <formula>$M$296="2"</formula>
    </cfRule>
    <cfRule type="expression" dxfId="630" priority="88">
      <formula>$M$296="1"</formula>
    </cfRule>
  </conditionalFormatting>
  <conditionalFormatting sqref="F355">
    <cfRule type="expression" dxfId="629" priority="69">
      <formula>$M$296="2"</formula>
    </cfRule>
    <cfRule type="expression" dxfId="628" priority="70">
      <formula>$M$296="1"</formula>
    </cfRule>
  </conditionalFormatting>
  <conditionalFormatting sqref="F339">
    <cfRule type="expression" dxfId="627" priority="85">
      <formula>$M$296="2"</formula>
    </cfRule>
    <cfRule type="expression" dxfId="626" priority="86">
      <formula>$M$296="1"</formula>
    </cfRule>
  </conditionalFormatting>
  <conditionalFormatting sqref="F341">
    <cfRule type="expression" dxfId="625" priority="83">
      <formula>$M$296="2"</formula>
    </cfRule>
    <cfRule type="expression" dxfId="624" priority="84">
      <formula>$M$296="1"</formula>
    </cfRule>
  </conditionalFormatting>
  <conditionalFormatting sqref="F343">
    <cfRule type="expression" dxfId="623" priority="81">
      <formula>$M$296="2"</formula>
    </cfRule>
    <cfRule type="expression" dxfId="622" priority="82">
      <formula>$M$296="1"</formula>
    </cfRule>
  </conditionalFormatting>
  <conditionalFormatting sqref="F345">
    <cfRule type="expression" dxfId="621" priority="79">
      <formula>$M$296="2"</formula>
    </cfRule>
    <cfRule type="expression" dxfId="620" priority="80">
      <formula>$M$296="1"</formula>
    </cfRule>
  </conditionalFormatting>
  <conditionalFormatting sqref="F347">
    <cfRule type="expression" dxfId="619" priority="77">
      <formula>$M$296="2"</formula>
    </cfRule>
    <cfRule type="expression" dxfId="618" priority="78">
      <formula>$M$296="1"</formula>
    </cfRule>
  </conditionalFormatting>
  <conditionalFormatting sqref="F349">
    <cfRule type="expression" dxfId="617" priority="75">
      <formula>$M$296="2"</formula>
    </cfRule>
    <cfRule type="expression" dxfId="616" priority="76">
      <formula>$M$296="1"</formula>
    </cfRule>
  </conditionalFormatting>
  <conditionalFormatting sqref="F351">
    <cfRule type="expression" dxfId="615" priority="73">
      <formula>$M$296="2"</formula>
    </cfRule>
    <cfRule type="expression" dxfId="614" priority="74">
      <formula>$M$296="1"</formula>
    </cfRule>
  </conditionalFormatting>
  <conditionalFormatting sqref="F353">
    <cfRule type="expression" dxfId="613" priority="71">
      <formula>$M$296="2"</formula>
    </cfRule>
    <cfRule type="expression" dxfId="612" priority="72">
      <formula>$M$296="1"</formula>
    </cfRule>
  </conditionalFormatting>
  <conditionalFormatting sqref="F365">
    <cfRule type="expression" dxfId="611" priority="59">
      <formula>$M$296="2"</formula>
    </cfRule>
    <cfRule type="expression" dxfId="610" priority="60">
      <formula>$M$296="1"</formula>
    </cfRule>
  </conditionalFormatting>
  <conditionalFormatting sqref="F357">
    <cfRule type="expression" dxfId="609" priority="67">
      <formula>$M$296="2"</formula>
    </cfRule>
    <cfRule type="expression" dxfId="608" priority="68">
      <formula>$M$296="1"</formula>
    </cfRule>
  </conditionalFormatting>
  <conditionalFormatting sqref="F359">
    <cfRule type="expression" dxfId="607" priority="65">
      <formula>$M$296="2"</formula>
    </cfRule>
    <cfRule type="expression" dxfId="606" priority="66">
      <formula>$M$296="1"</formula>
    </cfRule>
  </conditionalFormatting>
  <conditionalFormatting sqref="F361">
    <cfRule type="expression" dxfId="605" priority="63">
      <formula>$M$296="2"</formula>
    </cfRule>
    <cfRule type="expression" dxfId="604" priority="64">
      <formula>$M$296="1"</formula>
    </cfRule>
  </conditionalFormatting>
  <conditionalFormatting sqref="F363">
    <cfRule type="expression" dxfId="603" priority="61">
      <formula>$M$296="2"</formula>
    </cfRule>
    <cfRule type="expression" dxfId="602" priority="62">
      <formula>$M$296="1"</formula>
    </cfRule>
  </conditionalFormatting>
  <conditionalFormatting sqref="H367">
    <cfRule type="expression" dxfId="601" priority="55">
      <formula>$M$296="2"</formula>
    </cfRule>
    <cfRule type="expression" dxfId="600" priority="56">
      <formula>$M$296="1"</formula>
    </cfRule>
  </conditionalFormatting>
  <conditionalFormatting sqref="H375">
    <cfRule type="expression" dxfId="599" priority="45">
      <formula>$M$296="2"</formula>
    </cfRule>
    <cfRule type="expression" dxfId="598" priority="46">
      <formula>$M$296="1"</formula>
    </cfRule>
  </conditionalFormatting>
  <conditionalFormatting sqref="F367">
    <cfRule type="expression" dxfId="597" priority="57">
      <formula>$M$296="2"</formula>
    </cfRule>
    <cfRule type="expression" dxfId="596" priority="58">
      <formula>$M$296="1"</formula>
    </cfRule>
  </conditionalFormatting>
  <conditionalFormatting sqref="H377">
    <cfRule type="expression" dxfId="595" priority="41">
      <formula>$M$296="2"</formula>
    </cfRule>
    <cfRule type="expression" dxfId="594" priority="42">
      <formula>$M$296="1"</formula>
    </cfRule>
  </conditionalFormatting>
  <conditionalFormatting sqref="F369">
    <cfRule type="expression" dxfId="593" priority="53">
      <formula>$M$296="2"</formula>
    </cfRule>
    <cfRule type="expression" dxfId="592" priority="54">
      <formula>$M$296="1"</formula>
    </cfRule>
  </conditionalFormatting>
  <conditionalFormatting sqref="F371">
    <cfRule type="expression" dxfId="591" priority="51">
      <formula>$M$296="2"</formula>
    </cfRule>
    <cfRule type="expression" dxfId="590" priority="52">
      <formula>$M$296="1"</formula>
    </cfRule>
  </conditionalFormatting>
  <conditionalFormatting sqref="F373">
    <cfRule type="expression" dxfId="589" priority="49">
      <formula>$M$296="2"</formula>
    </cfRule>
    <cfRule type="expression" dxfId="588" priority="50">
      <formula>$M$296="1"</formula>
    </cfRule>
  </conditionalFormatting>
  <conditionalFormatting sqref="F375">
    <cfRule type="expression" dxfId="587" priority="47">
      <formula>$M$296="2"</formula>
    </cfRule>
    <cfRule type="expression" dxfId="586" priority="48">
      <formula>$M$296="1"</formula>
    </cfRule>
  </conditionalFormatting>
  <conditionalFormatting sqref="F377">
    <cfRule type="expression" dxfId="585" priority="43">
      <formula>$M$296="2"</formula>
    </cfRule>
    <cfRule type="expression" dxfId="584" priority="44">
      <formula>$M$296="1"</formula>
    </cfRule>
  </conditionalFormatting>
  <conditionalFormatting sqref="F379">
    <cfRule type="expression" dxfId="583" priority="39">
      <formula>$M$296="2"</formula>
    </cfRule>
    <cfRule type="expression" dxfId="582" priority="40">
      <formula>$M$296="1"</formula>
    </cfRule>
  </conditionalFormatting>
  <conditionalFormatting sqref="H379">
    <cfRule type="expression" dxfId="581" priority="37">
      <formula>$M$296="2"</formula>
    </cfRule>
    <cfRule type="expression" dxfId="580" priority="38">
      <formula>$M$296="1"</formula>
    </cfRule>
  </conditionalFormatting>
  <conditionalFormatting sqref="H381">
    <cfRule type="expression" dxfId="579" priority="35">
      <formula>$M$296="2"</formula>
    </cfRule>
    <cfRule type="expression" dxfId="578" priority="36">
      <formula>$M$296="1"</formula>
    </cfRule>
  </conditionalFormatting>
  <conditionalFormatting sqref="H323">
    <cfRule type="expression" dxfId="577" priority="33">
      <formula>$M$296="2"</formula>
    </cfRule>
    <cfRule type="expression" dxfId="576" priority="34">
      <formula>$M$296="1"</formula>
    </cfRule>
  </conditionalFormatting>
  <conditionalFormatting sqref="H325">
    <cfRule type="expression" dxfId="575" priority="31">
      <formula>$M$296="2"</formula>
    </cfRule>
    <cfRule type="expression" dxfId="574" priority="32">
      <formula>$M$296="1"</formula>
    </cfRule>
  </conditionalFormatting>
  <conditionalFormatting sqref="H327">
    <cfRule type="expression" dxfId="573" priority="29">
      <formula>$M$296="2"</formula>
    </cfRule>
    <cfRule type="expression" dxfId="572" priority="30">
      <formula>$M$296="1"</formula>
    </cfRule>
  </conditionalFormatting>
  <conditionalFormatting sqref="H329">
    <cfRule type="expression" dxfId="571" priority="27">
      <formula>$M$296="2"</formula>
    </cfRule>
    <cfRule type="expression" dxfId="570" priority="28">
      <formula>$M$296="1"</formula>
    </cfRule>
  </conditionalFormatting>
  <conditionalFormatting sqref="H331">
    <cfRule type="expression" dxfId="569" priority="25">
      <formula>$M$296="2"</formula>
    </cfRule>
    <cfRule type="expression" dxfId="568" priority="26">
      <formula>$M$296="1"</formula>
    </cfRule>
  </conditionalFormatting>
  <conditionalFormatting sqref="H333">
    <cfRule type="expression" dxfId="567" priority="23">
      <formula>$M$296="2"</formula>
    </cfRule>
    <cfRule type="expression" dxfId="566" priority="24">
      <formula>$M$296="1"</formula>
    </cfRule>
  </conditionalFormatting>
  <conditionalFormatting sqref="H335">
    <cfRule type="expression" dxfId="565" priority="21">
      <formula>$M$296="2"</formula>
    </cfRule>
    <cfRule type="expression" dxfId="564" priority="22">
      <formula>$M$296="1"</formula>
    </cfRule>
  </conditionalFormatting>
  <conditionalFormatting sqref="H337">
    <cfRule type="expression" dxfId="563" priority="15">
      <formula>$M$296="2"</formula>
    </cfRule>
    <cfRule type="expression" dxfId="562" priority="16">
      <formula>$M$296="1"</formula>
    </cfRule>
  </conditionalFormatting>
  <conditionalFormatting sqref="H339">
    <cfRule type="expression" dxfId="561" priority="13">
      <formula>$M$296="2"</formula>
    </cfRule>
    <cfRule type="expression" dxfId="560" priority="14">
      <formula>$M$296="1"</formula>
    </cfRule>
  </conditionalFormatting>
  <conditionalFormatting sqref="H341">
    <cfRule type="expression" dxfId="559" priority="11">
      <formula>$M$296="2"</formula>
    </cfRule>
    <cfRule type="expression" dxfId="558" priority="12">
      <formula>$M$296="1"</formula>
    </cfRule>
  </conditionalFormatting>
  <conditionalFormatting sqref="H343">
    <cfRule type="expression" dxfId="557" priority="9">
      <formula>$M$296="2"</formula>
    </cfRule>
    <cfRule type="expression" dxfId="556" priority="10">
      <formula>$M$296="1"</formula>
    </cfRule>
  </conditionalFormatting>
  <conditionalFormatting sqref="H369">
    <cfRule type="expression" dxfId="555" priority="7">
      <formula>$M$296="2"</formula>
    </cfRule>
    <cfRule type="expression" dxfId="554" priority="8">
      <formula>$M$296="1"</formula>
    </cfRule>
  </conditionalFormatting>
  <conditionalFormatting sqref="H212">
    <cfRule type="expression" dxfId="553" priority="5">
      <formula>$M$213="2"</formula>
    </cfRule>
    <cfRule type="expression" dxfId="552" priority="6">
      <formula>$M$213="1"</formula>
    </cfRule>
  </conditionalFormatting>
  <conditionalFormatting sqref="H243">
    <cfRule type="expression" dxfId="551" priority="3">
      <formula>$M$230="2"</formula>
    </cfRule>
    <cfRule type="expression" dxfId="550" priority="4">
      <formula>$M$230="1"</formula>
    </cfRule>
  </conditionalFormatting>
  <conditionalFormatting sqref="H245">
    <cfRule type="expression" dxfId="549" priority="1">
      <formula>$M$230="2"</formula>
    </cfRule>
    <cfRule type="expression" dxfId="548" priority="2">
      <formula>$M$230="1"</formula>
    </cfRule>
  </conditionalFormatting>
  <dataValidations count="58">
    <dataValidation type="custom" showInputMessage="1" showErrorMessage="1" errorTitle="RSAM" error="You cannot enter Name having '%' character." sqref="F10" xr:uid="{00000000-0002-0000-0000-000000000000}">
      <formula1>IF(ISERROR(FIND("%",$F$10,1)),FALSE,TRUE)=FALSE</formula1>
    </dataValidation>
    <dataValidation type="list" showInputMessage="1" showErrorMessage="1" errorTitle="RSAM" error="Select an appropriate value from the list." sqref="F18" xr:uid="{00000000-0002-0000-0000-000001000000}">
      <formula1>$B$32003:$B$32003</formula1>
    </dataValidation>
    <dataValidation type="list" showInputMessage="1" showErrorMessage="1" errorTitle="RSAM" error="Select an appropriate value from the list." sqref="F20" xr:uid="{00000000-0002-0000-0000-000002000000}">
      <formula1>$B$32004:$B$32004</formula1>
    </dataValidation>
    <dataValidation type="list" showInputMessage="1" showErrorMessage="1" errorTitle="RSAM" error="Select an appropriate value from the list." sqref="F22" xr:uid="{00000000-0002-0000-0000-000003000000}">
      <formula1>$B$32005:$B$32005</formula1>
    </dataValidation>
    <dataValidation type="list" showInputMessage="1" showErrorMessage="1" errorTitle="RSAM" error="Select an appropriate value from the list." sqref="F24" xr:uid="{00000000-0002-0000-0000-000004000000}">
      <formula1>$B$32006:$B$32006</formula1>
    </dataValidation>
    <dataValidation type="list" showInputMessage="1" showErrorMessage="1" errorTitle="RSAM" error="Select an appropriate value from the list." sqref="F26" xr:uid="{00000000-0002-0000-0000-000005000000}">
      <formula1>$B$32007:$B$32007</formula1>
    </dataValidation>
    <dataValidation type="list" showInputMessage="1" showErrorMessage="1" errorTitle="RSAM" error="Select an appropriate value from the list." sqref="F28" xr:uid="{00000000-0002-0000-0000-000006000000}">
      <formula1>$B$32008:$B$32008</formula1>
    </dataValidation>
    <dataValidation type="list" showInputMessage="1" showErrorMessage="1" errorTitle="RSAM" error="Select an appropriate value from the list." sqref="F30 F36" xr:uid="{00000000-0002-0000-0000-000007000000}">
      <formula1>$B$32009:$B$32009</formula1>
    </dataValidation>
    <dataValidation showInputMessage="1" showErrorMessage="1" errorTitle="RSAM" error="Select an appropriate value from the list." sqref="F34 F392 F394 F396 F398 F400 F402 F390 F218 F216 F212 F204 F202 F200 F192 F190 F188 F186 F184 F182 F180 F178 F174 F170 F168 H48 H50 F42 F44 F46 F60 F62 F64 F66 F68 H70 F70 F72 F74 F76 F78 F80 F82 F84 F86 F88 F90 F92 F94 F96 F98 F100 F102 F104 F106 F108 H108 H110 F130 H112 H114 F114 F112 F116 F118 F120 F122 F124 F126 F128 F40 F38 H116 H118 H120 H122 H124 H126 H128" xr:uid="{00000000-0002-0000-0000-000008000000}"/>
    <dataValidation type="list" showInputMessage="1" showErrorMessage="1" errorTitle="RSAM" error="Select an appropriate value from the list." sqref="F52 F48 F50" xr:uid="{00000000-0002-0000-0000-000009000000}">
      <formula1>$B$32029:$B$32029</formula1>
    </dataValidation>
    <dataValidation type="list" showInputMessage="1" showErrorMessage="1" errorTitle="RSAM" error="Select an appropriate value from the list." sqref="F54" xr:uid="{00000000-0002-0000-0000-00000A000000}">
      <formula1>$B$32030:$B$32030</formula1>
    </dataValidation>
    <dataValidation type="list" showInputMessage="1" showErrorMessage="1" errorTitle="RSAM" error="Select an appropriate value from the list." sqref="F56 F110" xr:uid="{00000000-0002-0000-0000-00000B000000}">
      <formula1>$B$32031:$B$32031</formula1>
    </dataValidation>
    <dataValidation type="list" showInputMessage="1" showErrorMessage="1" errorTitle="RSAM" error="Select an appropriate value from the list." sqref="F58" xr:uid="{00000000-0002-0000-0000-00000C000000}">
      <formula1>$B$32032:$B$32032</formula1>
    </dataValidation>
    <dataValidation type="list" showInputMessage="1" showErrorMessage="1" errorTitle="RSAM" error="Select an appropriate value from the list." sqref="F132" xr:uid="{00000000-0002-0000-0000-00000D000000}">
      <formula1>$B$32137:$B$32139</formula1>
    </dataValidation>
    <dataValidation type="list" showInputMessage="1" showErrorMessage="1" errorTitle="RSAM" error="Select an appropriate value from the list." sqref="F134" xr:uid="{00000000-0002-0000-0000-00000E000000}">
      <formula1>$B$32140:$B$32142</formula1>
    </dataValidation>
    <dataValidation type="list" showInputMessage="1" showErrorMessage="1" errorTitle="RSAM" error="Select an appropriate value from the list." sqref="F136 F138" xr:uid="{00000000-0002-0000-0000-00000F000000}">
      <formula1>$B$32143:$B$32145</formula1>
    </dataValidation>
    <dataValidation type="list" showInputMessage="1" showErrorMessage="1" errorTitle="RSAM" error="Select an appropriate value from the list." sqref="F140 F146 F144 F142" xr:uid="{00000000-0002-0000-0000-000010000000}">
      <formula1>$B$32149:$B$32151</formula1>
    </dataValidation>
    <dataValidation type="list" showInputMessage="1" showErrorMessage="1" errorTitle="RSAM" error="Select an appropriate value from the list." sqref="F152" xr:uid="{00000000-0002-0000-0000-000011000000}">
      <formula1>$B$32165:$B$32167</formula1>
    </dataValidation>
    <dataValidation type="list" showInputMessage="1" showErrorMessage="1" errorTitle="RSAM" error="Select an appropriate value from the list." sqref="F154" xr:uid="{00000000-0002-0000-0000-000012000000}">
      <formula1>$B$32168:$B$32170</formula1>
    </dataValidation>
    <dataValidation type="list" showInputMessage="1" showErrorMessage="1" errorTitle="RSAM" error="Select an appropriate value from the list." sqref="F156" xr:uid="{00000000-0002-0000-0000-000013000000}">
      <formula1>$B$32171:$B$32173</formula1>
    </dataValidation>
    <dataValidation type="list" showInputMessage="1" showErrorMessage="1" errorTitle="RSAM" error="Select an appropriate value from the list." sqref="F158" xr:uid="{00000000-0002-0000-0000-000014000000}">
      <formula1>$B$32174:$B$32175</formula1>
    </dataValidation>
    <dataValidation type="list" showInputMessage="1" showErrorMessage="1" errorTitle="RSAM" error="Select an appropriate value from the list." sqref="F160" xr:uid="{00000000-0002-0000-0000-000015000000}">
      <formula1>$B$32176:$B$32178</formula1>
    </dataValidation>
    <dataValidation type="list" showInputMessage="1" showErrorMessage="1" errorTitle="RSAM" error="Select an appropriate value from the list." sqref="F162" xr:uid="{00000000-0002-0000-0000-000016000000}">
      <formula1>$B$32179:$B$32181</formula1>
    </dataValidation>
    <dataValidation type="list" showInputMessage="1" showErrorMessage="1" errorTitle="RSAM" error="Select an appropriate value from the list." sqref="F164" xr:uid="{00000000-0002-0000-0000-000017000000}">
      <formula1>$B$32182:$B$32184</formula1>
    </dataValidation>
    <dataValidation type="list" showInputMessage="1" showErrorMessage="1" errorTitle="RSAM" error="Select an appropriate value from the list." sqref="F172" xr:uid="{00000000-0002-0000-0000-000018000000}">
      <formula1>$B$32193:$B$32195</formula1>
    </dataValidation>
    <dataValidation type="list" showInputMessage="1" showErrorMessage="1" errorTitle="RSAM" error="Select an appropriate value from the list." sqref="F176" xr:uid="{00000000-0002-0000-0000-000019000000}">
      <formula1>$B$32199:$B$32201</formula1>
    </dataValidation>
    <dataValidation type="list" showInputMessage="1" showErrorMessage="1" errorTitle="RSAM" error="Select an appropriate value from the list." sqref="F194 F150 F148 F166" xr:uid="{00000000-0002-0000-0000-00001A000000}">
      <formula1>$B$32226:$B$32227</formula1>
    </dataValidation>
    <dataValidation type="list" showInputMessage="1" showErrorMessage="1" errorTitle="RSAM" error="Select an appropriate value from the list." sqref="F196" xr:uid="{00000000-0002-0000-0000-00001B000000}">
      <formula1>$B$32228:$B$32230</formula1>
    </dataValidation>
    <dataValidation type="list" showInputMessage="1" showErrorMessage="1" errorTitle="RSAM" error="Select an appropriate value from the list." sqref="F198" xr:uid="{00000000-0002-0000-0000-00001C000000}">
      <formula1>$B$32231:$B$32232</formula1>
    </dataValidation>
    <dataValidation type="list" showInputMessage="1" showErrorMessage="1" errorTitle="RSAM" error="Select an appropriate value from the list." sqref="F206" xr:uid="{00000000-0002-0000-0000-00001D000000}">
      <formula1>$B$32242:$B$32244</formula1>
    </dataValidation>
    <dataValidation type="list" showInputMessage="1" showErrorMessage="1" errorTitle="RSAM" error="Select an appropriate value from the list." sqref="F208" xr:uid="{00000000-0002-0000-0000-00001E000000}">
      <formula1>$B$32245:$B$32247</formula1>
    </dataValidation>
    <dataValidation type="list" showInputMessage="1" showErrorMessage="1" errorTitle="RSAM" error="Select an appropriate value from the list." sqref="F210" xr:uid="{00000000-0002-0000-0000-00001F000000}">
      <formula1>$B$32248:$B$32250</formula1>
    </dataValidation>
    <dataValidation type="list" showInputMessage="1" showErrorMessage="1" errorTitle="RSAM" error="Select an appropriate value from the list." sqref="F214" xr:uid="{00000000-0002-0000-0000-000020000000}">
      <formula1>$B$32254:$B$32254</formula1>
    </dataValidation>
    <dataValidation type="list" showInputMessage="1" showErrorMessage="1" errorTitle="RSAM" error="Select an appropriate value from the list." sqref="F220" xr:uid="{00000000-0002-0000-0000-000021000000}">
      <formula1>$B$32261:$B$32261</formula1>
    </dataValidation>
    <dataValidation type="list" showInputMessage="1" showErrorMessage="1" errorTitle="RSAM" error="Select an appropriate value from the list." sqref="F222" xr:uid="{00000000-0002-0000-0000-000022000000}">
      <formula1>$B$32262:$B$32264</formula1>
    </dataValidation>
    <dataValidation type="list" showInputMessage="1" showErrorMessage="1" errorTitle="RSAM" error="Select an appropriate value from the list." sqref="F224" xr:uid="{00000000-0002-0000-0000-000023000000}">
      <formula1>$B$32265:$B$32267</formula1>
    </dataValidation>
    <dataValidation type="list" showInputMessage="1" showErrorMessage="1" errorTitle="RSAM" error="Select an appropriate value from the list." sqref="F227" xr:uid="{00000000-0002-0000-0000-000024000000}">
      <formula1>$B$32268:$B$32269</formula1>
    </dataValidation>
    <dataValidation type="list" showInputMessage="1" showErrorMessage="1" errorTitle="RSAM" error="Select an appropriate value from the list." sqref="F229" xr:uid="{00000000-0002-0000-0000-000025000000}">
      <formula1>$B$32270:$B$32271</formula1>
    </dataValidation>
    <dataValidation type="list" showInputMessage="1" showErrorMessage="1" errorTitle="RSAM" error="Select an appropriate value from the list." sqref="F231" xr:uid="{00000000-0002-0000-0000-000026000000}">
      <formula1>$B$32272:$B$32273</formula1>
    </dataValidation>
    <dataValidation type="list" showInputMessage="1" showErrorMessage="1" errorTitle="RSAM" error="Select an appropriate value from the list." sqref="F233" xr:uid="{00000000-0002-0000-0000-000027000000}">
      <formula1>$B$32274:$B$32275</formula1>
    </dataValidation>
    <dataValidation type="list" showInputMessage="1" showErrorMessage="1" errorTitle="RSAM" error="Select an appropriate value from the list." sqref="F235" xr:uid="{00000000-0002-0000-0000-000028000000}">
      <formula1>$B$32276:$B$32277</formula1>
    </dataValidation>
    <dataValidation type="list" showInputMessage="1" showErrorMessage="1" errorTitle="RSAM" error="Select an appropriate value from the list." sqref="F237" xr:uid="{00000000-0002-0000-0000-000029000000}">
      <formula1>$B$32278:$B$32279</formula1>
    </dataValidation>
    <dataValidation type="list" showInputMessage="1" showErrorMessage="1" errorTitle="RSAM" error="Select an appropriate value from the list." sqref="F239" xr:uid="{00000000-0002-0000-0000-00002A000000}">
      <formula1>$B$32280:$B$32281</formula1>
    </dataValidation>
    <dataValidation type="list" showInputMessage="1" showErrorMessage="1" errorTitle="RSAM" error="Select an appropriate value from the list." sqref="F247" xr:uid="{00000000-0002-0000-0000-00002B000000}">
      <formula1>$B$32292:$B$32293</formula1>
    </dataValidation>
    <dataValidation type="list" showInputMessage="1" showErrorMessage="1" errorTitle="RSAM" error="Select an appropriate value from the list." sqref="F249" xr:uid="{00000000-0002-0000-0000-00002C000000}">
      <formula1>$B$32294:$B$32295</formula1>
    </dataValidation>
    <dataValidation type="list" showInputMessage="1" showErrorMessage="1" errorTitle="RSAM" error="Select an appropriate value from the list." sqref="F251" xr:uid="{00000000-0002-0000-0000-00002D000000}">
      <formula1>$B$32296:$B$32297</formula1>
    </dataValidation>
    <dataValidation type="list" showInputMessage="1" showErrorMessage="1" errorTitle="RSAM" error="Select an appropriate value from the list." sqref="F297" xr:uid="{00000000-0002-0000-0000-00002E000000}">
      <formula1>$B$32364:$B$32365</formula1>
    </dataValidation>
    <dataValidation type="list" showInputMessage="1" showErrorMessage="1" errorTitle="RSAM" error="Select an appropriate value from the list." sqref="F299" xr:uid="{00000000-0002-0000-0000-00002F000000}">
      <formula1>$B$32366:$B$32367</formula1>
    </dataValidation>
    <dataValidation type="list" showInputMessage="1" showErrorMessage="1" errorTitle="RSAM" error="Select an appropriate value from the list." sqref="F381" xr:uid="{00000000-0002-0000-0000-000030000000}">
      <formula1>$B$32508:$B$32509</formula1>
    </dataValidation>
    <dataValidation type="list" showInputMessage="1" showErrorMessage="1" errorTitle="RSAM" error="Select an appropriate value from the list." sqref="F384" xr:uid="{00000000-0002-0000-0000-000031000000}">
      <formula1>$B$32510:$B$32511</formula1>
    </dataValidation>
    <dataValidation type="list" showInputMessage="1" showErrorMessage="1" errorTitle="RSAM" error="Select an appropriate value from the list." sqref="F386" xr:uid="{00000000-0002-0000-0000-000032000000}">
      <formula1>$B$32512:$B$32513</formula1>
    </dataValidation>
    <dataValidation type="list" showInputMessage="1" showErrorMessage="1" errorTitle="RSAM" error="Select an appropriate value from the list." sqref="F388" xr:uid="{00000000-0002-0000-0000-000033000000}">
      <formula1>$B$32514:$B$32515</formula1>
    </dataValidation>
    <dataValidation type="list" showInputMessage="1" showErrorMessage="1" errorTitle="RSAM" error="Select an appropriate value from the list." sqref="F404 F422 F420 F418 F416 F414 F412 F410 F408 F406" xr:uid="{00000000-0002-0000-0000-000034000000}">
      <formula1>$B$32537:$B$32539</formula1>
    </dataValidation>
    <dataValidation type="list" showInputMessage="1" showErrorMessage="1" errorTitle="RSAM" error="Select an appropriate value from the list." sqref="F424 F556 F554 F552 F550 F548 F546 F544 F542 F540 F538 F536 F534 F532 F530 F528 F526 F524 F522 F520 F516 F514 F510 F512 F504 F508 F506 F502 F500 F518 F498 F496 F494 F492 F490 F488 F486 F484 F482 F480 F478 F476 F474 F472 F470 F468 F466 F464 F462 F460 F458 F456 F454 F452 F450 F448 F446 F444 F442 F440 F438 F436 F434 F432 F430 F428 F426" xr:uid="{00000000-0002-0000-0000-000035000000}">
      <formula1>$B$32567:$B$32569</formula1>
    </dataValidation>
    <dataValidation type="list" showInputMessage="1" showErrorMessage="1" errorTitle="RSAM" error="Select an appropriate value from the list." sqref="F558" xr:uid="{00000000-0002-0000-0000-000036000000}">
      <formula1>$B$32768:$B$32769</formula1>
    </dataValidation>
    <dataValidation type="list" showInputMessage="1" showErrorMessage="1" errorTitle="RSAM" error="Select an appropriate value from the list." sqref="F597" xr:uid="{00000000-0002-0000-0000-000037000000}">
      <formula1>$B$32834:$B$32835</formula1>
    </dataValidation>
    <dataValidation type="list" showInputMessage="1" showErrorMessage="1" errorTitle="RSAM" error="Select an appropriate value from the list." sqref="F599" xr:uid="{00000000-0002-0000-0000-000038000000}">
      <formula1>$B$32836:$B$32837</formula1>
    </dataValidation>
    <dataValidation type="list" showInputMessage="1" showErrorMessage="1" errorTitle="RSAM" error="Select an appropriate value from the list." sqref="F623" xr:uid="{00000000-0002-0000-0000-000039000000}">
      <formula1>$B$32867:$B$32868</formula1>
    </dataValidation>
  </dataValidations>
  <printOptions gridLines="1"/>
  <pageMargins left="0.75" right="0.75" top="1" bottom="1" header="0.5" footer="0.5"/>
  <pageSetup orientation="portrait" r:id="rId1"/>
  <headerFooter>
    <oddHeader>&amp;C&amp;A</oddHeader>
    <oddFooter>&amp;CPage &amp;P</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42"/>
  <sheetViews>
    <sheetView tabSelected="1" zoomScaleNormal="100" workbookViewId="0">
      <selection activeCell="F34" sqref="F34:I34"/>
    </sheetView>
  </sheetViews>
  <sheetFormatPr defaultColWidth="9" defaultRowHeight="14.25" x14ac:dyDescent="0.25"/>
  <cols>
    <col min="1" max="1" width="2.140625" style="319" customWidth="1"/>
    <col min="2" max="2" width="39.28515625" style="312" customWidth="1"/>
    <col min="3" max="3" width="1.28515625" style="312" customWidth="1"/>
    <col min="4" max="4" width="48.42578125" style="312" customWidth="1"/>
    <col min="5" max="5" width="2.42578125" style="319" customWidth="1"/>
    <col min="6" max="6" width="8" style="319" customWidth="1"/>
    <col min="7" max="8" width="9" style="319"/>
    <col min="9" max="9" width="4.85546875" style="319" customWidth="1"/>
    <col min="10" max="19" width="9" style="319" customWidth="1"/>
    <col min="20" max="20" width="8.85546875" style="45"/>
    <col min="21" max="31" width="9" style="319"/>
    <col min="32" max="32" width="2.28515625" style="320" hidden="1" customWidth="1"/>
    <col min="33" max="16384" width="9" style="319"/>
  </cols>
  <sheetData>
    <row r="1" spans="1:32" ht="26.25" x14ac:dyDescent="0.25">
      <c r="A1" s="503"/>
      <c r="B1" s="488" t="s">
        <v>1001</v>
      </c>
      <c r="C1" s="489"/>
      <c r="D1" s="489"/>
      <c r="E1" s="490"/>
    </row>
    <row r="2" spans="1:32" s="294" customFormat="1" ht="17.25" x14ac:dyDescent="0.2">
      <c r="A2" s="503"/>
      <c r="B2" s="500" t="s">
        <v>1002</v>
      </c>
      <c r="C2" s="501"/>
      <c r="D2" s="501"/>
      <c r="E2" s="502"/>
      <c r="T2" s="321"/>
    </row>
    <row r="3" spans="1:32" ht="15" customHeight="1" x14ac:dyDescent="0.25">
      <c r="A3" s="503"/>
      <c r="B3" s="491"/>
      <c r="C3" s="492"/>
      <c r="D3" s="492"/>
      <c r="E3" s="493"/>
      <c r="F3" s="322"/>
    </row>
    <row r="4" spans="1:32" ht="28.5" x14ac:dyDescent="0.25">
      <c r="A4" s="503"/>
      <c r="B4" s="323" t="s">
        <v>5</v>
      </c>
      <c r="C4" s="295"/>
      <c r="D4" s="52" t="str">
        <f>D12&amp;" - "&amp;D14&amp;" - NYP General Assessment"</f>
        <v>PeriWatch Vigilance - 9181 - NYP General Assessment</v>
      </c>
      <c r="E4" s="324"/>
      <c r="F4" s="322"/>
    </row>
    <row r="5" spans="1:32" ht="15" thickBot="1" x14ac:dyDescent="0.3">
      <c r="A5" s="503"/>
      <c r="B5" s="494"/>
      <c r="C5" s="495"/>
      <c r="D5" s="495"/>
      <c r="E5" s="496"/>
      <c r="F5" s="322"/>
    </row>
    <row r="6" spans="1:32" ht="15.75" hidden="1" customHeight="1" thickBot="1" x14ac:dyDescent="0.3">
      <c r="A6" s="503"/>
      <c r="B6" s="325" t="s">
        <v>7</v>
      </c>
      <c r="C6" s="305"/>
      <c r="D6" s="305" t="s">
        <v>0</v>
      </c>
      <c r="E6" s="326"/>
    </row>
    <row r="7" spans="1:32" ht="6.4" hidden="1" customHeight="1" x14ac:dyDescent="0.25">
      <c r="A7" s="503"/>
      <c r="B7" s="497"/>
      <c r="C7" s="498"/>
      <c r="D7" s="498"/>
      <c r="E7" s="499"/>
    </row>
    <row r="8" spans="1:32" ht="15.75" hidden="1" customHeight="1" thickBot="1" x14ac:dyDescent="0.3">
      <c r="A8" s="503"/>
      <c r="B8" s="327" t="s">
        <v>5</v>
      </c>
      <c r="C8" s="306"/>
      <c r="D8" s="306"/>
      <c r="E8" s="328"/>
      <c r="F8" s="322"/>
    </row>
    <row r="9" spans="1:32" ht="6.4" hidden="1" customHeight="1" x14ac:dyDescent="0.25">
      <c r="A9" s="503"/>
      <c r="B9" s="497"/>
      <c r="C9" s="498"/>
      <c r="D9" s="498"/>
      <c r="E9" s="499"/>
    </row>
    <row r="10" spans="1:32" s="254" customFormat="1" ht="18" thickBot="1" x14ac:dyDescent="0.35">
      <c r="A10" s="503"/>
      <c r="B10" s="174" t="s">
        <v>7</v>
      </c>
      <c r="C10" s="329"/>
      <c r="D10" s="512" t="s">
        <v>8</v>
      </c>
      <c r="E10" s="513"/>
      <c r="AF10" s="330"/>
    </row>
    <row r="11" spans="1:32" ht="14.25" customHeight="1" thickBot="1" x14ac:dyDescent="0.3">
      <c r="A11" s="503"/>
      <c r="B11" s="504"/>
      <c r="C11" s="505"/>
      <c r="D11" s="505"/>
      <c r="E11" s="506"/>
    </row>
    <row r="12" spans="1:32" x14ac:dyDescent="0.25">
      <c r="A12" s="503"/>
      <c r="B12" s="205" t="s">
        <v>12</v>
      </c>
      <c r="C12" s="206"/>
      <c r="D12" s="307" t="s">
        <v>1874</v>
      </c>
      <c r="E12" s="331" t="s">
        <v>14</v>
      </c>
      <c r="F12" s="322"/>
      <c r="G12" s="322"/>
    </row>
    <row r="13" spans="1:32" x14ac:dyDescent="0.25">
      <c r="A13" s="503"/>
      <c r="B13" s="507"/>
      <c r="C13" s="508"/>
      <c r="D13" s="508"/>
      <c r="E13" s="509"/>
    </row>
    <row r="14" spans="1:32" x14ac:dyDescent="0.25">
      <c r="A14" s="503"/>
      <c r="B14" s="205" t="s">
        <v>18</v>
      </c>
      <c r="C14" s="206"/>
      <c r="D14" s="307">
        <v>9181</v>
      </c>
      <c r="E14" s="331" t="s">
        <v>14</v>
      </c>
      <c r="F14" s="322"/>
      <c r="G14" s="322"/>
    </row>
    <row r="15" spans="1:32" x14ac:dyDescent="0.25">
      <c r="A15" s="503"/>
      <c r="B15" s="507"/>
      <c r="C15" s="508"/>
      <c r="D15" s="508"/>
      <c r="E15" s="509"/>
    </row>
    <row r="16" spans="1:32" x14ac:dyDescent="0.25">
      <c r="A16" s="503"/>
      <c r="B16" s="203" t="s">
        <v>22</v>
      </c>
      <c r="C16" s="204"/>
      <c r="D16" s="308" t="s">
        <v>1004</v>
      </c>
      <c r="E16" s="332" t="s">
        <v>14</v>
      </c>
      <c r="F16" s="322"/>
      <c r="G16" s="322"/>
    </row>
    <row r="17" spans="1:32" x14ac:dyDescent="0.25">
      <c r="A17" s="503"/>
      <c r="B17" s="507"/>
      <c r="C17" s="508"/>
      <c r="D17" s="508"/>
      <c r="E17" s="509"/>
    </row>
    <row r="18" spans="1:32" x14ac:dyDescent="0.25">
      <c r="A18" s="503"/>
      <c r="B18" s="176" t="s">
        <v>25</v>
      </c>
      <c r="C18" s="54"/>
      <c r="D18" s="309" t="s">
        <v>1003</v>
      </c>
      <c r="E18" s="333" t="s">
        <v>14</v>
      </c>
      <c r="F18" s="322"/>
      <c r="G18" s="322"/>
    </row>
    <row r="19" spans="1:32" x14ac:dyDescent="0.25">
      <c r="A19" s="503"/>
      <c r="B19" s="507"/>
      <c r="C19" s="508"/>
      <c r="D19" s="508"/>
      <c r="E19" s="509"/>
    </row>
    <row r="20" spans="1:32" x14ac:dyDescent="0.25">
      <c r="A20" s="503"/>
      <c r="B20" s="175" t="s">
        <v>28</v>
      </c>
      <c r="C20" s="54"/>
      <c r="D20" s="310"/>
      <c r="E20" s="333" t="s">
        <v>14</v>
      </c>
      <c r="F20" s="322"/>
      <c r="G20" s="322"/>
    </row>
    <row r="21" spans="1:32" x14ac:dyDescent="0.25">
      <c r="A21" s="503"/>
      <c r="B21" s="507"/>
      <c r="C21" s="508"/>
      <c r="D21" s="508"/>
      <c r="E21" s="509"/>
    </row>
    <row r="22" spans="1:32" x14ac:dyDescent="0.25">
      <c r="A22" s="503"/>
      <c r="B22" s="175" t="s">
        <v>31</v>
      </c>
      <c r="C22" s="54"/>
      <c r="D22" s="55">
        <v>44531</v>
      </c>
      <c r="E22" s="333" t="s">
        <v>14</v>
      </c>
      <c r="F22" s="322"/>
      <c r="G22" s="322"/>
    </row>
    <row r="23" spans="1:32" x14ac:dyDescent="0.25">
      <c r="A23" s="503"/>
      <c r="B23" s="507"/>
      <c r="C23" s="508"/>
      <c r="D23" s="508"/>
      <c r="E23" s="509"/>
    </row>
    <row r="24" spans="1:32" x14ac:dyDescent="0.25">
      <c r="A24" s="503"/>
      <c r="B24" s="175" t="s">
        <v>34</v>
      </c>
      <c r="C24" s="54"/>
      <c r="D24" s="55"/>
      <c r="E24" s="333" t="s">
        <v>14</v>
      </c>
      <c r="F24" s="322"/>
      <c r="G24" s="322"/>
    </row>
    <row r="25" spans="1:32" x14ac:dyDescent="0.25">
      <c r="A25" s="503"/>
      <c r="B25" s="507"/>
      <c r="C25" s="508"/>
      <c r="D25" s="508"/>
      <c r="E25" s="509"/>
    </row>
    <row r="26" spans="1:32" ht="28.5" x14ac:dyDescent="0.25">
      <c r="A26" s="503"/>
      <c r="B26" s="175" t="s">
        <v>37</v>
      </c>
      <c r="C26" s="54"/>
      <c r="D26" s="55" t="s">
        <v>926</v>
      </c>
      <c r="E26" s="333" t="s">
        <v>14</v>
      </c>
      <c r="F26" s="322"/>
      <c r="G26" s="322"/>
    </row>
    <row r="27" spans="1:32" x14ac:dyDescent="0.25">
      <c r="A27" s="503"/>
      <c r="B27" s="507"/>
      <c r="C27" s="508"/>
      <c r="D27" s="508"/>
      <c r="E27" s="509"/>
    </row>
    <row r="28" spans="1:32" ht="28.5" x14ac:dyDescent="0.25">
      <c r="A28" s="503"/>
      <c r="B28" s="175" t="s">
        <v>40</v>
      </c>
      <c r="C28" s="54"/>
      <c r="D28" s="55" t="s">
        <v>924</v>
      </c>
      <c r="E28" s="333" t="s">
        <v>14</v>
      </c>
      <c r="F28" s="322"/>
      <c r="G28" s="322"/>
      <c r="AF28" s="319"/>
    </row>
    <row r="29" spans="1:32" x14ac:dyDescent="0.25">
      <c r="A29" s="503"/>
      <c r="B29" s="510"/>
      <c r="C29" s="511"/>
      <c r="D29" s="511"/>
      <c r="E29" s="334"/>
    </row>
    <row r="30" spans="1:32" ht="28.5" x14ac:dyDescent="0.25">
      <c r="A30" s="503"/>
      <c r="B30" s="175" t="s">
        <v>43</v>
      </c>
      <c r="C30" s="54"/>
      <c r="D30" s="55" t="s">
        <v>1869</v>
      </c>
      <c r="E30" s="333" t="s">
        <v>14</v>
      </c>
      <c r="F30" s="322"/>
      <c r="G30" s="322"/>
    </row>
    <row r="31" spans="1:32" x14ac:dyDescent="0.25">
      <c r="A31" s="503"/>
      <c r="B31" s="510"/>
      <c r="C31" s="511"/>
      <c r="D31" s="511"/>
      <c r="E31" s="334"/>
    </row>
    <row r="32" spans="1:32" x14ac:dyDescent="0.25">
      <c r="A32" s="503"/>
      <c r="B32" s="264" t="s">
        <v>1005</v>
      </c>
      <c r="C32" s="54"/>
      <c r="D32" s="469" t="s">
        <v>1870</v>
      </c>
      <c r="E32" s="334"/>
    </row>
    <row r="33" spans="1:32" x14ac:dyDescent="0.25">
      <c r="A33" s="503"/>
      <c r="B33" s="335"/>
      <c r="C33" s="311"/>
      <c r="D33" s="311"/>
      <c r="E33" s="334"/>
    </row>
    <row r="34" spans="1:32" ht="42.75" x14ac:dyDescent="0.25">
      <c r="A34" s="503"/>
      <c r="B34" s="175" t="s">
        <v>46</v>
      </c>
      <c r="C34" s="54"/>
      <c r="D34" s="55" t="s">
        <v>927</v>
      </c>
      <c r="E34" s="333" t="s">
        <v>14</v>
      </c>
      <c r="F34" s="854" t="s">
        <v>1918</v>
      </c>
      <c r="G34" s="855"/>
      <c r="H34" s="855"/>
      <c r="I34" s="855"/>
      <c r="AF34" s="320" t="str">
        <f>IF(D34="Select here to add attachment","1","")</f>
        <v>1</v>
      </c>
    </row>
    <row r="35" spans="1:32" ht="19.350000000000001" customHeight="1" x14ac:dyDescent="0.25">
      <c r="A35" s="503"/>
      <c r="B35" s="510"/>
      <c r="C35" s="511"/>
      <c r="D35" s="511"/>
      <c r="E35" s="334"/>
      <c r="F35" s="486" t="str">
        <f>IF(D36="Yes", "Comment","")</f>
        <v>Comment</v>
      </c>
      <c r="G35" s="486"/>
      <c r="H35" s="486"/>
      <c r="I35" s="486"/>
      <c r="J35" s="336"/>
      <c r="K35" s="336"/>
      <c r="L35" s="336"/>
      <c r="M35" s="336"/>
      <c r="N35" s="336"/>
      <c r="O35" s="336"/>
      <c r="P35" s="336"/>
      <c r="Q35" s="336"/>
      <c r="R35" s="336"/>
      <c r="S35" s="45"/>
    </row>
    <row r="36" spans="1:32" ht="183" customHeight="1" x14ac:dyDescent="0.25">
      <c r="A36" s="503"/>
      <c r="B36" s="175" t="s">
        <v>1006</v>
      </c>
      <c r="C36" s="54"/>
      <c r="D36" s="55" t="s">
        <v>930</v>
      </c>
      <c r="E36" s="856" t="s">
        <v>14</v>
      </c>
      <c r="F36" s="860" t="s">
        <v>1917</v>
      </c>
      <c r="G36" s="861"/>
      <c r="H36" s="861"/>
      <c r="I36" s="862"/>
      <c r="J36" s="337"/>
      <c r="K36" s="337"/>
      <c r="L36" s="337"/>
      <c r="M36" s="337"/>
      <c r="N36" s="337"/>
      <c r="O36" s="337"/>
      <c r="P36" s="337"/>
      <c r="Q36" s="337"/>
      <c r="R36" s="337"/>
      <c r="S36" s="338" t="str">
        <f>IF(C36="Yes", "1","")</f>
        <v/>
      </c>
      <c r="AF36" s="338" t="str">
        <f>IF(D36="Yes", "1","")</f>
        <v>1</v>
      </c>
    </row>
    <row r="37" spans="1:32" ht="11.1" customHeight="1" x14ac:dyDescent="0.25">
      <c r="A37" s="503"/>
      <c r="B37" s="510"/>
      <c r="C37" s="511"/>
      <c r="D37" s="511"/>
      <c r="E37" s="334"/>
    </row>
    <row r="38" spans="1:32" ht="57" x14ac:dyDescent="0.25">
      <c r="A38" s="503"/>
      <c r="B38" s="175" t="s">
        <v>1007</v>
      </c>
      <c r="C38" s="53"/>
      <c r="D38" s="51" t="s">
        <v>932</v>
      </c>
      <c r="E38" s="856" t="s">
        <v>14</v>
      </c>
      <c r="F38" s="857" t="s">
        <v>1915</v>
      </c>
      <c r="G38" s="508"/>
      <c r="H38" s="508"/>
      <c r="I38" s="858"/>
    </row>
    <row r="39" spans="1:32" ht="9.6" customHeight="1" x14ac:dyDescent="0.25">
      <c r="A39" s="503"/>
      <c r="B39" s="339"/>
      <c r="C39" s="54"/>
      <c r="D39" s="54"/>
      <c r="E39" s="334"/>
    </row>
    <row r="40" spans="1:32" ht="72" thickBot="1" x14ac:dyDescent="0.3">
      <c r="A40" s="503"/>
      <c r="B40" s="177" t="s">
        <v>1008</v>
      </c>
      <c r="C40" s="178"/>
      <c r="D40" s="179" t="s">
        <v>932</v>
      </c>
      <c r="E40" s="859" t="s">
        <v>14</v>
      </c>
      <c r="F40" s="857" t="s">
        <v>1916</v>
      </c>
      <c r="G40" s="508"/>
      <c r="H40" s="508"/>
      <c r="I40" s="858"/>
    </row>
    <row r="42" spans="1:32" ht="28.5" x14ac:dyDescent="0.25">
      <c r="B42" s="312" t="s">
        <v>331</v>
      </c>
    </row>
  </sheetData>
  <mergeCells count="26">
    <mergeCell ref="F38:I38"/>
    <mergeCell ref="F40:I40"/>
    <mergeCell ref="A1:A40"/>
    <mergeCell ref="B11:E11"/>
    <mergeCell ref="B13:E13"/>
    <mergeCell ref="B15:E15"/>
    <mergeCell ref="B17:E17"/>
    <mergeCell ref="B19:E19"/>
    <mergeCell ref="B21:E21"/>
    <mergeCell ref="B23:E23"/>
    <mergeCell ref="B25:E25"/>
    <mergeCell ref="B27:E27"/>
    <mergeCell ref="B37:D37"/>
    <mergeCell ref="D10:E10"/>
    <mergeCell ref="B29:D29"/>
    <mergeCell ref="B31:D31"/>
    <mergeCell ref="B35:D35"/>
    <mergeCell ref="F34:I34"/>
    <mergeCell ref="F35:I35"/>
    <mergeCell ref="F36:I36"/>
    <mergeCell ref="B1:E1"/>
    <mergeCell ref="B3:E3"/>
    <mergeCell ref="B5:E5"/>
    <mergeCell ref="B7:E7"/>
    <mergeCell ref="B9:E9"/>
    <mergeCell ref="B2:E2"/>
  </mergeCells>
  <conditionalFormatting sqref="F36">
    <cfRule type="expression" dxfId="547" priority="872">
      <formula>$AF$36="1"</formula>
    </cfRule>
  </conditionalFormatting>
  <conditionalFormatting sqref="F34:I34">
    <cfRule type="expression" dxfId="546" priority="874">
      <formula>$AF$34="1"</formula>
    </cfRule>
  </conditionalFormatting>
  <conditionalFormatting sqref="F35">
    <cfRule type="expression" dxfId="545" priority="1">
      <formula>$AF$36="1"</formula>
    </cfRule>
  </conditionalFormatting>
  <dataValidations count="1">
    <dataValidation type="custom" showInputMessage="1" showErrorMessage="1" errorTitle="RSAM" error="You cannot enter Name having '%' character." sqref="D4" xr:uid="{00000000-0002-0000-0100-000000000000}">
      <formula1>IF(ISERROR(FIND("%",#REF!,1)),FALSE,TRUE)=FALSE</formula1>
    </dataValidation>
  </dataValidations>
  <hyperlinks>
    <hyperlink ref="D32" r:id="rId1" xr:uid="{99E35C64-54ED-4772-B3AC-BE7F029C1845}"/>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4">
        <x14:dataValidation type="list" allowBlank="1" showErrorMessage="1" xr:uid="{00000000-0002-0000-0100-000001000000}">
          <x14:formula1>
            <xm:f>'Values-DoNotDelete'!$A$2:$A$3</xm:f>
          </x14:formula1>
          <xm:sqref>D28</xm:sqref>
        </x14:dataValidation>
        <x14:dataValidation type="list" allowBlank="1" showInputMessage="1" showErrorMessage="1" xr:uid="{00000000-0002-0000-0100-000002000000}">
          <x14:formula1>
            <xm:f>'Values-DoNotDelete'!$A$2:$A$3</xm:f>
          </x14:formula1>
          <xm:sqref>D26</xm:sqref>
        </x14:dataValidation>
        <x14:dataValidation type="list" allowBlank="1" showInputMessage="1" showErrorMessage="1" xr:uid="{00000000-0002-0000-0100-000003000000}">
          <x14:formula1>
            <xm:f>'Values-DoNotDelete'!$C$2:$C$3</xm:f>
          </x14:formula1>
          <xm:sqref>D34</xm:sqref>
        </x14:dataValidation>
        <x14:dataValidation type="list" allowBlank="1" showInputMessage="1" showErrorMessage="1" xr:uid="{00000000-0002-0000-0100-000004000000}">
          <x14:formula1>
            <xm:f>'Values-DoNotDelete'!$B$2:$B$3</xm:f>
          </x14:formula1>
          <xm:sqref>D36 D40 D38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3"/>
  <sheetViews>
    <sheetView zoomScaleNormal="100" workbookViewId="0">
      <selection activeCell="J7" sqref="J7"/>
    </sheetView>
  </sheetViews>
  <sheetFormatPr defaultColWidth="9" defaultRowHeight="14.25" x14ac:dyDescent="0.2"/>
  <cols>
    <col min="1" max="1" width="2" style="312" customWidth="1"/>
    <col min="2" max="2" width="57.85546875" style="312" customWidth="1"/>
    <col min="3" max="3" width="1.42578125" style="312" customWidth="1"/>
    <col min="4" max="4" width="30.85546875" style="312" customWidth="1"/>
    <col min="5" max="5" width="2.42578125" style="312" customWidth="1"/>
    <col min="6" max="16384" width="9" style="312"/>
  </cols>
  <sheetData>
    <row r="1" spans="1:20" ht="26.25" x14ac:dyDescent="0.2">
      <c r="A1" s="514"/>
      <c r="B1" s="488" t="s">
        <v>1009</v>
      </c>
      <c r="C1" s="489"/>
      <c r="D1" s="489"/>
      <c r="E1" s="490"/>
    </row>
    <row r="2" spans="1:20" s="294" customFormat="1" ht="17.25" x14ac:dyDescent="0.2">
      <c r="A2" s="514"/>
      <c r="B2" s="500" t="s">
        <v>1002</v>
      </c>
      <c r="C2" s="501"/>
      <c r="D2" s="501"/>
      <c r="E2" s="502"/>
      <c r="T2" s="321"/>
    </row>
    <row r="3" spans="1:20" s="340" customFormat="1" ht="18" thickBot="1" x14ac:dyDescent="0.25">
      <c r="A3" s="514"/>
      <c r="B3" s="29" t="s">
        <v>7</v>
      </c>
      <c r="C3" s="31"/>
      <c r="D3" s="518" t="s">
        <v>8</v>
      </c>
      <c r="E3" s="519"/>
    </row>
    <row r="4" spans="1:20" x14ac:dyDescent="0.2">
      <c r="A4" s="514"/>
      <c r="B4" s="520"/>
      <c r="C4" s="521"/>
      <c r="D4" s="521"/>
      <c r="E4" s="522"/>
      <c r="F4" s="341"/>
    </row>
    <row r="5" spans="1:20" ht="71.25" x14ac:dyDescent="0.2">
      <c r="A5" s="514"/>
      <c r="B5" s="176" t="s">
        <v>1010</v>
      </c>
      <c r="C5" s="195"/>
      <c r="D5" s="51" t="s">
        <v>932</v>
      </c>
      <c r="E5" s="342" t="s">
        <v>14</v>
      </c>
      <c r="F5" s="341"/>
    </row>
    <row r="6" spans="1:20" ht="15" thickBot="1" x14ac:dyDescent="0.25">
      <c r="A6" s="514"/>
      <c r="B6" s="523"/>
      <c r="C6" s="524"/>
      <c r="D6" s="524"/>
      <c r="E6" s="525"/>
      <c r="F6" s="341"/>
    </row>
    <row r="7" spans="1:20" ht="99.75" x14ac:dyDescent="0.2">
      <c r="A7" s="514"/>
      <c r="B7" s="196" t="s">
        <v>61</v>
      </c>
      <c r="C7" s="197"/>
      <c r="D7" s="52" t="s">
        <v>1871</v>
      </c>
      <c r="E7" s="343" t="s">
        <v>14</v>
      </c>
      <c r="G7" s="344"/>
      <c r="H7" s="344"/>
    </row>
    <row r="8" spans="1:20" ht="15" thickBot="1" x14ac:dyDescent="0.25">
      <c r="A8" s="514"/>
      <c r="B8" s="523"/>
      <c r="C8" s="524"/>
      <c r="D8" s="524"/>
      <c r="E8" s="525"/>
      <c r="F8" s="341"/>
    </row>
    <row r="9" spans="1:20" ht="57" x14ac:dyDescent="0.2">
      <c r="A9" s="514"/>
      <c r="B9" s="196" t="s">
        <v>64</v>
      </c>
      <c r="C9" s="197"/>
      <c r="D9" s="52" t="s">
        <v>1872</v>
      </c>
      <c r="E9" s="343" t="s">
        <v>14</v>
      </c>
      <c r="G9" s="344"/>
      <c r="H9" s="344"/>
    </row>
    <row r="10" spans="1:20" ht="15" thickBot="1" x14ac:dyDescent="0.25">
      <c r="A10" s="514"/>
      <c r="B10" s="515"/>
      <c r="C10" s="516"/>
      <c r="D10" s="516"/>
      <c r="E10" s="517"/>
    </row>
    <row r="11" spans="1:20" x14ac:dyDescent="0.2">
      <c r="G11" s="344"/>
      <c r="H11" s="344"/>
    </row>
    <row r="12" spans="1:20" x14ac:dyDescent="0.2">
      <c r="B12" s="295"/>
    </row>
    <row r="13" spans="1:20" x14ac:dyDescent="0.2">
      <c r="B13" s="295"/>
    </row>
  </sheetData>
  <mergeCells count="8">
    <mergeCell ref="A1:A10"/>
    <mergeCell ref="B10:E10"/>
    <mergeCell ref="B1:E1"/>
    <mergeCell ref="D3:E3"/>
    <mergeCell ref="B4:E4"/>
    <mergeCell ref="B8:E8"/>
    <mergeCell ref="B6:E6"/>
    <mergeCell ref="B2:E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'Values-DoNotDelete'!$B$2:$B$3</xm:f>
          </x14:formula1>
          <xm:sqref>D5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45"/>
  <sheetViews>
    <sheetView topLeftCell="C125" zoomScaleNormal="100" workbookViewId="0">
      <selection activeCell="H144" sqref="H144:J144"/>
    </sheetView>
  </sheetViews>
  <sheetFormatPr defaultColWidth="8.85546875" defaultRowHeight="17.25" x14ac:dyDescent="0.3"/>
  <cols>
    <col min="1" max="1" width="3.7109375" style="345" hidden="1" customWidth="1"/>
    <col min="2" max="2" width="4" style="381" hidden="1" customWidth="1"/>
    <col min="3" max="3" width="4" style="381" customWidth="1"/>
    <col min="4" max="4" width="33" style="345" customWidth="1"/>
    <col min="5" max="5" width="34.42578125" style="294" customWidth="1"/>
    <col min="6" max="6" width="53.28515625" style="255" customWidth="1"/>
    <col min="7" max="7" width="29.85546875" style="255" customWidth="1"/>
    <col min="8" max="8" width="3.7109375" style="255" customWidth="1"/>
    <col min="9" max="9" width="6.7109375" style="255" customWidth="1"/>
    <col min="10" max="10" width="43.85546875" style="345" customWidth="1"/>
    <col min="11" max="11" width="8.85546875" style="345"/>
    <col min="12" max="12" width="8.85546875" style="345" customWidth="1"/>
    <col min="13" max="31" width="8.85546875" style="345" hidden="1" customWidth="1"/>
    <col min="32" max="32" width="8.85546875" style="345" customWidth="1"/>
    <col min="33" max="33" width="8.85546875" style="330"/>
    <col min="34" max="34" width="16" style="345" customWidth="1"/>
    <col min="35" max="16384" width="8.85546875" style="345"/>
  </cols>
  <sheetData>
    <row r="1" spans="1:33" ht="26.25" customHeight="1" x14ac:dyDescent="0.3">
      <c r="A1" s="268"/>
      <c r="B1" s="269"/>
      <c r="C1" s="229"/>
      <c r="D1" s="488" t="s">
        <v>1011</v>
      </c>
      <c r="E1" s="489"/>
      <c r="F1" s="489"/>
      <c r="G1" s="489"/>
      <c r="H1" s="489"/>
      <c r="I1" s="489"/>
      <c r="J1" s="490"/>
    </row>
    <row r="2" spans="1:33" s="294" customFormat="1" ht="41.1" customHeight="1" x14ac:dyDescent="0.2">
      <c r="A2" s="288"/>
      <c r="B2" s="289"/>
      <c r="C2" s="290"/>
      <c r="D2" s="500" t="s">
        <v>1012</v>
      </c>
      <c r="E2" s="555"/>
      <c r="F2" s="555"/>
      <c r="G2" s="555"/>
      <c r="H2" s="555"/>
      <c r="I2" s="555"/>
      <c r="J2" s="557"/>
      <c r="AG2" s="346"/>
    </row>
    <row r="3" spans="1:33" ht="25.15" customHeight="1" x14ac:dyDescent="0.3">
      <c r="A3" s="261"/>
      <c r="B3" s="262"/>
      <c r="C3" s="229"/>
      <c r="D3" s="261"/>
      <c r="E3" s="262"/>
      <c r="F3" s="262"/>
      <c r="G3" s="262"/>
      <c r="H3" s="262"/>
      <c r="I3" s="262"/>
      <c r="J3" s="270"/>
    </row>
    <row r="4" spans="1:33" ht="25.15" customHeight="1" thickBot="1" x14ac:dyDescent="0.35">
      <c r="A4" s="616" t="s">
        <v>1013</v>
      </c>
      <c r="B4" s="618">
        <v>1.1000000000000001</v>
      </c>
      <c r="C4" s="628"/>
      <c r="D4" s="620" t="s">
        <v>1014</v>
      </c>
      <c r="E4" s="622" t="s">
        <v>1015</v>
      </c>
      <c r="F4" s="623"/>
      <c r="G4" s="313" t="s">
        <v>1873</v>
      </c>
      <c r="H4" s="347" t="s">
        <v>14</v>
      </c>
      <c r="I4" s="863" t="s">
        <v>1920</v>
      </c>
      <c r="J4" s="864"/>
    </row>
    <row r="5" spans="1:33" ht="25.15" customHeight="1" thickBot="1" x14ac:dyDescent="0.35">
      <c r="A5" s="616"/>
      <c r="B5" s="618"/>
      <c r="C5" s="628"/>
      <c r="D5" s="620"/>
      <c r="E5" s="624" t="s">
        <v>1016</v>
      </c>
      <c r="F5" s="625"/>
      <c r="G5" s="314" t="s">
        <v>1874</v>
      </c>
      <c r="H5" s="348" t="s">
        <v>14</v>
      </c>
      <c r="I5" s="863"/>
      <c r="J5" s="864"/>
    </row>
    <row r="6" spans="1:33" ht="25.15" customHeight="1" thickBot="1" x14ac:dyDescent="0.35">
      <c r="A6" s="616"/>
      <c r="B6" s="618"/>
      <c r="C6" s="628"/>
      <c r="D6" s="620"/>
      <c r="E6" s="624" t="s">
        <v>1017</v>
      </c>
      <c r="F6" s="625"/>
      <c r="G6" s="314" t="s">
        <v>1874</v>
      </c>
      <c r="H6" s="348" t="s">
        <v>14</v>
      </c>
      <c r="I6" s="863"/>
      <c r="J6" s="864"/>
    </row>
    <row r="7" spans="1:33" ht="25.15" customHeight="1" thickBot="1" x14ac:dyDescent="0.35">
      <c r="A7" s="616"/>
      <c r="B7" s="618"/>
      <c r="C7" s="628"/>
      <c r="D7" s="620"/>
      <c r="E7" s="624" t="s">
        <v>1018</v>
      </c>
      <c r="F7" s="625"/>
      <c r="G7" s="314">
        <v>2021.1</v>
      </c>
      <c r="H7" s="348" t="s">
        <v>14</v>
      </c>
      <c r="I7" s="863"/>
      <c r="J7" s="864"/>
    </row>
    <row r="8" spans="1:33" ht="25.15" customHeight="1" thickBot="1" x14ac:dyDescent="0.35">
      <c r="A8" s="616"/>
      <c r="B8" s="618"/>
      <c r="C8" s="628"/>
      <c r="D8" s="620"/>
      <c r="E8" s="624" t="s">
        <v>1019</v>
      </c>
      <c r="F8" s="625"/>
      <c r="G8" s="314" t="s">
        <v>1875</v>
      </c>
      <c r="H8" s="348" t="s">
        <v>14</v>
      </c>
      <c r="I8" s="863"/>
      <c r="J8" s="864"/>
    </row>
    <row r="9" spans="1:33" ht="25.15" customHeight="1" thickBot="1" x14ac:dyDescent="0.35">
      <c r="A9" s="616"/>
      <c r="B9" s="619"/>
      <c r="C9" s="628"/>
      <c r="D9" s="621"/>
      <c r="E9" s="614" t="s">
        <v>1020</v>
      </c>
      <c r="F9" s="615"/>
      <c r="G9" s="315" t="s">
        <v>1876</v>
      </c>
      <c r="H9" s="349" t="s">
        <v>14</v>
      </c>
      <c r="I9" s="865"/>
      <c r="J9" s="866"/>
    </row>
    <row r="10" spans="1:33" ht="25.15" customHeight="1" thickBot="1" x14ac:dyDescent="0.35">
      <c r="A10" s="616"/>
      <c r="B10" s="261"/>
      <c r="C10" s="229"/>
      <c r="D10" s="564" t="s">
        <v>1021</v>
      </c>
      <c r="E10" s="565"/>
      <c r="F10" s="565"/>
      <c r="G10" s="565"/>
      <c r="H10" s="565"/>
      <c r="I10" s="565"/>
      <c r="J10" s="566"/>
    </row>
    <row r="11" spans="1:33" ht="101.25" customHeight="1" thickBot="1" x14ac:dyDescent="0.35">
      <c r="A11" s="616"/>
      <c r="B11" s="244">
        <v>1.2</v>
      </c>
      <c r="C11" s="629"/>
      <c r="D11" s="574"/>
      <c r="E11" s="350" t="s">
        <v>1022</v>
      </c>
      <c r="F11" s="292" t="s">
        <v>348</v>
      </c>
      <c r="G11" s="252" t="s">
        <v>930</v>
      </c>
      <c r="H11" s="348" t="s">
        <v>14</v>
      </c>
      <c r="I11" s="610"/>
      <c r="J11" s="611"/>
    </row>
    <row r="12" spans="1:33" ht="60.75" customHeight="1" thickBot="1" x14ac:dyDescent="0.35">
      <c r="A12" s="616"/>
      <c r="B12" s="244">
        <v>1.3</v>
      </c>
      <c r="C12" s="629"/>
      <c r="D12" s="583"/>
      <c r="E12" s="351" t="s">
        <v>1023</v>
      </c>
      <c r="F12" s="263" t="s">
        <v>351</v>
      </c>
      <c r="G12" s="257" t="s">
        <v>943</v>
      </c>
      <c r="H12" s="349" t="s">
        <v>14</v>
      </c>
      <c r="I12" s="612"/>
      <c r="J12" s="613"/>
    </row>
    <row r="13" spans="1:33" ht="21" customHeight="1" x14ac:dyDescent="0.3">
      <c r="A13" s="616"/>
      <c r="B13" s="244"/>
      <c r="C13" s="618"/>
      <c r="D13" s="352"/>
      <c r="E13" s="316"/>
      <c r="F13" s="316"/>
      <c r="G13" s="316"/>
      <c r="H13" s="316"/>
      <c r="I13" s="526" t="str">
        <f>IF(G14="No", "Please Explain","")</f>
        <v/>
      </c>
      <c r="J13" s="526"/>
      <c r="K13" s="353"/>
      <c r="L13" s="353"/>
    </row>
    <row r="14" spans="1:33" ht="48.75" customHeight="1" x14ac:dyDescent="0.3">
      <c r="A14" s="616"/>
      <c r="B14" s="244">
        <v>1.4</v>
      </c>
      <c r="C14" s="618"/>
      <c r="D14" s="626" t="s">
        <v>1024</v>
      </c>
      <c r="E14" s="350" t="s">
        <v>1025</v>
      </c>
      <c r="F14" s="292" t="s">
        <v>1026</v>
      </c>
      <c r="G14" s="252" t="s">
        <v>930</v>
      </c>
      <c r="H14" s="354" t="s">
        <v>14</v>
      </c>
      <c r="I14" s="549"/>
      <c r="J14" s="549"/>
      <c r="K14" s="353"/>
      <c r="L14" s="353"/>
      <c r="AG14" s="330" t="str">
        <f>IF(G14="No","1","")</f>
        <v/>
      </c>
    </row>
    <row r="15" spans="1:33" ht="75" customHeight="1" thickBot="1" x14ac:dyDescent="0.35">
      <c r="A15" s="617"/>
      <c r="B15" s="244">
        <v>1.5</v>
      </c>
      <c r="C15" s="618"/>
      <c r="D15" s="627"/>
      <c r="E15" s="355" t="s">
        <v>1027</v>
      </c>
      <c r="F15" s="356" t="s">
        <v>357</v>
      </c>
      <c r="G15" s="253" t="s">
        <v>927</v>
      </c>
      <c r="H15" s="347" t="s">
        <v>14</v>
      </c>
      <c r="I15" s="849" t="s">
        <v>1919</v>
      </c>
      <c r="J15" s="849"/>
      <c r="AG15" s="330" t="str">
        <f>IF(G15="Select here to add attachment","1","")</f>
        <v>1</v>
      </c>
    </row>
    <row r="16" spans="1:33" ht="38.25" customHeight="1" thickBot="1" x14ac:dyDescent="0.35">
      <c r="A16" s="357"/>
      <c r="B16" s="358"/>
      <c r="C16" s="231"/>
      <c r="D16" s="561" t="s">
        <v>1028</v>
      </c>
      <c r="E16" s="562"/>
      <c r="F16" s="562"/>
      <c r="G16" s="562"/>
      <c r="H16" s="562"/>
      <c r="I16" s="562"/>
      <c r="J16" s="563"/>
    </row>
    <row r="17" spans="1:33" ht="25.15" customHeight="1" x14ac:dyDescent="0.3">
      <c r="A17" s="551" t="s">
        <v>1029</v>
      </c>
      <c r="B17" s="359">
        <v>2.1</v>
      </c>
      <c r="C17" s="637"/>
      <c r="D17" s="575" t="s">
        <v>1028</v>
      </c>
      <c r="E17" s="635" t="s">
        <v>154</v>
      </c>
      <c r="F17" s="636"/>
      <c r="G17" s="313" t="s">
        <v>1877</v>
      </c>
      <c r="H17" s="246" t="s">
        <v>14</v>
      </c>
      <c r="I17" s="500"/>
      <c r="J17" s="557"/>
    </row>
    <row r="18" spans="1:33" ht="25.15" customHeight="1" thickBot="1" x14ac:dyDescent="0.35">
      <c r="A18" s="552"/>
      <c r="B18" s="359">
        <v>2.2000000000000002</v>
      </c>
      <c r="C18" s="637"/>
      <c r="D18" s="583"/>
      <c r="E18" s="602" t="s">
        <v>363</v>
      </c>
      <c r="F18" s="603"/>
      <c r="G18" s="317" t="s">
        <v>1878</v>
      </c>
      <c r="H18" s="246" t="s">
        <v>14</v>
      </c>
      <c r="I18" s="630"/>
      <c r="J18" s="631"/>
    </row>
    <row r="19" spans="1:33" ht="25.15" customHeight="1" thickBot="1" x14ac:dyDescent="0.35">
      <c r="A19" s="552"/>
      <c r="B19" s="360"/>
      <c r="C19" s="229"/>
      <c r="D19" s="561" t="s">
        <v>1030</v>
      </c>
      <c r="E19" s="562"/>
      <c r="F19" s="562"/>
      <c r="G19" s="562"/>
      <c r="H19" s="562"/>
      <c r="I19" s="562"/>
      <c r="J19" s="563"/>
    </row>
    <row r="20" spans="1:33" ht="17.100000000000001" customHeight="1" x14ac:dyDescent="0.3">
      <c r="A20" s="552"/>
      <c r="B20" s="361"/>
      <c r="C20" s="609"/>
      <c r="D20" s="604"/>
      <c r="E20" s="605"/>
      <c r="F20" s="606"/>
      <c r="G20" s="606"/>
      <c r="H20" s="606"/>
      <c r="I20" s="538" t="str">
        <f>IF(G21="No", "Please Explain","") &amp; IF(G21="N/A", "Comments","")</f>
        <v>Comments</v>
      </c>
      <c r="J20" s="539"/>
      <c r="K20" s="353"/>
      <c r="L20" s="353"/>
    </row>
    <row r="21" spans="1:33" x14ac:dyDescent="0.3">
      <c r="A21" s="552"/>
      <c r="B21" s="243">
        <v>2.2999999999999998</v>
      </c>
      <c r="C21" s="609"/>
      <c r="D21" s="632" t="s">
        <v>1031</v>
      </c>
      <c r="E21" s="607" t="s">
        <v>1032</v>
      </c>
      <c r="F21" s="273" t="s">
        <v>366</v>
      </c>
      <c r="G21" s="252" t="s">
        <v>929</v>
      </c>
      <c r="H21" s="272" t="s">
        <v>14</v>
      </c>
      <c r="I21" s="549" t="s">
        <v>1879</v>
      </c>
      <c r="J21" s="550"/>
      <c r="K21" s="353"/>
      <c r="L21" s="353"/>
      <c r="AG21" s="330" t="str">
        <f>IF(G21="No","1","")  &amp; IF(G21="N/A", "2","")</f>
        <v>2</v>
      </c>
    </row>
    <row r="22" spans="1:33" x14ac:dyDescent="0.3">
      <c r="A22" s="552"/>
      <c r="B22" s="243"/>
      <c r="C22" s="609"/>
      <c r="D22" s="632"/>
      <c r="E22" s="608"/>
      <c r="F22" s="318"/>
      <c r="G22" s="318"/>
      <c r="H22" s="318"/>
      <c r="I22" s="526" t="str">
        <f>IF(G23="No", "Please Explain","") &amp; IF(G23="N/A", "Comments","")</f>
        <v>Comments</v>
      </c>
      <c r="J22" s="527"/>
      <c r="K22" s="353"/>
      <c r="L22" s="353"/>
    </row>
    <row r="23" spans="1:33" ht="17.25" customHeight="1" x14ac:dyDescent="0.3">
      <c r="A23" s="552"/>
      <c r="B23" s="243">
        <v>2.4</v>
      </c>
      <c r="C23" s="609"/>
      <c r="D23" s="632"/>
      <c r="E23" s="608"/>
      <c r="F23" s="362" t="s">
        <v>369</v>
      </c>
      <c r="G23" s="252" t="s">
        <v>929</v>
      </c>
      <c r="H23" s="246" t="s">
        <v>14</v>
      </c>
      <c r="I23" s="549" t="s">
        <v>1879</v>
      </c>
      <c r="J23" s="550"/>
      <c r="K23" s="353"/>
      <c r="L23" s="353"/>
      <c r="AG23" s="330" t="str">
        <f>IF(G23="No","1","")  &amp; IF(G23="N/A", "2","")</f>
        <v>2</v>
      </c>
    </row>
    <row r="24" spans="1:33" x14ac:dyDescent="0.3">
      <c r="A24" s="552"/>
      <c r="B24" s="243"/>
      <c r="C24" s="609"/>
      <c r="D24" s="632"/>
      <c r="E24" s="608"/>
      <c r="F24" s="318"/>
      <c r="G24" s="318"/>
      <c r="H24" s="318"/>
      <c r="I24" s="526" t="str">
        <f>IF(G25="No", "Please Explain","") &amp; IF(G25="N/A", "Comments","")</f>
        <v>Comments</v>
      </c>
      <c r="J24" s="527"/>
      <c r="K24" s="353"/>
      <c r="L24" s="353"/>
    </row>
    <row r="25" spans="1:33" ht="25.15" customHeight="1" x14ac:dyDescent="0.3">
      <c r="A25" s="552"/>
      <c r="B25" s="243">
        <v>2.4</v>
      </c>
      <c r="C25" s="609"/>
      <c r="D25" s="529"/>
      <c r="E25" s="607" t="s">
        <v>1033</v>
      </c>
      <c r="F25" s="245" t="s">
        <v>1034</v>
      </c>
      <c r="G25" s="252" t="s">
        <v>929</v>
      </c>
      <c r="H25" s="246" t="s">
        <v>14</v>
      </c>
      <c r="I25" s="549" t="s">
        <v>1879</v>
      </c>
      <c r="J25" s="550"/>
      <c r="K25" s="353"/>
      <c r="L25" s="353"/>
      <c r="AG25" s="330" t="str">
        <f>IF(G25="No","1","")  &amp; IF(G25="N/A", "2","")</f>
        <v>2</v>
      </c>
    </row>
    <row r="26" spans="1:33" ht="19.350000000000001" customHeight="1" x14ac:dyDescent="0.3">
      <c r="A26" s="552"/>
      <c r="B26" s="243"/>
      <c r="C26" s="609"/>
      <c r="D26" s="529"/>
      <c r="E26" s="608"/>
      <c r="F26" s="530"/>
      <c r="G26" s="530"/>
      <c r="H26" s="530"/>
      <c r="I26" s="526" t="str">
        <f>IF(G27="No", "Please Explain","") &amp; IF(G27="N/A", "Comments","")</f>
        <v>Comments</v>
      </c>
      <c r="J26" s="527"/>
      <c r="K26" s="353"/>
      <c r="L26" s="353"/>
    </row>
    <row r="27" spans="1:33" ht="17.100000000000001" customHeight="1" x14ac:dyDescent="0.3">
      <c r="A27" s="552"/>
      <c r="B27" s="243">
        <v>2.5</v>
      </c>
      <c r="C27" s="609"/>
      <c r="D27" s="529"/>
      <c r="E27" s="608"/>
      <c r="F27" s="363" t="s">
        <v>375</v>
      </c>
      <c r="G27" s="252" t="s">
        <v>929</v>
      </c>
      <c r="H27" s="246" t="s">
        <v>14</v>
      </c>
      <c r="I27" s="549" t="s">
        <v>1879</v>
      </c>
      <c r="J27" s="550"/>
      <c r="K27" s="353"/>
      <c r="L27" s="353"/>
      <c r="AG27" s="330" t="str">
        <f>IF(G27="No","1","")  &amp; IF(G27="N/A", "2","")</f>
        <v>2</v>
      </c>
    </row>
    <row r="28" spans="1:33" x14ac:dyDescent="0.3">
      <c r="A28" s="552"/>
      <c r="B28" s="243"/>
      <c r="C28" s="609"/>
      <c r="D28" s="529"/>
      <c r="E28" s="608"/>
      <c r="F28" s="555"/>
      <c r="G28" s="555"/>
      <c r="H28" s="555"/>
      <c r="I28" s="526" t="str">
        <f>IF(G29="No", "Please Explain","") &amp; IF(G29="N/A", "Comments","")</f>
        <v>Comments</v>
      </c>
      <c r="J28" s="527"/>
      <c r="K28" s="353"/>
      <c r="L28" s="353"/>
    </row>
    <row r="29" spans="1:33" ht="25.15" customHeight="1" x14ac:dyDescent="0.3">
      <c r="A29" s="552"/>
      <c r="B29" s="243">
        <v>2.6</v>
      </c>
      <c r="C29" s="609"/>
      <c r="D29" s="529"/>
      <c r="E29" s="608"/>
      <c r="F29" s="273" t="s">
        <v>378</v>
      </c>
      <c r="G29" s="252" t="s">
        <v>929</v>
      </c>
      <c r="H29" s="246" t="s">
        <v>14</v>
      </c>
      <c r="I29" s="549" t="s">
        <v>1879</v>
      </c>
      <c r="J29" s="550"/>
      <c r="K29" s="353"/>
      <c r="L29" s="353"/>
      <c r="AG29" s="330" t="str">
        <f>IF(G29="No","1","")  &amp; IF(G29="N/A", "2","")</f>
        <v>2</v>
      </c>
    </row>
    <row r="30" spans="1:33" x14ac:dyDescent="0.3">
      <c r="A30" s="552"/>
      <c r="B30" s="243"/>
      <c r="C30" s="609"/>
      <c r="D30" s="529"/>
      <c r="E30" s="608"/>
      <c r="F30" s="555"/>
      <c r="G30" s="555"/>
      <c r="H30" s="555"/>
      <c r="I30" s="526" t="str">
        <f>IF(G31="No", "Please Explain","") &amp; IF(G31="N/A", "Comments","")</f>
        <v>Comments</v>
      </c>
      <c r="J30" s="527"/>
      <c r="K30" s="353"/>
      <c r="L30" s="353"/>
    </row>
    <row r="31" spans="1:33" ht="25.15" customHeight="1" x14ac:dyDescent="0.3">
      <c r="A31" s="552"/>
      <c r="B31" s="243">
        <v>2.7</v>
      </c>
      <c r="C31" s="609"/>
      <c r="D31" s="529"/>
      <c r="E31" s="608"/>
      <c r="F31" s="273" t="s">
        <v>381</v>
      </c>
      <c r="G31" s="252" t="s">
        <v>929</v>
      </c>
      <c r="H31" s="246" t="s">
        <v>14</v>
      </c>
      <c r="I31" s="549" t="s">
        <v>1879</v>
      </c>
      <c r="J31" s="550"/>
      <c r="K31" s="353"/>
      <c r="L31" s="353"/>
      <c r="AG31" s="330" t="str">
        <f>IF(G31="No","1","")  &amp; IF(G31="N/A", "2","")</f>
        <v>2</v>
      </c>
    </row>
    <row r="32" spans="1:33" x14ac:dyDescent="0.3">
      <c r="A32" s="552"/>
      <c r="B32" s="243"/>
      <c r="C32" s="609"/>
      <c r="D32" s="529"/>
      <c r="E32" s="608"/>
      <c r="F32" s="555"/>
      <c r="G32" s="555"/>
      <c r="H32" s="555"/>
      <c r="I32" s="526" t="str">
        <f>IF(G33="No", "Please Explain","") &amp; IF(G33="N/A", "Comments","")</f>
        <v>Comments</v>
      </c>
      <c r="J32" s="527"/>
      <c r="K32" s="353"/>
      <c r="L32" s="353"/>
    </row>
    <row r="33" spans="1:33" ht="34.5" customHeight="1" x14ac:dyDescent="0.3">
      <c r="A33" s="552"/>
      <c r="B33" s="243">
        <v>2.8</v>
      </c>
      <c r="C33" s="609"/>
      <c r="D33" s="529"/>
      <c r="E33" s="608"/>
      <c r="F33" s="273" t="s">
        <v>384</v>
      </c>
      <c r="G33" s="252" t="s">
        <v>929</v>
      </c>
      <c r="H33" s="246" t="s">
        <v>14</v>
      </c>
      <c r="I33" s="549" t="s">
        <v>1879</v>
      </c>
      <c r="J33" s="550"/>
      <c r="K33" s="353"/>
      <c r="L33" s="353"/>
      <c r="AG33" s="330" t="str">
        <f>IF(G33="No","1","")  &amp; IF(G33="N/A", "2","")</f>
        <v>2</v>
      </c>
    </row>
    <row r="34" spans="1:33" x14ac:dyDescent="0.3">
      <c r="A34" s="552"/>
      <c r="B34" s="243"/>
      <c r="C34" s="609"/>
      <c r="D34" s="529"/>
      <c r="E34" s="609"/>
      <c r="F34" s="501"/>
      <c r="G34" s="501"/>
      <c r="H34" s="501"/>
      <c r="I34" s="526" t="str">
        <f>IF(G35="No", "Please Explain","") &amp; IF(G35="N/A", "Comments","")</f>
        <v>Comments</v>
      </c>
      <c r="J34" s="527"/>
      <c r="K34" s="353"/>
      <c r="L34" s="353"/>
    </row>
    <row r="35" spans="1:33" ht="37.15" customHeight="1" x14ac:dyDescent="0.3">
      <c r="A35" s="552"/>
      <c r="B35" s="243">
        <v>2.9</v>
      </c>
      <c r="C35" s="609"/>
      <c r="D35" s="529"/>
      <c r="E35" s="638" t="s">
        <v>387</v>
      </c>
      <c r="F35" s="639"/>
      <c r="G35" s="252" t="s">
        <v>929</v>
      </c>
      <c r="H35" s="246" t="s">
        <v>14</v>
      </c>
      <c r="I35" s="549" t="s">
        <v>1879</v>
      </c>
      <c r="J35" s="550"/>
      <c r="K35" s="353"/>
      <c r="L35" s="353"/>
      <c r="AG35" s="330" t="str">
        <f>IF(G35="No","1","")  &amp; IF(G35="N/A", "2","")</f>
        <v>2</v>
      </c>
    </row>
    <row r="36" spans="1:33" x14ac:dyDescent="0.3">
      <c r="A36" s="552"/>
      <c r="B36" s="243"/>
      <c r="C36" s="609"/>
      <c r="D36" s="529"/>
      <c r="E36" s="554"/>
      <c r="F36" s="555"/>
      <c r="G36" s="555"/>
      <c r="H36" s="555"/>
      <c r="I36" s="526" t="str">
        <f>IF(G37="No", "Please Explain","") &amp; IF(G37="N/A", "Comments","")</f>
        <v>Comments</v>
      </c>
      <c r="J36" s="527"/>
      <c r="K36" s="353"/>
      <c r="L36" s="353"/>
    </row>
    <row r="37" spans="1:33" ht="59.25" customHeight="1" thickBot="1" x14ac:dyDescent="0.35">
      <c r="A37" s="582"/>
      <c r="B37" s="244">
        <v>2.1</v>
      </c>
      <c r="C37" s="609"/>
      <c r="D37" s="581"/>
      <c r="E37" s="602" t="s">
        <v>390</v>
      </c>
      <c r="F37" s="603"/>
      <c r="G37" s="257" t="s">
        <v>929</v>
      </c>
      <c r="H37" s="246" t="s">
        <v>14</v>
      </c>
      <c r="I37" s="547" t="s">
        <v>1880</v>
      </c>
      <c r="J37" s="548"/>
      <c r="K37" s="353"/>
      <c r="L37" s="353"/>
      <c r="AG37" s="330" t="str">
        <f>IF(G37="No","1","")  &amp; IF(G37="N/A", "2","")</f>
        <v>2</v>
      </c>
    </row>
    <row r="38" spans="1:33" ht="25.15" customHeight="1" thickBot="1" x14ac:dyDescent="0.35">
      <c r="A38" s="360"/>
      <c r="B38" s="262"/>
      <c r="C38" s="229"/>
      <c r="D38" s="561" t="s">
        <v>1035</v>
      </c>
      <c r="E38" s="562"/>
      <c r="F38" s="562"/>
      <c r="G38" s="562"/>
      <c r="H38" s="562"/>
      <c r="I38" s="562"/>
      <c r="J38" s="563"/>
    </row>
    <row r="39" spans="1:33" x14ac:dyDescent="0.3">
      <c r="A39" s="364"/>
      <c r="B39" s="365"/>
      <c r="C39" s="501"/>
      <c r="D39" s="633"/>
      <c r="E39" s="501"/>
      <c r="F39" s="501"/>
      <c r="G39" s="501"/>
      <c r="H39" s="634"/>
      <c r="I39" s="526" t="str">
        <f>IF(G40="No", "Please Explain","")</f>
        <v>Please Explain</v>
      </c>
      <c r="J39" s="527"/>
      <c r="K39" s="353"/>
      <c r="L39" s="353"/>
    </row>
    <row r="40" spans="1:33" ht="54" customHeight="1" x14ac:dyDescent="0.3">
      <c r="A40" s="551" t="s">
        <v>1036</v>
      </c>
      <c r="B40" s="243">
        <v>3.1</v>
      </c>
      <c r="C40" s="501"/>
      <c r="D40" s="597" t="s">
        <v>1037</v>
      </c>
      <c r="E40" s="558" t="s">
        <v>1038</v>
      </c>
      <c r="F40" s="292" t="s">
        <v>393</v>
      </c>
      <c r="G40" s="252" t="s">
        <v>932</v>
      </c>
      <c r="H40" s="246" t="s">
        <v>14</v>
      </c>
      <c r="I40" s="549" t="s">
        <v>1881</v>
      </c>
      <c r="J40" s="550"/>
      <c r="K40" s="353"/>
      <c r="L40" s="353"/>
      <c r="AG40" s="330" t="str">
        <f>IF(G40="No","1","")</f>
        <v>1</v>
      </c>
    </row>
    <row r="41" spans="1:33" x14ac:dyDescent="0.3">
      <c r="A41" s="552"/>
      <c r="B41" s="243"/>
      <c r="C41" s="501"/>
      <c r="D41" s="575"/>
      <c r="E41" s="559"/>
      <c r="F41" s="554"/>
      <c r="G41" s="555"/>
      <c r="H41" s="556"/>
      <c r="I41" s="526" t="str">
        <f>IF(G42="No", "Please Explain","")</f>
        <v/>
      </c>
      <c r="J41" s="527"/>
      <c r="K41" s="353"/>
      <c r="L41" s="353"/>
    </row>
    <row r="42" spans="1:33" ht="34.5" x14ac:dyDescent="0.3">
      <c r="A42" s="552"/>
      <c r="B42" s="243">
        <v>3.2</v>
      </c>
      <c r="C42" s="501"/>
      <c r="D42" s="575"/>
      <c r="E42" s="559"/>
      <c r="F42" s="292" t="s">
        <v>396</v>
      </c>
      <c r="G42" s="252" t="s">
        <v>930</v>
      </c>
      <c r="H42" s="246" t="s">
        <v>14</v>
      </c>
      <c r="I42" s="549"/>
      <c r="J42" s="550"/>
      <c r="K42" s="353"/>
      <c r="L42" s="353"/>
      <c r="AG42" s="330" t="str">
        <f>IF(G42="No","1","")</f>
        <v/>
      </c>
    </row>
    <row r="43" spans="1:33" x14ac:dyDescent="0.3">
      <c r="A43" s="552"/>
      <c r="B43" s="243"/>
      <c r="C43" s="501"/>
      <c r="D43" s="575"/>
      <c r="E43" s="559"/>
      <c r="F43" s="554"/>
      <c r="G43" s="555"/>
      <c r="H43" s="556"/>
      <c r="I43" s="526" t="str">
        <f>IF(G44="No", "Please Explain","")</f>
        <v>Please Explain</v>
      </c>
      <c r="J43" s="527"/>
      <c r="K43" s="353"/>
      <c r="L43" s="353"/>
    </row>
    <row r="44" spans="1:33" ht="34.5" x14ac:dyDescent="0.3">
      <c r="A44" s="552"/>
      <c r="B44" s="243">
        <v>3.3</v>
      </c>
      <c r="C44" s="501"/>
      <c r="D44" s="575"/>
      <c r="E44" s="559"/>
      <c r="F44" s="292" t="s">
        <v>399</v>
      </c>
      <c r="G44" s="252" t="s">
        <v>932</v>
      </c>
      <c r="H44" s="246" t="s">
        <v>14</v>
      </c>
      <c r="I44" s="549"/>
      <c r="J44" s="550"/>
      <c r="K44" s="353"/>
      <c r="L44" s="353"/>
      <c r="AG44" s="330" t="str">
        <f>IF(G44="No","1","")</f>
        <v>1</v>
      </c>
    </row>
    <row r="45" spans="1:33" x14ac:dyDescent="0.3">
      <c r="A45" s="552"/>
      <c r="B45" s="243"/>
      <c r="C45" s="501"/>
      <c r="D45" s="575"/>
      <c r="E45" s="559"/>
      <c r="F45" s="554"/>
      <c r="G45" s="555"/>
      <c r="H45" s="556"/>
      <c r="I45" s="526" t="str">
        <f>IF(G46="No", "Please Explain","")</f>
        <v>Please Explain</v>
      </c>
      <c r="J45" s="527"/>
      <c r="K45" s="353"/>
      <c r="L45" s="353"/>
    </row>
    <row r="46" spans="1:33" ht="57" customHeight="1" x14ac:dyDescent="0.3">
      <c r="A46" s="552"/>
      <c r="B46" s="243">
        <v>3.4</v>
      </c>
      <c r="C46" s="501"/>
      <c r="D46" s="575"/>
      <c r="E46" s="560"/>
      <c r="F46" s="292" t="s">
        <v>402</v>
      </c>
      <c r="G46" s="252" t="s">
        <v>932</v>
      </c>
      <c r="H46" s="246" t="s">
        <v>14</v>
      </c>
      <c r="I46" s="549" t="s">
        <v>1881</v>
      </c>
      <c r="J46" s="550"/>
      <c r="K46" s="353"/>
      <c r="L46" s="353"/>
      <c r="AG46" s="330" t="str">
        <f>IF(G46="No","1","")</f>
        <v>1</v>
      </c>
    </row>
    <row r="47" spans="1:33" x14ac:dyDescent="0.3">
      <c r="A47" s="552"/>
      <c r="B47" s="243"/>
      <c r="C47" s="501"/>
      <c r="D47" s="575"/>
      <c r="E47" s="366"/>
      <c r="F47" s="554"/>
      <c r="G47" s="555"/>
      <c r="H47" s="556"/>
      <c r="I47" s="526" t="str">
        <f>IF(G48="No", "Please Explain","")</f>
        <v/>
      </c>
      <c r="J47" s="527"/>
      <c r="K47" s="353"/>
      <c r="L47" s="353"/>
    </row>
    <row r="48" spans="1:33" ht="34.5" x14ac:dyDescent="0.3">
      <c r="A48" s="552"/>
      <c r="B48" s="243">
        <v>3.5</v>
      </c>
      <c r="C48" s="501"/>
      <c r="D48" s="575"/>
      <c r="E48" s="558" t="s">
        <v>1039</v>
      </c>
      <c r="F48" s="292" t="s">
        <v>1040</v>
      </c>
      <c r="G48" s="252" t="s">
        <v>930</v>
      </c>
      <c r="H48" s="246" t="s">
        <v>14</v>
      </c>
      <c r="I48" s="526"/>
      <c r="J48" s="527"/>
      <c r="K48" s="353"/>
      <c r="L48" s="353"/>
      <c r="AG48" s="330" t="str">
        <f>IF(G48="No","1","")</f>
        <v/>
      </c>
    </row>
    <row r="49" spans="1:33" x14ac:dyDescent="0.3">
      <c r="A49" s="552"/>
      <c r="B49" s="243"/>
      <c r="C49" s="501"/>
      <c r="D49" s="575"/>
      <c r="E49" s="559"/>
      <c r="F49" s="554"/>
      <c r="G49" s="555"/>
      <c r="H49" s="556"/>
      <c r="I49" s="526" t="str">
        <f>IF(G50="No", "Please Explain","")</f>
        <v>Please Explain</v>
      </c>
      <c r="J49" s="527"/>
      <c r="K49" s="353"/>
      <c r="L49" s="353"/>
    </row>
    <row r="50" spans="1:33" ht="35.25" customHeight="1" x14ac:dyDescent="0.3">
      <c r="A50" s="552"/>
      <c r="B50" s="243">
        <v>3.6</v>
      </c>
      <c r="C50" s="501"/>
      <c r="D50" s="575"/>
      <c r="E50" s="559"/>
      <c r="F50" s="292" t="s">
        <v>1041</v>
      </c>
      <c r="G50" s="252" t="s">
        <v>932</v>
      </c>
      <c r="H50" s="246" t="s">
        <v>14</v>
      </c>
      <c r="I50" s="549" t="s">
        <v>1882</v>
      </c>
      <c r="J50" s="550"/>
      <c r="K50" s="353"/>
      <c r="L50" s="353"/>
      <c r="AG50" s="330" t="str">
        <f>IF(G50="No","1","")</f>
        <v>1</v>
      </c>
    </row>
    <row r="51" spans="1:33" x14ac:dyDescent="0.3">
      <c r="A51" s="552"/>
      <c r="B51" s="243"/>
      <c r="C51" s="501"/>
      <c r="D51" s="575"/>
      <c r="E51" s="559"/>
      <c r="F51" s="554"/>
      <c r="G51" s="555"/>
      <c r="H51" s="556"/>
      <c r="I51" s="526" t="str">
        <f>IF(G52="No", "Please Explain","")</f>
        <v/>
      </c>
      <c r="J51" s="527"/>
      <c r="K51" s="353"/>
      <c r="L51" s="353"/>
    </row>
    <row r="52" spans="1:33" ht="68.25" customHeight="1" x14ac:dyDescent="0.3">
      <c r="A52" s="552"/>
      <c r="B52" s="243">
        <v>3.7</v>
      </c>
      <c r="C52" s="501"/>
      <c r="D52" s="575"/>
      <c r="E52" s="559"/>
      <c r="F52" s="292" t="s">
        <v>411</v>
      </c>
      <c r="G52" s="252"/>
      <c r="H52" s="246" t="s">
        <v>14</v>
      </c>
      <c r="I52" s="549"/>
      <c r="J52" s="550"/>
      <c r="K52" s="353"/>
      <c r="L52" s="353"/>
      <c r="AG52" s="330" t="str">
        <f>IF(G52="No","1","")</f>
        <v/>
      </c>
    </row>
    <row r="53" spans="1:33" x14ac:dyDescent="0.3">
      <c r="A53" s="552"/>
      <c r="B53" s="243"/>
      <c r="C53" s="501"/>
      <c r="D53" s="575"/>
      <c r="E53" s="559"/>
      <c r="F53" s="554"/>
      <c r="G53" s="555"/>
      <c r="H53" s="556"/>
      <c r="I53" s="526" t="str">
        <f>IF(G54="No", "Please Explain","")</f>
        <v>Please Explain</v>
      </c>
      <c r="J53" s="527"/>
      <c r="K53" s="353"/>
      <c r="L53" s="353"/>
    </row>
    <row r="54" spans="1:33" ht="34.5" x14ac:dyDescent="0.3">
      <c r="A54" s="552"/>
      <c r="B54" s="243">
        <v>3.8</v>
      </c>
      <c r="C54" s="501"/>
      <c r="D54" s="575"/>
      <c r="E54" s="559"/>
      <c r="F54" s="292" t="s">
        <v>1042</v>
      </c>
      <c r="G54" s="252" t="s">
        <v>932</v>
      </c>
      <c r="H54" s="246" t="s">
        <v>14</v>
      </c>
      <c r="I54" s="549" t="s">
        <v>1883</v>
      </c>
      <c r="J54" s="550"/>
      <c r="K54" s="353"/>
      <c r="L54" s="353"/>
      <c r="AG54" s="330" t="str">
        <f>IF(G54="No","1","")</f>
        <v>1</v>
      </c>
    </row>
    <row r="55" spans="1:33" x14ac:dyDescent="0.3">
      <c r="A55" s="552"/>
      <c r="B55" s="243"/>
      <c r="C55" s="501"/>
      <c r="D55" s="575"/>
      <c r="E55" s="559"/>
      <c r="F55" s="554"/>
      <c r="G55" s="555"/>
      <c r="H55" s="556"/>
      <c r="I55" s="526" t="str">
        <f>IF(G56="No", "Please Explain","")</f>
        <v/>
      </c>
      <c r="J55" s="527"/>
      <c r="K55" s="353"/>
      <c r="L55" s="353"/>
    </row>
    <row r="56" spans="1:33" ht="34.5" x14ac:dyDescent="0.3">
      <c r="A56" s="552"/>
      <c r="B56" s="243">
        <v>3.9</v>
      </c>
      <c r="C56" s="501"/>
      <c r="D56" s="575"/>
      <c r="E56" s="559"/>
      <c r="F56" s="292" t="s">
        <v>1043</v>
      </c>
      <c r="G56" s="252" t="s">
        <v>930</v>
      </c>
      <c r="H56" s="246" t="s">
        <v>14</v>
      </c>
      <c r="I56" s="549"/>
      <c r="J56" s="550"/>
      <c r="K56" s="353"/>
      <c r="L56" s="353"/>
      <c r="AG56" s="330" t="str">
        <f>IF(G56="No","1","")</f>
        <v/>
      </c>
    </row>
    <row r="57" spans="1:33" x14ac:dyDescent="0.3">
      <c r="A57" s="552"/>
      <c r="B57" s="243"/>
      <c r="C57" s="501"/>
      <c r="D57" s="575"/>
      <c r="E57" s="559"/>
      <c r="F57" s="554"/>
      <c r="G57" s="555"/>
      <c r="H57" s="556"/>
      <c r="I57" s="526" t="str">
        <f>IF(G58="No", "Please Explain","")</f>
        <v>Please Explain</v>
      </c>
      <c r="J57" s="527"/>
      <c r="K57" s="353"/>
      <c r="L57" s="353"/>
    </row>
    <row r="58" spans="1:33" ht="37.15" customHeight="1" x14ac:dyDescent="0.3">
      <c r="A58" s="552"/>
      <c r="B58" s="244">
        <v>3.1</v>
      </c>
      <c r="C58" s="501"/>
      <c r="D58" s="575"/>
      <c r="E58" s="559"/>
      <c r="F58" s="292" t="s">
        <v>1044</v>
      </c>
      <c r="G58" s="252" t="s">
        <v>932</v>
      </c>
      <c r="H58" s="246" t="s">
        <v>14</v>
      </c>
      <c r="I58" s="549"/>
      <c r="J58" s="550"/>
      <c r="K58" s="353"/>
      <c r="L58" s="353"/>
      <c r="AG58" s="330" t="str">
        <f>IF(G58="No","1","")</f>
        <v>1</v>
      </c>
    </row>
    <row r="59" spans="1:33" x14ac:dyDescent="0.3">
      <c r="A59" s="552"/>
      <c r="B59" s="244"/>
      <c r="C59" s="501"/>
      <c r="D59" s="575"/>
      <c r="E59" s="559"/>
      <c r="F59" s="554"/>
      <c r="G59" s="555"/>
      <c r="H59" s="556"/>
      <c r="I59" s="526" t="str">
        <f>IF(G60="No", "Please Explain","")</f>
        <v>Please Explain</v>
      </c>
      <c r="J59" s="527"/>
      <c r="K59" s="353"/>
      <c r="L59" s="353"/>
    </row>
    <row r="60" spans="1:33" ht="34.5" x14ac:dyDescent="0.3">
      <c r="A60" s="552"/>
      <c r="B60" s="244">
        <v>3.11</v>
      </c>
      <c r="C60" s="501"/>
      <c r="D60" s="575"/>
      <c r="E60" s="559"/>
      <c r="F60" s="292" t="s">
        <v>423</v>
      </c>
      <c r="G60" s="252" t="s">
        <v>932</v>
      </c>
      <c r="H60" s="246" t="s">
        <v>14</v>
      </c>
      <c r="I60" s="549"/>
      <c r="J60" s="550"/>
      <c r="K60" s="353"/>
      <c r="L60" s="353"/>
      <c r="AG60" s="330" t="str">
        <f>IF(G60="No","1","")</f>
        <v>1</v>
      </c>
    </row>
    <row r="61" spans="1:33" x14ac:dyDescent="0.3">
      <c r="A61" s="552"/>
      <c r="B61" s="244"/>
      <c r="C61" s="501"/>
      <c r="D61" s="575"/>
      <c r="E61" s="559"/>
      <c r="F61" s="554"/>
      <c r="G61" s="555"/>
      <c r="H61" s="556"/>
      <c r="I61" s="526" t="str">
        <f>IF(G62="No", "Please Explain","")</f>
        <v>Please Explain</v>
      </c>
      <c r="J61" s="527"/>
      <c r="K61" s="353"/>
      <c r="L61" s="353"/>
    </row>
    <row r="62" spans="1:33" ht="69" x14ac:dyDescent="0.3">
      <c r="A62" s="552"/>
      <c r="B62" s="244">
        <v>3.12</v>
      </c>
      <c r="C62" s="501"/>
      <c r="D62" s="575"/>
      <c r="E62" s="559"/>
      <c r="F62" s="292" t="s">
        <v>1045</v>
      </c>
      <c r="G62" s="252" t="s">
        <v>932</v>
      </c>
      <c r="H62" s="246" t="s">
        <v>14</v>
      </c>
      <c r="I62" s="526"/>
      <c r="J62" s="527"/>
      <c r="K62" s="353"/>
      <c r="L62" s="353"/>
      <c r="AG62" s="330" t="str">
        <f>IF(G62="No","1","")</f>
        <v>1</v>
      </c>
    </row>
    <row r="63" spans="1:33" x14ac:dyDescent="0.3">
      <c r="A63" s="552"/>
      <c r="B63" s="244"/>
      <c r="C63" s="501"/>
      <c r="D63" s="575"/>
      <c r="E63" s="559"/>
      <c r="F63" s="554"/>
      <c r="G63" s="555"/>
      <c r="H63" s="556"/>
      <c r="I63" s="526" t="str">
        <f>IF(G64="No", "Please Explain","")</f>
        <v>Please Explain</v>
      </c>
      <c r="J63" s="527"/>
      <c r="K63" s="353"/>
      <c r="L63" s="353"/>
    </row>
    <row r="64" spans="1:33" ht="25.15" customHeight="1" x14ac:dyDescent="0.3">
      <c r="A64" s="552"/>
      <c r="B64" s="244">
        <v>3.13</v>
      </c>
      <c r="C64" s="501"/>
      <c r="D64" s="575"/>
      <c r="E64" s="560"/>
      <c r="F64" s="367" t="s">
        <v>1046</v>
      </c>
      <c r="G64" s="252" t="s">
        <v>932</v>
      </c>
      <c r="H64" s="246" t="s">
        <v>14</v>
      </c>
      <c r="I64" s="549" t="s">
        <v>1884</v>
      </c>
      <c r="J64" s="550"/>
      <c r="K64" s="353"/>
      <c r="L64" s="353"/>
      <c r="AG64" s="330" t="str">
        <f>IF(G64="No","1","")</f>
        <v>1</v>
      </c>
    </row>
    <row r="65" spans="1:33" x14ac:dyDescent="0.3">
      <c r="A65" s="552"/>
      <c r="B65" s="244"/>
      <c r="C65" s="501"/>
      <c r="D65" s="575"/>
      <c r="E65" s="368"/>
      <c r="F65" s="554"/>
      <c r="G65" s="555"/>
      <c r="H65" s="556"/>
      <c r="I65" s="526"/>
      <c r="J65" s="527"/>
      <c r="K65" s="353"/>
      <c r="L65" s="353"/>
    </row>
    <row r="66" spans="1:33" ht="104.25" thickBot="1" x14ac:dyDescent="0.35">
      <c r="A66" s="582"/>
      <c r="B66" s="244">
        <v>3.14</v>
      </c>
      <c r="C66" s="501"/>
      <c r="D66" s="583"/>
      <c r="E66" s="369" t="s">
        <v>1047</v>
      </c>
      <c r="F66" s="263" t="s">
        <v>1048</v>
      </c>
      <c r="G66" s="257" t="s">
        <v>1885</v>
      </c>
      <c r="H66" s="246" t="s">
        <v>14</v>
      </c>
      <c r="I66" s="547"/>
      <c r="J66" s="548"/>
      <c r="K66" s="353"/>
      <c r="L66" s="353"/>
      <c r="AG66" s="330" t="str">
        <f>IF(G66="No","1","")</f>
        <v/>
      </c>
    </row>
    <row r="67" spans="1:33" ht="25.15" customHeight="1" thickBot="1" x14ac:dyDescent="0.35">
      <c r="A67" s="360"/>
      <c r="B67" s="262"/>
      <c r="C67" s="229"/>
      <c r="D67" s="561" t="s">
        <v>1049</v>
      </c>
      <c r="E67" s="562"/>
      <c r="F67" s="562"/>
      <c r="G67" s="562"/>
      <c r="H67" s="562"/>
      <c r="I67" s="562"/>
      <c r="J67" s="563"/>
    </row>
    <row r="68" spans="1:33" ht="138" x14ac:dyDescent="0.3">
      <c r="A68" s="551" t="s">
        <v>1050</v>
      </c>
      <c r="B68" s="370">
        <v>4.0999999999999996</v>
      </c>
      <c r="C68" s="598" t="s">
        <v>1886</v>
      </c>
      <c r="D68" s="529" t="s">
        <v>1051</v>
      </c>
      <c r="E68" s="368" t="s">
        <v>1052</v>
      </c>
      <c r="F68" s="271" t="s">
        <v>435</v>
      </c>
      <c r="G68" s="265" t="s">
        <v>1887</v>
      </c>
      <c r="H68" s="246" t="s">
        <v>14</v>
      </c>
      <c r="I68" s="554"/>
      <c r="J68" s="557"/>
    </row>
    <row r="69" spans="1:33" x14ac:dyDescent="0.3">
      <c r="A69" s="552"/>
      <c r="B69" s="370"/>
      <c r="C69" s="599"/>
      <c r="D69" s="529"/>
      <c r="E69" s="356"/>
      <c r="F69" s="554"/>
      <c r="G69" s="555"/>
      <c r="H69" s="556"/>
      <c r="I69" s="526" t="str">
        <f>IF(G70="Not Supported", "Please Explain","")&amp; IF(G70="N/A", "Please Explain","")&amp; IF(G70="Supports Multiple", "Please Explain","")</f>
        <v>Please Explain</v>
      </c>
      <c r="J69" s="527"/>
    </row>
    <row r="70" spans="1:33" ht="91.35" customHeight="1" thickBot="1" x14ac:dyDescent="0.35">
      <c r="A70" s="552"/>
      <c r="B70" s="370">
        <v>4.2</v>
      </c>
      <c r="C70" s="599"/>
      <c r="D70" s="581"/>
      <c r="E70" s="369" t="s">
        <v>1053</v>
      </c>
      <c r="F70" s="266" t="s">
        <v>1054</v>
      </c>
      <c r="G70" s="257" t="s">
        <v>1868</v>
      </c>
      <c r="H70" s="251" t="s">
        <v>14</v>
      </c>
      <c r="I70" s="869" t="s">
        <v>1921</v>
      </c>
      <c r="J70" s="870"/>
      <c r="AG70" s="330" t="str">
        <f>IF(G70="Not Supported","1","")  &amp; IF(G70="N/A", "2","") &amp; IF(G70="Supports Multiple", "3","")</f>
        <v>3</v>
      </c>
    </row>
    <row r="71" spans="1:33" ht="18" thickBot="1" x14ac:dyDescent="0.35">
      <c r="A71" s="293"/>
      <c r="B71" s="370"/>
      <c r="C71" s="599"/>
      <c r="D71" s="561" t="s">
        <v>1055</v>
      </c>
      <c r="E71" s="562"/>
      <c r="F71" s="562"/>
      <c r="G71" s="562"/>
      <c r="H71" s="562"/>
      <c r="I71" s="562"/>
      <c r="J71" s="563"/>
    </row>
    <row r="72" spans="1:33" ht="22.35" customHeight="1" x14ac:dyDescent="0.3">
      <c r="A72" s="293"/>
      <c r="B72" s="370"/>
      <c r="C72" s="599"/>
      <c r="D72" s="291"/>
      <c r="E72" s="356"/>
      <c r="F72" s="245"/>
      <c r="G72" s="245"/>
      <c r="H72" s="246"/>
      <c r="I72" s="526" t="str">
        <f>IF(G73="No", "Comments","")&amp; IF(G73="N/A", "Comments","")&amp; IF(G73="Supports Multiple", "Please Explain","")</f>
        <v/>
      </c>
      <c r="J72" s="527"/>
    </row>
    <row r="73" spans="1:33" ht="34.5" x14ac:dyDescent="0.3">
      <c r="A73" s="551" t="s">
        <v>1056</v>
      </c>
      <c r="B73" s="370">
        <v>5.0999999999999996</v>
      </c>
      <c r="C73" s="599"/>
      <c r="D73" s="597" t="s">
        <v>1057</v>
      </c>
      <c r="E73" s="551" t="s">
        <v>1058</v>
      </c>
      <c r="F73" s="367" t="s">
        <v>1059</v>
      </c>
      <c r="G73" s="252" t="s">
        <v>930</v>
      </c>
      <c r="H73" s="246" t="s">
        <v>14</v>
      </c>
      <c r="I73" s="549"/>
      <c r="J73" s="550"/>
      <c r="AG73" s="330" t="str">
        <f>IF(G73="No", "1","")  &amp; IF(G73="N/A", "2","")</f>
        <v/>
      </c>
    </row>
    <row r="74" spans="1:33" x14ac:dyDescent="0.3">
      <c r="A74" s="552"/>
      <c r="B74" s="370"/>
      <c r="C74" s="599"/>
      <c r="D74" s="575"/>
      <c r="E74" s="552"/>
      <c r="F74" s="245"/>
      <c r="G74" s="245"/>
      <c r="H74" s="246"/>
      <c r="I74" s="526" t="str">
        <f>IF(G75="Yes", "Comments","")&amp; IF(G75="N/A", "Comments","")&amp; IF(G75="Supports Multiple", "Please Explain","")</f>
        <v/>
      </c>
      <c r="J74" s="527"/>
    </row>
    <row r="75" spans="1:33" ht="51.75" x14ac:dyDescent="0.3">
      <c r="A75" s="552"/>
      <c r="B75" s="370">
        <v>5.2</v>
      </c>
      <c r="C75" s="599"/>
      <c r="D75" s="575"/>
      <c r="E75" s="582"/>
      <c r="F75" s="367" t="s">
        <v>444</v>
      </c>
      <c r="G75" s="252" t="s">
        <v>932</v>
      </c>
      <c r="H75" s="246" t="s">
        <v>14</v>
      </c>
      <c r="I75" s="549"/>
      <c r="J75" s="550"/>
      <c r="AG75" s="330" t="str">
        <f>IF(G75="Yes", "1","")  &amp; IF(G75="N/A", "2","")</f>
        <v/>
      </c>
    </row>
    <row r="76" spans="1:33" x14ac:dyDescent="0.3">
      <c r="A76" s="552"/>
      <c r="B76" s="370"/>
      <c r="C76" s="599"/>
      <c r="D76" s="575"/>
      <c r="E76" s="293"/>
      <c r="F76" s="245"/>
      <c r="G76" s="245"/>
      <c r="H76" s="246"/>
      <c r="I76" s="526" t="str">
        <f>IF(G77="No", "Comments","")&amp; IF(G77="N/A", "Comments","")&amp; IF(G77="Supports Multiple", "Please Explain","")</f>
        <v/>
      </c>
      <c r="J76" s="527"/>
    </row>
    <row r="77" spans="1:33" ht="34.5" x14ac:dyDescent="0.3">
      <c r="A77" s="552"/>
      <c r="B77" s="370">
        <v>5.3</v>
      </c>
      <c r="C77" s="599"/>
      <c r="D77" s="575"/>
      <c r="E77" s="551" t="s">
        <v>1060</v>
      </c>
      <c r="F77" s="367" t="s">
        <v>447</v>
      </c>
      <c r="G77" s="252" t="s">
        <v>930</v>
      </c>
      <c r="H77" s="246" t="s">
        <v>14</v>
      </c>
      <c r="I77" s="549"/>
      <c r="J77" s="550"/>
      <c r="AG77" s="330" t="str">
        <f>IF(G77="No", "1","")  &amp; IF(G77="N/A", "2","")</f>
        <v/>
      </c>
    </row>
    <row r="78" spans="1:33" x14ac:dyDescent="0.3">
      <c r="A78" s="552"/>
      <c r="B78" s="370"/>
      <c r="C78" s="599"/>
      <c r="D78" s="575"/>
      <c r="E78" s="552"/>
      <c r="F78" s="245"/>
      <c r="G78" s="245"/>
      <c r="H78" s="246"/>
      <c r="I78" s="526" t="str">
        <f>IF(G79="No", "Comments","")&amp; IF(G79="N/A", "Comments","")&amp; IF(G79="Supports Multiple", "Please Explain","")</f>
        <v/>
      </c>
      <c r="J78" s="527"/>
    </row>
    <row r="79" spans="1:33" ht="51.75" x14ac:dyDescent="0.3">
      <c r="A79" s="552"/>
      <c r="B79" s="370">
        <v>5.4</v>
      </c>
      <c r="C79" s="599"/>
      <c r="D79" s="575"/>
      <c r="E79" s="552"/>
      <c r="F79" s="367" t="s">
        <v>450</v>
      </c>
      <c r="G79" s="252" t="s">
        <v>930</v>
      </c>
      <c r="H79" s="246" t="s">
        <v>14</v>
      </c>
      <c r="I79" s="549"/>
      <c r="J79" s="550"/>
      <c r="AG79" s="330" t="str">
        <f>IF(G79="No", "1","")  &amp; IF(G79="N/A", "2","")</f>
        <v/>
      </c>
    </row>
    <row r="80" spans="1:33" x14ac:dyDescent="0.3">
      <c r="A80" s="552"/>
      <c r="B80" s="370"/>
      <c r="C80" s="599"/>
      <c r="D80" s="575"/>
      <c r="E80" s="552"/>
      <c r="F80" s="245"/>
      <c r="G80" s="245"/>
      <c r="H80" s="246"/>
      <c r="I80" s="526" t="str">
        <f>IF(G81="Yes", "Comments","")&amp; IF(G81="N/A", "Comments","")</f>
        <v/>
      </c>
      <c r="J80" s="527"/>
    </row>
    <row r="81" spans="1:34" ht="47.1" customHeight="1" thickBot="1" x14ac:dyDescent="0.35">
      <c r="A81" s="582"/>
      <c r="B81" s="370">
        <v>5.5</v>
      </c>
      <c r="C81" s="599"/>
      <c r="D81" s="583"/>
      <c r="E81" s="553"/>
      <c r="F81" s="369" t="s">
        <v>453</v>
      </c>
      <c r="G81" s="257" t="s">
        <v>932</v>
      </c>
      <c r="H81" s="251" t="s">
        <v>14</v>
      </c>
      <c r="I81" s="547"/>
      <c r="J81" s="548"/>
      <c r="AG81" s="330" t="str">
        <f>IF(G81="Yes", "1","")  &amp; IF(G81="N/A", "2","")</f>
        <v/>
      </c>
    </row>
    <row r="82" spans="1:34" ht="47.1" customHeight="1" thickBot="1" x14ac:dyDescent="0.35">
      <c r="A82" s="293"/>
      <c r="B82" s="370"/>
      <c r="C82" s="599"/>
      <c r="D82" s="561" t="s">
        <v>1061</v>
      </c>
      <c r="E82" s="562"/>
      <c r="F82" s="562"/>
      <c r="G82" s="562"/>
      <c r="H82" s="562"/>
      <c r="I82" s="562"/>
      <c r="J82" s="563"/>
    </row>
    <row r="83" spans="1:34" ht="25.35" customHeight="1" x14ac:dyDescent="0.3">
      <c r="A83" s="293"/>
      <c r="B83" s="370"/>
      <c r="C83" s="599"/>
      <c r="D83" s="371"/>
      <c r="E83" s="247"/>
      <c r="F83" s="248"/>
      <c r="G83" s="248"/>
      <c r="H83" s="249"/>
      <c r="I83" s="543" t="str">
        <f>IF(G84="N/A", "Please Explain","")&amp; IF(G84="Other (embedded Security - whitelisting)", "Please Explain","")</f>
        <v/>
      </c>
      <c r="J83" s="527"/>
    </row>
    <row r="84" spans="1:34" ht="71.25" customHeight="1" x14ac:dyDescent="0.3">
      <c r="A84" s="551" t="s">
        <v>1062</v>
      </c>
      <c r="B84" s="370">
        <v>6.1</v>
      </c>
      <c r="C84" s="599"/>
      <c r="D84" s="601" t="s">
        <v>1063</v>
      </c>
      <c r="E84" s="250" t="s">
        <v>1064</v>
      </c>
      <c r="F84" s="367" t="s">
        <v>1065</v>
      </c>
      <c r="G84" s="252" t="s">
        <v>953</v>
      </c>
      <c r="H84" s="246" t="s">
        <v>14</v>
      </c>
      <c r="I84" s="549"/>
      <c r="J84" s="550"/>
      <c r="AG84" s="330" t="str">
        <f>IF(G84="Other (embedded Security - whitelisting)", "1","")  &amp; IF(G84="N/A", "2","")</f>
        <v/>
      </c>
    </row>
    <row r="85" spans="1:34" ht="25.15" customHeight="1" x14ac:dyDescent="0.3">
      <c r="A85" s="552"/>
      <c r="B85" s="370"/>
      <c r="C85" s="599"/>
      <c r="D85" s="529"/>
      <c r="E85" s="540"/>
      <c r="F85" s="541"/>
      <c r="G85" s="541"/>
      <c r="H85" s="542"/>
      <c r="I85" s="543" t="str">
        <f>IF(G86="N/A", "Please Explain","")&amp; IF(G86="Not Supported", "Please Explain","")</f>
        <v/>
      </c>
      <c r="J85" s="527"/>
    </row>
    <row r="86" spans="1:34" ht="48" customHeight="1" thickBot="1" x14ac:dyDescent="0.35">
      <c r="A86" s="552"/>
      <c r="B86" s="370">
        <v>6.4</v>
      </c>
      <c r="C86" s="599"/>
      <c r="D86" s="581"/>
      <c r="E86" s="372" t="s">
        <v>1066</v>
      </c>
      <c r="F86" s="369" t="s">
        <v>459</v>
      </c>
      <c r="G86" s="257" t="s">
        <v>956</v>
      </c>
      <c r="H86" s="251" t="s">
        <v>14</v>
      </c>
      <c r="I86" s="867" t="s">
        <v>1922</v>
      </c>
      <c r="J86" s="868"/>
      <c r="AG86" s="330" t="str">
        <f>IF(G86="Not Supported", "1","")  &amp; IF(G86="N/A", "2","")</f>
        <v/>
      </c>
    </row>
    <row r="87" spans="1:34" ht="48" customHeight="1" thickBot="1" x14ac:dyDescent="0.35">
      <c r="A87" s="552"/>
      <c r="B87" s="370"/>
      <c r="C87" s="599"/>
      <c r="D87" s="561" t="s">
        <v>1067</v>
      </c>
      <c r="E87" s="562"/>
      <c r="F87" s="562"/>
      <c r="G87" s="562"/>
      <c r="H87" s="562"/>
      <c r="I87" s="562"/>
      <c r="J87" s="563"/>
    </row>
    <row r="88" spans="1:34" ht="24.75" customHeight="1" x14ac:dyDescent="0.3">
      <c r="A88" s="582"/>
      <c r="B88" s="370">
        <v>6.1</v>
      </c>
      <c r="C88" s="599"/>
      <c r="D88" s="267"/>
      <c r="E88" s="540"/>
      <c r="F88" s="541"/>
      <c r="G88" s="541"/>
      <c r="H88" s="542"/>
      <c r="I88" s="543" t="str">
        <f>IF(G89="N/A", "Comments","")&amp; IF(G89="No", "Comments","")</f>
        <v/>
      </c>
      <c r="J88" s="527"/>
    </row>
    <row r="89" spans="1:34" ht="78" customHeight="1" x14ac:dyDescent="0.3">
      <c r="A89" s="551" t="s">
        <v>1068</v>
      </c>
      <c r="B89" s="370">
        <v>7.1</v>
      </c>
      <c r="C89" s="599"/>
      <c r="D89" s="597" t="s">
        <v>1069</v>
      </c>
      <c r="E89" s="292" t="s">
        <v>1070</v>
      </c>
      <c r="F89" s="273" t="s">
        <v>1071</v>
      </c>
      <c r="G89" s="252" t="s">
        <v>930</v>
      </c>
      <c r="H89" s="246" t="s">
        <v>14</v>
      </c>
      <c r="I89" s="549"/>
      <c r="J89" s="550"/>
      <c r="AG89" s="330" t="str">
        <f>IF(G89="No", "1","")  &amp; IF(G89="N/A", "2","")</f>
        <v/>
      </c>
      <c r="AH89" s="254"/>
    </row>
    <row r="90" spans="1:34" ht="18" customHeight="1" x14ac:dyDescent="0.3">
      <c r="A90" s="552"/>
      <c r="B90" s="370">
        <v>7.2</v>
      </c>
      <c r="C90" s="599"/>
      <c r="D90" s="575"/>
      <c r="E90" s="540"/>
      <c r="F90" s="541"/>
      <c r="G90" s="541"/>
      <c r="H90" s="542"/>
      <c r="I90" s="543" t="str">
        <f>IF(G91="N/A", "Please Explain","")&amp; IF(G91="Other encryption types. (please specify in Comments)", "Please Explain","")</f>
        <v/>
      </c>
      <c r="J90" s="527"/>
    </row>
    <row r="91" spans="1:34" ht="77.849999999999994" customHeight="1" x14ac:dyDescent="0.3">
      <c r="A91" s="552"/>
      <c r="B91" s="370">
        <v>7.3</v>
      </c>
      <c r="C91" s="599"/>
      <c r="D91" s="575"/>
      <c r="E91" s="250" t="s">
        <v>1072</v>
      </c>
      <c r="F91" s="273" t="s">
        <v>1073</v>
      </c>
      <c r="G91" s="252" t="s">
        <v>963</v>
      </c>
      <c r="H91" s="246" t="s">
        <v>14</v>
      </c>
      <c r="I91" s="549"/>
      <c r="J91" s="550"/>
      <c r="AG91" s="330" t="str">
        <f>IF(G91="Other encryption types. (please specify in Comments)", "1","")  &amp; IF(G91="N/A", "2","")</f>
        <v/>
      </c>
    </row>
    <row r="92" spans="1:34" ht="21" customHeight="1" x14ac:dyDescent="0.3">
      <c r="A92" s="552"/>
      <c r="B92" s="370">
        <v>7.4</v>
      </c>
      <c r="C92" s="599"/>
      <c r="D92" s="575"/>
      <c r="E92" s="540"/>
      <c r="F92" s="541"/>
      <c r="G92" s="541"/>
      <c r="H92" s="542"/>
      <c r="I92" s="543" t="str">
        <f>IF(G93="N/A", "Please Explain","")&amp; IF(G93="No", "Please Explain","")</f>
        <v>Please Explain</v>
      </c>
      <c r="J92" s="527"/>
    </row>
    <row r="93" spans="1:34" ht="39.75" customHeight="1" thickBot="1" x14ac:dyDescent="0.35">
      <c r="A93" s="582"/>
      <c r="B93" s="370">
        <v>7.5</v>
      </c>
      <c r="C93" s="599"/>
      <c r="D93" s="583"/>
      <c r="E93" s="369" t="s">
        <v>1074</v>
      </c>
      <c r="F93" s="369" t="s">
        <v>1075</v>
      </c>
      <c r="G93" s="257" t="s">
        <v>929</v>
      </c>
      <c r="H93" s="251" t="s">
        <v>14</v>
      </c>
      <c r="I93" s="547" t="s">
        <v>1923</v>
      </c>
      <c r="J93" s="548"/>
      <c r="AG93" s="330" t="str">
        <f>IF(G93="No", "1","")  &amp; IF(G93="N/A", "2","")</f>
        <v>2</v>
      </c>
    </row>
    <row r="94" spans="1:34" ht="39.75" customHeight="1" thickBot="1" x14ac:dyDescent="0.35">
      <c r="A94" s="293"/>
      <c r="B94" s="370"/>
      <c r="C94" s="599"/>
      <c r="D94" s="561" t="s">
        <v>1076</v>
      </c>
      <c r="E94" s="562"/>
      <c r="F94" s="562"/>
      <c r="G94" s="562"/>
      <c r="H94" s="562"/>
      <c r="I94" s="562"/>
      <c r="J94" s="563"/>
    </row>
    <row r="95" spans="1:34" s="318" customFormat="1" ht="45" customHeight="1" thickBot="1" x14ac:dyDescent="0.25">
      <c r="A95" s="293"/>
      <c r="B95" s="370"/>
      <c r="C95" s="599"/>
      <c r="D95" s="567" t="s">
        <v>1077</v>
      </c>
      <c r="E95" s="568"/>
      <c r="F95" s="568"/>
      <c r="G95" s="568"/>
      <c r="H95" s="568"/>
      <c r="I95" s="568"/>
      <c r="J95" s="569"/>
      <c r="AG95" s="373"/>
    </row>
    <row r="96" spans="1:34" s="318" customFormat="1" ht="23.85" customHeight="1" x14ac:dyDescent="0.2">
      <c r="A96" s="293"/>
      <c r="B96" s="370"/>
      <c r="C96" s="599"/>
      <c r="D96" s="528" t="s">
        <v>1078</v>
      </c>
      <c r="E96" s="544"/>
      <c r="F96" s="545"/>
      <c r="G96" s="545"/>
      <c r="H96" s="546"/>
      <c r="I96" s="538" t="str">
        <f>IF(G97="No", "Please Explain","")</f>
        <v/>
      </c>
      <c r="J96" s="539"/>
      <c r="AG96" s="373"/>
    </row>
    <row r="97" spans="1:33" ht="25.15" customHeight="1" x14ac:dyDescent="0.3">
      <c r="A97" s="551" t="s">
        <v>1079</v>
      </c>
      <c r="B97" s="370">
        <v>8.1</v>
      </c>
      <c r="C97" s="599"/>
      <c r="D97" s="529"/>
      <c r="E97" s="573" t="s">
        <v>1080</v>
      </c>
      <c r="F97" s="374" t="s">
        <v>1081</v>
      </c>
      <c r="G97" s="274" t="s">
        <v>929</v>
      </c>
      <c r="H97" s="272" t="s">
        <v>14</v>
      </c>
      <c r="I97" s="526" t="s">
        <v>1924</v>
      </c>
      <c r="J97" s="527"/>
      <c r="AG97" s="330" t="str">
        <f>IF(G97="No", "1","")</f>
        <v/>
      </c>
    </row>
    <row r="98" spans="1:33" ht="25.15" customHeight="1" x14ac:dyDescent="0.3">
      <c r="A98" s="552"/>
      <c r="B98" s="370"/>
      <c r="C98" s="599"/>
      <c r="D98" s="529"/>
      <c r="E98" s="573"/>
      <c r="F98" s="530"/>
      <c r="G98" s="530"/>
      <c r="H98" s="530"/>
      <c r="I98" s="526" t="str">
        <f>IF(G99="No", "Please Explain","")</f>
        <v/>
      </c>
      <c r="J98" s="527"/>
    </row>
    <row r="99" spans="1:33" ht="34.5" x14ac:dyDescent="0.3">
      <c r="A99" s="552"/>
      <c r="B99" s="370">
        <v>8.1999999999999993</v>
      </c>
      <c r="C99" s="599"/>
      <c r="D99" s="529"/>
      <c r="E99" s="573"/>
      <c r="F99" s="367" t="s">
        <v>474</v>
      </c>
      <c r="G99" s="274" t="s">
        <v>929</v>
      </c>
      <c r="H99" s="272" t="s">
        <v>14</v>
      </c>
      <c r="I99" s="549"/>
      <c r="J99" s="550"/>
      <c r="AG99" s="330" t="str">
        <f>IF(G99="No", "1","")</f>
        <v/>
      </c>
    </row>
    <row r="100" spans="1:33" ht="18" customHeight="1" x14ac:dyDescent="0.3">
      <c r="A100" s="552"/>
      <c r="B100" s="370"/>
      <c r="C100" s="599"/>
      <c r="D100" s="529"/>
      <c r="E100" s="573"/>
      <c r="F100" s="530"/>
      <c r="G100" s="530"/>
      <c r="H100" s="530"/>
      <c r="I100" s="526" t="str">
        <f>IF(G101="Yes", "Please Explain","")</f>
        <v/>
      </c>
      <c r="J100" s="527"/>
    </row>
    <row r="101" spans="1:33" ht="29.85" customHeight="1" x14ac:dyDescent="0.3">
      <c r="A101" s="552"/>
      <c r="B101" s="370">
        <v>8.3000000000000007</v>
      </c>
      <c r="C101" s="599"/>
      <c r="D101" s="529"/>
      <c r="E101" s="573"/>
      <c r="F101" s="367" t="s">
        <v>477</v>
      </c>
      <c r="G101" s="274" t="s">
        <v>929</v>
      </c>
      <c r="H101" s="272" t="s">
        <v>14</v>
      </c>
      <c r="I101" s="549"/>
      <c r="J101" s="550"/>
      <c r="AG101" s="330" t="str">
        <f>IF(G101="Yes", "1","")</f>
        <v/>
      </c>
    </row>
    <row r="102" spans="1:33" ht="29.85" customHeight="1" x14ac:dyDescent="0.3">
      <c r="A102" s="552"/>
      <c r="B102" s="370"/>
      <c r="C102" s="599"/>
      <c r="D102" s="529"/>
      <c r="E102" s="530"/>
      <c r="F102" s="530"/>
      <c r="G102" s="530"/>
      <c r="H102" s="530"/>
      <c r="I102" s="526" t="str">
        <f>IF(G103="No", "Please Explain","")</f>
        <v/>
      </c>
      <c r="J102" s="527"/>
    </row>
    <row r="103" spans="1:33" ht="25.15" customHeight="1" x14ac:dyDescent="0.3">
      <c r="A103" s="552"/>
      <c r="B103" s="370">
        <v>8.4</v>
      </c>
      <c r="C103" s="599"/>
      <c r="D103" s="529"/>
      <c r="E103" s="573" t="s">
        <v>1082</v>
      </c>
      <c r="F103" s="367" t="s">
        <v>1083</v>
      </c>
      <c r="G103" s="274" t="s">
        <v>929</v>
      </c>
      <c r="H103" s="272" t="s">
        <v>14</v>
      </c>
      <c r="I103" s="549"/>
      <c r="J103" s="550"/>
      <c r="AG103" s="330" t="str">
        <f>IF(G103="No", "1","")</f>
        <v/>
      </c>
    </row>
    <row r="104" spans="1:33" ht="25.15" customHeight="1" x14ac:dyDescent="0.3">
      <c r="A104" s="552"/>
      <c r="B104" s="370"/>
      <c r="C104" s="599"/>
      <c r="D104" s="529"/>
      <c r="E104" s="573"/>
      <c r="F104" s="530"/>
      <c r="G104" s="530"/>
      <c r="H104" s="530"/>
      <c r="I104" s="526" t="str">
        <f>IF(G105="No", "Please Explain","")</f>
        <v/>
      </c>
      <c r="J104" s="527"/>
    </row>
    <row r="105" spans="1:33" x14ac:dyDescent="0.3">
      <c r="A105" s="552"/>
      <c r="B105" s="370">
        <v>8.5</v>
      </c>
      <c r="C105" s="599"/>
      <c r="D105" s="529"/>
      <c r="E105" s="573"/>
      <c r="F105" s="367" t="s">
        <v>1084</v>
      </c>
      <c r="G105" s="274" t="s">
        <v>929</v>
      </c>
      <c r="H105" s="272" t="s">
        <v>14</v>
      </c>
      <c r="I105" s="549"/>
      <c r="J105" s="550"/>
      <c r="AG105" s="330" t="str">
        <f>IF(G105="No", "1","")</f>
        <v/>
      </c>
    </row>
    <row r="106" spans="1:33" x14ac:dyDescent="0.3">
      <c r="A106" s="552"/>
      <c r="B106" s="370"/>
      <c r="C106" s="599"/>
      <c r="D106" s="529"/>
      <c r="E106" s="573"/>
      <c r="F106" s="530"/>
      <c r="G106" s="530"/>
      <c r="H106" s="530"/>
      <c r="I106" s="526" t="str">
        <f>IF(G107="No", "Please Explain","")</f>
        <v/>
      </c>
      <c r="J106" s="527"/>
    </row>
    <row r="107" spans="1:33" ht="34.5" x14ac:dyDescent="0.3">
      <c r="A107" s="552"/>
      <c r="B107" s="370">
        <v>8.6</v>
      </c>
      <c r="C107" s="599"/>
      <c r="D107" s="529"/>
      <c r="E107" s="573"/>
      <c r="F107" s="367" t="s">
        <v>1085</v>
      </c>
      <c r="G107" s="274" t="s">
        <v>929</v>
      </c>
      <c r="H107" s="272" t="s">
        <v>14</v>
      </c>
      <c r="I107" s="549"/>
      <c r="J107" s="550"/>
      <c r="AG107" s="330" t="str">
        <f>IF(G107="No", "1","")</f>
        <v/>
      </c>
    </row>
    <row r="108" spans="1:33" x14ac:dyDescent="0.3">
      <c r="A108" s="552"/>
      <c r="B108" s="370"/>
      <c r="C108" s="599"/>
      <c r="D108" s="529"/>
      <c r="E108" s="573"/>
      <c r="F108" s="530"/>
      <c r="G108" s="530"/>
      <c r="H108" s="530"/>
      <c r="I108" s="526" t="str">
        <f>IF(G109="No", "Please Explain","")</f>
        <v/>
      </c>
      <c r="J108" s="527"/>
    </row>
    <row r="109" spans="1:33" ht="39.75" customHeight="1" thickBot="1" x14ac:dyDescent="0.35">
      <c r="A109" s="582"/>
      <c r="B109" s="370">
        <v>8.6999999999999993</v>
      </c>
      <c r="C109" s="599"/>
      <c r="D109" s="529"/>
      <c r="E109" s="558"/>
      <c r="F109" s="356" t="s">
        <v>1086</v>
      </c>
      <c r="G109" s="274" t="s">
        <v>929</v>
      </c>
      <c r="H109" s="246" t="s">
        <v>14</v>
      </c>
      <c r="I109" s="549"/>
      <c r="J109" s="550"/>
      <c r="AG109" s="330" t="str">
        <f>IF(G109="No", "1","")</f>
        <v/>
      </c>
    </row>
    <row r="110" spans="1:33" ht="39.75" customHeight="1" thickBot="1" x14ac:dyDescent="0.35">
      <c r="A110" s="293"/>
      <c r="B110" s="370"/>
      <c r="C110" s="599"/>
      <c r="D110" s="564" t="s">
        <v>1087</v>
      </c>
      <c r="E110" s="565"/>
      <c r="F110" s="565"/>
      <c r="G110" s="565"/>
      <c r="H110" s="565"/>
      <c r="I110" s="565"/>
      <c r="J110" s="566"/>
    </row>
    <row r="111" spans="1:33" ht="26.1" customHeight="1" x14ac:dyDescent="0.3">
      <c r="A111" s="293"/>
      <c r="B111" s="370"/>
      <c r="C111" s="599"/>
      <c r="D111" s="531" t="s">
        <v>1088</v>
      </c>
      <c r="E111" s="534"/>
      <c r="F111" s="534"/>
      <c r="G111" s="534"/>
      <c r="H111" s="534"/>
      <c r="I111" s="538" t="str">
        <f>IF(G112="No", "Please Explain","")</f>
        <v/>
      </c>
      <c r="J111" s="539"/>
    </row>
    <row r="112" spans="1:33" ht="37.15" customHeight="1" x14ac:dyDescent="0.3">
      <c r="A112" s="551" t="s">
        <v>1089</v>
      </c>
      <c r="B112" s="370">
        <v>9.1</v>
      </c>
      <c r="C112" s="599"/>
      <c r="D112" s="532"/>
      <c r="E112" s="367" t="s">
        <v>1090</v>
      </c>
      <c r="F112" s="367" t="s">
        <v>495</v>
      </c>
      <c r="G112" s="252" t="s">
        <v>930</v>
      </c>
      <c r="H112" s="272" t="s">
        <v>14</v>
      </c>
      <c r="I112" s="549"/>
      <c r="J112" s="550"/>
      <c r="K112" s="353"/>
      <c r="L112" s="353"/>
      <c r="AG112" s="330" t="str">
        <f>IF(G112="No", "1","")</f>
        <v/>
      </c>
    </row>
    <row r="113" spans="1:33" ht="26.85" customHeight="1" x14ac:dyDescent="0.3">
      <c r="A113" s="552"/>
      <c r="B113" s="370"/>
      <c r="C113" s="599"/>
      <c r="D113" s="532"/>
      <c r="E113" s="535"/>
      <c r="F113" s="535"/>
      <c r="G113" s="535"/>
      <c r="H113" s="535"/>
      <c r="I113" s="526" t="str">
        <f>IF(G114="No", "Please Explain","")</f>
        <v/>
      </c>
      <c r="J113" s="527"/>
      <c r="K113" s="353"/>
      <c r="L113" s="353"/>
      <c r="AG113" s="254"/>
    </row>
    <row r="114" spans="1:33" ht="37.15" customHeight="1" x14ac:dyDescent="0.3">
      <c r="A114" s="552"/>
      <c r="B114" s="370">
        <v>9.1999999999999993</v>
      </c>
      <c r="C114" s="599"/>
      <c r="D114" s="532"/>
      <c r="E114" s="367" t="s">
        <v>1091</v>
      </c>
      <c r="F114" s="367" t="s">
        <v>498</v>
      </c>
      <c r="G114" s="252" t="s">
        <v>930</v>
      </c>
      <c r="H114" s="272" t="s">
        <v>14</v>
      </c>
      <c r="I114" s="549"/>
      <c r="J114" s="550"/>
      <c r="AG114" s="330" t="str">
        <f>IF(G114="No", "1","")</f>
        <v/>
      </c>
    </row>
    <row r="115" spans="1:33" ht="17.100000000000001" customHeight="1" x14ac:dyDescent="0.3">
      <c r="A115" s="552"/>
      <c r="B115" s="370"/>
      <c r="C115" s="599"/>
      <c r="D115" s="532"/>
      <c r="E115" s="535"/>
      <c r="F115" s="535"/>
      <c r="G115" s="535"/>
      <c r="H115" s="535"/>
      <c r="I115" s="526" t="str">
        <f>IF(G116="No", "Please Explain","")</f>
        <v/>
      </c>
      <c r="J115" s="527"/>
    </row>
    <row r="116" spans="1:33" ht="25.15" customHeight="1" x14ac:dyDescent="0.3">
      <c r="A116" s="552"/>
      <c r="B116" s="370">
        <v>9.3000000000000007</v>
      </c>
      <c r="C116" s="599"/>
      <c r="D116" s="532"/>
      <c r="E116" s="367" t="s">
        <v>1092</v>
      </c>
      <c r="F116" s="367" t="s">
        <v>501</v>
      </c>
      <c r="G116" s="252" t="s">
        <v>930</v>
      </c>
      <c r="H116" s="272" t="s">
        <v>14</v>
      </c>
      <c r="I116" s="526" t="s">
        <v>1925</v>
      </c>
      <c r="J116" s="527"/>
      <c r="AG116" s="330" t="str">
        <f>IF(G116="No", "1","")</f>
        <v/>
      </c>
    </row>
    <row r="117" spans="1:33" ht="25.15" customHeight="1" x14ac:dyDescent="0.3">
      <c r="A117" s="552"/>
      <c r="B117" s="370">
        <v>9.4</v>
      </c>
      <c r="C117" s="599"/>
      <c r="D117" s="532"/>
      <c r="E117" s="573" t="s">
        <v>1093</v>
      </c>
      <c r="F117" s="367" t="s">
        <v>1094</v>
      </c>
      <c r="G117" s="252" t="s">
        <v>930</v>
      </c>
      <c r="H117" s="272" t="s">
        <v>14</v>
      </c>
      <c r="I117" s="536"/>
      <c r="J117" s="537"/>
    </row>
    <row r="118" spans="1:33" ht="62.25" customHeight="1" x14ac:dyDescent="0.3">
      <c r="A118" s="552"/>
      <c r="B118" s="370">
        <v>9.5</v>
      </c>
      <c r="C118" s="599"/>
      <c r="D118" s="532"/>
      <c r="E118" s="573"/>
      <c r="F118" s="367" t="s">
        <v>1095</v>
      </c>
      <c r="G118" s="252" t="s">
        <v>932</v>
      </c>
      <c r="H118" s="272" t="s">
        <v>14</v>
      </c>
      <c r="I118" s="536" t="s">
        <v>1926</v>
      </c>
      <c r="J118" s="537"/>
    </row>
    <row r="119" spans="1:33" ht="25.15" customHeight="1" x14ac:dyDescent="0.3">
      <c r="A119" s="552"/>
      <c r="B119" s="370">
        <v>9.6</v>
      </c>
      <c r="C119" s="599"/>
      <c r="D119" s="532"/>
      <c r="E119" s="573"/>
      <c r="F119" s="367" t="s">
        <v>1096</v>
      </c>
      <c r="G119" s="252" t="s">
        <v>930</v>
      </c>
      <c r="H119" s="272" t="s">
        <v>14</v>
      </c>
      <c r="I119" s="536"/>
      <c r="J119" s="537"/>
    </row>
    <row r="120" spans="1:33" ht="25.15" customHeight="1" x14ac:dyDescent="0.3">
      <c r="A120" s="552"/>
      <c r="B120" s="370">
        <v>9.6999999999999993</v>
      </c>
      <c r="C120" s="599"/>
      <c r="D120" s="532"/>
      <c r="E120" s="573"/>
      <c r="F120" s="367" t="s">
        <v>1097</v>
      </c>
      <c r="G120" s="252" t="s">
        <v>930</v>
      </c>
      <c r="H120" s="272" t="s">
        <v>14</v>
      </c>
      <c r="I120" s="536" t="s">
        <v>1906</v>
      </c>
      <c r="J120" s="537"/>
      <c r="L120" s="345" t="s">
        <v>1098</v>
      </c>
    </row>
    <row r="121" spans="1:33" ht="25.15" customHeight="1" x14ac:dyDescent="0.3">
      <c r="A121" s="552"/>
      <c r="B121" s="370">
        <v>9.8000000000000007</v>
      </c>
      <c r="C121" s="599"/>
      <c r="D121" s="532"/>
      <c r="E121" s="573"/>
      <c r="F121" s="367" t="s">
        <v>1099</v>
      </c>
      <c r="G121" s="252" t="s">
        <v>930</v>
      </c>
      <c r="H121" s="272" t="s">
        <v>14</v>
      </c>
      <c r="I121" s="536"/>
      <c r="J121" s="537"/>
    </row>
    <row r="122" spans="1:33" ht="18" thickBot="1" x14ac:dyDescent="0.35">
      <c r="A122" s="582"/>
      <c r="B122" s="370">
        <v>9.9</v>
      </c>
      <c r="C122" s="599"/>
      <c r="D122" s="533"/>
      <c r="E122" s="600"/>
      <c r="F122" s="369" t="s">
        <v>1100</v>
      </c>
      <c r="G122" s="257" t="s">
        <v>932</v>
      </c>
      <c r="H122" s="251" t="s">
        <v>14</v>
      </c>
      <c r="I122" s="547"/>
      <c r="J122" s="548"/>
    </row>
    <row r="123" spans="1:33" x14ac:dyDescent="0.3">
      <c r="A123" s="271"/>
      <c r="B123" s="370"/>
      <c r="C123" s="599"/>
      <c r="D123" s="528" t="s">
        <v>1101</v>
      </c>
      <c r="E123" s="544"/>
      <c r="F123" s="545"/>
      <c r="G123" s="545"/>
      <c r="H123" s="546"/>
      <c r="I123" s="538" t="str">
        <f>IF(G124="N/A", "Please Explain","")</f>
        <v/>
      </c>
      <c r="J123" s="539"/>
    </row>
    <row r="124" spans="1:33" ht="69.75" thickBot="1" x14ac:dyDescent="0.35">
      <c r="A124" s="292" t="s">
        <v>1102</v>
      </c>
      <c r="B124" s="243">
        <v>10.1</v>
      </c>
      <c r="C124" s="599"/>
      <c r="D124" s="581"/>
      <c r="E124" s="375" t="s">
        <v>1103</v>
      </c>
      <c r="F124" s="375" t="s">
        <v>517</v>
      </c>
      <c r="G124" s="257" t="s">
        <v>930</v>
      </c>
      <c r="H124" s="251" t="s">
        <v>14</v>
      </c>
      <c r="I124" s="547"/>
      <c r="J124" s="548"/>
      <c r="AG124" s="330" t="str">
        <f>IF(G124="N/A", "1","")</f>
        <v/>
      </c>
    </row>
    <row r="125" spans="1:33" ht="25.15" customHeight="1" thickBot="1" x14ac:dyDescent="0.35">
      <c r="A125" s="376"/>
      <c r="B125" s="377"/>
      <c r="C125" s="501"/>
      <c r="D125" s="592" t="s">
        <v>1104</v>
      </c>
      <c r="E125" s="593"/>
      <c r="F125" s="593"/>
      <c r="G125" s="593"/>
      <c r="H125" s="593"/>
      <c r="I125" s="593"/>
      <c r="J125" s="594"/>
    </row>
    <row r="126" spans="1:33" ht="37.35" customHeight="1" x14ac:dyDescent="0.3">
      <c r="A126" s="551" t="s">
        <v>1105</v>
      </c>
      <c r="B126" s="359">
        <v>11.1</v>
      </c>
      <c r="C126" s="501"/>
      <c r="D126" s="574" t="s">
        <v>1106</v>
      </c>
      <c r="E126" s="378" t="s">
        <v>1107</v>
      </c>
      <c r="F126" s="378" t="s">
        <v>520</v>
      </c>
      <c r="G126" s="256" t="s">
        <v>930</v>
      </c>
      <c r="H126" s="379" t="s">
        <v>14</v>
      </c>
      <c r="I126" s="595"/>
      <c r="J126" s="596"/>
    </row>
    <row r="127" spans="1:33" ht="34.5" x14ac:dyDescent="0.3">
      <c r="A127" s="552"/>
      <c r="B127" s="359">
        <v>11.2</v>
      </c>
      <c r="C127" s="501"/>
      <c r="D127" s="575"/>
      <c r="E127" s="367" t="s">
        <v>1108</v>
      </c>
      <c r="F127" s="367" t="s">
        <v>523</v>
      </c>
      <c r="G127" s="252" t="s">
        <v>930</v>
      </c>
      <c r="H127" s="354" t="s">
        <v>14</v>
      </c>
      <c r="I127" s="526" t="s">
        <v>1927</v>
      </c>
      <c r="J127" s="527"/>
    </row>
    <row r="128" spans="1:33" ht="25.15" customHeight="1" x14ac:dyDescent="0.3">
      <c r="A128" s="552"/>
      <c r="B128" s="359">
        <v>11.3</v>
      </c>
      <c r="C128" s="501"/>
      <c r="D128" s="575"/>
      <c r="E128" s="573" t="s">
        <v>1109</v>
      </c>
      <c r="F128" s="367" t="s">
        <v>526</v>
      </c>
      <c r="G128" s="252" t="s">
        <v>930</v>
      </c>
      <c r="H128" s="354" t="s">
        <v>14</v>
      </c>
      <c r="I128" s="526" t="s">
        <v>1927</v>
      </c>
      <c r="J128" s="527"/>
    </row>
    <row r="129" spans="1:33" x14ac:dyDescent="0.3">
      <c r="A129" s="552"/>
      <c r="B129" s="359">
        <v>11.4</v>
      </c>
      <c r="C129" s="501"/>
      <c r="D129" s="575"/>
      <c r="E129" s="573"/>
      <c r="F129" s="367" t="s">
        <v>529</v>
      </c>
      <c r="G129" s="252" t="s">
        <v>930</v>
      </c>
      <c r="H129" s="354" t="s">
        <v>14</v>
      </c>
      <c r="I129" s="526" t="s">
        <v>1927</v>
      </c>
      <c r="J129" s="527"/>
    </row>
    <row r="130" spans="1:33" x14ac:dyDescent="0.3">
      <c r="A130" s="552"/>
      <c r="B130" s="359"/>
      <c r="C130" s="501"/>
      <c r="D130" s="575"/>
      <c r="E130" s="530"/>
      <c r="F130" s="530"/>
      <c r="G130" s="530"/>
      <c r="H130" s="530"/>
      <c r="I130" s="526" t="str">
        <f>IF(G131="Yes", "Please Explain","")&amp; IF(G131="N/A", "Comments","")</f>
        <v>Comments</v>
      </c>
      <c r="J130" s="527"/>
    </row>
    <row r="131" spans="1:33" ht="52.5" thickBot="1" x14ac:dyDescent="0.35">
      <c r="A131" s="582"/>
      <c r="B131" s="359">
        <v>11.5</v>
      </c>
      <c r="C131" s="501"/>
      <c r="D131" s="583"/>
      <c r="E131" s="369" t="s">
        <v>1110</v>
      </c>
      <c r="F131" s="369" t="s">
        <v>532</v>
      </c>
      <c r="G131" s="257" t="s">
        <v>929</v>
      </c>
      <c r="H131" s="251" t="s">
        <v>14</v>
      </c>
      <c r="I131" s="547" t="s">
        <v>1928</v>
      </c>
      <c r="J131" s="548"/>
      <c r="AG131" s="330" t="str">
        <f>IF(G131="Yes", "1","")  &amp; IF(G131="N/A", "2","")</f>
        <v>2</v>
      </c>
    </row>
    <row r="132" spans="1:33" x14ac:dyDescent="0.3">
      <c r="A132" s="293"/>
      <c r="B132" s="359"/>
      <c r="C132" s="501"/>
      <c r="D132" s="528" t="s">
        <v>1111</v>
      </c>
      <c r="E132" s="591"/>
      <c r="F132" s="591"/>
      <c r="G132" s="591"/>
      <c r="H132" s="591"/>
      <c r="I132" s="538" t="str">
        <f>IF(G133="Yes", "Please Explain","")&amp; IF(G133="N/A", "Comments","")</f>
        <v>Please Explain</v>
      </c>
      <c r="J132" s="539"/>
    </row>
    <row r="133" spans="1:33" ht="90.75" customHeight="1" x14ac:dyDescent="0.3">
      <c r="A133" s="551" t="s">
        <v>1112</v>
      </c>
      <c r="B133" s="359">
        <v>12.1</v>
      </c>
      <c r="C133" s="501"/>
      <c r="D133" s="529"/>
      <c r="E133" s="573" t="s">
        <v>1113</v>
      </c>
      <c r="F133" s="367" t="s">
        <v>535</v>
      </c>
      <c r="G133" s="252" t="s">
        <v>930</v>
      </c>
      <c r="H133" s="354" t="s">
        <v>14</v>
      </c>
      <c r="I133" s="549" t="s">
        <v>1929</v>
      </c>
      <c r="J133" s="550"/>
      <c r="AG133" s="330" t="str">
        <f>IF(G133="Yes", "1","")  &amp; IF(G133="N/A", "2","")</f>
        <v>1</v>
      </c>
    </row>
    <row r="134" spans="1:33" ht="37.15" customHeight="1" x14ac:dyDescent="0.3">
      <c r="A134" s="552"/>
      <c r="B134" s="359">
        <v>12.2</v>
      </c>
      <c r="C134" s="501"/>
      <c r="D134" s="529"/>
      <c r="E134" s="573"/>
      <c r="F134" s="367" t="s">
        <v>538</v>
      </c>
      <c r="G134" s="252" t="s">
        <v>930</v>
      </c>
      <c r="H134" s="354" t="s">
        <v>14</v>
      </c>
      <c r="I134" s="549"/>
      <c r="J134" s="550"/>
    </row>
    <row r="135" spans="1:33" ht="34.5" x14ac:dyDescent="0.3">
      <c r="A135" s="552"/>
      <c r="B135" s="359">
        <v>12.3</v>
      </c>
      <c r="C135" s="501"/>
      <c r="D135" s="529"/>
      <c r="E135" s="573"/>
      <c r="F135" s="367" t="s">
        <v>1114</v>
      </c>
      <c r="G135" s="252" t="s">
        <v>930</v>
      </c>
      <c r="H135" s="354" t="s">
        <v>14</v>
      </c>
      <c r="I135" s="526" t="s">
        <v>1927</v>
      </c>
      <c r="J135" s="527"/>
    </row>
    <row r="136" spans="1:33" ht="18.600000000000001" customHeight="1" x14ac:dyDescent="0.3">
      <c r="A136" s="552"/>
      <c r="B136" s="359">
        <v>12.4</v>
      </c>
      <c r="C136" s="501"/>
      <c r="D136" s="529"/>
      <c r="E136" s="530"/>
      <c r="F136" s="530"/>
      <c r="G136" s="530"/>
      <c r="H136" s="530"/>
      <c r="I136" s="526" t="str">
        <f>IF(G137="N/A", "Please Explain","")</f>
        <v/>
      </c>
      <c r="J136" s="527"/>
    </row>
    <row r="137" spans="1:33" ht="25.15" customHeight="1" thickBot="1" x14ac:dyDescent="0.35">
      <c r="A137" s="552"/>
      <c r="B137" s="359">
        <v>12.5</v>
      </c>
      <c r="C137" s="501"/>
      <c r="D137" s="581"/>
      <c r="E137" s="263" t="s">
        <v>544</v>
      </c>
      <c r="F137" s="369" t="s">
        <v>967</v>
      </c>
      <c r="G137" s="257" t="s">
        <v>970</v>
      </c>
      <c r="H137" s="251" t="s">
        <v>14</v>
      </c>
      <c r="I137" s="547"/>
      <c r="J137" s="548"/>
      <c r="AG137" s="330" t="str">
        <f>IF(G137="N/A", "2","")</f>
        <v/>
      </c>
    </row>
    <row r="138" spans="1:33" ht="25.15" customHeight="1" thickBot="1" x14ac:dyDescent="0.35">
      <c r="A138" s="376"/>
      <c r="B138" s="377"/>
      <c r="C138" s="501"/>
      <c r="D138" s="578" t="s">
        <v>1115</v>
      </c>
      <c r="E138" s="579"/>
      <c r="F138" s="579"/>
      <c r="G138" s="579"/>
      <c r="H138" s="579"/>
      <c r="I138" s="579"/>
      <c r="J138" s="580"/>
    </row>
    <row r="139" spans="1:33" ht="25.15" customHeight="1" x14ac:dyDescent="0.3">
      <c r="A139" s="551" t="s">
        <v>1116</v>
      </c>
      <c r="B139" s="359">
        <v>13.1</v>
      </c>
      <c r="C139" s="501"/>
      <c r="D139" s="574" t="s">
        <v>546</v>
      </c>
      <c r="E139" s="576"/>
      <c r="F139" s="577"/>
      <c r="G139" s="577"/>
      <c r="H139" s="577"/>
      <c r="I139" s="538" t="str">
        <f>IF(G140="N/A", "Please Explain","")</f>
        <v/>
      </c>
      <c r="J139" s="539"/>
    </row>
    <row r="140" spans="1:33" ht="60.75" customHeight="1" thickBot="1" x14ac:dyDescent="0.35">
      <c r="A140" s="552"/>
      <c r="B140" s="359">
        <v>13.2</v>
      </c>
      <c r="C140" s="501"/>
      <c r="D140" s="575"/>
      <c r="E140" s="275" t="s">
        <v>972</v>
      </c>
      <c r="F140" s="275" t="s">
        <v>1117</v>
      </c>
      <c r="G140" s="252" t="s">
        <v>971</v>
      </c>
      <c r="H140" s="276" t="s">
        <v>14</v>
      </c>
      <c r="I140" s="526" t="s">
        <v>1930</v>
      </c>
      <c r="J140" s="527"/>
      <c r="AG140" s="330" t="str">
        <f>IF(G140="N/A", "2","")</f>
        <v/>
      </c>
    </row>
    <row r="141" spans="1:33" ht="25.15" customHeight="1" thickBot="1" x14ac:dyDescent="0.35">
      <c r="A141" s="357"/>
      <c r="B141" s="358"/>
      <c r="C141" s="501"/>
      <c r="D141" s="564" t="s">
        <v>1118</v>
      </c>
      <c r="E141" s="565"/>
      <c r="F141" s="565"/>
      <c r="G141" s="565"/>
      <c r="H141" s="565"/>
      <c r="I141" s="565"/>
      <c r="J141" s="566"/>
    </row>
    <row r="142" spans="1:33" ht="25.15" customHeight="1" x14ac:dyDescent="0.3">
      <c r="A142" s="357"/>
      <c r="B142" s="358"/>
      <c r="C142" s="501"/>
      <c r="D142" s="528" t="s">
        <v>1119</v>
      </c>
      <c r="E142" s="591"/>
      <c r="F142" s="591"/>
      <c r="G142" s="591"/>
      <c r="H142" s="591"/>
      <c r="I142" s="538" t="str">
        <f>IF(G143="No", "Comments","")</f>
        <v>Comments</v>
      </c>
      <c r="J142" s="539"/>
    </row>
    <row r="143" spans="1:33" ht="132" customHeight="1" thickBot="1" x14ac:dyDescent="0.35">
      <c r="A143" s="292" t="s">
        <v>1120</v>
      </c>
      <c r="B143" s="359">
        <v>14.1</v>
      </c>
      <c r="C143" s="501"/>
      <c r="D143" s="581"/>
      <c r="E143" s="584" t="s">
        <v>313</v>
      </c>
      <c r="F143" s="584"/>
      <c r="G143" s="257" t="s">
        <v>932</v>
      </c>
      <c r="H143" s="251" t="s">
        <v>14</v>
      </c>
      <c r="I143" s="547" t="s">
        <v>1931</v>
      </c>
      <c r="J143" s="548"/>
      <c r="AG143" s="330" t="str">
        <f>IF(G143="No", "2","")</f>
        <v>2</v>
      </c>
    </row>
    <row r="144" spans="1:33" s="255" customFormat="1" ht="36.6" customHeight="1" thickBot="1" x14ac:dyDescent="0.25">
      <c r="A144" s="259" t="s">
        <v>1121</v>
      </c>
      <c r="B144" s="260"/>
      <c r="C144" s="501"/>
      <c r="D144" s="588" t="s">
        <v>551</v>
      </c>
      <c r="E144" s="589"/>
      <c r="F144" s="590"/>
      <c r="G144" s="317"/>
      <c r="H144" s="585"/>
      <c r="I144" s="586"/>
      <c r="J144" s="587"/>
      <c r="AG144" s="380"/>
    </row>
    <row r="145" spans="1:9" ht="125.25" customHeight="1" x14ac:dyDescent="0.3">
      <c r="A145" s="570"/>
      <c r="B145" s="571"/>
      <c r="C145" s="572"/>
      <c r="D145" s="572"/>
      <c r="E145" s="572"/>
      <c r="F145" s="572"/>
      <c r="G145" s="572"/>
      <c r="H145" s="572"/>
      <c r="I145" s="572"/>
    </row>
  </sheetData>
  <mergeCells count="239">
    <mergeCell ref="D2:J2"/>
    <mergeCell ref="D38:J38"/>
    <mergeCell ref="D40:D66"/>
    <mergeCell ref="I57:J57"/>
    <mergeCell ref="I54:J54"/>
    <mergeCell ref="I45:J45"/>
    <mergeCell ref="I46:J46"/>
    <mergeCell ref="I47:J47"/>
    <mergeCell ref="I48:J48"/>
    <mergeCell ref="I49:J49"/>
    <mergeCell ref="I65:J65"/>
    <mergeCell ref="I66:J66"/>
    <mergeCell ref="I64:J64"/>
    <mergeCell ref="F45:H45"/>
    <mergeCell ref="F47:H47"/>
    <mergeCell ref="F51:H51"/>
    <mergeCell ref="F49:H49"/>
    <mergeCell ref="I60:J60"/>
    <mergeCell ref="I61:J61"/>
    <mergeCell ref="I62:J62"/>
    <mergeCell ref="I39:J39"/>
    <mergeCell ref="I63:J63"/>
    <mergeCell ref="I55:J55"/>
    <mergeCell ref="I56:J56"/>
    <mergeCell ref="D16:J16"/>
    <mergeCell ref="I17:J18"/>
    <mergeCell ref="D21:D37"/>
    <mergeCell ref="E25:E33"/>
    <mergeCell ref="D39:H39"/>
    <mergeCell ref="F43:H43"/>
    <mergeCell ref="F41:H41"/>
    <mergeCell ref="A17:A37"/>
    <mergeCell ref="D17:D18"/>
    <mergeCell ref="I30:J30"/>
    <mergeCell ref="I31:J31"/>
    <mergeCell ref="I32:J32"/>
    <mergeCell ref="I33:J33"/>
    <mergeCell ref="I34:J34"/>
    <mergeCell ref="I26:J26"/>
    <mergeCell ref="I27:J27"/>
    <mergeCell ref="I28:J28"/>
    <mergeCell ref="I29:J29"/>
    <mergeCell ref="E17:F17"/>
    <mergeCell ref="E18:F18"/>
    <mergeCell ref="C17:C18"/>
    <mergeCell ref="C20:C37"/>
    <mergeCell ref="D19:J19"/>
    <mergeCell ref="E35:F35"/>
    <mergeCell ref="I15:J15"/>
    <mergeCell ref="I14:J14"/>
    <mergeCell ref="I13:J13"/>
    <mergeCell ref="I11:J12"/>
    <mergeCell ref="E9:F9"/>
    <mergeCell ref="A4:A15"/>
    <mergeCell ref="B4:B9"/>
    <mergeCell ref="D4:D9"/>
    <mergeCell ref="E4:F4"/>
    <mergeCell ref="E5:F5"/>
    <mergeCell ref="E6:F6"/>
    <mergeCell ref="E7:F7"/>
    <mergeCell ref="E8:F8"/>
    <mergeCell ref="I4:J9"/>
    <mergeCell ref="D11:D12"/>
    <mergeCell ref="D14:D15"/>
    <mergeCell ref="C4:C9"/>
    <mergeCell ref="C11:C15"/>
    <mergeCell ref="D10:J10"/>
    <mergeCell ref="I79:J79"/>
    <mergeCell ref="I53:J53"/>
    <mergeCell ref="I78:J78"/>
    <mergeCell ref="E37:F37"/>
    <mergeCell ref="I20:J20"/>
    <mergeCell ref="I21:J21"/>
    <mergeCell ref="I22:J22"/>
    <mergeCell ref="I23:J23"/>
    <mergeCell ref="D20:H20"/>
    <mergeCell ref="I24:J24"/>
    <mergeCell ref="I25:J25"/>
    <mergeCell ref="I35:J35"/>
    <mergeCell ref="I36:J36"/>
    <mergeCell ref="I37:J37"/>
    <mergeCell ref="E21:E24"/>
    <mergeCell ref="E36:H36"/>
    <mergeCell ref="F28:H28"/>
    <mergeCell ref="F30:H30"/>
    <mergeCell ref="F32:H32"/>
    <mergeCell ref="E34:H34"/>
    <mergeCell ref="F26:H26"/>
    <mergeCell ref="E48:E64"/>
    <mergeCell ref="F53:H53"/>
    <mergeCell ref="F55:H55"/>
    <mergeCell ref="F57:H57"/>
    <mergeCell ref="F59:H59"/>
    <mergeCell ref="F61:H61"/>
    <mergeCell ref="F63:H63"/>
    <mergeCell ref="F65:H65"/>
    <mergeCell ref="I40:J40"/>
    <mergeCell ref="I41:J41"/>
    <mergeCell ref="I42:J42"/>
    <mergeCell ref="I43:J43"/>
    <mergeCell ref="I44:J44"/>
    <mergeCell ref="I58:J58"/>
    <mergeCell ref="I59:J59"/>
    <mergeCell ref="I50:J50"/>
    <mergeCell ref="I51:J51"/>
    <mergeCell ref="I52:J52"/>
    <mergeCell ref="C39:C66"/>
    <mergeCell ref="A68:A70"/>
    <mergeCell ref="D68:D70"/>
    <mergeCell ref="A73:A81"/>
    <mergeCell ref="D73:D81"/>
    <mergeCell ref="E73:E75"/>
    <mergeCell ref="C68:C124"/>
    <mergeCell ref="A84:A88"/>
    <mergeCell ref="A89:A93"/>
    <mergeCell ref="D89:D93"/>
    <mergeCell ref="A97:A109"/>
    <mergeCell ref="E97:E101"/>
    <mergeCell ref="E103:E109"/>
    <mergeCell ref="A112:A122"/>
    <mergeCell ref="E117:E122"/>
    <mergeCell ref="A40:A66"/>
    <mergeCell ref="D67:J67"/>
    <mergeCell ref="D71:J71"/>
    <mergeCell ref="D82:J82"/>
    <mergeCell ref="D84:D86"/>
    <mergeCell ref="D87:J87"/>
    <mergeCell ref="I105:J105"/>
    <mergeCell ref="I107:J107"/>
    <mergeCell ref="I109:J109"/>
    <mergeCell ref="A126:A131"/>
    <mergeCell ref="I120:J120"/>
    <mergeCell ref="D126:D131"/>
    <mergeCell ref="E128:E129"/>
    <mergeCell ref="E143:F143"/>
    <mergeCell ref="I131:J131"/>
    <mergeCell ref="I143:J143"/>
    <mergeCell ref="H144:J144"/>
    <mergeCell ref="D144:F144"/>
    <mergeCell ref="D141:J141"/>
    <mergeCell ref="E142:H142"/>
    <mergeCell ref="I142:J142"/>
    <mergeCell ref="C125:C144"/>
    <mergeCell ref="D125:J125"/>
    <mergeCell ref="I126:J126"/>
    <mergeCell ref="I127:J127"/>
    <mergeCell ref="I128:J128"/>
    <mergeCell ref="I129:J129"/>
    <mergeCell ref="E132:H132"/>
    <mergeCell ref="I132:J132"/>
    <mergeCell ref="D123:D124"/>
    <mergeCell ref="I121:J121"/>
    <mergeCell ref="I122:J122"/>
    <mergeCell ref="E130:H130"/>
    <mergeCell ref="A145:I145"/>
    <mergeCell ref="A133:A137"/>
    <mergeCell ref="E133:E135"/>
    <mergeCell ref="A139:A140"/>
    <mergeCell ref="D139:D140"/>
    <mergeCell ref="I133:J133"/>
    <mergeCell ref="I134:J134"/>
    <mergeCell ref="I135:J135"/>
    <mergeCell ref="E136:H136"/>
    <mergeCell ref="I136:J136"/>
    <mergeCell ref="I137:J137"/>
    <mergeCell ref="E139:H139"/>
    <mergeCell ref="I139:J139"/>
    <mergeCell ref="D138:J138"/>
    <mergeCell ref="I140:J140"/>
    <mergeCell ref="D142:D143"/>
    <mergeCell ref="D132:D137"/>
    <mergeCell ref="I124:J124"/>
    <mergeCell ref="I112:J112"/>
    <mergeCell ref="I89:J89"/>
    <mergeCell ref="E90:H90"/>
    <mergeCell ref="I90:J90"/>
    <mergeCell ref="I91:J91"/>
    <mergeCell ref="E92:H92"/>
    <mergeCell ref="I92:J92"/>
    <mergeCell ref="I93:J93"/>
    <mergeCell ref="D94:J94"/>
    <mergeCell ref="D110:J110"/>
    <mergeCell ref="D95:J95"/>
    <mergeCell ref="I97:J97"/>
    <mergeCell ref="I99:J99"/>
    <mergeCell ref="I101:J101"/>
    <mergeCell ref="I103:J103"/>
    <mergeCell ref="I114:J114"/>
    <mergeCell ref="I116:J116"/>
    <mergeCell ref="I115:J115"/>
    <mergeCell ref="E96:H96"/>
    <mergeCell ref="I80:J80"/>
    <mergeCell ref="E88:H88"/>
    <mergeCell ref="I88:J88"/>
    <mergeCell ref="D1:J1"/>
    <mergeCell ref="E123:H123"/>
    <mergeCell ref="I123:J123"/>
    <mergeCell ref="I85:J85"/>
    <mergeCell ref="I86:J86"/>
    <mergeCell ref="E85:H85"/>
    <mergeCell ref="I69:J69"/>
    <mergeCell ref="I73:J73"/>
    <mergeCell ref="I72:J72"/>
    <mergeCell ref="I75:J75"/>
    <mergeCell ref="I74:J74"/>
    <mergeCell ref="I76:J76"/>
    <mergeCell ref="I77:J77"/>
    <mergeCell ref="E77:E81"/>
    <mergeCell ref="I81:J81"/>
    <mergeCell ref="F69:H69"/>
    <mergeCell ref="I68:J68"/>
    <mergeCell ref="I70:J70"/>
    <mergeCell ref="I83:J83"/>
    <mergeCell ref="I84:J84"/>
    <mergeCell ref="E40:E46"/>
    <mergeCell ref="I130:J130"/>
    <mergeCell ref="D96:D109"/>
    <mergeCell ref="F98:H98"/>
    <mergeCell ref="F100:H100"/>
    <mergeCell ref="F104:H104"/>
    <mergeCell ref="F106:H106"/>
    <mergeCell ref="F108:H108"/>
    <mergeCell ref="E102:H102"/>
    <mergeCell ref="D111:D122"/>
    <mergeCell ref="E111:H111"/>
    <mergeCell ref="E113:H113"/>
    <mergeCell ref="E115:H115"/>
    <mergeCell ref="I117:J117"/>
    <mergeCell ref="I118:J118"/>
    <mergeCell ref="I119:J119"/>
    <mergeCell ref="I96:J96"/>
    <mergeCell ref="I98:J98"/>
    <mergeCell ref="I100:J100"/>
    <mergeCell ref="I102:J102"/>
    <mergeCell ref="I104:J104"/>
    <mergeCell ref="I106:J106"/>
    <mergeCell ref="I108:J108"/>
    <mergeCell ref="I111:J111"/>
    <mergeCell ref="I113:J113"/>
  </mergeCells>
  <conditionalFormatting sqref="I14">
    <cfRule type="expression" dxfId="544" priority="281">
      <formula>AG14="1"</formula>
    </cfRule>
  </conditionalFormatting>
  <conditionalFormatting sqref="I13">
    <cfRule type="cellIs" dxfId="543" priority="282" operator="notEqual">
      <formula>""</formula>
    </cfRule>
  </conditionalFormatting>
  <conditionalFormatting sqref="I34">
    <cfRule type="cellIs" dxfId="542" priority="261" operator="notEqual">
      <formula>""</formula>
    </cfRule>
  </conditionalFormatting>
  <conditionalFormatting sqref="I39">
    <cfRule type="cellIs" dxfId="541" priority="257" operator="notEqual">
      <formula>""</formula>
    </cfRule>
  </conditionalFormatting>
  <conditionalFormatting sqref="I41">
    <cfRule type="cellIs" dxfId="540" priority="255" operator="notEqual">
      <formula>""</formula>
    </cfRule>
  </conditionalFormatting>
  <conditionalFormatting sqref="I43">
    <cfRule type="cellIs" dxfId="539" priority="253" operator="notEqual">
      <formula>""</formula>
    </cfRule>
  </conditionalFormatting>
  <conditionalFormatting sqref="I45">
    <cfRule type="cellIs" dxfId="538" priority="251" operator="notEqual">
      <formula>""</formula>
    </cfRule>
  </conditionalFormatting>
  <conditionalFormatting sqref="I47">
    <cfRule type="cellIs" dxfId="537" priority="249" operator="notEqual">
      <formula>""</formula>
    </cfRule>
  </conditionalFormatting>
  <conditionalFormatting sqref="I49">
    <cfRule type="cellIs" dxfId="536" priority="247" operator="notEqual">
      <formula>""</formula>
    </cfRule>
  </conditionalFormatting>
  <conditionalFormatting sqref="I51">
    <cfRule type="cellIs" dxfId="535" priority="245" operator="notEqual">
      <formula>""</formula>
    </cfRule>
  </conditionalFormatting>
  <conditionalFormatting sqref="I53">
    <cfRule type="cellIs" dxfId="534" priority="243" operator="notEqual">
      <formula>""</formula>
    </cfRule>
  </conditionalFormatting>
  <conditionalFormatting sqref="I55">
    <cfRule type="cellIs" dxfId="533" priority="241" operator="notEqual">
      <formula>""</formula>
    </cfRule>
  </conditionalFormatting>
  <conditionalFormatting sqref="I57">
    <cfRule type="cellIs" dxfId="532" priority="239" operator="notEqual">
      <formula>""</formula>
    </cfRule>
  </conditionalFormatting>
  <conditionalFormatting sqref="I59">
    <cfRule type="cellIs" dxfId="531" priority="237" operator="notEqual">
      <formula>""</formula>
    </cfRule>
  </conditionalFormatting>
  <conditionalFormatting sqref="I61">
    <cfRule type="cellIs" dxfId="530" priority="235" operator="notEqual">
      <formula>""</formula>
    </cfRule>
  </conditionalFormatting>
  <conditionalFormatting sqref="I63">
    <cfRule type="cellIs" dxfId="529" priority="233" operator="notEqual">
      <formula>""</formula>
    </cfRule>
  </conditionalFormatting>
  <conditionalFormatting sqref="I65">
    <cfRule type="cellIs" dxfId="528" priority="231" operator="notEqual">
      <formula>""</formula>
    </cfRule>
  </conditionalFormatting>
  <conditionalFormatting sqref="I15">
    <cfRule type="expression" dxfId="527" priority="217">
      <formula>AG15="1"</formula>
    </cfRule>
  </conditionalFormatting>
  <conditionalFormatting sqref="I40">
    <cfRule type="expression" dxfId="525" priority="213">
      <formula>AG40="1"</formula>
    </cfRule>
  </conditionalFormatting>
  <conditionalFormatting sqref="I52">
    <cfRule type="expression" dxfId="524" priority="182">
      <formula>AG52="1"</formula>
    </cfRule>
  </conditionalFormatting>
  <conditionalFormatting sqref="I42">
    <cfRule type="expression" dxfId="523" priority="187">
      <formula>AG42="1"</formula>
    </cfRule>
  </conditionalFormatting>
  <conditionalFormatting sqref="I44">
    <cfRule type="expression" dxfId="522" priority="186">
      <formula>AG44="1"</formula>
    </cfRule>
  </conditionalFormatting>
  <conditionalFormatting sqref="I50">
    <cfRule type="expression" dxfId="519" priority="183">
      <formula>AG50="1"</formula>
    </cfRule>
  </conditionalFormatting>
  <conditionalFormatting sqref="I54">
    <cfRule type="expression" dxfId="518" priority="181">
      <formula>AG54="1"</formula>
    </cfRule>
  </conditionalFormatting>
  <conditionalFormatting sqref="I56">
    <cfRule type="expression" dxfId="517" priority="180">
      <formula>AG56="1"</formula>
    </cfRule>
  </conditionalFormatting>
  <conditionalFormatting sqref="I58">
    <cfRule type="expression" dxfId="516" priority="179">
      <formula>AG58="1"</formula>
    </cfRule>
  </conditionalFormatting>
  <conditionalFormatting sqref="I60">
    <cfRule type="expression" dxfId="515" priority="177">
      <formula>AG60="1"</formula>
    </cfRule>
  </conditionalFormatting>
  <conditionalFormatting sqref="I62">
    <cfRule type="expression" dxfId="514" priority="176">
      <formula>AG62="1"</formula>
    </cfRule>
  </conditionalFormatting>
  <conditionalFormatting sqref="I64">
    <cfRule type="expression" dxfId="513" priority="175">
      <formula>AG64="1"</formula>
    </cfRule>
  </conditionalFormatting>
  <conditionalFormatting sqref="I36">
    <cfRule type="cellIs" dxfId="511" priority="172" operator="notEqual">
      <formula>""</formula>
    </cfRule>
  </conditionalFormatting>
  <conditionalFormatting sqref="I37">
    <cfRule type="expression" dxfId="510" priority="171">
      <formula>AG37="1"</formula>
    </cfRule>
  </conditionalFormatting>
  <conditionalFormatting sqref="I37:J37">
    <cfRule type="expression" dxfId="509" priority="170">
      <formula>AG37="2"</formula>
    </cfRule>
  </conditionalFormatting>
  <conditionalFormatting sqref="I20">
    <cfRule type="cellIs" dxfId="508" priority="169" operator="notEqual">
      <formula>""</formula>
    </cfRule>
  </conditionalFormatting>
  <conditionalFormatting sqref="I22">
    <cfRule type="cellIs" dxfId="507" priority="168" operator="notEqual">
      <formula>""</formula>
    </cfRule>
  </conditionalFormatting>
  <conditionalFormatting sqref="I24">
    <cfRule type="cellIs" dxfId="506" priority="167" operator="notEqual">
      <formula>""</formula>
    </cfRule>
  </conditionalFormatting>
  <conditionalFormatting sqref="I26">
    <cfRule type="cellIs" dxfId="505" priority="166" operator="notEqual">
      <formula>""</formula>
    </cfRule>
  </conditionalFormatting>
  <conditionalFormatting sqref="I28">
    <cfRule type="cellIs" dxfId="504" priority="165" operator="notEqual">
      <formula>""</formula>
    </cfRule>
  </conditionalFormatting>
  <conditionalFormatting sqref="I30">
    <cfRule type="cellIs" dxfId="503" priority="164" operator="notEqual">
      <formula>""</formula>
    </cfRule>
  </conditionalFormatting>
  <conditionalFormatting sqref="I32">
    <cfRule type="cellIs" dxfId="502" priority="163" operator="notEqual">
      <formula>""</formula>
    </cfRule>
  </conditionalFormatting>
  <conditionalFormatting sqref="I21">
    <cfRule type="expression" dxfId="501" priority="162">
      <formula>AG21="1"</formula>
    </cfRule>
  </conditionalFormatting>
  <conditionalFormatting sqref="I21:J21">
    <cfRule type="expression" dxfId="500" priority="161">
      <formula>AG21="2"</formula>
    </cfRule>
  </conditionalFormatting>
  <conditionalFormatting sqref="I69">
    <cfRule type="cellIs" dxfId="487" priority="146" operator="notEqual">
      <formula>""</formula>
    </cfRule>
  </conditionalFormatting>
  <conditionalFormatting sqref="I70">
    <cfRule type="expression" dxfId="486" priority="144">
      <formula>AG70="1"</formula>
    </cfRule>
  </conditionalFormatting>
  <conditionalFormatting sqref="I70:J70">
    <cfRule type="expression" dxfId="485" priority="142">
      <formula>AG70="3"</formula>
    </cfRule>
    <cfRule type="expression" dxfId="484" priority="143">
      <formula>AG70="2"</formula>
    </cfRule>
  </conditionalFormatting>
  <conditionalFormatting sqref="I73">
    <cfRule type="expression" dxfId="483" priority="141">
      <formula>AG73="1"</formula>
    </cfRule>
  </conditionalFormatting>
  <conditionalFormatting sqref="I73:J73">
    <cfRule type="expression" dxfId="482" priority="139">
      <formula>AG73="3"</formula>
    </cfRule>
    <cfRule type="expression" dxfId="481" priority="140">
      <formula>AG73="2"</formula>
    </cfRule>
  </conditionalFormatting>
  <conditionalFormatting sqref="I72">
    <cfRule type="cellIs" dxfId="480" priority="138" operator="notEqual">
      <formula>""</formula>
    </cfRule>
  </conditionalFormatting>
  <conditionalFormatting sqref="I75">
    <cfRule type="expression" dxfId="479" priority="137">
      <formula>AG75="1"</formula>
    </cfRule>
  </conditionalFormatting>
  <conditionalFormatting sqref="I75:J75">
    <cfRule type="expression" dxfId="478" priority="135">
      <formula>AG75="3"</formula>
    </cfRule>
    <cfRule type="expression" dxfId="477" priority="136">
      <formula>AG75="2"</formula>
    </cfRule>
  </conditionalFormatting>
  <conditionalFormatting sqref="I74">
    <cfRule type="cellIs" dxfId="476" priority="134" operator="notEqual">
      <formula>""</formula>
    </cfRule>
  </conditionalFormatting>
  <conditionalFormatting sqref="I76">
    <cfRule type="cellIs" dxfId="475" priority="133" operator="notEqual">
      <formula>""</formula>
    </cfRule>
  </conditionalFormatting>
  <conditionalFormatting sqref="I77">
    <cfRule type="expression" dxfId="474" priority="132">
      <formula>AG77="1"</formula>
    </cfRule>
  </conditionalFormatting>
  <conditionalFormatting sqref="I77:J77">
    <cfRule type="expression" dxfId="473" priority="130">
      <formula>AG77="3"</formula>
    </cfRule>
    <cfRule type="expression" dxfId="472" priority="131">
      <formula>AG77="2"</formula>
    </cfRule>
  </conditionalFormatting>
  <conditionalFormatting sqref="I79">
    <cfRule type="expression" dxfId="471" priority="129">
      <formula>AG79="1"</formula>
    </cfRule>
  </conditionalFormatting>
  <conditionalFormatting sqref="I79:J79">
    <cfRule type="expression" dxfId="470" priority="127">
      <formula>AG79="3"</formula>
    </cfRule>
    <cfRule type="expression" dxfId="469" priority="128">
      <formula>AG79="2"</formula>
    </cfRule>
  </conditionalFormatting>
  <conditionalFormatting sqref="I78">
    <cfRule type="cellIs" dxfId="468" priority="126" operator="notEqual">
      <formula>""</formula>
    </cfRule>
  </conditionalFormatting>
  <conditionalFormatting sqref="I80">
    <cfRule type="cellIs" dxfId="467" priority="125" operator="notEqual">
      <formula>""</formula>
    </cfRule>
  </conditionalFormatting>
  <conditionalFormatting sqref="I81">
    <cfRule type="expression" dxfId="466" priority="124">
      <formula>AG81="1"</formula>
    </cfRule>
  </conditionalFormatting>
  <conditionalFormatting sqref="I81:J81">
    <cfRule type="expression" dxfId="465" priority="122">
      <formula>AG81="3"</formula>
    </cfRule>
    <cfRule type="expression" dxfId="464" priority="123">
      <formula>AG81="2"</formula>
    </cfRule>
  </conditionalFormatting>
  <conditionalFormatting sqref="I83">
    <cfRule type="cellIs" dxfId="463" priority="120" operator="notEqual">
      <formula>""</formula>
    </cfRule>
  </conditionalFormatting>
  <conditionalFormatting sqref="I84">
    <cfRule type="expression" dxfId="462" priority="119">
      <formula>AG84="1"</formula>
    </cfRule>
  </conditionalFormatting>
  <conditionalFormatting sqref="I84:J84">
    <cfRule type="expression" dxfId="461" priority="117">
      <formula>AG84="3"</formula>
    </cfRule>
    <cfRule type="expression" dxfId="460" priority="118">
      <formula>AG84="2"</formula>
    </cfRule>
  </conditionalFormatting>
  <conditionalFormatting sqref="I85">
    <cfRule type="cellIs" dxfId="459" priority="116" operator="notEqual">
      <formula>""</formula>
    </cfRule>
  </conditionalFormatting>
  <conditionalFormatting sqref="I86">
    <cfRule type="expression" dxfId="458" priority="115">
      <formula>AG86="1"</formula>
    </cfRule>
  </conditionalFormatting>
  <conditionalFormatting sqref="I86:J86">
    <cfRule type="expression" dxfId="457" priority="113">
      <formula>AG86="3"</formula>
    </cfRule>
    <cfRule type="expression" dxfId="456" priority="114">
      <formula>AG86="2"</formula>
    </cfRule>
  </conditionalFormatting>
  <conditionalFormatting sqref="I88">
    <cfRule type="cellIs" dxfId="455" priority="112" operator="notEqual">
      <formula>""</formula>
    </cfRule>
  </conditionalFormatting>
  <conditionalFormatting sqref="I89">
    <cfRule type="expression" dxfId="454" priority="111">
      <formula>AG89="1"</formula>
    </cfRule>
  </conditionalFormatting>
  <conditionalFormatting sqref="I89:J89">
    <cfRule type="expression" dxfId="453" priority="109">
      <formula>AG89="3"</formula>
    </cfRule>
    <cfRule type="expression" dxfId="452" priority="110">
      <formula>AG89="2"</formula>
    </cfRule>
  </conditionalFormatting>
  <conditionalFormatting sqref="I90">
    <cfRule type="cellIs" dxfId="451" priority="108" operator="notEqual">
      <formula>""</formula>
    </cfRule>
  </conditionalFormatting>
  <conditionalFormatting sqref="I93">
    <cfRule type="expression" dxfId="450" priority="97">
      <formula>AG93="1"</formula>
    </cfRule>
  </conditionalFormatting>
  <conditionalFormatting sqref="I93:J93">
    <cfRule type="expression" dxfId="449" priority="95">
      <formula>AG93="3"</formula>
    </cfRule>
    <cfRule type="expression" dxfId="448" priority="96">
      <formula>AG93="2"</formula>
    </cfRule>
  </conditionalFormatting>
  <conditionalFormatting sqref="I91">
    <cfRule type="expression" dxfId="447" priority="101">
      <formula>AG91="1"</formula>
    </cfRule>
  </conditionalFormatting>
  <conditionalFormatting sqref="I91:J91">
    <cfRule type="expression" dxfId="446" priority="99">
      <formula>AG91="3"</formula>
    </cfRule>
    <cfRule type="expression" dxfId="445" priority="100">
      <formula>AG91="2"</formula>
    </cfRule>
  </conditionalFormatting>
  <conditionalFormatting sqref="I92">
    <cfRule type="cellIs" dxfId="444" priority="98" operator="notEqual">
      <formula>""</formula>
    </cfRule>
  </conditionalFormatting>
  <conditionalFormatting sqref="I122">
    <cfRule type="expression" dxfId="443" priority="93">
      <formula>AG122="1"</formula>
    </cfRule>
  </conditionalFormatting>
  <conditionalFormatting sqref="I123">
    <cfRule type="cellIs" dxfId="442" priority="92" operator="notEqual">
      <formula>""</formula>
    </cfRule>
  </conditionalFormatting>
  <conditionalFormatting sqref="I124">
    <cfRule type="expression" dxfId="441" priority="91">
      <formula>AG124="1"</formula>
    </cfRule>
  </conditionalFormatting>
  <conditionalFormatting sqref="I124:J124">
    <cfRule type="expression" dxfId="440" priority="89">
      <formula>AG124="3"</formula>
    </cfRule>
    <cfRule type="expression" dxfId="439" priority="90">
      <formula>AG124="2"</formula>
    </cfRule>
  </conditionalFormatting>
  <conditionalFormatting sqref="I126 I129">
    <cfRule type="expression" dxfId="438" priority="88">
      <formula>AG126="1"</formula>
    </cfRule>
  </conditionalFormatting>
  <conditionalFormatting sqref="I136">
    <cfRule type="cellIs" dxfId="437" priority="78" operator="notEqual">
      <formula>""</formula>
    </cfRule>
  </conditionalFormatting>
  <conditionalFormatting sqref="I134">
    <cfRule type="expression" dxfId="436" priority="79">
      <formula>AG134="1"</formula>
    </cfRule>
  </conditionalFormatting>
  <conditionalFormatting sqref="I137:J137">
    <cfRule type="expression" dxfId="435" priority="75">
      <formula>AG137="3"</formula>
    </cfRule>
    <cfRule type="expression" dxfId="434" priority="76">
      <formula>AG137="2"</formula>
    </cfRule>
  </conditionalFormatting>
  <conditionalFormatting sqref="I139">
    <cfRule type="cellIs" dxfId="433" priority="74" operator="notEqual">
      <formula>""</formula>
    </cfRule>
  </conditionalFormatting>
  <conditionalFormatting sqref="I137">
    <cfRule type="expression" dxfId="432" priority="77">
      <formula>AG137="1"</formula>
    </cfRule>
  </conditionalFormatting>
  <conditionalFormatting sqref="I131">
    <cfRule type="expression" dxfId="431" priority="82">
      <formula>AG131="1"</formula>
    </cfRule>
  </conditionalFormatting>
  <conditionalFormatting sqref="I131:J131">
    <cfRule type="expression" dxfId="430" priority="80">
      <formula>AG131="3"</formula>
    </cfRule>
    <cfRule type="expression" dxfId="429" priority="81">
      <formula>AG131="2"</formula>
    </cfRule>
  </conditionalFormatting>
  <conditionalFormatting sqref="I130">
    <cfRule type="cellIs" dxfId="428" priority="83" operator="notEqual">
      <formula>""</formula>
    </cfRule>
  </conditionalFormatting>
  <conditionalFormatting sqref="I142">
    <cfRule type="cellIs" dxfId="427" priority="70" operator="notEqual">
      <formula>""</formula>
    </cfRule>
  </conditionalFormatting>
  <conditionalFormatting sqref="I143:J143">
    <cfRule type="expression" dxfId="426" priority="67">
      <formula>AG143="3"</formula>
    </cfRule>
    <cfRule type="expression" dxfId="425" priority="68">
      <formula>AG143="2"</formula>
    </cfRule>
  </conditionalFormatting>
  <conditionalFormatting sqref="I143">
    <cfRule type="expression" dxfId="424" priority="69">
      <formula>AG143="1"</formula>
    </cfRule>
  </conditionalFormatting>
  <conditionalFormatting sqref="I140:J140">
    <cfRule type="expression" dxfId="423" priority="64">
      <formula>AG140="3"</formula>
    </cfRule>
    <cfRule type="expression" dxfId="422" priority="65">
      <formula>AG140="2"</formula>
    </cfRule>
  </conditionalFormatting>
  <conditionalFormatting sqref="I140">
    <cfRule type="expression" dxfId="421" priority="66">
      <formula>AG140="1"</formula>
    </cfRule>
  </conditionalFormatting>
  <conditionalFormatting sqref="I96">
    <cfRule type="cellIs" dxfId="420" priority="63" operator="notEqual">
      <formula>""</formula>
    </cfRule>
  </conditionalFormatting>
  <conditionalFormatting sqref="I97">
    <cfRule type="expression" dxfId="419" priority="62">
      <formula>AG97="1"</formula>
    </cfRule>
  </conditionalFormatting>
  <conditionalFormatting sqref="I98">
    <cfRule type="cellIs" dxfId="418" priority="59" operator="notEqual">
      <formula>""</formula>
    </cfRule>
  </conditionalFormatting>
  <conditionalFormatting sqref="I102">
    <cfRule type="cellIs" dxfId="417" priority="57" operator="notEqual">
      <formula>""</formula>
    </cfRule>
  </conditionalFormatting>
  <conditionalFormatting sqref="I104">
    <cfRule type="cellIs" dxfId="416" priority="56" operator="notEqual">
      <formula>""</formula>
    </cfRule>
  </conditionalFormatting>
  <conditionalFormatting sqref="I106">
    <cfRule type="cellIs" dxfId="415" priority="55" operator="notEqual">
      <formula>""</formula>
    </cfRule>
  </conditionalFormatting>
  <conditionalFormatting sqref="I108">
    <cfRule type="cellIs" dxfId="414" priority="54" operator="notEqual">
      <formula>""</formula>
    </cfRule>
  </conditionalFormatting>
  <conditionalFormatting sqref="I105">
    <cfRule type="expression" dxfId="413" priority="42">
      <formula>AG105="1"</formula>
    </cfRule>
  </conditionalFormatting>
  <conditionalFormatting sqref="I109">
    <cfRule type="expression" dxfId="412" priority="46">
      <formula>AG109="1"</formula>
    </cfRule>
  </conditionalFormatting>
  <conditionalFormatting sqref="I99">
    <cfRule type="expression" dxfId="411" priority="45">
      <formula>AG99="1"</formula>
    </cfRule>
  </conditionalFormatting>
  <conditionalFormatting sqref="I101">
    <cfRule type="expression" dxfId="410" priority="44">
      <formula>AG101="1"</formula>
    </cfRule>
  </conditionalFormatting>
  <conditionalFormatting sqref="I103">
    <cfRule type="expression" dxfId="409" priority="43">
      <formula>AG103="1"</formula>
    </cfRule>
  </conditionalFormatting>
  <conditionalFormatting sqref="I107">
    <cfRule type="expression" dxfId="408" priority="41">
      <formula>AG107="1"</formula>
    </cfRule>
  </conditionalFormatting>
  <conditionalFormatting sqref="I113">
    <cfRule type="cellIs" dxfId="407" priority="34" operator="notEqual">
      <formula>""</formula>
    </cfRule>
  </conditionalFormatting>
  <conditionalFormatting sqref="I114">
    <cfRule type="expression" dxfId="406" priority="33">
      <formula>AG114="1"</formula>
    </cfRule>
  </conditionalFormatting>
  <conditionalFormatting sqref="I132">
    <cfRule type="cellIs" dxfId="405" priority="30" operator="notEqual">
      <formula>""</formula>
    </cfRule>
  </conditionalFormatting>
  <conditionalFormatting sqref="I111">
    <cfRule type="cellIs" dxfId="404" priority="36" operator="notEqual">
      <formula>""</formula>
    </cfRule>
  </conditionalFormatting>
  <conditionalFormatting sqref="I112">
    <cfRule type="expression" dxfId="403" priority="35">
      <formula>AG112="1"</formula>
    </cfRule>
  </conditionalFormatting>
  <conditionalFormatting sqref="I133">
    <cfRule type="expression" dxfId="402" priority="29">
      <formula>AG133="1"</formula>
    </cfRule>
  </conditionalFormatting>
  <conditionalFormatting sqref="I115">
    <cfRule type="cellIs" dxfId="401" priority="32" operator="notEqual">
      <formula>""</formula>
    </cfRule>
  </conditionalFormatting>
  <conditionalFormatting sqref="I116">
    <cfRule type="expression" dxfId="400" priority="31">
      <formula>AG116="1"</formula>
    </cfRule>
  </conditionalFormatting>
  <conditionalFormatting sqref="I133:J133">
    <cfRule type="expression" dxfId="399" priority="27">
      <formula>AG133="3"</formula>
    </cfRule>
    <cfRule type="expression" dxfId="398" priority="28">
      <formula>AG133="2"</formula>
    </cfRule>
  </conditionalFormatting>
  <conditionalFormatting sqref="I100">
    <cfRule type="cellIs" dxfId="397" priority="26" operator="notEqual">
      <formula>""</formula>
    </cfRule>
  </conditionalFormatting>
  <conditionalFormatting sqref="I23">
    <cfRule type="expression" dxfId="19" priority="19">
      <formula>AG23="1"</formula>
    </cfRule>
  </conditionalFormatting>
  <conditionalFormatting sqref="I23:J23">
    <cfRule type="expression" dxfId="18" priority="18">
      <formula>AG23="2"</formula>
    </cfRule>
  </conditionalFormatting>
  <conditionalFormatting sqref="I25">
    <cfRule type="expression" dxfId="17" priority="17">
      <formula>AG25="1"</formula>
    </cfRule>
  </conditionalFormatting>
  <conditionalFormatting sqref="I25:J25">
    <cfRule type="expression" dxfId="16" priority="16">
      <formula>AG25="2"</formula>
    </cfRule>
  </conditionalFormatting>
  <conditionalFormatting sqref="I27">
    <cfRule type="expression" dxfId="15" priority="15">
      <formula>AG27="1"</formula>
    </cfRule>
  </conditionalFormatting>
  <conditionalFormatting sqref="I27:J27">
    <cfRule type="expression" dxfId="14" priority="14">
      <formula>AG27="2"</formula>
    </cfRule>
  </conditionalFormatting>
  <conditionalFormatting sqref="I29">
    <cfRule type="expression" dxfId="13" priority="13">
      <formula>AG29="1"</formula>
    </cfRule>
  </conditionalFormatting>
  <conditionalFormatting sqref="I29:J29">
    <cfRule type="expression" dxfId="12" priority="12">
      <formula>AG29="2"</formula>
    </cfRule>
  </conditionalFormatting>
  <conditionalFormatting sqref="I31">
    <cfRule type="expression" dxfId="11" priority="11">
      <formula>AG31="1"</formula>
    </cfRule>
  </conditionalFormatting>
  <conditionalFormatting sqref="I31:J31">
    <cfRule type="expression" dxfId="10" priority="10">
      <formula>AG31="2"</formula>
    </cfRule>
  </conditionalFormatting>
  <conditionalFormatting sqref="I33">
    <cfRule type="expression" dxfId="9" priority="9">
      <formula>AG33="1"</formula>
    </cfRule>
  </conditionalFormatting>
  <conditionalFormatting sqref="I33:J33">
    <cfRule type="expression" dxfId="8" priority="8">
      <formula>AG33="2"</formula>
    </cfRule>
  </conditionalFormatting>
  <conditionalFormatting sqref="I35">
    <cfRule type="expression" dxfId="7" priority="7">
      <formula>AG35="1"</formula>
    </cfRule>
  </conditionalFormatting>
  <conditionalFormatting sqref="I35:J35">
    <cfRule type="expression" dxfId="6" priority="6">
      <formula>AG35="2"</formula>
    </cfRule>
  </conditionalFormatting>
  <conditionalFormatting sqref="I46">
    <cfRule type="expression" dxfId="5" priority="5">
      <formula>AG46="1"</formula>
    </cfRule>
  </conditionalFormatting>
  <conditionalFormatting sqref="I48">
    <cfRule type="expression" dxfId="4" priority="4">
      <formula>AG48="1"</formula>
    </cfRule>
  </conditionalFormatting>
  <conditionalFormatting sqref="I128">
    <cfRule type="expression" dxfId="2" priority="3">
      <formula>AG128="1"</formula>
    </cfRule>
  </conditionalFormatting>
  <conditionalFormatting sqref="I127">
    <cfRule type="expression" dxfId="1" priority="2">
      <formula>AG127="1"</formula>
    </cfRule>
  </conditionalFormatting>
  <conditionalFormatting sqref="I135">
    <cfRule type="expression" dxfId="0" priority="1">
      <formula>AG135="1"</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300-000000000000}">
          <x14:formula1>
            <xm:f>'Values-DoNotDelete'!$B$2:$B$3</xm:f>
          </x14:formula1>
          <xm:sqref>G11 G14 G62 G60 G58 G56 G54 G52 G50 G48 G64 G40 G42 G44 G46 G133:G135 G126:G129 G112 G114 G116:G122</xm:sqref>
        </x14:dataValidation>
        <x14:dataValidation type="list" allowBlank="1" showInputMessage="1" showErrorMessage="1" xr:uid="{00000000-0002-0000-0300-000001000000}">
          <x14:formula1>
            <xm:f>'Values-DoNotDelete'!$A$9:$A$12</xm:f>
          </x14:formula1>
          <xm:sqref>G12</xm:sqref>
        </x14:dataValidation>
        <x14:dataValidation type="list" allowBlank="1" showInputMessage="1" showErrorMessage="1" xr:uid="{00000000-0002-0000-0300-000002000000}">
          <x14:formula1>
            <xm:f>'Values-DoNotDelete'!$C$2:$C$3</xm:f>
          </x14:formula1>
          <xm:sqref>G15</xm:sqref>
        </x14:dataValidation>
        <x14:dataValidation type="list" allowBlank="1" showInputMessage="1" showErrorMessage="1" xr:uid="{00000000-0002-0000-0300-000003000000}">
          <x14:formula1>
            <xm:f>'Values-DoNotDelete'!$B$2:$B$4</xm:f>
          </x14:formula1>
          <xm:sqref>G35 G37 G21 G23 G25 G27 G29 G31 G33 G73 G75 G77 G79 G143 G89 G93 G81 G124 G107 G97 G131 G105 G103 G101 G99 G109</xm:sqref>
        </x14:dataValidation>
        <x14:dataValidation type="list" allowBlank="1" showInputMessage="1" showErrorMessage="1" xr:uid="{00000000-0002-0000-0300-000004000000}">
          <x14:formula1>
            <xm:f>'Values-DoNotDelete'!$A$17:$A$25</xm:f>
          </x14:formula1>
          <xm:sqref>G70</xm:sqref>
        </x14:dataValidation>
        <x14:dataValidation type="list" allowBlank="1" showInputMessage="1" showErrorMessage="1" xr:uid="{00000000-0002-0000-0300-000005000000}">
          <x14:formula1>
            <xm:f>'Values-DoNotDelete'!$E$9:$E$12</xm:f>
          </x14:formula1>
          <xm:sqref>G84</xm:sqref>
        </x14:dataValidation>
        <x14:dataValidation type="list" allowBlank="1" showInputMessage="1" showErrorMessage="1" xr:uid="{00000000-0002-0000-0300-000006000000}">
          <x14:formula1>
            <xm:f>'Values-DoNotDelete'!$C$17:$C$24</xm:f>
          </x14:formula1>
          <xm:sqref>G86</xm:sqref>
        </x14:dataValidation>
        <x14:dataValidation type="list" allowBlank="1" showInputMessage="1" showErrorMessage="1" xr:uid="{00000000-0002-0000-0300-000007000000}">
          <x14:formula1>
            <xm:f>'Values-DoNotDelete'!$D$17:$D$20</xm:f>
          </x14:formula1>
          <xm:sqref>G91</xm:sqref>
        </x14:dataValidation>
        <x14:dataValidation type="list" allowBlank="1" showInputMessage="1" showErrorMessage="1" xr:uid="{00000000-0002-0000-0300-000008000000}">
          <x14:formula1>
            <xm:f>'Values-DoNotDelete'!$E$17:$E$23</xm:f>
          </x14:formula1>
          <xm:sqref>G137</xm:sqref>
        </x14:dataValidation>
        <x14:dataValidation type="list" allowBlank="1" showInputMessage="1" showErrorMessage="1" xr:uid="{00000000-0002-0000-0300-000009000000}">
          <x14:formula1>
            <xm:f>'Values-DoNotDelete'!$F$17:$F$22</xm:f>
          </x14:formula1>
          <xm:sqref>G140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83"/>
  <sheetViews>
    <sheetView topLeftCell="A157" zoomScale="130" zoomScaleNormal="130" workbookViewId="0">
      <selection activeCell="O177" sqref="O177"/>
    </sheetView>
  </sheetViews>
  <sheetFormatPr defaultColWidth="9" defaultRowHeight="14.25" x14ac:dyDescent="0.25"/>
  <cols>
    <col min="1" max="1" width="4.42578125" style="319" customWidth="1"/>
    <col min="2" max="2" width="46.42578125" style="319" customWidth="1"/>
    <col min="3" max="3" width="1.7109375" style="319" customWidth="1"/>
    <col min="4" max="4" width="28.28515625" style="319" customWidth="1"/>
    <col min="5" max="5" width="3.7109375" style="319" customWidth="1"/>
    <col min="6" max="6" width="2.28515625" style="319" bestFit="1" customWidth="1"/>
    <col min="7" max="7" width="12.7109375" style="173" customWidth="1"/>
    <col min="8" max="9" width="9" style="414" customWidth="1"/>
    <col min="10" max="10" width="12.28515625" style="414" customWidth="1"/>
    <col min="11" max="12" width="9" style="319" customWidth="1"/>
    <col min="13" max="26" width="9" style="319"/>
    <col min="27" max="27" width="0" style="319" hidden="1" customWidth="1"/>
    <col min="28" max="28" width="9" style="319"/>
    <col min="29" max="29" width="6" style="319" customWidth="1"/>
    <col min="30" max="30" width="7.140625" style="319" customWidth="1"/>
    <col min="31" max="31" width="0.140625" style="319" customWidth="1"/>
    <col min="32" max="32" width="0.140625" style="320" hidden="1" customWidth="1"/>
    <col min="33" max="16384" width="9" style="319"/>
  </cols>
  <sheetData>
    <row r="1" spans="1:32" ht="27" thickBot="1" x14ac:dyDescent="0.3">
      <c r="A1" s="503"/>
      <c r="B1" s="488" t="s">
        <v>1122</v>
      </c>
      <c r="C1" s="489"/>
      <c r="D1" s="489"/>
      <c r="E1" s="489"/>
      <c r="F1" s="489"/>
      <c r="G1" s="489"/>
      <c r="H1" s="489"/>
      <c r="I1" s="489"/>
      <c r="J1" s="490"/>
    </row>
    <row r="2" spans="1:32" s="382" customFormat="1" ht="26.25" customHeight="1" x14ac:dyDescent="0.35">
      <c r="A2" s="503"/>
      <c r="B2" s="722" t="s">
        <v>1123</v>
      </c>
      <c r="C2" s="723"/>
      <c r="D2" s="723"/>
      <c r="E2" s="723"/>
      <c r="F2" s="723"/>
      <c r="G2" s="723"/>
      <c r="H2" s="723"/>
      <c r="I2" s="723"/>
      <c r="J2" s="724"/>
      <c r="K2" s="382" t="s">
        <v>1124</v>
      </c>
      <c r="AF2" s="466"/>
    </row>
    <row r="3" spans="1:32" s="382" customFormat="1" ht="22.35" customHeight="1" thickBot="1" x14ac:dyDescent="0.4">
      <c r="A3" s="503"/>
      <c r="B3" s="725"/>
      <c r="C3" s="726"/>
      <c r="D3" s="726"/>
      <c r="E3" s="726"/>
      <c r="F3" s="726"/>
      <c r="G3" s="726"/>
      <c r="H3" s="726"/>
      <c r="I3" s="726"/>
      <c r="J3" s="727"/>
      <c r="AF3" s="466"/>
    </row>
    <row r="4" spans="1:32" ht="18" thickBot="1" x14ac:dyDescent="0.3">
      <c r="A4" s="503"/>
      <c r="B4" s="180" t="s">
        <v>7</v>
      </c>
      <c r="C4" s="383"/>
      <c r="D4" s="660" t="s">
        <v>8</v>
      </c>
      <c r="E4" s="661"/>
      <c r="F4" s="662"/>
      <c r="G4" s="642" t="s">
        <v>1125</v>
      </c>
      <c r="H4" s="643"/>
      <c r="I4" s="643"/>
      <c r="J4" s="644"/>
    </row>
    <row r="5" spans="1:32" s="254" customFormat="1" ht="26.85" customHeight="1" thickBot="1" x14ac:dyDescent="0.35">
      <c r="A5" s="503"/>
      <c r="B5" s="561" t="s">
        <v>1126</v>
      </c>
      <c r="C5" s="562"/>
      <c r="D5" s="562"/>
      <c r="E5" s="562"/>
      <c r="F5" s="563"/>
      <c r="G5" s="187"/>
      <c r="H5" s="384"/>
      <c r="I5" s="384"/>
      <c r="J5" s="385"/>
      <c r="AF5" s="330"/>
    </row>
    <row r="6" spans="1:32" x14ac:dyDescent="0.25">
      <c r="A6" s="503"/>
      <c r="B6" s="674" t="s">
        <v>1127</v>
      </c>
      <c r="C6" s="675"/>
      <c r="D6" s="663" t="s">
        <v>1873</v>
      </c>
      <c r="E6" s="664"/>
      <c r="F6" s="386" t="s">
        <v>14</v>
      </c>
      <c r="G6" s="187"/>
      <c r="H6" s="384"/>
      <c r="I6" s="384"/>
      <c r="J6" s="385"/>
    </row>
    <row r="7" spans="1:32" x14ac:dyDescent="0.25">
      <c r="A7" s="503"/>
      <c r="B7" s="674" t="s">
        <v>1128</v>
      </c>
      <c r="C7" s="675"/>
      <c r="D7" s="652" t="s">
        <v>1874</v>
      </c>
      <c r="E7" s="653"/>
      <c r="F7" s="387" t="s">
        <v>14</v>
      </c>
      <c r="G7" s="187"/>
      <c r="H7" s="384"/>
      <c r="I7" s="384"/>
      <c r="J7" s="385"/>
    </row>
    <row r="8" spans="1:32" ht="14.85" customHeight="1" x14ac:dyDescent="0.25">
      <c r="A8" s="503"/>
      <c r="B8" s="674" t="s">
        <v>1018</v>
      </c>
      <c r="C8" s="675"/>
      <c r="D8" s="652">
        <v>2021.1</v>
      </c>
      <c r="E8" s="653"/>
      <c r="F8" s="387" t="s">
        <v>14</v>
      </c>
      <c r="G8" s="187"/>
      <c r="H8" s="384"/>
      <c r="I8" s="384"/>
      <c r="J8" s="385"/>
    </row>
    <row r="9" spans="1:32" ht="33" customHeight="1" thickBot="1" x14ac:dyDescent="0.3">
      <c r="A9" s="503"/>
      <c r="B9" s="680" t="s">
        <v>1129</v>
      </c>
      <c r="C9" s="681"/>
      <c r="D9" s="667" t="s">
        <v>1888</v>
      </c>
      <c r="E9" s="668"/>
      <c r="F9" s="388" t="s">
        <v>14</v>
      </c>
      <c r="G9" s="187"/>
      <c r="H9" s="384"/>
      <c r="I9" s="384"/>
      <c r="J9" s="385"/>
    </row>
    <row r="10" spans="1:32" ht="10.5" hidden="1" customHeight="1" x14ac:dyDescent="0.25">
      <c r="A10" s="503"/>
      <c r="B10" s="669"/>
      <c r="C10" s="670"/>
      <c r="D10" s="670"/>
      <c r="E10" s="670"/>
      <c r="F10" s="670"/>
      <c r="G10" s="187"/>
      <c r="H10" s="384"/>
      <c r="I10" s="384"/>
      <c r="J10" s="385"/>
    </row>
    <row r="11" spans="1:32" ht="15.6" customHeight="1" thickBot="1" x14ac:dyDescent="0.3">
      <c r="A11" s="503"/>
      <c r="B11" s="682"/>
      <c r="C11" s="683"/>
      <c r="D11" s="683"/>
      <c r="E11" s="683"/>
      <c r="F11" s="684"/>
      <c r="G11" s="187"/>
      <c r="H11" s="187"/>
      <c r="I11" s="187"/>
      <c r="J11" s="389"/>
      <c r="K11" s="390"/>
      <c r="L11" s="390"/>
      <c r="AA11" s="391"/>
    </row>
    <row r="12" spans="1:32" ht="31.15" customHeight="1" thickBot="1" x14ac:dyDescent="0.3">
      <c r="A12" s="503"/>
      <c r="B12" s="561" t="s">
        <v>1130</v>
      </c>
      <c r="C12" s="562"/>
      <c r="D12" s="562"/>
      <c r="E12" s="562"/>
      <c r="F12" s="563"/>
      <c r="G12" s="187"/>
      <c r="H12" s="384"/>
      <c r="I12" s="384"/>
      <c r="J12" s="385"/>
    </row>
    <row r="13" spans="1:32" ht="47.1" customHeight="1" thickBot="1" x14ac:dyDescent="0.3">
      <c r="A13" s="503"/>
      <c r="B13" s="671" t="s">
        <v>1131</v>
      </c>
      <c r="C13" s="672"/>
      <c r="D13" s="672"/>
      <c r="E13" s="672"/>
      <c r="F13" s="673"/>
      <c r="G13" s="187"/>
      <c r="H13" s="384"/>
      <c r="I13" s="384"/>
      <c r="J13" s="385"/>
    </row>
    <row r="14" spans="1:32" x14ac:dyDescent="0.25">
      <c r="A14" s="503"/>
      <c r="B14" s="38" t="s">
        <v>1132</v>
      </c>
      <c r="C14" s="392"/>
      <c r="D14" s="663" t="s">
        <v>930</v>
      </c>
      <c r="E14" s="664"/>
      <c r="F14" s="386" t="s">
        <v>14</v>
      </c>
      <c r="G14" s="187"/>
      <c r="H14" s="384"/>
      <c r="I14" s="384"/>
      <c r="J14" s="385"/>
    </row>
    <row r="15" spans="1:32" x14ac:dyDescent="0.25">
      <c r="A15" s="503"/>
      <c r="B15" s="39" t="s">
        <v>1133</v>
      </c>
      <c r="C15" s="392"/>
      <c r="D15" s="652" t="s">
        <v>932</v>
      </c>
      <c r="E15" s="653"/>
      <c r="F15" s="387" t="s">
        <v>14</v>
      </c>
      <c r="G15" s="187"/>
      <c r="H15" s="384"/>
      <c r="I15" s="384"/>
      <c r="J15" s="385"/>
    </row>
    <row r="16" spans="1:32" x14ac:dyDescent="0.25">
      <c r="A16" s="503"/>
      <c r="B16" s="39" t="s">
        <v>1134</v>
      </c>
      <c r="C16" s="392"/>
      <c r="D16" s="652" t="s">
        <v>932</v>
      </c>
      <c r="E16" s="653"/>
      <c r="F16" s="387" t="s">
        <v>14</v>
      </c>
      <c r="G16" s="640" t="str">
        <f>IF(D16="Yes","Please attach evidence of PCI Compliance.", "")</f>
        <v/>
      </c>
      <c r="H16" s="640"/>
      <c r="I16" s="640"/>
      <c r="J16" s="641"/>
      <c r="AF16" s="320" t="str">
        <f>IF(D16="Yes","1","0")</f>
        <v>0</v>
      </c>
    </row>
    <row r="17" spans="1:27" x14ac:dyDescent="0.25">
      <c r="A17" s="503"/>
      <c r="B17" s="39" t="s">
        <v>1135</v>
      </c>
      <c r="C17" s="392"/>
      <c r="D17" s="652" t="s">
        <v>932</v>
      </c>
      <c r="E17" s="653"/>
      <c r="F17" s="387" t="s">
        <v>14</v>
      </c>
      <c r="G17" s="187"/>
      <c r="H17" s="384"/>
      <c r="I17" s="384"/>
      <c r="J17" s="385"/>
    </row>
    <row r="18" spans="1:27" ht="15" thickBot="1" x14ac:dyDescent="0.3">
      <c r="A18" s="503"/>
      <c r="B18" s="39" t="s">
        <v>1136</v>
      </c>
      <c r="C18" s="392"/>
      <c r="D18" s="665" t="s">
        <v>932</v>
      </c>
      <c r="E18" s="666"/>
      <c r="F18" s="387" t="s">
        <v>14</v>
      </c>
      <c r="G18" s="187"/>
      <c r="H18" s="384"/>
      <c r="I18" s="384"/>
      <c r="J18" s="385"/>
    </row>
    <row r="19" spans="1:27" s="320" customFormat="1" ht="15" thickBot="1" x14ac:dyDescent="0.3">
      <c r="A19" s="503"/>
      <c r="B19" s="50"/>
      <c r="C19" s="393"/>
      <c r="D19" s="647"/>
      <c r="E19" s="648"/>
      <c r="F19" s="394"/>
      <c r="G19" s="640" t="str">
        <f>IF(D20="Yes","Please Explain","")</f>
        <v/>
      </c>
      <c r="H19" s="640"/>
      <c r="I19" s="640"/>
      <c r="J19" s="641"/>
      <c r="K19" s="173"/>
      <c r="L19" s="173"/>
      <c r="AA19" s="319"/>
    </row>
    <row r="20" spans="1:27" ht="50.1" customHeight="1" thickBot="1" x14ac:dyDescent="0.3">
      <c r="A20" s="503"/>
      <c r="B20" s="37" t="s">
        <v>1137</v>
      </c>
      <c r="C20" s="395"/>
      <c r="D20" s="678" t="s">
        <v>932</v>
      </c>
      <c r="E20" s="679"/>
      <c r="F20" s="388" t="s">
        <v>14</v>
      </c>
      <c r="G20" s="640"/>
      <c r="H20" s="640"/>
      <c r="I20" s="640"/>
      <c r="J20" s="641"/>
      <c r="K20" s="390"/>
      <c r="L20" s="390"/>
      <c r="AA20" s="391" t="str">
        <f>IF(D20="Yes", "1","")</f>
        <v/>
      </c>
    </row>
    <row r="21" spans="1:27" ht="13.35" customHeight="1" thickBot="1" x14ac:dyDescent="0.3">
      <c r="A21" s="503"/>
      <c r="B21" s="682"/>
      <c r="C21" s="683"/>
      <c r="D21" s="683"/>
      <c r="E21" s="683"/>
      <c r="F21" s="684"/>
      <c r="G21" s="187"/>
      <c r="H21" s="187"/>
      <c r="I21" s="187"/>
      <c r="J21" s="389"/>
      <c r="K21" s="390"/>
      <c r="L21" s="390"/>
      <c r="AA21" s="391"/>
    </row>
    <row r="22" spans="1:27" ht="31.15" customHeight="1" thickBot="1" x14ac:dyDescent="0.3">
      <c r="A22" s="503"/>
      <c r="B22" s="561" t="s">
        <v>1138</v>
      </c>
      <c r="C22" s="562"/>
      <c r="D22" s="562"/>
      <c r="E22" s="562"/>
      <c r="F22" s="563"/>
      <c r="G22" s="187"/>
      <c r="H22" s="384"/>
      <c r="I22" s="384"/>
      <c r="J22" s="385"/>
    </row>
    <row r="23" spans="1:27" ht="15.75" customHeight="1" thickBot="1" x14ac:dyDescent="0.3">
      <c r="A23" s="503"/>
      <c r="B23" s="671" t="s">
        <v>1139</v>
      </c>
      <c r="C23" s="672"/>
      <c r="D23" s="672"/>
      <c r="E23" s="672"/>
      <c r="F23" s="673"/>
      <c r="G23" s="187"/>
      <c r="H23" s="384"/>
      <c r="I23" s="384"/>
      <c r="J23" s="385"/>
    </row>
    <row r="24" spans="1:27" x14ac:dyDescent="0.25">
      <c r="A24" s="503"/>
      <c r="B24" s="38" t="s">
        <v>1140</v>
      </c>
      <c r="C24" s="396"/>
      <c r="D24" s="663" t="s">
        <v>930</v>
      </c>
      <c r="E24" s="664"/>
      <c r="F24" s="386" t="s">
        <v>14</v>
      </c>
      <c r="G24" s="187"/>
      <c r="H24" s="384"/>
      <c r="I24" s="384"/>
      <c r="J24" s="385"/>
    </row>
    <row r="25" spans="1:27" ht="15" thickBot="1" x14ac:dyDescent="0.3">
      <c r="A25" s="503"/>
      <c r="B25" s="39" t="s">
        <v>1141</v>
      </c>
      <c r="C25" s="397"/>
      <c r="D25" s="665" t="s">
        <v>932</v>
      </c>
      <c r="E25" s="666"/>
      <c r="F25" s="387" t="s">
        <v>14</v>
      </c>
      <c r="G25" s="187"/>
      <c r="H25" s="384"/>
      <c r="I25" s="384"/>
      <c r="J25" s="385"/>
    </row>
    <row r="26" spans="1:27" ht="14.1" customHeight="1" thickBot="1" x14ac:dyDescent="0.3">
      <c r="A26" s="503"/>
      <c r="B26" s="39"/>
      <c r="C26" s="397"/>
      <c r="D26" s="647"/>
      <c r="E26" s="648"/>
      <c r="F26" s="387"/>
      <c r="G26" s="645" t="str">
        <f>IF(D27="Yes", "Comment","")</f>
        <v/>
      </c>
      <c r="H26" s="645"/>
      <c r="I26" s="645"/>
      <c r="J26" s="646"/>
      <c r="K26" s="398"/>
      <c r="L26" s="398"/>
      <c r="AA26" s="391"/>
    </row>
    <row r="27" spans="1:27" ht="28.5" x14ac:dyDescent="0.25">
      <c r="A27" s="503"/>
      <c r="B27" s="39" t="s">
        <v>103</v>
      </c>
      <c r="C27" s="397"/>
      <c r="D27" s="687" t="s">
        <v>932</v>
      </c>
      <c r="E27" s="688"/>
      <c r="F27" s="399"/>
      <c r="G27" s="486"/>
      <c r="H27" s="486"/>
      <c r="I27" s="486"/>
      <c r="J27" s="514"/>
      <c r="K27" s="390"/>
      <c r="L27" s="390"/>
      <c r="AA27" s="391" t="str">
        <f>IF(D27="Yes", "1","")</f>
        <v/>
      </c>
    </row>
    <row r="28" spans="1:27" ht="29.25" thickBot="1" x14ac:dyDescent="0.3">
      <c r="A28" s="503"/>
      <c r="B28" s="39" t="s">
        <v>106</v>
      </c>
      <c r="C28" s="397"/>
      <c r="D28" s="665" t="s">
        <v>932</v>
      </c>
      <c r="E28" s="666"/>
      <c r="F28" s="387" t="s">
        <v>14</v>
      </c>
      <c r="G28" s="187"/>
      <c r="H28" s="384"/>
      <c r="I28" s="384"/>
      <c r="J28" s="385"/>
    </row>
    <row r="29" spans="1:27" ht="15" thickBot="1" x14ac:dyDescent="0.3">
      <c r="A29" s="503"/>
      <c r="B29" s="39"/>
      <c r="C29" s="397"/>
      <c r="D29" s="647"/>
      <c r="E29" s="648"/>
      <c r="F29" s="387"/>
      <c r="G29" s="645" t="str">
        <f>IF(D30="N/A", "Comment","")</f>
        <v/>
      </c>
      <c r="H29" s="645"/>
      <c r="I29" s="645"/>
      <c r="J29" s="646"/>
      <c r="K29" s="398"/>
      <c r="L29" s="398"/>
      <c r="AA29" s="391"/>
    </row>
    <row r="30" spans="1:27" ht="30.6" customHeight="1" thickBot="1" x14ac:dyDescent="0.3">
      <c r="A30" s="503"/>
      <c r="B30" s="37" t="s">
        <v>1142</v>
      </c>
      <c r="C30" s="400"/>
      <c r="D30" s="676" t="s">
        <v>932</v>
      </c>
      <c r="E30" s="677"/>
      <c r="F30" s="401"/>
      <c r="G30" s="486"/>
      <c r="H30" s="486"/>
      <c r="I30" s="486"/>
      <c r="J30" s="514"/>
      <c r="K30" s="390"/>
      <c r="L30" s="390"/>
      <c r="AA30" s="391" t="str">
        <f>IF(D30="N/A", "1","")</f>
        <v/>
      </c>
    </row>
    <row r="31" spans="1:27" ht="15.6" customHeight="1" thickBot="1" x14ac:dyDescent="0.3">
      <c r="A31" s="503"/>
      <c r="B31" s="682"/>
      <c r="C31" s="683"/>
      <c r="D31" s="683"/>
      <c r="E31" s="683"/>
      <c r="F31" s="684"/>
      <c r="G31" s="187"/>
      <c r="H31" s="187"/>
      <c r="I31" s="187"/>
      <c r="J31" s="389"/>
      <c r="K31" s="390"/>
      <c r="L31" s="390"/>
      <c r="AA31" s="391"/>
    </row>
    <row r="32" spans="1:27" ht="31.15" customHeight="1" thickBot="1" x14ac:dyDescent="0.3">
      <c r="A32" s="503"/>
      <c r="B32" s="561" t="s">
        <v>1143</v>
      </c>
      <c r="C32" s="562"/>
      <c r="D32" s="562"/>
      <c r="E32" s="562"/>
      <c r="F32" s="563"/>
      <c r="G32" s="187"/>
      <c r="H32" s="384"/>
      <c r="I32" s="384"/>
      <c r="J32" s="385"/>
    </row>
    <row r="33" spans="1:27" ht="15.75" customHeight="1" thickBot="1" x14ac:dyDescent="0.3">
      <c r="A33" s="503"/>
      <c r="B33" s="671" t="s">
        <v>1144</v>
      </c>
      <c r="C33" s="672"/>
      <c r="D33" s="672"/>
      <c r="E33" s="672"/>
      <c r="F33" s="673"/>
      <c r="G33" s="187"/>
      <c r="H33" s="384"/>
      <c r="I33" s="384"/>
      <c r="J33" s="385"/>
    </row>
    <row r="34" spans="1:27" x14ac:dyDescent="0.25">
      <c r="A34" s="503"/>
      <c r="B34" s="38" t="s">
        <v>1145</v>
      </c>
      <c r="C34" s="402"/>
      <c r="D34" s="663" t="s">
        <v>930</v>
      </c>
      <c r="E34" s="664"/>
      <c r="F34" s="386" t="s">
        <v>14</v>
      </c>
      <c r="G34" s="187"/>
      <c r="H34" s="384"/>
      <c r="I34" s="384"/>
      <c r="J34" s="385"/>
    </row>
    <row r="35" spans="1:27" x14ac:dyDescent="0.25">
      <c r="A35" s="503"/>
      <c r="B35" s="39" t="s">
        <v>1146</v>
      </c>
      <c r="C35" s="402"/>
      <c r="D35" s="652" t="s">
        <v>932</v>
      </c>
      <c r="E35" s="653"/>
      <c r="F35" s="387" t="s">
        <v>14</v>
      </c>
      <c r="G35" s="187"/>
      <c r="H35" s="384"/>
      <c r="I35" s="384"/>
      <c r="J35" s="385"/>
    </row>
    <row r="36" spans="1:27" x14ac:dyDescent="0.25">
      <c r="A36" s="503"/>
      <c r="B36" s="39" t="s">
        <v>1147</v>
      </c>
      <c r="C36" s="402"/>
      <c r="D36" s="652" t="s">
        <v>932</v>
      </c>
      <c r="E36" s="653"/>
      <c r="F36" s="387" t="s">
        <v>14</v>
      </c>
      <c r="G36" s="187"/>
      <c r="H36" s="384"/>
      <c r="I36" s="384"/>
      <c r="J36" s="385"/>
    </row>
    <row r="37" spans="1:27" x14ac:dyDescent="0.25">
      <c r="A37" s="503"/>
      <c r="B37" s="39" t="s">
        <v>996</v>
      </c>
      <c r="C37" s="402"/>
      <c r="D37" s="652" t="s">
        <v>932</v>
      </c>
      <c r="E37" s="653"/>
      <c r="F37" s="387" t="s">
        <v>14</v>
      </c>
      <c r="G37" s="187"/>
      <c r="H37" s="384"/>
      <c r="I37" s="384"/>
      <c r="J37" s="385"/>
    </row>
    <row r="38" spans="1:27" ht="28.5" customHeight="1" x14ac:dyDescent="0.25">
      <c r="A38" s="503"/>
      <c r="B38" s="39" t="s">
        <v>1148</v>
      </c>
      <c r="C38" s="402"/>
      <c r="D38" s="652" t="s">
        <v>930</v>
      </c>
      <c r="E38" s="653"/>
      <c r="F38" s="387" t="s">
        <v>14</v>
      </c>
      <c r="G38" s="850" t="s">
        <v>1889</v>
      </c>
      <c r="H38" s="640"/>
      <c r="I38" s="640"/>
      <c r="J38" s="641"/>
    </row>
    <row r="39" spans="1:27" x14ac:dyDescent="0.25">
      <c r="A39" s="503"/>
      <c r="B39" s="39" t="s">
        <v>1149</v>
      </c>
      <c r="C39" s="402"/>
      <c r="D39" s="652" t="s">
        <v>932</v>
      </c>
      <c r="E39" s="653"/>
      <c r="F39" s="387" t="s">
        <v>14</v>
      </c>
      <c r="G39" s="187"/>
      <c r="H39" s="384"/>
      <c r="I39" s="384"/>
      <c r="J39" s="385"/>
    </row>
    <row r="40" spans="1:27" ht="39" customHeight="1" thickBot="1" x14ac:dyDescent="0.3">
      <c r="A40" s="503"/>
      <c r="B40" s="37" t="s">
        <v>1150</v>
      </c>
      <c r="C40" s="403"/>
      <c r="D40" s="685" t="s">
        <v>930</v>
      </c>
      <c r="E40" s="686"/>
      <c r="F40" s="388" t="s">
        <v>14</v>
      </c>
      <c r="G40" s="850" t="s">
        <v>1890</v>
      </c>
      <c r="H40" s="640"/>
      <c r="I40" s="640"/>
      <c r="J40" s="641"/>
    </row>
    <row r="41" spans="1:27" ht="15.6" customHeight="1" thickBot="1" x14ac:dyDescent="0.3">
      <c r="A41" s="503"/>
      <c r="B41" s="682"/>
      <c r="C41" s="683"/>
      <c r="D41" s="683"/>
      <c r="E41" s="683"/>
      <c r="F41" s="684"/>
      <c r="G41" s="187"/>
      <c r="H41" s="187"/>
      <c r="I41" s="187"/>
      <c r="J41" s="389"/>
      <c r="K41" s="390"/>
      <c r="L41" s="390"/>
      <c r="AA41" s="391"/>
    </row>
    <row r="42" spans="1:27" ht="31.15" customHeight="1" thickBot="1" x14ac:dyDescent="0.3">
      <c r="A42" s="503"/>
      <c r="B42" s="561" t="s">
        <v>1151</v>
      </c>
      <c r="C42" s="562"/>
      <c r="D42" s="562"/>
      <c r="E42" s="562"/>
      <c r="F42" s="563"/>
      <c r="G42" s="187"/>
      <c r="H42" s="384"/>
      <c r="I42" s="384"/>
      <c r="J42" s="385"/>
    </row>
    <row r="43" spans="1:27" ht="28.5" customHeight="1" thickBot="1" x14ac:dyDescent="0.3">
      <c r="A43" s="503"/>
      <c r="B43" s="671" t="s">
        <v>1152</v>
      </c>
      <c r="C43" s="672"/>
      <c r="D43" s="672"/>
      <c r="E43" s="672"/>
      <c r="F43" s="673"/>
      <c r="G43" s="187"/>
      <c r="H43" s="384"/>
      <c r="I43" s="384"/>
      <c r="J43" s="385"/>
    </row>
    <row r="44" spans="1:27" x14ac:dyDescent="0.25">
      <c r="A44" s="503"/>
      <c r="B44" s="38" t="s">
        <v>1132</v>
      </c>
      <c r="C44" s="404"/>
      <c r="D44" s="663" t="s">
        <v>930</v>
      </c>
      <c r="E44" s="664"/>
      <c r="F44" s="386" t="s">
        <v>14</v>
      </c>
      <c r="G44" s="187"/>
      <c r="H44" s="384"/>
      <c r="I44" s="384"/>
      <c r="J44" s="385"/>
    </row>
    <row r="45" spans="1:27" x14ac:dyDescent="0.25">
      <c r="A45" s="503"/>
      <c r="B45" s="39" t="s">
        <v>1133</v>
      </c>
      <c r="C45" s="402"/>
      <c r="D45" s="652" t="s">
        <v>932</v>
      </c>
      <c r="E45" s="653"/>
      <c r="F45" s="387" t="s">
        <v>14</v>
      </c>
      <c r="G45" s="187"/>
      <c r="H45" s="384"/>
      <c r="I45" s="384"/>
      <c r="J45" s="385"/>
    </row>
    <row r="46" spans="1:27" x14ac:dyDescent="0.25">
      <c r="A46" s="503"/>
      <c r="B46" s="39" t="s">
        <v>1134</v>
      </c>
      <c r="C46" s="402"/>
      <c r="D46" s="652" t="s">
        <v>932</v>
      </c>
      <c r="E46" s="653"/>
      <c r="F46" s="387" t="s">
        <v>14</v>
      </c>
      <c r="G46" s="187"/>
      <c r="H46" s="384"/>
      <c r="I46" s="384"/>
      <c r="J46" s="385"/>
    </row>
    <row r="47" spans="1:27" x14ac:dyDescent="0.25">
      <c r="A47" s="503"/>
      <c r="B47" s="39" t="s">
        <v>1153</v>
      </c>
      <c r="C47" s="402"/>
      <c r="D47" s="652" t="s">
        <v>932</v>
      </c>
      <c r="E47" s="653"/>
      <c r="F47" s="387" t="s">
        <v>14</v>
      </c>
      <c r="G47" s="187"/>
      <c r="H47" s="384"/>
      <c r="I47" s="384"/>
      <c r="J47" s="385"/>
    </row>
    <row r="48" spans="1:27" ht="15" thickBot="1" x14ac:dyDescent="0.3">
      <c r="A48" s="503"/>
      <c r="B48" s="39" t="s">
        <v>1154</v>
      </c>
      <c r="C48" s="402"/>
      <c r="D48" s="652" t="s">
        <v>932</v>
      </c>
      <c r="E48" s="653"/>
      <c r="F48" s="387" t="s">
        <v>14</v>
      </c>
      <c r="G48" s="187"/>
      <c r="H48" s="384"/>
      <c r="I48" s="384"/>
      <c r="J48" s="385"/>
    </row>
    <row r="49" spans="1:27" ht="15" thickBot="1" x14ac:dyDescent="0.3">
      <c r="A49" s="503"/>
      <c r="B49" s="39"/>
      <c r="C49" s="402"/>
      <c r="D49" s="647"/>
      <c r="E49" s="648"/>
      <c r="F49" s="387"/>
      <c r="G49" s="486" t="str">
        <f>IF(D50="Yes", "Please Specify","")</f>
        <v>Please Specify</v>
      </c>
      <c r="H49" s="486"/>
      <c r="I49" s="486"/>
      <c r="J49" s="514"/>
      <c r="K49" s="173"/>
      <c r="L49" s="173"/>
      <c r="AA49" s="320"/>
    </row>
    <row r="50" spans="1:27" ht="29.25" thickBot="1" x14ac:dyDescent="0.3">
      <c r="A50" s="503"/>
      <c r="B50" s="37" t="s">
        <v>148</v>
      </c>
      <c r="C50" s="403"/>
      <c r="D50" s="676" t="s">
        <v>930</v>
      </c>
      <c r="E50" s="677"/>
      <c r="F50" s="388" t="s">
        <v>14</v>
      </c>
      <c r="G50" s="486" t="s">
        <v>1891</v>
      </c>
      <c r="H50" s="486"/>
      <c r="I50" s="486"/>
      <c r="J50" s="514"/>
      <c r="K50" s="390"/>
      <c r="L50" s="390"/>
      <c r="AA50" s="391" t="str">
        <f>IF(D50="Yes", "1","")</f>
        <v>1</v>
      </c>
    </row>
    <row r="51" spans="1:27" ht="15.6" customHeight="1" thickBot="1" x14ac:dyDescent="0.3">
      <c r="A51" s="503"/>
      <c r="B51" s="682"/>
      <c r="C51" s="683"/>
      <c r="D51" s="683"/>
      <c r="E51" s="683"/>
      <c r="F51" s="684"/>
      <c r="G51" s="187"/>
      <c r="H51" s="187"/>
      <c r="I51" s="187"/>
      <c r="J51" s="389"/>
      <c r="K51" s="390"/>
      <c r="L51" s="390"/>
      <c r="AA51" s="391"/>
    </row>
    <row r="52" spans="1:27" ht="31.15" customHeight="1" thickBot="1" x14ac:dyDescent="0.3">
      <c r="A52" s="503"/>
      <c r="B52" s="561" t="s">
        <v>1155</v>
      </c>
      <c r="C52" s="562"/>
      <c r="D52" s="562"/>
      <c r="E52" s="562"/>
      <c r="F52" s="563"/>
      <c r="G52" s="187"/>
      <c r="H52" s="384"/>
      <c r="I52" s="384"/>
      <c r="J52" s="385"/>
    </row>
    <row r="53" spans="1:27" ht="14.25" customHeight="1" thickBot="1" x14ac:dyDescent="0.3">
      <c r="A53" s="503"/>
      <c r="B53" s="682"/>
      <c r="C53" s="683"/>
      <c r="D53" s="683"/>
      <c r="E53" s="683"/>
      <c r="F53" s="684"/>
      <c r="G53" s="640" t="str">
        <f>IF(D54="Vendor", "Comments","")</f>
        <v/>
      </c>
      <c r="H53" s="640"/>
      <c r="I53" s="640"/>
      <c r="J53" s="641"/>
    </row>
    <row r="54" spans="1:27" ht="68.099999999999994" customHeight="1" thickBot="1" x14ac:dyDescent="0.3">
      <c r="A54" s="503"/>
      <c r="B54" s="40" t="s">
        <v>151</v>
      </c>
      <c r="C54" s="405"/>
      <c r="D54" s="663" t="s">
        <v>926</v>
      </c>
      <c r="E54" s="664"/>
      <c r="F54" s="386" t="s">
        <v>14</v>
      </c>
      <c r="G54" s="640"/>
      <c r="H54" s="640"/>
      <c r="I54" s="640"/>
      <c r="J54" s="641"/>
      <c r="AA54" s="320" t="str">
        <f>IF(D54="Vendor", "1","")</f>
        <v/>
      </c>
    </row>
    <row r="55" spans="1:27" ht="15" thickBot="1" x14ac:dyDescent="0.3">
      <c r="A55" s="503"/>
      <c r="B55" s="40" t="s">
        <v>154</v>
      </c>
      <c r="C55" s="312"/>
      <c r="D55" s="685" t="s">
        <v>1892</v>
      </c>
      <c r="E55" s="686"/>
      <c r="F55" s="386" t="s">
        <v>14</v>
      </c>
      <c r="G55" s="187"/>
      <c r="H55" s="384"/>
      <c r="I55" s="384"/>
      <c r="J55" s="385"/>
    </row>
    <row r="56" spans="1:27" ht="41.1" customHeight="1" thickBot="1" x14ac:dyDescent="0.3">
      <c r="A56" s="503"/>
      <c r="B56" s="40" t="s">
        <v>157</v>
      </c>
      <c r="C56" s="406"/>
      <c r="D56" s="692"/>
      <c r="E56" s="686"/>
      <c r="F56" s="407" t="s">
        <v>14</v>
      </c>
      <c r="G56" s="187"/>
      <c r="H56" s="384"/>
      <c r="I56" s="384"/>
      <c r="J56" s="385"/>
    </row>
    <row r="57" spans="1:27" ht="15.6" customHeight="1" thickBot="1" x14ac:dyDescent="0.3">
      <c r="A57" s="503"/>
      <c r="B57" s="682"/>
      <c r="C57" s="683"/>
      <c r="D57" s="683"/>
      <c r="E57" s="683"/>
      <c r="F57" s="684"/>
      <c r="G57" s="187"/>
      <c r="H57" s="187"/>
      <c r="I57" s="187"/>
      <c r="J57" s="389"/>
      <c r="K57" s="390"/>
      <c r="L57" s="390"/>
      <c r="AA57" s="391"/>
    </row>
    <row r="58" spans="1:27" ht="31.15" customHeight="1" thickBot="1" x14ac:dyDescent="0.3">
      <c r="A58" s="503"/>
      <c r="B58" s="561" t="s">
        <v>1057</v>
      </c>
      <c r="C58" s="562"/>
      <c r="D58" s="562"/>
      <c r="E58" s="562"/>
      <c r="F58" s="563"/>
      <c r="G58" s="187"/>
      <c r="H58" s="384"/>
      <c r="I58" s="384"/>
      <c r="J58" s="385"/>
    </row>
    <row r="59" spans="1:27" ht="14.1" customHeight="1" thickBot="1" x14ac:dyDescent="0.3">
      <c r="A59" s="503"/>
      <c r="B59" s="520"/>
      <c r="C59" s="690"/>
      <c r="D59" s="690"/>
      <c r="E59" s="690"/>
      <c r="F59" s="691"/>
      <c r="G59" s="486" t="str">
        <f>IF(D60="No", "Please Explain","")</f>
        <v/>
      </c>
      <c r="H59" s="486"/>
      <c r="I59" s="486"/>
      <c r="J59" s="514"/>
      <c r="K59" s="173"/>
      <c r="L59" s="173"/>
    </row>
    <row r="60" spans="1:27" ht="43.5" thickBot="1" x14ac:dyDescent="0.3">
      <c r="A60" s="503"/>
      <c r="B60" s="41" t="s">
        <v>1156</v>
      </c>
      <c r="C60" s="408"/>
      <c r="D60" s="678" t="s">
        <v>930</v>
      </c>
      <c r="E60" s="679"/>
      <c r="F60" s="407" t="s">
        <v>14</v>
      </c>
      <c r="G60" s="659"/>
      <c r="H60" s="487"/>
      <c r="I60" s="487"/>
      <c r="J60" s="654"/>
      <c r="K60" s="390"/>
      <c r="L60" s="390"/>
      <c r="AA60" s="391" t="str">
        <f>IF(D60="No", "2","")</f>
        <v/>
      </c>
    </row>
    <row r="61" spans="1:27" ht="33.6" customHeight="1" thickBot="1" x14ac:dyDescent="0.3">
      <c r="A61" s="503"/>
      <c r="B61" s="689" t="s">
        <v>1157</v>
      </c>
      <c r="C61" s="672"/>
      <c r="D61" s="672"/>
      <c r="E61" s="672"/>
      <c r="F61" s="673"/>
      <c r="G61" s="187"/>
      <c r="H61" s="384"/>
      <c r="I61" s="384"/>
      <c r="J61" s="385"/>
    </row>
    <row r="62" spans="1:27" ht="15" customHeight="1" thickBot="1" x14ac:dyDescent="0.3">
      <c r="A62" s="503"/>
      <c r="B62" s="520"/>
      <c r="C62" s="690"/>
      <c r="D62" s="690"/>
      <c r="E62" s="690"/>
      <c r="F62" s="691"/>
      <c r="G62" s="486" t="str">
        <f>IF(D63="No", "Please Explain","")</f>
        <v/>
      </c>
      <c r="H62" s="486"/>
      <c r="I62" s="486"/>
      <c r="J62" s="514"/>
      <c r="K62" s="173"/>
      <c r="L62" s="173"/>
    </row>
    <row r="63" spans="1:27" ht="15" thickBot="1" x14ac:dyDescent="0.3">
      <c r="A63" s="503"/>
      <c r="B63" s="38" t="s">
        <v>1158</v>
      </c>
      <c r="C63" s="409"/>
      <c r="D63" s="663" t="s">
        <v>930</v>
      </c>
      <c r="E63" s="664"/>
      <c r="F63" s="386" t="s">
        <v>14</v>
      </c>
      <c r="G63" s="487"/>
      <c r="H63" s="487"/>
      <c r="I63" s="487"/>
      <c r="J63" s="654"/>
      <c r="K63" s="390"/>
      <c r="L63" s="390"/>
      <c r="AA63" s="391" t="str">
        <f>IF(D63="No", "2","")</f>
        <v/>
      </c>
    </row>
    <row r="64" spans="1:27" ht="15" thickBot="1" x14ac:dyDescent="0.3">
      <c r="A64" s="503"/>
      <c r="B64" s="50"/>
      <c r="C64" s="391"/>
      <c r="D64" s="647"/>
      <c r="E64" s="648"/>
      <c r="F64" s="394"/>
      <c r="G64" s="486" t="str">
        <f>IF(D65="No", "Please Explain","")</f>
        <v>Please Explain</v>
      </c>
      <c r="H64" s="486"/>
      <c r="I64" s="486"/>
      <c r="J64" s="514"/>
      <c r="K64" s="173"/>
      <c r="L64" s="173"/>
    </row>
    <row r="65" spans="1:27" ht="15" thickBot="1" x14ac:dyDescent="0.3">
      <c r="A65" s="503"/>
      <c r="B65" s="39" t="s">
        <v>1159</v>
      </c>
      <c r="C65" s="410"/>
      <c r="D65" s="652" t="s">
        <v>932</v>
      </c>
      <c r="E65" s="653"/>
      <c r="F65" s="387" t="s">
        <v>14</v>
      </c>
      <c r="G65" s="487"/>
      <c r="H65" s="487"/>
      <c r="I65" s="487"/>
      <c r="J65" s="654"/>
      <c r="K65" s="390"/>
      <c r="L65" s="390"/>
      <c r="AA65" s="391" t="str">
        <f>IF(D65="No", "2","")</f>
        <v>2</v>
      </c>
    </row>
    <row r="66" spans="1:27" ht="15" thickBot="1" x14ac:dyDescent="0.3">
      <c r="A66" s="503"/>
      <c r="B66" s="50"/>
      <c r="C66" s="391"/>
      <c r="D66" s="647"/>
      <c r="E66" s="648"/>
      <c r="F66" s="394"/>
      <c r="G66" s="486" t="str">
        <f>IF(D67="No", "Please Explain","")</f>
        <v>Please Explain</v>
      </c>
      <c r="H66" s="486"/>
      <c r="I66" s="486"/>
      <c r="J66" s="514"/>
      <c r="K66" s="173"/>
      <c r="L66" s="173"/>
    </row>
    <row r="67" spans="1:27" ht="15" thickBot="1" x14ac:dyDescent="0.3">
      <c r="A67" s="503"/>
      <c r="B67" s="39" t="s">
        <v>1160</v>
      </c>
      <c r="C67" s="410"/>
      <c r="D67" s="652" t="s">
        <v>932</v>
      </c>
      <c r="E67" s="653"/>
      <c r="F67" s="387" t="s">
        <v>14</v>
      </c>
      <c r="G67" s="487"/>
      <c r="H67" s="487"/>
      <c r="I67" s="487"/>
      <c r="J67" s="654"/>
      <c r="K67" s="390"/>
      <c r="L67" s="390"/>
      <c r="AA67" s="391" t="str">
        <f>IF(D67="No", "2","")</f>
        <v>2</v>
      </c>
    </row>
    <row r="68" spans="1:27" ht="15" thickBot="1" x14ac:dyDescent="0.3">
      <c r="A68" s="503"/>
      <c r="B68" s="50"/>
      <c r="C68" s="391"/>
      <c r="D68" s="647"/>
      <c r="E68" s="648"/>
      <c r="F68" s="394"/>
      <c r="G68" s="486" t="str">
        <f>IF(D69="No", "Please Explain","")</f>
        <v>Please Explain</v>
      </c>
      <c r="H68" s="486"/>
      <c r="I68" s="486"/>
      <c r="J68" s="514"/>
      <c r="K68" s="173"/>
      <c r="L68" s="173"/>
    </row>
    <row r="69" spans="1:27" ht="15" thickBot="1" x14ac:dyDescent="0.3">
      <c r="A69" s="503"/>
      <c r="B69" s="39" t="s">
        <v>1161</v>
      </c>
      <c r="C69" s="410"/>
      <c r="D69" s="652" t="s">
        <v>932</v>
      </c>
      <c r="E69" s="653"/>
      <c r="F69" s="387" t="s">
        <v>14</v>
      </c>
      <c r="G69" s="487"/>
      <c r="H69" s="487"/>
      <c r="I69" s="487"/>
      <c r="J69" s="654"/>
      <c r="K69" s="390"/>
      <c r="L69" s="390"/>
      <c r="AA69" s="391" t="str">
        <f>IF(D69="No", "2","")</f>
        <v>2</v>
      </c>
    </row>
    <row r="70" spans="1:27" ht="15" thickBot="1" x14ac:dyDescent="0.3">
      <c r="A70" s="503"/>
      <c r="B70" s="50"/>
      <c r="C70" s="391"/>
      <c r="D70" s="647"/>
      <c r="E70" s="648"/>
      <c r="F70" s="394"/>
      <c r="G70" s="486" t="str">
        <f>IF(D71="No", "Please Explain","")</f>
        <v/>
      </c>
      <c r="H70" s="486"/>
      <c r="I70" s="486"/>
      <c r="J70" s="514"/>
      <c r="K70" s="173"/>
      <c r="L70" s="173"/>
    </row>
    <row r="71" spans="1:27" ht="15" thickBot="1" x14ac:dyDescent="0.3">
      <c r="A71" s="503"/>
      <c r="B71" s="39" t="s">
        <v>1162</v>
      </c>
      <c r="C71" s="410"/>
      <c r="D71" s="652" t="s">
        <v>930</v>
      </c>
      <c r="E71" s="653"/>
      <c r="F71" s="387" t="s">
        <v>14</v>
      </c>
      <c r="G71" s="487"/>
      <c r="H71" s="487"/>
      <c r="I71" s="487"/>
      <c r="J71" s="654"/>
      <c r="K71" s="390"/>
      <c r="L71" s="390"/>
      <c r="AA71" s="391" t="str">
        <f>IF(D71="No", "2","")</f>
        <v/>
      </c>
    </row>
    <row r="72" spans="1:27" ht="15" thickBot="1" x14ac:dyDescent="0.3">
      <c r="A72" s="503"/>
      <c r="B72" s="50"/>
      <c r="C72" s="391"/>
      <c r="D72" s="647"/>
      <c r="E72" s="648"/>
      <c r="F72" s="394"/>
      <c r="G72" s="486" t="str">
        <f>IF(D73="No", "Please Explain","")</f>
        <v>Please Explain</v>
      </c>
      <c r="H72" s="486"/>
      <c r="I72" s="486"/>
      <c r="J72" s="514"/>
      <c r="K72" s="173"/>
      <c r="L72" s="173"/>
    </row>
    <row r="73" spans="1:27" ht="15" thickBot="1" x14ac:dyDescent="0.3">
      <c r="A73" s="503"/>
      <c r="B73" s="39" t="s">
        <v>1163</v>
      </c>
      <c r="C73" s="410"/>
      <c r="D73" s="652" t="s">
        <v>932</v>
      </c>
      <c r="E73" s="653"/>
      <c r="F73" s="387" t="s">
        <v>14</v>
      </c>
      <c r="G73" s="487"/>
      <c r="H73" s="487"/>
      <c r="I73" s="487"/>
      <c r="J73" s="654"/>
      <c r="K73" s="390"/>
      <c r="L73" s="390"/>
      <c r="AA73" s="391" t="str">
        <f>IF(D73="No", "2","")</f>
        <v>2</v>
      </c>
    </row>
    <row r="74" spans="1:27" ht="15" thickBot="1" x14ac:dyDescent="0.3">
      <c r="A74" s="503"/>
      <c r="B74" s="39"/>
      <c r="C74" s="410"/>
      <c r="D74" s="647"/>
      <c r="E74" s="648"/>
      <c r="F74" s="387"/>
      <c r="G74" s="486" t="str">
        <f>IF(D75="No", "Please Explain","")</f>
        <v>Please Explain</v>
      </c>
      <c r="H74" s="486"/>
      <c r="I74" s="486"/>
      <c r="J74" s="514"/>
      <c r="K74" s="173"/>
      <c r="L74" s="173"/>
    </row>
    <row r="75" spans="1:27" ht="15" thickBot="1" x14ac:dyDescent="0.3">
      <c r="A75" s="503"/>
      <c r="B75" s="37" t="s">
        <v>1164</v>
      </c>
      <c r="C75" s="411"/>
      <c r="D75" s="652" t="s">
        <v>932</v>
      </c>
      <c r="E75" s="653"/>
      <c r="F75" s="388" t="s">
        <v>14</v>
      </c>
      <c r="G75" s="487"/>
      <c r="H75" s="487"/>
      <c r="I75" s="487"/>
      <c r="J75" s="654"/>
      <c r="K75" s="390"/>
      <c r="L75" s="390"/>
      <c r="AA75" s="391" t="str">
        <f>IF(D75="No", "2","")</f>
        <v>2</v>
      </c>
    </row>
    <row r="76" spans="1:27" ht="15.6" customHeight="1" thickBot="1" x14ac:dyDescent="0.3">
      <c r="A76" s="503"/>
      <c r="B76" s="682"/>
      <c r="C76" s="683"/>
      <c r="D76" s="683"/>
      <c r="E76" s="683"/>
      <c r="F76" s="684"/>
      <c r="G76" s="187"/>
      <c r="H76" s="187"/>
      <c r="I76" s="187"/>
      <c r="J76" s="389"/>
      <c r="K76" s="390"/>
      <c r="L76" s="390"/>
      <c r="AA76" s="391"/>
    </row>
    <row r="77" spans="1:27" ht="31.15" customHeight="1" thickBot="1" x14ac:dyDescent="0.3">
      <c r="A77" s="503"/>
      <c r="B77" s="561" t="s">
        <v>1165</v>
      </c>
      <c r="C77" s="562"/>
      <c r="D77" s="562"/>
      <c r="E77" s="562"/>
      <c r="F77" s="563"/>
      <c r="G77" s="187"/>
      <c r="H77" s="384"/>
      <c r="I77" s="384"/>
      <c r="J77" s="385"/>
    </row>
    <row r="78" spans="1:27" ht="32.85" customHeight="1" thickBot="1" x14ac:dyDescent="0.3">
      <c r="A78" s="503"/>
      <c r="B78" s="706" t="s">
        <v>1166</v>
      </c>
      <c r="C78" s="707"/>
      <c r="D78" s="707"/>
      <c r="E78" s="707"/>
      <c r="F78" s="708"/>
      <c r="G78" s="655" t="str">
        <f>IF(D79="No", "Comment","")</f>
        <v/>
      </c>
      <c r="H78" s="655"/>
      <c r="I78" s="655"/>
      <c r="J78" s="656"/>
      <c r="K78" s="398"/>
      <c r="L78" s="398"/>
      <c r="AA78" s="412"/>
    </row>
    <row r="79" spans="1:27" ht="111.75" customHeight="1" thickBot="1" x14ac:dyDescent="0.3">
      <c r="A79" s="503"/>
      <c r="B79" s="201" t="s">
        <v>1167</v>
      </c>
      <c r="C79" s="413"/>
      <c r="D79" s="693" t="s">
        <v>929</v>
      </c>
      <c r="E79" s="694"/>
      <c r="F79" s="386" t="s">
        <v>14</v>
      </c>
      <c r="G79" s="640" t="s">
        <v>1893</v>
      </c>
      <c r="H79" s="640"/>
      <c r="I79" s="640"/>
      <c r="J79" s="641"/>
      <c r="K79" s="390"/>
      <c r="L79" s="390"/>
      <c r="AA79" s="391" t="str">
        <f>IF(D79="No", "1","")</f>
        <v/>
      </c>
    </row>
    <row r="80" spans="1:27" s="320" customFormat="1" ht="16.5" customHeight="1" thickBot="1" x14ac:dyDescent="0.3">
      <c r="A80" s="503"/>
      <c r="B80" s="647"/>
      <c r="C80" s="709"/>
      <c r="D80" s="709"/>
      <c r="E80" s="709"/>
      <c r="F80" s="648"/>
      <c r="G80" s="486" t="str">
        <f>IF(D81="No", "Please Explain","")</f>
        <v/>
      </c>
      <c r="H80" s="486"/>
      <c r="I80" s="486"/>
      <c r="J80" s="514"/>
      <c r="K80" s="173"/>
      <c r="L80" s="173"/>
      <c r="AA80" s="319"/>
    </row>
    <row r="81" spans="1:27" ht="22.5" customHeight="1" thickBot="1" x14ac:dyDescent="0.3">
      <c r="A81" s="503"/>
      <c r="B81" s="200" t="s">
        <v>187</v>
      </c>
      <c r="C81" s="414"/>
      <c r="D81" s="693" t="s">
        <v>929</v>
      </c>
      <c r="E81" s="694"/>
      <c r="F81" s="387" t="s">
        <v>14</v>
      </c>
      <c r="G81" s="486" t="s">
        <v>1894</v>
      </c>
      <c r="H81" s="486"/>
      <c r="I81" s="486"/>
      <c r="J81" s="514"/>
      <c r="K81" s="390"/>
      <c r="L81" s="390"/>
      <c r="AA81" s="391" t="str">
        <f>IF(D81="No", "1","")</f>
        <v/>
      </c>
    </row>
    <row r="82" spans="1:27" s="320" customFormat="1" ht="15.6" customHeight="1" thickBot="1" x14ac:dyDescent="0.3">
      <c r="A82" s="503"/>
      <c r="B82" s="47"/>
      <c r="C82" s="391"/>
      <c r="D82" s="647"/>
      <c r="E82" s="648"/>
      <c r="F82" s="394"/>
      <c r="G82" s="486" t="str">
        <f>IF(D83="No", "Please Explain","")</f>
        <v/>
      </c>
      <c r="H82" s="486"/>
      <c r="I82" s="486"/>
      <c r="J82" s="514"/>
      <c r="K82" s="173"/>
      <c r="L82" s="173"/>
      <c r="AA82" s="319"/>
    </row>
    <row r="83" spans="1:27" ht="43.5" thickBot="1" x14ac:dyDescent="0.3">
      <c r="A83" s="503"/>
      <c r="B83" s="201" t="s">
        <v>190</v>
      </c>
      <c r="C83" s="414"/>
      <c r="D83" s="693" t="s">
        <v>929</v>
      </c>
      <c r="E83" s="694"/>
      <c r="F83" s="387" t="s">
        <v>14</v>
      </c>
      <c r="G83" s="486" t="s">
        <v>1895</v>
      </c>
      <c r="H83" s="486"/>
      <c r="I83" s="486"/>
      <c r="J83" s="514"/>
      <c r="K83" s="390"/>
      <c r="L83" s="390"/>
      <c r="AA83" s="391" t="str">
        <f>IF(D83="No", "1","")</f>
        <v/>
      </c>
    </row>
    <row r="84" spans="1:27" s="320" customFormat="1" ht="15" thickBot="1" x14ac:dyDescent="0.3">
      <c r="A84" s="503"/>
      <c r="B84" s="647"/>
      <c r="C84" s="709"/>
      <c r="D84" s="709"/>
      <c r="E84" s="709"/>
      <c r="F84" s="648"/>
      <c r="G84" s="486" t="str">
        <f>IF(D85="No", "Please Explain","")</f>
        <v/>
      </c>
      <c r="H84" s="486"/>
      <c r="I84" s="486"/>
      <c r="J84" s="514"/>
      <c r="K84" s="173"/>
      <c r="L84" s="173"/>
      <c r="AA84" s="319"/>
    </row>
    <row r="85" spans="1:27" ht="15" thickBot="1" x14ac:dyDescent="0.3">
      <c r="A85" s="503"/>
      <c r="B85" s="202" t="s">
        <v>193</v>
      </c>
      <c r="C85" s="414"/>
      <c r="D85" s="693" t="s">
        <v>930</v>
      </c>
      <c r="E85" s="694"/>
      <c r="F85" s="387" t="s">
        <v>14</v>
      </c>
      <c r="G85" s="486" t="s">
        <v>1896</v>
      </c>
      <c r="H85" s="486"/>
      <c r="I85" s="486"/>
      <c r="J85" s="514"/>
      <c r="K85" s="390"/>
      <c r="L85" s="390"/>
      <c r="AA85" s="391" t="str">
        <f>IF(D85="No", "1","")</f>
        <v/>
      </c>
    </row>
    <row r="86" spans="1:27" s="320" customFormat="1" ht="15" thickBot="1" x14ac:dyDescent="0.3">
      <c r="A86" s="503"/>
      <c r="B86" s="647"/>
      <c r="C86" s="709"/>
      <c r="D86" s="709"/>
      <c r="E86" s="709"/>
      <c r="F86" s="648"/>
      <c r="G86" s="486" t="str">
        <f>IF(D87="Yes", "Please Explain","")</f>
        <v/>
      </c>
      <c r="H86" s="486"/>
      <c r="I86" s="486"/>
      <c r="J86" s="514"/>
      <c r="K86" s="173"/>
      <c r="L86" s="173"/>
      <c r="AA86" s="391"/>
    </row>
    <row r="87" spans="1:27" ht="31.35" customHeight="1" thickBot="1" x14ac:dyDescent="0.3">
      <c r="A87" s="503"/>
      <c r="B87" s="200" t="s">
        <v>196</v>
      </c>
      <c r="C87" s="415"/>
      <c r="D87" s="693" t="s">
        <v>932</v>
      </c>
      <c r="E87" s="694"/>
      <c r="F87" s="416" t="s">
        <v>14</v>
      </c>
      <c r="G87" s="486"/>
      <c r="H87" s="486"/>
      <c r="I87" s="486"/>
      <c r="J87" s="514"/>
      <c r="K87" s="390"/>
      <c r="L87" s="390"/>
      <c r="AA87" s="391" t="str">
        <f>IF(D87="Yes", "1","")</f>
        <v/>
      </c>
    </row>
    <row r="88" spans="1:27" ht="15.6" customHeight="1" thickBot="1" x14ac:dyDescent="0.3">
      <c r="A88" s="503"/>
      <c r="B88" s="682"/>
      <c r="C88" s="683"/>
      <c r="D88" s="683"/>
      <c r="E88" s="683"/>
      <c r="F88" s="684"/>
      <c r="G88" s="467"/>
      <c r="H88" s="467"/>
      <c r="I88" s="467"/>
      <c r="J88" s="468"/>
      <c r="K88" s="390"/>
      <c r="L88" s="390"/>
      <c r="AA88" s="391"/>
    </row>
    <row r="89" spans="1:27" ht="31.15" customHeight="1" thickBot="1" x14ac:dyDescent="0.3">
      <c r="A89" s="503"/>
      <c r="B89" s="561" t="s">
        <v>1168</v>
      </c>
      <c r="C89" s="562"/>
      <c r="D89" s="562"/>
      <c r="E89" s="562"/>
      <c r="F89" s="563"/>
      <c r="G89" s="467"/>
      <c r="H89" s="384"/>
      <c r="I89" s="384"/>
      <c r="J89" s="385"/>
    </row>
    <row r="90" spans="1:27" ht="17.850000000000001" customHeight="1" thickBot="1" x14ac:dyDescent="0.3">
      <c r="A90" s="503"/>
      <c r="B90" s="682"/>
      <c r="C90" s="683"/>
      <c r="D90" s="683"/>
      <c r="E90" s="683"/>
      <c r="F90" s="684"/>
      <c r="G90" s="486" t="str">
        <f>IF(D91="N/A", "Please Explain","")&amp;IF(D91="No", "Please Explain","")</f>
        <v/>
      </c>
      <c r="H90" s="486"/>
      <c r="I90" s="486"/>
      <c r="J90" s="514"/>
      <c r="K90" s="173"/>
      <c r="L90" s="173"/>
    </row>
    <row r="91" spans="1:27" ht="48" customHeight="1" thickBot="1" x14ac:dyDescent="0.3">
      <c r="A91" s="503"/>
      <c r="B91" s="40" t="s">
        <v>199</v>
      </c>
      <c r="C91" s="413"/>
      <c r="D91" s="678" t="s">
        <v>930</v>
      </c>
      <c r="E91" s="679"/>
      <c r="F91" s="417" t="s">
        <v>14</v>
      </c>
      <c r="G91" s="486"/>
      <c r="H91" s="486"/>
      <c r="I91" s="486"/>
      <c r="J91" s="514"/>
      <c r="K91" s="390"/>
      <c r="L91" s="390"/>
      <c r="AA91" s="391" t="str">
        <f>IF(D91="N/A", "1","")&amp;IF(D91="No", "2","")</f>
        <v/>
      </c>
    </row>
    <row r="92" spans="1:27" s="320" customFormat="1" ht="14.1" customHeight="1" thickBot="1" x14ac:dyDescent="0.3">
      <c r="A92" s="503"/>
      <c r="B92" s="50"/>
      <c r="C92" s="391"/>
      <c r="D92" s="647"/>
      <c r="E92" s="648"/>
      <c r="F92" s="394"/>
      <c r="G92" s="486" t="str">
        <f>IF(D93="Yes", "Comment","")</f>
        <v/>
      </c>
      <c r="H92" s="486"/>
      <c r="I92" s="486"/>
      <c r="J92" s="514"/>
      <c r="K92" s="173"/>
      <c r="L92" s="173"/>
    </row>
    <row r="93" spans="1:27" ht="15" thickBot="1" x14ac:dyDescent="0.3">
      <c r="A93" s="503"/>
      <c r="B93" s="40" t="s">
        <v>202</v>
      </c>
      <c r="C93" s="414"/>
      <c r="D93" s="663" t="s">
        <v>932</v>
      </c>
      <c r="E93" s="664"/>
      <c r="F93" s="417" t="s">
        <v>14</v>
      </c>
      <c r="G93" s="486"/>
      <c r="H93" s="486"/>
      <c r="I93" s="486"/>
      <c r="J93" s="514"/>
      <c r="K93" s="390"/>
      <c r="L93" s="390"/>
      <c r="AA93" s="391" t="str">
        <f>IF(D93="Yes", "1","")</f>
        <v/>
      </c>
    </row>
    <row r="94" spans="1:27" ht="15" thickBot="1" x14ac:dyDescent="0.3">
      <c r="A94" s="503"/>
      <c r="B94" s="50"/>
      <c r="C94" s="391"/>
      <c r="D94" s="647"/>
      <c r="E94" s="648"/>
      <c r="F94" s="394"/>
      <c r="G94" s="486" t="str">
        <f>IF(D95="No", "Comment","")</f>
        <v/>
      </c>
      <c r="H94" s="486"/>
      <c r="I94" s="486"/>
      <c r="J94" s="514"/>
      <c r="K94" s="173"/>
      <c r="L94" s="173"/>
      <c r="AA94" s="320"/>
    </row>
    <row r="95" spans="1:27" ht="15" thickBot="1" x14ac:dyDescent="0.3">
      <c r="A95" s="503"/>
      <c r="B95" s="40" t="s">
        <v>205</v>
      </c>
      <c r="C95" s="414"/>
      <c r="D95" s="652" t="s">
        <v>930</v>
      </c>
      <c r="E95" s="653"/>
      <c r="F95" s="417" t="s">
        <v>14</v>
      </c>
      <c r="G95" s="486"/>
      <c r="H95" s="486"/>
      <c r="I95" s="486"/>
      <c r="J95" s="514"/>
      <c r="K95" s="390"/>
      <c r="L95" s="390"/>
      <c r="AA95" s="391" t="str">
        <f>IF(D95="No", "1","")</f>
        <v/>
      </c>
    </row>
    <row r="96" spans="1:27" ht="15" thickBot="1" x14ac:dyDescent="0.3">
      <c r="A96" s="503"/>
      <c r="B96" s="50"/>
      <c r="C96" s="391"/>
      <c r="D96" s="647"/>
      <c r="E96" s="648"/>
      <c r="F96" s="394"/>
      <c r="G96" s="486" t="str">
        <f>IF(D97="No", "Comment","")</f>
        <v>Comment</v>
      </c>
      <c r="H96" s="486"/>
      <c r="I96" s="486"/>
      <c r="J96" s="514"/>
      <c r="K96" s="173"/>
      <c r="L96" s="173"/>
      <c r="AA96" s="320"/>
    </row>
    <row r="97" spans="1:27" ht="29.25" thickBot="1" x14ac:dyDescent="0.3">
      <c r="A97" s="503"/>
      <c r="B97" s="40" t="s">
        <v>208</v>
      </c>
      <c r="C97" s="414"/>
      <c r="D97" s="652" t="s">
        <v>932</v>
      </c>
      <c r="E97" s="653"/>
      <c r="F97" s="417" t="s">
        <v>14</v>
      </c>
      <c r="G97" s="486" t="s">
        <v>1897</v>
      </c>
      <c r="H97" s="486"/>
      <c r="I97" s="486"/>
      <c r="J97" s="514"/>
      <c r="K97" s="390"/>
      <c r="L97" s="390"/>
      <c r="AA97" s="391" t="str">
        <f>IF(D97="No", "1","")</f>
        <v>1</v>
      </c>
    </row>
    <row r="98" spans="1:27" ht="62.25" customHeight="1" thickBot="1" x14ac:dyDescent="0.3">
      <c r="A98" s="503"/>
      <c r="B98" s="40" t="s">
        <v>211</v>
      </c>
      <c r="C98" s="414"/>
      <c r="D98" s="697" t="s">
        <v>1898</v>
      </c>
      <c r="E98" s="698"/>
      <c r="F98" s="387" t="s">
        <v>14</v>
      </c>
      <c r="G98" s="187"/>
      <c r="H98" s="384"/>
      <c r="I98" s="384"/>
      <c r="J98" s="385"/>
    </row>
    <row r="99" spans="1:27" ht="49.5" customHeight="1" thickBot="1" x14ac:dyDescent="0.3">
      <c r="A99" s="503"/>
      <c r="B99" s="37" t="s">
        <v>214</v>
      </c>
      <c r="C99" s="415"/>
      <c r="D99" s="685" t="s">
        <v>1899</v>
      </c>
      <c r="E99" s="686"/>
      <c r="F99" s="407" t="s">
        <v>14</v>
      </c>
      <c r="G99" s="187"/>
      <c r="H99" s="384"/>
      <c r="I99" s="384"/>
      <c r="J99" s="385"/>
    </row>
    <row r="100" spans="1:27" ht="15.6" customHeight="1" thickBot="1" x14ac:dyDescent="0.3">
      <c r="A100" s="503"/>
      <c r="B100" s="682"/>
      <c r="C100" s="683"/>
      <c r="D100" s="683"/>
      <c r="E100" s="683"/>
      <c r="F100" s="684"/>
      <c r="G100" s="187"/>
      <c r="H100" s="187"/>
      <c r="I100" s="187"/>
      <c r="J100" s="389"/>
      <c r="K100" s="390"/>
      <c r="L100" s="390"/>
      <c r="AA100" s="391"/>
    </row>
    <row r="101" spans="1:27" ht="31.15" customHeight="1" thickBot="1" x14ac:dyDescent="0.3">
      <c r="A101" s="503"/>
      <c r="B101" s="561" t="s">
        <v>1169</v>
      </c>
      <c r="C101" s="562"/>
      <c r="D101" s="562"/>
      <c r="E101" s="562"/>
      <c r="F101" s="563"/>
      <c r="G101" s="187"/>
      <c r="H101" s="384"/>
      <c r="I101" s="384"/>
      <c r="J101" s="385"/>
    </row>
    <row r="102" spans="1:27" ht="36.75" customHeight="1" thickBot="1" x14ac:dyDescent="0.3">
      <c r="A102" s="503"/>
      <c r="B102" s="671" t="s">
        <v>1170</v>
      </c>
      <c r="C102" s="672"/>
      <c r="D102" s="672"/>
      <c r="E102" s="672"/>
      <c r="F102" s="673"/>
      <c r="G102" s="187"/>
      <c r="H102" s="384"/>
      <c r="I102" s="384"/>
      <c r="J102" s="385"/>
    </row>
    <row r="103" spans="1:27" ht="15" thickBot="1" x14ac:dyDescent="0.3">
      <c r="A103" s="503"/>
      <c r="B103" s="38" t="s">
        <v>1171</v>
      </c>
      <c r="C103" s="414"/>
      <c r="D103" s="663" t="s">
        <v>932</v>
      </c>
      <c r="E103" s="664"/>
      <c r="F103" s="407" t="s">
        <v>14</v>
      </c>
      <c r="G103" s="187"/>
      <c r="H103" s="384"/>
      <c r="I103" s="384"/>
      <c r="J103" s="385"/>
    </row>
    <row r="104" spans="1:27" ht="15" thickBot="1" x14ac:dyDescent="0.3">
      <c r="A104" s="503"/>
      <c r="B104" s="39" t="s">
        <v>1172</v>
      </c>
      <c r="C104" s="414"/>
      <c r="D104" s="687" t="s">
        <v>930</v>
      </c>
      <c r="E104" s="688"/>
      <c r="F104" s="407" t="s">
        <v>14</v>
      </c>
      <c r="G104" s="187"/>
      <c r="H104" s="384"/>
      <c r="I104" s="384"/>
      <c r="J104" s="385"/>
    </row>
    <row r="105" spans="1:27" ht="15" thickBot="1" x14ac:dyDescent="0.3">
      <c r="A105" s="503"/>
      <c r="B105" s="39" t="s">
        <v>1173</v>
      </c>
      <c r="C105" s="414"/>
      <c r="D105" s="687" t="s">
        <v>930</v>
      </c>
      <c r="E105" s="688"/>
      <c r="F105" s="407" t="s">
        <v>14</v>
      </c>
      <c r="G105" s="187"/>
      <c r="H105" s="384"/>
      <c r="I105" s="384"/>
      <c r="J105" s="385"/>
    </row>
    <row r="106" spans="1:27" ht="15" thickBot="1" x14ac:dyDescent="0.3">
      <c r="A106" s="503"/>
      <c r="B106" s="39" t="s">
        <v>1174</v>
      </c>
      <c r="C106" s="414"/>
      <c r="D106" s="697" t="s">
        <v>932</v>
      </c>
      <c r="E106" s="698"/>
      <c r="F106" s="386" t="s">
        <v>14</v>
      </c>
      <c r="G106" s="187"/>
      <c r="H106" s="384"/>
      <c r="I106" s="384"/>
      <c r="J106" s="385"/>
    </row>
    <row r="107" spans="1:27" ht="14.1" customHeight="1" thickBot="1" x14ac:dyDescent="0.3">
      <c r="A107" s="503"/>
      <c r="B107" s="39"/>
      <c r="C107" s="414"/>
      <c r="D107" s="647"/>
      <c r="E107" s="648"/>
      <c r="F107" s="394"/>
      <c r="G107" s="486" t="str">
        <f>IF(D108="Yes", "Comment","")</f>
        <v/>
      </c>
      <c r="H107" s="486"/>
      <c r="I107" s="486"/>
      <c r="J107" s="514"/>
      <c r="K107" s="173"/>
      <c r="L107" s="173"/>
      <c r="AA107" s="391"/>
    </row>
    <row r="108" spans="1:27" ht="37.35" customHeight="1" thickBot="1" x14ac:dyDescent="0.3">
      <c r="A108" s="503"/>
      <c r="B108" s="37" t="s">
        <v>229</v>
      </c>
      <c r="C108" s="415"/>
      <c r="D108" s="676" t="s">
        <v>932</v>
      </c>
      <c r="E108" s="677"/>
      <c r="F108" s="388" t="s">
        <v>14</v>
      </c>
      <c r="G108" s="487"/>
      <c r="H108" s="487"/>
      <c r="I108" s="487"/>
      <c r="J108" s="654"/>
      <c r="K108" s="390"/>
      <c r="L108" s="390"/>
      <c r="AA108" s="391" t="str">
        <f>IF(D108="Yes", "1","")</f>
        <v/>
      </c>
    </row>
    <row r="109" spans="1:27" ht="15.6" customHeight="1" thickBot="1" x14ac:dyDescent="0.3">
      <c r="A109" s="503"/>
      <c r="B109" s="710"/>
      <c r="C109" s="711"/>
      <c r="D109" s="711"/>
      <c r="E109" s="711"/>
      <c r="F109" s="712"/>
      <c r="G109" s="187"/>
      <c r="H109" s="187"/>
      <c r="I109" s="187"/>
      <c r="J109" s="389"/>
      <c r="K109" s="390"/>
      <c r="L109" s="390"/>
      <c r="AA109" s="391"/>
    </row>
    <row r="110" spans="1:27" ht="31.15" customHeight="1" thickBot="1" x14ac:dyDescent="0.3">
      <c r="A110" s="503"/>
      <c r="B110" s="561" t="s">
        <v>1175</v>
      </c>
      <c r="C110" s="562"/>
      <c r="D110" s="562"/>
      <c r="E110" s="562"/>
      <c r="F110" s="563"/>
      <c r="G110" s="187"/>
      <c r="H110" s="384"/>
      <c r="I110" s="384"/>
      <c r="J110" s="385"/>
    </row>
    <row r="111" spans="1:27" ht="37.35" hidden="1" customHeight="1" thickBot="1" x14ac:dyDescent="0.3">
      <c r="A111" s="503"/>
      <c r="B111" s="671" t="s">
        <v>1176</v>
      </c>
      <c r="C111" s="672"/>
      <c r="D111" s="672"/>
      <c r="E111" s="672"/>
      <c r="F111" s="673"/>
      <c r="J111" s="418"/>
    </row>
    <row r="112" spans="1:27" ht="15.75" hidden="1" customHeight="1" thickBot="1" x14ac:dyDescent="0.3">
      <c r="A112" s="503"/>
      <c r="B112" s="38" t="s">
        <v>1171</v>
      </c>
      <c r="C112" s="414"/>
      <c r="D112" s="663" t="s">
        <v>930</v>
      </c>
      <c r="E112" s="664"/>
      <c r="F112" s="407" t="s">
        <v>14</v>
      </c>
      <c r="J112" s="418"/>
    </row>
    <row r="113" spans="1:27" ht="15.75" hidden="1" customHeight="1" thickBot="1" x14ac:dyDescent="0.3">
      <c r="A113" s="503"/>
      <c r="B113" s="39" t="s">
        <v>1172</v>
      </c>
      <c r="C113" s="414"/>
      <c r="D113" s="687" t="s">
        <v>930</v>
      </c>
      <c r="E113" s="688"/>
      <c r="F113" s="407" t="s">
        <v>14</v>
      </c>
      <c r="J113" s="418"/>
    </row>
    <row r="114" spans="1:27" ht="15.75" hidden="1" customHeight="1" thickBot="1" x14ac:dyDescent="0.3">
      <c r="A114" s="503"/>
      <c r="B114" s="39" t="s">
        <v>1173</v>
      </c>
      <c r="C114" s="414"/>
      <c r="D114" s="697" t="s">
        <v>930</v>
      </c>
      <c r="E114" s="698"/>
      <c r="F114" s="407" t="s">
        <v>14</v>
      </c>
      <c r="J114" s="418"/>
    </row>
    <row r="115" spans="1:27" ht="15.75" hidden="1" customHeight="1" thickBot="1" x14ac:dyDescent="0.3">
      <c r="A115" s="503"/>
      <c r="B115" s="39" t="s">
        <v>1174</v>
      </c>
      <c r="C115" s="414"/>
      <c r="D115" s="678" t="s">
        <v>930</v>
      </c>
      <c r="E115" s="679"/>
      <c r="F115" s="419" t="s">
        <v>14</v>
      </c>
      <c r="G115" s="486"/>
      <c r="H115" s="486"/>
      <c r="I115" s="486"/>
      <c r="J115" s="514"/>
      <c r="K115" s="173"/>
      <c r="L115" s="173"/>
    </row>
    <row r="116" spans="1:27" ht="16.350000000000001" hidden="1" customHeight="1" thickBot="1" x14ac:dyDescent="0.3">
      <c r="A116" s="503"/>
      <c r="B116" s="39"/>
      <c r="C116" s="414"/>
      <c r="D116" s="48"/>
      <c r="E116" s="49"/>
      <c r="F116" s="387"/>
      <c r="G116" s="486" t="str">
        <f>IF(D117="Yes", "Comment","")</f>
        <v>Comment</v>
      </c>
      <c r="H116" s="486"/>
      <c r="I116" s="486"/>
      <c r="J116" s="514"/>
      <c r="K116" s="173"/>
      <c r="L116" s="173"/>
    </row>
    <row r="117" spans="1:27" ht="42.6" hidden="1" customHeight="1" thickBot="1" x14ac:dyDescent="0.3">
      <c r="A117" s="503"/>
      <c r="B117" s="37" t="s">
        <v>229</v>
      </c>
      <c r="C117" s="415"/>
      <c r="D117" s="695" t="s">
        <v>930</v>
      </c>
      <c r="E117" s="696"/>
      <c r="F117" s="388" t="s">
        <v>14</v>
      </c>
      <c r="G117" s="486"/>
      <c r="H117" s="486"/>
      <c r="I117" s="486"/>
      <c r="J117" s="514"/>
      <c r="K117" s="390"/>
      <c r="L117" s="390"/>
      <c r="AA117" s="391" t="str">
        <f>IF(D117="Yes", "1","")</f>
        <v>1</v>
      </c>
    </row>
    <row r="118" spans="1:27" ht="15" thickBot="1" x14ac:dyDescent="0.3">
      <c r="A118" s="503"/>
      <c r="B118" s="710"/>
      <c r="C118" s="711"/>
      <c r="D118" s="711"/>
      <c r="E118" s="711"/>
      <c r="F118" s="712"/>
      <c r="G118" s="486" t="str">
        <f>IF(D119="Yes", "Please Explain","")</f>
        <v>Please Explain</v>
      </c>
      <c r="H118" s="486"/>
      <c r="I118" s="486"/>
      <c r="J118" s="514"/>
      <c r="K118" s="173"/>
      <c r="L118" s="173"/>
    </row>
    <row r="119" spans="1:27" ht="43.5" thickBot="1" x14ac:dyDescent="0.3">
      <c r="A119" s="503"/>
      <c r="B119" s="38" t="s">
        <v>232</v>
      </c>
      <c r="C119" s="414"/>
      <c r="D119" s="720" t="s">
        <v>930</v>
      </c>
      <c r="E119" s="721"/>
      <c r="F119" s="386" t="s">
        <v>14</v>
      </c>
      <c r="G119" s="487" t="s">
        <v>1900</v>
      </c>
      <c r="H119" s="487"/>
      <c r="I119" s="487"/>
      <c r="J119" s="654"/>
      <c r="K119" s="390"/>
      <c r="L119" s="390"/>
      <c r="AA119" s="391" t="str">
        <f>IF(D119="Yes", "1","")</f>
        <v>1</v>
      </c>
    </row>
    <row r="120" spans="1:27" ht="15" thickBot="1" x14ac:dyDescent="0.3">
      <c r="A120" s="503"/>
      <c r="B120" s="649"/>
      <c r="C120" s="650"/>
      <c r="D120" s="650"/>
      <c r="E120" s="650"/>
      <c r="F120" s="651"/>
      <c r="G120" s="640" t="str">
        <f>IF(D121="Yes", "How is the data Transfered","")</f>
        <v/>
      </c>
      <c r="H120" s="640"/>
      <c r="I120" s="640"/>
      <c r="J120" s="641"/>
      <c r="K120" s="173"/>
      <c r="L120" s="173"/>
    </row>
    <row r="121" spans="1:27" ht="29.25" thickBot="1" x14ac:dyDescent="0.3">
      <c r="A121" s="503"/>
      <c r="B121" s="39" t="s">
        <v>235</v>
      </c>
      <c r="C121" s="414"/>
      <c r="D121" s="701" t="s">
        <v>932</v>
      </c>
      <c r="E121" s="702"/>
      <c r="F121" s="387" t="s">
        <v>14</v>
      </c>
      <c r="G121" s="640" t="s">
        <v>1901</v>
      </c>
      <c r="H121" s="640"/>
      <c r="I121" s="640"/>
      <c r="J121" s="641"/>
      <c r="K121" s="390"/>
      <c r="L121" s="390"/>
      <c r="AA121" s="391" t="str">
        <f>IF(D121="Yes", "1","")</f>
        <v/>
      </c>
    </row>
    <row r="122" spans="1:27" ht="15" thickBot="1" x14ac:dyDescent="0.3">
      <c r="A122" s="503"/>
      <c r="B122" s="649"/>
      <c r="C122" s="650"/>
      <c r="D122" s="650"/>
      <c r="E122" s="650"/>
      <c r="F122" s="651"/>
      <c r="G122" s="486"/>
      <c r="H122" s="486"/>
      <c r="I122" s="486"/>
      <c r="J122" s="514"/>
    </row>
    <row r="123" spans="1:27" ht="68.25" customHeight="1" thickBot="1" x14ac:dyDescent="0.3">
      <c r="A123" s="503"/>
      <c r="B123" s="39" t="s">
        <v>238</v>
      </c>
      <c r="C123" s="414"/>
      <c r="D123" s="697" t="s">
        <v>1902</v>
      </c>
      <c r="E123" s="698"/>
      <c r="F123" s="387" t="s">
        <v>14</v>
      </c>
      <c r="G123" s="850"/>
      <c r="H123" s="640"/>
      <c r="I123" s="640"/>
      <c r="J123" s="641"/>
    </row>
    <row r="124" spans="1:27" ht="15" thickBot="1" x14ac:dyDescent="0.3">
      <c r="A124" s="503"/>
      <c r="B124" s="649"/>
      <c r="C124" s="650"/>
      <c r="D124" s="650"/>
      <c r="E124" s="650"/>
      <c r="F124" s="651"/>
      <c r="G124" s="640" t="str">
        <f>IF(D125="N/A", "Comment","")</f>
        <v/>
      </c>
      <c r="H124" s="640"/>
      <c r="I124" s="640"/>
      <c r="J124" s="641"/>
      <c r="K124" s="173"/>
      <c r="L124" s="173"/>
    </row>
    <row r="125" spans="1:27" ht="29.25" thickBot="1" x14ac:dyDescent="0.3">
      <c r="A125" s="503"/>
      <c r="B125" s="39" t="s">
        <v>241</v>
      </c>
      <c r="C125" s="414"/>
      <c r="D125" s="701" t="s">
        <v>932</v>
      </c>
      <c r="E125" s="702"/>
      <c r="F125" s="387" t="s">
        <v>14</v>
      </c>
      <c r="G125" s="640"/>
      <c r="H125" s="640"/>
      <c r="I125" s="640"/>
      <c r="J125" s="641"/>
      <c r="K125" s="390"/>
      <c r="L125" s="390"/>
      <c r="AA125" s="391" t="str">
        <f>IF(D125="N/A", "1","")</f>
        <v/>
      </c>
    </row>
    <row r="126" spans="1:27" ht="13.35" customHeight="1" thickBot="1" x14ac:dyDescent="0.3">
      <c r="A126" s="503"/>
      <c r="B126" s="649"/>
      <c r="C126" s="650"/>
      <c r="D126" s="650"/>
      <c r="E126" s="650"/>
      <c r="F126" s="651"/>
      <c r="G126" s="640" t="str">
        <f>IF(D127="N/A", "Comment","")</f>
        <v/>
      </c>
      <c r="H126" s="640"/>
      <c r="I126" s="640"/>
      <c r="J126" s="641"/>
      <c r="K126" s="173"/>
      <c r="L126" s="173"/>
    </row>
    <row r="127" spans="1:27" ht="29.25" thickBot="1" x14ac:dyDescent="0.3">
      <c r="A127" s="503"/>
      <c r="B127" s="39" t="s">
        <v>244</v>
      </c>
      <c r="C127" s="414"/>
      <c r="D127" s="701" t="s">
        <v>932</v>
      </c>
      <c r="E127" s="702"/>
      <c r="F127" s="388" t="s">
        <v>14</v>
      </c>
      <c r="G127" s="640" t="s">
        <v>1903</v>
      </c>
      <c r="H127" s="640"/>
      <c r="I127" s="640"/>
      <c r="J127" s="641"/>
      <c r="K127" s="390"/>
      <c r="L127" s="390"/>
      <c r="AA127" s="391" t="str">
        <f>IF(D127="N/A", "1","")</f>
        <v/>
      </c>
    </row>
    <row r="128" spans="1:27" ht="13.35" customHeight="1" thickBot="1" x14ac:dyDescent="0.3">
      <c r="A128" s="503"/>
      <c r="B128" s="713"/>
      <c r="C128" s="714"/>
      <c r="D128" s="714"/>
      <c r="E128" s="715"/>
      <c r="F128" s="420"/>
      <c r="G128" s="640" t="str">
        <f>IF(D129="No", "Please Explain","") &amp; IF(D129="N/A", "Comment","")</f>
        <v/>
      </c>
      <c r="H128" s="640"/>
      <c r="I128" s="640"/>
      <c r="J128" s="641"/>
      <c r="K128" s="173"/>
      <c r="L128" s="173"/>
    </row>
    <row r="129" spans="1:27" ht="29.25" thickBot="1" x14ac:dyDescent="0.3">
      <c r="A129" s="503"/>
      <c r="B129" s="37" t="s">
        <v>247</v>
      </c>
      <c r="C129" s="415"/>
      <c r="D129" s="699" t="s">
        <v>930</v>
      </c>
      <c r="E129" s="700"/>
      <c r="F129" s="407" t="s">
        <v>14</v>
      </c>
      <c r="G129" s="640"/>
      <c r="H129" s="640"/>
      <c r="I129" s="640"/>
      <c r="J129" s="641"/>
      <c r="K129" s="390"/>
      <c r="L129" s="390"/>
      <c r="AA129" s="391" t="str">
        <f>IF(D129="N/A", "1","") &amp;IF(D129="No","2","")</f>
        <v/>
      </c>
    </row>
    <row r="130" spans="1:27" ht="15.6" customHeight="1" thickBot="1" x14ac:dyDescent="0.3">
      <c r="A130" s="503"/>
      <c r="B130" s="710"/>
      <c r="C130" s="711"/>
      <c r="D130" s="711"/>
      <c r="E130" s="711"/>
      <c r="F130" s="712"/>
      <c r="G130" s="467"/>
      <c r="H130" s="467"/>
      <c r="I130" s="467"/>
      <c r="J130" s="468"/>
      <c r="K130" s="390"/>
      <c r="L130" s="390"/>
      <c r="AA130" s="391"/>
    </row>
    <row r="131" spans="1:27" ht="31.15" customHeight="1" thickBot="1" x14ac:dyDescent="0.3">
      <c r="A131" s="503"/>
      <c r="B131" s="561" t="s">
        <v>1177</v>
      </c>
      <c r="C131" s="562"/>
      <c r="D131" s="562"/>
      <c r="E131" s="562"/>
      <c r="F131" s="563"/>
      <c r="G131" s="467"/>
      <c r="H131" s="467"/>
      <c r="I131" s="467"/>
      <c r="J131" s="468"/>
      <c r="K131" s="390"/>
      <c r="L131" s="390"/>
      <c r="AA131" s="391"/>
    </row>
    <row r="132" spans="1:27" ht="12" customHeight="1" thickBot="1" x14ac:dyDescent="0.3">
      <c r="A132" s="503"/>
      <c r="B132" s="649"/>
      <c r="C132" s="650"/>
      <c r="D132" s="650"/>
      <c r="E132" s="650"/>
      <c r="F132" s="651"/>
      <c r="G132" s="640" t="str">
        <f>IF(D133="N/A", "Please Explain","")&amp;IF(D133="No", "Please Explain","")</f>
        <v/>
      </c>
      <c r="H132" s="640"/>
      <c r="I132" s="640"/>
      <c r="J132" s="641"/>
      <c r="K132" s="173"/>
      <c r="L132" s="173"/>
    </row>
    <row r="133" spans="1:27" ht="43.5" thickBot="1" x14ac:dyDescent="0.3">
      <c r="A133" s="503"/>
      <c r="B133" s="39" t="s">
        <v>250</v>
      </c>
      <c r="C133" s="173"/>
      <c r="D133" s="701" t="s">
        <v>930</v>
      </c>
      <c r="E133" s="702"/>
      <c r="F133" s="387" t="s">
        <v>14</v>
      </c>
      <c r="G133" s="640"/>
      <c r="H133" s="640"/>
      <c r="I133" s="640"/>
      <c r="J133" s="641"/>
      <c r="K133" s="390"/>
      <c r="L133" s="390"/>
      <c r="AA133" s="391" t="str">
        <f>IF(D133="N/A", "1","")&amp;IF(D133="No", "2","")</f>
        <v/>
      </c>
    </row>
    <row r="134" spans="1:27" ht="13.35" customHeight="1" thickBot="1" x14ac:dyDescent="0.3">
      <c r="A134" s="503"/>
      <c r="B134" s="649"/>
      <c r="C134" s="650"/>
      <c r="D134" s="650"/>
      <c r="E134" s="650"/>
      <c r="F134" s="651"/>
      <c r="G134" s="640" t="str">
        <f>IF(D135="N/A", "Please Explain","")&amp;IF(D135="No", "Please Explain","")</f>
        <v/>
      </c>
      <c r="H134" s="640"/>
      <c r="I134" s="640"/>
      <c r="J134" s="641"/>
      <c r="K134" s="173"/>
      <c r="L134" s="173"/>
    </row>
    <row r="135" spans="1:27" ht="43.5" thickBot="1" x14ac:dyDescent="0.3">
      <c r="A135" s="503"/>
      <c r="B135" s="39" t="s">
        <v>253</v>
      </c>
      <c r="C135" s="414"/>
      <c r="D135" s="701" t="s">
        <v>930</v>
      </c>
      <c r="E135" s="702"/>
      <c r="F135" s="387" t="s">
        <v>14</v>
      </c>
      <c r="G135" s="640"/>
      <c r="H135" s="640"/>
      <c r="I135" s="640"/>
      <c r="J135" s="641"/>
      <c r="K135" s="390"/>
      <c r="L135" s="390"/>
      <c r="AA135" s="391" t="str">
        <f>IF(D135="N/A", "1","")&amp;IF(D135="No", "2","")</f>
        <v/>
      </c>
    </row>
    <row r="136" spans="1:27" ht="15" thickBot="1" x14ac:dyDescent="0.3">
      <c r="A136" s="503"/>
      <c r="B136" s="649"/>
      <c r="C136" s="650"/>
      <c r="D136" s="650"/>
      <c r="E136" s="650"/>
      <c r="F136" s="651"/>
      <c r="G136" s="640" t="str">
        <f>IF(D137="N/A", "Please Explain","")&amp;IF(D137="No", "Please Explain","")</f>
        <v/>
      </c>
      <c r="H136" s="640"/>
      <c r="I136" s="640"/>
      <c r="J136" s="641"/>
      <c r="K136" s="173"/>
      <c r="L136" s="173"/>
    </row>
    <row r="137" spans="1:27" ht="29.85" customHeight="1" thickBot="1" x14ac:dyDescent="0.3">
      <c r="A137" s="503"/>
      <c r="B137" s="37" t="s">
        <v>256</v>
      </c>
      <c r="C137" s="414"/>
      <c r="D137" s="699" t="s">
        <v>930</v>
      </c>
      <c r="E137" s="700"/>
      <c r="F137" s="388" t="s">
        <v>14</v>
      </c>
      <c r="G137" s="640" t="s">
        <v>1904</v>
      </c>
      <c r="H137" s="640"/>
      <c r="I137" s="640"/>
      <c r="J137" s="641"/>
      <c r="K137" s="390"/>
      <c r="L137" s="390"/>
      <c r="AA137" s="391" t="str">
        <f>IF(D137="N/A", "1","")&amp;IF(D137="No", "2","")</f>
        <v/>
      </c>
    </row>
    <row r="138" spans="1:27" ht="2.85" customHeight="1" x14ac:dyDescent="0.25">
      <c r="A138" s="503"/>
      <c r="B138" s="719"/>
      <c r="C138" s="690"/>
      <c r="D138" s="690"/>
      <c r="E138" s="690"/>
      <c r="F138" s="420"/>
      <c r="G138" s="467"/>
      <c r="H138" s="384"/>
      <c r="I138" s="384"/>
      <c r="J138" s="385"/>
    </row>
    <row r="139" spans="1:27" ht="22.5" customHeight="1" thickBot="1" x14ac:dyDescent="0.3">
      <c r="A139" s="503"/>
      <c r="B139" s="716" t="s">
        <v>1178</v>
      </c>
      <c r="C139" s="717"/>
      <c r="D139" s="717"/>
      <c r="E139" s="717"/>
      <c r="F139" s="718"/>
      <c r="G139" s="467"/>
      <c r="H139" s="384"/>
      <c r="I139" s="384"/>
      <c r="J139" s="385"/>
    </row>
    <row r="140" spans="1:27" x14ac:dyDescent="0.25">
      <c r="A140" s="503"/>
      <c r="B140" s="38" t="s">
        <v>1179</v>
      </c>
      <c r="C140" s="421"/>
      <c r="D140" s="663" t="s">
        <v>930</v>
      </c>
      <c r="E140" s="664"/>
      <c r="F140" s="386" t="s">
        <v>14</v>
      </c>
      <c r="G140" s="467"/>
      <c r="H140" s="384"/>
      <c r="I140" s="384"/>
      <c r="J140" s="385"/>
    </row>
    <row r="141" spans="1:27" ht="29.25" customHeight="1" x14ac:dyDescent="0.25">
      <c r="A141" s="503"/>
      <c r="B141" s="39" t="s">
        <v>1180</v>
      </c>
      <c r="C141" s="421"/>
      <c r="D141" s="687" t="s">
        <v>932</v>
      </c>
      <c r="E141" s="688"/>
      <c r="F141" s="387" t="s">
        <v>14</v>
      </c>
      <c r="G141" s="850" t="s">
        <v>1905</v>
      </c>
      <c r="H141" s="640"/>
      <c r="I141" s="640"/>
      <c r="J141" s="641"/>
    </row>
    <row r="142" spans="1:27" x14ac:dyDescent="0.25">
      <c r="A142" s="503"/>
      <c r="B142" s="39" t="s">
        <v>1181</v>
      </c>
      <c r="C142" s="421"/>
      <c r="D142" s="687" t="s">
        <v>930</v>
      </c>
      <c r="E142" s="688"/>
      <c r="F142" s="387" t="s">
        <v>14</v>
      </c>
      <c r="G142" s="467"/>
      <c r="H142" s="384"/>
      <c r="I142" s="384"/>
      <c r="J142" s="385"/>
    </row>
    <row r="143" spans="1:27" x14ac:dyDescent="0.25">
      <c r="A143" s="503"/>
      <c r="B143" s="39" t="s">
        <v>1182</v>
      </c>
      <c r="C143" s="421"/>
      <c r="D143" s="687" t="s">
        <v>930</v>
      </c>
      <c r="E143" s="688"/>
      <c r="F143" s="387" t="s">
        <v>14</v>
      </c>
      <c r="G143" s="850" t="s">
        <v>1906</v>
      </c>
      <c r="H143" s="640"/>
      <c r="I143" s="640"/>
      <c r="J143" s="641"/>
    </row>
    <row r="144" spans="1:27" x14ac:dyDescent="0.25">
      <c r="A144" s="503"/>
      <c r="B144" s="39" t="s">
        <v>1183</v>
      </c>
      <c r="C144" s="421"/>
      <c r="D144" s="687" t="s">
        <v>930</v>
      </c>
      <c r="E144" s="688"/>
      <c r="F144" s="387" t="s">
        <v>14</v>
      </c>
      <c r="G144" s="467"/>
      <c r="H144" s="384"/>
      <c r="I144" s="384"/>
      <c r="J144" s="385"/>
    </row>
    <row r="145" spans="1:27" ht="29.25" thickBot="1" x14ac:dyDescent="0.3">
      <c r="A145" s="503"/>
      <c r="B145" s="37" t="s">
        <v>274</v>
      </c>
      <c r="C145" s="422"/>
      <c r="D145" s="676" t="s">
        <v>932</v>
      </c>
      <c r="E145" s="677"/>
      <c r="F145" s="388" t="s">
        <v>14</v>
      </c>
      <c r="G145" s="850" t="s">
        <v>1907</v>
      </c>
      <c r="H145" s="640"/>
      <c r="I145" s="640"/>
      <c r="J145" s="641"/>
    </row>
    <row r="146" spans="1:27" ht="15" thickBot="1" x14ac:dyDescent="0.3">
      <c r="A146" s="503"/>
      <c r="B146" s="710"/>
      <c r="C146" s="711"/>
      <c r="D146" s="711"/>
      <c r="E146" s="711"/>
      <c r="F146" s="712"/>
      <c r="G146" s="467"/>
      <c r="H146" s="384"/>
      <c r="I146" s="384"/>
      <c r="J146" s="385"/>
    </row>
    <row r="147" spans="1:27" ht="31.15" customHeight="1" thickBot="1" x14ac:dyDescent="0.3">
      <c r="A147" s="503"/>
      <c r="B147" s="561" t="s">
        <v>1184</v>
      </c>
      <c r="C147" s="562"/>
      <c r="D147" s="562"/>
      <c r="E147" s="562"/>
      <c r="F147" s="563"/>
      <c r="G147" s="467"/>
      <c r="H147" s="384"/>
      <c r="I147" s="384"/>
      <c r="J147" s="385"/>
    </row>
    <row r="148" spans="1:27" ht="29.25" thickBot="1" x14ac:dyDescent="0.3">
      <c r="A148" s="503"/>
      <c r="B148" s="40" t="s">
        <v>277</v>
      </c>
      <c r="C148" s="414"/>
      <c r="D148" s="678" t="s">
        <v>932</v>
      </c>
      <c r="E148" s="679"/>
      <c r="F148" s="407" t="s">
        <v>14</v>
      </c>
      <c r="G148" s="850" t="s">
        <v>1908</v>
      </c>
      <c r="H148" s="640"/>
      <c r="I148" s="640"/>
      <c r="J148" s="641"/>
    </row>
    <row r="149" spans="1:27" ht="15" thickBot="1" x14ac:dyDescent="0.3">
      <c r="A149" s="503"/>
      <c r="B149" s="710"/>
      <c r="C149" s="711"/>
      <c r="D149" s="711"/>
      <c r="E149" s="711"/>
      <c r="F149" s="712"/>
      <c r="G149" s="640"/>
      <c r="H149" s="640"/>
      <c r="I149" s="640"/>
      <c r="J149" s="641"/>
      <c r="K149" s="173"/>
      <c r="L149" s="173"/>
    </row>
    <row r="150" spans="1:27" ht="29.25" thickBot="1" x14ac:dyDescent="0.3">
      <c r="A150" s="503"/>
      <c r="B150" s="40" t="s">
        <v>280</v>
      </c>
      <c r="C150" s="414"/>
      <c r="D150" s="695" t="s">
        <v>1909</v>
      </c>
      <c r="E150" s="696"/>
      <c r="F150" s="407" t="s">
        <v>14</v>
      </c>
      <c r="G150" s="640"/>
      <c r="H150" s="640"/>
      <c r="I150" s="640"/>
      <c r="J150" s="641"/>
      <c r="K150" s="390"/>
      <c r="L150" s="390"/>
      <c r="AA150" s="391" t="str">
        <f>IF(D148="Yes", "1","")</f>
        <v/>
      </c>
    </row>
    <row r="151" spans="1:27" ht="15" thickBot="1" x14ac:dyDescent="0.3">
      <c r="A151" s="503"/>
      <c r="B151" s="710"/>
      <c r="C151" s="711"/>
      <c r="D151" s="711"/>
      <c r="E151" s="711"/>
      <c r="F151" s="712"/>
      <c r="G151" s="467"/>
      <c r="H151" s="384"/>
      <c r="I151" s="384"/>
      <c r="J151" s="385"/>
    </row>
    <row r="152" spans="1:27" ht="51.75" customHeight="1" thickBot="1" x14ac:dyDescent="0.3">
      <c r="A152" s="503"/>
      <c r="B152" s="38" t="s">
        <v>283</v>
      </c>
      <c r="C152" s="414"/>
      <c r="D152" s="693" t="s">
        <v>930</v>
      </c>
      <c r="E152" s="694"/>
      <c r="F152" s="407" t="s">
        <v>14</v>
      </c>
      <c r="G152" s="850" t="s">
        <v>1910</v>
      </c>
      <c r="H152" s="640"/>
      <c r="I152" s="640"/>
      <c r="J152" s="641"/>
    </row>
    <row r="153" spans="1:27" ht="15" thickBot="1" x14ac:dyDescent="0.3">
      <c r="A153" s="503"/>
      <c r="B153" s="713"/>
      <c r="C153" s="714"/>
      <c r="D153" s="714"/>
      <c r="E153" s="715"/>
      <c r="F153" s="420"/>
      <c r="G153" s="467"/>
      <c r="H153" s="384"/>
      <c r="I153" s="384"/>
      <c r="J153" s="385"/>
    </row>
    <row r="154" spans="1:27" ht="52.5" customHeight="1" thickBot="1" x14ac:dyDescent="0.3">
      <c r="A154" s="503"/>
      <c r="B154" s="37" t="s">
        <v>286</v>
      </c>
      <c r="C154" s="415"/>
      <c r="D154" s="676"/>
      <c r="E154" s="677"/>
      <c r="F154" s="419" t="s">
        <v>14</v>
      </c>
      <c r="G154" s="850" t="s">
        <v>1910</v>
      </c>
      <c r="H154" s="640"/>
      <c r="I154" s="640"/>
      <c r="J154" s="641"/>
    </row>
    <row r="155" spans="1:27" s="320" customFormat="1" ht="15" thickBot="1" x14ac:dyDescent="0.3">
      <c r="A155" s="503"/>
      <c r="B155" s="710"/>
      <c r="C155" s="711"/>
      <c r="D155" s="711"/>
      <c r="E155" s="711"/>
      <c r="F155" s="712"/>
      <c r="G155" s="467"/>
      <c r="H155" s="384"/>
      <c r="I155" s="384"/>
      <c r="J155" s="385"/>
    </row>
    <row r="156" spans="1:27" s="320" customFormat="1" ht="31.15" customHeight="1" thickBot="1" x14ac:dyDescent="0.3">
      <c r="A156" s="503"/>
      <c r="B156" s="561" t="s">
        <v>1185</v>
      </c>
      <c r="C156" s="562"/>
      <c r="D156" s="562"/>
      <c r="E156" s="562"/>
      <c r="F156" s="563"/>
      <c r="G156" s="467"/>
      <c r="H156" s="384"/>
      <c r="I156" s="384"/>
      <c r="J156" s="385"/>
    </row>
    <row r="157" spans="1:27" ht="15" thickBot="1" x14ac:dyDescent="0.3">
      <c r="A157" s="503"/>
      <c r="B157" s="703" t="s">
        <v>1186</v>
      </c>
      <c r="C157" s="704"/>
      <c r="D157" s="704"/>
      <c r="E157" s="705"/>
      <c r="F157" s="420"/>
      <c r="G157" s="467"/>
      <c r="H157" s="384"/>
      <c r="I157" s="384"/>
      <c r="J157" s="385"/>
    </row>
    <row r="158" spans="1:27" ht="15" thickBot="1" x14ac:dyDescent="0.3">
      <c r="A158" s="503"/>
      <c r="B158" s="198" t="s">
        <v>1187</v>
      </c>
      <c r="C158" s="423"/>
      <c r="D158" s="678" t="s">
        <v>932</v>
      </c>
      <c r="E158" s="679"/>
      <c r="F158" s="419" t="s">
        <v>14</v>
      </c>
      <c r="G158" s="467"/>
      <c r="H158" s="384"/>
      <c r="I158" s="384"/>
      <c r="J158" s="385"/>
    </row>
    <row r="159" spans="1:27" ht="15" thickBot="1" x14ac:dyDescent="0.3">
      <c r="A159" s="503"/>
      <c r="B159" s="199" t="s">
        <v>1188</v>
      </c>
      <c r="C159" s="424"/>
      <c r="D159" s="678" t="s">
        <v>932</v>
      </c>
      <c r="E159" s="679"/>
      <c r="F159" s="419" t="s">
        <v>14</v>
      </c>
      <c r="G159" s="467"/>
      <c r="H159" s="384"/>
      <c r="I159" s="384"/>
      <c r="J159" s="385"/>
    </row>
    <row r="160" spans="1:27" ht="15" thickBot="1" x14ac:dyDescent="0.3">
      <c r="A160" s="503"/>
      <c r="B160" s="37" t="s">
        <v>1189</v>
      </c>
      <c r="C160" s="425"/>
      <c r="D160" s="678" t="s">
        <v>930</v>
      </c>
      <c r="E160" s="679"/>
      <c r="F160" s="419" t="s">
        <v>14</v>
      </c>
      <c r="G160" s="467"/>
      <c r="H160" s="384"/>
      <c r="I160" s="384"/>
      <c r="J160" s="385"/>
    </row>
    <row r="161" spans="1:27" s="320" customFormat="1" ht="12.75" customHeight="1" thickBot="1" x14ac:dyDescent="0.3">
      <c r="A161" s="503"/>
      <c r="B161" s="710"/>
      <c r="C161" s="711"/>
      <c r="D161" s="711"/>
      <c r="E161" s="711"/>
      <c r="F161" s="712"/>
      <c r="G161" s="850" t="str">
        <f>IF(D162="Yes", "Please Explain","")</f>
        <v/>
      </c>
      <c r="H161" s="640"/>
      <c r="I161" s="640"/>
      <c r="J161" s="641"/>
      <c r="K161" s="173"/>
      <c r="L161" s="173"/>
      <c r="AA161" s="319"/>
    </row>
    <row r="162" spans="1:27" ht="31.35" customHeight="1" thickBot="1" x14ac:dyDescent="0.3">
      <c r="A162" s="503"/>
      <c r="B162" s="40" t="s">
        <v>298</v>
      </c>
      <c r="C162" s="426"/>
      <c r="D162" s="678" t="s">
        <v>932</v>
      </c>
      <c r="E162" s="679"/>
      <c r="F162" s="419" t="s">
        <v>14</v>
      </c>
      <c r="G162" s="486"/>
      <c r="H162" s="486"/>
      <c r="I162" s="486"/>
      <c r="J162" s="514"/>
      <c r="K162" s="390"/>
      <c r="L162" s="390"/>
      <c r="AA162" s="391" t="str">
        <f>IF(D162="Yes", "1","")</f>
        <v/>
      </c>
    </row>
    <row r="163" spans="1:27" ht="29.25" thickBot="1" x14ac:dyDescent="0.3">
      <c r="A163" s="503"/>
      <c r="B163" s="40" t="s">
        <v>301</v>
      </c>
      <c r="C163" s="414"/>
      <c r="D163" s="678" t="s">
        <v>930</v>
      </c>
      <c r="E163" s="679"/>
      <c r="F163" s="419" t="s">
        <v>14</v>
      </c>
      <c r="G163" s="467"/>
      <c r="H163" s="384"/>
      <c r="I163" s="384"/>
      <c r="J163" s="385"/>
    </row>
    <row r="164" spans="1:27" ht="15" thickBot="1" x14ac:dyDescent="0.3">
      <c r="A164" s="503"/>
      <c r="B164" s="710"/>
      <c r="C164" s="711"/>
      <c r="D164" s="711"/>
      <c r="E164" s="711"/>
      <c r="F164" s="712"/>
      <c r="G164" s="486" t="str">
        <f>IF(D165="N/A", "Please Explain","")&amp;IF(D165="No", "Please Explain","")</f>
        <v/>
      </c>
      <c r="H164" s="486"/>
      <c r="I164" s="486"/>
      <c r="J164" s="514"/>
      <c r="K164" s="173"/>
      <c r="L164" s="173"/>
    </row>
    <row r="165" spans="1:27" ht="49.5" customHeight="1" thickBot="1" x14ac:dyDescent="0.3">
      <c r="A165" s="503"/>
      <c r="B165" s="40" t="s">
        <v>304</v>
      </c>
      <c r="C165" s="415"/>
      <c r="D165" s="678" t="s">
        <v>930</v>
      </c>
      <c r="E165" s="679"/>
      <c r="F165" s="419" t="s">
        <v>14</v>
      </c>
      <c r="G165" s="486" t="s">
        <v>1911</v>
      </c>
      <c r="H165" s="486"/>
      <c r="I165" s="486"/>
      <c r="J165" s="514"/>
      <c r="K165" s="390"/>
      <c r="L165" s="390"/>
      <c r="AA165" s="391" t="str">
        <f>IF(D165="N/A", "1","")&amp;IF(D165="No", "2","")</f>
        <v/>
      </c>
    </row>
    <row r="166" spans="1:27" ht="15" thickBot="1" x14ac:dyDescent="0.3">
      <c r="A166" s="503"/>
      <c r="B166" s="710"/>
      <c r="C166" s="711"/>
      <c r="D166" s="711"/>
      <c r="E166" s="711"/>
      <c r="F166" s="712"/>
      <c r="G166" s="486" t="str">
        <f>IF(D167="N/A", "Please Explain","")&amp;IF(D167="No", "Please Explain","")</f>
        <v/>
      </c>
      <c r="H166" s="486"/>
      <c r="I166" s="486"/>
      <c r="J166" s="514"/>
      <c r="K166" s="173"/>
      <c r="L166" s="173"/>
    </row>
    <row r="167" spans="1:27" ht="29.25" thickBot="1" x14ac:dyDescent="0.3">
      <c r="A167" s="503"/>
      <c r="B167" s="40" t="s">
        <v>307</v>
      </c>
      <c r="C167" s="414"/>
      <c r="D167" s="678" t="s">
        <v>930</v>
      </c>
      <c r="E167" s="679"/>
      <c r="F167" s="419" t="s">
        <v>14</v>
      </c>
      <c r="G167" s="486" t="s">
        <v>1903</v>
      </c>
      <c r="H167" s="486"/>
      <c r="I167" s="486"/>
      <c r="J167" s="514"/>
      <c r="K167" s="390"/>
      <c r="L167" s="390"/>
      <c r="AA167" s="391" t="str">
        <f>IF(D167="N/A", "1","")&amp;IF(D167="No", "2","")</f>
        <v/>
      </c>
    </row>
    <row r="168" spans="1:27" ht="15" thickBot="1" x14ac:dyDescent="0.3">
      <c r="A168" s="503"/>
      <c r="B168" s="710"/>
      <c r="C168" s="711"/>
      <c r="D168" s="711"/>
      <c r="E168" s="711"/>
      <c r="F168" s="712"/>
      <c r="G168" s="467"/>
      <c r="H168" s="384"/>
      <c r="I168" s="384"/>
      <c r="J168" s="385"/>
    </row>
    <row r="169" spans="1:27" ht="86.25" thickBot="1" x14ac:dyDescent="0.3">
      <c r="A169" s="503"/>
      <c r="B169" s="40" t="s">
        <v>1190</v>
      </c>
      <c r="C169" s="415"/>
      <c r="D169" s="678" t="s">
        <v>1912</v>
      </c>
      <c r="E169" s="679"/>
      <c r="F169" s="419" t="s">
        <v>14</v>
      </c>
      <c r="G169" s="467"/>
      <c r="H169" s="384"/>
      <c r="I169" s="384"/>
      <c r="J169" s="385"/>
    </row>
    <row r="170" spans="1:27" ht="15" thickBot="1" x14ac:dyDescent="0.3">
      <c r="A170" s="503"/>
      <c r="B170" s="710"/>
      <c r="C170" s="711"/>
      <c r="D170" s="711"/>
      <c r="E170" s="711"/>
      <c r="F170" s="712"/>
      <c r="G170" s="467"/>
      <c r="H170" s="384"/>
      <c r="I170" s="384"/>
      <c r="J170" s="385"/>
    </row>
    <row r="171" spans="1:27" ht="31.15" customHeight="1" thickBot="1" x14ac:dyDescent="0.3">
      <c r="A171" s="503"/>
      <c r="B171" s="561" t="s">
        <v>1119</v>
      </c>
      <c r="C171" s="562"/>
      <c r="D171" s="562"/>
      <c r="E171" s="562"/>
      <c r="F171" s="563"/>
      <c r="G171" s="467"/>
      <c r="H171" s="384"/>
      <c r="I171" s="384"/>
      <c r="J171" s="385"/>
    </row>
    <row r="172" spans="1:27" ht="15" thickBot="1" x14ac:dyDescent="0.3">
      <c r="A172" s="503"/>
      <c r="B172" s="710"/>
      <c r="C172" s="711"/>
      <c r="D172" s="711"/>
      <c r="E172" s="711"/>
      <c r="F172" s="712"/>
      <c r="G172" s="640" t="str">
        <f>IF(D173="No", "How will device be managed","")</f>
        <v/>
      </c>
      <c r="H172" s="640"/>
      <c r="I172" s="640"/>
      <c r="J172" s="641"/>
      <c r="K172" s="173"/>
      <c r="L172" s="173"/>
    </row>
    <row r="173" spans="1:27" ht="57.75" thickBot="1" x14ac:dyDescent="0.3">
      <c r="A173" s="503"/>
      <c r="B173" s="40" t="s">
        <v>313</v>
      </c>
      <c r="C173" s="415"/>
      <c r="D173" s="678" t="s">
        <v>929</v>
      </c>
      <c r="E173" s="679"/>
      <c r="F173" s="419" t="s">
        <v>14</v>
      </c>
      <c r="G173" s="640"/>
      <c r="H173" s="640"/>
      <c r="I173" s="640"/>
      <c r="J173" s="641"/>
      <c r="K173" s="390"/>
      <c r="L173" s="390"/>
      <c r="AA173" s="391" t="str">
        <f>IF(D173="No", "2","")</f>
        <v/>
      </c>
    </row>
    <row r="174" spans="1:27" ht="15" thickBot="1" x14ac:dyDescent="0.3">
      <c r="A174" s="503"/>
      <c r="B174" s="710"/>
      <c r="C174" s="711"/>
      <c r="D174" s="711"/>
      <c r="E174" s="711"/>
      <c r="F174" s="712"/>
      <c r="G174" s="467"/>
      <c r="H174" s="384"/>
      <c r="I174" s="384"/>
      <c r="J174" s="385"/>
    </row>
    <row r="175" spans="1:27" ht="31.15" customHeight="1" thickBot="1" x14ac:dyDescent="0.3">
      <c r="A175" s="503"/>
      <c r="B175" s="561" t="s">
        <v>1191</v>
      </c>
      <c r="C175" s="562"/>
      <c r="D175" s="562"/>
      <c r="E175" s="562"/>
      <c r="F175" s="563"/>
      <c r="G175" s="467"/>
      <c r="H175" s="384"/>
      <c r="I175" s="384"/>
      <c r="J175" s="385"/>
    </row>
    <row r="176" spans="1:27" ht="15" thickBot="1" x14ac:dyDescent="0.3">
      <c r="A176" s="503"/>
      <c r="B176" s="710"/>
      <c r="C176" s="711"/>
      <c r="D176" s="711"/>
      <c r="E176" s="711"/>
      <c r="F176" s="712"/>
      <c r="G176" s="640" t="str">
        <f>IF(D177="N/A", "Comments","")</f>
        <v/>
      </c>
      <c r="H176" s="640"/>
      <c r="I176" s="640"/>
      <c r="J176" s="641"/>
      <c r="K176" s="173"/>
      <c r="L176" s="173"/>
    </row>
    <row r="177" spans="1:27" ht="29.25" thickBot="1" x14ac:dyDescent="0.3">
      <c r="A177" s="503"/>
      <c r="B177" s="40" t="s">
        <v>244</v>
      </c>
      <c r="C177" s="414"/>
      <c r="D177" s="678" t="s">
        <v>932</v>
      </c>
      <c r="E177" s="679"/>
      <c r="F177" s="419" t="s">
        <v>14</v>
      </c>
      <c r="G177" s="640" t="s">
        <v>1913</v>
      </c>
      <c r="H177" s="640"/>
      <c r="I177" s="640"/>
      <c r="J177" s="641"/>
      <c r="K177" s="390"/>
      <c r="L177" s="390"/>
      <c r="AA177" s="391" t="str">
        <f>IF(D177="N/A", "2","")</f>
        <v/>
      </c>
    </row>
    <row r="178" spans="1:27" ht="29.25" thickBot="1" x14ac:dyDescent="0.3">
      <c r="A178" s="503"/>
      <c r="B178" s="40" t="s">
        <v>318</v>
      </c>
      <c r="C178" s="414"/>
      <c r="D178" s="678" t="s">
        <v>1878</v>
      </c>
      <c r="E178" s="679"/>
      <c r="F178" s="419" t="s">
        <v>14</v>
      </c>
      <c r="G178" s="640" t="s">
        <v>1913</v>
      </c>
      <c r="H178" s="640"/>
      <c r="I178" s="640"/>
      <c r="J178" s="641"/>
    </row>
    <row r="179" spans="1:27" ht="15" thickBot="1" x14ac:dyDescent="0.3">
      <c r="A179" s="503"/>
      <c r="B179" s="710"/>
      <c r="C179" s="711"/>
      <c r="D179" s="711"/>
      <c r="E179" s="711"/>
      <c r="F179" s="712"/>
      <c r="G179" s="640" t="str">
        <f>IF(D180="N/A", "Comments","")</f>
        <v/>
      </c>
      <c r="H179" s="640"/>
      <c r="I179" s="640"/>
      <c r="J179" s="641"/>
      <c r="K179" s="173"/>
      <c r="L179" s="173"/>
    </row>
    <row r="180" spans="1:27" ht="29.25" thickBot="1" x14ac:dyDescent="0.3">
      <c r="A180" s="503"/>
      <c r="B180" s="40" t="s">
        <v>321</v>
      </c>
      <c r="C180" s="414"/>
      <c r="D180" s="678" t="s">
        <v>932</v>
      </c>
      <c r="E180" s="679"/>
      <c r="F180" s="419" t="s">
        <v>14</v>
      </c>
      <c r="G180" s="640"/>
      <c r="H180" s="640"/>
      <c r="I180" s="640"/>
      <c r="J180" s="641"/>
      <c r="K180" s="390"/>
      <c r="L180" s="390"/>
      <c r="AA180" s="391" t="str">
        <f>IF(D180="N/A", "2","")</f>
        <v/>
      </c>
    </row>
    <row r="181" spans="1:27" ht="57" customHeight="1" thickBot="1" x14ac:dyDescent="0.3">
      <c r="A181" s="503"/>
      <c r="B181" s="40" t="s">
        <v>324</v>
      </c>
      <c r="C181" s="415"/>
      <c r="D181" s="678" t="s">
        <v>938</v>
      </c>
      <c r="E181" s="679"/>
      <c r="F181" s="419" t="s">
        <v>14</v>
      </c>
      <c r="G181" s="852" t="s">
        <v>1914</v>
      </c>
      <c r="H181" s="851"/>
      <c r="I181" s="851"/>
      <c r="J181" s="853"/>
    </row>
    <row r="283" spans="7:7" x14ac:dyDescent="0.25">
      <c r="G283" s="173" t="str">
        <f>IF(F284=B32326,C32326,"")&amp;IF(F284=B32328,C32328,"")</f>
        <v/>
      </c>
    </row>
  </sheetData>
  <mergeCells count="277">
    <mergeCell ref="G178:J178"/>
    <mergeCell ref="G181:J181"/>
    <mergeCell ref="G38:J38"/>
    <mergeCell ref="G40:J40"/>
    <mergeCell ref="G141:J141"/>
    <mergeCell ref="G143:J143"/>
    <mergeCell ref="G145:J145"/>
    <mergeCell ref="G148:J148"/>
    <mergeCell ref="G152:J152"/>
    <mergeCell ref="G154:J154"/>
    <mergeCell ref="B2:J3"/>
    <mergeCell ref="A1:A181"/>
    <mergeCell ref="B161:F161"/>
    <mergeCell ref="G122:J122"/>
    <mergeCell ref="G123:J123"/>
    <mergeCell ref="D74:E74"/>
    <mergeCell ref="G74:J74"/>
    <mergeCell ref="G75:J75"/>
    <mergeCell ref="B179:F179"/>
    <mergeCell ref="B151:F151"/>
    <mergeCell ref="B149:F149"/>
    <mergeCell ref="B118:F118"/>
    <mergeCell ref="B164:F164"/>
    <mergeCell ref="B166:F166"/>
    <mergeCell ref="B168:F168"/>
    <mergeCell ref="B172:F172"/>
    <mergeCell ref="B88:F88"/>
    <mergeCell ref="B100:F100"/>
    <mergeCell ref="B155:F155"/>
    <mergeCell ref="B146:F146"/>
    <mergeCell ref="B130:F130"/>
    <mergeCell ref="B109:F109"/>
    <mergeCell ref="B170:F170"/>
    <mergeCell ref="B174:F174"/>
    <mergeCell ref="B176:F176"/>
    <mergeCell ref="B147:F147"/>
    <mergeCell ref="D145:E145"/>
    <mergeCell ref="D148:E148"/>
    <mergeCell ref="D150:E150"/>
    <mergeCell ref="B128:E128"/>
    <mergeCell ref="B153:E153"/>
    <mergeCell ref="D141:E141"/>
    <mergeCell ref="B57:F57"/>
    <mergeCell ref="D142:E142"/>
    <mergeCell ref="D143:E143"/>
    <mergeCell ref="D144:E144"/>
    <mergeCell ref="D121:E121"/>
    <mergeCell ref="D106:E106"/>
    <mergeCell ref="D108:E108"/>
    <mergeCell ref="B110:F110"/>
    <mergeCell ref="B139:F139"/>
    <mergeCell ref="D140:E140"/>
    <mergeCell ref="B138:E138"/>
    <mergeCell ref="B132:F132"/>
    <mergeCell ref="D115:E115"/>
    <mergeCell ref="D119:E119"/>
    <mergeCell ref="D123:E123"/>
    <mergeCell ref="D125:E125"/>
    <mergeCell ref="D69:E69"/>
    <mergeCell ref="D71:E71"/>
    <mergeCell ref="D64:E64"/>
    <mergeCell ref="D66:E66"/>
    <mergeCell ref="D82:E82"/>
    <mergeCell ref="B78:F78"/>
    <mergeCell ref="B80:F80"/>
    <mergeCell ref="B84:F84"/>
    <mergeCell ref="B86:F86"/>
    <mergeCell ref="D68:E68"/>
    <mergeCell ref="D70:E70"/>
    <mergeCell ref="B76:F76"/>
    <mergeCell ref="D79:E79"/>
    <mergeCell ref="D81:E81"/>
    <mergeCell ref="D83:E83"/>
    <mergeCell ref="D85:E85"/>
    <mergeCell ref="D65:E65"/>
    <mergeCell ref="D67:E67"/>
    <mergeCell ref="D181:E181"/>
    <mergeCell ref="G92:J92"/>
    <mergeCell ref="G93:J93"/>
    <mergeCell ref="D92:E92"/>
    <mergeCell ref="B175:F175"/>
    <mergeCell ref="D177:E177"/>
    <mergeCell ref="G176:J176"/>
    <mergeCell ref="G177:J177"/>
    <mergeCell ref="D178:E178"/>
    <mergeCell ref="D180:E180"/>
    <mergeCell ref="G180:J180"/>
    <mergeCell ref="G179:J179"/>
    <mergeCell ref="G167:J167"/>
    <mergeCell ref="D167:E167"/>
    <mergeCell ref="D169:E169"/>
    <mergeCell ref="D173:E173"/>
    <mergeCell ref="G172:J172"/>
    <mergeCell ref="G173:J173"/>
    <mergeCell ref="B171:F171"/>
    <mergeCell ref="G161:J161"/>
    <mergeCell ref="G162:J162"/>
    <mergeCell ref="D98:E98"/>
    <mergeCell ref="D97:E97"/>
    <mergeCell ref="D95:E95"/>
    <mergeCell ref="D162:E162"/>
    <mergeCell ref="D163:E163"/>
    <mergeCell ref="D165:E165"/>
    <mergeCell ref="G166:J166"/>
    <mergeCell ref="D154:E154"/>
    <mergeCell ref="B156:F156"/>
    <mergeCell ref="D158:E158"/>
    <mergeCell ref="D159:E159"/>
    <mergeCell ref="D160:E160"/>
    <mergeCell ref="B157:E157"/>
    <mergeCell ref="G149:J149"/>
    <mergeCell ref="G150:J150"/>
    <mergeCell ref="D152:E152"/>
    <mergeCell ref="G165:J165"/>
    <mergeCell ref="G164:J164"/>
    <mergeCell ref="G127:J127"/>
    <mergeCell ref="G124:J124"/>
    <mergeCell ref="G125:J125"/>
    <mergeCell ref="G136:J136"/>
    <mergeCell ref="G137:J137"/>
    <mergeCell ref="D137:E137"/>
    <mergeCell ref="B131:F131"/>
    <mergeCell ref="G128:J128"/>
    <mergeCell ref="G129:J129"/>
    <mergeCell ref="G132:J132"/>
    <mergeCell ref="G133:J133"/>
    <mergeCell ref="D133:E133"/>
    <mergeCell ref="D135:E135"/>
    <mergeCell ref="G134:J134"/>
    <mergeCell ref="G135:J135"/>
    <mergeCell ref="D129:E129"/>
    <mergeCell ref="B134:F134"/>
    <mergeCell ref="B136:F136"/>
    <mergeCell ref="D127:E127"/>
    <mergeCell ref="D87:E87"/>
    <mergeCell ref="D117:E117"/>
    <mergeCell ref="G94:J94"/>
    <mergeCell ref="G95:J95"/>
    <mergeCell ref="D72:E72"/>
    <mergeCell ref="D91:E91"/>
    <mergeCell ref="D93:E93"/>
    <mergeCell ref="D113:E113"/>
    <mergeCell ref="D114:E114"/>
    <mergeCell ref="B89:F89"/>
    <mergeCell ref="B77:F77"/>
    <mergeCell ref="D73:E73"/>
    <mergeCell ref="D75:E75"/>
    <mergeCell ref="D94:E94"/>
    <mergeCell ref="D96:E96"/>
    <mergeCell ref="B90:F90"/>
    <mergeCell ref="G126:J126"/>
    <mergeCell ref="G115:J115"/>
    <mergeCell ref="B111:F111"/>
    <mergeCell ref="D112:E112"/>
    <mergeCell ref="D99:E99"/>
    <mergeCell ref="B101:F101"/>
    <mergeCell ref="B102:F102"/>
    <mergeCell ref="D103:E103"/>
    <mergeCell ref="D104:E104"/>
    <mergeCell ref="D105:E105"/>
    <mergeCell ref="B126:F126"/>
    <mergeCell ref="G121:J121"/>
    <mergeCell ref="G120:J120"/>
    <mergeCell ref="B61:F61"/>
    <mergeCell ref="D63:E63"/>
    <mergeCell ref="B59:F59"/>
    <mergeCell ref="B62:F62"/>
    <mergeCell ref="B51:F51"/>
    <mergeCell ref="D55:E55"/>
    <mergeCell ref="D56:E56"/>
    <mergeCell ref="B58:F58"/>
    <mergeCell ref="D49:E49"/>
    <mergeCell ref="B53:F53"/>
    <mergeCell ref="D34:E34"/>
    <mergeCell ref="D35:E35"/>
    <mergeCell ref="D36:E36"/>
    <mergeCell ref="D37:E37"/>
    <mergeCell ref="D38:E38"/>
    <mergeCell ref="D24:E24"/>
    <mergeCell ref="D25:E25"/>
    <mergeCell ref="D27:E27"/>
    <mergeCell ref="D28:E28"/>
    <mergeCell ref="D30:E30"/>
    <mergeCell ref="B32:F32"/>
    <mergeCell ref="D46:E46"/>
    <mergeCell ref="D47:E47"/>
    <mergeCell ref="D48:E48"/>
    <mergeCell ref="D50:E50"/>
    <mergeCell ref="B52:F52"/>
    <mergeCell ref="D54:E54"/>
    <mergeCell ref="D60:E60"/>
    <mergeCell ref="B9:C9"/>
    <mergeCell ref="B11:F11"/>
    <mergeCell ref="D19:E19"/>
    <mergeCell ref="D26:E26"/>
    <mergeCell ref="D29:E29"/>
    <mergeCell ref="B42:F42"/>
    <mergeCell ref="B43:F43"/>
    <mergeCell ref="D44:E44"/>
    <mergeCell ref="D45:E45"/>
    <mergeCell ref="D40:E40"/>
    <mergeCell ref="B41:F41"/>
    <mergeCell ref="B31:F31"/>
    <mergeCell ref="B21:F21"/>
    <mergeCell ref="D20:E20"/>
    <mergeCell ref="B22:F22"/>
    <mergeCell ref="B23:F23"/>
    <mergeCell ref="B33:F33"/>
    <mergeCell ref="G27:J27"/>
    <mergeCell ref="G68:J68"/>
    <mergeCell ref="G69:J69"/>
    <mergeCell ref="G70:J70"/>
    <mergeCell ref="G71:J71"/>
    <mergeCell ref="G72:J72"/>
    <mergeCell ref="G73:J73"/>
    <mergeCell ref="D4:F4"/>
    <mergeCell ref="B5:F5"/>
    <mergeCell ref="D6:E6"/>
    <mergeCell ref="D7:E7"/>
    <mergeCell ref="D8:E8"/>
    <mergeCell ref="D16:E16"/>
    <mergeCell ref="D17:E17"/>
    <mergeCell ref="D18:E18"/>
    <mergeCell ref="D9:E9"/>
    <mergeCell ref="B10:F10"/>
    <mergeCell ref="B12:F12"/>
    <mergeCell ref="B13:F13"/>
    <mergeCell ref="D14:E14"/>
    <mergeCell ref="D15:E15"/>
    <mergeCell ref="B7:C7"/>
    <mergeCell ref="B6:C6"/>
    <mergeCell ref="B8:C8"/>
    <mergeCell ref="G59:J59"/>
    <mergeCell ref="G60:J60"/>
    <mergeCell ref="G62:J62"/>
    <mergeCell ref="G63:J63"/>
    <mergeCell ref="G64:J64"/>
    <mergeCell ref="G65:J65"/>
    <mergeCell ref="G66:J66"/>
    <mergeCell ref="G67:J67"/>
    <mergeCell ref="G119:J119"/>
    <mergeCell ref="G118:J118"/>
    <mergeCell ref="G97:J97"/>
    <mergeCell ref="G117:J117"/>
    <mergeCell ref="G87:J87"/>
    <mergeCell ref="G82:J82"/>
    <mergeCell ref="G83:J83"/>
    <mergeCell ref="G84:J84"/>
    <mergeCell ref="G85:J85"/>
    <mergeCell ref="G86:J86"/>
    <mergeCell ref="G116:J116"/>
    <mergeCell ref="G107:J107"/>
    <mergeCell ref="G108:J108"/>
    <mergeCell ref="G16:J16"/>
    <mergeCell ref="G4:J4"/>
    <mergeCell ref="B1:J1"/>
    <mergeCell ref="G29:J29"/>
    <mergeCell ref="G30:J30"/>
    <mergeCell ref="D107:E107"/>
    <mergeCell ref="B122:F122"/>
    <mergeCell ref="B120:F120"/>
    <mergeCell ref="B124:F124"/>
    <mergeCell ref="D39:E39"/>
    <mergeCell ref="G53:J53"/>
    <mergeCell ref="G54:J54"/>
    <mergeCell ref="G19:J19"/>
    <mergeCell ref="G96:J96"/>
    <mergeCell ref="G20:J20"/>
    <mergeCell ref="G49:J49"/>
    <mergeCell ref="G50:J50"/>
    <mergeCell ref="G90:J90"/>
    <mergeCell ref="G91:J91"/>
    <mergeCell ref="G80:J80"/>
    <mergeCell ref="G81:J81"/>
    <mergeCell ref="G78:J78"/>
    <mergeCell ref="G79:J79"/>
    <mergeCell ref="G26:J26"/>
  </mergeCells>
  <conditionalFormatting sqref="G120">
    <cfRule type="cellIs" dxfId="396" priority="138" operator="notEqual">
      <formula>""</formula>
    </cfRule>
  </conditionalFormatting>
  <conditionalFormatting sqref="G78">
    <cfRule type="cellIs" dxfId="395" priority="136" operator="notEqual">
      <formula>""</formula>
    </cfRule>
  </conditionalFormatting>
  <conditionalFormatting sqref="G86">
    <cfRule type="cellIs" dxfId="394" priority="130" operator="notEqual">
      <formula>""</formula>
    </cfRule>
  </conditionalFormatting>
  <conditionalFormatting sqref="G26">
    <cfRule type="cellIs" dxfId="393" priority="128" operator="notEqual">
      <formula>""</formula>
    </cfRule>
  </conditionalFormatting>
  <conditionalFormatting sqref="G115">
    <cfRule type="cellIs" dxfId="392" priority="126" operator="notEqual">
      <formula>""</formula>
    </cfRule>
  </conditionalFormatting>
  <conditionalFormatting sqref="G116">
    <cfRule type="cellIs" dxfId="391" priority="122" operator="notEqual">
      <formula>""</formula>
    </cfRule>
  </conditionalFormatting>
  <conditionalFormatting sqref="G107">
    <cfRule type="cellIs" dxfId="390" priority="120" operator="notEqual">
      <formula>""</formula>
    </cfRule>
  </conditionalFormatting>
  <conditionalFormatting sqref="G118">
    <cfRule type="cellIs" dxfId="389" priority="118" operator="notEqual">
      <formula>""</formula>
    </cfRule>
  </conditionalFormatting>
  <conditionalFormatting sqref="G126">
    <cfRule type="cellIs" dxfId="388" priority="117" operator="notEqual">
      <formula>""</formula>
    </cfRule>
  </conditionalFormatting>
  <conditionalFormatting sqref="G124">
    <cfRule type="cellIs" dxfId="387" priority="114" operator="notEqual">
      <formula>""</formula>
    </cfRule>
  </conditionalFormatting>
  <conditionalFormatting sqref="G128">
    <cfRule type="cellIs" dxfId="386" priority="112" operator="notEqual">
      <formula>""</formula>
    </cfRule>
  </conditionalFormatting>
  <conditionalFormatting sqref="G132">
    <cfRule type="cellIs" dxfId="385" priority="110" operator="notEqual">
      <formula>""</formula>
    </cfRule>
  </conditionalFormatting>
  <conditionalFormatting sqref="G134">
    <cfRule type="cellIs" dxfId="384" priority="103" operator="notEqual">
      <formula>""</formula>
    </cfRule>
  </conditionalFormatting>
  <conditionalFormatting sqref="G136">
    <cfRule type="cellIs" dxfId="383" priority="100" operator="notEqual">
      <formula>""</formula>
    </cfRule>
  </conditionalFormatting>
  <conditionalFormatting sqref="G149">
    <cfRule type="cellIs" dxfId="382" priority="96" operator="notEqual">
      <formula>""</formula>
    </cfRule>
  </conditionalFormatting>
  <conditionalFormatting sqref="G166">
    <cfRule type="cellIs" dxfId="381" priority="90" operator="notEqual">
      <formula>""</formula>
    </cfRule>
  </conditionalFormatting>
  <conditionalFormatting sqref="G172">
    <cfRule type="cellIs" dxfId="380" priority="87" operator="notEqual">
      <formula>""</formula>
    </cfRule>
  </conditionalFormatting>
  <conditionalFormatting sqref="G176">
    <cfRule type="cellIs" dxfId="379" priority="84" operator="notEqual">
      <formula>""</formula>
    </cfRule>
  </conditionalFormatting>
  <conditionalFormatting sqref="G179">
    <cfRule type="cellIs" dxfId="378" priority="80" operator="notEqual">
      <formula>""</formula>
    </cfRule>
  </conditionalFormatting>
  <conditionalFormatting sqref="G92">
    <cfRule type="cellIs" dxfId="377" priority="78" operator="notEqual">
      <formula>""</formula>
    </cfRule>
  </conditionalFormatting>
  <conditionalFormatting sqref="G19">
    <cfRule type="cellIs" dxfId="376" priority="76" operator="notEqual">
      <formula>""</formula>
    </cfRule>
  </conditionalFormatting>
  <conditionalFormatting sqref="G49">
    <cfRule type="cellIs" dxfId="375" priority="74" operator="notEqual">
      <formula>""</formula>
    </cfRule>
  </conditionalFormatting>
  <conditionalFormatting sqref="G82">
    <cfRule type="cellIs" dxfId="374" priority="70" operator="notEqual">
      <formula>""</formula>
    </cfRule>
  </conditionalFormatting>
  <conditionalFormatting sqref="G84">
    <cfRule type="cellIs" dxfId="373" priority="67" operator="notEqual">
      <formula>""</formula>
    </cfRule>
  </conditionalFormatting>
  <conditionalFormatting sqref="G90">
    <cfRule type="cellIs" dxfId="372" priority="61" operator="notEqual">
      <formula>""</formula>
    </cfRule>
  </conditionalFormatting>
  <conditionalFormatting sqref="G164">
    <cfRule type="cellIs" dxfId="371" priority="57" operator="notEqual">
      <formula>""</formula>
    </cfRule>
  </conditionalFormatting>
  <conditionalFormatting sqref="G53">
    <cfRule type="cellIs" dxfId="370" priority="52" operator="notEqual">
      <formula>""</formula>
    </cfRule>
  </conditionalFormatting>
  <conditionalFormatting sqref="G59">
    <cfRule type="cellIs" dxfId="369" priority="49" operator="notEqual">
      <formula>""</formula>
    </cfRule>
  </conditionalFormatting>
  <conditionalFormatting sqref="G62">
    <cfRule type="cellIs" dxfId="368" priority="46" operator="notEqual">
      <formula>""</formula>
    </cfRule>
  </conditionalFormatting>
  <conditionalFormatting sqref="G64">
    <cfRule type="cellIs" dxfId="367" priority="44" operator="notEqual">
      <formula>""</formula>
    </cfRule>
  </conditionalFormatting>
  <conditionalFormatting sqref="G66">
    <cfRule type="cellIs" dxfId="366" priority="42" operator="notEqual">
      <formula>""</formula>
    </cfRule>
  </conditionalFormatting>
  <conditionalFormatting sqref="G68">
    <cfRule type="cellIs" dxfId="365" priority="40" operator="notEqual">
      <formula>""</formula>
    </cfRule>
  </conditionalFormatting>
  <conditionalFormatting sqref="G70">
    <cfRule type="cellIs" dxfId="364" priority="38" operator="notEqual">
      <formula>""</formula>
    </cfRule>
  </conditionalFormatting>
  <conditionalFormatting sqref="G72">
    <cfRule type="cellIs" dxfId="363" priority="36" operator="notEqual">
      <formula>""</formula>
    </cfRule>
  </conditionalFormatting>
  <conditionalFormatting sqref="G94">
    <cfRule type="cellIs" dxfId="362" priority="33" operator="notEqual">
      <formula>""</formula>
    </cfRule>
  </conditionalFormatting>
  <conditionalFormatting sqref="G96">
    <cfRule type="cellIs" dxfId="361" priority="31" operator="notEqual">
      <formula>""</formula>
    </cfRule>
  </conditionalFormatting>
  <conditionalFormatting sqref="G79">
    <cfRule type="expression" dxfId="360" priority="905">
      <formula>$AA$79="1"</formula>
    </cfRule>
  </conditionalFormatting>
  <conditionalFormatting sqref="G27">
    <cfRule type="expression" dxfId="359" priority="907">
      <formula>$AA$27="1"</formula>
    </cfRule>
  </conditionalFormatting>
  <conditionalFormatting sqref="G121">
    <cfRule type="expression" dxfId="358" priority="908">
      <formula>$AA$121="1"</formula>
    </cfRule>
  </conditionalFormatting>
  <conditionalFormatting sqref="G117">
    <cfRule type="expression" dxfId="357" priority="909">
      <formula>$AA$117="1"</formula>
    </cfRule>
  </conditionalFormatting>
  <conditionalFormatting sqref="G108">
    <cfRule type="expression" dxfId="356" priority="910">
      <formula>$AA$108="1"</formula>
    </cfRule>
  </conditionalFormatting>
  <conditionalFormatting sqref="G119">
    <cfRule type="expression" dxfId="355" priority="911">
      <formula>$AA$119="1"</formula>
    </cfRule>
  </conditionalFormatting>
  <conditionalFormatting sqref="G135">
    <cfRule type="expression" dxfId="354" priority="916">
      <formula>$AA$135="2"</formula>
    </cfRule>
    <cfRule type="expression" dxfId="353" priority="917">
      <formula>$AA$135="1"</formula>
    </cfRule>
  </conditionalFormatting>
  <conditionalFormatting sqref="G137">
    <cfRule type="expression" dxfId="352" priority="918">
      <formula>$AA$137="2"</formula>
    </cfRule>
    <cfRule type="expression" dxfId="351" priority="919">
      <formula>$AA$137="1"</formula>
    </cfRule>
  </conditionalFormatting>
  <conditionalFormatting sqref="G129">
    <cfRule type="expression" dxfId="350" priority="920">
      <formula>$AA$129="1"</formula>
    </cfRule>
  </conditionalFormatting>
  <conditionalFormatting sqref="G167">
    <cfRule type="expression" dxfId="349" priority="923">
      <formula>$AA$167="2"</formula>
    </cfRule>
    <cfRule type="expression" dxfId="348" priority="924">
      <formula>$AA$167="1"</formula>
    </cfRule>
  </conditionalFormatting>
  <conditionalFormatting sqref="G173">
    <cfRule type="expression" dxfId="347" priority="925">
      <formula>$AA$173="2"</formula>
    </cfRule>
  </conditionalFormatting>
  <conditionalFormatting sqref="G177">
    <cfRule type="expression" dxfId="346" priority="926">
      <formula>$AA$177="2"</formula>
    </cfRule>
  </conditionalFormatting>
  <conditionalFormatting sqref="G180">
    <cfRule type="expression" dxfId="345" priority="927">
      <formula>$AA$180="2"</formula>
    </cfRule>
  </conditionalFormatting>
  <conditionalFormatting sqref="G93">
    <cfRule type="expression" dxfId="344" priority="928">
      <formula>$AA$93="1"</formula>
    </cfRule>
  </conditionalFormatting>
  <conditionalFormatting sqref="G20">
    <cfRule type="expression" dxfId="343" priority="929">
      <formula>$AA$20="1"</formula>
    </cfRule>
  </conditionalFormatting>
  <conditionalFormatting sqref="G50">
    <cfRule type="expression" dxfId="342" priority="930">
      <formula>$AA$50="1"</formula>
    </cfRule>
  </conditionalFormatting>
  <conditionalFormatting sqref="G81">
    <cfRule type="expression" dxfId="341" priority="932">
      <formula>$AA$81="1"</formula>
    </cfRule>
  </conditionalFormatting>
  <conditionalFormatting sqref="G83">
    <cfRule type="expression" dxfId="340" priority="934">
      <formula>$AA$83="1"</formula>
    </cfRule>
  </conditionalFormatting>
  <conditionalFormatting sqref="G91">
    <cfRule type="expression" dxfId="339" priority="937">
      <formula>$AA$91="2"</formula>
    </cfRule>
    <cfRule type="expression" dxfId="338" priority="938">
      <formula>$AA$91="1"</formula>
    </cfRule>
  </conditionalFormatting>
  <conditionalFormatting sqref="G54">
    <cfRule type="expression" dxfId="337" priority="941">
      <formula>$AA$54="1"</formula>
    </cfRule>
  </conditionalFormatting>
  <conditionalFormatting sqref="G60">
    <cfRule type="expression" dxfId="336" priority="942">
      <formula>AA60="2"</formula>
    </cfRule>
  </conditionalFormatting>
  <conditionalFormatting sqref="G95">
    <cfRule type="expression" dxfId="335" priority="949">
      <formula>$AA$95="1"</formula>
    </cfRule>
  </conditionalFormatting>
  <conditionalFormatting sqref="G97">
    <cfRule type="expression" dxfId="334" priority="950">
      <formula>$AA$97="1"</formula>
    </cfRule>
  </conditionalFormatting>
  <conditionalFormatting sqref="G29">
    <cfRule type="cellIs" dxfId="333" priority="29" operator="notEqual">
      <formula>""</formula>
    </cfRule>
  </conditionalFormatting>
  <conditionalFormatting sqref="G30">
    <cfRule type="expression" dxfId="332" priority="30">
      <formula>$AA$30="1"</formula>
    </cfRule>
  </conditionalFormatting>
  <conditionalFormatting sqref="G165">
    <cfRule type="expression" dxfId="331" priority="27">
      <formula>$AA$165="2"</formula>
    </cfRule>
    <cfRule type="expression" dxfId="330" priority="28">
      <formula>$AA$165="1"</formula>
    </cfRule>
  </conditionalFormatting>
  <conditionalFormatting sqref="G162">
    <cfRule type="expression" dxfId="329" priority="94">
      <formula>$AA$162="1"</formula>
    </cfRule>
  </conditionalFormatting>
  <conditionalFormatting sqref="G161">
    <cfRule type="cellIs" dxfId="328" priority="24" operator="notEqual">
      <formula>""</formula>
    </cfRule>
  </conditionalFormatting>
  <conditionalFormatting sqref="G133">
    <cfRule type="expression" dxfId="327" priority="22">
      <formula>$AA$133="2"</formula>
    </cfRule>
    <cfRule type="expression" dxfId="326" priority="23">
      <formula>$AA$133="1"</formula>
    </cfRule>
  </conditionalFormatting>
  <conditionalFormatting sqref="G127">
    <cfRule type="expression" dxfId="325" priority="21">
      <formula>$AA$127="1"</formula>
    </cfRule>
  </conditionalFormatting>
  <conditionalFormatting sqref="G125">
    <cfRule type="expression" dxfId="324" priority="20">
      <formula>$AA$125="1"</formula>
    </cfRule>
  </conditionalFormatting>
  <conditionalFormatting sqref="G122">
    <cfRule type="cellIs" dxfId="323" priority="19" operator="notEqual">
      <formula>""</formula>
    </cfRule>
  </conditionalFormatting>
  <conditionalFormatting sqref="G87">
    <cfRule type="expression" dxfId="322" priority="18">
      <formula>$AA$87="1"</formula>
    </cfRule>
  </conditionalFormatting>
  <conditionalFormatting sqref="G85">
    <cfRule type="expression" dxfId="321" priority="16">
      <formula>$AA$85="1"</formula>
    </cfRule>
  </conditionalFormatting>
  <conditionalFormatting sqref="G74">
    <cfRule type="cellIs" dxfId="320" priority="12" operator="notEqual">
      <formula>""</formula>
    </cfRule>
  </conditionalFormatting>
  <conditionalFormatting sqref="G75">
    <cfRule type="expression" dxfId="319" priority="13">
      <formula>AA75="2"</formula>
    </cfRule>
  </conditionalFormatting>
  <conditionalFormatting sqref="G73">
    <cfRule type="expression" dxfId="318" priority="11">
      <formula>AA73="2"</formula>
    </cfRule>
  </conditionalFormatting>
  <conditionalFormatting sqref="G71">
    <cfRule type="expression" dxfId="317" priority="10">
      <formula>AA71="2"</formula>
    </cfRule>
  </conditionalFormatting>
  <conditionalFormatting sqref="G69">
    <cfRule type="expression" dxfId="316" priority="9">
      <formula>AA69="2"</formula>
    </cfRule>
  </conditionalFormatting>
  <conditionalFormatting sqref="G67">
    <cfRule type="expression" dxfId="315" priority="8">
      <formula>AA67="2"</formula>
    </cfRule>
  </conditionalFormatting>
  <conditionalFormatting sqref="G65">
    <cfRule type="expression" dxfId="314" priority="7">
      <formula>AA65="2"</formula>
    </cfRule>
  </conditionalFormatting>
  <conditionalFormatting sqref="G63">
    <cfRule type="expression" dxfId="313" priority="6">
      <formula>AA63="2"</formula>
    </cfRule>
  </conditionalFormatting>
  <conditionalFormatting sqref="G129:J129">
    <cfRule type="expression" dxfId="312" priority="5">
      <formula>$AA$129="2"</formula>
    </cfRule>
  </conditionalFormatting>
  <conditionalFormatting sqref="G80">
    <cfRule type="cellIs" dxfId="311" priority="4" operator="notEqual">
      <formula>""</formula>
    </cfRule>
  </conditionalFormatting>
  <conditionalFormatting sqref="G16:J16">
    <cfRule type="expression" dxfId="310" priority="2">
      <formula>$AF$16="1"</formula>
    </cfRule>
  </conditionalFormatting>
  <conditionalFormatting sqref="G178">
    <cfRule type="expression" dxfId="3" priority="1">
      <formula>$AA$177="2"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showInputMessage="1" showErrorMessage="1" errorTitle="RSAM" error="Select an appropriate value from the list." xr:uid="{00000000-0002-0000-0400-000000000000}">
          <x14:formula1>
            <xm:f>'Values-DoNotDelete'!$B$2:$B$3</xm:f>
          </x14:formula1>
          <xm:sqref>D14:E18 D162:E163 D50:E50 D27:E28 D60:E60 D103:E106 D91:E91 D125:E125 D34:E40 D44:E48 D24:E25 D121:E121 D97:E97 D69:E69 D112:E117 D119:E119 D158:E160 D148:E148 D152:E152 D73:E73 D71:E71 D67:E67 D65:E65 D63:E63 D93:E93 D108:E108 D95:E95 D140:E145 D75:E75</xm:sqref>
        </x14:dataValidation>
        <x14:dataValidation type="list" showInputMessage="1" showErrorMessage="1" errorTitle="RSAM" error="Select an appropriate value from the list." xr:uid="{00000000-0002-0000-0400-000001000000}">
          <x14:formula1>
            <xm:f>'Values-DoNotDelete'!$A$2:$A$3</xm:f>
          </x14:formula1>
          <xm:sqref>D54:E54</xm:sqref>
        </x14:dataValidation>
        <x14:dataValidation type="list" showInputMessage="1" showErrorMessage="1" errorTitle="RSAM" error="Select an appropriate value from the list." xr:uid="{00000000-0002-0000-0400-000002000000}">
          <x14:formula1>
            <xm:f>'Values-DoNotDelete'!$B$2:$B$4</xm:f>
          </x14:formula1>
          <xm:sqref>D127:E127 D173:E173 D137:E137 D133:E133 D135:E135 D20:E20 D167:F167 D165:E165 D177:F177 F178 D180:F180 F181 D129:E129 D79:E79 D81:E81 D83:E83 D85:E85 D87:E87</xm:sqref>
        </x14:dataValidation>
        <x14:dataValidation type="list" showInputMessage="1" showErrorMessage="1" errorTitle="RSAM" error="Select an appropriate value from the list." xr:uid="{00000000-0002-0000-0400-000003000000}">
          <x14:formula1>
            <xm:f>'Values-DoNotDelete'!$D$2:$D$4</xm:f>
          </x14:formula1>
          <xm:sqref>D181:E181</xm:sqref>
        </x14:dataValidation>
        <x14:dataValidation type="list" allowBlank="1" showInputMessage="1" showErrorMessage="1" xr:uid="{00000000-0002-0000-0400-000004000000}">
          <x14:formula1>
            <xm:f>'Values-DoNotDelete'!$B$2:$B$4</xm:f>
          </x14:formula1>
          <xm:sqref>D30:E30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261"/>
  <sheetViews>
    <sheetView topLeftCell="C1" zoomScale="110" zoomScaleNormal="110" workbookViewId="0">
      <selection activeCell="D141" sqref="D141:I141"/>
    </sheetView>
  </sheetViews>
  <sheetFormatPr defaultColWidth="9.140625" defaultRowHeight="12.75" outlineLevelCol="1" x14ac:dyDescent="0.2"/>
  <cols>
    <col min="1" max="1" width="8" style="86" hidden="1" customWidth="1" outlineLevel="1"/>
    <col min="2" max="2" width="21.28515625" style="86" hidden="1" customWidth="1" outlineLevel="1"/>
    <col min="3" max="3" width="2.42578125" style="286" customWidth="1" outlineLevel="1"/>
    <col min="4" max="4" width="31.28515625" style="86" customWidth="1"/>
    <col min="5" max="6" width="0.140625" style="86" hidden="1" customWidth="1"/>
    <col min="7" max="7" width="0.140625" style="464" hidden="1" customWidth="1"/>
    <col min="8" max="8" width="81.28515625" style="86" customWidth="1"/>
    <col min="9" max="9" width="17.7109375" style="210" customWidth="1"/>
    <col min="10" max="10" width="41.28515625" style="86" hidden="1" customWidth="1" outlineLevel="1"/>
    <col min="11" max="11" width="25.85546875" style="86" hidden="1" customWidth="1" outlineLevel="1"/>
    <col min="12" max="12" width="10.7109375" style="86" hidden="1" customWidth="1" outlineLevel="1"/>
    <col min="13" max="13" width="18" style="86" hidden="1" customWidth="1" outlineLevel="1"/>
    <col min="14" max="14" width="16.85546875" style="86" hidden="1" customWidth="1" outlineLevel="1"/>
    <col min="15" max="15" width="25.140625" style="86" hidden="1" customWidth="1" outlineLevel="1"/>
    <col min="16" max="16" width="158.85546875" style="86" hidden="1" customWidth="1" outlineLevel="1"/>
    <col min="17" max="17" width="9.42578125" style="86" hidden="1" customWidth="1"/>
    <col min="18" max="21" width="9.42578125" style="303" hidden="1" customWidth="1"/>
    <col min="22" max="22" width="6.85546875" style="303" hidden="1" customWidth="1"/>
    <col min="23" max="23" width="9.42578125" style="86" customWidth="1"/>
    <col min="24" max="24" width="0" style="45" hidden="1"/>
    <col min="25" max="25" width="9.42578125" style="86" customWidth="1"/>
    <col min="26" max="26" width="33" style="86" customWidth="1"/>
    <col min="27" max="27" width="24.28515625" style="86" customWidth="1"/>
    <col min="28" max="28" width="12.28515625" style="86" customWidth="1"/>
    <col min="29" max="39" width="9.42578125" style="86" customWidth="1"/>
    <col min="40" max="40" width="27.42578125" style="454" customWidth="1"/>
    <col min="41" max="41" width="4.85546875" style="86" hidden="1" customWidth="1"/>
    <col min="42" max="42" width="9.140625" style="86" customWidth="1"/>
    <col min="43" max="16384" width="9.140625" style="86"/>
  </cols>
  <sheetData>
    <row r="1" spans="1:47" ht="26.25" customHeight="1" thickBot="1" x14ac:dyDescent="0.5">
      <c r="B1" s="427"/>
      <c r="D1" s="798" t="s">
        <v>1192</v>
      </c>
      <c r="E1" s="799"/>
      <c r="F1" s="799"/>
      <c r="G1" s="799"/>
      <c r="H1" s="799"/>
      <c r="I1" s="799"/>
      <c r="J1" s="799"/>
      <c r="K1" s="799"/>
      <c r="L1" s="799"/>
      <c r="M1" s="799"/>
      <c r="N1" s="799"/>
      <c r="O1" s="799"/>
      <c r="P1" s="799"/>
      <c r="Q1" s="799"/>
      <c r="R1" s="799"/>
      <c r="S1" s="799"/>
      <c r="T1" s="799"/>
      <c r="U1" s="799"/>
      <c r="V1" s="799"/>
      <c r="W1" s="799"/>
      <c r="X1" s="799"/>
      <c r="Y1" s="799"/>
      <c r="Z1" s="800"/>
      <c r="AA1" s="302"/>
      <c r="AB1" s="302"/>
      <c r="AD1" s="286"/>
      <c r="AE1" s="286"/>
      <c r="AF1" s="286"/>
      <c r="AG1" s="286"/>
      <c r="AH1" s="286"/>
      <c r="AI1" s="286"/>
      <c r="AJ1" s="286"/>
      <c r="AK1" s="286"/>
      <c r="AL1" s="286"/>
      <c r="AM1" s="286"/>
      <c r="AN1" s="428"/>
      <c r="AO1" s="286"/>
    </row>
    <row r="2" spans="1:47" s="429" customFormat="1" ht="26.25" customHeight="1" thickBot="1" x14ac:dyDescent="0.25">
      <c r="B2" s="430"/>
      <c r="D2" s="824" t="s">
        <v>1193</v>
      </c>
      <c r="E2" s="825"/>
      <c r="F2" s="825"/>
      <c r="G2" s="825"/>
      <c r="H2" s="825"/>
      <c r="I2" s="825"/>
      <c r="J2" s="825"/>
      <c r="K2" s="825"/>
      <c r="L2" s="825"/>
      <c r="M2" s="825"/>
      <c r="N2" s="825"/>
      <c r="O2" s="825"/>
      <c r="P2" s="825"/>
      <c r="Q2" s="825"/>
      <c r="R2" s="825"/>
      <c r="S2" s="825"/>
      <c r="T2" s="825"/>
      <c r="U2" s="825"/>
      <c r="V2" s="825"/>
      <c r="W2" s="825"/>
      <c r="X2" s="825"/>
      <c r="Y2" s="825"/>
      <c r="Z2" s="826"/>
      <c r="AA2" s="294"/>
      <c r="AB2" s="294"/>
    </row>
    <row r="3" spans="1:47" ht="25.15" customHeight="1" x14ac:dyDescent="0.2">
      <c r="A3" s="56" t="s">
        <v>1194</v>
      </c>
      <c r="B3" s="167" t="s">
        <v>1195</v>
      </c>
      <c r="C3" s="216"/>
      <c r="D3" s="431" t="s">
        <v>1196</v>
      </c>
      <c r="E3" s="162" t="s">
        <v>1197</v>
      </c>
      <c r="F3" s="162" t="s">
        <v>1198</v>
      </c>
      <c r="G3" s="163" t="s">
        <v>926</v>
      </c>
      <c r="H3" s="432" t="s">
        <v>1199</v>
      </c>
      <c r="I3" s="184" t="s">
        <v>1200</v>
      </c>
      <c r="J3" s="168" t="s">
        <v>1201</v>
      </c>
      <c r="K3" s="169" t="s">
        <v>1202</v>
      </c>
      <c r="L3" s="170" t="s">
        <v>1203</v>
      </c>
      <c r="M3" s="170" t="s">
        <v>1204</v>
      </c>
      <c r="N3" s="170" t="s">
        <v>1205</v>
      </c>
      <c r="O3" s="170" t="s">
        <v>1206</v>
      </c>
      <c r="P3" s="170" t="s">
        <v>1207</v>
      </c>
      <c r="Q3" s="170" t="s">
        <v>1208</v>
      </c>
      <c r="R3" s="171" t="s">
        <v>1209</v>
      </c>
      <c r="S3" s="171" t="s">
        <v>1210</v>
      </c>
      <c r="T3" s="171" t="s">
        <v>1211</v>
      </c>
      <c r="U3" s="171" t="s">
        <v>1212</v>
      </c>
      <c r="V3" s="171" t="s">
        <v>1213</v>
      </c>
      <c r="W3" s="642" t="s">
        <v>1125</v>
      </c>
      <c r="X3" s="643"/>
      <c r="Y3" s="643"/>
      <c r="Z3" s="644"/>
      <c r="AA3" s="433"/>
      <c r="AB3" s="433"/>
      <c r="AD3" s="286"/>
      <c r="AE3" s="286"/>
      <c r="AF3" s="286"/>
      <c r="AG3" s="286"/>
      <c r="AH3" s="286"/>
      <c r="AI3" s="286"/>
      <c r="AJ3" s="286"/>
      <c r="AK3" s="286"/>
      <c r="AL3" s="286"/>
      <c r="AM3" s="286"/>
      <c r="AN3" s="428"/>
      <c r="AO3" s="286"/>
    </row>
    <row r="4" spans="1:47" ht="28.5" customHeight="1" x14ac:dyDescent="0.3">
      <c r="A4" s="58"/>
      <c r="B4" s="160"/>
      <c r="C4" s="216"/>
      <c r="D4" s="747" t="s">
        <v>1214</v>
      </c>
      <c r="E4" s="57"/>
      <c r="F4" s="57"/>
      <c r="G4" s="126"/>
      <c r="H4" s="434" t="s">
        <v>1215</v>
      </c>
      <c r="I4" s="185"/>
      <c r="J4" s="59"/>
      <c r="K4" s="59"/>
      <c r="L4" s="59"/>
      <c r="M4" s="59"/>
      <c r="N4" s="59"/>
      <c r="O4" s="59"/>
      <c r="P4" s="59"/>
      <c r="Q4" s="59"/>
      <c r="R4" s="60"/>
      <c r="S4" s="60"/>
      <c r="T4" s="60"/>
      <c r="U4" s="60"/>
      <c r="V4" s="60"/>
      <c r="W4" s="794"/>
      <c r="X4" s="794"/>
      <c r="Y4" s="794"/>
      <c r="Z4" s="795"/>
      <c r="AA4" s="435"/>
      <c r="AB4" s="435"/>
      <c r="AC4" s="45"/>
      <c r="AD4" s="436"/>
      <c r="AE4" s="436"/>
      <c r="AF4" s="436"/>
      <c r="AG4" s="436"/>
      <c r="AH4" s="436"/>
      <c r="AI4" s="436"/>
      <c r="AJ4" s="436"/>
      <c r="AK4" s="436"/>
      <c r="AL4" s="436"/>
      <c r="AM4" s="436"/>
      <c r="AN4" s="437"/>
      <c r="AO4" s="436"/>
      <c r="AP4" s="45"/>
      <c r="AQ4" s="45"/>
      <c r="AR4" s="45"/>
      <c r="AS4" s="45"/>
      <c r="AT4" s="45"/>
      <c r="AU4" s="45"/>
    </row>
    <row r="5" spans="1:47" ht="17.25" x14ac:dyDescent="0.2">
      <c r="A5" s="58"/>
      <c r="B5" s="160"/>
      <c r="C5" s="216"/>
      <c r="D5" s="747"/>
      <c r="E5" s="57"/>
      <c r="F5" s="57"/>
      <c r="G5" s="126"/>
      <c r="H5" s="434" t="s">
        <v>1216</v>
      </c>
      <c r="I5" s="185"/>
      <c r="J5" s="59"/>
      <c r="K5" s="59"/>
      <c r="L5" s="59"/>
      <c r="M5" s="59"/>
      <c r="N5" s="59"/>
      <c r="O5" s="59"/>
      <c r="P5" s="59"/>
      <c r="Q5" s="59"/>
      <c r="R5" s="60"/>
      <c r="S5" s="60"/>
      <c r="T5" s="60"/>
      <c r="U5" s="60"/>
      <c r="V5" s="60"/>
      <c r="W5" s="796"/>
      <c r="X5" s="796"/>
      <c r="Y5" s="796"/>
      <c r="Z5" s="797"/>
      <c r="AA5" s="435"/>
      <c r="AB5" s="435"/>
      <c r="AC5" s="45"/>
      <c r="AD5" s="436"/>
      <c r="AE5" s="436"/>
      <c r="AF5" s="436"/>
      <c r="AG5" s="436"/>
      <c r="AH5" s="436"/>
      <c r="AI5" s="436"/>
      <c r="AJ5" s="436"/>
      <c r="AK5" s="436"/>
      <c r="AL5" s="436"/>
      <c r="AM5" s="436"/>
      <c r="AN5" s="438"/>
      <c r="AO5" s="436"/>
      <c r="AP5" s="45"/>
      <c r="AQ5" s="45"/>
      <c r="AR5" s="45"/>
      <c r="AS5" s="45"/>
      <c r="AT5" s="45"/>
      <c r="AU5" s="45"/>
    </row>
    <row r="6" spans="1:47" ht="18" thickBot="1" x14ac:dyDescent="0.25">
      <c r="A6" s="58"/>
      <c r="B6" s="160"/>
      <c r="C6" s="216"/>
      <c r="D6" s="747"/>
      <c r="E6" s="57"/>
      <c r="F6" s="57"/>
      <c r="G6" s="126"/>
      <c r="H6" s="434" t="s">
        <v>1217</v>
      </c>
      <c r="I6" s="186"/>
      <c r="J6" s="59"/>
      <c r="K6" s="59"/>
      <c r="L6" s="59"/>
      <c r="M6" s="59"/>
      <c r="N6" s="59"/>
      <c r="O6" s="59"/>
      <c r="P6" s="59"/>
      <c r="Q6" s="59"/>
      <c r="R6" s="60"/>
      <c r="S6" s="60"/>
      <c r="T6" s="60"/>
      <c r="U6" s="60"/>
      <c r="V6" s="60"/>
      <c r="W6" s="796"/>
      <c r="X6" s="796"/>
      <c r="Y6" s="796"/>
      <c r="Z6" s="797"/>
      <c r="AA6" s="435"/>
      <c r="AB6" s="435"/>
      <c r="AC6" s="45"/>
      <c r="AD6" s="436"/>
      <c r="AE6" s="436"/>
      <c r="AF6" s="436"/>
      <c r="AG6" s="436"/>
      <c r="AH6" s="436"/>
      <c r="AI6" s="436"/>
      <c r="AJ6" s="436"/>
      <c r="AK6" s="436"/>
      <c r="AL6" s="436"/>
      <c r="AM6" s="436"/>
      <c r="AN6" s="438"/>
      <c r="AO6" s="436"/>
      <c r="AP6" s="45"/>
      <c r="AQ6" s="45"/>
      <c r="AR6" s="45"/>
      <c r="AS6" s="45"/>
      <c r="AT6" s="45"/>
      <c r="AU6" s="45"/>
    </row>
    <row r="7" spans="1:47" s="286" customFormat="1" ht="15.6" customHeight="1" x14ac:dyDescent="0.2">
      <c r="A7" s="87"/>
      <c r="B7" s="161"/>
      <c r="C7" s="216"/>
      <c r="D7" s="747"/>
      <c r="E7" s="88"/>
      <c r="F7" s="88"/>
      <c r="G7" s="89"/>
      <c r="H7" s="780"/>
      <c r="I7" s="781"/>
      <c r="J7" s="90"/>
      <c r="K7" s="90"/>
      <c r="L7" s="90"/>
      <c r="M7" s="90"/>
      <c r="N7" s="90"/>
      <c r="O7" s="90"/>
      <c r="P7" s="90"/>
      <c r="Q7" s="90"/>
      <c r="R7" s="91"/>
      <c r="S7" s="91"/>
      <c r="T7" s="91"/>
      <c r="U7" s="91"/>
      <c r="V7" s="91"/>
      <c r="W7" s="486" t="str">
        <f>IF(I8="Yes", "Comments","")</f>
        <v/>
      </c>
      <c r="X7" s="486"/>
      <c r="Y7" s="486"/>
      <c r="Z7" s="514"/>
      <c r="AA7" s="173"/>
      <c r="AB7" s="173"/>
      <c r="AC7" s="45"/>
      <c r="AD7" s="436"/>
      <c r="AE7" s="436"/>
      <c r="AF7" s="436"/>
      <c r="AG7" s="436"/>
      <c r="AH7" s="436"/>
      <c r="AI7" s="436"/>
      <c r="AJ7" s="436"/>
      <c r="AK7" s="436"/>
      <c r="AL7" s="436"/>
      <c r="AM7" s="436"/>
      <c r="AN7" s="438"/>
      <c r="AO7" s="436"/>
      <c r="AP7" s="436"/>
      <c r="AQ7" s="436"/>
      <c r="AR7" s="436"/>
      <c r="AS7" s="436"/>
      <c r="AT7" s="436"/>
      <c r="AU7" s="436"/>
    </row>
    <row r="8" spans="1:47" ht="29.25" thickBot="1" x14ac:dyDescent="0.25">
      <c r="A8" s="58"/>
      <c r="B8" s="160"/>
      <c r="C8" s="216"/>
      <c r="D8" s="782"/>
      <c r="E8" s="164"/>
      <c r="F8" s="164"/>
      <c r="G8" s="165"/>
      <c r="H8" s="439" t="s">
        <v>565</v>
      </c>
      <c r="I8" s="166"/>
      <c r="J8" s="223"/>
      <c r="K8" s="223"/>
      <c r="L8" s="223"/>
      <c r="M8" s="223"/>
      <c r="N8" s="223"/>
      <c r="O8" s="223"/>
      <c r="P8" s="223"/>
      <c r="Q8" s="223"/>
      <c r="R8" s="224"/>
      <c r="S8" s="224"/>
      <c r="T8" s="224"/>
      <c r="U8" s="224"/>
      <c r="V8" s="224"/>
      <c r="W8" s="742"/>
      <c r="X8" s="743"/>
      <c r="Y8" s="743"/>
      <c r="Z8" s="744"/>
      <c r="AA8" s="297"/>
      <c r="AB8" s="297"/>
      <c r="AC8" s="45"/>
      <c r="AD8" s="436"/>
      <c r="AE8" s="436"/>
      <c r="AF8" s="436"/>
      <c r="AG8" s="436"/>
      <c r="AH8" s="436"/>
      <c r="AI8" s="436"/>
      <c r="AJ8" s="436"/>
      <c r="AK8" s="436"/>
      <c r="AL8" s="436"/>
      <c r="AM8" s="436"/>
      <c r="AN8" s="183"/>
      <c r="AO8" s="440" t="str">
        <f>IF(I8="Yes", "1","")</f>
        <v/>
      </c>
      <c r="AP8" s="45"/>
      <c r="AQ8" s="45"/>
      <c r="AR8" s="45"/>
      <c r="AS8" s="45"/>
      <c r="AT8" s="45"/>
      <c r="AU8" s="45"/>
    </row>
    <row r="9" spans="1:47" ht="25.15" customHeight="1" thickBot="1" x14ac:dyDescent="0.25">
      <c r="A9" s="62" t="s">
        <v>1218</v>
      </c>
      <c r="B9" s="217" t="s">
        <v>1219</v>
      </c>
      <c r="C9" s="229"/>
      <c r="D9" s="785"/>
      <c r="E9" s="786"/>
      <c r="F9" s="786"/>
      <c r="G9" s="786"/>
      <c r="H9" s="786"/>
      <c r="I9" s="787"/>
      <c r="J9" s="220"/>
      <c r="K9" s="220"/>
      <c r="L9" s="221"/>
      <c r="M9" s="221"/>
      <c r="N9" s="221"/>
      <c r="O9" s="221"/>
      <c r="P9" s="221"/>
      <c r="Q9" s="221"/>
      <c r="R9" s="222"/>
      <c r="S9" s="222"/>
      <c r="T9" s="222"/>
      <c r="U9" s="222"/>
      <c r="V9" s="222"/>
      <c r="W9" s="788"/>
      <c r="X9" s="788"/>
      <c r="Y9" s="788"/>
      <c r="Z9" s="789"/>
      <c r="AA9" s="303"/>
      <c r="AB9" s="303"/>
      <c r="AC9" s="45"/>
      <c r="AD9" s="436"/>
      <c r="AE9" s="436"/>
      <c r="AF9" s="436"/>
      <c r="AG9" s="436"/>
      <c r="AH9" s="436"/>
      <c r="AI9" s="436"/>
      <c r="AJ9" s="436"/>
      <c r="AK9" s="436"/>
      <c r="AL9" s="436"/>
      <c r="AM9" s="436"/>
      <c r="AN9" s="440"/>
      <c r="AO9" s="436"/>
      <c r="AP9" s="45"/>
      <c r="AQ9" s="45"/>
      <c r="AR9" s="45"/>
      <c r="AS9" s="45"/>
      <c r="AT9" s="45"/>
      <c r="AU9" s="45"/>
    </row>
    <row r="10" spans="1:47" s="286" customFormat="1" ht="14.25" customHeight="1" x14ac:dyDescent="0.2">
      <c r="A10" s="92"/>
      <c r="B10" s="441"/>
      <c r="C10" s="214"/>
      <c r="D10" s="738"/>
      <c r="E10" s="739"/>
      <c r="F10" s="739"/>
      <c r="G10" s="739"/>
      <c r="H10" s="739"/>
      <c r="I10" s="740"/>
      <c r="J10" s="93"/>
      <c r="K10" s="93"/>
      <c r="L10" s="93"/>
      <c r="M10" s="93"/>
      <c r="N10" s="93"/>
      <c r="O10" s="93"/>
      <c r="P10" s="93"/>
      <c r="Q10" s="93"/>
      <c r="R10" s="94"/>
      <c r="S10" s="94"/>
      <c r="T10" s="94"/>
      <c r="U10" s="94"/>
      <c r="V10" s="94"/>
      <c r="W10" s="486" t="str">
        <f>IF(I11="No", "Comments","") &amp; IF(I11="N/A", "Comments","")</f>
        <v/>
      </c>
      <c r="X10" s="486"/>
      <c r="Y10" s="486"/>
      <c r="Z10" s="514"/>
      <c r="AA10" s="173"/>
      <c r="AB10" s="173"/>
      <c r="AC10" s="45"/>
      <c r="AD10" s="436"/>
      <c r="AE10" s="436"/>
      <c r="AF10" s="436"/>
      <c r="AG10" s="436"/>
      <c r="AH10" s="436"/>
      <c r="AI10" s="436"/>
      <c r="AJ10" s="436"/>
      <c r="AK10" s="436"/>
      <c r="AL10" s="436"/>
      <c r="AM10" s="436"/>
      <c r="AN10" s="440"/>
      <c r="AO10" s="436"/>
      <c r="AP10" s="436"/>
      <c r="AQ10" s="436"/>
      <c r="AR10" s="436"/>
      <c r="AS10" s="436"/>
      <c r="AT10" s="436"/>
      <c r="AU10" s="436"/>
    </row>
    <row r="11" spans="1:47" ht="41.25" customHeight="1" x14ac:dyDescent="0.2">
      <c r="A11" s="66" t="s">
        <v>1218</v>
      </c>
      <c r="B11" s="153" t="s">
        <v>1219</v>
      </c>
      <c r="C11" s="213"/>
      <c r="D11" s="601" t="s">
        <v>1220</v>
      </c>
      <c r="E11" s="61" t="s">
        <v>1221</v>
      </c>
      <c r="F11" s="61" t="s">
        <v>1222</v>
      </c>
      <c r="G11" s="68" t="s">
        <v>1223</v>
      </c>
      <c r="H11" s="442" t="s">
        <v>568</v>
      </c>
      <c r="I11" s="115"/>
      <c r="J11" s="770" t="s">
        <v>1224</v>
      </c>
      <c r="K11" s="728" t="s">
        <v>1225</v>
      </c>
      <c r="L11" s="728" t="s">
        <v>1226</v>
      </c>
      <c r="M11" s="728" t="s">
        <v>1227</v>
      </c>
      <c r="N11" s="728" t="s">
        <v>1228</v>
      </c>
      <c r="O11" s="728" t="s">
        <v>1229</v>
      </c>
      <c r="P11" s="728" t="s">
        <v>1230</v>
      </c>
      <c r="Q11" s="728" t="s">
        <v>1231</v>
      </c>
      <c r="R11" s="730" t="s">
        <v>1232</v>
      </c>
      <c r="S11" s="730" t="s">
        <v>1232</v>
      </c>
      <c r="T11" s="730" t="s">
        <v>1232</v>
      </c>
      <c r="U11" s="730" t="s">
        <v>1232</v>
      </c>
      <c r="V11" s="730" t="s">
        <v>1232</v>
      </c>
      <c r="W11" s="659"/>
      <c r="X11" s="487"/>
      <c r="Y11" s="487"/>
      <c r="Z11" s="654"/>
      <c r="AA11" s="297"/>
      <c r="AB11" s="297"/>
      <c r="AC11" s="45"/>
      <c r="AD11" s="436"/>
      <c r="AE11" s="436"/>
      <c r="AF11" s="436"/>
      <c r="AG11" s="436"/>
      <c r="AH11" s="436"/>
      <c r="AI11" s="436"/>
      <c r="AJ11" s="436"/>
      <c r="AK11" s="436"/>
      <c r="AL11" s="436"/>
      <c r="AM11" s="436"/>
      <c r="AN11" s="440"/>
      <c r="AO11" s="440" t="str">
        <f>IF(I11="No","1","")&amp;IF(I11="N/A","2","")</f>
        <v/>
      </c>
      <c r="AP11" s="45"/>
      <c r="AQ11" s="45"/>
      <c r="AR11" s="45"/>
      <c r="AS11" s="45"/>
      <c r="AT11" s="45"/>
      <c r="AU11" s="45"/>
    </row>
    <row r="12" spans="1:47" s="286" customFormat="1" ht="13.5" customHeight="1" x14ac:dyDescent="0.2">
      <c r="A12" s="95"/>
      <c r="B12" s="215"/>
      <c r="C12" s="213"/>
      <c r="D12" s="529"/>
      <c r="E12" s="96"/>
      <c r="F12" s="96"/>
      <c r="G12" s="97"/>
      <c r="H12" s="741"/>
      <c r="I12" s="740"/>
      <c r="J12" s="771"/>
      <c r="K12" s="729"/>
      <c r="L12" s="729"/>
      <c r="M12" s="729"/>
      <c r="N12" s="729"/>
      <c r="O12" s="729"/>
      <c r="P12" s="729"/>
      <c r="Q12" s="729"/>
      <c r="R12" s="731"/>
      <c r="S12" s="731"/>
      <c r="T12" s="731"/>
      <c r="U12" s="731"/>
      <c r="V12" s="731"/>
      <c r="W12" s="486" t="str">
        <f>IF(I13="No", "Comments","") &amp; IF(I13="N/A", "Comments","")</f>
        <v/>
      </c>
      <c r="X12" s="486"/>
      <c r="Y12" s="486"/>
      <c r="Z12" s="514"/>
      <c r="AA12" s="173"/>
      <c r="AB12" s="173"/>
      <c r="AC12" s="45"/>
      <c r="AD12" s="436"/>
      <c r="AE12" s="436"/>
      <c r="AF12" s="436"/>
      <c r="AG12" s="436"/>
      <c r="AH12" s="436"/>
      <c r="AI12" s="436"/>
      <c r="AJ12" s="436"/>
      <c r="AK12" s="436"/>
      <c r="AL12" s="436"/>
      <c r="AM12" s="436"/>
      <c r="AN12" s="440"/>
      <c r="AO12" s="440"/>
      <c r="AP12" s="436"/>
      <c r="AQ12" s="436"/>
      <c r="AR12" s="436"/>
      <c r="AS12" s="436"/>
      <c r="AT12" s="436"/>
      <c r="AU12" s="436"/>
    </row>
    <row r="13" spans="1:47" ht="43.5" customHeight="1" x14ac:dyDescent="0.25">
      <c r="A13" s="66" t="s">
        <v>1218</v>
      </c>
      <c r="B13" s="153" t="s">
        <v>1219</v>
      </c>
      <c r="C13" s="213"/>
      <c r="D13" s="529"/>
      <c r="E13" s="61" t="s">
        <v>1233</v>
      </c>
      <c r="F13" s="61" t="s">
        <v>1234</v>
      </c>
      <c r="G13" s="68" t="s">
        <v>1223</v>
      </c>
      <c r="H13" s="442" t="s">
        <v>1235</v>
      </c>
      <c r="I13" s="115"/>
      <c r="J13" s="771" t="s">
        <v>1224</v>
      </c>
      <c r="K13" s="729" t="s">
        <v>1225</v>
      </c>
      <c r="L13" s="729" t="s">
        <v>1226</v>
      </c>
      <c r="M13" s="729" t="s">
        <v>1227</v>
      </c>
      <c r="N13" s="729" t="s">
        <v>1228</v>
      </c>
      <c r="O13" s="729" t="s">
        <v>1229</v>
      </c>
      <c r="P13" s="729" t="s">
        <v>1230</v>
      </c>
      <c r="Q13" s="729" t="s">
        <v>1231</v>
      </c>
      <c r="R13" s="731" t="s">
        <v>1232</v>
      </c>
      <c r="S13" s="731" t="s">
        <v>1232</v>
      </c>
      <c r="T13" s="731" t="s">
        <v>1232</v>
      </c>
      <c r="U13" s="731" t="s">
        <v>1232</v>
      </c>
      <c r="V13" s="731" t="s">
        <v>1232</v>
      </c>
      <c r="W13" s="659"/>
      <c r="X13" s="487"/>
      <c r="Y13" s="487"/>
      <c r="Z13" s="654"/>
      <c r="AA13" s="297"/>
      <c r="AB13" s="297"/>
      <c r="AC13" s="443"/>
      <c r="AD13" s="444"/>
      <c r="AE13" s="444"/>
      <c r="AF13" s="444"/>
      <c r="AG13" s="444"/>
      <c r="AH13" s="444"/>
      <c r="AI13" s="444"/>
      <c r="AJ13" s="444"/>
      <c r="AK13" s="444"/>
      <c r="AL13" s="444"/>
      <c r="AM13" s="444"/>
      <c r="AN13" s="440"/>
      <c r="AO13" s="440" t="str">
        <f>IF(I13="No","1","")&amp;IF(I13="N/A","2","")</f>
        <v/>
      </c>
      <c r="AP13" s="45"/>
      <c r="AQ13" s="45"/>
      <c r="AR13" s="45"/>
      <c r="AS13" s="45"/>
      <c r="AT13" s="45"/>
      <c r="AU13" s="45"/>
    </row>
    <row r="14" spans="1:47" s="286" customFormat="1" ht="14.1" customHeight="1" x14ac:dyDescent="0.25">
      <c r="A14" s="95"/>
      <c r="B14" s="215"/>
      <c r="C14" s="213"/>
      <c r="D14" s="529"/>
      <c r="E14" s="96"/>
      <c r="F14" s="96"/>
      <c r="G14" s="97"/>
      <c r="H14" s="741"/>
      <c r="I14" s="740"/>
      <c r="J14" s="771"/>
      <c r="K14" s="729"/>
      <c r="L14" s="729"/>
      <c r="M14" s="729"/>
      <c r="N14" s="729"/>
      <c r="O14" s="729"/>
      <c r="P14" s="729"/>
      <c r="Q14" s="729"/>
      <c r="R14" s="731"/>
      <c r="S14" s="731"/>
      <c r="T14" s="731"/>
      <c r="U14" s="731"/>
      <c r="V14" s="731"/>
      <c r="W14" s="486" t="str">
        <f>IF(I15="No", "Comments","") &amp; IF(I15="N/A", "Comments","")</f>
        <v/>
      </c>
      <c r="X14" s="486"/>
      <c r="Y14" s="486"/>
      <c r="Z14" s="514"/>
      <c r="AA14" s="173"/>
      <c r="AB14" s="173"/>
      <c r="AC14" s="443"/>
      <c r="AD14" s="444"/>
      <c r="AE14" s="444"/>
      <c r="AF14" s="444"/>
      <c r="AG14" s="444"/>
      <c r="AH14" s="444"/>
      <c r="AI14" s="444"/>
      <c r="AJ14" s="444"/>
      <c r="AK14" s="444"/>
      <c r="AL14" s="444"/>
      <c r="AM14" s="444"/>
      <c r="AN14" s="440"/>
      <c r="AO14" s="440"/>
      <c r="AP14" s="436"/>
      <c r="AQ14" s="436"/>
      <c r="AR14" s="436"/>
      <c r="AS14" s="436"/>
      <c r="AT14" s="436"/>
      <c r="AU14" s="436"/>
    </row>
    <row r="15" spans="1:47" ht="37.15" customHeight="1" x14ac:dyDescent="0.2">
      <c r="A15" s="66" t="s">
        <v>1218</v>
      </c>
      <c r="B15" s="153" t="s">
        <v>1219</v>
      </c>
      <c r="C15" s="213"/>
      <c r="D15" s="529"/>
      <c r="E15" s="61" t="s">
        <v>1233</v>
      </c>
      <c r="F15" s="61" t="s">
        <v>1236</v>
      </c>
      <c r="G15" s="68" t="s">
        <v>1223</v>
      </c>
      <c r="H15" s="442" t="s">
        <v>574</v>
      </c>
      <c r="I15" s="115"/>
      <c r="J15" s="771" t="s">
        <v>1224</v>
      </c>
      <c r="K15" s="729" t="s">
        <v>1225</v>
      </c>
      <c r="L15" s="729" t="s">
        <v>1226</v>
      </c>
      <c r="M15" s="729" t="s">
        <v>1227</v>
      </c>
      <c r="N15" s="729" t="s">
        <v>1228</v>
      </c>
      <c r="O15" s="729" t="s">
        <v>1229</v>
      </c>
      <c r="P15" s="729" t="s">
        <v>1230</v>
      </c>
      <c r="Q15" s="729" t="s">
        <v>1231</v>
      </c>
      <c r="R15" s="731" t="s">
        <v>1232</v>
      </c>
      <c r="S15" s="731" t="s">
        <v>1232</v>
      </c>
      <c r="T15" s="731" t="s">
        <v>1232</v>
      </c>
      <c r="U15" s="731" t="s">
        <v>1232</v>
      </c>
      <c r="V15" s="731" t="s">
        <v>1232</v>
      </c>
      <c r="W15" s="659"/>
      <c r="X15" s="487"/>
      <c r="Y15" s="487"/>
      <c r="Z15" s="654"/>
      <c r="AA15" s="297"/>
      <c r="AB15" s="297"/>
      <c r="AC15" s="45"/>
      <c r="AD15" s="436"/>
      <c r="AE15" s="436"/>
      <c r="AF15" s="436"/>
      <c r="AG15" s="436"/>
      <c r="AH15" s="436"/>
      <c r="AI15" s="436"/>
      <c r="AJ15" s="436"/>
      <c r="AK15" s="436"/>
      <c r="AL15" s="436"/>
      <c r="AM15" s="436"/>
      <c r="AN15" s="440"/>
      <c r="AO15" s="440" t="str">
        <f>IF(I15="No","1","")&amp;IF(I15="N/A","2","")</f>
        <v/>
      </c>
      <c r="AP15" s="45"/>
      <c r="AQ15" s="45"/>
      <c r="AR15" s="45"/>
      <c r="AS15" s="45"/>
      <c r="AT15" s="45"/>
      <c r="AU15" s="45"/>
    </row>
    <row r="16" spans="1:47" ht="17.100000000000001" customHeight="1" x14ac:dyDescent="0.2">
      <c r="A16" s="66"/>
      <c r="B16" s="153"/>
      <c r="C16" s="213"/>
      <c r="D16" s="529"/>
      <c r="E16" s="61"/>
      <c r="F16" s="61"/>
      <c r="G16" s="68"/>
      <c r="H16" s="741"/>
      <c r="I16" s="740"/>
      <c r="J16" s="771"/>
      <c r="K16" s="729"/>
      <c r="L16" s="729"/>
      <c r="M16" s="729"/>
      <c r="N16" s="729"/>
      <c r="O16" s="729"/>
      <c r="P16" s="729"/>
      <c r="Q16" s="729"/>
      <c r="R16" s="731"/>
      <c r="S16" s="731"/>
      <c r="T16" s="731"/>
      <c r="U16" s="731"/>
      <c r="V16" s="731"/>
      <c r="W16" s="486" t="str">
        <f>IF(I17="No", "Comments","") &amp; IF(I17="N/A", "Comments","")</f>
        <v/>
      </c>
      <c r="X16" s="486"/>
      <c r="Y16" s="486"/>
      <c r="Z16" s="514"/>
      <c r="AA16" s="173"/>
      <c r="AB16" s="173"/>
      <c r="AC16" s="45"/>
      <c r="AD16" s="436"/>
      <c r="AE16" s="436"/>
      <c r="AF16" s="436"/>
      <c r="AG16" s="436"/>
      <c r="AH16" s="436"/>
      <c r="AI16" s="436"/>
      <c r="AJ16" s="436"/>
      <c r="AK16" s="436"/>
      <c r="AL16" s="436"/>
      <c r="AM16" s="436"/>
      <c r="AN16" s="440"/>
      <c r="AO16" s="440" t="str">
        <f t="shared" ref="AO16:AO133" si="0">IF(I16="No","1","")&amp;IF(I16="N/A","2","")</f>
        <v/>
      </c>
      <c r="AP16" s="45"/>
      <c r="AQ16" s="45"/>
      <c r="AR16" s="45"/>
      <c r="AS16" s="45"/>
      <c r="AT16" s="45"/>
      <c r="AU16" s="45"/>
    </row>
    <row r="17" spans="1:41" ht="56.1" customHeight="1" x14ac:dyDescent="0.2">
      <c r="A17" s="66" t="s">
        <v>1218</v>
      </c>
      <c r="B17" s="153" t="s">
        <v>1219</v>
      </c>
      <c r="C17" s="213"/>
      <c r="D17" s="529"/>
      <c r="E17" s="61" t="s">
        <v>1233</v>
      </c>
      <c r="F17" s="61" t="s">
        <v>1237</v>
      </c>
      <c r="G17" s="68" t="s">
        <v>1223</v>
      </c>
      <c r="H17" s="442" t="s">
        <v>577</v>
      </c>
      <c r="I17" s="115"/>
      <c r="J17" s="772" t="s">
        <v>1224</v>
      </c>
      <c r="K17" s="746" t="s">
        <v>1225</v>
      </c>
      <c r="L17" s="746" t="s">
        <v>1226</v>
      </c>
      <c r="M17" s="746" t="s">
        <v>1227</v>
      </c>
      <c r="N17" s="746" t="s">
        <v>1228</v>
      </c>
      <c r="O17" s="746" t="s">
        <v>1229</v>
      </c>
      <c r="P17" s="746" t="s">
        <v>1230</v>
      </c>
      <c r="Q17" s="746" t="s">
        <v>1231</v>
      </c>
      <c r="R17" s="732" t="s">
        <v>1232</v>
      </c>
      <c r="S17" s="732" t="s">
        <v>1232</v>
      </c>
      <c r="T17" s="732" t="s">
        <v>1232</v>
      </c>
      <c r="U17" s="732" t="s">
        <v>1232</v>
      </c>
      <c r="V17" s="732" t="s">
        <v>1232</v>
      </c>
      <c r="W17" s="659"/>
      <c r="X17" s="487"/>
      <c r="Y17" s="487"/>
      <c r="Z17" s="654"/>
      <c r="AA17" s="297"/>
      <c r="AB17" s="297"/>
      <c r="AD17" s="286"/>
      <c r="AE17" s="286"/>
      <c r="AF17" s="286"/>
      <c r="AG17" s="286"/>
      <c r="AH17" s="286"/>
      <c r="AI17" s="286"/>
      <c r="AJ17" s="286"/>
      <c r="AK17" s="286"/>
      <c r="AL17" s="286"/>
      <c r="AM17" s="286"/>
      <c r="AN17" s="428"/>
      <c r="AO17" s="440" t="str">
        <f t="shared" si="0"/>
        <v/>
      </c>
    </row>
    <row r="18" spans="1:41" ht="14.85" customHeight="1" x14ac:dyDescent="0.2">
      <c r="A18" s="66"/>
      <c r="B18" s="153"/>
      <c r="C18" s="213"/>
      <c r="D18" s="783"/>
      <c r="E18" s="61"/>
      <c r="F18" s="61"/>
      <c r="G18" s="68"/>
      <c r="H18" s="741"/>
      <c r="I18" s="740"/>
      <c r="J18" s="116"/>
      <c r="K18" s="98"/>
      <c r="L18" s="98"/>
      <c r="M18" s="98"/>
      <c r="N18" s="98"/>
      <c r="O18" s="98"/>
      <c r="P18" s="98"/>
      <c r="Q18" s="98"/>
      <c r="R18" s="99"/>
      <c r="S18" s="99"/>
      <c r="T18" s="99"/>
      <c r="U18" s="99"/>
      <c r="V18" s="99"/>
      <c r="W18" s="486" t="str">
        <f>IF(I19="No", "Comments","") &amp; IF(I19="N/A", "Comments","")</f>
        <v/>
      </c>
      <c r="X18" s="486"/>
      <c r="Y18" s="486"/>
      <c r="Z18" s="514"/>
      <c r="AA18" s="173"/>
      <c r="AB18" s="173"/>
      <c r="AD18" s="286"/>
      <c r="AE18" s="286"/>
      <c r="AF18" s="286"/>
      <c r="AG18" s="286"/>
      <c r="AH18" s="286"/>
      <c r="AI18" s="286"/>
      <c r="AJ18" s="286"/>
      <c r="AK18" s="286"/>
      <c r="AL18" s="286"/>
      <c r="AM18" s="286"/>
      <c r="AN18" s="428"/>
      <c r="AO18" s="440"/>
    </row>
    <row r="19" spans="1:41" ht="25.15" customHeight="1" x14ac:dyDescent="0.2">
      <c r="A19" s="66" t="s">
        <v>1218</v>
      </c>
      <c r="B19" s="153" t="s">
        <v>1219</v>
      </c>
      <c r="C19" s="213"/>
      <c r="D19" s="784"/>
      <c r="E19" s="61" t="s">
        <v>1238</v>
      </c>
      <c r="F19" s="61" t="s">
        <v>1239</v>
      </c>
      <c r="G19" s="68" t="s">
        <v>1223</v>
      </c>
      <c r="H19" s="442" t="s">
        <v>580</v>
      </c>
      <c r="I19" s="115"/>
      <c r="J19" s="770" t="s">
        <v>1240</v>
      </c>
      <c r="K19" s="728" t="s">
        <v>1241</v>
      </c>
      <c r="L19" s="728" t="s">
        <v>1242</v>
      </c>
      <c r="M19" s="728" t="s">
        <v>1243</v>
      </c>
      <c r="N19" s="728"/>
      <c r="O19" s="728" t="s">
        <v>1244</v>
      </c>
      <c r="P19" s="728" t="s">
        <v>1245</v>
      </c>
      <c r="Q19" s="728" t="s">
        <v>1246</v>
      </c>
      <c r="R19" s="730" t="s">
        <v>1232</v>
      </c>
      <c r="S19" s="730" t="s">
        <v>1232</v>
      </c>
      <c r="T19" s="730" t="s">
        <v>1232</v>
      </c>
      <c r="U19" s="730" t="s">
        <v>1232</v>
      </c>
      <c r="V19" s="730" t="s">
        <v>1232</v>
      </c>
      <c r="W19" s="659"/>
      <c r="X19" s="487"/>
      <c r="Y19" s="487"/>
      <c r="Z19" s="654"/>
      <c r="AA19" s="297"/>
      <c r="AB19" s="297"/>
      <c r="AD19" s="286"/>
      <c r="AE19" s="286"/>
      <c r="AF19" s="286"/>
      <c r="AG19" s="286"/>
      <c r="AH19" s="286"/>
      <c r="AI19" s="286"/>
      <c r="AJ19" s="286"/>
      <c r="AK19" s="286"/>
      <c r="AL19" s="286"/>
      <c r="AM19" s="286"/>
      <c r="AN19" s="428"/>
      <c r="AO19" s="440" t="str">
        <f t="shared" si="0"/>
        <v/>
      </c>
    </row>
    <row r="20" spans="1:41" ht="14.1" customHeight="1" x14ac:dyDescent="0.2">
      <c r="A20" s="66"/>
      <c r="B20" s="153"/>
      <c r="C20" s="213"/>
      <c r="D20" s="738"/>
      <c r="E20" s="739"/>
      <c r="F20" s="739"/>
      <c r="G20" s="739"/>
      <c r="H20" s="739"/>
      <c r="I20" s="740"/>
      <c r="J20" s="771"/>
      <c r="K20" s="729"/>
      <c r="L20" s="729"/>
      <c r="M20" s="729"/>
      <c r="N20" s="729"/>
      <c r="O20" s="729"/>
      <c r="P20" s="729"/>
      <c r="Q20" s="729"/>
      <c r="R20" s="731"/>
      <c r="S20" s="731"/>
      <c r="T20" s="731"/>
      <c r="U20" s="731"/>
      <c r="V20" s="731"/>
      <c r="W20" s="486" t="str">
        <f>IF(I21="No", "Comments","") &amp; IF(I21="N/A", "Comments","")</f>
        <v/>
      </c>
      <c r="X20" s="486"/>
      <c r="Y20" s="486"/>
      <c r="Z20" s="514"/>
      <c r="AA20" s="173"/>
      <c r="AB20" s="173"/>
      <c r="AD20" s="286"/>
      <c r="AE20" s="286"/>
      <c r="AF20" s="286"/>
      <c r="AG20" s="286"/>
      <c r="AH20" s="286"/>
      <c r="AI20" s="286"/>
      <c r="AJ20" s="286"/>
      <c r="AK20" s="286"/>
      <c r="AL20" s="286"/>
      <c r="AM20" s="286"/>
      <c r="AN20" s="428"/>
      <c r="AO20" s="440"/>
    </row>
    <row r="21" spans="1:41" ht="35.1" customHeight="1" thickBot="1" x14ac:dyDescent="0.25">
      <c r="A21" s="66" t="s">
        <v>1218</v>
      </c>
      <c r="B21" s="153" t="s">
        <v>1219</v>
      </c>
      <c r="C21" s="213"/>
      <c r="D21" s="445" t="s">
        <v>1247</v>
      </c>
      <c r="E21" s="61" t="s">
        <v>1238</v>
      </c>
      <c r="F21" s="61" t="s">
        <v>1248</v>
      </c>
      <c r="G21" s="68" t="s">
        <v>1223</v>
      </c>
      <c r="H21" s="442" t="s">
        <v>583</v>
      </c>
      <c r="I21" s="115"/>
      <c r="J21" s="772" t="s">
        <v>1240</v>
      </c>
      <c r="K21" s="746" t="s">
        <v>1241</v>
      </c>
      <c r="L21" s="746" t="s">
        <v>1242</v>
      </c>
      <c r="M21" s="746" t="s">
        <v>1243</v>
      </c>
      <c r="N21" s="746"/>
      <c r="O21" s="746" t="s">
        <v>1244</v>
      </c>
      <c r="P21" s="746" t="s">
        <v>1245</v>
      </c>
      <c r="Q21" s="746" t="s">
        <v>1246</v>
      </c>
      <c r="R21" s="732" t="s">
        <v>1232</v>
      </c>
      <c r="S21" s="732" t="s">
        <v>1232</v>
      </c>
      <c r="T21" s="732" t="s">
        <v>1232</v>
      </c>
      <c r="U21" s="732" t="s">
        <v>1232</v>
      </c>
      <c r="V21" s="732" t="s">
        <v>1232</v>
      </c>
      <c r="W21" s="659"/>
      <c r="X21" s="487"/>
      <c r="Y21" s="487"/>
      <c r="Z21" s="654"/>
      <c r="AA21" s="297"/>
      <c r="AB21" s="297"/>
      <c r="AD21" s="286"/>
      <c r="AE21" s="286"/>
      <c r="AF21" s="286"/>
      <c r="AG21" s="286"/>
      <c r="AH21" s="286"/>
      <c r="AI21" s="286"/>
      <c r="AJ21" s="286"/>
      <c r="AK21" s="286"/>
      <c r="AL21" s="286"/>
      <c r="AM21" s="286"/>
      <c r="AN21" s="428"/>
      <c r="AO21" s="440" t="str">
        <f t="shared" si="0"/>
        <v/>
      </c>
    </row>
    <row r="22" spans="1:41" ht="25.15" customHeight="1" thickBot="1" x14ac:dyDescent="0.25">
      <c r="A22" s="62" t="s">
        <v>1249</v>
      </c>
      <c r="B22" s="217" t="s">
        <v>1250</v>
      </c>
      <c r="C22" s="229"/>
      <c r="D22" s="733"/>
      <c r="E22" s="734"/>
      <c r="F22" s="734"/>
      <c r="G22" s="734"/>
      <c r="H22" s="734"/>
      <c r="I22" s="735"/>
      <c r="J22" s="63"/>
      <c r="K22" s="63"/>
      <c r="L22" s="64"/>
      <c r="M22" s="64"/>
      <c r="N22" s="64"/>
      <c r="O22" s="64"/>
      <c r="P22" s="64"/>
      <c r="Q22" s="64"/>
      <c r="R22" s="65"/>
      <c r="S22" s="65"/>
      <c r="T22" s="65"/>
      <c r="U22" s="65"/>
      <c r="V22" s="65"/>
      <c r="W22" s="788"/>
      <c r="X22" s="788"/>
      <c r="Y22" s="788"/>
      <c r="Z22" s="789"/>
      <c r="AA22" s="303"/>
      <c r="AB22" s="303"/>
      <c r="AD22" s="286"/>
      <c r="AE22" s="286"/>
      <c r="AF22" s="286"/>
      <c r="AG22" s="286"/>
      <c r="AH22" s="286"/>
      <c r="AI22" s="286"/>
      <c r="AJ22" s="286"/>
      <c r="AK22" s="286"/>
      <c r="AL22" s="286"/>
      <c r="AM22" s="286"/>
      <c r="AN22" s="428"/>
      <c r="AO22" s="440" t="str">
        <f t="shared" si="0"/>
        <v/>
      </c>
    </row>
    <row r="23" spans="1:41" ht="14.85" customHeight="1" x14ac:dyDescent="0.2">
      <c r="A23" s="100"/>
      <c r="B23" s="296"/>
      <c r="C23" s="214"/>
      <c r="D23" s="738"/>
      <c r="E23" s="739"/>
      <c r="F23" s="739"/>
      <c r="G23" s="739"/>
      <c r="H23" s="739"/>
      <c r="I23" s="740"/>
      <c r="J23" s="101"/>
      <c r="K23" s="101"/>
      <c r="L23" s="102"/>
      <c r="M23" s="102"/>
      <c r="N23" s="102"/>
      <c r="O23" s="102"/>
      <c r="P23" s="102"/>
      <c r="Q23" s="102"/>
      <c r="R23" s="103"/>
      <c r="S23" s="103"/>
      <c r="T23" s="103"/>
      <c r="U23" s="103"/>
      <c r="V23" s="103"/>
      <c r="W23" s="486" t="str">
        <f>IF(I24="No", "Comments","") &amp; IF(I24="N/A", "Comments","")</f>
        <v/>
      </c>
      <c r="X23" s="486"/>
      <c r="Y23" s="486"/>
      <c r="Z23" s="514"/>
      <c r="AA23" s="173"/>
      <c r="AB23" s="173"/>
      <c r="AD23" s="286"/>
      <c r="AE23" s="286"/>
      <c r="AF23" s="286"/>
      <c r="AG23" s="286"/>
      <c r="AH23" s="286"/>
      <c r="AI23" s="286"/>
      <c r="AJ23" s="286"/>
      <c r="AK23" s="286"/>
      <c r="AL23" s="286"/>
      <c r="AM23" s="286"/>
      <c r="AN23" s="428"/>
      <c r="AO23" s="440"/>
    </row>
    <row r="24" spans="1:41" ht="24.6" customHeight="1" x14ac:dyDescent="0.2">
      <c r="A24" s="66" t="s">
        <v>1249</v>
      </c>
      <c r="B24" s="153" t="s">
        <v>1250</v>
      </c>
      <c r="C24" s="213"/>
      <c r="D24" s="445" t="s">
        <v>1251</v>
      </c>
      <c r="E24" s="61" t="s">
        <v>1252</v>
      </c>
      <c r="F24" s="61" t="s">
        <v>1253</v>
      </c>
      <c r="G24" s="68" t="s">
        <v>1223</v>
      </c>
      <c r="H24" s="442" t="s">
        <v>586</v>
      </c>
      <c r="I24" s="115"/>
      <c r="J24" s="104" t="s">
        <v>1254</v>
      </c>
      <c r="K24" s="105" t="s">
        <v>1255</v>
      </c>
      <c r="L24" s="106" t="s">
        <v>1256</v>
      </c>
      <c r="M24" s="106" t="s">
        <v>1257</v>
      </c>
      <c r="N24" s="106"/>
      <c r="O24" s="106" t="s">
        <v>1258</v>
      </c>
      <c r="P24" s="106" t="s">
        <v>1259</v>
      </c>
      <c r="Q24" s="106" t="s">
        <v>1260</v>
      </c>
      <c r="R24" s="107" t="s">
        <v>1232</v>
      </c>
      <c r="S24" s="107" t="s">
        <v>1232</v>
      </c>
      <c r="T24" s="107" t="s">
        <v>1232</v>
      </c>
      <c r="U24" s="107" t="s">
        <v>1232</v>
      </c>
      <c r="V24" s="107" t="s">
        <v>1232</v>
      </c>
      <c r="W24" s="659"/>
      <c r="X24" s="487"/>
      <c r="Y24" s="487"/>
      <c r="Z24" s="654"/>
      <c r="AA24" s="297"/>
      <c r="AB24" s="297"/>
      <c r="AD24" s="286"/>
      <c r="AE24" s="286"/>
      <c r="AF24" s="286"/>
      <c r="AG24" s="286"/>
      <c r="AH24" s="286"/>
      <c r="AI24" s="286"/>
      <c r="AJ24" s="286"/>
      <c r="AK24" s="286"/>
      <c r="AL24" s="286"/>
      <c r="AM24" s="286"/>
      <c r="AN24" s="428"/>
      <c r="AO24" s="440" t="str">
        <f t="shared" si="0"/>
        <v/>
      </c>
    </row>
    <row r="25" spans="1:41" ht="15" customHeight="1" x14ac:dyDescent="0.2">
      <c r="A25" s="66"/>
      <c r="B25" s="153"/>
      <c r="C25" s="213"/>
      <c r="D25" s="738"/>
      <c r="E25" s="739"/>
      <c r="F25" s="739"/>
      <c r="G25" s="739"/>
      <c r="H25" s="739"/>
      <c r="I25" s="740"/>
      <c r="J25" s="104"/>
      <c r="K25" s="105"/>
      <c r="L25" s="106"/>
      <c r="M25" s="106"/>
      <c r="N25" s="106"/>
      <c r="O25" s="106"/>
      <c r="P25" s="106"/>
      <c r="Q25" s="106"/>
      <c r="R25" s="107"/>
      <c r="S25" s="107"/>
      <c r="T25" s="107"/>
      <c r="U25" s="107"/>
      <c r="V25" s="107"/>
      <c r="W25" s="486" t="str">
        <f>IF(I26="No", "Comments","") &amp; IF(I26="N/A", "Comments","")</f>
        <v/>
      </c>
      <c r="X25" s="486"/>
      <c r="Y25" s="486"/>
      <c r="Z25" s="514"/>
      <c r="AA25" s="173"/>
      <c r="AB25" s="173"/>
      <c r="AD25" s="286"/>
      <c r="AE25" s="286"/>
      <c r="AF25" s="286"/>
      <c r="AG25" s="286"/>
      <c r="AH25" s="286"/>
      <c r="AI25" s="286"/>
      <c r="AJ25" s="286"/>
      <c r="AK25" s="286"/>
      <c r="AL25" s="286"/>
      <c r="AM25" s="286"/>
      <c r="AN25" s="428"/>
      <c r="AO25" s="440"/>
    </row>
    <row r="26" spans="1:41" ht="37.15" customHeight="1" x14ac:dyDescent="0.2">
      <c r="A26" s="66" t="s">
        <v>1249</v>
      </c>
      <c r="B26" s="153" t="s">
        <v>1250</v>
      </c>
      <c r="C26" s="213"/>
      <c r="D26" s="601" t="s">
        <v>1261</v>
      </c>
      <c r="E26" s="61" t="s">
        <v>1262</v>
      </c>
      <c r="F26" s="61" t="s">
        <v>1263</v>
      </c>
      <c r="G26" s="68" t="s">
        <v>1223</v>
      </c>
      <c r="H26" s="442" t="s">
        <v>1264</v>
      </c>
      <c r="I26" s="115"/>
      <c r="J26" s="776" t="s">
        <v>1265</v>
      </c>
      <c r="K26" s="773" t="s">
        <v>1266</v>
      </c>
      <c r="L26" s="728" t="s">
        <v>1267</v>
      </c>
      <c r="M26" s="728" t="s">
        <v>1268</v>
      </c>
      <c r="N26" s="728" t="s">
        <v>1269</v>
      </c>
      <c r="O26" s="728" t="s">
        <v>1270</v>
      </c>
      <c r="P26" s="728" t="s">
        <v>1271</v>
      </c>
      <c r="Q26" s="728" t="s">
        <v>1272</v>
      </c>
      <c r="R26" s="730" t="s">
        <v>1232</v>
      </c>
      <c r="S26" s="730" t="s">
        <v>1232</v>
      </c>
      <c r="T26" s="730" t="s">
        <v>1232</v>
      </c>
      <c r="U26" s="730" t="s">
        <v>1232</v>
      </c>
      <c r="V26" s="730" t="s">
        <v>1232</v>
      </c>
      <c r="W26" s="659"/>
      <c r="X26" s="487"/>
      <c r="Y26" s="487"/>
      <c r="Z26" s="654"/>
      <c r="AA26" s="297"/>
      <c r="AB26" s="297"/>
      <c r="AD26" s="286"/>
      <c r="AE26" s="286"/>
      <c r="AF26" s="286"/>
      <c r="AG26" s="286"/>
      <c r="AH26" s="286"/>
      <c r="AI26" s="286"/>
      <c r="AJ26" s="286"/>
      <c r="AK26" s="286"/>
      <c r="AL26" s="286"/>
      <c r="AM26" s="286"/>
      <c r="AN26" s="428"/>
      <c r="AO26" s="440" t="str">
        <f t="shared" si="0"/>
        <v/>
      </c>
    </row>
    <row r="27" spans="1:41" ht="17.850000000000001" customHeight="1" x14ac:dyDescent="0.2">
      <c r="A27" s="66"/>
      <c r="B27" s="153"/>
      <c r="C27" s="213"/>
      <c r="D27" s="529"/>
      <c r="E27" s="61"/>
      <c r="F27" s="61"/>
      <c r="G27" s="68"/>
      <c r="H27" s="741"/>
      <c r="I27" s="740"/>
      <c r="J27" s="777"/>
      <c r="K27" s="774"/>
      <c r="L27" s="729"/>
      <c r="M27" s="729"/>
      <c r="N27" s="729"/>
      <c r="O27" s="729"/>
      <c r="P27" s="729"/>
      <c r="Q27" s="729"/>
      <c r="R27" s="731"/>
      <c r="S27" s="731"/>
      <c r="T27" s="731"/>
      <c r="U27" s="731"/>
      <c r="V27" s="731"/>
      <c r="W27" s="486" t="str">
        <f>IF(I28="No", "Comments","") &amp; IF(I28="N/A", "Comments","")</f>
        <v/>
      </c>
      <c r="X27" s="486"/>
      <c r="Y27" s="486"/>
      <c r="Z27" s="514"/>
      <c r="AA27" s="173"/>
      <c r="AB27" s="173"/>
      <c r="AD27" s="286"/>
      <c r="AE27" s="286"/>
      <c r="AF27" s="286"/>
      <c r="AG27" s="286"/>
      <c r="AH27" s="286"/>
      <c r="AI27" s="286"/>
      <c r="AJ27" s="286"/>
      <c r="AK27" s="286"/>
      <c r="AL27" s="286"/>
      <c r="AM27" s="286"/>
      <c r="AN27" s="428"/>
      <c r="AO27" s="440"/>
    </row>
    <row r="28" spans="1:41" ht="53.1" customHeight="1" x14ac:dyDescent="0.2">
      <c r="A28" s="66" t="s">
        <v>1249</v>
      </c>
      <c r="B28" s="153" t="s">
        <v>1250</v>
      </c>
      <c r="C28" s="213"/>
      <c r="D28" s="827"/>
      <c r="E28" s="61" t="s">
        <v>1262</v>
      </c>
      <c r="F28" s="61" t="s">
        <v>1273</v>
      </c>
      <c r="G28" s="68" t="s">
        <v>1223</v>
      </c>
      <c r="H28" s="446" t="s">
        <v>1274</v>
      </c>
      <c r="I28" s="115"/>
      <c r="J28" s="778" t="s">
        <v>1265</v>
      </c>
      <c r="K28" s="779" t="s">
        <v>1266</v>
      </c>
      <c r="L28" s="746" t="s">
        <v>1267</v>
      </c>
      <c r="M28" s="746" t="s">
        <v>1268</v>
      </c>
      <c r="N28" s="746" t="s">
        <v>1269</v>
      </c>
      <c r="O28" s="746" t="s">
        <v>1270</v>
      </c>
      <c r="P28" s="746" t="s">
        <v>1271</v>
      </c>
      <c r="Q28" s="746" t="s">
        <v>1272</v>
      </c>
      <c r="R28" s="732" t="s">
        <v>1232</v>
      </c>
      <c r="S28" s="732" t="s">
        <v>1232</v>
      </c>
      <c r="T28" s="732" t="s">
        <v>1232</v>
      </c>
      <c r="U28" s="732" t="s">
        <v>1232</v>
      </c>
      <c r="V28" s="732" t="s">
        <v>1232</v>
      </c>
      <c r="W28" s="659"/>
      <c r="X28" s="487"/>
      <c r="Y28" s="487"/>
      <c r="Z28" s="654"/>
      <c r="AA28" s="297"/>
      <c r="AB28" s="297"/>
      <c r="AD28" s="286"/>
      <c r="AE28" s="286"/>
      <c r="AF28" s="286"/>
      <c r="AG28" s="286"/>
      <c r="AH28" s="286"/>
      <c r="AI28" s="286"/>
      <c r="AJ28" s="286"/>
      <c r="AK28" s="286"/>
      <c r="AL28" s="286"/>
      <c r="AM28" s="286"/>
      <c r="AN28" s="428"/>
      <c r="AO28" s="440" t="str">
        <f t="shared" si="0"/>
        <v/>
      </c>
    </row>
    <row r="29" spans="1:41" ht="15.6" customHeight="1" x14ac:dyDescent="0.2">
      <c r="A29" s="66"/>
      <c r="B29" s="153"/>
      <c r="C29" s="213"/>
      <c r="D29" s="738"/>
      <c r="E29" s="739"/>
      <c r="F29" s="739"/>
      <c r="G29" s="739"/>
      <c r="H29" s="739"/>
      <c r="I29" s="740"/>
      <c r="J29" s="108"/>
      <c r="K29" s="109"/>
      <c r="L29" s="110"/>
      <c r="M29" s="110"/>
      <c r="N29" s="110"/>
      <c r="O29" s="110"/>
      <c r="P29" s="110"/>
      <c r="Q29" s="110"/>
      <c r="R29" s="111"/>
      <c r="S29" s="111"/>
      <c r="T29" s="111"/>
      <c r="U29" s="111"/>
      <c r="V29" s="111"/>
      <c r="W29" s="486" t="str">
        <f>IF(I30="No", "Comments","") &amp; IF(I30="N/A", "Comments","")</f>
        <v/>
      </c>
      <c r="X29" s="486"/>
      <c r="Y29" s="486"/>
      <c r="Z29" s="514"/>
      <c r="AA29" s="173"/>
      <c r="AB29" s="173"/>
      <c r="AD29" s="286"/>
      <c r="AE29" s="286"/>
      <c r="AF29" s="286"/>
      <c r="AG29" s="286"/>
      <c r="AH29" s="286"/>
      <c r="AI29" s="286"/>
      <c r="AJ29" s="286"/>
      <c r="AK29" s="286"/>
      <c r="AL29" s="286"/>
      <c r="AM29" s="286"/>
      <c r="AN29" s="428"/>
      <c r="AO29" s="440"/>
    </row>
    <row r="30" spans="1:41" ht="37.15" customHeight="1" thickBot="1" x14ac:dyDescent="0.25">
      <c r="A30" s="66" t="s">
        <v>1249</v>
      </c>
      <c r="B30" s="153" t="s">
        <v>1250</v>
      </c>
      <c r="C30" s="213"/>
      <c r="D30" s="445" t="s">
        <v>1275</v>
      </c>
      <c r="E30" s="67" t="s">
        <v>1276</v>
      </c>
      <c r="F30" s="61" t="s">
        <v>1277</v>
      </c>
      <c r="G30" s="68" t="s">
        <v>1223</v>
      </c>
      <c r="H30" s="442" t="s">
        <v>595</v>
      </c>
      <c r="I30" s="115"/>
      <c r="J30" s="69"/>
      <c r="K30" s="70" t="s">
        <v>1278</v>
      </c>
      <c r="L30" s="71" t="s">
        <v>1279</v>
      </c>
      <c r="M30" s="71" t="s">
        <v>1280</v>
      </c>
      <c r="N30" s="71" t="s">
        <v>1281</v>
      </c>
      <c r="O30" s="71" t="s">
        <v>1282</v>
      </c>
      <c r="P30" s="71" t="s">
        <v>1283</v>
      </c>
      <c r="Q30" s="71" t="s">
        <v>1284</v>
      </c>
      <c r="R30" s="72" t="s">
        <v>1232</v>
      </c>
      <c r="S30" s="72" t="s">
        <v>1232</v>
      </c>
      <c r="T30" s="72" t="s">
        <v>1232</v>
      </c>
      <c r="U30" s="72" t="s">
        <v>1232</v>
      </c>
      <c r="V30" s="72" t="s">
        <v>1232</v>
      </c>
      <c r="W30" s="659"/>
      <c r="X30" s="487"/>
      <c r="Y30" s="487"/>
      <c r="Z30" s="654"/>
      <c r="AA30" s="297"/>
      <c r="AB30" s="297"/>
      <c r="AD30" s="286"/>
      <c r="AE30" s="286"/>
      <c r="AF30" s="286"/>
      <c r="AG30" s="286"/>
      <c r="AH30" s="286"/>
      <c r="AI30" s="286"/>
      <c r="AJ30" s="286"/>
      <c r="AK30" s="286"/>
      <c r="AL30" s="286"/>
      <c r="AM30" s="286"/>
      <c r="AN30" s="428"/>
      <c r="AO30" s="440" t="str">
        <f t="shared" si="0"/>
        <v/>
      </c>
    </row>
    <row r="31" spans="1:41" ht="25.15" customHeight="1" thickBot="1" x14ac:dyDescent="0.25">
      <c r="A31" s="62" t="s">
        <v>1285</v>
      </c>
      <c r="B31" s="217" t="s">
        <v>1286</v>
      </c>
      <c r="C31" s="229"/>
      <c r="D31" s="733"/>
      <c r="E31" s="734"/>
      <c r="F31" s="734"/>
      <c r="G31" s="734"/>
      <c r="H31" s="734"/>
      <c r="I31" s="735"/>
      <c r="J31" s="63"/>
      <c r="K31" s="63"/>
      <c r="L31" s="64"/>
      <c r="M31" s="64"/>
      <c r="N31" s="64"/>
      <c r="O31" s="64"/>
      <c r="P31" s="64"/>
      <c r="Q31" s="64"/>
      <c r="R31" s="65"/>
      <c r="S31" s="65"/>
      <c r="T31" s="65"/>
      <c r="U31" s="65"/>
      <c r="V31" s="65"/>
      <c r="W31" s="788"/>
      <c r="X31" s="788"/>
      <c r="Y31" s="788"/>
      <c r="Z31" s="789"/>
      <c r="AA31" s="303"/>
      <c r="AB31" s="303"/>
      <c r="AD31" s="286"/>
      <c r="AE31" s="286"/>
      <c r="AF31" s="286"/>
      <c r="AG31" s="286"/>
      <c r="AH31" s="286"/>
      <c r="AI31" s="286"/>
      <c r="AJ31" s="286"/>
      <c r="AK31" s="286"/>
      <c r="AL31" s="286"/>
      <c r="AM31" s="286"/>
      <c r="AN31" s="428"/>
      <c r="AO31" s="440" t="str">
        <f t="shared" si="0"/>
        <v/>
      </c>
    </row>
    <row r="32" spans="1:41" ht="17.25" customHeight="1" x14ac:dyDescent="0.2">
      <c r="A32" s="100"/>
      <c r="B32" s="296"/>
      <c r="C32" s="214"/>
      <c r="D32" s="447"/>
      <c r="E32" s="367"/>
      <c r="F32" s="367"/>
      <c r="G32" s="367"/>
      <c r="H32" s="741"/>
      <c r="I32" s="740"/>
      <c r="J32" s="101"/>
      <c r="K32" s="101"/>
      <c r="L32" s="102"/>
      <c r="M32" s="102"/>
      <c r="N32" s="102"/>
      <c r="O32" s="102"/>
      <c r="P32" s="102"/>
      <c r="Q32" s="102"/>
      <c r="R32" s="103"/>
      <c r="S32" s="103"/>
      <c r="T32" s="103"/>
      <c r="U32" s="103"/>
      <c r="V32" s="103"/>
      <c r="W32" s="486" t="str">
        <f>IF(I33="No", "Comments","") &amp; IF(I33="N/A", "Comments","")</f>
        <v/>
      </c>
      <c r="X32" s="486"/>
      <c r="Y32" s="486"/>
      <c r="Z32" s="514"/>
      <c r="AA32" s="173"/>
      <c r="AB32" s="173"/>
      <c r="AD32" s="286"/>
      <c r="AE32" s="286"/>
      <c r="AF32" s="286"/>
      <c r="AG32" s="286"/>
      <c r="AH32" s="286"/>
      <c r="AI32" s="286"/>
      <c r="AJ32" s="286"/>
      <c r="AK32" s="286"/>
      <c r="AL32" s="286"/>
      <c r="AM32" s="286"/>
      <c r="AN32" s="428"/>
      <c r="AO32" s="440"/>
    </row>
    <row r="33" spans="1:41" ht="36.75" customHeight="1" x14ac:dyDescent="0.2">
      <c r="A33" s="73" t="s">
        <v>1285</v>
      </c>
      <c r="B33" s="153" t="s">
        <v>1286</v>
      </c>
      <c r="C33" s="213"/>
      <c r="D33" s="445" t="s">
        <v>1287</v>
      </c>
      <c r="E33" s="67" t="s">
        <v>1288</v>
      </c>
      <c r="F33" s="61" t="s">
        <v>1289</v>
      </c>
      <c r="G33" s="68" t="s">
        <v>1223</v>
      </c>
      <c r="H33" s="54" t="s">
        <v>598</v>
      </c>
      <c r="I33" s="115"/>
      <c r="J33" s="69" t="s">
        <v>1290</v>
      </c>
      <c r="K33" s="70" t="s">
        <v>1291</v>
      </c>
      <c r="L33" s="71" t="s">
        <v>1292</v>
      </c>
      <c r="M33" s="71" t="s">
        <v>1293</v>
      </c>
      <c r="N33" s="71" t="s">
        <v>1294</v>
      </c>
      <c r="O33" s="71" t="s">
        <v>1295</v>
      </c>
      <c r="P33" s="71" t="s">
        <v>1296</v>
      </c>
      <c r="Q33" s="71" t="s">
        <v>1297</v>
      </c>
      <c r="R33" s="72" t="s">
        <v>1232</v>
      </c>
      <c r="S33" s="72" t="s">
        <v>1232</v>
      </c>
      <c r="T33" s="72" t="s">
        <v>1232</v>
      </c>
      <c r="U33" s="72" t="s">
        <v>1232</v>
      </c>
      <c r="V33" s="72" t="s">
        <v>1232</v>
      </c>
      <c r="W33" s="659"/>
      <c r="X33" s="487"/>
      <c r="Y33" s="487"/>
      <c r="Z33" s="654"/>
      <c r="AA33" s="297"/>
      <c r="AB33" s="297"/>
      <c r="AD33" s="286"/>
      <c r="AE33" s="286"/>
      <c r="AF33" s="286"/>
      <c r="AG33" s="286"/>
      <c r="AH33" s="286"/>
      <c r="AI33" s="286"/>
      <c r="AJ33" s="286"/>
      <c r="AK33" s="286"/>
      <c r="AL33" s="286"/>
      <c r="AM33" s="286"/>
      <c r="AN33" s="428"/>
      <c r="AO33" s="440" t="str">
        <f t="shared" si="0"/>
        <v/>
      </c>
    </row>
    <row r="34" spans="1:41" ht="16.5" customHeight="1" x14ac:dyDescent="0.2">
      <c r="A34" s="73"/>
      <c r="B34" s="153"/>
      <c r="C34" s="213"/>
      <c r="D34" s="738"/>
      <c r="E34" s="739"/>
      <c r="F34" s="739"/>
      <c r="G34" s="739"/>
      <c r="H34" s="739"/>
      <c r="I34" s="740"/>
      <c r="J34" s="69"/>
      <c r="K34" s="70"/>
      <c r="L34" s="71"/>
      <c r="M34" s="71"/>
      <c r="N34" s="71"/>
      <c r="O34" s="71"/>
      <c r="P34" s="71"/>
      <c r="Q34" s="71"/>
      <c r="R34" s="72"/>
      <c r="S34" s="72"/>
      <c r="T34" s="72"/>
      <c r="U34" s="72"/>
      <c r="V34" s="72"/>
      <c r="W34" s="486" t="str">
        <f>IF(I35="No", "Comments","") &amp; IF(I35="N/A", "Comments","")</f>
        <v/>
      </c>
      <c r="X34" s="486"/>
      <c r="Y34" s="486"/>
      <c r="Z34" s="514"/>
      <c r="AA34" s="173"/>
      <c r="AB34" s="173"/>
      <c r="AD34" s="286"/>
      <c r="AE34" s="286"/>
      <c r="AF34" s="286"/>
      <c r="AG34" s="286"/>
      <c r="AH34" s="286"/>
      <c r="AI34" s="286"/>
      <c r="AJ34" s="286"/>
      <c r="AK34" s="286"/>
      <c r="AL34" s="286"/>
      <c r="AM34" s="286"/>
      <c r="AN34" s="428"/>
      <c r="AO34" s="440"/>
    </row>
    <row r="35" spans="1:41" ht="25.15" customHeight="1" x14ac:dyDescent="0.2">
      <c r="A35" s="73" t="s">
        <v>1285</v>
      </c>
      <c r="B35" s="153" t="s">
        <v>1286</v>
      </c>
      <c r="C35" s="213"/>
      <c r="D35" s="445" t="s">
        <v>1298</v>
      </c>
      <c r="E35" s="67" t="s">
        <v>1299</v>
      </c>
      <c r="F35" s="61" t="s">
        <v>1300</v>
      </c>
      <c r="G35" s="68" t="s">
        <v>1223</v>
      </c>
      <c r="H35" s="448" t="s">
        <v>601</v>
      </c>
      <c r="I35" s="115"/>
      <c r="J35" s="69"/>
      <c r="K35" s="70" t="s">
        <v>1301</v>
      </c>
      <c r="L35" s="71" t="s">
        <v>1302</v>
      </c>
      <c r="M35" s="71" t="s">
        <v>1303</v>
      </c>
      <c r="N35" s="71" t="s">
        <v>1304</v>
      </c>
      <c r="O35" s="71" t="s">
        <v>1305</v>
      </c>
      <c r="P35" s="71" t="s">
        <v>1306</v>
      </c>
      <c r="Q35" s="71" t="s">
        <v>1307</v>
      </c>
      <c r="R35" s="72" t="s">
        <v>1308</v>
      </c>
      <c r="S35" s="72" t="s">
        <v>1308</v>
      </c>
      <c r="T35" s="72" t="s">
        <v>1308</v>
      </c>
      <c r="U35" s="72" t="s">
        <v>1308</v>
      </c>
      <c r="V35" s="72" t="s">
        <v>1308</v>
      </c>
      <c r="W35" s="659"/>
      <c r="X35" s="487"/>
      <c r="Y35" s="487"/>
      <c r="Z35" s="654"/>
      <c r="AA35" s="297"/>
      <c r="AB35" s="297"/>
      <c r="AD35" s="286"/>
      <c r="AE35" s="286"/>
      <c r="AF35" s="286"/>
      <c r="AG35" s="286"/>
      <c r="AH35" s="286"/>
      <c r="AI35" s="286"/>
      <c r="AJ35" s="286"/>
      <c r="AK35" s="286"/>
      <c r="AL35" s="286"/>
      <c r="AM35" s="286"/>
      <c r="AN35" s="428"/>
      <c r="AO35" s="440" t="str">
        <f t="shared" si="0"/>
        <v/>
      </c>
    </row>
    <row r="36" spans="1:41" ht="16.5" customHeight="1" x14ac:dyDescent="0.2">
      <c r="A36" s="73"/>
      <c r="B36" s="153"/>
      <c r="C36" s="213"/>
      <c r="D36" s="738"/>
      <c r="E36" s="739"/>
      <c r="F36" s="739"/>
      <c r="G36" s="739"/>
      <c r="H36" s="739"/>
      <c r="I36" s="740"/>
      <c r="J36" s="69"/>
      <c r="K36" s="70"/>
      <c r="L36" s="71"/>
      <c r="M36" s="71"/>
      <c r="N36" s="71"/>
      <c r="O36" s="71"/>
      <c r="P36" s="71"/>
      <c r="Q36" s="71"/>
      <c r="R36" s="72"/>
      <c r="S36" s="72"/>
      <c r="T36" s="72"/>
      <c r="U36" s="72"/>
      <c r="V36" s="72"/>
      <c r="W36" s="486" t="str">
        <f>IF(I37="No", "Comments","") &amp; IF(I37="N/A", "Comments","")</f>
        <v/>
      </c>
      <c r="X36" s="486"/>
      <c r="Y36" s="486"/>
      <c r="Z36" s="514"/>
      <c r="AA36" s="173"/>
      <c r="AB36" s="173"/>
      <c r="AD36" s="286"/>
      <c r="AE36" s="286"/>
      <c r="AF36" s="286"/>
      <c r="AG36" s="286"/>
      <c r="AH36" s="286"/>
      <c r="AI36" s="286"/>
      <c r="AJ36" s="286"/>
      <c r="AK36" s="286"/>
      <c r="AL36" s="286"/>
      <c r="AM36" s="286"/>
      <c r="AN36" s="428"/>
      <c r="AO36" s="440"/>
    </row>
    <row r="37" spans="1:41" ht="47.85" customHeight="1" x14ac:dyDescent="0.2">
      <c r="A37" s="73" t="s">
        <v>1285</v>
      </c>
      <c r="B37" s="153" t="s">
        <v>1286</v>
      </c>
      <c r="C37" s="213"/>
      <c r="D37" s="445" t="s">
        <v>1309</v>
      </c>
      <c r="E37" s="67" t="s">
        <v>1310</v>
      </c>
      <c r="F37" s="61" t="s">
        <v>1311</v>
      </c>
      <c r="G37" s="68" t="s">
        <v>1223</v>
      </c>
      <c r="H37" s="448" t="s">
        <v>604</v>
      </c>
      <c r="I37" s="115"/>
      <c r="J37" s="69"/>
      <c r="K37" s="70" t="s">
        <v>1312</v>
      </c>
      <c r="L37" s="71" t="s">
        <v>1313</v>
      </c>
      <c r="M37" s="71" t="s">
        <v>1314</v>
      </c>
      <c r="N37" s="71" t="s">
        <v>1315</v>
      </c>
      <c r="O37" s="71" t="s">
        <v>1316</v>
      </c>
      <c r="P37" s="71" t="s">
        <v>1317</v>
      </c>
      <c r="Q37" s="71" t="s">
        <v>1318</v>
      </c>
      <c r="R37" s="72" t="s">
        <v>1232</v>
      </c>
      <c r="S37" s="72" t="s">
        <v>1232</v>
      </c>
      <c r="T37" s="72" t="s">
        <v>1232</v>
      </c>
      <c r="U37" s="72" t="s">
        <v>1232</v>
      </c>
      <c r="V37" s="72" t="s">
        <v>1232</v>
      </c>
      <c r="W37" s="659"/>
      <c r="X37" s="487"/>
      <c r="Y37" s="487"/>
      <c r="Z37" s="654"/>
      <c r="AA37" s="297"/>
      <c r="AB37" s="297"/>
      <c r="AD37" s="286"/>
      <c r="AE37" s="286"/>
      <c r="AF37" s="286"/>
      <c r="AG37" s="286"/>
      <c r="AH37" s="286"/>
      <c r="AI37" s="286"/>
      <c r="AJ37" s="286"/>
      <c r="AK37" s="286"/>
      <c r="AL37" s="286"/>
      <c r="AM37" s="286"/>
      <c r="AN37" s="428"/>
      <c r="AO37" s="440" t="str">
        <f t="shared" si="0"/>
        <v/>
      </c>
    </row>
    <row r="38" spans="1:41" ht="16.350000000000001" customHeight="1" x14ac:dyDescent="0.2">
      <c r="A38" s="73"/>
      <c r="B38" s="153"/>
      <c r="C38" s="213"/>
      <c r="D38" s="738"/>
      <c r="E38" s="739"/>
      <c r="F38" s="739"/>
      <c r="G38" s="739"/>
      <c r="H38" s="739"/>
      <c r="I38" s="740"/>
      <c r="J38" s="112"/>
      <c r="K38" s="113"/>
      <c r="L38" s="114"/>
      <c r="M38" s="114"/>
      <c r="N38" s="114"/>
      <c r="O38" s="114"/>
      <c r="P38" s="114"/>
      <c r="Q38" s="114"/>
      <c r="R38" s="107"/>
      <c r="S38" s="107"/>
      <c r="T38" s="107"/>
      <c r="U38" s="107"/>
      <c r="V38" s="107"/>
      <c r="W38" s="486" t="str">
        <f>IF(I39="No", "Comments","") &amp; IF(I39="N/A", "Comments","")</f>
        <v/>
      </c>
      <c r="X38" s="486"/>
      <c r="Y38" s="486"/>
      <c r="Z38" s="514"/>
      <c r="AA38" s="173"/>
      <c r="AB38" s="173"/>
      <c r="AD38" s="286"/>
      <c r="AE38" s="286"/>
      <c r="AF38" s="286"/>
      <c r="AG38" s="286"/>
      <c r="AH38" s="286"/>
      <c r="AI38" s="286"/>
      <c r="AJ38" s="286"/>
      <c r="AK38" s="286"/>
      <c r="AL38" s="286"/>
      <c r="AM38" s="286"/>
      <c r="AN38" s="428"/>
      <c r="AO38" s="440"/>
    </row>
    <row r="39" spans="1:41" ht="37.15" customHeight="1" x14ac:dyDescent="0.2">
      <c r="A39" s="73" t="s">
        <v>1285</v>
      </c>
      <c r="B39" s="153" t="s">
        <v>1286</v>
      </c>
      <c r="C39" s="213"/>
      <c r="D39" s="601" t="s">
        <v>1319</v>
      </c>
      <c r="E39" s="61" t="s">
        <v>1320</v>
      </c>
      <c r="F39" s="61" t="s">
        <v>1321</v>
      </c>
      <c r="G39" s="68" t="s">
        <v>1223</v>
      </c>
      <c r="H39" s="448" t="s">
        <v>607</v>
      </c>
      <c r="I39" s="115"/>
      <c r="J39" s="776"/>
      <c r="K39" s="773" t="s">
        <v>1322</v>
      </c>
      <c r="L39" s="728" t="s">
        <v>1323</v>
      </c>
      <c r="M39" s="728" t="s">
        <v>1324</v>
      </c>
      <c r="N39" s="728" t="s">
        <v>1325</v>
      </c>
      <c r="O39" s="728" t="s">
        <v>1326</v>
      </c>
      <c r="P39" s="728" t="s">
        <v>1327</v>
      </c>
      <c r="Q39" s="728"/>
      <c r="R39" s="730" t="s">
        <v>1232</v>
      </c>
      <c r="S39" s="730" t="s">
        <v>1232</v>
      </c>
      <c r="T39" s="730" t="s">
        <v>1232</v>
      </c>
      <c r="U39" s="730" t="s">
        <v>1232</v>
      </c>
      <c r="V39" s="730" t="s">
        <v>1232</v>
      </c>
      <c r="W39" s="659"/>
      <c r="X39" s="487"/>
      <c r="Y39" s="487"/>
      <c r="Z39" s="654"/>
      <c r="AA39" s="297"/>
      <c r="AB39" s="297"/>
      <c r="AD39" s="286"/>
      <c r="AE39" s="286"/>
      <c r="AF39" s="286"/>
      <c r="AG39" s="286"/>
      <c r="AH39" s="286"/>
      <c r="AI39" s="286"/>
      <c r="AJ39" s="286"/>
      <c r="AK39" s="286"/>
      <c r="AL39" s="286"/>
      <c r="AM39" s="286"/>
      <c r="AN39" s="428"/>
      <c r="AO39" s="440" t="str">
        <f t="shared" si="0"/>
        <v/>
      </c>
    </row>
    <row r="40" spans="1:41" ht="15.75" customHeight="1" x14ac:dyDescent="0.2">
      <c r="A40" s="73"/>
      <c r="B40" s="153"/>
      <c r="C40" s="213"/>
      <c r="D40" s="529"/>
      <c r="E40" s="61"/>
      <c r="F40" s="61"/>
      <c r="G40" s="68"/>
      <c r="H40" s="741"/>
      <c r="I40" s="740"/>
      <c r="J40" s="777"/>
      <c r="K40" s="774"/>
      <c r="L40" s="729"/>
      <c r="M40" s="729"/>
      <c r="N40" s="729"/>
      <c r="O40" s="729"/>
      <c r="P40" s="729"/>
      <c r="Q40" s="729"/>
      <c r="R40" s="731"/>
      <c r="S40" s="731"/>
      <c r="T40" s="731"/>
      <c r="U40" s="731"/>
      <c r="V40" s="731"/>
      <c r="W40" s="486" t="str">
        <f>IF(I41="No", "Comments","") &amp; IF(I41="N/A", "Comments","")</f>
        <v/>
      </c>
      <c r="X40" s="486"/>
      <c r="Y40" s="486"/>
      <c r="Z40" s="514"/>
      <c r="AA40" s="173"/>
      <c r="AB40" s="173"/>
      <c r="AD40" s="286"/>
      <c r="AE40" s="286"/>
      <c r="AF40" s="286"/>
      <c r="AG40" s="286"/>
      <c r="AH40" s="286"/>
      <c r="AI40" s="286"/>
      <c r="AJ40" s="286"/>
      <c r="AK40" s="286"/>
      <c r="AL40" s="286"/>
      <c r="AM40" s="286"/>
      <c r="AN40" s="428"/>
      <c r="AO40" s="440"/>
    </row>
    <row r="41" spans="1:41" ht="25.15" customHeight="1" thickBot="1" x14ac:dyDescent="0.25">
      <c r="A41" s="73" t="s">
        <v>1285</v>
      </c>
      <c r="B41" s="153" t="s">
        <v>1286</v>
      </c>
      <c r="C41" s="213"/>
      <c r="D41" s="827"/>
      <c r="E41" s="61" t="s">
        <v>1320</v>
      </c>
      <c r="F41" s="61" t="s">
        <v>1328</v>
      </c>
      <c r="G41" s="68" t="s">
        <v>1223</v>
      </c>
      <c r="H41" s="448" t="s">
        <v>610</v>
      </c>
      <c r="I41" s="115"/>
      <c r="J41" s="790"/>
      <c r="K41" s="775" t="s">
        <v>1322</v>
      </c>
      <c r="L41" s="761" t="s">
        <v>1323</v>
      </c>
      <c r="M41" s="761" t="s">
        <v>1324</v>
      </c>
      <c r="N41" s="761" t="s">
        <v>1325</v>
      </c>
      <c r="O41" s="761" t="s">
        <v>1326</v>
      </c>
      <c r="P41" s="761" t="s">
        <v>1327</v>
      </c>
      <c r="Q41" s="761"/>
      <c r="R41" s="760" t="s">
        <v>1232</v>
      </c>
      <c r="S41" s="760" t="s">
        <v>1232</v>
      </c>
      <c r="T41" s="760" t="s">
        <v>1232</v>
      </c>
      <c r="U41" s="760" t="s">
        <v>1232</v>
      </c>
      <c r="V41" s="760" t="s">
        <v>1232</v>
      </c>
      <c r="W41" s="659"/>
      <c r="X41" s="487"/>
      <c r="Y41" s="487"/>
      <c r="Z41" s="654"/>
      <c r="AA41" s="297"/>
      <c r="AB41" s="297"/>
      <c r="AD41" s="286"/>
      <c r="AE41" s="286"/>
      <c r="AF41" s="286"/>
      <c r="AG41" s="286"/>
      <c r="AH41" s="286"/>
      <c r="AI41" s="286"/>
      <c r="AJ41" s="286"/>
      <c r="AK41" s="286"/>
      <c r="AL41" s="286"/>
      <c r="AM41" s="286"/>
      <c r="AN41" s="428"/>
      <c r="AO41" s="440" t="str">
        <f t="shared" si="0"/>
        <v/>
      </c>
    </row>
    <row r="42" spans="1:41" ht="25.15" customHeight="1" thickBot="1" x14ac:dyDescent="0.25">
      <c r="A42" s="62" t="s">
        <v>1329</v>
      </c>
      <c r="B42" s="218" t="s">
        <v>1330</v>
      </c>
      <c r="C42" s="229"/>
      <c r="D42" s="733"/>
      <c r="E42" s="734"/>
      <c r="F42" s="734"/>
      <c r="G42" s="734"/>
      <c r="H42" s="734"/>
      <c r="I42" s="735"/>
      <c r="J42" s="63"/>
      <c r="K42" s="63"/>
      <c r="L42" s="64"/>
      <c r="M42" s="64"/>
      <c r="N42" s="64"/>
      <c r="O42" s="64"/>
      <c r="P42" s="64"/>
      <c r="Q42" s="64"/>
      <c r="R42" s="65"/>
      <c r="S42" s="65"/>
      <c r="T42" s="65"/>
      <c r="U42" s="65"/>
      <c r="V42" s="65"/>
      <c r="W42" s="788"/>
      <c r="X42" s="788"/>
      <c r="Y42" s="788"/>
      <c r="Z42" s="789"/>
      <c r="AA42" s="303"/>
      <c r="AB42" s="303"/>
      <c r="AD42" s="286"/>
      <c r="AE42" s="286"/>
      <c r="AF42" s="286"/>
      <c r="AG42" s="286"/>
      <c r="AH42" s="286"/>
      <c r="AI42" s="286"/>
      <c r="AJ42" s="286"/>
      <c r="AK42" s="286"/>
      <c r="AL42" s="286"/>
      <c r="AM42" s="286"/>
      <c r="AN42" s="428"/>
      <c r="AO42" s="440" t="str">
        <f t="shared" si="0"/>
        <v/>
      </c>
    </row>
    <row r="43" spans="1:41" ht="14.85" customHeight="1" x14ac:dyDescent="0.2">
      <c r="A43" s="100"/>
      <c r="B43" s="296"/>
      <c r="C43" s="214"/>
      <c r="D43" s="738"/>
      <c r="E43" s="739"/>
      <c r="F43" s="739"/>
      <c r="G43" s="739"/>
      <c r="H43" s="739"/>
      <c r="I43" s="740"/>
      <c r="J43" s="101"/>
      <c r="K43" s="101"/>
      <c r="L43" s="102"/>
      <c r="M43" s="102"/>
      <c r="N43" s="102"/>
      <c r="O43" s="102"/>
      <c r="P43" s="102"/>
      <c r="Q43" s="102"/>
      <c r="R43" s="103"/>
      <c r="S43" s="103"/>
      <c r="T43" s="103"/>
      <c r="U43" s="103"/>
      <c r="V43" s="103"/>
      <c r="W43" s="486" t="str">
        <f>IF(I44="No", "Comments","") &amp; IF(I44="N/A", "Comments","")</f>
        <v/>
      </c>
      <c r="X43" s="486"/>
      <c r="Y43" s="486"/>
      <c r="Z43" s="514"/>
      <c r="AA43" s="173"/>
      <c r="AB43" s="173"/>
      <c r="AD43" s="286"/>
      <c r="AE43" s="286"/>
      <c r="AF43" s="286"/>
      <c r="AG43" s="286"/>
      <c r="AH43" s="286"/>
      <c r="AI43" s="286"/>
      <c r="AJ43" s="286"/>
      <c r="AK43" s="286"/>
      <c r="AL43" s="286"/>
      <c r="AM43" s="286"/>
      <c r="AN43" s="428"/>
      <c r="AO43" s="440"/>
    </row>
    <row r="44" spans="1:41" ht="37.15" customHeight="1" thickBot="1" x14ac:dyDescent="0.25">
      <c r="A44" s="73" t="s">
        <v>1329</v>
      </c>
      <c r="B44" s="153" t="s">
        <v>1330</v>
      </c>
      <c r="C44" s="213"/>
      <c r="D44" s="445" t="s">
        <v>612</v>
      </c>
      <c r="E44" s="67" t="s">
        <v>1331</v>
      </c>
      <c r="F44" s="61" t="s">
        <v>1332</v>
      </c>
      <c r="G44" s="68" t="s">
        <v>1223</v>
      </c>
      <c r="H44" s="448" t="s">
        <v>613</v>
      </c>
      <c r="I44" s="115"/>
      <c r="J44" s="117" t="s">
        <v>1333</v>
      </c>
      <c r="K44" s="71"/>
      <c r="L44" s="71" t="s">
        <v>1334</v>
      </c>
      <c r="M44" s="71" t="s">
        <v>1335</v>
      </c>
      <c r="N44" s="71" t="s">
        <v>1336</v>
      </c>
      <c r="O44" s="71" t="s">
        <v>1337</v>
      </c>
      <c r="P44" s="71" t="s">
        <v>1338</v>
      </c>
      <c r="Q44" s="71" t="s">
        <v>1339</v>
      </c>
      <c r="R44" s="72" t="s">
        <v>1232</v>
      </c>
      <c r="S44" s="72" t="s">
        <v>1232</v>
      </c>
      <c r="T44" s="72" t="s">
        <v>1232</v>
      </c>
      <c r="U44" s="72" t="s">
        <v>1232</v>
      </c>
      <c r="V44" s="72" t="s">
        <v>1232</v>
      </c>
      <c r="W44" s="659"/>
      <c r="X44" s="487"/>
      <c r="Y44" s="487"/>
      <c r="Z44" s="654"/>
      <c r="AA44" s="297"/>
      <c r="AB44" s="297"/>
      <c r="AD44" s="286"/>
      <c r="AE44" s="286"/>
      <c r="AF44" s="286"/>
      <c r="AG44" s="286"/>
      <c r="AH44" s="286"/>
      <c r="AI44" s="286"/>
      <c r="AJ44" s="286"/>
      <c r="AK44" s="286"/>
      <c r="AL44" s="286"/>
      <c r="AM44" s="286"/>
      <c r="AN44" s="428"/>
      <c r="AO44" s="440" t="str">
        <f t="shared" si="0"/>
        <v/>
      </c>
    </row>
    <row r="45" spans="1:41" ht="25.15" customHeight="1" thickBot="1" x14ac:dyDescent="0.25">
      <c r="A45" s="62" t="s">
        <v>1340</v>
      </c>
      <c r="B45" s="218" t="s">
        <v>1341</v>
      </c>
      <c r="C45" s="229"/>
      <c r="D45" s="733"/>
      <c r="E45" s="734"/>
      <c r="F45" s="734"/>
      <c r="G45" s="734"/>
      <c r="H45" s="734"/>
      <c r="I45" s="735"/>
      <c r="J45" s="63"/>
      <c r="K45" s="63"/>
      <c r="L45" s="64"/>
      <c r="M45" s="64"/>
      <c r="N45" s="64"/>
      <c r="O45" s="64"/>
      <c r="P45" s="64"/>
      <c r="Q45" s="64"/>
      <c r="R45" s="65"/>
      <c r="S45" s="65"/>
      <c r="T45" s="65"/>
      <c r="U45" s="65"/>
      <c r="V45" s="65"/>
      <c r="W45" s="788"/>
      <c r="X45" s="788"/>
      <c r="Y45" s="788"/>
      <c r="Z45" s="789"/>
      <c r="AA45" s="303"/>
      <c r="AB45" s="303"/>
      <c r="AD45" s="286"/>
      <c r="AE45" s="286"/>
      <c r="AF45" s="286"/>
      <c r="AG45" s="286"/>
      <c r="AH45" s="286"/>
      <c r="AI45" s="286"/>
      <c r="AJ45" s="286"/>
      <c r="AK45" s="286"/>
      <c r="AL45" s="286"/>
      <c r="AM45" s="286"/>
      <c r="AN45" s="428"/>
      <c r="AO45" s="440" t="str">
        <f t="shared" si="0"/>
        <v/>
      </c>
    </row>
    <row r="46" spans="1:41" ht="17.850000000000001" customHeight="1" x14ac:dyDescent="0.2">
      <c r="A46" s="100"/>
      <c r="B46" s="296"/>
      <c r="C46" s="214"/>
      <c r="D46" s="738"/>
      <c r="E46" s="739"/>
      <c r="F46" s="739"/>
      <c r="G46" s="739"/>
      <c r="H46" s="739"/>
      <c r="I46" s="740"/>
      <c r="J46" s="101"/>
      <c r="K46" s="101"/>
      <c r="L46" s="102"/>
      <c r="M46" s="102"/>
      <c r="N46" s="102"/>
      <c r="O46" s="102"/>
      <c r="P46" s="102"/>
      <c r="Q46" s="102"/>
      <c r="R46" s="103"/>
      <c r="S46" s="103"/>
      <c r="T46" s="103"/>
      <c r="U46" s="103"/>
      <c r="V46" s="103"/>
      <c r="W46" s="486" t="str">
        <f>IF(I47="No", "Comments","") &amp; IF(I47="N/A", "Comments","")</f>
        <v/>
      </c>
      <c r="X46" s="486"/>
      <c r="Y46" s="486"/>
      <c r="Z46" s="514"/>
      <c r="AA46" s="173"/>
      <c r="AB46" s="173"/>
      <c r="AD46" s="286"/>
      <c r="AE46" s="286"/>
      <c r="AF46" s="286"/>
      <c r="AG46" s="286"/>
      <c r="AH46" s="286"/>
      <c r="AI46" s="286"/>
      <c r="AJ46" s="286"/>
      <c r="AK46" s="286"/>
      <c r="AL46" s="286"/>
      <c r="AM46" s="286"/>
      <c r="AN46" s="428"/>
      <c r="AO46" s="440"/>
    </row>
    <row r="47" spans="1:41" ht="37.15" customHeight="1" x14ac:dyDescent="0.2">
      <c r="A47" s="73" t="s">
        <v>1340</v>
      </c>
      <c r="B47" s="153" t="s">
        <v>1341</v>
      </c>
      <c r="C47" s="213"/>
      <c r="D47" s="445" t="s">
        <v>1342</v>
      </c>
      <c r="E47" s="67" t="s">
        <v>1343</v>
      </c>
      <c r="F47" s="61" t="s">
        <v>1344</v>
      </c>
      <c r="G47" s="68" t="s">
        <v>1223</v>
      </c>
      <c r="H47" s="442" t="s">
        <v>616</v>
      </c>
      <c r="I47" s="115"/>
      <c r="J47" s="117" t="s">
        <v>1345</v>
      </c>
      <c r="K47" s="71" t="s">
        <v>1346</v>
      </c>
      <c r="L47" s="71" t="s">
        <v>1347</v>
      </c>
      <c r="M47" s="71" t="s">
        <v>1348</v>
      </c>
      <c r="N47" s="71" t="s">
        <v>1349</v>
      </c>
      <c r="O47" s="71" t="s">
        <v>1350</v>
      </c>
      <c r="P47" s="71" t="s">
        <v>1351</v>
      </c>
      <c r="Q47" s="71" t="s">
        <v>1352</v>
      </c>
      <c r="R47" s="72" t="s">
        <v>1232</v>
      </c>
      <c r="S47" s="72" t="s">
        <v>1232</v>
      </c>
      <c r="T47" s="72" t="s">
        <v>1232</v>
      </c>
      <c r="U47" s="72" t="s">
        <v>1232</v>
      </c>
      <c r="V47" s="72" t="s">
        <v>1232</v>
      </c>
      <c r="W47" s="659"/>
      <c r="X47" s="487"/>
      <c r="Y47" s="487"/>
      <c r="Z47" s="654"/>
      <c r="AA47" s="297"/>
      <c r="AB47" s="297"/>
      <c r="AD47" s="286"/>
      <c r="AE47" s="286"/>
      <c r="AF47" s="286"/>
      <c r="AG47" s="286"/>
      <c r="AH47" s="286"/>
      <c r="AI47" s="286"/>
      <c r="AJ47" s="286"/>
      <c r="AK47" s="286"/>
      <c r="AL47" s="286"/>
      <c r="AM47" s="286"/>
      <c r="AN47" s="428"/>
      <c r="AO47" s="440" t="str">
        <f t="shared" si="0"/>
        <v/>
      </c>
    </row>
    <row r="48" spans="1:41" ht="15.6" customHeight="1" x14ac:dyDescent="0.2">
      <c r="A48" s="73"/>
      <c r="B48" s="153"/>
      <c r="C48" s="213"/>
      <c r="D48" s="738"/>
      <c r="E48" s="739"/>
      <c r="F48" s="739"/>
      <c r="G48" s="739"/>
      <c r="H48" s="739"/>
      <c r="I48" s="740"/>
      <c r="J48" s="118"/>
      <c r="K48" s="114"/>
      <c r="L48" s="114"/>
      <c r="M48" s="114"/>
      <c r="N48" s="114"/>
      <c r="O48" s="114"/>
      <c r="P48" s="114"/>
      <c r="Q48" s="114"/>
      <c r="R48" s="107"/>
      <c r="S48" s="107"/>
      <c r="T48" s="107"/>
      <c r="U48" s="107"/>
      <c r="V48" s="107"/>
      <c r="W48" s="486" t="str">
        <f>IF(I49="Yes", "Comments","")</f>
        <v/>
      </c>
      <c r="X48" s="486"/>
      <c r="Y48" s="486"/>
      <c r="Z48" s="514"/>
      <c r="AA48" s="173"/>
      <c r="AB48" s="173"/>
      <c r="AD48" s="286"/>
      <c r="AE48" s="286"/>
      <c r="AF48" s="286"/>
      <c r="AG48" s="286"/>
      <c r="AH48" s="286"/>
      <c r="AI48" s="286"/>
      <c r="AJ48" s="286"/>
      <c r="AK48" s="286"/>
      <c r="AL48" s="286"/>
      <c r="AM48" s="286"/>
      <c r="AN48" s="428"/>
      <c r="AO48" s="440"/>
    </row>
    <row r="49" spans="1:41" ht="53.1" customHeight="1" x14ac:dyDescent="0.2">
      <c r="A49" s="73" t="s">
        <v>1340</v>
      </c>
      <c r="B49" s="153" t="s">
        <v>1341</v>
      </c>
      <c r="C49" s="213"/>
      <c r="D49" s="747" t="s">
        <v>1287</v>
      </c>
      <c r="E49" s="61" t="s">
        <v>1353</v>
      </c>
      <c r="F49" s="61" t="s">
        <v>1354</v>
      </c>
      <c r="G49" s="68" t="s">
        <v>1223</v>
      </c>
      <c r="H49" s="442" t="s">
        <v>619</v>
      </c>
      <c r="I49" s="115"/>
      <c r="J49" s="770" t="s">
        <v>1355</v>
      </c>
      <c r="K49" s="728" t="s">
        <v>1356</v>
      </c>
      <c r="L49" s="728" t="s">
        <v>1357</v>
      </c>
      <c r="M49" s="728"/>
      <c r="N49" s="728"/>
      <c r="O49" s="728" t="s">
        <v>1350</v>
      </c>
      <c r="P49" s="728" t="s">
        <v>1358</v>
      </c>
      <c r="Q49" s="728" t="s">
        <v>1359</v>
      </c>
      <c r="R49" s="730" t="s">
        <v>1232</v>
      </c>
      <c r="S49" s="730" t="s">
        <v>1232</v>
      </c>
      <c r="T49" s="730" t="s">
        <v>1232</v>
      </c>
      <c r="U49" s="730" t="s">
        <v>1232</v>
      </c>
      <c r="V49" s="730" t="s">
        <v>1232</v>
      </c>
      <c r="W49" s="659"/>
      <c r="X49" s="487"/>
      <c r="Y49" s="487"/>
      <c r="Z49" s="654"/>
      <c r="AA49" s="297"/>
      <c r="AB49" s="297"/>
      <c r="AD49" s="286"/>
      <c r="AE49" s="286"/>
      <c r="AF49" s="286"/>
      <c r="AG49" s="286"/>
      <c r="AH49" s="286"/>
      <c r="AI49" s="286"/>
      <c r="AJ49" s="286"/>
      <c r="AK49" s="286"/>
      <c r="AL49" s="286"/>
      <c r="AM49" s="286"/>
      <c r="AN49" s="428"/>
      <c r="AO49" s="440" t="str">
        <f>IF(I49="Yes","1","")</f>
        <v/>
      </c>
    </row>
    <row r="50" spans="1:41" ht="14.25" customHeight="1" x14ac:dyDescent="0.2">
      <c r="A50" s="73"/>
      <c r="B50" s="153"/>
      <c r="C50" s="213"/>
      <c r="D50" s="747"/>
      <c r="E50" s="61"/>
      <c r="F50" s="61"/>
      <c r="G50" s="68"/>
      <c r="H50" s="741"/>
      <c r="I50" s="740"/>
      <c r="J50" s="771"/>
      <c r="K50" s="729"/>
      <c r="L50" s="729"/>
      <c r="M50" s="729"/>
      <c r="N50" s="729"/>
      <c r="O50" s="729"/>
      <c r="P50" s="729"/>
      <c r="Q50" s="729"/>
      <c r="R50" s="731"/>
      <c r="S50" s="731"/>
      <c r="T50" s="731"/>
      <c r="U50" s="731"/>
      <c r="V50" s="731"/>
      <c r="W50" s="486" t="str">
        <f>IF(I51="No", "Comments","") &amp; IF(I51="N/A", "Comments","")</f>
        <v/>
      </c>
      <c r="X50" s="486"/>
      <c r="Y50" s="486"/>
      <c r="Z50" s="514"/>
      <c r="AA50" s="173"/>
      <c r="AB50" s="173"/>
      <c r="AD50" s="286"/>
      <c r="AE50" s="286"/>
      <c r="AF50" s="286"/>
      <c r="AG50" s="286"/>
      <c r="AH50" s="286"/>
      <c r="AI50" s="286"/>
      <c r="AJ50" s="286"/>
      <c r="AK50" s="286"/>
      <c r="AL50" s="286"/>
      <c r="AM50" s="286"/>
      <c r="AN50" s="428"/>
      <c r="AO50" s="440"/>
    </row>
    <row r="51" spans="1:41" ht="30" customHeight="1" x14ac:dyDescent="0.2">
      <c r="A51" s="73"/>
      <c r="B51" s="153"/>
      <c r="C51" s="213"/>
      <c r="D51" s="747"/>
      <c r="E51" s="61"/>
      <c r="F51" s="61" t="s">
        <v>1360</v>
      </c>
      <c r="G51" s="68" t="s">
        <v>1223</v>
      </c>
      <c r="H51" s="446" t="s">
        <v>1361</v>
      </c>
      <c r="I51" s="115"/>
      <c r="J51" s="771"/>
      <c r="K51" s="729"/>
      <c r="L51" s="729"/>
      <c r="M51" s="729"/>
      <c r="N51" s="729"/>
      <c r="O51" s="729"/>
      <c r="P51" s="729"/>
      <c r="Q51" s="729"/>
      <c r="R51" s="731"/>
      <c r="S51" s="731"/>
      <c r="T51" s="731"/>
      <c r="U51" s="731"/>
      <c r="V51" s="731"/>
      <c r="W51" s="659"/>
      <c r="X51" s="487"/>
      <c r="Y51" s="487"/>
      <c r="Z51" s="654"/>
      <c r="AA51" s="297"/>
      <c r="AB51" s="297"/>
      <c r="AD51" s="286"/>
      <c r="AE51" s="286"/>
      <c r="AF51" s="286"/>
      <c r="AG51" s="286"/>
      <c r="AH51" s="286"/>
      <c r="AI51" s="286"/>
      <c r="AJ51" s="286"/>
      <c r="AK51" s="286"/>
      <c r="AL51" s="286"/>
      <c r="AM51" s="286"/>
      <c r="AN51" s="428"/>
      <c r="AO51" s="440" t="str">
        <f t="shared" si="0"/>
        <v/>
      </c>
    </row>
    <row r="52" spans="1:41" ht="14.1" customHeight="1" x14ac:dyDescent="0.2">
      <c r="A52" s="73"/>
      <c r="B52" s="153"/>
      <c r="C52" s="213"/>
      <c r="D52" s="738"/>
      <c r="E52" s="739"/>
      <c r="F52" s="739"/>
      <c r="G52" s="739"/>
      <c r="H52" s="739"/>
      <c r="I52" s="740"/>
      <c r="J52" s="116"/>
      <c r="K52" s="98"/>
      <c r="L52" s="98"/>
      <c r="M52" s="98"/>
      <c r="N52" s="98"/>
      <c r="O52" s="98"/>
      <c r="P52" s="98"/>
      <c r="Q52" s="98"/>
      <c r="R52" s="99"/>
      <c r="S52" s="99"/>
      <c r="T52" s="99"/>
      <c r="U52" s="99"/>
      <c r="V52" s="99"/>
      <c r="W52" s="486" t="str">
        <f>IF(I53="No", "Comments","") &amp; IF(I53="N/A", "Comments","")</f>
        <v/>
      </c>
      <c r="X52" s="486"/>
      <c r="Y52" s="486"/>
      <c r="Z52" s="514"/>
      <c r="AA52" s="173"/>
      <c r="AB52" s="173"/>
      <c r="AD52" s="286"/>
      <c r="AE52" s="286"/>
      <c r="AF52" s="286"/>
      <c r="AG52" s="286"/>
      <c r="AH52" s="286"/>
      <c r="AI52" s="286"/>
      <c r="AJ52" s="286"/>
      <c r="AK52" s="286"/>
      <c r="AL52" s="286"/>
      <c r="AM52" s="286"/>
      <c r="AN52" s="428"/>
      <c r="AO52" s="440"/>
    </row>
    <row r="53" spans="1:41" ht="37.15" customHeight="1" x14ac:dyDescent="0.2">
      <c r="A53" s="73" t="s">
        <v>1340</v>
      </c>
      <c r="B53" s="153" t="s">
        <v>1341</v>
      </c>
      <c r="C53" s="213"/>
      <c r="D53" s="445" t="s">
        <v>1362</v>
      </c>
      <c r="E53" s="67" t="s">
        <v>1363</v>
      </c>
      <c r="F53" s="61" t="s">
        <v>1364</v>
      </c>
      <c r="G53" s="68" t="s">
        <v>1223</v>
      </c>
      <c r="H53" s="442" t="s">
        <v>625</v>
      </c>
      <c r="I53" s="115"/>
      <c r="J53" s="117" t="s">
        <v>1365</v>
      </c>
      <c r="K53" s="71" t="s">
        <v>1366</v>
      </c>
      <c r="L53" s="71" t="s">
        <v>1367</v>
      </c>
      <c r="M53" s="71"/>
      <c r="N53" s="71"/>
      <c r="O53" s="71" t="s">
        <v>1368</v>
      </c>
      <c r="P53" s="71" t="s">
        <v>1369</v>
      </c>
      <c r="Q53" s="71" t="s">
        <v>1370</v>
      </c>
      <c r="R53" s="72" t="s">
        <v>1232</v>
      </c>
      <c r="S53" s="72" t="s">
        <v>1232</v>
      </c>
      <c r="T53" s="72" t="s">
        <v>1232</v>
      </c>
      <c r="U53" s="72" t="s">
        <v>1232</v>
      </c>
      <c r="V53" s="72" t="s">
        <v>1232</v>
      </c>
      <c r="W53" s="659"/>
      <c r="X53" s="487"/>
      <c r="Y53" s="487"/>
      <c r="Z53" s="654"/>
      <c r="AA53" s="297"/>
      <c r="AB53" s="297"/>
      <c r="AD53" s="286"/>
      <c r="AE53" s="286"/>
      <c r="AF53" s="286"/>
      <c r="AG53" s="286"/>
      <c r="AH53" s="286"/>
      <c r="AI53" s="286"/>
      <c r="AJ53" s="286"/>
      <c r="AK53" s="286"/>
      <c r="AL53" s="286"/>
      <c r="AM53" s="286"/>
      <c r="AN53" s="428"/>
      <c r="AO53" s="440" t="str">
        <f t="shared" si="0"/>
        <v/>
      </c>
    </row>
    <row r="54" spans="1:41" ht="12.75" customHeight="1" x14ac:dyDescent="0.2">
      <c r="A54" s="73"/>
      <c r="B54" s="153"/>
      <c r="C54" s="213"/>
      <c r="D54" s="738"/>
      <c r="E54" s="739"/>
      <c r="F54" s="739"/>
      <c r="G54" s="739"/>
      <c r="H54" s="739"/>
      <c r="I54" s="740"/>
      <c r="J54" s="118"/>
      <c r="K54" s="114"/>
      <c r="L54" s="114"/>
      <c r="M54" s="114"/>
      <c r="N54" s="114"/>
      <c r="O54" s="114"/>
      <c r="P54" s="114"/>
      <c r="Q54" s="114"/>
      <c r="R54" s="107"/>
      <c r="S54" s="107"/>
      <c r="T54" s="107"/>
      <c r="U54" s="107"/>
      <c r="V54" s="107"/>
      <c r="W54" s="486" t="str">
        <f>IF(I55="No", "Comments","") &amp; IF(I55="N/A", "Comments","")</f>
        <v/>
      </c>
      <c r="X54" s="486"/>
      <c r="Y54" s="486"/>
      <c r="Z54" s="514"/>
      <c r="AA54" s="173"/>
      <c r="AB54" s="173"/>
      <c r="AD54" s="286"/>
      <c r="AE54" s="286"/>
      <c r="AF54" s="286"/>
      <c r="AG54" s="286"/>
      <c r="AH54" s="286"/>
      <c r="AI54" s="286"/>
      <c r="AJ54" s="286"/>
      <c r="AK54" s="286"/>
      <c r="AL54" s="286"/>
      <c r="AM54" s="286"/>
      <c r="AN54" s="428"/>
      <c r="AO54" s="440"/>
    </row>
    <row r="55" spans="1:41" ht="37.15" customHeight="1" x14ac:dyDescent="0.2">
      <c r="A55" s="73" t="s">
        <v>1340</v>
      </c>
      <c r="B55" s="153" t="s">
        <v>1341</v>
      </c>
      <c r="C55" s="213"/>
      <c r="D55" s="445" t="s">
        <v>1371</v>
      </c>
      <c r="E55" s="61" t="s">
        <v>1372</v>
      </c>
      <c r="F55" s="61" t="s">
        <v>1373</v>
      </c>
      <c r="G55" s="68" t="s">
        <v>1223</v>
      </c>
      <c r="H55" s="442" t="s">
        <v>628</v>
      </c>
      <c r="I55" s="115"/>
      <c r="J55" s="119" t="s">
        <v>1374</v>
      </c>
      <c r="K55" s="106" t="s">
        <v>1375</v>
      </c>
      <c r="L55" s="106" t="s">
        <v>1376</v>
      </c>
      <c r="M55" s="106" t="s">
        <v>1377</v>
      </c>
      <c r="N55" s="106" t="s">
        <v>1378</v>
      </c>
      <c r="O55" s="106"/>
      <c r="P55" s="106" t="s">
        <v>1379</v>
      </c>
      <c r="Q55" s="106" t="s">
        <v>1380</v>
      </c>
      <c r="R55" s="107" t="s">
        <v>1232</v>
      </c>
      <c r="S55" s="107" t="s">
        <v>1232</v>
      </c>
      <c r="T55" s="107" t="s">
        <v>1232</v>
      </c>
      <c r="U55" s="107" t="s">
        <v>1232</v>
      </c>
      <c r="V55" s="107" t="s">
        <v>1232</v>
      </c>
      <c r="W55" s="659"/>
      <c r="X55" s="487"/>
      <c r="Y55" s="487"/>
      <c r="Z55" s="654"/>
      <c r="AA55" s="297"/>
      <c r="AB55" s="297"/>
      <c r="AD55" s="286"/>
      <c r="AE55" s="286"/>
      <c r="AF55" s="286"/>
      <c r="AG55" s="286"/>
      <c r="AH55" s="286"/>
      <c r="AI55" s="286"/>
      <c r="AJ55" s="286"/>
      <c r="AK55" s="286"/>
      <c r="AL55" s="286"/>
      <c r="AM55" s="286"/>
      <c r="AN55" s="428"/>
      <c r="AO55" s="440" t="str">
        <f t="shared" si="0"/>
        <v/>
      </c>
    </row>
    <row r="56" spans="1:41" ht="20.25" customHeight="1" x14ac:dyDescent="0.2">
      <c r="A56" s="73"/>
      <c r="B56" s="153"/>
      <c r="C56" s="213"/>
      <c r="D56" s="738"/>
      <c r="E56" s="739"/>
      <c r="F56" s="739"/>
      <c r="G56" s="739"/>
      <c r="H56" s="739"/>
      <c r="I56" s="740"/>
      <c r="J56" s="119"/>
      <c r="K56" s="106"/>
      <c r="L56" s="106"/>
      <c r="M56" s="106"/>
      <c r="N56" s="106"/>
      <c r="O56" s="106"/>
      <c r="P56" s="106"/>
      <c r="Q56" s="106"/>
      <c r="R56" s="107"/>
      <c r="S56" s="107"/>
      <c r="T56" s="107"/>
      <c r="U56" s="107"/>
      <c r="V56" s="107"/>
      <c r="W56" s="486" t="str">
        <f>IF(I57="No", "Comments","") &amp; IF(I57="N/A", "Comments","") &amp; IF(I57="Yes", "Please Specify Timing","")</f>
        <v/>
      </c>
      <c r="X56" s="486"/>
      <c r="Y56" s="486"/>
      <c r="Z56" s="514"/>
      <c r="AA56" s="173"/>
      <c r="AB56" s="173"/>
      <c r="AD56" s="286"/>
      <c r="AE56" s="286"/>
      <c r="AF56" s="286"/>
      <c r="AG56" s="286"/>
      <c r="AH56" s="286"/>
      <c r="AI56" s="286"/>
      <c r="AJ56" s="286"/>
      <c r="AK56" s="286"/>
      <c r="AL56" s="286"/>
      <c r="AM56" s="286"/>
      <c r="AN56" s="428"/>
      <c r="AO56" s="440"/>
    </row>
    <row r="57" spans="1:41" ht="37.15" customHeight="1" x14ac:dyDescent="0.2">
      <c r="A57" s="73" t="s">
        <v>1340</v>
      </c>
      <c r="B57" s="153" t="s">
        <v>1341</v>
      </c>
      <c r="C57" s="213"/>
      <c r="D57" s="445" t="s">
        <v>630</v>
      </c>
      <c r="E57" s="61" t="s">
        <v>1381</v>
      </c>
      <c r="F57" s="61" t="s">
        <v>1382</v>
      </c>
      <c r="G57" s="68" t="s">
        <v>1223</v>
      </c>
      <c r="H57" s="442" t="s">
        <v>631</v>
      </c>
      <c r="I57" s="115"/>
      <c r="J57" s="119" t="s">
        <v>1383</v>
      </c>
      <c r="K57" s="106" t="s">
        <v>1384</v>
      </c>
      <c r="L57" s="106" t="s">
        <v>1385</v>
      </c>
      <c r="M57" s="106" t="s">
        <v>1386</v>
      </c>
      <c r="N57" s="106" t="s">
        <v>1387</v>
      </c>
      <c r="O57" s="106" t="s">
        <v>1388</v>
      </c>
      <c r="P57" s="106" t="s">
        <v>1389</v>
      </c>
      <c r="Q57" s="106" t="s">
        <v>1390</v>
      </c>
      <c r="R57" s="107" t="s">
        <v>1232</v>
      </c>
      <c r="S57" s="107" t="s">
        <v>1232</v>
      </c>
      <c r="T57" s="107" t="s">
        <v>1232</v>
      </c>
      <c r="U57" s="107" t="s">
        <v>1232</v>
      </c>
      <c r="V57" s="107" t="s">
        <v>1232</v>
      </c>
      <c r="W57" s="659"/>
      <c r="X57" s="487"/>
      <c r="Y57" s="487"/>
      <c r="Z57" s="654"/>
      <c r="AA57" s="297"/>
      <c r="AB57" s="297"/>
      <c r="AD57" s="286"/>
      <c r="AE57" s="286"/>
      <c r="AF57" s="286"/>
      <c r="AG57" s="286"/>
      <c r="AH57" s="286"/>
      <c r="AI57" s="286"/>
      <c r="AJ57" s="286"/>
      <c r="AK57" s="286"/>
      <c r="AL57" s="286"/>
      <c r="AM57" s="286"/>
      <c r="AN57" s="428"/>
      <c r="AO57" s="440" t="str">
        <f>IF(I57="No","1","")&amp;IF(I57="N/A","2","")&amp;IF(I57="Yes","3","")</f>
        <v/>
      </c>
    </row>
    <row r="58" spans="1:41" ht="14.85" customHeight="1" x14ac:dyDescent="0.2">
      <c r="A58" s="73"/>
      <c r="B58" s="153"/>
      <c r="C58" s="213"/>
      <c r="D58" s="738"/>
      <c r="E58" s="739"/>
      <c r="F58" s="739"/>
      <c r="G58" s="739"/>
      <c r="H58" s="739"/>
      <c r="I58" s="740"/>
      <c r="J58" s="119"/>
      <c r="K58" s="106"/>
      <c r="L58" s="106"/>
      <c r="M58" s="106"/>
      <c r="N58" s="106"/>
      <c r="O58" s="106"/>
      <c r="P58" s="106"/>
      <c r="Q58" s="106"/>
      <c r="R58" s="107"/>
      <c r="S58" s="107"/>
      <c r="T58" s="107"/>
      <c r="U58" s="107"/>
      <c r="V58" s="107"/>
      <c r="W58" s="486" t="str">
        <f>IF(I59="No", "Comments","") &amp; IF(I59="N/A", "Comments","")</f>
        <v/>
      </c>
      <c r="X58" s="486"/>
      <c r="Y58" s="486"/>
      <c r="Z58" s="514"/>
      <c r="AA58" s="173"/>
      <c r="AB58" s="173"/>
      <c r="AD58" s="286"/>
      <c r="AE58" s="286"/>
      <c r="AF58" s="286"/>
      <c r="AG58" s="286"/>
      <c r="AH58" s="286"/>
      <c r="AI58" s="286"/>
      <c r="AJ58" s="286"/>
      <c r="AK58" s="286"/>
      <c r="AL58" s="286"/>
      <c r="AM58" s="286"/>
      <c r="AN58" s="428"/>
      <c r="AO58" s="440"/>
    </row>
    <row r="59" spans="1:41" ht="59.85" customHeight="1" x14ac:dyDescent="0.2">
      <c r="A59" s="73" t="s">
        <v>1340</v>
      </c>
      <c r="B59" s="153" t="s">
        <v>1341</v>
      </c>
      <c r="C59" s="213"/>
      <c r="D59" s="445" t="s">
        <v>633</v>
      </c>
      <c r="E59" s="61" t="s">
        <v>1391</v>
      </c>
      <c r="F59" s="61" t="s">
        <v>1392</v>
      </c>
      <c r="G59" s="68" t="s">
        <v>1223</v>
      </c>
      <c r="H59" s="442" t="s">
        <v>634</v>
      </c>
      <c r="I59" s="115"/>
      <c r="J59" s="119" t="s">
        <v>1393</v>
      </c>
      <c r="K59" s="106" t="s">
        <v>1394</v>
      </c>
      <c r="L59" s="106" t="s">
        <v>1395</v>
      </c>
      <c r="M59" s="106" t="s">
        <v>1396</v>
      </c>
      <c r="N59" s="106"/>
      <c r="O59" s="106" t="s">
        <v>1397</v>
      </c>
      <c r="P59" s="106" t="s">
        <v>1398</v>
      </c>
      <c r="Q59" s="106" t="s">
        <v>1399</v>
      </c>
      <c r="R59" s="107" t="s">
        <v>1232</v>
      </c>
      <c r="S59" s="107" t="s">
        <v>1232</v>
      </c>
      <c r="T59" s="107" t="s">
        <v>1232</v>
      </c>
      <c r="U59" s="107" t="s">
        <v>1232</v>
      </c>
      <c r="V59" s="107" t="s">
        <v>1232</v>
      </c>
      <c r="W59" s="659"/>
      <c r="X59" s="487"/>
      <c r="Y59" s="487"/>
      <c r="Z59" s="654"/>
      <c r="AA59" s="297"/>
      <c r="AB59" s="297"/>
      <c r="AD59" s="286"/>
      <c r="AE59" s="286"/>
      <c r="AF59" s="286"/>
      <c r="AG59" s="286"/>
      <c r="AH59" s="286"/>
      <c r="AI59" s="286"/>
      <c r="AJ59" s="286"/>
      <c r="AK59" s="286"/>
      <c r="AL59" s="286"/>
      <c r="AM59" s="286"/>
      <c r="AN59" s="428"/>
      <c r="AO59" s="440" t="str">
        <f t="shared" si="0"/>
        <v/>
      </c>
    </row>
    <row r="60" spans="1:41" ht="21.75" customHeight="1" x14ac:dyDescent="0.2">
      <c r="A60" s="73"/>
      <c r="B60" s="153"/>
      <c r="C60" s="213"/>
      <c r="D60" s="738"/>
      <c r="E60" s="739"/>
      <c r="F60" s="739"/>
      <c r="G60" s="739"/>
      <c r="H60" s="739"/>
      <c r="I60" s="740"/>
      <c r="J60" s="119"/>
      <c r="K60" s="106"/>
      <c r="L60" s="106"/>
      <c r="M60" s="106"/>
      <c r="N60" s="106"/>
      <c r="O60" s="106"/>
      <c r="P60" s="106"/>
      <c r="Q60" s="106"/>
      <c r="R60" s="107"/>
      <c r="S60" s="107"/>
      <c r="T60" s="107"/>
      <c r="U60" s="107"/>
      <c r="V60" s="107"/>
      <c r="W60" s="486" t="str">
        <f>IF(I61="No", "Comments","") &amp; IF(I61="N/A", "Comments","")</f>
        <v/>
      </c>
      <c r="X60" s="486"/>
      <c r="Y60" s="486"/>
      <c r="Z60" s="514"/>
      <c r="AA60" s="173"/>
      <c r="AB60" s="173"/>
      <c r="AD60" s="286"/>
      <c r="AE60" s="286"/>
      <c r="AF60" s="286"/>
      <c r="AG60" s="286"/>
      <c r="AH60" s="286"/>
      <c r="AI60" s="286"/>
      <c r="AJ60" s="286"/>
      <c r="AK60" s="286"/>
      <c r="AL60" s="286"/>
      <c r="AM60" s="286"/>
      <c r="AN60" s="428"/>
      <c r="AO60" s="440"/>
    </row>
    <row r="61" spans="1:41" ht="41.25" customHeight="1" x14ac:dyDescent="0.2">
      <c r="A61" s="73" t="s">
        <v>1340</v>
      </c>
      <c r="B61" s="153" t="s">
        <v>1341</v>
      </c>
      <c r="C61" s="213"/>
      <c r="D61" s="532" t="s">
        <v>1400</v>
      </c>
      <c r="E61" s="61" t="s">
        <v>1401</v>
      </c>
      <c r="F61" s="61" t="s">
        <v>1402</v>
      </c>
      <c r="G61" s="68" t="s">
        <v>1223</v>
      </c>
      <c r="H61" s="442" t="s">
        <v>637</v>
      </c>
      <c r="I61" s="115"/>
      <c r="J61" s="770" t="s">
        <v>1403</v>
      </c>
      <c r="K61" s="728" t="s">
        <v>1404</v>
      </c>
      <c r="L61" s="728" t="s">
        <v>1405</v>
      </c>
      <c r="M61" s="728" t="s">
        <v>1406</v>
      </c>
      <c r="N61" s="728"/>
      <c r="O61" s="728"/>
      <c r="P61" s="728" t="s">
        <v>1407</v>
      </c>
      <c r="Q61" s="728" t="s">
        <v>1408</v>
      </c>
      <c r="R61" s="730" t="s">
        <v>1232</v>
      </c>
      <c r="S61" s="730" t="s">
        <v>1232</v>
      </c>
      <c r="T61" s="730" t="s">
        <v>1232</v>
      </c>
      <c r="U61" s="730" t="s">
        <v>1232</v>
      </c>
      <c r="V61" s="730" t="s">
        <v>1232</v>
      </c>
      <c r="W61" s="659"/>
      <c r="X61" s="487"/>
      <c r="Y61" s="487"/>
      <c r="Z61" s="654"/>
      <c r="AA61" s="297"/>
      <c r="AB61" s="297"/>
      <c r="AD61" s="286"/>
      <c r="AE61" s="286"/>
      <c r="AF61" s="286"/>
      <c r="AG61" s="286"/>
      <c r="AH61" s="286"/>
      <c r="AI61" s="286"/>
      <c r="AJ61" s="286"/>
      <c r="AK61" s="286"/>
      <c r="AL61" s="286"/>
      <c r="AM61" s="286"/>
      <c r="AN61" s="428"/>
      <c r="AO61" s="440" t="str">
        <f t="shared" si="0"/>
        <v/>
      </c>
    </row>
    <row r="62" spans="1:41" ht="20.25" customHeight="1" x14ac:dyDescent="0.2">
      <c r="A62" s="73"/>
      <c r="B62" s="153"/>
      <c r="C62" s="213"/>
      <c r="D62" s="532"/>
      <c r="E62" s="61"/>
      <c r="F62" s="61"/>
      <c r="G62" s="68"/>
      <c r="H62" s="741"/>
      <c r="I62" s="740"/>
      <c r="J62" s="771"/>
      <c r="K62" s="729"/>
      <c r="L62" s="729"/>
      <c r="M62" s="729"/>
      <c r="N62" s="729"/>
      <c r="O62" s="729"/>
      <c r="P62" s="729"/>
      <c r="Q62" s="729"/>
      <c r="R62" s="731"/>
      <c r="S62" s="731"/>
      <c r="T62" s="731"/>
      <c r="U62" s="731"/>
      <c r="V62" s="731"/>
      <c r="W62" s="486" t="str">
        <f>IF(I63="No", "Comments","") &amp; IF(I63="N/A", "Comments","")</f>
        <v/>
      </c>
      <c r="X62" s="486"/>
      <c r="Y62" s="486"/>
      <c r="Z62" s="514"/>
      <c r="AA62" s="173"/>
      <c r="AB62" s="173"/>
      <c r="AD62" s="286"/>
      <c r="AE62" s="286"/>
      <c r="AF62" s="286"/>
      <c r="AG62" s="286"/>
      <c r="AH62" s="286"/>
      <c r="AI62" s="286"/>
      <c r="AJ62" s="286"/>
      <c r="AK62" s="286"/>
      <c r="AL62" s="286"/>
      <c r="AM62" s="286"/>
      <c r="AN62" s="428"/>
      <c r="AO62" s="440"/>
    </row>
    <row r="63" spans="1:41" ht="37.15" customHeight="1" x14ac:dyDescent="0.2">
      <c r="A63" s="73" t="s">
        <v>1340</v>
      </c>
      <c r="B63" s="153" t="s">
        <v>1341</v>
      </c>
      <c r="C63" s="213"/>
      <c r="D63" s="532"/>
      <c r="E63" s="61" t="s">
        <v>1401</v>
      </c>
      <c r="F63" s="61" t="s">
        <v>1409</v>
      </c>
      <c r="G63" s="68" t="s">
        <v>1223</v>
      </c>
      <c r="H63" s="442" t="s">
        <v>640</v>
      </c>
      <c r="I63" s="115"/>
      <c r="J63" s="771" t="s">
        <v>1403</v>
      </c>
      <c r="K63" s="729" t="s">
        <v>1404</v>
      </c>
      <c r="L63" s="729" t="s">
        <v>1405</v>
      </c>
      <c r="M63" s="729" t="s">
        <v>1406</v>
      </c>
      <c r="N63" s="729"/>
      <c r="O63" s="729"/>
      <c r="P63" s="729" t="s">
        <v>1407</v>
      </c>
      <c r="Q63" s="729" t="s">
        <v>1408</v>
      </c>
      <c r="R63" s="731" t="s">
        <v>1232</v>
      </c>
      <c r="S63" s="731" t="s">
        <v>1232</v>
      </c>
      <c r="T63" s="731" t="s">
        <v>1232</v>
      </c>
      <c r="U63" s="731" t="s">
        <v>1232</v>
      </c>
      <c r="V63" s="731" t="s">
        <v>1232</v>
      </c>
      <c r="W63" s="659"/>
      <c r="X63" s="487"/>
      <c r="Y63" s="487"/>
      <c r="Z63" s="654"/>
      <c r="AA63" s="297"/>
      <c r="AB63" s="297"/>
      <c r="AD63" s="286"/>
      <c r="AE63" s="286"/>
      <c r="AF63" s="286"/>
      <c r="AG63" s="286"/>
      <c r="AH63" s="286"/>
      <c r="AI63" s="286"/>
      <c r="AJ63" s="286"/>
      <c r="AK63" s="286"/>
      <c r="AL63" s="286"/>
      <c r="AM63" s="286"/>
      <c r="AN63" s="428"/>
      <c r="AO63" s="440" t="str">
        <f t="shared" si="0"/>
        <v/>
      </c>
    </row>
    <row r="64" spans="1:41" ht="17.850000000000001" customHeight="1" x14ac:dyDescent="0.2">
      <c r="A64" s="73"/>
      <c r="B64" s="153"/>
      <c r="C64" s="213"/>
      <c r="D64" s="532"/>
      <c r="E64" s="61"/>
      <c r="F64" s="61"/>
      <c r="G64" s="68"/>
      <c r="H64" s="741"/>
      <c r="I64" s="740"/>
      <c r="J64" s="771"/>
      <c r="K64" s="729"/>
      <c r="L64" s="729"/>
      <c r="M64" s="729"/>
      <c r="N64" s="729"/>
      <c r="O64" s="729"/>
      <c r="P64" s="729"/>
      <c r="Q64" s="729"/>
      <c r="R64" s="731"/>
      <c r="S64" s="731"/>
      <c r="T64" s="731"/>
      <c r="U64" s="731"/>
      <c r="V64" s="731"/>
      <c r="W64" s="486" t="str">
        <f>IF(I65="No", "Comments","") &amp; IF(I65="N/A", "Comments","")</f>
        <v/>
      </c>
      <c r="X64" s="486"/>
      <c r="Y64" s="486"/>
      <c r="Z64" s="514"/>
      <c r="AA64" s="173"/>
      <c r="AB64" s="173"/>
      <c r="AD64" s="286"/>
      <c r="AE64" s="286"/>
      <c r="AF64" s="286"/>
      <c r="AG64" s="286"/>
      <c r="AH64" s="286"/>
      <c r="AI64" s="286"/>
      <c r="AJ64" s="286"/>
      <c r="AK64" s="286"/>
      <c r="AL64" s="286"/>
      <c r="AM64" s="286"/>
      <c r="AN64" s="428"/>
      <c r="AO64" s="440"/>
    </row>
    <row r="65" spans="1:41" ht="25.15" customHeight="1" x14ac:dyDescent="0.2">
      <c r="A65" s="73" t="s">
        <v>1340</v>
      </c>
      <c r="B65" s="153" t="s">
        <v>1341</v>
      </c>
      <c r="C65" s="213"/>
      <c r="D65" s="532"/>
      <c r="E65" s="61" t="s">
        <v>1401</v>
      </c>
      <c r="F65" s="61" t="s">
        <v>1410</v>
      </c>
      <c r="G65" s="68" t="s">
        <v>1223</v>
      </c>
      <c r="H65" s="442" t="s">
        <v>643</v>
      </c>
      <c r="I65" s="115"/>
      <c r="J65" s="772" t="s">
        <v>1403</v>
      </c>
      <c r="K65" s="746" t="s">
        <v>1404</v>
      </c>
      <c r="L65" s="746" t="s">
        <v>1405</v>
      </c>
      <c r="M65" s="746" t="s">
        <v>1406</v>
      </c>
      <c r="N65" s="746"/>
      <c r="O65" s="746"/>
      <c r="P65" s="746" t="s">
        <v>1407</v>
      </c>
      <c r="Q65" s="746" t="s">
        <v>1408</v>
      </c>
      <c r="R65" s="732" t="s">
        <v>1232</v>
      </c>
      <c r="S65" s="732" t="s">
        <v>1232</v>
      </c>
      <c r="T65" s="732" t="s">
        <v>1232</v>
      </c>
      <c r="U65" s="732" t="s">
        <v>1232</v>
      </c>
      <c r="V65" s="732" t="s">
        <v>1232</v>
      </c>
      <c r="W65" s="659"/>
      <c r="X65" s="487"/>
      <c r="Y65" s="487"/>
      <c r="Z65" s="654"/>
      <c r="AA65" s="297"/>
      <c r="AB65" s="297"/>
      <c r="AD65" s="286"/>
      <c r="AE65" s="286"/>
      <c r="AF65" s="286"/>
      <c r="AG65" s="286"/>
      <c r="AH65" s="286"/>
      <c r="AI65" s="286"/>
      <c r="AJ65" s="286"/>
      <c r="AK65" s="286"/>
      <c r="AL65" s="286"/>
      <c r="AM65" s="286"/>
      <c r="AN65" s="428"/>
      <c r="AO65" s="440" t="str">
        <f t="shared" si="0"/>
        <v/>
      </c>
    </row>
    <row r="66" spans="1:41" ht="16.350000000000001" customHeight="1" x14ac:dyDescent="0.2">
      <c r="A66" s="73"/>
      <c r="B66" s="153"/>
      <c r="C66" s="213"/>
      <c r="D66" s="738"/>
      <c r="E66" s="739"/>
      <c r="F66" s="739"/>
      <c r="G66" s="739"/>
      <c r="H66" s="739"/>
      <c r="I66" s="740"/>
      <c r="J66" s="116"/>
      <c r="K66" s="98"/>
      <c r="L66" s="98"/>
      <c r="M66" s="98"/>
      <c r="N66" s="98"/>
      <c r="O66" s="98"/>
      <c r="P66" s="98"/>
      <c r="Q66" s="98"/>
      <c r="R66" s="99"/>
      <c r="S66" s="99"/>
      <c r="T66" s="99"/>
      <c r="U66" s="99"/>
      <c r="V66" s="99"/>
      <c r="W66" s="486" t="str">
        <f>IF(I67="No", "Comments","") &amp; IF(I67="N/A", "Comments","")</f>
        <v/>
      </c>
      <c r="X66" s="486"/>
      <c r="Y66" s="486"/>
      <c r="Z66" s="514"/>
      <c r="AA66" s="173"/>
      <c r="AB66" s="173"/>
      <c r="AD66" s="286"/>
      <c r="AE66" s="286"/>
      <c r="AF66" s="286"/>
      <c r="AG66" s="286"/>
      <c r="AH66" s="286"/>
      <c r="AI66" s="286"/>
      <c r="AJ66" s="286"/>
      <c r="AK66" s="286"/>
      <c r="AL66" s="286"/>
      <c r="AM66" s="286"/>
      <c r="AN66" s="428"/>
      <c r="AO66" s="440"/>
    </row>
    <row r="67" spans="1:41" s="74" customFormat="1" ht="37.15" customHeight="1" x14ac:dyDescent="0.2">
      <c r="A67" s="73" t="s">
        <v>1340</v>
      </c>
      <c r="B67" s="153" t="s">
        <v>1341</v>
      </c>
      <c r="C67" s="213"/>
      <c r="D67" s="301" t="s">
        <v>1411</v>
      </c>
      <c r="E67" s="61" t="s">
        <v>1412</v>
      </c>
      <c r="F67" s="67" t="s">
        <v>1413</v>
      </c>
      <c r="G67" s="68" t="s">
        <v>1223</v>
      </c>
      <c r="H67" s="442" t="s">
        <v>646</v>
      </c>
      <c r="I67" s="115"/>
      <c r="J67" s="120" t="s">
        <v>1414</v>
      </c>
      <c r="K67" s="121" t="s">
        <v>1415</v>
      </c>
      <c r="L67" s="106" t="s">
        <v>1416</v>
      </c>
      <c r="M67" s="106" t="s">
        <v>1417</v>
      </c>
      <c r="N67" s="106" t="s">
        <v>1418</v>
      </c>
      <c r="O67" s="106" t="s">
        <v>1419</v>
      </c>
      <c r="P67" s="106" t="s">
        <v>1420</v>
      </c>
      <c r="Q67" s="106" t="s">
        <v>1421</v>
      </c>
      <c r="R67" s="107" t="s">
        <v>1232</v>
      </c>
      <c r="S67" s="107" t="s">
        <v>1232</v>
      </c>
      <c r="T67" s="107" t="s">
        <v>1232</v>
      </c>
      <c r="U67" s="107" t="s">
        <v>1232</v>
      </c>
      <c r="V67" s="107" t="s">
        <v>1232</v>
      </c>
      <c r="W67" s="659"/>
      <c r="X67" s="487"/>
      <c r="Y67" s="487"/>
      <c r="Z67" s="654"/>
      <c r="AA67" s="297"/>
      <c r="AB67" s="297"/>
      <c r="AD67" s="181"/>
      <c r="AE67" s="181"/>
      <c r="AF67" s="181"/>
      <c r="AG67" s="181"/>
      <c r="AH67" s="181"/>
      <c r="AI67" s="181"/>
      <c r="AJ67" s="181"/>
      <c r="AK67" s="181"/>
      <c r="AL67" s="181"/>
      <c r="AM67" s="181"/>
      <c r="AN67" s="182"/>
      <c r="AO67" s="440" t="str">
        <f t="shared" si="0"/>
        <v/>
      </c>
    </row>
    <row r="68" spans="1:41" s="74" customFormat="1" ht="18.600000000000001" customHeight="1" x14ac:dyDescent="0.2">
      <c r="A68" s="73"/>
      <c r="B68" s="153"/>
      <c r="C68" s="213"/>
      <c r="D68" s="738"/>
      <c r="E68" s="739"/>
      <c r="F68" s="739"/>
      <c r="G68" s="739"/>
      <c r="H68" s="739"/>
      <c r="I68" s="740"/>
      <c r="J68" s="120"/>
      <c r="K68" s="121"/>
      <c r="L68" s="106"/>
      <c r="M68" s="106"/>
      <c r="N68" s="106"/>
      <c r="O68" s="106"/>
      <c r="P68" s="106"/>
      <c r="Q68" s="106"/>
      <c r="R68" s="107"/>
      <c r="S68" s="107"/>
      <c r="T68" s="107"/>
      <c r="U68" s="107"/>
      <c r="V68" s="107"/>
      <c r="W68" s="486" t="str">
        <f>IF(I69="No", "Comments","") &amp; IF(I69="N/A", "Comments","")</f>
        <v/>
      </c>
      <c r="X68" s="486"/>
      <c r="Y68" s="486"/>
      <c r="Z68" s="514"/>
      <c r="AA68" s="173"/>
      <c r="AB68" s="173"/>
      <c r="AD68" s="181"/>
      <c r="AE68" s="181"/>
      <c r="AF68" s="181"/>
      <c r="AG68" s="181"/>
      <c r="AH68" s="181"/>
      <c r="AI68" s="181"/>
      <c r="AJ68" s="181"/>
      <c r="AK68" s="181"/>
      <c r="AL68" s="181"/>
      <c r="AM68" s="181"/>
      <c r="AN68" s="182"/>
      <c r="AO68" s="440"/>
    </row>
    <row r="69" spans="1:41" s="74" customFormat="1" ht="55.15" customHeight="1" x14ac:dyDescent="0.2">
      <c r="A69" s="73" t="s">
        <v>1340</v>
      </c>
      <c r="B69" s="153" t="s">
        <v>1341</v>
      </c>
      <c r="C69" s="213"/>
      <c r="D69" s="445" t="s">
        <v>1422</v>
      </c>
      <c r="E69" s="61" t="s">
        <v>1423</v>
      </c>
      <c r="F69" s="67" t="s">
        <v>1424</v>
      </c>
      <c r="G69" s="68" t="s">
        <v>1223</v>
      </c>
      <c r="H69" s="442" t="s">
        <v>649</v>
      </c>
      <c r="I69" s="115"/>
      <c r="J69" s="120" t="s">
        <v>1425</v>
      </c>
      <c r="K69" s="121" t="s">
        <v>1426</v>
      </c>
      <c r="L69" s="106" t="s">
        <v>1427</v>
      </c>
      <c r="M69" s="106" t="s">
        <v>1428</v>
      </c>
      <c r="N69" s="106" t="s">
        <v>1429</v>
      </c>
      <c r="O69" s="106" t="s">
        <v>1430</v>
      </c>
      <c r="P69" s="106" t="s">
        <v>1431</v>
      </c>
      <c r="Q69" s="106" t="s">
        <v>1421</v>
      </c>
      <c r="R69" s="107" t="s">
        <v>1232</v>
      </c>
      <c r="S69" s="107" t="s">
        <v>1232</v>
      </c>
      <c r="T69" s="107" t="s">
        <v>1232</v>
      </c>
      <c r="U69" s="107" t="s">
        <v>1232</v>
      </c>
      <c r="V69" s="107" t="s">
        <v>1232</v>
      </c>
      <c r="W69" s="659"/>
      <c r="X69" s="487"/>
      <c r="Y69" s="487"/>
      <c r="Z69" s="654"/>
      <c r="AA69" s="297"/>
      <c r="AB69" s="297"/>
      <c r="AD69" s="181"/>
      <c r="AE69" s="181"/>
      <c r="AF69" s="181"/>
      <c r="AG69" s="181"/>
      <c r="AH69" s="181"/>
      <c r="AI69" s="181"/>
      <c r="AJ69" s="181"/>
      <c r="AK69" s="181"/>
      <c r="AL69" s="181"/>
      <c r="AM69" s="181"/>
      <c r="AN69" s="182"/>
      <c r="AO69" s="440" t="str">
        <f t="shared" si="0"/>
        <v/>
      </c>
    </row>
    <row r="70" spans="1:41" s="74" customFormat="1" ht="19.350000000000001" customHeight="1" x14ac:dyDescent="0.2">
      <c r="A70" s="73"/>
      <c r="B70" s="153"/>
      <c r="C70" s="213"/>
      <c r="D70" s="738"/>
      <c r="E70" s="739"/>
      <c r="F70" s="739"/>
      <c r="G70" s="739"/>
      <c r="H70" s="739"/>
      <c r="I70" s="740"/>
      <c r="J70" s="120"/>
      <c r="K70" s="121"/>
      <c r="L70" s="106"/>
      <c r="M70" s="106"/>
      <c r="N70" s="106"/>
      <c r="O70" s="106"/>
      <c r="P70" s="106"/>
      <c r="Q70" s="106"/>
      <c r="R70" s="107"/>
      <c r="S70" s="107"/>
      <c r="T70" s="107"/>
      <c r="U70" s="107"/>
      <c r="V70" s="107"/>
      <c r="W70" s="486" t="str">
        <f>IF(I71="Yes", "Specify Encription Methods Used","") &amp; IF(I71="No", "Comments","")&amp; IF(I71="N/A", "Please Explain","")</f>
        <v/>
      </c>
      <c r="X70" s="486"/>
      <c r="Y70" s="486"/>
      <c r="Z70" s="514"/>
      <c r="AA70" s="173"/>
      <c r="AB70" s="173"/>
      <c r="AD70" s="181"/>
      <c r="AE70" s="181"/>
      <c r="AF70" s="181"/>
      <c r="AG70" s="181"/>
      <c r="AH70" s="181"/>
      <c r="AI70" s="181"/>
      <c r="AJ70" s="181"/>
      <c r="AK70" s="181"/>
      <c r="AL70" s="181"/>
      <c r="AM70" s="181"/>
      <c r="AN70" s="182"/>
      <c r="AO70" s="440"/>
    </row>
    <row r="71" spans="1:41" ht="37.15" customHeight="1" x14ac:dyDescent="0.2">
      <c r="A71" s="73" t="s">
        <v>1340</v>
      </c>
      <c r="B71" s="153" t="s">
        <v>1341</v>
      </c>
      <c r="C71" s="213"/>
      <c r="D71" s="747" t="s">
        <v>1185</v>
      </c>
      <c r="E71" s="61" t="s">
        <v>1432</v>
      </c>
      <c r="F71" s="61" t="s">
        <v>1433</v>
      </c>
      <c r="G71" s="68" t="s">
        <v>1223</v>
      </c>
      <c r="H71" s="442" t="s">
        <v>652</v>
      </c>
      <c r="I71" s="115"/>
      <c r="J71" s="764" t="s">
        <v>1434</v>
      </c>
      <c r="K71" s="767" t="s">
        <v>1435</v>
      </c>
      <c r="L71" s="728" t="s">
        <v>1436</v>
      </c>
      <c r="M71" s="728" t="s">
        <v>1437</v>
      </c>
      <c r="N71" s="728" t="s">
        <v>1438</v>
      </c>
      <c r="O71" s="728" t="s">
        <v>1439</v>
      </c>
      <c r="P71" s="728" t="s">
        <v>1440</v>
      </c>
      <c r="Q71" s="728" t="s">
        <v>1441</v>
      </c>
      <c r="R71" s="730" t="s">
        <v>1232</v>
      </c>
      <c r="S71" s="730" t="s">
        <v>1232</v>
      </c>
      <c r="T71" s="730" t="s">
        <v>1232</v>
      </c>
      <c r="U71" s="730" t="s">
        <v>1232</v>
      </c>
      <c r="V71" s="730" t="s">
        <v>1232</v>
      </c>
      <c r="W71" s="791"/>
      <c r="X71" s="792"/>
      <c r="Y71" s="792"/>
      <c r="Z71" s="793"/>
      <c r="AA71" s="304"/>
      <c r="AB71" s="304"/>
      <c r="AD71" s="286"/>
      <c r="AE71" s="286"/>
      <c r="AF71" s="286"/>
      <c r="AG71" s="286"/>
      <c r="AH71" s="286"/>
      <c r="AI71" s="286"/>
      <c r="AJ71" s="286"/>
      <c r="AK71" s="286"/>
      <c r="AL71" s="286"/>
      <c r="AM71" s="286"/>
      <c r="AN71" s="428"/>
      <c r="AO71" s="440" t="str">
        <f>IF(I71="No","1","")&amp;IF(I71="N/A","2","")&amp;IF(I71="Yes","3","")</f>
        <v/>
      </c>
    </row>
    <row r="72" spans="1:41" ht="17.100000000000001" customHeight="1" x14ac:dyDescent="0.2">
      <c r="A72" s="73"/>
      <c r="B72" s="153"/>
      <c r="C72" s="213"/>
      <c r="D72" s="747"/>
      <c r="E72" s="61"/>
      <c r="F72" s="61"/>
      <c r="G72" s="68"/>
      <c r="H72" s="741"/>
      <c r="I72" s="740"/>
      <c r="J72" s="765"/>
      <c r="K72" s="768"/>
      <c r="L72" s="729"/>
      <c r="M72" s="729"/>
      <c r="N72" s="729"/>
      <c r="O72" s="729"/>
      <c r="P72" s="729"/>
      <c r="Q72" s="729"/>
      <c r="R72" s="731"/>
      <c r="S72" s="731"/>
      <c r="T72" s="731"/>
      <c r="U72" s="731"/>
      <c r="V72" s="731"/>
      <c r="W72" s="486" t="str">
        <f>IF(I73="Yes", "Specify Encription Methods Used","") &amp; IF(I73="No", "Comments","")&amp; IF(I73="N/A", "Please Explain","")</f>
        <v/>
      </c>
      <c r="X72" s="486"/>
      <c r="Y72" s="486"/>
      <c r="Z72" s="514"/>
      <c r="AA72" s="173"/>
      <c r="AB72" s="173"/>
      <c r="AD72" s="286"/>
      <c r="AE72" s="286"/>
      <c r="AF72" s="286"/>
      <c r="AG72" s="286"/>
      <c r="AH72" s="286"/>
      <c r="AI72" s="286"/>
      <c r="AJ72" s="286"/>
      <c r="AK72" s="286"/>
      <c r="AL72" s="286"/>
      <c r="AM72" s="286"/>
      <c r="AN72" s="428"/>
      <c r="AO72" s="440"/>
    </row>
    <row r="73" spans="1:41" ht="37.15" customHeight="1" x14ac:dyDescent="0.2">
      <c r="A73" s="73"/>
      <c r="B73" s="153"/>
      <c r="C73" s="213"/>
      <c r="D73" s="747"/>
      <c r="E73" s="61"/>
      <c r="F73" s="61"/>
      <c r="G73" s="68"/>
      <c r="H73" s="442" t="s">
        <v>655</v>
      </c>
      <c r="I73" s="115"/>
      <c r="J73" s="765"/>
      <c r="K73" s="768"/>
      <c r="L73" s="729"/>
      <c r="M73" s="729"/>
      <c r="N73" s="729"/>
      <c r="O73" s="729"/>
      <c r="P73" s="729"/>
      <c r="Q73" s="729"/>
      <c r="R73" s="731"/>
      <c r="S73" s="731"/>
      <c r="T73" s="731"/>
      <c r="U73" s="731"/>
      <c r="V73" s="731"/>
      <c r="W73" s="791"/>
      <c r="X73" s="792"/>
      <c r="Y73" s="792"/>
      <c r="Z73" s="793"/>
      <c r="AA73" s="304"/>
      <c r="AB73" s="304"/>
      <c r="AD73" s="286"/>
      <c r="AE73" s="286"/>
      <c r="AF73" s="286"/>
      <c r="AG73" s="286"/>
      <c r="AH73" s="286"/>
      <c r="AI73" s="286"/>
      <c r="AJ73" s="286"/>
      <c r="AK73" s="286"/>
      <c r="AL73" s="286"/>
      <c r="AM73" s="286"/>
      <c r="AN73" s="428"/>
      <c r="AO73" s="440" t="str">
        <f>IF(I73="No","1","")&amp;IF(I73="N/A","2","")&amp;IF(I73="Yes","3","")</f>
        <v/>
      </c>
    </row>
    <row r="74" spans="1:41" ht="21.6" customHeight="1" x14ac:dyDescent="0.2">
      <c r="A74" s="73"/>
      <c r="B74" s="153"/>
      <c r="C74" s="213"/>
      <c r="D74" s="747"/>
      <c r="E74" s="61"/>
      <c r="F74" s="61"/>
      <c r="G74" s="68"/>
      <c r="H74" s="741"/>
      <c r="I74" s="740"/>
      <c r="J74" s="765"/>
      <c r="K74" s="768"/>
      <c r="L74" s="729"/>
      <c r="M74" s="729"/>
      <c r="N74" s="729"/>
      <c r="O74" s="729"/>
      <c r="P74" s="729"/>
      <c r="Q74" s="729"/>
      <c r="R74" s="731"/>
      <c r="S74" s="731"/>
      <c r="T74" s="731"/>
      <c r="U74" s="731"/>
      <c r="V74" s="731"/>
      <c r="W74" s="486" t="str">
        <f>IF(I75="Yes", "Specify Encription Methods Used","") &amp; IF(I75="No", "Comments","")&amp; IF(I75="N/A", "Please Explain","")</f>
        <v/>
      </c>
      <c r="X74" s="486"/>
      <c r="Y74" s="486"/>
      <c r="Z74" s="514"/>
      <c r="AA74" s="173"/>
      <c r="AB74" s="173"/>
      <c r="AD74" s="286"/>
      <c r="AE74" s="286"/>
      <c r="AF74" s="286"/>
      <c r="AG74" s="286"/>
      <c r="AH74" s="286"/>
      <c r="AI74" s="286"/>
      <c r="AJ74" s="286"/>
      <c r="AK74" s="286"/>
      <c r="AL74" s="286"/>
      <c r="AM74" s="286"/>
      <c r="AN74" s="428"/>
      <c r="AO74" s="440"/>
    </row>
    <row r="75" spans="1:41" ht="37.15" customHeight="1" x14ac:dyDescent="0.2">
      <c r="A75" s="73" t="s">
        <v>1340</v>
      </c>
      <c r="B75" s="153" t="s">
        <v>1341</v>
      </c>
      <c r="C75" s="213"/>
      <c r="D75" s="747"/>
      <c r="E75" s="61" t="s">
        <v>1432</v>
      </c>
      <c r="F75" s="61" t="s">
        <v>1442</v>
      </c>
      <c r="G75" s="68" t="s">
        <v>1223</v>
      </c>
      <c r="H75" s="442" t="s">
        <v>658</v>
      </c>
      <c r="I75" s="115"/>
      <c r="J75" s="765" t="s">
        <v>1434</v>
      </c>
      <c r="K75" s="768" t="s">
        <v>1435</v>
      </c>
      <c r="L75" s="729" t="s">
        <v>1436</v>
      </c>
      <c r="M75" s="729" t="s">
        <v>1437</v>
      </c>
      <c r="N75" s="729" t="s">
        <v>1438</v>
      </c>
      <c r="O75" s="729" t="s">
        <v>1439</v>
      </c>
      <c r="P75" s="729" t="s">
        <v>1440</v>
      </c>
      <c r="Q75" s="729" t="s">
        <v>1441</v>
      </c>
      <c r="R75" s="731" t="s">
        <v>1232</v>
      </c>
      <c r="S75" s="731" t="s">
        <v>1232</v>
      </c>
      <c r="T75" s="731" t="s">
        <v>1232</v>
      </c>
      <c r="U75" s="731" t="s">
        <v>1232</v>
      </c>
      <c r="V75" s="731" t="s">
        <v>1232</v>
      </c>
      <c r="W75" s="791"/>
      <c r="X75" s="792"/>
      <c r="Y75" s="792"/>
      <c r="Z75" s="793"/>
      <c r="AA75" s="304"/>
      <c r="AB75" s="304"/>
      <c r="AD75" s="286"/>
      <c r="AE75" s="286"/>
      <c r="AF75" s="286"/>
      <c r="AG75" s="286"/>
      <c r="AH75" s="286"/>
      <c r="AI75" s="286"/>
      <c r="AJ75" s="286"/>
      <c r="AK75" s="286"/>
      <c r="AL75" s="286"/>
      <c r="AM75" s="286"/>
      <c r="AN75" s="428"/>
      <c r="AO75" s="440" t="str">
        <f>IF(I75="No","1","")&amp;IF(I75="N/A","2","")&amp;IF(I75="Yes","3","")</f>
        <v/>
      </c>
    </row>
    <row r="76" spans="1:41" ht="18.600000000000001" customHeight="1" x14ac:dyDescent="0.2">
      <c r="A76" s="73"/>
      <c r="B76" s="153"/>
      <c r="C76" s="213"/>
      <c r="D76" s="747"/>
      <c r="E76" s="61"/>
      <c r="F76" s="61"/>
      <c r="G76" s="68"/>
      <c r="H76" s="741"/>
      <c r="I76" s="740"/>
      <c r="J76" s="765"/>
      <c r="K76" s="768"/>
      <c r="L76" s="729"/>
      <c r="M76" s="729"/>
      <c r="N76" s="729"/>
      <c r="O76" s="729"/>
      <c r="P76" s="729"/>
      <c r="Q76" s="729"/>
      <c r="R76" s="731"/>
      <c r="S76" s="731"/>
      <c r="T76" s="731"/>
      <c r="U76" s="731"/>
      <c r="V76" s="731"/>
      <c r="W76" s="486" t="str">
        <f>IF(I77="No", "Comments","") &amp; IF(I77="N/A", "Comments","")</f>
        <v/>
      </c>
      <c r="X76" s="486"/>
      <c r="Y76" s="486"/>
      <c r="Z76" s="514"/>
      <c r="AA76" s="173"/>
      <c r="AB76" s="173"/>
      <c r="AD76" s="286"/>
      <c r="AE76" s="286"/>
      <c r="AF76" s="286"/>
      <c r="AG76" s="286"/>
      <c r="AH76" s="286"/>
      <c r="AI76" s="286"/>
      <c r="AJ76" s="286"/>
      <c r="AK76" s="286"/>
      <c r="AL76" s="286"/>
      <c r="AM76" s="286"/>
      <c r="AN76" s="428"/>
      <c r="AO76" s="440"/>
    </row>
    <row r="77" spans="1:41" ht="25.15" customHeight="1" x14ac:dyDescent="0.2">
      <c r="A77" s="73" t="s">
        <v>1340</v>
      </c>
      <c r="B77" s="153" t="s">
        <v>1341</v>
      </c>
      <c r="C77" s="213"/>
      <c r="D77" s="747"/>
      <c r="E77" s="61" t="s">
        <v>1432</v>
      </c>
      <c r="F77" s="61" t="s">
        <v>1443</v>
      </c>
      <c r="G77" s="68" t="s">
        <v>1223</v>
      </c>
      <c r="H77" s="442" t="s">
        <v>661</v>
      </c>
      <c r="I77" s="115"/>
      <c r="J77" s="766" t="s">
        <v>1434</v>
      </c>
      <c r="K77" s="769" t="s">
        <v>1435</v>
      </c>
      <c r="L77" s="746" t="s">
        <v>1436</v>
      </c>
      <c r="M77" s="746" t="s">
        <v>1437</v>
      </c>
      <c r="N77" s="746" t="s">
        <v>1438</v>
      </c>
      <c r="O77" s="746" t="s">
        <v>1439</v>
      </c>
      <c r="P77" s="746" t="s">
        <v>1440</v>
      </c>
      <c r="Q77" s="746" t="s">
        <v>1441</v>
      </c>
      <c r="R77" s="732" t="s">
        <v>1232</v>
      </c>
      <c r="S77" s="732" t="s">
        <v>1232</v>
      </c>
      <c r="T77" s="732" t="s">
        <v>1232</v>
      </c>
      <c r="U77" s="732" t="s">
        <v>1232</v>
      </c>
      <c r="V77" s="732" t="s">
        <v>1232</v>
      </c>
      <c r="W77" s="659"/>
      <c r="X77" s="487"/>
      <c r="Y77" s="487"/>
      <c r="Z77" s="654"/>
      <c r="AA77" s="297"/>
      <c r="AB77" s="297"/>
      <c r="AD77" s="286"/>
      <c r="AE77" s="286"/>
      <c r="AF77" s="286"/>
      <c r="AG77" s="286"/>
      <c r="AH77" s="286"/>
      <c r="AI77" s="286"/>
      <c r="AJ77" s="286"/>
      <c r="AK77" s="286"/>
      <c r="AL77" s="286"/>
      <c r="AM77" s="286"/>
      <c r="AN77" s="428"/>
      <c r="AO77" s="440" t="str">
        <f t="shared" si="0"/>
        <v/>
      </c>
    </row>
    <row r="78" spans="1:41" ht="14.1" customHeight="1" x14ac:dyDescent="0.2">
      <c r="A78" s="73"/>
      <c r="B78" s="153"/>
      <c r="C78" s="213"/>
      <c r="D78" s="738"/>
      <c r="E78" s="739"/>
      <c r="F78" s="739"/>
      <c r="G78" s="739"/>
      <c r="H78" s="739"/>
      <c r="I78" s="740"/>
      <c r="J78" s="122"/>
      <c r="K78" s="123"/>
      <c r="L78" s="98"/>
      <c r="M78" s="98"/>
      <c r="N78" s="98"/>
      <c r="O78" s="98"/>
      <c r="P78" s="98"/>
      <c r="Q78" s="98"/>
      <c r="R78" s="99"/>
      <c r="S78" s="99"/>
      <c r="T78" s="99"/>
      <c r="U78" s="99"/>
      <c r="V78" s="99"/>
      <c r="W78" s="486" t="str">
        <f>IF(I79="No", "Comments","") &amp; IF(I79="N/A", "Comments","")</f>
        <v/>
      </c>
      <c r="X78" s="486"/>
      <c r="Y78" s="486"/>
      <c r="Z78" s="514"/>
      <c r="AA78" s="173"/>
      <c r="AB78" s="173"/>
      <c r="AD78" s="286"/>
      <c r="AE78" s="286"/>
      <c r="AF78" s="286"/>
      <c r="AG78" s="286"/>
      <c r="AH78" s="286"/>
      <c r="AI78" s="286"/>
      <c r="AJ78" s="286"/>
      <c r="AK78" s="286"/>
      <c r="AL78" s="286"/>
      <c r="AM78" s="286"/>
      <c r="AN78" s="428"/>
      <c r="AO78" s="440"/>
    </row>
    <row r="79" spans="1:41" ht="37.15" customHeight="1" x14ac:dyDescent="0.2">
      <c r="A79" s="73" t="s">
        <v>1340</v>
      </c>
      <c r="B79" s="153" t="s">
        <v>1341</v>
      </c>
      <c r="C79" s="213"/>
      <c r="D79" s="747" t="s">
        <v>1444</v>
      </c>
      <c r="E79" s="61" t="s">
        <v>1445</v>
      </c>
      <c r="F79" s="61" t="s">
        <v>1446</v>
      </c>
      <c r="G79" s="68" t="s">
        <v>1223</v>
      </c>
      <c r="H79" s="442" t="s">
        <v>664</v>
      </c>
      <c r="I79" s="115"/>
      <c r="J79" s="764" t="s">
        <v>1447</v>
      </c>
      <c r="K79" s="767" t="s">
        <v>1448</v>
      </c>
      <c r="L79" s="728" t="s">
        <v>1449</v>
      </c>
      <c r="M79" s="728" t="s">
        <v>1450</v>
      </c>
      <c r="N79" s="728"/>
      <c r="O79" s="728" t="s">
        <v>1451</v>
      </c>
      <c r="P79" s="728" t="s">
        <v>1452</v>
      </c>
      <c r="Q79" s="728" t="s">
        <v>1453</v>
      </c>
      <c r="R79" s="730" t="s">
        <v>1232</v>
      </c>
      <c r="S79" s="730" t="s">
        <v>1232</v>
      </c>
      <c r="T79" s="730" t="s">
        <v>1232</v>
      </c>
      <c r="U79" s="730" t="s">
        <v>1232</v>
      </c>
      <c r="V79" s="730" t="s">
        <v>1232</v>
      </c>
      <c r="W79" s="659"/>
      <c r="X79" s="487"/>
      <c r="Y79" s="487"/>
      <c r="Z79" s="654"/>
      <c r="AA79" s="297"/>
      <c r="AB79" s="297"/>
      <c r="AD79" s="286"/>
      <c r="AE79" s="286"/>
      <c r="AF79" s="286"/>
      <c r="AG79" s="286"/>
      <c r="AH79" s="286"/>
      <c r="AI79" s="286"/>
      <c r="AJ79" s="286"/>
      <c r="AK79" s="286"/>
      <c r="AL79" s="286"/>
      <c r="AM79" s="286"/>
      <c r="AN79" s="428"/>
      <c r="AO79" s="440" t="str">
        <f t="shared" si="0"/>
        <v/>
      </c>
    </row>
    <row r="80" spans="1:41" ht="18.600000000000001" customHeight="1" x14ac:dyDescent="0.2">
      <c r="A80" s="73"/>
      <c r="B80" s="153"/>
      <c r="C80" s="213"/>
      <c r="D80" s="747"/>
      <c r="E80" s="61"/>
      <c r="F80" s="61"/>
      <c r="G80" s="68"/>
      <c r="H80" s="741"/>
      <c r="I80" s="740"/>
      <c r="J80" s="765"/>
      <c r="K80" s="768"/>
      <c r="L80" s="729"/>
      <c r="M80" s="729"/>
      <c r="N80" s="729"/>
      <c r="O80" s="729"/>
      <c r="P80" s="729"/>
      <c r="Q80" s="729"/>
      <c r="R80" s="731"/>
      <c r="S80" s="731"/>
      <c r="T80" s="731"/>
      <c r="U80" s="731"/>
      <c r="V80" s="731"/>
      <c r="W80" s="486" t="str">
        <f>IF(I81="No", "Comments","") &amp; IF(I81="N/A", "Comments","")</f>
        <v/>
      </c>
      <c r="X80" s="486"/>
      <c r="Y80" s="486"/>
      <c r="Z80" s="514"/>
      <c r="AA80" s="173"/>
      <c r="AB80" s="173"/>
      <c r="AD80" s="286"/>
      <c r="AE80" s="286"/>
      <c r="AF80" s="286"/>
      <c r="AG80" s="286"/>
      <c r="AH80" s="286"/>
      <c r="AI80" s="286"/>
      <c r="AJ80" s="286"/>
      <c r="AK80" s="286"/>
      <c r="AL80" s="286"/>
      <c r="AM80" s="286"/>
      <c r="AN80" s="428"/>
      <c r="AO80" s="440"/>
    </row>
    <row r="81" spans="1:41" ht="37.15" customHeight="1" x14ac:dyDescent="0.2">
      <c r="A81" s="73" t="s">
        <v>1340</v>
      </c>
      <c r="B81" s="153" t="s">
        <v>1341</v>
      </c>
      <c r="C81" s="213"/>
      <c r="D81" s="747"/>
      <c r="E81" s="61" t="s">
        <v>1445</v>
      </c>
      <c r="F81" s="61" t="s">
        <v>1454</v>
      </c>
      <c r="G81" s="68" t="s">
        <v>1223</v>
      </c>
      <c r="H81" s="442" t="s">
        <v>667</v>
      </c>
      <c r="I81" s="115"/>
      <c r="J81" s="765" t="s">
        <v>1447</v>
      </c>
      <c r="K81" s="768" t="s">
        <v>1448</v>
      </c>
      <c r="L81" s="729" t="s">
        <v>1449</v>
      </c>
      <c r="M81" s="729" t="s">
        <v>1450</v>
      </c>
      <c r="N81" s="729"/>
      <c r="O81" s="729" t="s">
        <v>1451</v>
      </c>
      <c r="P81" s="729" t="s">
        <v>1452</v>
      </c>
      <c r="Q81" s="729" t="s">
        <v>1453</v>
      </c>
      <c r="R81" s="731" t="s">
        <v>1232</v>
      </c>
      <c r="S81" s="731" t="s">
        <v>1232</v>
      </c>
      <c r="T81" s="731" t="s">
        <v>1232</v>
      </c>
      <c r="U81" s="731" t="s">
        <v>1232</v>
      </c>
      <c r="V81" s="731" t="s">
        <v>1232</v>
      </c>
      <c r="W81" s="659"/>
      <c r="X81" s="487"/>
      <c r="Y81" s="487"/>
      <c r="Z81" s="654"/>
      <c r="AA81" s="297"/>
      <c r="AB81" s="297"/>
      <c r="AD81" s="286"/>
      <c r="AE81" s="286"/>
      <c r="AF81" s="286"/>
      <c r="AG81" s="286"/>
      <c r="AH81" s="286"/>
      <c r="AI81" s="286"/>
      <c r="AJ81" s="286"/>
      <c r="AK81" s="286"/>
      <c r="AL81" s="286"/>
      <c r="AM81" s="286"/>
      <c r="AN81" s="428"/>
      <c r="AO81" s="440" t="str">
        <f t="shared" si="0"/>
        <v/>
      </c>
    </row>
    <row r="82" spans="1:41" ht="15.75" customHeight="1" x14ac:dyDescent="0.2">
      <c r="A82" s="73"/>
      <c r="B82" s="153"/>
      <c r="C82" s="213"/>
      <c r="D82" s="738"/>
      <c r="E82" s="739"/>
      <c r="F82" s="739"/>
      <c r="G82" s="739"/>
      <c r="H82" s="739"/>
      <c r="I82" s="740"/>
      <c r="J82" s="122"/>
      <c r="K82" s="123"/>
      <c r="L82" s="98"/>
      <c r="M82" s="98"/>
      <c r="N82" s="98"/>
      <c r="O82" s="98"/>
      <c r="P82" s="98"/>
      <c r="Q82" s="98"/>
      <c r="R82" s="99"/>
      <c r="S82" s="99"/>
      <c r="T82" s="99"/>
      <c r="U82" s="99"/>
      <c r="V82" s="99"/>
      <c r="W82" s="486" t="str">
        <f>IF(I83="No", "Comments","") &amp; IF(I83="N/A", "Comments","")</f>
        <v/>
      </c>
      <c r="X82" s="486"/>
      <c r="Y82" s="486"/>
      <c r="Z82" s="514"/>
      <c r="AA82" s="173"/>
      <c r="AB82" s="173"/>
      <c r="AD82" s="286"/>
      <c r="AE82" s="286"/>
      <c r="AF82" s="286"/>
      <c r="AG82" s="286"/>
      <c r="AH82" s="286"/>
      <c r="AI82" s="286"/>
      <c r="AJ82" s="286"/>
      <c r="AK82" s="286"/>
      <c r="AL82" s="286"/>
      <c r="AM82" s="286"/>
      <c r="AN82" s="428"/>
      <c r="AO82" s="440"/>
    </row>
    <row r="83" spans="1:41" ht="25.15" customHeight="1" x14ac:dyDescent="0.2">
      <c r="A83" s="73" t="s">
        <v>1340</v>
      </c>
      <c r="B83" s="153" t="s">
        <v>1341</v>
      </c>
      <c r="C83" s="213"/>
      <c r="D83" s="747" t="s">
        <v>1455</v>
      </c>
      <c r="E83" s="61" t="s">
        <v>1456</v>
      </c>
      <c r="F83" s="61" t="s">
        <v>1446</v>
      </c>
      <c r="G83" s="68" t="s">
        <v>1223</v>
      </c>
      <c r="H83" s="442" t="s">
        <v>670</v>
      </c>
      <c r="I83" s="115"/>
      <c r="J83" s="764" t="s">
        <v>1457</v>
      </c>
      <c r="K83" s="767" t="s">
        <v>1458</v>
      </c>
      <c r="L83" s="728" t="s">
        <v>1459</v>
      </c>
      <c r="M83" s="728" t="s">
        <v>1460</v>
      </c>
      <c r="N83" s="728" t="s">
        <v>1461</v>
      </c>
      <c r="O83" s="728" t="s">
        <v>1462</v>
      </c>
      <c r="P83" s="728" t="s">
        <v>1463</v>
      </c>
      <c r="Q83" s="728" t="s">
        <v>1399</v>
      </c>
      <c r="R83" s="730" t="s">
        <v>1232</v>
      </c>
      <c r="S83" s="730" t="s">
        <v>1232</v>
      </c>
      <c r="T83" s="730" t="s">
        <v>1232</v>
      </c>
      <c r="U83" s="730" t="s">
        <v>1232</v>
      </c>
      <c r="V83" s="730" t="s">
        <v>1232</v>
      </c>
      <c r="W83" s="659"/>
      <c r="X83" s="487"/>
      <c r="Y83" s="487"/>
      <c r="Z83" s="654"/>
      <c r="AA83" s="297"/>
      <c r="AB83" s="297"/>
      <c r="AD83" s="286"/>
      <c r="AE83" s="286"/>
      <c r="AF83" s="286"/>
      <c r="AG83" s="286"/>
      <c r="AH83" s="286"/>
      <c r="AI83" s="286"/>
      <c r="AJ83" s="286"/>
      <c r="AK83" s="286"/>
      <c r="AL83" s="286"/>
      <c r="AM83" s="286"/>
      <c r="AN83" s="428"/>
      <c r="AO83" s="440" t="str">
        <f t="shared" si="0"/>
        <v/>
      </c>
    </row>
    <row r="84" spans="1:41" ht="13.35" customHeight="1" x14ac:dyDescent="0.2">
      <c r="A84" s="73"/>
      <c r="B84" s="153"/>
      <c r="C84" s="213"/>
      <c r="D84" s="747"/>
      <c r="E84" s="61"/>
      <c r="F84" s="61"/>
      <c r="G84" s="68"/>
      <c r="H84" s="741"/>
      <c r="I84" s="740"/>
      <c r="J84" s="765"/>
      <c r="K84" s="768"/>
      <c r="L84" s="729"/>
      <c r="M84" s="729"/>
      <c r="N84" s="729"/>
      <c r="O84" s="729"/>
      <c r="P84" s="729"/>
      <c r="Q84" s="729"/>
      <c r="R84" s="731"/>
      <c r="S84" s="731"/>
      <c r="T84" s="731"/>
      <c r="U84" s="731"/>
      <c r="V84" s="731"/>
      <c r="W84" s="486" t="str">
        <f>IF(I85="No", "Comments","") &amp; IF(I85="N/A", "Comments","")</f>
        <v/>
      </c>
      <c r="X84" s="486"/>
      <c r="Y84" s="486"/>
      <c r="Z84" s="514"/>
      <c r="AA84" s="173"/>
      <c r="AB84" s="173"/>
      <c r="AD84" s="286"/>
      <c r="AE84" s="286"/>
      <c r="AF84" s="286"/>
      <c r="AG84" s="286"/>
      <c r="AH84" s="286"/>
      <c r="AI84" s="286"/>
      <c r="AJ84" s="286"/>
      <c r="AK84" s="286"/>
      <c r="AL84" s="286"/>
      <c r="AM84" s="286"/>
      <c r="AN84" s="428"/>
      <c r="AO84" s="440"/>
    </row>
    <row r="85" spans="1:41" ht="37.15" customHeight="1" x14ac:dyDescent="0.2">
      <c r="A85" s="73" t="s">
        <v>1340</v>
      </c>
      <c r="B85" s="153" t="s">
        <v>1341</v>
      </c>
      <c r="C85" s="213"/>
      <c r="D85" s="747"/>
      <c r="E85" s="61" t="s">
        <v>1456</v>
      </c>
      <c r="F85" s="61" t="s">
        <v>1464</v>
      </c>
      <c r="G85" s="68" t="s">
        <v>1223</v>
      </c>
      <c r="H85" s="442" t="s">
        <v>673</v>
      </c>
      <c r="I85" s="115"/>
      <c r="J85" s="766" t="s">
        <v>1457</v>
      </c>
      <c r="K85" s="769" t="s">
        <v>1458</v>
      </c>
      <c r="L85" s="746" t="s">
        <v>1459</v>
      </c>
      <c r="M85" s="746" t="s">
        <v>1460</v>
      </c>
      <c r="N85" s="746" t="s">
        <v>1461</v>
      </c>
      <c r="O85" s="746" t="s">
        <v>1462</v>
      </c>
      <c r="P85" s="746" t="s">
        <v>1463</v>
      </c>
      <c r="Q85" s="746" t="s">
        <v>1399</v>
      </c>
      <c r="R85" s="732" t="s">
        <v>1232</v>
      </c>
      <c r="S85" s="732" t="s">
        <v>1232</v>
      </c>
      <c r="T85" s="732" t="s">
        <v>1232</v>
      </c>
      <c r="U85" s="732" t="s">
        <v>1232</v>
      </c>
      <c r="V85" s="732" t="s">
        <v>1232</v>
      </c>
      <c r="W85" s="659"/>
      <c r="X85" s="487"/>
      <c r="Y85" s="487"/>
      <c r="Z85" s="654"/>
      <c r="AA85" s="297"/>
      <c r="AB85" s="297"/>
      <c r="AD85" s="286"/>
      <c r="AE85" s="286"/>
      <c r="AF85" s="286"/>
      <c r="AG85" s="286"/>
      <c r="AH85" s="286"/>
      <c r="AI85" s="286"/>
      <c r="AJ85" s="286"/>
      <c r="AK85" s="286"/>
      <c r="AL85" s="286"/>
      <c r="AM85" s="286"/>
      <c r="AN85" s="428"/>
      <c r="AO85" s="440" t="str">
        <f t="shared" si="0"/>
        <v/>
      </c>
    </row>
    <row r="86" spans="1:41" ht="15" customHeight="1" x14ac:dyDescent="0.2">
      <c r="A86" s="73"/>
      <c r="B86" s="153"/>
      <c r="C86" s="213"/>
      <c r="D86" s="738"/>
      <c r="E86" s="739"/>
      <c r="F86" s="739"/>
      <c r="G86" s="739"/>
      <c r="H86" s="739"/>
      <c r="I86" s="740"/>
      <c r="J86" s="122"/>
      <c r="K86" s="123"/>
      <c r="L86" s="98"/>
      <c r="M86" s="98"/>
      <c r="N86" s="98"/>
      <c r="O86" s="98"/>
      <c r="P86" s="98"/>
      <c r="Q86" s="98"/>
      <c r="R86" s="99"/>
      <c r="S86" s="99"/>
      <c r="T86" s="99"/>
      <c r="U86" s="99"/>
      <c r="V86" s="99"/>
      <c r="W86" s="486" t="str">
        <f>IF(I87="No", "Comments","") &amp; IF(I87="N/A", "Comments","")</f>
        <v/>
      </c>
      <c r="X86" s="486"/>
      <c r="Y86" s="486"/>
      <c r="Z86" s="514"/>
      <c r="AA86" s="173"/>
      <c r="AB86" s="173"/>
      <c r="AD86" s="286"/>
      <c r="AE86" s="286"/>
      <c r="AF86" s="286"/>
      <c r="AG86" s="286"/>
      <c r="AH86" s="286"/>
      <c r="AI86" s="286"/>
      <c r="AJ86" s="286"/>
      <c r="AK86" s="286"/>
      <c r="AL86" s="286"/>
      <c r="AM86" s="286"/>
      <c r="AN86" s="428"/>
      <c r="AO86" s="440"/>
    </row>
    <row r="87" spans="1:41" ht="25.15" customHeight="1" x14ac:dyDescent="0.2">
      <c r="A87" s="73" t="s">
        <v>1340</v>
      </c>
      <c r="B87" s="153" t="s">
        <v>1341</v>
      </c>
      <c r="C87" s="213"/>
      <c r="D87" s="747" t="s">
        <v>1465</v>
      </c>
      <c r="E87" s="61" t="s">
        <v>1466</v>
      </c>
      <c r="F87" s="61" t="s">
        <v>1467</v>
      </c>
      <c r="G87" s="68" t="s">
        <v>1223</v>
      </c>
      <c r="H87" s="442" t="s">
        <v>676</v>
      </c>
      <c r="I87" s="115"/>
      <c r="J87" s="764" t="s">
        <v>1468</v>
      </c>
      <c r="K87" s="767" t="s">
        <v>1469</v>
      </c>
      <c r="L87" s="728" t="s">
        <v>1470</v>
      </c>
      <c r="M87" s="728" t="s">
        <v>1471</v>
      </c>
      <c r="N87" s="728" t="s">
        <v>1472</v>
      </c>
      <c r="O87" s="728" t="s">
        <v>1473</v>
      </c>
      <c r="P87" s="728" t="s">
        <v>1474</v>
      </c>
      <c r="Q87" s="728" t="s">
        <v>1475</v>
      </c>
      <c r="R87" s="730" t="s">
        <v>1232</v>
      </c>
      <c r="S87" s="730" t="s">
        <v>1232</v>
      </c>
      <c r="T87" s="730" t="s">
        <v>1232</v>
      </c>
      <c r="U87" s="730" t="s">
        <v>1232</v>
      </c>
      <c r="V87" s="730" t="s">
        <v>1232</v>
      </c>
      <c r="W87" s="659"/>
      <c r="X87" s="487"/>
      <c r="Y87" s="487"/>
      <c r="Z87" s="654"/>
      <c r="AA87" s="297"/>
      <c r="AB87" s="297"/>
      <c r="AD87" s="286"/>
      <c r="AE87" s="286"/>
      <c r="AF87" s="286"/>
      <c r="AG87" s="286"/>
      <c r="AH87" s="286"/>
      <c r="AI87" s="286"/>
      <c r="AJ87" s="286"/>
      <c r="AK87" s="286"/>
      <c r="AL87" s="286"/>
      <c r="AM87" s="286"/>
      <c r="AN87" s="428"/>
      <c r="AO87" s="440" t="str">
        <f t="shared" si="0"/>
        <v/>
      </c>
    </row>
    <row r="88" spans="1:41" ht="16.350000000000001" customHeight="1" x14ac:dyDescent="0.2">
      <c r="A88" s="73"/>
      <c r="B88" s="153"/>
      <c r="C88" s="213"/>
      <c r="D88" s="747"/>
      <c r="E88" s="61"/>
      <c r="F88" s="61"/>
      <c r="G88" s="68"/>
      <c r="H88" s="741"/>
      <c r="I88" s="740"/>
      <c r="J88" s="765"/>
      <c r="K88" s="768"/>
      <c r="L88" s="729"/>
      <c r="M88" s="729"/>
      <c r="N88" s="729"/>
      <c r="O88" s="729"/>
      <c r="P88" s="729"/>
      <c r="Q88" s="729"/>
      <c r="R88" s="731"/>
      <c r="S88" s="731"/>
      <c r="T88" s="731"/>
      <c r="U88" s="731"/>
      <c r="V88" s="731"/>
      <c r="W88" s="486" t="str">
        <f>IF(I89="No", "Comments","") &amp; IF(I89="N/A", "Comments","")</f>
        <v/>
      </c>
      <c r="X88" s="486"/>
      <c r="Y88" s="486"/>
      <c r="Z88" s="514"/>
      <c r="AA88" s="173"/>
      <c r="AB88" s="173"/>
      <c r="AD88" s="286"/>
      <c r="AE88" s="286"/>
      <c r="AF88" s="286"/>
      <c r="AG88" s="286"/>
      <c r="AH88" s="286"/>
      <c r="AI88" s="286"/>
      <c r="AJ88" s="286"/>
      <c r="AK88" s="286"/>
      <c r="AL88" s="286"/>
      <c r="AM88" s="286"/>
      <c r="AN88" s="428"/>
      <c r="AO88" s="440"/>
    </row>
    <row r="89" spans="1:41" ht="37.15" customHeight="1" x14ac:dyDescent="0.2">
      <c r="A89" s="73"/>
      <c r="B89" s="153"/>
      <c r="C89" s="213"/>
      <c r="D89" s="747"/>
      <c r="E89" s="61"/>
      <c r="F89" s="61"/>
      <c r="G89" s="68"/>
      <c r="H89" s="442" t="s">
        <v>679</v>
      </c>
      <c r="I89" s="115"/>
      <c r="J89" s="765"/>
      <c r="K89" s="768"/>
      <c r="L89" s="729"/>
      <c r="M89" s="729"/>
      <c r="N89" s="729"/>
      <c r="O89" s="729"/>
      <c r="P89" s="729"/>
      <c r="Q89" s="729"/>
      <c r="R89" s="731"/>
      <c r="S89" s="731"/>
      <c r="T89" s="731"/>
      <c r="U89" s="731"/>
      <c r="V89" s="731"/>
      <c r="W89" s="659"/>
      <c r="X89" s="487"/>
      <c r="Y89" s="487"/>
      <c r="Z89" s="654"/>
      <c r="AA89" s="297"/>
      <c r="AB89" s="297"/>
      <c r="AD89" s="286"/>
      <c r="AE89" s="286"/>
      <c r="AF89" s="286"/>
      <c r="AG89" s="286"/>
      <c r="AH89" s="286"/>
      <c r="AI89" s="286"/>
      <c r="AJ89" s="286"/>
      <c r="AK89" s="286"/>
      <c r="AL89" s="286"/>
      <c r="AM89" s="286"/>
      <c r="AN89" s="428"/>
      <c r="AO89" s="440" t="str">
        <f t="shared" si="0"/>
        <v/>
      </c>
    </row>
    <row r="90" spans="1:41" ht="18.600000000000001" customHeight="1" x14ac:dyDescent="0.2">
      <c r="A90" s="73"/>
      <c r="B90" s="153"/>
      <c r="C90" s="213"/>
      <c r="D90" s="747"/>
      <c r="E90" s="61"/>
      <c r="F90" s="61"/>
      <c r="G90" s="68"/>
      <c r="H90" s="741"/>
      <c r="I90" s="740"/>
      <c r="J90" s="765"/>
      <c r="K90" s="768"/>
      <c r="L90" s="729"/>
      <c r="M90" s="729"/>
      <c r="N90" s="729"/>
      <c r="O90" s="729"/>
      <c r="P90" s="729"/>
      <c r="Q90" s="729"/>
      <c r="R90" s="731"/>
      <c r="S90" s="731"/>
      <c r="T90" s="731"/>
      <c r="U90" s="731"/>
      <c r="V90" s="731"/>
      <c r="W90" s="486" t="str">
        <f>IF(I91="No", "Comments","") &amp; IF(I91="N/A", "Comments","")</f>
        <v/>
      </c>
      <c r="X90" s="486"/>
      <c r="Y90" s="486"/>
      <c r="Z90" s="514"/>
      <c r="AA90" s="173"/>
      <c r="AB90" s="173"/>
      <c r="AD90" s="286"/>
      <c r="AE90" s="286"/>
      <c r="AF90" s="286"/>
      <c r="AG90" s="286"/>
      <c r="AH90" s="286"/>
      <c r="AI90" s="286"/>
      <c r="AJ90" s="286"/>
      <c r="AK90" s="286"/>
      <c r="AL90" s="286"/>
      <c r="AM90" s="286"/>
      <c r="AN90" s="428"/>
      <c r="AO90" s="440"/>
    </row>
    <row r="91" spans="1:41" ht="37.15" customHeight="1" x14ac:dyDescent="0.2">
      <c r="A91" s="73" t="s">
        <v>1340</v>
      </c>
      <c r="B91" s="153" t="s">
        <v>1341</v>
      </c>
      <c r="C91" s="213"/>
      <c r="D91" s="747"/>
      <c r="E91" s="61" t="s">
        <v>1466</v>
      </c>
      <c r="F91" s="61" t="s">
        <v>1476</v>
      </c>
      <c r="G91" s="68" t="s">
        <v>1223</v>
      </c>
      <c r="H91" s="442" t="s">
        <v>682</v>
      </c>
      <c r="I91" s="115"/>
      <c r="J91" s="766" t="s">
        <v>1468</v>
      </c>
      <c r="K91" s="769" t="s">
        <v>1477</v>
      </c>
      <c r="L91" s="746" t="s">
        <v>1470</v>
      </c>
      <c r="M91" s="746" t="s">
        <v>1478</v>
      </c>
      <c r="N91" s="746" t="s">
        <v>1472</v>
      </c>
      <c r="O91" s="746" t="s">
        <v>1473</v>
      </c>
      <c r="P91" s="746" t="s">
        <v>1474</v>
      </c>
      <c r="Q91" s="746" t="s">
        <v>1475</v>
      </c>
      <c r="R91" s="732" t="s">
        <v>1232</v>
      </c>
      <c r="S91" s="732" t="s">
        <v>1232</v>
      </c>
      <c r="T91" s="732" t="s">
        <v>1232</v>
      </c>
      <c r="U91" s="732" t="s">
        <v>1232</v>
      </c>
      <c r="V91" s="732" t="s">
        <v>1232</v>
      </c>
      <c r="W91" s="659"/>
      <c r="X91" s="487"/>
      <c r="Y91" s="487"/>
      <c r="Z91" s="654"/>
      <c r="AA91" s="297"/>
      <c r="AB91" s="297"/>
      <c r="AD91" s="286"/>
      <c r="AE91" s="286"/>
      <c r="AF91" s="286"/>
      <c r="AG91" s="286"/>
      <c r="AH91" s="286"/>
      <c r="AI91" s="286"/>
      <c r="AJ91" s="286"/>
      <c r="AK91" s="286"/>
      <c r="AL91" s="286"/>
      <c r="AM91" s="286"/>
      <c r="AN91" s="428"/>
      <c r="AO91" s="440" t="str">
        <f t="shared" si="0"/>
        <v/>
      </c>
    </row>
    <row r="92" spans="1:41" ht="15.6" customHeight="1" x14ac:dyDescent="0.2">
      <c r="A92" s="73"/>
      <c r="B92" s="153"/>
      <c r="C92" s="213"/>
      <c r="D92" s="738"/>
      <c r="E92" s="739"/>
      <c r="F92" s="739"/>
      <c r="G92" s="739"/>
      <c r="H92" s="739"/>
      <c r="I92" s="740"/>
      <c r="J92" s="122"/>
      <c r="K92" s="123"/>
      <c r="L92" s="98"/>
      <c r="M92" s="98"/>
      <c r="N92" s="98"/>
      <c r="O92" s="98"/>
      <c r="P92" s="98"/>
      <c r="Q92" s="98"/>
      <c r="R92" s="99"/>
      <c r="S92" s="99"/>
      <c r="T92" s="99"/>
      <c r="U92" s="99"/>
      <c r="V92" s="99"/>
      <c r="W92" s="486" t="str">
        <f>IF(I93="No", "Comments","") &amp; IF(I93="N/A", "Comments","")</f>
        <v/>
      </c>
      <c r="X92" s="486"/>
      <c r="Y92" s="486"/>
      <c r="Z92" s="514"/>
      <c r="AA92" s="173"/>
      <c r="AB92" s="173"/>
      <c r="AD92" s="286"/>
      <c r="AE92" s="286"/>
      <c r="AF92" s="286"/>
      <c r="AG92" s="286"/>
      <c r="AH92" s="286"/>
      <c r="AI92" s="286"/>
      <c r="AJ92" s="286"/>
      <c r="AK92" s="286"/>
      <c r="AL92" s="286"/>
      <c r="AM92" s="286"/>
      <c r="AN92" s="428"/>
      <c r="AO92" s="440"/>
    </row>
    <row r="93" spans="1:41" ht="37.15" customHeight="1" x14ac:dyDescent="0.2">
      <c r="A93" s="73" t="s">
        <v>1340</v>
      </c>
      <c r="B93" s="153" t="s">
        <v>1341</v>
      </c>
      <c r="C93" s="213"/>
      <c r="D93" s="747" t="s">
        <v>1479</v>
      </c>
      <c r="E93" s="61" t="s">
        <v>1480</v>
      </c>
      <c r="F93" s="61" t="s">
        <v>1481</v>
      </c>
      <c r="G93" s="68" t="s">
        <v>1223</v>
      </c>
      <c r="H93" s="442" t="s">
        <v>685</v>
      </c>
      <c r="I93" s="115"/>
      <c r="J93" s="764" t="s">
        <v>1468</v>
      </c>
      <c r="K93" s="767" t="s">
        <v>1482</v>
      </c>
      <c r="L93" s="728" t="s">
        <v>1483</v>
      </c>
      <c r="M93" s="728" t="s">
        <v>1484</v>
      </c>
      <c r="N93" s="728"/>
      <c r="O93" s="728" t="s">
        <v>1485</v>
      </c>
      <c r="P93" s="728" t="s">
        <v>1486</v>
      </c>
      <c r="Q93" s="728" t="s">
        <v>1487</v>
      </c>
      <c r="R93" s="730" t="s">
        <v>1232</v>
      </c>
      <c r="S93" s="730" t="s">
        <v>1232</v>
      </c>
      <c r="T93" s="730" t="s">
        <v>1232</v>
      </c>
      <c r="U93" s="730" t="s">
        <v>1232</v>
      </c>
      <c r="V93" s="730" t="s">
        <v>1232</v>
      </c>
      <c r="W93" s="659"/>
      <c r="X93" s="487"/>
      <c r="Y93" s="487"/>
      <c r="Z93" s="654"/>
      <c r="AA93" s="297"/>
      <c r="AB93" s="297"/>
      <c r="AD93" s="286"/>
      <c r="AE93" s="286"/>
      <c r="AF93" s="286"/>
      <c r="AG93" s="286"/>
      <c r="AH93" s="286"/>
      <c r="AI93" s="286"/>
      <c r="AJ93" s="286"/>
      <c r="AK93" s="286"/>
      <c r="AL93" s="286"/>
      <c r="AM93" s="286"/>
      <c r="AN93" s="428"/>
      <c r="AO93" s="440" t="str">
        <f t="shared" si="0"/>
        <v/>
      </c>
    </row>
    <row r="94" spans="1:41" ht="12.75" customHeight="1" x14ac:dyDescent="0.2">
      <c r="A94" s="73"/>
      <c r="B94" s="153"/>
      <c r="C94" s="213"/>
      <c r="D94" s="747"/>
      <c r="E94" s="61"/>
      <c r="F94" s="61"/>
      <c r="G94" s="68"/>
      <c r="H94" s="741"/>
      <c r="I94" s="740"/>
      <c r="J94" s="765"/>
      <c r="K94" s="768"/>
      <c r="L94" s="729"/>
      <c r="M94" s="729"/>
      <c r="N94" s="729"/>
      <c r="O94" s="729"/>
      <c r="P94" s="729"/>
      <c r="Q94" s="729"/>
      <c r="R94" s="731"/>
      <c r="S94" s="731"/>
      <c r="T94" s="731"/>
      <c r="U94" s="731"/>
      <c r="V94" s="731"/>
      <c r="W94" s="486" t="str">
        <f>IF(I95="No", "Comments","") &amp; IF(I95="N/A", "Comments","")</f>
        <v/>
      </c>
      <c r="X94" s="486"/>
      <c r="Y94" s="486"/>
      <c r="Z94" s="514"/>
      <c r="AA94" s="173"/>
      <c r="AB94" s="173"/>
      <c r="AD94" s="286"/>
      <c r="AE94" s="286"/>
      <c r="AF94" s="286"/>
      <c r="AG94" s="286"/>
      <c r="AH94" s="286"/>
      <c r="AI94" s="286"/>
      <c r="AJ94" s="286"/>
      <c r="AK94" s="286"/>
      <c r="AL94" s="286"/>
      <c r="AM94" s="286"/>
      <c r="AN94" s="428"/>
      <c r="AO94" s="440"/>
    </row>
    <row r="95" spans="1:41" ht="25.15" customHeight="1" x14ac:dyDescent="0.2">
      <c r="A95" s="73" t="s">
        <v>1340</v>
      </c>
      <c r="B95" s="153" t="s">
        <v>1341</v>
      </c>
      <c r="C95" s="213"/>
      <c r="D95" s="747"/>
      <c r="E95" s="61" t="s">
        <v>1480</v>
      </c>
      <c r="F95" s="61" t="s">
        <v>1488</v>
      </c>
      <c r="G95" s="68" t="s">
        <v>1223</v>
      </c>
      <c r="H95" s="442" t="s">
        <v>688</v>
      </c>
      <c r="I95" s="115"/>
      <c r="J95" s="766" t="s">
        <v>1468</v>
      </c>
      <c r="K95" s="769" t="s">
        <v>1482</v>
      </c>
      <c r="L95" s="746" t="s">
        <v>1483</v>
      </c>
      <c r="M95" s="746" t="s">
        <v>1484</v>
      </c>
      <c r="N95" s="746"/>
      <c r="O95" s="746" t="s">
        <v>1485</v>
      </c>
      <c r="P95" s="746" t="s">
        <v>1486</v>
      </c>
      <c r="Q95" s="746" t="s">
        <v>1487</v>
      </c>
      <c r="R95" s="732" t="s">
        <v>1232</v>
      </c>
      <c r="S95" s="732" t="s">
        <v>1232</v>
      </c>
      <c r="T95" s="732" t="s">
        <v>1232</v>
      </c>
      <c r="U95" s="732" t="s">
        <v>1232</v>
      </c>
      <c r="V95" s="732" t="s">
        <v>1232</v>
      </c>
      <c r="W95" s="659"/>
      <c r="X95" s="487"/>
      <c r="Y95" s="487"/>
      <c r="Z95" s="654"/>
      <c r="AA95" s="297"/>
      <c r="AB95" s="297"/>
      <c r="AD95" s="286"/>
      <c r="AE95" s="286"/>
      <c r="AF95" s="286"/>
      <c r="AG95" s="286"/>
      <c r="AH95" s="286"/>
      <c r="AI95" s="286"/>
      <c r="AJ95" s="286"/>
      <c r="AK95" s="286"/>
      <c r="AL95" s="286"/>
      <c r="AM95" s="286"/>
      <c r="AN95" s="428"/>
      <c r="AO95" s="440" t="str">
        <f t="shared" si="0"/>
        <v/>
      </c>
    </row>
    <row r="96" spans="1:41" ht="20.100000000000001" customHeight="1" x14ac:dyDescent="0.2">
      <c r="A96" s="73"/>
      <c r="B96" s="153"/>
      <c r="C96" s="213"/>
      <c r="D96" s="738"/>
      <c r="E96" s="739"/>
      <c r="F96" s="739"/>
      <c r="G96" s="739"/>
      <c r="H96" s="739"/>
      <c r="I96" s="740"/>
      <c r="J96" s="122"/>
      <c r="K96" s="123"/>
      <c r="L96" s="98"/>
      <c r="M96" s="98"/>
      <c r="N96" s="98"/>
      <c r="O96" s="98"/>
      <c r="P96" s="98"/>
      <c r="Q96" s="98"/>
      <c r="R96" s="99"/>
      <c r="S96" s="99"/>
      <c r="T96" s="99"/>
      <c r="U96" s="99"/>
      <c r="V96" s="99"/>
      <c r="W96" s="486" t="str">
        <f>IF(I97="No", "Comments","") &amp; IF(I97="N/A", "Comments","")</f>
        <v/>
      </c>
      <c r="X96" s="486"/>
      <c r="Y96" s="486"/>
      <c r="Z96" s="514"/>
      <c r="AA96" s="173"/>
      <c r="AB96" s="173"/>
      <c r="AD96" s="286"/>
      <c r="AE96" s="286"/>
      <c r="AF96" s="286"/>
      <c r="AG96" s="286"/>
      <c r="AH96" s="286"/>
      <c r="AI96" s="286"/>
      <c r="AJ96" s="286"/>
      <c r="AK96" s="286"/>
      <c r="AL96" s="286"/>
      <c r="AM96" s="286"/>
      <c r="AN96" s="428"/>
      <c r="AO96" s="440"/>
    </row>
    <row r="97" spans="1:41" ht="37.15" customHeight="1" x14ac:dyDescent="0.2">
      <c r="A97" s="73" t="s">
        <v>1340</v>
      </c>
      <c r="B97" s="153" t="s">
        <v>1341</v>
      </c>
      <c r="C97" s="213"/>
      <c r="D97" s="747" t="s">
        <v>1489</v>
      </c>
      <c r="E97" s="61" t="s">
        <v>1490</v>
      </c>
      <c r="F97" s="61" t="s">
        <v>1491</v>
      </c>
      <c r="G97" s="68" t="s">
        <v>1223</v>
      </c>
      <c r="H97" s="442" t="s">
        <v>691</v>
      </c>
      <c r="I97" s="115"/>
      <c r="J97" s="764" t="s">
        <v>1468</v>
      </c>
      <c r="K97" s="767" t="s">
        <v>1492</v>
      </c>
      <c r="L97" s="728" t="s">
        <v>1493</v>
      </c>
      <c r="M97" s="728" t="s">
        <v>1494</v>
      </c>
      <c r="N97" s="728"/>
      <c r="O97" s="728"/>
      <c r="P97" s="728" t="s">
        <v>1495</v>
      </c>
      <c r="Q97" s="728" t="s">
        <v>1496</v>
      </c>
      <c r="R97" s="730" t="s">
        <v>1232</v>
      </c>
      <c r="S97" s="730" t="s">
        <v>1232</v>
      </c>
      <c r="T97" s="730" t="s">
        <v>1232</v>
      </c>
      <c r="U97" s="730" t="s">
        <v>1232</v>
      </c>
      <c r="V97" s="730" t="s">
        <v>1232</v>
      </c>
      <c r="W97" s="659"/>
      <c r="X97" s="487"/>
      <c r="Y97" s="487"/>
      <c r="Z97" s="654"/>
      <c r="AA97" s="297"/>
      <c r="AB97" s="297"/>
      <c r="AD97" s="286"/>
      <c r="AE97" s="286"/>
      <c r="AF97" s="286"/>
      <c r="AG97" s="286"/>
      <c r="AH97" s="286"/>
      <c r="AI97" s="286"/>
      <c r="AJ97" s="286"/>
      <c r="AK97" s="286"/>
      <c r="AL97" s="286"/>
      <c r="AM97" s="286"/>
      <c r="AN97" s="428"/>
      <c r="AO97" s="440" t="str">
        <f t="shared" si="0"/>
        <v/>
      </c>
    </row>
    <row r="98" spans="1:41" ht="15.6" customHeight="1" x14ac:dyDescent="0.2">
      <c r="A98" s="73"/>
      <c r="B98" s="153"/>
      <c r="C98" s="213"/>
      <c r="D98" s="747"/>
      <c r="E98" s="61"/>
      <c r="F98" s="61"/>
      <c r="G98" s="68"/>
      <c r="H98" s="741"/>
      <c r="I98" s="740"/>
      <c r="J98" s="765"/>
      <c r="K98" s="768"/>
      <c r="L98" s="729"/>
      <c r="M98" s="729"/>
      <c r="N98" s="729"/>
      <c r="O98" s="729"/>
      <c r="P98" s="729"/>
      <c r="Q98" s="729"/>
      <c r="R98" s="731"/>
      <c r="S98" s="731"/>
      <c r="T98" s="731"/>
      <c r="U98" s="731"/>
      <c r="V98" s="731"/>
      <c r="W98" s="486" t="str">
        <f>IF(I99="No", "Comments","") &amp; IF(I99="N/A", "Comments","")</f>
        <v/>
      </c>
      <c r="X98" s="486"/>
      <c r="Y98" s="486"/>
      <c r="Z98" s="514"/>
      <c r="AA98" s="173"/>
      <c r="AB98" s="173"/>
      <c r="AD98" s="286"/>
      <c r="AE98" s="286"/>
      <c r="AF98" s="286"/>
      <c r="AG98" s="286"/>
      <c r="AH98" s="286"/>
      <c r="AI98" s="286"/>
      <c r="AJ98" s="286"/>
      <c r="AK98" s="286"/>
      <c r="AL98" s="286"/>
      <c r="AM98" s="286"/>
      <c r="AN98" s="428"/>
      <c r="AO98" s="440"/>
    </row>
    <row r="99" spans="1:41" ht="37.15" customHeight="1" x14ac:dyDescent="0.2">
      <c r="A99" s="73" t="s">
        <v>1340</v>
      </c>
      <c r="B99" s="153" t="s">
        <v>1341</v>
      </c>
      <c r="C99" s="213"/>
      <c r="D99" s="747"/>
      <c r="E99" s="61" t="s">
        <v>1490</v>
      </c>
      <c r="F99" s="61" t="s">
        <v>1497</v>
      </c>
      <c r="G99" s="68" t="s">
        <v>1223</v>
      </c>
      <c r="H99" s="442" t="s">
        <v>694</v>
      </c>
      <c r="I99" s="115"/>
      <c r="J99" s="765" t="s">
        <v>1468</v>
      </c>
      <c r="K99" s="768" t="s">
        <v>1492</v>
      </c>
      <c r="L99" s="729" t="s">
        <v>1493</v>
      </c>
      <c r="M99" s="729" t="s">
        <v>1494</v>
      </c>
      <c r="N99" s="729"/>
      <c r="O99" s="729"/>
      <c r="P99" s="729" t="s">
        <v>1495</v>
      </c>
      <c r="Q99" s="729" t="s">
        <v>1496</v>
      </c>
      <c r="R99" s="731" t="s">
        <v>1232</v>
      </c>
      <c r="S99" s="731" t="s">
        <v>1232</v>
      </c>
      <c r="T99" s="731" t="s">
        <v>1232</v>
      </c>
      <c r="U99" s="731" t="s">
        <v>1232</v>
      </c>
      <c r="V99" s="731" t="s">
        <v>1232</v>
      </c>
      <c r="W99" s="659"/>
      <c r="X99" s="487"/>
      <c r="Y99" s="487"/>
      <c r="Z99" s="654"/>
      <c r="AA99" s="297"/>
      <c r="AB99" s="297"/>
      <c r="AD99" s="286"/>
      <c r="AE99" s="286"/>
      <c r="AF99" s="286"/>
      <c r="AG99" s="286"/>
      <c r="AH99" s="286"/>
      <c r="AI99" s="286"/>
      <c r="AJ99" s="286"/>
      <c r="AK99" s="286"/>
      <c r="AL99" s="286"/>
      <c r="AM99" s="286"/>
      <c r="AN99" s="428"/>
      <c r="AO99" s="440" t="str">
        <f t="shared" si="0"/>
        <v/>
      </c>
    </row>
    <row r="100" spans="1:41" ht="12.6" customHeight="1" x14ac:dyDescent="0.2">
      <c r="A100" s="73"/>
      <c r="B100" s="153"/>
      <c r="C100" s="213"/>
      <c r="D100" s="738"/>
      <c r="E100" s="739"/>
      <c r="F100" s="739"/>
      <c r="G100" s="739"/>
      <c r="H100" s="739"/>
      <c r="I100" s="740"/>
      <c r="J100" s="122"/>
      <c r="K100" s="123"/>
      <c r="L100" s="98"/>
      <c r="M100" s="98"/>
      <c r="N100" s="98"/>
      <c r="O100" s="98"/>
      <c r="P100" s="98"/>
      <c r="Q100" s="98"/>
      <c r="R100" s="99"/>
      <c r="S100" s="99"/>
      <c r="T100" s="99"/>
      <c r="U100" s="99"/>
      <c r="V100" s="99"/>
      <c r="W100" s="486" t="str">
        <f>IF(I101="No", "Comments","") &amp; IF(I101="N/A", "Comments","")</f>
        <v/>
      </c>
      <c r="X100" s="486"/>
      <c r="Y100" s="486"/>
      <c r="Z100" s="514"/>
      <c r="AA100" s="173"/>
      <c r="AB100" s="173"/>
      <c r="AD100" s="286"/>
      <c r="AE100" s="286"/>
      <c r="AF100" s="286"/>
      <c r="AG100" s="286"/>
      <c r="AH100" s="286"/>
      <c r="AI100" s="286"/>
      <c r="AJ100" s="286"/>
      <c r="AK100" s="286"/>
      <c r="AL100" s="286"/>
      <c r="AM100" s="286"/>
      <c r="AN100" s="428"/>
      <c r="AO100" s="440"/>
    </row>
    <row r="101" spans="1:41" ht="37.15" customHeight="1" x14ac:dyDescent="0.2">
      <c r="A101" s="73" t="s">
        <v>1498</v>
      </c>
      <c r="B101" s="153" t="s">
        <v>1341</v>
      </c>
      <c r="C101" s="213"/>
      <c r="D101" s="747" t="s">
        <v>1499</v>
      </c>
      <c r="E101" s="61" t="s">
        <v>1500</v>
      </c>
      <c r="F101" s="61" t="s">
        <v>1501</v>
      </c>
      <c r="G101" s="68" t="s">
        <v>1223</v>
      </c>
      <c r="H101" s="442" t="s">
        <v>697</v>
      </c>
      <c r="I101" s="115"/>
      <c r="J101" s="764" t="s">
        <v>1502</v>
      </c>
      <c r="K101" s="767" t="s">
        <v>1503</v>
      </c>
      <c r="L101" s="728" t="s">
        <v>1504</v>
      </c>
      <c r="M101" s="728" t="s">
        <v>1505</v>
      </c>
      <c r="N101" s="728" t="s">
        <v>1506</v>
      </c>
      <c r="O101" s="728" t="s">
        <v>1507</v>
      </c>
      <c r="P101" s="728" t="s">
        <v>1508</v>
      </c>
      <c r="Q101" s="728" t="s">
        <v>1509</v>
      </c>
      <c r="R101" s="730" t="s">
        <v>1232</v>
      </c>
      <c r="S101" s="730" t="s">
        <v>1232</v>
      </c>
      <c r="T101" s="730" t="s">
        <v>1232</v>
      </c>
      <c r="U101" s="730" t="s">
        <v>1232</v>
      </c>
      <c r="V101" s="730" t="s">
        <v>1232</v>
      </c>
      <c r="W101" s="659"/>
      <c r="X101" s="487"/>
      <c r="Y101" s="487"/>
      <c r="Z101" s="654"/>
      <c r="AA101" s="297"/>
      <c r="AB101" s="297"/>
      <c r="AD101" s="286"/>
      <c r="AE101" s="286"/>
      <c r="AF101" s="286"/>
      <c r="AG101" s="286"/>
      <c r="AH101" s="286"/>
      <c r="AI101" s="286"/>
      <c r="AJ101" s="286"/>
      <c r="AK101" s="286"/>
      <c r="AL101" s="286"/>
      <c r="AM101" s="286"/>
      <c r="AN101" s="428"/>
      <c r="AO101" s="440" t="str">
        <f t="shared" si="0"/>
        <v/>
      </c>
    </row>
    <row r="102" spans="1:41" ht="17.25" customHeight="1" x14ac:dyDescent="0.2">
      <c r="A102" s="73"/>
      <c r="B102" s="153"/>
      <c r="C102" s="213"/>
      <c r="D102" s="747"/>
      <c r="E102" s="61"/>
      <c r="F102" s="61"/>
      <c r="G102" s="68"/>
      <c r="H102" s="741"/>
      <c r="I102" s="740"/>
      <c r="J102" s="765"/>
      <c r="K102" s="768"/>
      <c r="L102" s="729"/>
      <c r="M102" s="729"/>
      <c r="N102" s="729"/>
      <c r="O102" s="729"/>
      <c r="P102" s="729"/>
      <c r="Q102" s="729"/>
      <c r="R102" s="731"/>
      <c r="S102" s="731"/>
      <c r="T102" s="731"/>
      <c r="U102" s="731"/>
      <c r="V102" s="731"/>
      <c r="W102" s="486" t="str">
        <f>IF(I103="No", "Comments","") &amp; IF(I103="N/A", "Comments","")</f>
        <v/>
      </c>
      <c r="X102" s="486"/>
      <c r="Y102" s="486"/>
      <c r="Z102" s="514"/>
      <c r="AA102" s="173"/>
      <c r="AB102" s="173"/>
      <c r="AD102" s="286"/>
      <c r="AE102" s="286"/>
      <c r="AF102" s="286"/>
      <c r="AG102" s="286"/>
      <c r="AH102" s="286"/>
      <c r="AI102" s="286"/>
      <c r="AJ102" s="286"/>
      <c r="AK102" s="286"/>
      <c r="AL102" s="286"/>
      <c r="AM102" s="286"/>
      <c r="AN102" s="428"/>
      <c r="AO102" s="440"/>
    </row>
    <row r="103" spans="1:41" ht="25.15" customHeight="1" x14ac:dyDescent="0.2">
      <c r="A103" s="73" t="s">
        <v>1340</v>
      </c>
      <c r="B103" s="153" t="s">
        <v>1341</v>
      </c>
      <c r="C103" s="213"/>
      <c r="D103" s="747"/>
      <c r="E103" s="61" t="s">
        <v>1500</v>
      </c>
      <c r="F103" s="61" t="s">
        <v>1510</v>
      </c>
      <c r="G103" s="68" t="s">
        <v>1223</v>
      </c>
      <c r="H103" s="442" t="s">
        <v>700</v>
      </c>
      <c r="I103" s="115"/>
      <c r="J103" s="766" t="s">
        <v>1502</v>
      </c>
      <c r="K103" s="769" t="s">
        <v>1503</v>
      </c>
      <c r="L103" s="746" t="s">
        <v>1504</v>
      </c>
      <c r="M103" s="746" t="s">
        <v>1505</v>
      </c>
      <c r="N103" s="746" t="s">
        <v>1506</v>
      </c>
      <c r="O103" s="746" t="s">
        <v>1507</v>
      </c>
      <c r="P103" s="746" t="s">
        <v>1508</v>
      </c>
      <c r="Q103" s="746" t="s">
        <v>1509</v>
      </c>
      <c r="R103" s="732" t="s">
        <v>1232</v>
      </c>
      <c r="S103" s="732" t="s">
        <v>1232</v>
      </c>
      <c r="T103" s="732" t="s">
        <v>1232</v>
      </c>
      <c r="U103" s="732" t="s">
        <v>1232</v>
      </c>
      <c r="V103" s="732" t="s">
        <v>1232</v>
      </c>
      <c r="W103" s="659"/>
      <c r="X103" s="487"/>
      <c r="Y103" s="487"/>
      <c r="Z103" s="654"/>
      <c r="AA103" s="297"/>
      <c r="AB103" s="297"/>
      <c r="AD103" s="286"/>
      <c r="AE103" s="286"/>
      <c r="AF103" s="286"/>
      <c r="AG103" s="286"/>
      <c r="AH103" s="286"/>
      <c r="AI103" s="286"/>
      <c r="AJ103" s="286"/>
      <c r="AK103" s="286"/>
      <c r="AL103" s="286"/>
      <c r="AM103" s="286"/>
      <c r="AN103" s="428"/>
      <c r="AO103" s="440" t="str">
        <f t="shared" si="0"/>
        <v/>
      </c>
    </row>
    <row r="104" spans="1:41" ht="15" customHeight="1" x14ac:dyDescent="0.2">
      <c r="A104" s="73"/>
      <c r="B104" s="153"/>
      <c r="C104" s="213"/>
      <c r="D104" s="738"/>
      <c r="E104" s="739"/>
      <c r="F104" s="739"/>
      <c r="G104" s="739"/>
      <c r="H104" s="739"/>
      <c r="I104" s="740"/>
      <c r="J104" s="122"/>
      <c r="K104" s="123"/>
      <c r="L104" s="98"/>
      <c r="M104" s="98"/>
      <c r="N104" s="98"/>
      <c r="O104" s="98"/>
      <c r="P104" s="98"/>
      <c r="Q104" s="98"/>
      <c r="R104" s="99"/>
      <c r="S104" s="99"/>
      <c r="T104" s="99"/>
      <c r="U104" s="99"/>
      <c r="V104" s="99"/>
      <c r="W104" s="486" t="str">
        <f>IF(I105="No", "Comments","") &amp; IF(I105="N/A", "Comments","")</f>
        <v/>
      </c>
      <c r="X104" s="486"/>
      <c r="Y104" s="486"/>
      <c r="Z104" s="514"/>
      <c r="AA104" s="173"/>
      <c r="AB104" s="173"/>
      <c r="AD104" s="286"/>
      <c r="AE104" s="286"/>
      <c r="AF104" s="286"/>
      <c r="AG104" s="286"/>
      <c r="AH104" s="286"/>
      <c r="AI104" s="286"/>
      <c r="AJ104" s="286"/>
      <c r="AK104" s="286"/>
      <c r="AL104" s="286"/>
      <c r="AM104" s="286"/>
      <c r="AN104" s="428"/>
      <c r="AO104" s="440"/>
    </row>
    <row r="105" spans="1:41" ht="37.15" customHeight="1" x14ac:dyDescent="0.2">
      <c r="A105" s="73" t="s">
        <v>1340</v>
      </c>
      <c r="B105" s="153" t="s">
        <v>1341</v>
      </c>
      <c r="C105" s="213"/>
      <c r="D105" s="747" t="s">
        <v>1511</v>
      </c>
      <c r="E105" s="61" t="s">
        <v>1512</v>
      </c>
      <c r="F105" s="61" t="s">
        <v>1513</v>
      </c>
      <c r="G105" s="68" t="s">
        <v>1223</v>
      </c>
      <c r="H105" s="442" t="s">
        <v>703</v>
      </c>
      <c r="I105" s="115"/>
      <c r="J105" s="764" t="s">
        <v>1514</v>
      </c>
      <c r="K105" s="767" t="s">
        <v>1515</v>
      </c>
      <c r="L105" s="728" t="s">
        <v>1516</v>
      </c>
      <c r="M105" s="728" t="s">
        <v>1517</v>
      </c>
      <c r="N105" s="728" t="s">
        <v>1518</v>
      </c>
      <c r="O105" s="728" t="s">
        <v>1519</v>
      </c>
      <c r="P105" s="728" t="s">
        <v>1520</v>
      </c>
      <c r="Q105" s="728" t="s">
        <v>1521</v>
      </c>
      <c r="R105" s="730" t="s">
        <v>1232</v>
      </c>
      <c r="S105" s="730" t="s">
        <v>1232</v>
      </c>
      <c r="T105" s="730" t="s">
        <v>1232</v>
      </c>
      <c r="U105" s="730" t="s">
        <v>1232</v>
      </c>
      <c r="V105" s="730" t="s">
        <v>1232</v>
      </c>
      <c r="W105" s="659"/>
      <c r="X105" s="487"/>
      <c r="Y105" s="487"/>
      <c r="Z105" s="654"/>
      <c r="AA105" s="297"/>
      <c r="AB105" s="297"/>
      <c r="AD105" s="286"/>
      <c r="AE105" s="286"/>
      <c r="AF105" s="286"/>
      <c r="AG105" s="286"/>
      <c r="AH105" s="286"/>
      <c r="AI105" s="286"/>
      <c r="AJ105" s="286"/>
      <c r="AK105" s="286"/>
      <c r="AL105" s="286"/>
      <c r="AM105" s="286"/>
      <c r="AN105" s="428"/>
      <c r="AO105" s="440" t="str">
        <f t="shared" si="0"/>
        <v/>
      </c>
    </row>
    <row r="106" spans="1:41" ht="15.6" customHeight="1" x14ac:dyDescent="0.2">
      <c r="A106" s="73"/>
      <c r="B106" s="153"/>
      <c r="C106" s="213"/>
      <c r="D106" s="747"/>
      <c r="E106" s="61"/>
      <c r="F106" s="61"/>
      <c r="G106" s="68"/>
      <c r="H106" s="741"/>
      <c r="I106" s="740"/>
      <c r="J106" s="765"/>
      <c r="K106" s="768"/>
      <c r="L106" s="729"/>
      <c r="M106" s="729"/>
      <c r="N106" s="729"/>
      <c r="O106" s="729"/>
      <c r="P106" s="729"/>
      <c r="Q106" s="729"/>
      <c r="R106" s="731"/>
      <c r="S106" s="731"/>
      <c r="T106" s="731"/>
      <c r="U106" s="731"/>
      <c r="V106" s="731"/>
      <c r="W106" s="486" t="str">
        <f>IF(I107="No", "Comments","") &amp; IF(I107="N/A", "Comments","")</f>
        <v/>
      </c>
      <c r="X106" s="486"/>
      <c r="Y106" s="486"/>
      <c r="Z106" s="514"/>
      <c r="AA106" s="173"/>
      <c r="AB106" s="173"/>
      <c r="AD106" s="286"/>
      <c r="AE106" s="286"/>
      <c r="AF106" s="286"/>
      <c r="AG106" s="286"/>
      <c r="AH106" s="286"/>
      <c r="AI106" s="286"/>
      <c r="AJ106" s="286"/>
      <c r="AK106" s="286"/>
      <c r="AL106" s="286"/>
      <c r="AM106" s="286"/>
      <c r="AN106" s="428"/>
      <c r="AO106" s="440"/>
    </row>
    <row r="107" spans="1:41" ht="25.15" customHeight="1" x14ac:dyDescent="0.2">
      <c r="A107" s="73" t="s">
        <v>1340</v>
      </c>
      <c r="B107" s="153" t="s">
        <v>1341</v>
      </c>
      <c r="C107" s="213"/>
      <c r="D107" s="747"/>
      <c r="E107" s="61" t="s">
        <v>1512</v>
      </c>
      <c r="F107" s="61" t="s">
        <v>1522</v>
      </c>
      <c r="G107" s="68" t="s">
        <v>1223</v>
      </c>
      <c r="H107" s="442" t="s">
        <v>706</v>
      </c>
      <c r="I107" s="115"/>
      <c r="J107" s="766" t="s">
        <v>1514</v>
      </c>
      <c r="K107" s="769" t="s">
        <v>1515</v>
      </c>
      <c r="L107" s="746" t="s">
        <v>1516</v>
      </c>
      <c r="M107" s="746" t="s">
        <v>1517</v>
      </c>
      <c r="N107" s="746" t="s">
        <v>1518</v>
      </c>
      <c r="O107" s="746" t="s">
        <v>1519</v>
      </c>
      <c r="P107" s="746" t="s">
        <v>1520</v>
      </c>
      <c r="Q107" s="746" t="s">
        <v>1521</v>
      </c>
      <c r="R107" s="732" t="s">
        <v>1232</v>
      </c>
      <c r="S107" s="732" t="s">
        <v>1232</v>
      </c>
      <c r="T107" s="732" t="s">
        <v>1232</v>
      </c>
      <c r="U107" s="732" t="s">
        <v>1232</v>
      </c>
      <c r="V107" s="732" t="s">
        <v>1232</v>
      </c>
      <c r="W107" s="659"/>
      <c r="X107" s="487"/>
      <c r="Y107" s="487"/>
      <c r="Z107" s="654"/>
      <c r="AA107" s="297"/>
      <c r="AB107" s="297"/>
      <c r="AD107" s="286"/>
      <c r="AE107" s="286"/>
      <c r="AF107" s="286"/>
      <c r="AG107" s="286"/>
      <c r="AH107" s="286"/>
      <c r="AI107" s="286"/>
      <c r="AJ107" s="286"/>
      <c r="AK107" s="286"/>
      <c r="AL107" s="286"/>
      <c r="AM107" s="286"/>
      <c r="AN107" s="428"/>
      <c r="AO107" s="440" t="str">
        <f t="shared" si="0"/>
        <v/>
      </c>
    </row>
    <row r="108" spans="1:41" ht="16.5" customHeight="1" x14ac:dyDescent="0.2">
      <c r="A108" s="73"/>
      <c r="B108" s="153"/>
      <c r="C108" s="213"/>
      <c r="D108" s="738"/>
      <c r="E108" s="739"/>
      <c r="F108" s="739"/>
      <c r="G108" s="739"/>
      <c r="H108" s="739"/>
      <c r="I108" s="740"/>
      <c r="J108" s="127"/>
      <c r="K108" s="128"/>
      <c r="L108" s="110"/>
      <c r="M108" s="110"/>
      <c r="N108" s="110"/>
      <c r="O108" s="110"/>
      <c r="P108" s="110"/>
      <c r="Q108" s="110"/>
      <c r="R108" s="111"/>
      <c r="S108" s="111"/>
      <c r="T108" s="111"/>
      <c r="U108" s="111"/>
      <c r="V108" s="111"/>
      <c r="W108" s="486" t="str">
        <f>IF(I109="No", "Comments","") &amp; IF(I109="N/A", "Comments","")</f>
        <v/>
      </c>
      <c r="X108" s="486"/>
      <c r="Y108" s="486"/>
      <c r="Z108" s="514"/>
      <c r="AA108" s="173"/>
      <c r="AB108" s="173"/>
      <c r="AD108" s="286"/>
      <c r="AE108" s="286"/>
      <c r="AF108" s="286"/>
      <c r="AG108" s="286"/>
      <c r="AH108" s="286"/>
      <c r="AI108" s="286"/>
      <c r="AJ108" s="286"/>
      <c r="AK108" s="286"/>
      <c r="AL108" s="286"/>
      <c r="AM108" s="286"/>
      <c r="AN108" s="428"/>
      <c r="AO108" s="440"/>
    </row>
    <row r="109" spans="1:41" ht="37.15" customHeight="1" x14ac:dyDescent="0.2">
      <c r="A109" s="73" t="s">
        <v>1340</v>
      </c>
      <c r="B109" s="153" t="s">
        <v>1341</v>
      </c>
      <c r="C109" s="213"/>
      <c r="D109" s="445" t="s">
        <v>1523</v>
      </c>
      <c r="E109" s="67" t="s">
        <v>1524</v>
      </c>
      <c r="F109" s="61" t="s">
        <v>1525</v>
      </c>
      <c r="G109" s="68" t="s">
        <v>1223</v>
      </c>
      <c r="H109" s="442" t="s">
        <v>709</v>
      </c>
      <c r="I109" s="115"/>
      <c r="J109" s="124" t="s">
        <v>1526</v>
      </c>
      <c r="K109" s="125" t="s">
        <v>1527</v>
      </c>
      <c r="L109" s="71" t="s">
        <v>1528</v>
      </c>
      <c r="M109" s="71" t="s">
        <v>1529</v>
      </c>
      <c r="N109" s="71"/>
      <c r="O109" s="71" t="s">
        <v>1530</v>
      </c>
      <c r="P109" s="71" t="s">
        <v>1531</v>
      </c>
      <c r="Q109" s="71" t="s">
        <v>1532</v>
      </c>
      <c r="R109" s="72" t="s">
        <v>1232</v>
      </c>
      <c r="S109" s="72" t="s">
        <v>1232</v>
      </c>
      <c r="T109" s="72" t="s">
        <v>1232</v>
      </c>
      <c r="U109" s="72" t="s">
        <v>1232</v>
      </c>
      <c r="V109" s="72" t="s">
        <v>1232</v>
      </c>
      <c r="W109" s="659"/>
      <c r="X109" s="487"/>
      <c r="Y109" s="487"/>
      <c r="Z109" s="654"/>
      <c r="AA109" s="297"/>
      <c r="AB109" s="297"/>
      <c r="AD109" s="286"/>
      <c r="AE109" s="286"/>
      <c r="AF109" s="286"/>
      <c r="AG109" s="286"/>
      <c r="AH109" s="286"/>
      <c r="AI109" s="286"/>
      <c r="AJ109" s="286"/>
      <c r="AK109" s="286"/>
      <c r="AL109" s="286"/>
      <c r="AM109" s="286"/>
      <c r="AN109" s="428"/>
      <c r="AO109" s="440" t="str">
        <f t="shared" si="0"/>
        <v/>
      </c>
    </row>
    <row r="110" spans="1:41" ht="21.6" customHeight="1" x14ac:dyDescent="0.2">
      <c r="A110" s="73"/>
      <c r="B110" s="153"/>
      <c r="C110" s="213"/>
      <c r="D110" s="738"/>
      <c r="E110" s="739"/>
      <c r="F110" s="739"/>
      <c r="G110" s="739"/>
      <c r="H110" s="739"/>
      <c r="I110" s="740"/>
      <c r="J110" s="129"/>
      <c r="K110" s="130"/>
      <c r="L110" s="114"/>
      <c r="M110" s="114"/>
      <c r="N110" s="114"/>
      <c r="O110" s="114"/>
      <c r="P110" s="114"/>
      <c r="Q110" s="114"/>
      <c r="R110" s="107"/>
      <c r="S110" s="107"/>
      <c r="T110" s="107"/>
      <c r="U110" s="107"/>
      <c r="V110" s="107"/>
      <c r="W110" s="486" t="str">
        <f>IF(I111="No", "Comments","") &amp; IF(I111="N/A", "Comments","")</f>
        <v/>
      </c>
      <c r="X110" s="486"/>
      <c r="Y110" s="486"/>
      <c r="Z110" s="514"/>
      <c r="AA110" s="173"/>
      <c r="AB110" s="173"/>
      <c r="AD110" s="286"/>
      <c r="AE110" s="286"/>
      <c r="AF110" s="286"/>
      <c r="AG110" s="286"/>
      <c r="AH110" s="286"/>
      <c r="AI110" s="286"/>
      <c r="AJ110" s="286"/>
      <c r="AK110" s="286"/>
      <c r="AL110" s="286"/>
      <c r="AM110" s="286"/>
      <c r="AN110" s="428"/>
      <c r="AO110" s="440"/>
    </row>
    <row r="111" spans="1:41" ht="37.15" customHeight="1" thickBot="1" x14ac:dyDescent="0.25">
      <c r="A111" s="73" t="s">
        <v>1340</v>
      </c>
      <c r="B111" s="153" t="s">
        <v>1341</v>
      </c>
      <c r="C111" s="213"/>
      <c r="D111" s="445" t="s">
        <v>1533</v>
      </c>
      <c r="E111" s="61" t="s">
        <v>1534</v>
      </c>
      <c r="F111" s="61" t="s">
        <v>1535</v>
      </c>
      <c r="G111" s="68" t="s">
        <v>1223</v>
      </c>
      <c r="H111" s="442" t="s">
        <v>712</v>
      </c>
      <c r="I111" s="115"/>
      <c r="J111" s="120"/>
      <c r="K111" s="121"/>
      <c r="L111" s="106" t="s">
        <v>1536</v>
      </c>
      <c r="M111" s="106" t="s">
        <v>1537</v>
      </c>
      <c r="N111" s="106" t="s">
        <v>1538</v>
      </c>
      <c r="O111" s="106" t="s">
        <v>1539</v>
      </c>
      <c r="P111" s="106" t="s">
        <v>1540</v>
      </c>
      <c r="Q111" s="106" t="s">
        <v>1541</v>
      </c>
      <c r="R111" s="107" t="s">
        <v>1232</v>
      </c>
      <c r="S111" s="107" t="s">
        <v>1232</v>
      </c>
      <c r="T111" s="107" t="s">
        <v>1232</v>
      </c>
      <c r="U111" s="107" t="s">
        <v>1232</v>
      </c>
      <c r="V111" s="107" t="s">
        <v>1232</v>
      </c>
      <c r="W111" s="659"/>
      <c r="X111" s="487"/>
      <c r="Y111" s="487"/>
      <c r="Z111" s="654"/>
      <c r="AA111" s="297"/>
      <c r="AB111" s="297"/>
      <c r="AD111" s="286"/>
      <c r="AE111" s="286"/>
      <c r="AF111" s="286"/>
      <c r="AG111" s="286"/>
      <c r="AH111" s="286"/>
      <c r="AI111" s="286"/>
      <c r="AJ111" s="286"/>
      <c r="AK111" s="286"/>
      <c r="AL111" s="286"/>
      <c r="AM111" s="286"/>
      <c r="AN111" s="428"/>
      <c r="AO111" s="440" t="str">
        <f t="shared" si="0"/>
        <v/>
      </c>
    </row>
    <row r="112" spans="1:41" ht="27" customHeight="1" thickBot="1" x14ac:dyDescent="0.25">
      <c r="A112" s="62" t="s">
        <v>1542</v>
      </c>
      <c r="B112" s="218" t="s">
        <v>1543</v>
      </c>
      <c r="C112" s="229"/>
      <c r="D112" s="736" t="s">
        <v>1543</v>
      </c>
      <c r="E112" s="737"/>
      <c r="F112" s="737"/>
      <c r="G112" s="737"/>
      <c r="H112" s="737"/>
      <c r="I112" s="737"/>
      <c r="J112" s="77"/>
      <c r="K112" s="77"/>
      <c r="L112" s="64"/>
      <c r="M112" s="64"/>
      <c r="N112" s="64"/>
      <c r="O112" s="64"/>
      <c r="P112" s="64"/>
      <c r="Q112" s="64"/>
      <c r="R112" s="65"/>
      <c r="S112" s="65"/>
      <c r="T112" s="65"/>
      <c r="U112" s="65"/>
      <c r="V112" s="65"/>
      <c r="W112" s="788"/>
      <c r="X112" s="788"/>
      <c r="Y112" s="788"/>
      <c r="Z112" s="789"/>
      <c r="AA112" s="303"/>
      <c r="AB112" s="303"/>
      <c r="AD112" s="286"/>
      <c r="AE112" s="286"/>
      <c r="AF112" s="286"/>
      <c r="AG112" s="286"/>
      <c r="AH112" s="286"/>
      <c r="AI112" s="286"/>
      <c r="AJ112" s="286"/>
      <c r="AK112" s="286"/>
      <c r="AL112" s="286"/>
      <c r="AM112" s="286"/>
      <c r="AN112" s="428"/>
      <c r="AO112" s="440" t="str">
        <f t="shared" si="0"/>
        <v/>
      </c>
    </row>
    <row r="113" spans="1:41" ht="17.25" customHeight="1" x14ac:dyDescent="0.2">
      <c r="A113" s="100"/>
      <c r="B113" s="296"/>
      <c r="C113" s="214"/>
      <c r="D113" s="738"/>
      <c r="E113" s="739"/>
      <c r="F113" s="739"/>
      <c r="G113" s="739"/>
      <c r="H113" s="739"/>
      <c r="I113" s="740"/>
      <c r="J113" s="131"/>
      <c r="K113" s="131"/>
      <c r="L113" s="102"/>
      <c r="M113" s="102"/>
      <c r="N113" s="102"/>
      <c r="O113" s="102"/>
      <c r="P113" s="102"/>
      <c r="Q113" s="102"/>
      <c r="R113" s="103"/>
      <c r="S113" s="103"/>
      <c r="T113" s="103"/>
      <c r="U113" s="103"/>
      <c r="V113" s="103"/>
      <c r="W113" s="486" t="str">
        <f>IF(I114="No", "Comments","") &amp; IF(I114="N/A", "Comments","")</f>
        <v/>
      </c>
      <c r="X113" s="486"/>
      <c r="Y113" s="486"/>
      <c r="Z113" s="514"/>
      <c r="AA113" s="173"/>
      <c r="AB113" s="173"/>
      <c r="AD113" s="286"/>
      <c r="AE113" s="286"/>
      <c r="AF113" s="286"/>
      <c r="AG113" s="286"/>
      <c r="AH113" s="286"/>
      <c r="AI113" s="286"/>
      <c r="AJ113" s="286"/>
      <c r="AK113" s="286"/>
      <c r="AL113" s="286"/>
      <c r="AM113" s="286"/>
      <c r="AN113" s="428"/>
      <c r="AO113" s="440"/>
    </row>
    <row r="114" spans="1:41" ht="37.15" customHeight="1" x14ac:dyDescent="0.2">
      <c r="A114" s="73" t="s">
        <v>1542</v>
      </c>
      <c r="B114" s="153" t="s">
        <v>1543</v>
      </c>
      <c r="C114" s="213"/>
      <c r="D114" s="747" t="s">
        <v>1544</v>
      </c>
      <c r="E114" s="61" t="s">
        <v>1545</v>
      </c>
      <c r="F114" s="61" t="s">
        <v>1546</v>
      </c>
      <c r="G114" s="68" t="s">
        <v>1223</v>
      </c>
      <c r="H114" s="367" t="s">
        <v>715</v>
      </c>
      <c r="I114" s="115"/>
      <c r="J114" s="748" t="s">
        <v>1547</v>
      </c>
      <c r="K114" s="751"/>
      <c r="L114" s="728" t="s">
        <v>1548</v>
      </c>
      <c r="M114" s="728" t="s">
        <v>1549</v>
      </c>
      <c r="N114" s="728" t="s">
        <v>1550</v>
      </c>
      <c r="O114" s="728" t="s">
        <v>1551</v>
      </c>
      <c r="P114" s="728" t="s">
        <v>1552</v>
      </c>
      <c r="Q114" s="728" t="s">
        <v>1553</v>
      </c>
      <c r="R114" s="730" t="s">
        <v>1232</v>
      </c>
      <c r="S114" s="730" t="s">
        <v>1232</v>
      </c>
      <c r="T114" s="730" t="s">
        <v>1232</v>
      </c>
      <c r="U114" s="730" t="s">
        <v>1232</v>
      </c>
      <c r="V114" s="730" t="s">
        <v>1232</v>
      </c>
      <c r="W114" s="659"/>
      <c r="X114" s="487"/>
      <c r="Y114" s="487"/>
      <c r="Z114" s="654"/>
      <c r="AA114" s="297"/>
      <c r="AB114" s="297"/>
      <c r="AD114" s="286"/>
      <c r="AE114" s="286"/>
      <c r="AF114" s="286"/>
      <c r="AG114" s="286"/>
      <c r="AH114" s="286"/>
      <c r="AI114" s="286"/>
      <c r="AJ114" s="286"/>
      <c r="AK114" s="286"/>
      <c r="AL114" s="286"/>
      <c r="AM114" s="286"/>
      <c r="AN114" s="428"/>
      <c r="AO114" s="440" t="str">
        <f t="shared" si="0"/>
        <v/>
      </c>
    </row>
    <row r="115" spans="1:41" ht="15.75" customHeight="1" x14ac:dyDescent="0.2">
      <c r="A115" s="73"/>
      <c r="B115" s="153"/>
      <c r="C115" s="213"/>
      <c r="D115" s="747"/>
      <c r="E115" s="61"/>
      <c r="F115" s="61"/>
      <c r="G115" s="68"/>
      <c r="H115" s="741"/>
      <c r="I115" s="740"/>
      <c r="J115" s="749"/>
      <c r="K115" s="752"/>
      <c r="L115" s="729"/>
      <c r="M115" s="729"/>
      <c r="N115" s="729"/>
      <c r="O115" s="729"/>
      <c r="P115" s="729"/>
      <c r="Q115" s="729"/>
      <c r="R115" s="731"/>
      <c r="S115" s="731"/>
      <c r="T115" s="731"/>
      <c r="U115" s="731"/>
      <c r="V115" s="731"/>
      <c r="W115" s="486" t="str">
        <f>IF(I116="No", "Comments","") &amp; IF(I116="N/A", "Comments","")</f>
        <v/>
      </c>
      <c r="X115" s="486"/>
      <c r="Y115" s="486"/>
      <c r="Z115" s="514"/>
      <c r="AA115" s="173"/>
      <c r="AB115" s="173"/>
      <c r="AD115" s="286"/>
      <c r="AE115" s="286"/>
      <c r="AF115" s="286"/>
      <c r="AG115" s="286"/>
      <c r="AH115" s="286"/>
      <c r="AI115" s="286"/>
      <c r="AJ115" s="286"/>
      <c r="AK115" s="286"/>
      <c r="AL115" s="286"/>
      <c r="AM115" s="286"/>
      <c r="AN115" s="428"/>
      <c r="AO115" s="440"/>
    </row>
    <row r="116" spans="1:41" ht="25.15" customHeight="1" thickBot="1" x14ac:dyDescent="0.25">
      <c r="A116" s="73" t="s">
        <v>1542</v>
      </c>
      <c r="B116" s="153" t="s">
        <v>1543</v>
      </c>
      <c r="C116" s="213"/>
      <c r="D116" s="747"/>
      <c r="E116" s="61" t="s">
        <v>1545</v>
      </c>
      <c r="F116" s="61" t="s">
        <v>1554</v>
      </c>
      <c r="G116" s="68" t="s">
        <v>1223</v>
      </c>
      <c r="H116" s="367" t="s">
        <v>718</v>
      </c>
      <c r="I116" s="115"/>
      <c r="J116" s="762" t="s">
        <v>1547</v>
      </c>
      <c r="K116" s="763"/>
      <c r="L116" s="761" t="s">
        <v>1548</v>
      </c>
      <c r="M116" s="761" t="s">
        <v>1549</v>
      </c>
      <c r="N116" s="761" t="s">
        <v>1550</v>
      </c>
      <c r="O116" s="761" t="s">
        <v>1551</v>
      </c>
      <c r="P116" s="761" t="s">
        <v>1552</v>
      </c>
      <c r="Q116" s="761" t="s">
        <v>1553</v>
      </c>
      <c r="R116" s="760" t="s">
        <v>1232</v>
      </c>
      <c r="S116" s="760" t="s">
        <v>1232</v>
      </c>
      <c r="T116" s="760" t="s">
        <v>1232</v>
      </c>
      <c r="U116" s="760" t="s">
        <v>1232</v>
      </c>
      <c r="V116" s="760" t="s">
        <v>1232</v>
      </c>
      <c r="W116" s="659"/>
      <c r="X116" s="487"/>
      <c r="Y116" s="487"/>
      <c r="Z116" s="654"/>
      <c r="AA116" s="297"/>
      <c r="AB116" s="297"/>
      <c r="AD116" s="286"/>
      <c r="AE116" s="286"/>
      <c r="AF116" s="286"/>
      <c r="AG116" s="286"/>
      <c r="AH116" s="286"/>
      <c r="AI116" s="286"/>
      <c r="AJ116" s="286"/>
      <c r="AK116" s="286"/>
      <c r="AL116" s="286"/>
      <c r="AM116" s="286"/>
      <c r="AN116" s="428"/>
      <c r="AO116" s="440" t="str">
        <f t="shared" si="0"/>
        <v/>
      </c>
    </row>
    <row r="117" spans="1:41" ht="25.15" customHeight="1" thickBot="1" x14ac:dyDescent="0.25">
      <c r="A117" s="62" t="s">
        <v>1555</v>
      </c>
      <c r="B117" s="219" t="s">
        <v>1556</v>
      </c>
      <c r="C117" s="231"/>
      <c r="D117" s="733" t="s">
        <v>1556</v>
      </c>
      <c r="E117" s="734"/>
      <c r="F117" s="734"/>
      <c r="G117" s="734"/>
      <c r="H117" s="734"/>
      <c r="I117" s="735"/>
      <c r="J117" s="77"/>
      <c r="K117" s="77"/>
      <c r="L117" s="64"/>
      <c r="M117" s="64"/>
      <c r="N117" s="64"/>
      <c r="O117" s="64"/>
      <c r="P117" s="64"/>
      <c r="Q117" s="64"/>
      <c r="R117" s="65"/>
      <c r="S117" s="65"/>
      <c r="T117" s="65"/>
      <c r="U117" s="65"/>
      <c r="V117" s="65"/>
      <c r="W117" s="788"/>
      <c r="X117" s="788"/>
      <c r="Y117" s="788"/>
      <c r="Z117" s="789"/>
      <c r="AA117" s="303"/>
      <c r="AB117" s="303"/>
      <c r="AD117" s="286"/>
      <c r="AE117" s="286"/>
      <c r="AF117" s="286"/>
      <c r="AG117" s="286"/>
      <c r="AH117" s="286"/>
      <c r="AI117" s="286"/>
      <c r="AJ117" s="286"/>
      <c r="AK117" s="286"/>
      <c r="AL117" s="286"/>
      <c r="AM117" s="286"/>
      <c r="AN117" s="428"/>
      <c r="AO117" s="440" t="str">
        <f t="shared" si="0"/>
        <v/>
      </c>
    </row>
    <row r="118" spans="1:41" ht="18.75" customHeight="1" x14ac:dyDescent="0.2">
      <c r="A118" s="100"/>
      <c r="B118" s="296"/>
      <c r="C118" s="214"/>
      <c r="D118" s="738"/>
      <c r="E118" s="739"/>
      <c r="F118" s="739"/>
      <c r="G118" s="739"/>
      <c r="H118" s="739"/>
      <c r="I118" s="740"/>
      <c r="J118" s="131"/>
      <c r="K118" s="131"/>
      <c r="L118" s="102"/>
      <c r="M118" s="102"/>
      <c r="N118" s="102"/>
      <c r="O118" s="102"/>
      <c r="P118" s="102"/>
      <c r="Q118" s="102"/>
      <c r="R118" s="103"/>
      <c r="S118" s="103"/>
      <c r="T118" s="103"/>
      <c r="U118" s="103"/>
      <c r="V118" s="103"/>
      <c r="W118" s="486" t="str">
        <f>IF(I119="No", "Comments","") &amp; IF(I119="N/A", "Comments","")</f>
        <v/>
      </c>
      <c r="X118" s="486"/>
      <c r="Y118" s="486"/>
      <c r="Z118" s="514"/>
      <c r="AA118" s="173"/>
      <c r="AB118" s="173"/>
      <c r="AD118" s="286"/>
      <c r="AE118" s="286"/>
      <c r="AF118" s="286"/>
      <c r="AG118" s="286"/>
      <c r="AH118" s="286"/>
      <c r="AI118" s="286"/>
      <c r="AJ118" s="286"/>
      <c r="AK118" s="286"/>
      <c r="AL118" s="286"/>
      <c r="AM118" s="286"/>
      <c r="AN118" s="428"/>
      <c r="AO118" s="440"/>
    </row>
    <row r="119" spans="1:41" ht="53.1" customHeight="1" x14ac:dyDescent="0.2">
      <c r="A119" s="73" t="s">
        <v>1555</v>
      </c>
      <c r="B119" s="153" t="s">
        <v>1556</v>
      </c>
      <c r="C119" s="213"/>
      <c r="D119" s="747" t="s">
        <v>1557</v>
      </c>
      <c r="E119" s="61" t="s">
        <v>1558</v>
      </c>
      <c r="F119" s="61" t="s">
        <v>1559</v>
      </c>
      <c r="G119" s="68" t="s">
        <v>1560</v>
      </c>
      <c r="H119" s="367" t="s">
        <v>721</v>
      </c>
      <c r="I119" s="115"/>
      <c r="J119" s="748" t="s">
        <v>1561</v>
      </c>
      <c r="K119" s="751" t="s">
        <v>1562</v>
      </c>
      <c r="L119" s="728" t="s">
        <v>1563</v>
      </c>
      <c r="M119" s="728" t="s">
        <v>1564</v>
      </c>
      <c r="N119" s="728"/>
      <c r="O119" s="728"/>
      <c r="P119" s="728" t="s">
        <v>1565</v>
      </c>
      <c r="Q119" s="728" t="s">
        <v>1566</v>
      </c>
      <c r="R119" s="730" t="s">
        <v>1232</v>
      </c>
      <c r="S119" s="730" t="s">
        <v>1232</v>
      </c>
      <c r="T119" s="730" t="s">
        <v>1232</v>
      </c>
      <c r="U119" s="730" t="s">
        <v>1232</v>
      </c>
      <c r="V119" s="730" t="s">
        <v>1232</v>
      </c>
      <c r="W119" s="659"/>
      <c r="X119" s="487"/>
      <c r="Y119" s="487"/>
      <c r="Z119" s="654"/>
      <c r="AA119" s="297"/>
      <c r="AB119" s="297"/>
      <c r="AD119" s="286"/>
      <c r="AE119" s="286"/>
      <c r="AF119" s="286"/>
      <c r="AG119" s="286"/>
      <c r="AH119" s="286"/>
      <c r="AI119" s="286"/>
      <c r="AJ119" s="286"/>
      <c r="AK119" s="286"/>
      <c r="AL119" s="286"/>
      <c r="AM119" s="286"/>
      <c r="AN119" s="428"/>
      <c r="AO119" s="440" t="str">
        <f t="shared" si="0"/>
        <v/>
      </c>
    </row>
    <row r="120" spans="1:41" ht="20.25" customHeight="1" x14ac:dyDescent="0.2">
      <c r="A120" s="73"/>
      <c r="B120" s="153"/>
      <c r="C120" s="213"/>
      <c r="D120" s="747"/>
      <c r="E120" s="61"/>
      <c r="F120" s="61"/>
      <c r="G120" s="68"/>
      <c r="H120" s="741"/>
      <c r="I120" s="740"/>
      <c r="J120" s="749"/>
      <c r="K120" s="752"/>
      <c r="L120" s="729"/>
      <c r="M120" s="729"/>
      <c r="N120" s="729"/>
      <c r="O120" s="729"/>
      <c r="P120" s="729"/>
      <c r="Q120" s="729"/>
      <c r="R120" s="731"/>
      <c r="S120" s="731"/>
      <c r="T120" s="731"/>
      <c r="U120" s="731"/>
      <c r="V120" s="731"/>
      <c r="W120" s="486" t="str">
        <f>IF(I121="No", "Comments","") &amp; IF(I121="N/A", "Comments","")</f>
        <v/>
      </c>
      <c r="X120" s="486"/>
      <c r="Y120" s="486"/>
      <c r="Z120" s="514"/>
      <c r="AA120" s="173"/>
      <c r="AB120" s="173"/>
      <c r="AD120" s="286"/>
      <c r="AE120" s="286"/>
      <c r="AF120" s="286"/>
      <c r="AG120" s="286"/>
      <c r="AH120" s="286"/>
      <c r="AI120" s="286"/>
      <c r="AJ120" s="286"/>
      <c r="AK120" s="286"/>
      <c r="AL120" s="286"/>
      <c r="AM120" s="286"/>
      <c r="AN120" s="428"/>
      <c r="AO120" s="440"/>
    </row>
    <row r="121" spans="1:41" ht="37.15" customHeight="1" thickBot="1" x14ac:dyDescent="0.25">
      <c r="A121" s="73" t="s">
        <v>1555</v>
      </c>
      <c r="B121" s="153" t="s">
        <v>1556</v>
      </c>
      <c r="C121" s="213"/>
      <c r="D121" s="747"/>
      <c r="E121" s="61" t="s">
        <v>1558</v>
      </c>
      <c r="F121" s="61" t="s">
        <v>1567</v>
      </c>
      <c r="G121" s="68" t="s">
        <v>1560</v>
      </c>
      <c r="H121" s="449" t="s">
        <v>724</v>
      </c>
      <c r="I121" s="115"/>
      <c r="J121" s="749"/>
      <c r="K121" s="752"/>
      <c r="L121" s="729"/>
      <c r="M121" s="729"/>
      <c r="N121" s="729"/>
      <c r="O121" s="729"/>
      <c r="P121" s="729"/>
      <c r="Q121" s="729"/>
      <c r="R121" s="731"/>
      <c r="S121" s="731"/>
      <c r="T121" s="731"/>
      <c r="U121" s="731"/>
      <c r="V121" s="731"/>
      <c r="W121" s="659"/>
      <c r="X121" s="487"/>
      <c r="Y121" s="487"/>
      <c r="Z121" s="654"/>
      <c r="AA121" s="297"/>
      <c r="AB121" s="297"/>
      <c r="AD121" s="286"/>
      <c r="AE121" s="286"/>
      <c r="AF121" s="286"/>
      <c r="AG121" s="286"/>
      <c r="AH121" s="286"/>
      <c r="AI121" s="286"/>
      <c r="AJ121" s="286"/>
      <c r="AK121" s="286"/>
      <c r="AL121" s="286"/>
      <c r="AM121" s="286"/>
      <c r="AN121" s="428"/>
      <c r="AO121" s="440" t="str">
        <f t="shared" si="0"/>
        <v/>
      </c>
    </row>
    <row r="122" spans="1:41" ht="25.15" customHeight="1" thickBot="1" x14ac:dyDescent="0.25">
      <c r="A122" s="62" t="s">
        <v>1568</v>
      </c>
      <c r="B122" s="230" t="s">
        <v>1569</v>
      </c>
      <c r="C122" s="232"/>
      <c r="D122" s="736" t="s">
        <v>1569</v>
      </c>
      <c r="E122" s="737"/>
      <c r="F122" s="737"/>
      <c r="G122" s="737"/>
      <c r="H122" s="737"/>
      <c r="I122" s="737"/>
      <c r="J122" s="77"/>
      <c r="K122" s="77"/>
      <c r="L122" s="64"/>
      <c r="M122" s="64"/>
      <c r="N122" s="64"/>
      <c r="O122" s="64"/>
      <c r="P122" s="64"/>
      <c r="Q122" s="64"/>
      <c r="R122" s="65"/>
      <c r="S122" s="65"/>
      <c r="T122" s="65"/>
      <c r="U122" s="65"/>
      <c r="V122" s="65"/>
      <c r="W122" s="788"/>
      <c r="X122" s="788"/>
      <c r="Y122" s="788"/>
      <c r="Z122" s="789"/>
      <c r="AA122" s="303"/>
      <c r="AB122" s="303"/>
      <c r="AD122" s="286"/>
      <c r="AE122" s="286"/>
      <c r="AF122" s="286"/>
      <c r="AG122" s="286"/>
      <c r="AH122" s="286"/>
      <c r="AI122" s="286"/>
      <c r="AJ122" s="286"/>
      <c r="AK122" s="286"/>
      <c r="AL122" s="286"/>
      <c r="AM122" s="286"/>
      <c r="AN122" s="428"/>
      <c r="AO122" s="440" t="str">
        <f t="shared" si="0"/>
        <v/>
      </c>
    </row>
    <row r="123" spans="1:41" ht="18.75" customHeight="1" thickBot="1" x14ac:dyDescent="0.25">
      <c r="A123" s="100"/>
      <c r="B123" s="296"/>
      <c r="C123" s="214"/>
      <c r="D123" s="738"/>
      <c r="E123" s="739"/>
      <c r="F123" s="739"/>
      <c r="G123" s="739"/>
      <c r="H123" s="739"/>
      <c r="I123" s="740"/>
      <c r="J123" s="133"/>
      <c r="K123" s="133"/>
      <c r="L123" s="134"/>
      <c r="M123" s="134"/>
      <c r="N123" s="134"/>
      <c r="O123" s="134"/>
      <c r="P123" s="134"/>
      <c r="Q123" s="134"/>
      <c r="R123" s="135"/>
      <c r="S123" s="135"/>
      <c r="T123" s="135"/>
      <c r="U123" s="135"/>
      <c r="V123" s="135"/>
      <c r="W123" s="486" t="str">
        <f>IF(I124="No", "Comments","") &amp; IF(I124="N/A", "Comments","")</f>
        <v/>
      </c>
      <c r="X123" s="486"/>
      <c r="Y123" s="486"/>
      <c r="Z123" s="514"/>
      <c r="AA123" s="173"/>
      <c r="AB123" s="173"/>
      <c r="AD123" s="286"/>
      <c r="AE123" s="286"/>
      <c r="AF123" s="286"/>
      <c r="AG123" s="286"/>
      <c r="AH123" s="286"/>
      <c r="AI123" s="286"/>
      <c r="AJ123" s="286"/>
      <c r="AK123" s="286"/>
      <c r="AL123" s="286"/>
      <c r="AM123" s="286"/>
      <c r="AN123" s="428"/>
      <c r="AO123" s="440"/>
    </row>
    <row r="124" spans="1:41" ht="25.15" customHeight="1" x14ac:dyDescent="0.2">
      <c r="A124" s="73" t="s">
        <v>1568</v>
      </c>
      <c r="B124" s="153" t="s">
        <v>1569</v>
      </c>
      <c r="C124" s="213"/>
      <c r="D124" s="747" t="s">
        <v>1570</v>
      </c>
      <c r="E124" s="61" t="s">
        <v>1571</v>
      </c>
      <c r="F124" s="61" t="s">
        <v>1572</v>
      </c>
      <c r="G124" s="68" t="s">
        <v>1223</v>
      </c>
      <c r="H124" s="367" t="s">
        <v>727</v>
      </c>
      <c r="I124" s="115"/>
      <c r="J124" s="758" t="s">
        <v>1573</v>
      </c>
      <c r="K124" s="759" t="s">
        <v>1574</v>
      </c>
      <c r="L124" s="754" t="s">
        <v>1575</v>
      </c>
      <c r="M124" s="754" t="s">
        <v>1576</v>
      </c>
      <c r="N124" s="754" t="s">
        <v>1577</v>
      </c>
      <c r="O124" s="754" t="s">
        <v>1578</v>
      </c>
      <c r="P124" s="754" t="s">
        <v>1579</v>
      </c>
      <c r="Q124" s="754" t="s">
        <v>1580</v>
      </c>
      <c r="R124" s="745" t="s">
        <v>1232</v>
      </c>
      <c r="S124" s="745" t="s">
        <v>1232</v>
      </c>
      <c r="T124" s="745" t="s">
        <v>1232</v>
      </c>
      <c r="U124" s="745" t="s">
        <v>1232</v>
      </c>
      <c r="V124" s="745" t="s">
        <v>1232</v>
      </c>
      <c r="W124" s="659"/>
      <c r="X124" s="487"/>
      <c r="Y124" s="487"/>
      <c r="Z124" s="654"/>
      <c r="AA124" s="297"/>
      <c r="AB124" s="297"/>
      <c r="AD124" s="286"/>
      <c r="AE124" s="286"/>
      <c r="AF124" s="286"/>
      <c r="AG124" s="286"/>
      <c r="AH124" s="286"/>
      <c r="AI124" s="286"/>
      <c r="AJ124" s="286"/>
      <c r="AK124" s="286"/>
      <c r="AL124" s="286"/>
      <c r="AM124" s="286"/>
      <c r="AN124" s="428"/>
      <c r="AO124" s="440" t="str">
        <f t="shared" si="0"/>
        <v/>
      </c>
    </row>
    <row r="125" spans="1:41" ht="17.25" x14ac:dyDescent="0.2">
      <c r="A125" s="73"/>
      <c r="B125" s="153"/>
      <c r="C125" s="213"/>
      <c r="D125" s="747"/>
      <c r="E125" s="61"/>
      <c r="F125" s="61"/>
      <c r="G125" s="68"/>
      <c r="H125" s="741"/>
      <c r="I125" s="740"/>
      <c r="J125" s="749"/>
      <c r="K125" s="752"/>
      <c r="L125" s="729"/>
      <c r="M125" s="729"/>
      <c r="N125" s="729"/>
      <c r="O125" s="729"/>
      <c r="P125" s="729"/>
      <c r="Q125" s="729"/>
      <c r="R125" s="731"/>
      <c r="S125" s="731"/>
      <c r="T125" s="731"/>
      <c r="U125" s="731"/>
      <c r="V125" s="731"/>
      <c r="W125" s="486" t="str">
        <f>IF(I126="No", "Comments","") &amp; IF(I126="N/A", "Comments","")</f>
        <v/>
      </c>
      <c r="X125" s="486"/>
      <c r="Y125" s="486"/>
      <c r="Z125" s="514"/>
      <c r="AA125" s="173"/>
      <c r="AB125" s="173"/>
      <c r="AD125" s="286"/>
      <c r="AE125" s="286"/>
      <c r="AF125" s="286"/>
      <c r="AG125" s="286"/>
      <c r="AH125" s="286"/>
      <c r="AI125" s="286"/>
      <c r="AJ125" s="286"/>
      <c r="AK125" s="286"/>
      <c r="AL125" s="286"/>
      <c r="AM125" s="286"/>
      <c r="AN125" s="428"/>
      <c r="AO125" s="440"/>
    </row>
    <row r="126" spans="1:41" ht="37.15" customHeight="1" x14ac:dyDescent="0.2">
      <c r="A126" s="73" t="s">
        <v>1568</v>
      </c>
      <c r="B126" s="153" t="s">
        <v>1569</v>
      </c>
      <c r="C126" s="213"/>
      <c r="D126" s="747"/>
      <c r="E126" s="61" t="s">
        <v>1571</v>
      </c>
      <c r="F126" s="61" t="s">
        <v>1581</v>
      </c>
      <c r="G126" s="68" t="s">
        <v>1223</v>
      </c>
      <c r="H126" s="367" t="s">
        <v>730</v>
      </c>
      <c r="I126" s="115"/>
      <c r="J126" s="750" t="s">
        <v>1573</v>
      </c>
      <c r="K126" s="753" t="s">
        <v>1574</v>
      </c>
      <c r="L126" s="746" t="s">
        <v>1575</v>
      </c>
      <c r="M126" s="746" t="s">
        <v>1576</v>
      </c>
      <c r="N126" s="746" t="s">
        <v>1577</v>
      </c>
      <c r="O126" s="746" t="s">
        <v>1578</v>
      </c>
      <c r="P126" s="746" t="s">
        <v>1579</v>
      </c>
      <c r="Q126" s="746" t="s">
        <v>1580</v>
      </c>
      <c r="R126" s="732" t="s">
        <v>1232</v>
      </c>
      <c r="S126" s="732" t="s">
        <v>1232</v>
      </c>
      <c r="T126" s="732" t="s">
        <v>1232</v>
      </c>
      <c r="U126" s="732" t="s">
        <v>1232</v>
      </c>
      <c r="V126" s="732" t="s">
        <v>1232</v>
      </c>
      <c r="W126" s="659"/>
      <c r="X126" s="487"/>
      <c r="Y126" s="487"/>
      <c r="Z126" s="654"/>
      <c r="AA126" s="297"/>
      <c r="AB126" s="297"/>
      <c r="AD126" s="286"/>
      <c r="AE126" s="286"/>
      <c r="AF126" s="286"/>
      <c r="AG126" s="286"/>
      <c r="AH126" s="286"/>
      <c r="AI126" s="286"/>
      <c r="AJ126" s="286"/>
      <c r="AK126" s="286"/>
      <c r="AL126" s="286"/>
      <c r="AM126" s="286"/>
      <c r="AN126" s="428"/>
      <c r="AO126" s="440" t="str">
        <f t="shared" si="0"/>
        <v/>
      </c>
    </row>
    <row r="127" spans="1:41" ht="16.350000000000001" customHeight="1" x14ac:dyDescent="0.2">
      <c r="A127" s="73"/>
      <c r="B127" s="153"/>
      <c r="C127" s="213"/>
      <c r="D127" s="738"/>
      <c r="E127" s="739"/>
      <c r="F127" s="739"/>
      <c r="G127" s="739"/>
      <c r="H127" s="739"/>
      <c r="I127" s="740"/>
      <c r="J127" s="136"/>
      <c r="K127" s="137"/>
      <c r="L127" s="98"/>
      <c r="M127" s="98"/>
      <c r="N127" s="98"/>
      <c r="O127" s="98"/>
      <c r="P127" s="98"/>
      <c r="Q127" s="98"/>
      <c r="R127" s="99"/>
      <c r="S127" s="99"/>
      <c r="T127" s="99"/>
      <c r="U127" s="99"/>
      <c r="V127" s="99"/>
      <c r="W127" s="486" t="str">
        <f>IF(I128="No", "Comments","") &amp; IF(I128="N/A", "Comments","")</f>
        <v/>
      </c>
      <c r="X127" s="486"/>
      <c r="Y127" s="486"/>
      <c r="Z127" s="514"/>
      <c r="AA127" s="173"/>
      <c r="AB127" s="173"/>
      <c r="AD127" s="286"/>
      <c r="AE127" s="286"/>
      <c r="AF127" s="286"/>
      <c r="AG127" s="286"/>
      <c r="AH127" s="286"/>
      <c r="AI127" s="286"/>
      <c r="AJ127" s="286"/>
      <c r="AK127" s="286"/>
      <c r="AL127" s="286"/>
      <c r="AM127" s="286"/>
      <c r="AN127" s="428"/>
      <c r="AO127" s="440"/>
    </row>
    <row r="128" spans="1:41" ht="55.15" customHeight="1" x14ac:dyDescent="0.2">
      <c r="A128" s="73" t="s">
        <v>1568</v>
      </c>
      <c r="B128" s="153" t="s">
        <v>1569</v>
      </c>
      <c r="C128" s="213"/>
      <c r="D128" s="445" t="s">
        <v>732</v>
      </c>
      <c r="E128" s="61" t="s">
        <v>1582</v>
      </c>
      <c r="F128" s="61" t="s">
        <v>1583</v>
      </c>
      <c r="G128" s="68" t="s">
        <v>1223</v>
      </c>
      <c r="H128" s="367" t="s">
        <v>733</v>
      </c>
      <c r="I128" s="115"/>
      <c r="J128" s="138" t="s">
        <v>1584</v>
      </c>
      <c r="K128" s="139" t="s">
        <v>1585</v>
      </c>
      <c r="L128" s="106" t="s">
        <v>1586</v>
      </c>
      <c r="M128" s="106" t="s">
        <v>1587</v>
      </c>
      <c r="N128" s="106" t="s">
        <v>1588</v>
      </c>
      <c r="O128" s="106" t="s">
        <v>1578</v>
      </c>
      <c r="P128" s="106" t="s">
        <v>1589</v>
      </c>
      <c r="Q128" s="106" t="s">
        <v>1590</v>
      </c>
      <c r="R128" s="107" t="s">
        <v>1232</v>
      </c>
      <c r="S128" s="107" t="s">
        <v>1232</v>
      </c>
      <c r="T128" s="107" t="s">
        <v>1232</v>
      </c>
      <c r="U128" s="107" t="s">
        <v>1232</v>
      </c>
      <c r="V128" s="107" t="s">
        <v>1232</v>
      </c>
      <c r="W128" s="659"/>
      <c r="X128" s="487"/>
      <c r="Y128" s="487"/>
      <c r="Z128" s="654"/>
      <c r="AA128" s="297"/>
      <c r="AB128" s="297"/>
      <c r="AD128" s="286"/>
      <c r="AE128" s="286"/>
      <c r="AF128" s="286"/>
      <c r="AG128" s="286"/>
      <c r="AH128" s="286"/>
      <c r="AI128" s="286"/>
      <c r="AJ128" s="286"/>
      <c r="AK128" s="286"/>
      <c r="AL128" s="286"/>
      <c r="AM128" s="286"/>
      <c r="AN128" s="428"/>
      <c r="AO128" s="440" t="str">
        <f t="shared" si="0"/>
        <v/>
      </c>
    </row>
    <row r="129" spans="1:41" ht="18" customHeight="1" x14ac:dyDescent="0.2">
      <c r="A129" s="73"/>
      <c r="B129" s="153"/>
      <c r="C129" s="213"/>
      <c r="D129" s="738"/>
      <c r="E129" s="739"/>
      <c r="F129" s="739"/>
      <c r="G129" s="739"/>
      <c r="H129" s="739"/>
      <c r="I129" s="740"/>
      <c r="J129" s="138"/>
      <c r="K129" s="139"/>
      <c r="L129" s="106"/>
      <c r="M129" s="106"/>
      <c r="N129" s="106"/>
      <c r="O129" s="106"/>
      <c r="P129" s="106"/>
      <c r="Q129" s="106"/>
      <c r="R129" s="107"/>
      <c r="S129" s="107"/>
      <c r="T129" s="107"/>
      <c r="U129" s="107"/>
      <c r="V129" s="107"/>
      <c r="W129" s="486" t="str">
        <f>IF(I130="No", "Comments","") &amp; IF(I130="N/A", "Comments","")</f>
        <v/>
      </c>
      <c r="X129" s="486"/>
      <c r="Y129" s="486"/>
      <c r="Z129" s="514"/>
      <c r="AA129" s="173"/>
      <c r="AB129" s="173"/>
      <c r="AD129" s="286"/>
      <c r="AE129" s="286"/>
      <c r="AF129" s="286"/>
      <c r="AG129" s="286"/>
      <c r="AH129" s="286"/>
      <c r="AI129" s="286"/>
      <c r="AJ129" s="286"/>
      <c r="AK129" s="286"/>
      <c r="AL129" s="286"/>
      <c r="AM129" s="286"/>
      <c r="AN129" s="428"/>
      <c r="AO129" s="440"/>
    </row>
    <row r="130" spans="1:41" ht="37.15" customHeight="1" thickBot="1" x14ac:dyDescent="0.25">
      <c r="A130" s="73" t="s">
        <v>1568</v>
      </c>
      <c r="B130" s="153" t="s">
        <v>1569</v>
      </c>
      <c r="C130" s="213"/>
      <c r="D130" s="445" t="s">
        <v>735</v>
      </c>
      <c r="E130" s="67" t="s">
        <v>1591</v>
      </c>
      <c r="F130" s="61" t="s">
        <v>1592</v>
      </c>
      <c r="G130" s="68" t="s">
        <v>1223</v>
      </c>
      <c r="H130" s="449" t="s">
        <v>1593</v>
      </c>
      <c r="I130" s="115"/>
      <c r="J130" s="75" t="s">
        <v>1594</v>
      </c>
      <c r="K130" s="76" t="s">
        <v>1595</v>
      </c>
      <c r="L130" s="71" t="s">
        <v>1596</v>
      </c>
      <c r="M130" s="71" t="s">
        <v>1597</v>
      </c>
      <c r="N130" s="71" t="s">
        <v>1598</v>
      </c>
      <c r="O130" s="71"/>
      <c r="P130" s="71" t="s">
        <v>1599</v>
      </c>
      <c r="Q130" s="71"/>
      <c r="R130" s="72" t="s">
        <v>1232</v>
      </c>
      <c r="S130" s="72" t="s">
        <v>1232</v>
      </c>
      <c r="T130" s="72" t="s">
        <v>1232</v>
      </c>
      <c r="U130" s="72" t="s">
        <v>1232</v>
      </c>
      <c r="V130" s="72" t="s">
        <v>1232</v>
      </c>
      <c r="W130" s="659"/>
      <c r="X130" s="487"/>
      <c r="Y130" s="487"/>
      <c r="Z130" s="654"/>
      <c r="AA130" s="297"/>
      <c r="AB130" s="297"/>
      <c r="AD130" s="286"/>
      <c r="AE130" s="286"/>
      <c r="AF130" s="286"/>
      <c r="AG130" s="286"/>
      <c r="AH130" s="286"/>
      <c r="AI130" s="286"/>
      <c r="AJ130" s="286"/>
      <c r="AK130" s="286"/>
      <c r="AL130" s="286"/>
      <c r="AM130" s="286"/>
      <c r="AN130" s="428"/>
      <c r="AO130" s="440" t="str">
        <f t="shared" si="0"/>
        <v/>
      </c>
    </row>
    <row r="131" spans="1:41" ht="20.85" customHeight="1" thickBot="1" x14ac:dyDescent="0.25">
      <c r="A131" s="62" t="s">
        <v>1600</v>
      </c>
      <c r="B131" s="218" t="s">
        <v>1601</v>
      </c>
      <c r="C131" s="229"/>
      <c r="D131" s="736" t="s">
        <v>1601</v>
      </c>
      <c r="E131" s="737"/>
      <c r="F131" s="737"/>
      <c r="G131" s="737"/>
      <c r="H131" s="737"/>
      <c r="I131" s="737"/>
      <c r="J131" s="77"/>
      <c r="K131" s="77"/>
      <c r="L131" s="64"/>
      <c r="M131" s="64"/>
      <c r="N131" s="64"/>
      <c r="O131" s="64"/>
      <c r="P131" s="64"/>
      <c r="Q131" s="64"/>
      <c r="R131" s="65"/>
      <c r="S131" s="65"/>
      <c r="T131" s="65"/>
      <c r="U131" s="65"/>
      <c r="V131" s="65"/>
      <c r="W131" s="788"/>
      <c r="X131" s="788"/>
      <c r="Y131" s="788"/>
      <c r="Z131" s="789"/>
      <c r="AA131" s="303"/>
      <c r="AB131" s="303"/>
      <c r="AD131" s="286"/>
      <c r="AE131" s="286"/>
      <c r="AF131" s="286"/>
      <c r="AG131" s="286"/>
      <c r="AH131" s="286"/>
      <c r="AI131" s="286"/>
      <c r="AJ131" s="286"/>
      <c r="AK131" s="286"/>
      <c r="AL131" s="286"/>
      <c r="AM131" s="286"/>
      <c r="AN131" s="428"/>
      <c r="AO131" s="440" t="str">
        <f t="shared" si="0"/>
        <v/>
      </c>
    </row>
    <row r="132" spans="1:41" ht="17.850000000000001" customHeight="1" x14ac:dyDescent="0.2">
      <c r="A132" s="100"/>
      <c r="B132" s="296"/>
      <c r="C132" s="214"/>
      <c r="D132" s="755"/>
      <c r="E132" s="756"/>
      <c r="F132" s="756"/>
      <c r="G132" s="756"/>
      <c r="H132" s="756"/>
      <c r="I132" s="757"/>
      <c r="J132" s="131"/>
      <c r="K132" s="131"/>
      <c r="L132" s="102"/>
      <c r="M132" s="102"/>
      <c r="N132" s="102"/>
      <c r="O132" s="102"/>
      <c r="P132" s="102"/>
      <c r="Q132" s="102"/>
      <c r="R132" s="103"/>
      <c r="S132" s="103"/>
      <c r="T132" s="103"/>
      <c r="U132" s="103"/>
      <c r="V132" s="103"/>
      <c r="W132" s="486" t="str">
        <f>IF(I133="No", "Comments","") &amp; IF(I133="N/A", "Comments","")</f>
        <v/>
      </c>
      <c r="X132" s="486"/>
      <c r="Y132" s="486"/>
      <c r="Z132" s="514"/>
      <c r="AA132" s="173"/>
      <c r="AB132" s="173"/>
      <c r="AD132" s="286"/>
      <c r="AE132" s="286"/>
      <c r="AF132" s="286"/>
      <c r="AG132" s="286"/>
      <c r="AH132" s="286"/>
      <c r="AI132" s="286"/>
      <c r="AJ132" s="286"/>
      <c r="AK132" s="286"/>
      <c r="AL132" s="286"/>
      <c r="AM132" s="286"/>
      <c r="AN132" s="428"/>
      <c r="AO132" s="440"/>
    </row>
    <row r="133" spans="1:41" ht="37.15" customHeight="1" x14ac:dyDescent="0.2">
      <c r="A133" s="73" t="s">
        <v>1600</v>
      </c>
      <c r="B133" s="153" t="s">
        <v>1601</v>
      </c>
      <c r="C133" s="213"/>
      <c r="D133" s="445" t="s">
        <v>738</v>
      </c>
      <c r="E133" s="67" t="s">
        <v>1602</v>
      </c>
      <c r="F133" s="61" t="s">
        <v>1603</v>
      </c>
      <c r="G133" s="68" t="s">
        <v>1560</v>
      </c>
      <c r="H133" s="367" t="s">
        <v>739</v>
      </c>
      <c r="I133" s="115"/>
      <c r="J133" s="75" t="s">
        <v>1604</v>
      </c>
      <c r="K133" s="76" t="s">
        <v>1605</v>
      </c>
      <c r="L133" s="71" t="s">
        <v>1606</v>
      </c>
      <c r="M133" s="71"/>
      <c r="N133" s="71"/>
      <c r="O133" s="71" t="s">
        <v>1607</v>
      </c>
      <c r="P133" s="71" t="s">
        <v>1608</v>
      </c>
      <c r="Q133" s="71" t="s">
        <v>1284</v>
      </c>
      <c r="R133" s="72" t="s">
        <v>1232</v>
      </c>
      <c r="S133" s="72" t="s">
        <v>1232</v>
      </c>
      <c r="T133" s="72" t="s">
        <v>1232</v>
      </c>
      <c r="U133" s="72" t="s">
        <v>1232</v>
      </c>
      <c r="V133" s="72" t="s">
        <v>1232</v>
      </c>
      <c r="W133" s="659"/>
      <c r="X133" s="487"/>
      <c r="Y133" s="487"/>
      <c r="Z133" s="654"/>
      <c r="AA133" s="297"/>
      <c r="AB133" s="297"/>
      <c r="AD133" s="286"/>
      <c r="AE133" s="286"/>
      <c r="AF133" s="286"/>
      <c r="AG133" s="286"/>
      <c r="AH133" s="286"/>
      <c r="AI133" s="286"/>
      <c r="AJ133" s="286"/>
      <c r="AK133" s="286"/>
      <c r="AL133" s="286"/>
      <c r="AM133" s="286"/>
      <c r="AN133" s="428"/>
      <c r="AO133" s="440" t="str">
        <f t="shared" si="0"/>
        <v/>
      </c>
    </row>
    <row r="134" spans="1:41" ht="20.85" customHeight="1" x14ac:dyDescent="0.2">
      <c r="A134" s="100"/>
      <c r="B134" s="296"/>
      <c r="C134" s="214"/>
      <c r="D134" s="755"/>
      <c r="E134" s="756"/>
      <c r="F134" s="756"/>
      <c r="G134" s="756"/>
      <c r="H134" s="756"/>
      <c r="I134" s="757"/>
      <c r="J134" s="131"/>
      <c r="K134" s="131"/>
      <c r="L134" s="102"/>
      <c r="M134" s="102"/>
      <c r="N134" s="102"/>
      <c r="O134" s="102"/>
      <c r="P134" s="102"/>
      <c r="Q134" s="102"/>
      <c r="R134" s="103"/>
      <c r="S134" s="103"/>
      <c r="T134" s="103"/>
      <c r="U134" s="103"/>
      <c r="V134" s="103"/>
      <c r="W134" s="486" t="str">
        <f>IF(I135="No", "Comments","") &amp; IF(I135="N/A", "Comments","")</f>
        <v/>
      </c>
      <c r="X134" s="486"/>
      <c r="Y134" s="486"/>
      <c r="Z134" s="514"/>
      <c r="AA134" s="173"/>
      <c r="AB134" s="173"/>
      <c r="AD134" s="286"/>
      <c r="AE134" s="286"/>
      <c r="AF134" s="286"/>
      <c r="AG134" s="286"/>
      <c r="AH134" s="286"/>
      <c r="AI134" s="286"/>
      <c r="AJ134" s="286"/>
      <c r="AK134" s="286"/>
      <c r="AL134" s="286"/>
      <c r="AM134" s="286"/>
      <c r="AN134" s="428"/>
      <c r="AO134" s="440"/>
    </row>
    <row r="135" spans="1:41" ht="37.15" customHeight="1" x14ac:dyDescent="0.2">
      <c r="A135" s="73" t="s">
        <v>1600</v>
      </c>
      <c r="B135" s="153" t="s">
        <v>1601</v>
      </c>
      <c r="C135" s="213"/>
      <c r="D135" s="445" t="s">
        <v>1609</v>
      </c>
      <c r="E135" s="61" t="s">
        <v>1610</v>
      </c>
      <c r="F135" s="61" t="s">
        <v>1611</v>
      </c>
      <c r="G135" s="68" t="s">
        <v>1560</v>
      </c>
      <c r="H135" s="367" t="s">
        <v>742</v>
      </c>
      <c r="I135" s="115"/>
      <c r="J135" s="138"/>
      <c r="K135" s="139"/>
      <c r="L135" s="106" t="s">
        <v>1612</v>
      </c>
      <c r="M135" s="106" t="s">
        <v>1613</v>
      </c>
      <c r="N135" s="106"/>
      <c r="O135" s="106" t="s">
        <v>1614</v>
      </c>
      <c r="P135" s="106"/>
      <c r="Q135" s="106"/>
      <c r="R135" s="107" t="s">
        <v>1232</v>
      </c>
      <c r="S135" s="107" t="s">
        <v>1232</v>
      </c>
      <c r="T135" s="107" t="s">
        <v>1232</v>
      </c>
      <c r="U135" s="107" t="s">
        <v>1232</v>
      </c>
      <c r="V135" s="107" t="s">
        <v>1232</v>
      </c>
      <c r="W135" s="659"/>
      <c r="X135" s="487"/>
      <c r="Y135" s="487"/>
      <c r="Z135" s="654"/>
      <c r="AA135" s="297"/>
      <c r="AB135" s="297"/>
      <c r="AD135" s="286"/>
      <c r="AE135" s="286"/>
      <c r="AF135" s="286"/>
      <c r="AG135" s="286"/>
      <c r="AH135" s="286"/>
      <c r="AI135" s="286"/>
      <c r="AJ135" s="286"/>
      <c r="AK135" s="286"/>
      <c r="AL135" s="286"/>
      <c r="AM135" s="286"/>
      <c r="AN135" s="428"/>
      <c r="AO135" s="440" t="str">
        <f t="shared" ref="AO135:AO249" si="1">IF(I135="No","1","")&amp;IF(I135="N/A","2","")</f>
        <v/>
      </c>
    </row>
    <row r="136" spans="1:41" ht="20.85" customHeight="1" x14ac:dyDescent="0.2">
      <c r="A136" s="100"/>
      <c r="B136" s="296"/>
      <c r="C136" s="214"/>
      <c r="D136" s="755"/>
      <c r="E136" s="756"/>
      <c r="F136" s="756"/>
      <c r="G136" s="756"/>
      <c r="H136" s="756"/>
      <c r="I136" s="757"/>
      <c r="J136" s="131"/>
      <c r="K136" s="131"/>
      <c r="L136" s="102"/>
      <c r="M136" s="102"/>
      <c r="N136" s="102"/>
      <c r="O136" s="102"/>
      <c r="P136" s="102"/>
      <c r="Q136" s="102"/>
      <c r="R136" s="103"/>
      <c r="S136" s="103"/>
      <c r="T136" s="103"/>
      <c r="U136" s="103"/>
      <c r="V136" s="103"/>
      <c r="W136" s="486" t="str">
        <f>IF(I137="No", "Comments","") &amp; IF(I137="N/A", "Comments","")</f>
        <v/>
      </c>
      <c r="X136" s="486"/>
      <c r="Y136" s="486"/>
      <c r="Z136" s="514"/>
      <c r="AA136" s="173"/>
      <c r="AB136" s="173"/>
      <c r="AD136" s="286"/>
      <c r="AE136" s="286"/>
      <c r="AF136" s="286"/>
      <c r="AG136" s="286"/>
      <c r="AH136" s="286"/>
      <c r="AI136" s="286"/>
      <c r="AJ136" s="286"/>
      <c r="AK136" s="286"/>
      <c r="AL136" s="286"/>
      <c r="AM136" s="286"/>
      <c r="AN136" s="428"/>
      <c r="AO136" s="440"/>
    </row>
    <row r="137" spans="1:41" ht="37.15" customHeight="1" thickBot="1" x14ac:dyDescent="0.25">
      <c r="A137" s="73" t="s">
        <v>1600</v>
      </c>
      <c r="B137" s="153" t="s">
        <v>1601</v>
      </c>
      <c r="C137" s="213"/>
      <c r="D137" s="445" t="s">
        <v>1615</v>
      </c>
      <c r="E137" s="67" t="s">
        <v>1616</v>
      </c>
      <c r="F137" s="61" t="s">
        <v>1617</v>
      </c>
      <c r="G137" s="68" t="s">
        <v>1560</v>
      </c>
      <c r="H137" s="367" t="s">
        <v>745</v>
      </c>
      <c r="I137" s="115"/>
      <c r="J137" s="75"/>
      <c r="K137" s="76"/>
      <c r="L137" s="71" t="s">
        <v>1618</v>
      </c>
      <c r="M137" s="71"/>
      <c r="N137" s="71"/>
      <c r="O137" s="71"/>
      <c r="P137" s="71" t="s">
        <v>1619</v>
      </c>
      <c r="Q137" s="71" t="s">
        <v>1620</v>
      </c>
      <c r="R137" s="72" t="s">
        <v>1232</v>
      </c>
      <c r="S137" s="72" t="s">
        <v>1232</v>
      </c>
      <c r="T137" s="72" t="s">
        <v>1232</v>
      </c>
      <c r="U137" s="72" t="s">
        <v>1232</v>
      </c>
      <c r="V137" s="72" t="s">
        <v>1232</v>
      </c>
      <c r="W137" s="659"/>
      <c r="X137" s="487"/>
      <c r="Y137" s="487"/>
      <c r="Z137" s="654"/>
      <c r="AA137" s="297"/>
      <c r="AB137" s="297"/>
      <c r="AD137" s="286"/>
      <c r="AE137" s="286"/>
      <c r="AF137" s="286"/>
      <c r="AG137" s="286"/>
      <c r="AH137" s="286"/>
      <c r="AI137" s="286"/>
      <c r="AJ137" s="286"/>
      <c r="AK137" s="286"/>
      <c r="AL137" s="286"/>
      <c r="AM137" s="286"/>
      <c r="AN137" s="428"/>
      <c r="AO137" s="440" t="str">
        <f t="shared" si="1"/>
        <v/>
      </c>
    </row>
    <row r="138" spans="1:41" ht="25.15" customHeight="1" thickBot="1" x14ac:dyDescent="0.25">
      <c r="A138" s="62" t="s">
        <v>1621</v>
      </c>
      <c r="B138" s="218" t="s">
        <v>1622</v>
      </c>
      <c r="C138" s="229"/>
      <c r="D138" s="736" t="s">
        <v>1622</v>
      </c>
      <c r="E138" s="737"/>
      <c r="F138" s="737"/>
      <c r="G138" s="737"/>
      <c r="H138" s="737"/>
      <c r="I138" s="737"/>
      <c r="J138" s="77"/>
      <c r="K138" s="77"/>
      <c r="L138" s="64"/>
      <c r="M138" s="64"/>
      <c r="N138" s="64"/>
      <c r="O138" s="64"/>
      <c r="P138" s="64"/>
      <c r="Q138" s="64"/>
      <c r="R138" s="65"/>
      <c r="S138" s="65"/>
      <c r="T138" s="65"/>
      <c r="U138" s="65"/>
      <c r="V138" s="65"/>
      <c r="W138" s="788"/>
      <c r="X138" s="788"/>
      <c r="Y138" s="788"/>
      <c r="Z138" s="789"/>
      <c r="AA138" s="303"/>
      <c r="AB138" s="303"/>
      <c r="AD138" s="286"/>
      <c r="AE138" s="286"/>
      <c r="AF138" s="286"/>
      <c r="AG138" s="286"/>
      <c r="AH138" s="286"/>
      <c r="AI138" s="286"/>
      <c r="AJ138" s="286"/>
      <c r="AK138" s="286"/>
      <c r="AL138" s="286"/>
      <c r="AM138" s="286"/>
      <c r="AN138" s="428"/>
      <c r="AO138" s="440" t="str">
        <f t="shared" si="1"/>
        <v/>
      </c>
    </row>
    <row r="139" spans="1:41" ht="20.85" customHeight="1" x14ac:dyDescent="0.2">
      <c r="A139" s="100"/>
      <c r="B139" s="296"/>
      <c r="C139" s="214"/>
      <c r="D139" s="755"/>
      <c r="E139" s="756"/>
      <c r="F139" s="756"/>
      <c r="G139" s="756"/>
      <c r="H139" s="756"/>
      <c r="I139" s="757"/>
      <c r="J139" s="131"/>
      <c r="K139" s="131"/>
      <c r="L139" s="102"/>
      <c r="M139" s="102"/>
      <c r="N139" s="102"/>
      <c r="O139" s="102"/>
      <c r="P139" s="102"/>
      <c r="Q139" s="102"/>
      <c r="R139" s="103"/>
      <c r="S139" s="103"/>
      <c r="T139" s="103"/>
      <c r="U139" s="103"/>
      <c r="V139" s="103"/>
      <c r="W139" s="486" t="str">
        <f>IF(I140="No", "Comments","") &amp; IF(I140="N/A", "Comments","")</f>
        <v/>
      </c>
      <c r="X139" s="486"/>
      <c r="Y139" s="486"/>
      <c r="Z139" s="514"/>
      <c r="AA139" s="173"/>
      <c r="AB139" s="173"/>
      <c r="AD139" s="286"/>
      <c r="AE139" s="286"/>
      <c r="AF139" s="286"/>
      <c r="AG139" s="286"/>
      <c r="AH139" s="286"/>
      <c r="AI139" s="286"/>
      <c r="AJ139" s="286"/>
      <c r="AK139" s="286"/>
      <c r="AL139" s="286"/>
      <c r="AM139" s="286"/>
      <c r="AN139" s="428"/>
      <c r="AO139" s="440"/>
    </row>
    <row r="140" spans="1:41" ht="50.1" customHeight="1" x14ac:dyDescent="0.2">
      <c r="A140" s="73" t="s">
        <v>1621</v>
      </c>
      <c r="B140" s="153" t="s">
        <v>1623</v>
      </c>
      <c r="C140" s="213"/>
      <c r="D140" s="301" t="s">
        <v>1342</v>
      </c>
      <c r="E140" s="67" t="s">
        <v>1624</v>
      </c>
      <c r="F140" s="61" t="s">
        <v>1625</v>
      </c>
      <c r="G140" s="68" t="s">
        <v>1560</v>
      </c>
      <c r="H140" s="367" t="s">
        <v>748</v>
      </c>
      <c r="I140" s="115"/>
      <c r="J140" s="75" t="s">
        <v>1626</v>
      </c>
      <c r="K140" s="76" t="s">
        <v>1627</v>
      </c>
      <c r="L140" s="71" t="s">
        <v>1628</v>
      </c>
      <c r="M140" s="71" t="s">
        <v>1629</v>
      </c>
      <c r="N140" s="71" t="s">
        <v>1630</v>
      </c>
      <c r="O140" s="71" t="s">
        <v>1631</v>
      </c>
      <c r="P140" s="71" t="s">
        <v>1632</v>
      </c>
      <c r="Q140" s="71"/>
      <c r="R140" s="72" t="s">
        <v>1232</v>
      </c>
      <c r="S140" s="72" t="s">
        <v>1232</v>
      </c>
      <c r="T140" s="72" t="s">
        <v>1232</v>
      </c>
      <c r="U140" s="72" t="s">
        <v>1232</v>
      </c>
      <c r="V140" s="72" t="s">
        <v>1232</v>
      </c>
      <c r="W140" s="659"/>
      <c r="X140" s="487"/>
      <c r="Y140" s="487"/>
      <c r="Z140" s="654"/>
      <c r="AA140" s="297"/>
      <c r="AB140" s="297"/>
      <c r="AD140" s="286"/>
      <c r="AE140" s="286"/>
      <c r="AF140" s="286"/>
      <c r="AG140" s="286"/>
      <c r="AH140" s="286"/>
      <c r="AI140" s="286"/>
      <c r="AJ140" s="286"/>
      <c r="AK140" s="286"/>
      <c r="AL140" s="286"/>
      <c r="AM140" s="286"/>
      <c r="AN140" s="428"/>
      <c r="AO140" s="440" t="str">
        <f t="shared" si="1"/>
        <v/>
      </c>
    </row>
    <row r="141" spans="1:41" ht="20.85" customHeight="1" x14ac:dyDescent="0.2">
      <c r="A141" s="100"/>
      <c r="B141" s="296"/>
      <c r="C141" s="214"/>
      <c r="D141" s="755"/>
      <c r="E141" s="756"/>
      <c r="F141" s="756"/>
      <c r="G141" s="756"/>
      <c r="H141" s="756"/>
      <c r="I141" s="757"/>
      <c r="J141" s="131"/>
      <c r="K141" s="131"/>
      <c r="L141" s="102"/>
      <c r="M141" s="102"/>
      <c r="N141" s="102"/>
      <c r="O141" s="102"/>
      <c r="P141" s="102"/>
      <c r="Q141" s="102"/>
      <c r="R141" s="103"/>
      <c r="S141" s="103"/>
      <c r="T141" s="103"/>
      <c r="U141" s="103"/>
      <c r="V141" s="103"/>
      <c r="W141" s="486" t="str">
        <f>IF(I142="No", "Comments","") &amp; IF(I142="N/A", "Comments","")</f>
        <v/>
      </c>
      <c r="X141" s="486"/>
      <c r="Y141" s="486"/>
      <c r="Z141" s="514"/>
      <c r="AA141" s="173"/>
      <c r="AB141" s="173"/>
      <c r="AD141" s="286"/>
      <c r="AE141" s="286"/>
      <c r="AF141" s="286"/>
      <c r="AG141" s="286"/>
      <c r="AH141" s="286"/>
      <c r="AI141" s="286"/>
      <c r="AJ141" s="286"/>
      <c r="AK141" s="286"/>
      <c r="AL141" s="286"/>
      <c r="AM141" s="286"/>
      <c r="AN141" s="428"/>
      <c r="AO141" s="440"/>
    </row>
    <row r="142" spans="1:41" ht="37.15" customHeight="1" x14ac:dyDescent="0.2">
      <c r="A142" s="73" t="s">
        <v>1621</v>
      </c>
      <c r="B142" s="153" t="s">
        <v>1623</v>
      </c>
      <c r="C142" s="213"/>
      <c r="D142" s="445" t="s">
        <v>1633</v>
      </c>
      <c r="E142" s="61" t="s">
        <v>1634</v>
      </c>
      <c r="F142" s="61" t="s">
        <v>1635</v>
      </c>
      <c r="G142" s="68" t="s">
        <v>1560</v>
      </c>
      <c r="H142" s="367" t="s">
        <v>751</v>
      </c>
      <c r="I142" s="115"/>
      <c r="J142" s="138"/>
      <c r="K142" s="139" t="s">
        <v>1636</v>
      </c>
      <c r="L142" s="106" t="s">
        <v>1637</v>
      </c>
      <c r="M142" s="106" t="s">
        <v>1638</v>
      </c>
      <c r="N142" s="106" t="s">
        <v>1639</v>
      </c>
      <c r="O142" s="106"/>
      <c r="P142" s="106" t="s">
        <v>1640</v>
      </c>
      <c r="Q142" s="106"/>
      <c r="R142" s="107" t="s">
        <v>1232</v>
      </c>
      <c r="S142" s="107" t="s">
        <v>1232</v>
      </c>
      <c r="T142" s="107" t="s">
        <v>1232</v>
      </c>
      <c r="U142" s="107" t="s">
        <v>1232</v>
      </c>
      <c r="V142" s="107" t="s">
        <v>1232</v>
      </c>
      <c r="W142" s="659"/>
      <c r="X142" s="487"/>
      <c r="Y142" s="487"/>
      <c r="Z142" s="654"/>
      <c r="AA142" s="297"/>
      <c r="AB142" s="297"/>
      <c r="AD142" s="286"/>
      <c r="AE142" s="286"/>
      <c r="AF142" s="286"/>
      <c r="AG142" s="286"/>
      <c r="AH142" s="286"/>
      <c r="AI142" s="286"/>
      <c r="AJ142" s="286"/>
      <c r="AK142" s="286"/>
      <c r="AL142" s="286"/>
      <c r="AM142" s="286"/>
      <c r="AN142" s="428"/>
      <c r="AO142" s="440" t="str">
        <f t="shared" si="1"/>
        <v/>
      </c>
    </row>
    <row r="143" spans="1:41" ht="20.85" customHeight="1" x14ac:dyDescent="0.2">
      <c r="A143" s="100"/>
      <c r="B143" s="296"/>
      <c r="C143" s="214"/>
      <c r="D143" s="755"/>
      <c r="E143" s="756"/>
      <c r="F143" s="756"/>
      <c r="G143" s="756"/>
      <c r="H143" s="756"/>
      <c r="I143" s="757"/>
      <c r="J143" s="131"/>
      <c r="K143" s="131"/>
      <c r="L143" s="102"/>
      <c r="M143" s="102"/>
      <c r="N143" s="102"/>
      <c r="O143" s="102"/>
      <c r="P143" s="102"/>
      <c r="Q143" s="102"/>
      <c r="R143" s="103"/>
      <c r="S143" s="103"/>
      <c r="T143" s="103"/>
      <c r="U143" s="103"/>
      <c r="V143" s="103"/>
      <c r="W143" s="486" t="str">
        <f>IF(I144="No", "Comments","") &amp; IF(I144="N/A", "Comments","")</f>
        <v/>
      </c>
      <c r="X143" s="486"/>
      <c r="Y143" s="486"/>
      <c r="Z143" s="514"/>
      <c r="AA143" s="173"/>
      <c r="AB143" s="173"/>
      <c r="AD143" s="286"/>
      <c r="AE143" s="286"/>
      <c r="AF143" s="286"/>
      <c r="AG143" s="286"/>
      <c r="AH143" s="286"/>
      <c r="AI143" s="286"/>
      <c r="AJ143" s="286"/>
      <c r="AK143" s="286"/>
      <c r="AL143" s="286"/>
      <c r="AM143" s="286"/>
      <c r="AN143" s="428"/>
      <c r="AO143" s="440"/>
    </row>
    <row r="144" spans="1:41" ht="37.15" customHeight="1" x14ac:dyDescent="0.2">
      <c r="A144" s="73" t="s">
        <v>1621</v>
      </c>
      <c r="B144" s="153" t="s">
        <v>1623</v>
      </c>
      <c r="C144" s="213"/>
      <c r="D144" s="445" t="s">
        <v>1641</v>
      </c>
      <c r="E144" s="67" t="s">
        <v>1642</v>
      </c>
      <c r="F144" s="61" t="s">
        <v>1643</v>
      </c>
      <c r="G144" s="68" t="s">
        <v>1560</v>
      </c>
      <c r="H144" s="367" t="s">
        <v>754</v>
      </c>
      <c r="I144" s="115"/>
      <c r="J144" s="75"/>
      <c r="K144" s="76" t="s">
        <v>1644</v>
      </c>
      <c r="L144" s="71" t="s">
        <v>1645</v>
      </c>
      <c r="M144" s="71" t="s">
        <v>1646</v>
      </c>
      <c r="N144" s="71" t="s">
        <v>1647</v>
      </c>
      <c r="O144" s="71" t="s">
        <v>1648</v>
      </c>
      <c r="P144" s="71" t="s">
        <v>1649</v>
      </c>
      <c r="Q144" s="71"/>
      <c r="R144" s="72" t="s">
        <v>1232</v>
      </c>
      <c r="S144" s="72" t="s">
        <v>1232</v>
      </c>
      <c r="T144" s="72" t="s">
        <v>1232</v>
      </c>
      <c r="U144" s="72" t="s">
        <v>1232</v>
      </c>
      <c r="V144" s="72" t="s">
        <v>1232</v>
      </c>
      <c r="W144" s="659"/>
      <c r="X144" s="487"/>
      <c r="Y144" s="487"/>
      <c r="Z144" s="654"/>
      <c r="AA144" s="297"/>
      <c r="AB144" s="297"/>
      <c r="AD144" s="286"/>
      <c r="AE144" s="286"/>
      <c r="AF144" s="286"/>
      <c r="AG144" s="286"/>
      <c r="AH144" s="286"/>
      <c r="AI144" s="286"/>
      <c r="AJ144" s="286"/>
      <c r="AK144" s="286"/>
      <c r="AL144" s="286"/>
      <c r="AM144" s="286"/>
      <c r="AN144" s="428"/>
      <c r="AO144" s="440" t="str">
        <f t="shared" si="1"/>
        <v/>
      </c>
    </row>
    <row r="145" spans="1:41" ht="20.85" customHeight="1" x14ac:dyDescent="0.2">
      <c r="A145" s="100"/>
      <c r="B145" s="225"/>
      <c r="C145" s="214"/>
      <c r="D145" s="755"/>
      <c r="E145" s="756"/>
      <c r="F145" s="756"/>
      <c r="G145" s="756"/>
      <c r="H145" s="756"/>
      <c r="I145" s="757"/>
      <c r="J145" s="131"/>
      <c r="K145" s="131"/>
      <c r="L145" s="102"/>
      <c r="M145" s="102"/>
      <c r="N145" s="102"/>
      <c r="O145" s="102"/>
      <c r="P145" s="102"/>
      <c r="Q145" s="102"/>
      <c r="R145" s="103"/>
      <c r="S145" s="103"/>
      <c r="T145" s="103"/>
      <c r="U145" s="103"/>
      <c r="V145" s="103"/>
      <c r="W145" s="486" t="str">
        <f>IF(I146="No", "Comments","") &amp; IF(I146="N/A", "Comments","")</f>
        <v/>
      </c>
      <c r="X145" s="486"/>
      <c r="Y145" s="486"/>
      <c r="Z145" s="514"/>
      <c r="AA145" s="173"/>
      <c r="AB145" s="173"/>
      <c r="AD145" s="286"/>
      <c r="AE145" s="286"/>
      <c r="AF145" s="286"/>
      <c r="AG145" s="286"/>
      <c r="AH145" s="286"/>
      <c r="AI145" s="286"/>
      <c r="AJ145" s="286"/>
      <c r="AK145" s="286"/>
      <c r="AL145" s="286"/>
      <c r="AM145" s="286"/>
      <c r="AN145" s="428"/>
      <c r="AO145" s="440"/>
    </row>
    <row r="146" spans="1:41" ht="37.15" customHeight="1" thickBot="1" x14ac:dyDescent="0.25">
      <c r="A146" s="78" t="s">
        <v>1621</v>
      </c>
      <c r="B146" s="212" t="s">
        <v>1623</v>
      </c>
      <c r="C146" s="213"/>
      <c r="D146" s="445" t="s">
        <v>1650</v>
      </c>
      <c r="E146" s="67" t="s">
        <v>1651</v>
      </c>
      <c r="F146" s="61" t="s">
        <v>1652</v>
      </c>
      <c r="G146" s="68" t="s">
        <v>1560</v>
      </c>
      <c r="H146" s="367" t="s">
        <v>757</v>
      </c>
      <c r="I146" s="115"/>
      <c r="J146" s="75"/>
      <c r="K146" s="76" t="s">
        <v>1653</v>
      </c>
      <c r="L146" s="71" t="s">
        <v>1654</v>
      </c>
      <c r="M146" s="71" t="s">
        <v>1655</v>
      </c>
      <c r="N146" s="71" t="s">
        <v>1656</v>
      </c>
      <c r="O146" s="71"/>
      <c r="P146" s="71" t="s">
        <v>1657</v>
      </c>
      <c r="Q146" s="71" t="s">
        <v>1658</v>
      </c>
      <c r="R146" s="72" t="s">
        <v>1232</v>
      </c>
      <c r="S146" s="72" t="s">
        <v>1232</v>
      </c>
      <c r="T146" s="72" t="s">
        <v>1232</v>
      </c>
      <c r="U146" s="72" t="s">
        <v>1232</v>
      </c>
      <c r="V146" s="72" t="s">
        <v>1232</v>
      </c>
      <c r="W146" s="659"/>
      <c r="X146" s="487"/>
      <c r="Y146" s="487"/>
      <c r="Z146" s="654"/>
      <c r="AA146" s="297"/>
      <c r="AB146" s="297"/>
      <c r="AD146" s="286"/>
      <c r="AE146" s="286"/>
      <c r="AF146" s="286"/>
      <c r="AG146" s="286"/>
      <c r="AH146" s="286"/>
      <c r="AI146" s="286"/>
      <c r="AJ146" s="286"/>
      <c r="AK146" s="286"/>
      <c r="AL146" s="286"/>
      <c r="AM146" s="286"/>
      <c r="AN146" s="428"/>
      <c r="AO146" s="440" t="str">
        <f t="shared" si="1"/>
        <v/>
      </c>
    </row>
    <row r="147" spans="1:41" ht="25.15" customHeight="1" thickBot="1" x14ac:dyDescent="0.25">
      <c r="A147" s="227" t="s">
        <v>1659</v>
      </c>
      <c r="B147" s="228" t="s">
        <v>1660</v>
      </c>
      <c r="C147" s="229"/>
      <c r="D147" s="736" t="s">
        <v>1660</v>
      </c>
      <c r="E147" s="737"/>
      <c r="F147" s="737"/>
      <c r="G147" s="737"/>
      <c r="H147" s="737"/>
      <c r="I147" s="737"/>
      <c r="J147" s="77"/>
      <c r="K147" s="77"/>
      <c r="L147" s="64"/>
      <c r="M147" s="64"/>
      <c r="N147" s="64"/>
      <c r="O147" s="64"/>
      <c r="P147" s="64"/>
      <c r="Q147" s="64"/>
      <c r="R147" s="65"/>
      <c r="S147" s="65"/>
      <c r="T147" s="65"/>
      <c r="U147" s="65"/>
      <c r="V147" s="65"/>
      <c r="W147" s="788"/>
      <c r="X147" s="788"/>
      <c r="Y147" s="788"/>
      <c r="Z147" s="789"/>
      <c r="AA147" s="303"/>
      <c r="AB147" s="303"/>
      <c r="AD147" s="286"/>
      <c r="AE147" s="286"/>
      <c r="AF147" s="286"/>
      <c r="AG147" s="286"/>
      <c r="AH147" s="286"/>
      <c r="AI147" s="286"/>
      <c r="AJ147" s="286"/>
      <c r="AK147" s="286"/>
      <c r="AL147" s="286"/>
      <c r="AM147" s="286"/>
      <c r="AN147" s="428"/>
      <c r="AO147" s="440" t="str">
        <f t="shared" si="1"/>
        <v/>
      </c>
    </row>
    <row r="148" spans="1:41" ht="14.85" customHeight="1" x14ac:dyDescent="0.2">
      <c r="A148" s="151"/>
      <c r="B148" s="211"/>
      <c r="C148" s="214"/>
      <c r="D148" s="755"/>
      <c r="E148" s="756"/>
      <c r="F148" s="756"/>
      <c r="G148" s="756"/>
      <c r="H148" s="756"/>
      <c r="I148" s="757"/>
      <c r="J148" s="131"/>
      <c r="K148" s="131"/>
      <c r="L148" s="102"/>
      <c r="M148" s="102"/>
      <c r="N148" s="102"/>
      <c r="O148" s="102"/>
      <c r="P148" s="102"/>
      <c r="Q148" s="102"/>
      <c r="R148" s="103"/>
      <c r="S148" s="103"/>
      <c r="T148" s="103"/>
      <c r="U148" s="103"/>
      <c r="V148" s="103"/>
      <c r="W148" s="486" t="str">
        <f>IF(I149="No", "Comments","") &amp; IF(I149="N/A", "Please Explain","") &amp; IF(I149="Yes", "Please Specify","")</f>
        <v/>
      </c>
      <c r="X148" s="486"/>
      <c r="Y148" s="486"/>
      <c r="Z148" s="514"/>
      <c r="AA148" s="173"/>
      <c r="AB148" s="173"/>
      <c r="AD148" s="286"/>
      <c r="AE148" s="286"/>
      <c r="AF148" s="286"/>
      <c r="AG148" s="286"/>
      <c r="AH148" s="286"/>
      <c r="AI148" s="286"/>
      <c r="AJ148" s="286"/>
      <c r="AK148" s="286"/>
      <c r="AL148" s="286"/>
      <c r="AM148" s="286"/>
      <c r="AN148" s="428"/>
      <c r="AO148" s="440"/>
    </row>
    <row r="149" spans="1:41" ht="55.15" customHeight="1" x14ac:dyDescent="0.2">
      <c r="A149" s="78" t="s">
        <v>1659</v>
      </c>
      <c r="B149" s="212" t="s">
        <v>1660</v>
      </c>
      <c r="C149" s="213"/>
      <c r="D149" s="747" t="s">
        <v>1661</v>
      </c>
      <c r="E149" s="61" t="s">
        <v>1662</v>
      </c>
      <c r="F149" s="61" t="s">
        <v>1663</v>
      </c>
      <c r="G149" s="68" t="s">
        <v>1560</v>
      </c>
      <c r="H149" s="367" t="s">
        <v>760</v>
      </c>
      <c r="I149" s="115"/>
      <c r="J149" s="748" t="s">
        <v>1403</v>
      </c>
      <c r="K149" s="751" t="s">
        <v>1664</v>
      </c>
      <c r="L149" s="728" t="s">
        <v>1665</v>
      </c>
      <c r="M149" s="728"/>
      <c r="N149" s="728"/>
      <c r="O149" s="728" t="s">
        <v>1666</v>
      </c>
      <c r="P149" s="728" t="s">
        <v>1667</v>
      </c>
      <c r="Q149" s="728"/>
      <c r="R149" s="730" t="s">
        <v>1232</v>
      </c>
      <c r="S149" s="730" t="s">
        <v>1232</v>
      </c>
      <c r="T149" s="730" t="s">
        <v>1232</v>
      </c>
      <c r="U149" s="730" t="s">
        <v>1232</v>
      </c>
      <c r="V149" s="730" t="s">
        <v>1232</v>
      </c>
      <c r="W149" s="801"/>
      <c r="X149" s="486"/>
      <c r="Y149" s="486"/>
      <c r="Z149" s="514"/>
      <c r="AA149" s="173"/>
      <c r="AB149" s="173"/>
      <c r="AD149" s="286"/>
      <c r="AE149" s="286"/>
      <c r="AF149" s="286"/>
      <c r="AG149" s="286"/>
      <c r="AH149" s="286"/>
      <c r="AI149" s="286"/>
      <c r="AJ149" s="286"/>
      <c r="AK149" s="286"/>
      <c r="AL149" s="286"/>
      <c r="AM149" s="286"/>
      <c r="AN149" s="428"/>
      <c r="AO149" s="440" t="str">
        <f>IF(I149="No","1","")&amp;IF(I149="N/A","2","")&amp;IF(I149="Yes","3","")</f>
        <v/>
      </c>
    </row>
    <row r="150" spans="1:41" ht="16.350000000000001" customHeight="1" x14ac:dyDescent="0.2">
      <c r="A150" s="100"/>
      <c r="B150" s="226"/>
      <c r="C150" s="214"/>
      <c r="D150" s="747"/>
      <c r="E150" s="61"/>
      <c r="F150" s="61"/>
      <c r="G150" s="68"/>
      <c r="H150" s="741"/>
      <c r="I150" s="740"/>
      <c r="J150" s="749"/>
      <c r="K150" s="752"/>
      <c r="L150" s="729"/>
      <c r="M150" s="729"/>
      <c r="N150" s="729"/>
      <c r="O150" s="729"/>
      <c r="P150" s="729"/>
      <c r="Q150" s="729"/>
      <c r="R150" s="731"/>
      <c r="S150" s="731"/>
      <c r="T150" s="731"/>
      <c r="U150" s="731"/>
      <c r="V150" s="731"/>
      <c r="W150" s="486" t="str">
        <f>IF(I151="No", "Comments","") &amp; IF(I151="N/A", "Please Explain","") &amp; IF(I151="Yes", "Please Specify","")</f>
        <v/>
      </c>
      <c r="X150" s="486"/>
      <c r="Y150" s="486"/>
      <c r="Z150" s="514"/>
      <c r="AA150" s="173"/>
      <c r="AB150" s="173"/>
      <c r="AD150" s="286"/>
      <c r="AE150" s="286"/>
      <c r="AF150" s="286"/>
      <c r="AG150" s="286"/>
      <c r="AH150" s="286"/>
      <c r="AI150" s="286"/>
      <c r="AJ150" s="286"/>
      <c r="AK150" s="286"/>
      <c r="AL150" s="286"/>
      <c r="AM150" s="286"/>
      <c r="AN150" s="428"/>
      <c r="AO150" s="440"/>
    </row>
    <row r="151" spans="1:41" ht="38.85" customHeight="1" x14ac:dyDescent="0.2">
      <c r="A151" s="73" t="s">
        <v>1659</v>
      </c>
      <c r="B151" s="153" t="s">
        <v>1660</v>
      </c>
      <c r="C151" s="213"/>
      <c r="D151" s="747"/>
      <c r="E151" s="61" t="s">
        <v>1662</v>
      </c>
      <c r="F151" s="61" t="s">
        <v>1668</v>
      </c>
      <c r="G151" s="68" t="s">
        <v>1560</v>
      </c>
      <c r="H151" s="367" t="s">
        <v>763</v>
      </c>
      <c r="I151" s="115"/>
      <c r="J151" s="749" t="s">
        <v>1403</v>
      </c>
      <c r="K151" s="752" t="s">
        <v>1664</v>
      </c>
      <c r="L151" s="729" t="s">
        <v>1665</v>
      </c>
      <c r="M151" s="729"/>
      <c r="N151" s="729"/>
      <c r="O151" s="729" t="s">
        <v>1666</v>
      </c>
      <c r="P151" s="729" t="s">
        <v>1667</v>
      </c>
      <c r="Q151" s="729"/>
      <c r="R151" s="731" t="s">
        <v>1232</v>
      </c>
      <c r="S151" s="731" t="s">
        <v>1232</v>
      </c>
      <c r="T151" s="731" t="s">
        <v>1232</v>
      </c>
      <c r="U151" s="731" t="s">
        <v>1232</v>
      </c>
      <c r="V151" s="731" t="s">
        <v>1232</v>
      </c>
      <c r="W151" s="801"/>
      <c r="X151" s="486"/>
      <c r="Y151" s="486"/>
      <c r="Z151" s="514"/>
      <c r="AA151" s="173"/>
      <c r="AB151" s="173"/>
      <c r="AD151" s="286"/>
      <c r="AE151" s="286"/>
      <c r="AF151" s="286"/>
      <c r="AG151" s="286"/>
      <c r="AH151" s="286"/>
      <c r="AI151" s="286"/>
      <c r="AJ151" s="286"/>
      <c r="AK151" s="286"/>
      <c r="AL151" s="286"/>
      <c r="AM151" s="286"/>
      <c r="AN151" s="428"/>
      <c r="AO151" s="440" t="str">
        <f>IF(I151="No","1","")&amp;IF(I151="N/A","2","")&amp;IF(I151="Yes","3","")</f>
        <v/>
      </c>
    </row>
    <row r="152" spans="1:41" ht="16.350000000000001" customHeight="1" x14ac:dyDescent="0.2">
      <c r="A152" s="100"/>
      <c r="B152" s="296"/>
      <c r="C152" s="214"/>
      <c r="D152" s="747"/>
      <c r="E152" s="61"/>
      <c r="F152" s="61"/>
      <c r="G152" s="68"/>
      <c r="H152" s="741"/>
      <c r="I152" s="740"/>
      <c r="J152" s="749"/>
      <c r="K152" s="752"/>
      <c r="L152" s="729"/>
      <c r="M152" s="729"/>
      <c r="N152" s="729"/>
      <c r="O152" s="729"/>
      <c r="P152" s="729"/>
      <c r="Q152" s="729"/>
      <c r="R152" s="731"/>
      <c r="S152" s="731"/>
      <c r="T152" s="731"/>
      <c r="U152" s="731"/>
      <c r="V152" s="731"/>
      <c r="W152" s="486" t="str">
        <f>IF(I153="No", "Comments","") &amp; IF(I153="N/A", "Please Explain","")</f>
        <v/>
      </c>
      <c r="X152" s="486"/>
      <c r="Y152" s="486"/>
      <c r="Z152" s="514"/>
      <c r="AA152" s="173"/>
      <c r="AB152" s="173"/>
      <c r="AD152" s="286"/>
      <c r="AE152" s="286"/>
      <c r="AF152" s="286"/>
      <c r="AG152" s="286"/>
      <c r="AH152" s="286"/>
      <c r="AI152" s="286"/>
      <c r="AJ152" s="286"/>
      <c r="AK152" s="286"/>
      <c r="AL152" s="286"/>
      <c r="AM152" s="286"/>
      <c r="AN152" s="428"/>
      <c r="AO152" s="440"/>
    </row>
    <row r="153" spans="1:41" ht="37.15" customHeight="1" x14ac:dyDescent="0.2">
      <c r="A153" s="73" t="s">
        <v>1659</v>
      </c>
      <c r="B153" s="153" t="s">
        <v>1660</v>
      </c>
      <c r="C153" s="213"/>
      <c r="D153" s="747"/>
      <c r="E153" s="61" t="s">
        <v>1662</v>
      </c>
      <c r="F153" s="61" t="s">
        <v>1669</v>
      </c>
      <c r="G153" s="68" t="s">
        <v>1560</v>
      </c>
      <c r="H153" s="367" t="s">
        <v>766</v>
      </c>
      <c r="I153" s="115"/>
      <c r="J153" s="749" t="s">
        <v>1403</v>
      </c>
      <c r="K153" s="752" t="s">
        <v>1664</v>
      </c>
      <c r="L153" s="729" t="s">
        <v>1665</v>
      </c>
      <c r="M153" s="729"/>
      <c r="N153" s="729"/>
      <c r="O153" s="729" t="s">
        <v>1666</v>
      </c>
      <c r="P153" s="729" t="s">
        <v>1667</v>
      </c>
      <c r="Q153" s="729"/>
      <c r="R153" s="731" t="s">
        <v>1232</v>
      </c>
      <c r="S153" s="731" t="s">
        <v>1232</v>
      </c>
      <c r="T153" s="731" t="s">
        <v>1232</v>
      </c>
      <c r="U153" s="731" t="s">
        <v>1232</v>
      </c>
      <c r="V153" s="731" t="s">
        <v>1232</v>
      </c>
      <c r="W153" s="659"/>
      <c r="X153" s="487"/>
      <c r="Y153" s="487"/>
      <c r="Z153" s="654"/>
      <c r="AA153" s="297"/>
      <c r="AB153" s="297"/>
      <c r="AD153" s="286"/>
      <c r="AE153" s="286"/>
      <c r="AF153" s="286"/>
      <c r="AG153" s="286"/>
      <c r="AH153" s="286"/>
      <c r="AI153" s="286"/>
      <c r="AJ153" s="286"/>
      <c r="AK153" s="286"/>
      <c r="AL153" s="286"/>
      <c r="AM153" s="286"/>
      <c r="AN153" s="428"/>
      <c r="AO153" s="440" t="str">
        <f t="shared" si="1"/>
        <v/>
      </c>
    </row>
    <row r="154" spans="1:41" ht="17.100000000000001" customHeight="1" x14ac:dyDescent="0.2">
      <c r="A154" s="100"/>
      <c r="B154" s="296"/>
      <c r="C154" s="214"/>
      <c r="D154" s="747"/>
      <c r="E154" s="61"/>
      <c r="F154" s="61"/>
      <c r="G154" s="68"/>
      <c r="H154" s="741"/>
      <c r="I154" s="740"/>
      <c r="J154" s="749"/>
      <c r="K154" s="752"/>
      <c r="L154" s="729"/>
      <c r="M154" s="729"/>
      <c r="N154" s="729"/>
      <c r="O154" s="729"/>
      <c r="P154" s="729"/>
      <c r="Q154" s="729"/>
      <c r="R154" s="731"/>
      <c r="S154" s="731"/>
      <c r="T154" s="731"/>
      <c r="U154" s="731"/>
      <c r="V154" s="731"/>
      <c r="W154" s="486" t="str">
        <f>IF(I155="No", "Comments","") &amp; IF(I155="N/A", "Please Explain","")</f>
        <v/>
      </c>
      <c r="X154" s="486"/>
      <c r="Y154" s="486"/>
      <c r="Z154" s="514"/>
      <c r="AA154" s="173"/>
      <c r="AB154" s="173"/>
      <c r="AD154" s="286"/>
      <c r="AE154" s="286"/>
      <c r="AF154" s="286"/>
      <c r="AG154" s="286"/>
      <c r="AH154" s="286"/>
      <c r="AI154" s="286"/>
      <c r="AJ154" s="286"/>
      <c r="AK154" s="286"/>
      <c r="AL154" s="286"/>
      <c r="AM154" s="286"/>
      <c r="AN154" s="428"/>
      <c r="AO154" s="440"/>
    </row>
    <row r="155" spans="1:41" ht="37.15" customHeight="1" x14ac:dyDescent="0.2">
      <c r="A155" s="73" t="s">
        <v>1659</v>
      </c>
      <c r="B155" s="153" t="s">
        <v>1660</v>
      </c>
      <c r="C155" s="213"/>
      <c r="D155" s="747"/>
      <c r="E155" s="61" t="s">
        <v>1662</v>
      </c>
      <c r="F155" s="61" t="s">
        <v>1670</v>
      </c>
      <c r="G155" s="68" t="s">
        <v>1560</v>
      </c>
      <c r="H155" s="367" t="s">
        <v>769</v>
      </c>
      <c r="I155" s="115"/>
      <c r="J155" s="749" t="s">
        <v>1403</v>
      </c>
      <c r="K155" s="752" t="s">
        <v>1664</v>
      </c>
      <c r="L155" s="729" t="s">
        <v>1665</v>
      </c>
      <c r="M155" s="729"/>
      <c r="N155" s="729"/>
      <c r="O155" s="729" t="s">
        <v>1666</v>
      </c>
      <c r="P155" s="729" t="s">
        <v>1667</v>
      </c>
      <c r="Q155" s="729"/>
      <c r="R155" s="731" t="s">
        <v>1232</v>
      </c>
      <c r="S155" s="731" t="s">
        <v>1232</v>
      </c>
      <c r="T155" s="731" t="s">
        <v>1232</v>
      </c>
      <c r="U155" s="731" t="s">
        <v>1232</v>
      </c>
      <c r="V155" s="731" t="s">
        <v>1232</v>
      </c>
      <c r="W155" s="659"/>
      <c r="X155" s="487"/>
      <c r="Y155" s="487"/>
      <c r="Z155" s="654"/>
      <c r="AA155" s="297"/>
      <c r="AB155" s="297"/>
      <c r="AD155" s="286"/>
      <c r="AE155" s="286"/>
      <c r="AF155" s="286"/>
      <c r="AG155" s="286"/>
      <c r="AH155" s="286"/>
      <c r="AI155" s="286"/>
      <c r="AJ155" s="286"/>
      <c r="AK155" s="286"/>
      <c r="AL155" s="286"/>
      <c r="AM155" s="286"/>
      <c r="AN155" s="428"/>
      <c r="AO155" s="440" t="str">
        <f t="shared" si="1"/>
        <v/>
      </c>
    </row>
    <row r="156" spans="1:41" ht="16.350000000000001" customHeight="1" x14ac:dyDescent="0.2">
      <c r="A156" s="100"/>
      <c r="B156" s="296"/>
      <c r="C156" s="214"/>
      <c r="D156" s="747"/>
      <c r="E156" s="61"/>
      <c r="F156" s="61"/>
      <c r="G156" s="68"/>
      <c r="H156" s="741"/>
      <c r="I156" s="740"/>
      <c r="J156" s="136"/>
      <c r="K156" s="137"/>
      <c r="L156" s="98"/>
      <c r="M156" s="98"/>
      <c r="N156" s="98"/>
      <c r="O156" s="98"/>
      <c r="P156" s="98"/>
      <c r="Q156" s="98"/>
      <c r="R156" s="99"/>
      <c r="S156" s="99"/>
      <c r="T156" s="99"/>
      <c r="U156" s="99"/>
      <c r="V156" s="99"/>
      <c r="W156" s="486" t="str">
        <f>IF(I157="No", "Comments","") &amp; IF(I157="N/A", "Please Explain","")</f>
        <v/>
      </c>
      <c r="X156" s="486"/>
      <c r="Y156" s="486"/>
      <c r="Z156" s="514"/>
      <c r="AA156" s="173"/>
      <c r="AB156" s="173"/>
      <c r="AD156" s="286"/>
      <c r="AE156" s="286"/>
      <c r="AF156" s="286"/>
      <c r="AG156" s="286"/>
      <c r="AH156" s="286"/>
      <c r="AI156" s="286"/>
      <c r="AJ156" s="286"/>
      <c r="AK156" s="286"/>
      <c r="AL156" s="286"/>
      <c r="AM156" s="286"/>
      <c r="AN156" s="428"/>
      <c r="AO156" s="440"/>
    </row>
    <row r="157" spans="1:41" ht="37.15" customHeight="1" x14ac:dyDescent="0.2">
      <c r="A157" s="73"/>
      <c r="B157" s="153"/>
      <c r="C157" s="213"/>
      <c r="D157" s="747"/>
      <c r="E157" s="61"/>
      <c r="F157" s="61"/>
      <c r="G157" s="68"/>
      <c r="H157" s="367" t="s">
        <v>772</v>
      </c>
      <c r="I157" s="115"/>
      <c r="J157" s="136"/>
      <c r="K157" s="137"/>
      <c r="L157" s="98"/>
      <c r="M157" s="98"/>
      <c r="N157" s="98"/>
      <c r="O157" s="98"/>
      <c r="P157" s="98"/>
      <c r="Q157" s="98"/>
      <c r="R157" s="99"/>
      <c r="S157" s="99"/>
      <c r="T157" s="99"/>
      <c r="U157" s="99"/>
      <c r="V157" s="99"/>
      <c r="W157" s="659"/>
      <c r="X157" s="487"/>
      <c r="Y157" s="487"/>
      <c r="Z157" s="654"/>
      <c r="AA157" s="297"/>
      <c r="AB157" s="297"/>
      <c r="AD157" s="286"/>
      <c r="AE157" s="286"/>
      <c r="AF157" s="286"/>
      <c r="AG157" s="286"/>
      <c r="AH157" s="286"/>
      <c r="AI157" s="286"/>
      <c r="AJ157" s="286"/>
      <c r="AK157" s="286"/>
      <c r="AL157" s="286"/>
      <c r="AM157" s="286"/>
      <c r="AN157" s="428"/>
      <c r="AO157" s="440" t="str">
        <f t="shared" si="1"/>
        <v/>
      </c>
    </row>
    <row r="158" spans="1:41" ht="20.85" customHeight="1" x14ac:dyDescent="0.2">
      <c r="A158" s="100"/>
      <c r="B158" s="296"/>
      <c r="C158" s="214"/>
      <c r="D158" s="738"/>
      <c r="E158" s="739"/>
      <c r="F158" s="739"/>
      <c r="G158" s="739"/>
      <c r="H158" s="739"/>
      <c r="I158" s="740"/>
      <c r="J158" s="136"/>
      <c r="K158" s="137"/>
      <c r="L158" s="98"/>
      <c r="M158" s="98"/>
      <c r="N158" s="98"/>
      <c r="O158" s="98"/>
      <c r="P158" s="98"/>
      <c r="Q158" s="98"/>
      <c r="R158" s="99"/>
      <c r="S158" s="99"/>
      <c r="T158" s="99"/>
      <c r="U158" s="99"/>
      <c r="V158" s="99"/>
      <c r="W158" s="486" t="str">
        <f>IF(I159="No", "Comments","") &amp; IF(I159="N/A", "Please Explain","") &amp; IF(I159="Yes", "Specify Tool Used","")</f>
        <v/>
      </c>
      <c r="X158" s="486"/>
      <c r="Y158" s="486"/>
      <c r="Z158" s="514"/>
      <c r="AA158" s="173"/>
      <c r="AB158" s="173"/>
      <c r="AD158" s="286"/>
      <c r="AE158" s="286"/>
      <c r="AF158" s="286"/>
      <c r="AG158" s="286"/>
      <c r="AH158" s="286"/>
      <c r="AI158" s="286"/>
      <c r="AJ158" s="286"/>
      <c r="AK158" s="286"/>
      <c r="AL158" s="286"/>
      <c r="AM158" s="286"/>
      <c r="AN158" s="428"/>
      <c r="AO158" s="440"/>
    </row>
    <row r="159" spans="1:41" ht="37.15" customHeight="1" x14ac:dyDescent="0.2">
      <c r="A159" s="73" t="s">
        <v>1659</v>
      </c>
      <c r="B159" s="153" t="s">
        <v>1660</v>
      </c>
      <c r="C159" s="213"/>
      <c r="D159" s="747" t="s">
        <v>1671</v>
      </c>
      <c r="E159" s="61" t="s">
        <v>1672</v>
      </c>
      <c r="F159" s="61" t="s">
        <v>1673</v>
      </c>
      <c r="G159" s="68" t="s">
        <v>1560</v>
      </c>
      <c r="H159" s="367" t="s">
        <v>775</v>
      </c>
      <c r="I159" s="115"/>
      <c r="J159" s="748" t="s">
        <v>1674</v>
      </c>
      <c r="K159" s="751" t="s">
        <v>1675</v>
      </c>
      <c r="L159" s="728" t="s">
        <v>1676</v>
      </c>
      <c r="M159" s="728"/>
      <c r="N159" s="728"/>
      <c r="O159" s="728" t="s">
        <v>1677</v>
      </c>
      <c r="P159" s="728" t="s">
        <v>1678</v>
      </c>
      <c r="Q159" s="728" t="s">
        <v>1284</v>
      </c>
      <c r="R159" s="730" t="s">
        <v>1232</v>
      </c>
      <c r="S159" s="730" t="s">
        <v>1232</v>
      </c>
      <c r="T159" s="730" t="s">
        <v>1232</v>
      </c>
      <c r="U159" s="730" t="s">
        <v>1232</v>
      </c>
      <c r="V159" s="730" t="s">
        <v>1232</v>
      </c>
      <c r="W159" s="801"/>
      <c r="X159" s="486"/>
      <c r="Y159" s="486"/>
      <c r="Z159" s="514"/>
      <c r="AA159" s="173"/>
      <c r="AB159" s="173"/>
      <c r="AD159" s="286"/>
      <c r="AE159" s="286"/>
      <c r="AF159" s="286"/>
      <c r="AG159" s="286"/>
      <c r="AH159" s="286"/>
      <c r="AI159" s="286"/>
      <c r="AJ159" s="286"/>
      <c r="AK159" s="286"/>
      <c r="AL159" s="286"/>
      <c r="AM159" s="286"/>
      <c r="AN159" s="428"/>
      <c r="AO159" s="440" t="str">
        <f>IF(I159="No","1","")&amp;IF(I159="N/A","2","")&amp;IF(I159="Yes","3","")</f>
        <v/>
      </c>
    </row>
    <row r="160" spans="1:41" ht="20.85" customHeight="1" x14ac:dyDescent="0.2">
      <c r="A160" s="100"/>
      <c r="B160" s="296"/>
      <c r="C160" s="214"/>
      <c r="D160" s="747"/>
      <c r="E160" s="61"/>
      <c r="F160" s="61"/>
      <c r="G160" s="68"/>
      <c r="H160" s="367"/>
      <c r="I160" s="132"/>
      <c r="J160" s="749"/>
      <c r="K160" s="752"/>
      <c r="L160" s="729"/>
      <c r="M160" s="729"/>
      <c r="N160" s="729"/>
      <c r="O160" s="729"/>
      <c r="P160" s="729"/>
      <c r="Q160" s="729"/>
      <c r="R160" s="731"/>
      <c r="S160" s="731"/>
      <c r="T160" s="731"/>
      <c r="U160" s="731"/>
      <c r="V160" s="731"/>
      <c r="W160" s="486" t="str">
        <f>IF(I161="No", "Comments","") &amp; IF(I161="N/A", "Comments","")</f>
        <v/>
      </c>
      <c r="X160" s="486"/>
      <c r="Y160" s="486"/>
      <c r="Z160" s="514"/>
      <c r="AA160" s="173"/>
      <c r="AB160" s="173"/>
      <c r="AD160" s="286"/>
      <c r="AE160" s="286"/>
      <c r="AF160" s="286"/>
      <c r="AG160" s="286"/>
      <c r="AH160" s="286"/>
      <c r="AI160" s="286"/>
      <c r="AJ160" s="286"/>
      <c r="AK160" s="286"/>
      <c r="AL160" s="286"/>
      <c r="AM160" s="286"/>
      <c r="AN160" s="428"/>
      <c r="AO160" s="440"/>
    </row>
    <row r="161" spans="1:41" ht="35.1" customHeight="1" x14ac:dyDescent="0.2">
      <c r="A161" s="73" t="s">
        <v>1659</v>
      </c>
      <c r="B161" s="153" t="s">
        <v>1660</v>
      </c>
      <c r="C161" s="213"/>
      <c r="D161" s="747"/>
      <c r="E161" s="61" t="s">
        <v>1672</v>
      </c>
      <c r="F161" s="61" t="s">
        <v>1679</v>
      </c>
      <c r="G161" s="68" t="s">
        <v>1560</v>
      </c>
      <c r="H161" s="367" t="s">
        <v>778</v>
      </c>
      <c r="I161" s="115"/>
      <c r="J161" s="750" t="s">
        <v>1674</v>
      </c>
      <c r="K161" s="753" t="s">
        <v>1675</v>
      </c>
      <c r="L161" s="746" t="s">
        <v>1676</v>
      </c>
      <c r="M161" s="746"/>
      <c r="N161" s="746"/>
      <c r="O161" s="746" t="s">
        <v>1677</v>
      </c>
      <c r="P161" s="746" t="s">
        <v>1678</v>
      </c>
      <c r="Q161" s="746" t="s">
        <v>1284</v>
      </c>
      <c r="R161" s="732" t="s">
        <v>1232</v>
      </c>
      <c r="S161" s="732" t="s">
        <v>1232</v>
      </c>
      <c r="T161" s="732" t="s">
        <v>1232</v>
      </c>
      <c r="U161" s="732" t="s">
        <v>1232</v>
      </c>
      <c r="V161" s="732" t="s">
        <v>1232</v>
      </c>
      <c r="W161" s="659"/>
      <c r="X161" s="487"/>
      <c r="Y161" s="487"/>
      <c r="Z161" s="654"/>
      <c r="AA161" s="297"/>
      <c r="AB161" s="297"/>
      <c r="AD161" s="286"/>
      <c r="AE161" s="286"/>
      <c r="AF161" s="286"/>
      <c r="AG161" s="286"/>
      <c r="AH161" s="286"/>
      <c r="AI161" s="286"/>
      <c r="AJ161" s="286"/>
      <c r="AK161" s="286"/>
      <c r="AL161" s="286"/>
      <c r="AM161" s="286"/>
      <c r="AN161" s="428"/>
      <c r="AO161" s="440" t="str">
        <f t="shared" si="1"/>
        <v/>
      </c>
    </row>
    <row r="162" spans="1:41" ht="20.85" customHeight="1" x14ac:dyDescent="0.2">
      <c r="A162" s="100"/>
      <c r="B162" s="296"/>
      <c r="C162" s="214"/>
      <c r="D162" s="738"/>
      <c r="E162" s="739"/>
      <c r="F162" s="739"/>
      <c r="G162" s="739"/>
      <c r="H162" s="739"/>
      <c r="I162" s="740"/>
      <c r="J162" s="136"/>
      <c r="K162" s="137"/>
      <c r="L162" s="98"/>
      <c r="M162" s="98"/>
      <c r="N162" s="98"/>
      <c r="O162" s="98"/>
      <c r="P162" s="98"/>
      <c r="Q162" s="98"/>
      <c r="R162" s="99"/>
      <c r="S162" s="99"/>
      <c r="T162" s="99"/>
      <c r="U162" s="99"/>
      <c r="V162" s="99"/>
      <c r="W162" s="486" t="str">
        <f>IF(I163="No", "Comments","") &amp; IF(I163="N/A", "Comments","")</f>
        <v/>
      </c>
      <c r="X162" s="486"/>
      <c r="Y162" s="486"/>
      <c r="Z162" s="514"/>
      <c r="AA162" s="173"/>
      <c r="AB162" s="173"/>
      <c r="AD162" s="286"/>
      <c r="AE162" s="286"/>
      <c r="AF162" s="286"/>
      <c r="AG162" s="286"/>
      <c r="AH162" s="286"/>
      <c r="AI162" s="286"/>
      <c r="AJ162" s="286"/>
      <c r="AK162" s="286"/>
      <c r="AL162" s="286"/>
      <c r="AM162" s="286"/>
      <c r="AN162" s="428"/>
      <c r="AO162" s="440"/>
    </row>
    <row r="163" spans="1:41" ht="55.15" customHeight="1" x14ac:dyDescent="0.2">
      <c r="A163" s="73" t="s">
        <v>1659</v>
      </c>
      <c r="B163" s="153" t="s">
        <v>1660</v>
      </c>
      <c r="C163" s="213"/>
      <c r="D163" s="445" t="s">
        <v>1680</v>
      </c>
      <c r="E163" s="67" t="s">
        <v>1681</v>
      </c>
      <c r="F163" s="61" t="s">
        <v>1682</v>
      </c>
      <c r="G163" s="68" t="s">
        <v>1223</v>
      </c>
      <c r="H163" s="367" t="s">
        <v>781</v>
      </c>
      <c r="I163" s="115"/>
      <c r="J163" s="75"/>
      <c r="K163" s="76" t="s">
        <v>1683</v>
      </c>
      <c r="L163" s="71" t="s">
        <v>1684</v>
      </c>
      <c r="M163" s="71" t="s">
        <v>1685</v>
      </c>
      <c r="N163" s="71"/>
      <c r="O163" s="71" t="s">
        <v>1686</v>
      </c>
      <c r="P163" s="71" t="s">
        <v>1687</v>
      </c>
      <c r="Q163" s="71" t="s">
        <v>1284</v>
      </c>
      <c r="R163" s="72" t="s">
        <v>1232</v>
      </c>
      <c r="S163" s="72" t="s">
        <v>1232</v>
      </c>
      <c r="T163" s="72" t="s">
        <v>1232</v>
      </c>
      <c r="U163" s="72" t="s">
        <v>1232</v>
      </c>
      <c r="V163" s="72" t="s">
        <v>1232</v>
      </c>
      <c r="W163" s="659"/>
      <c r="X163" s="487"/>
      <c r="Y163" s="487"/>
      <c r="Z163" s="654"/>
      <c r="AA163" s="297"/>
      <c r="AB163" s="297"/>
      <c r="AD163" s="286"/>
      <c r="AE163" s="286"/>
      <c r="AF163" s="286"/>
      <c r="AG163" s="286"/>
      <c r="AH163" s="286"/>
      <c r="AI163" s="286"/>
      <c r="AJ163" s="286"/>
      <c r="AK163" s="286"/>
      <c r="AL163" s="286"/>
      <c r="AM163" s="286"/>
      <c r="AN163" s="428"/>
      <c r="AO163" s="440" t="str">
        <f t="shared" si="1"/>
        <v/>
      </c>
    </row>
    <row r="164" spans="1:41" ht="20.85" customHeight="1" x14ac:dyDescent="0.2">
      <c r="A164" s="100"/>
      <c r="B164" s="296"/>
      <c r="C164" s="214"/>
      <c r="D164" s="738"/>
      <c r="E164" s="739"/>
      <c r="F164" s="739"/>
      <c r="G164" s="739"/>
      <c r="H164" s="739"/>
      <c r="I164" s="740"/>
      <c r="J164" s="136"/>
      <c r="K164" s="137"/>
      <c r="L164" s="98"/>
      <c r="M164" s="98"/>
      <c r="N164" s="98"/>
      <c r="O164" s="98"/>
      <c r="P164" s="98"/>
      <c r="Q164" s="98"/>
      <c r="R164" s="99"/>
      <c r="S164" s="99"/>
      <c r="T164" s="99"/>
      <c r="U164" s="99"/>
      <c r="V164" s="99"/>
      <c r="W164" s="486" t="str">
        <f>IF(I165="No", "Comments","") &amp; IF(I165="N/A", "Comments","")</f>
        <v/>
      </c>
      <c r="X164" s="486"/>
      <c r="Y164" s="486"/>
      <c r="Z164" s="514"/>
      <c r="AA164" s="173"/>
      <c r="AB164" s="173"/>
      <c r="AD164" s="286"/>
      <c r="AE164" s="286"/>
      <c r="AF164" s="286"/>
      <c r="AG164" s="286"/>
      <c r="AH164" s="286"/>
      <c r="AI164" s="286"/>
      <c r="AJ164" s="286"/>
      <c r="AK164" s="286"/>
      <c r="AL164" s="286"/>
      <c r="AM164" s="286"/>
      <c r="AN164" s="428"/>
      <c r="AO164" s="440"/>
    </row>
    <row r="165" spans="1:41" ht="37.15" customHeight="1" x14ac:dyDescent="0.2">
      <c r="A165" s="73" t="s">
        <v>1659</v>
      </c>
      <c r="B165" s="153" t="s">
        <v>1660</v>
      </c>
      <c r="C165" s="213"/>
      <c r="D165" s="445" t="s">
        <v>1688</v>
      </c>
      <c r="E165" s="67" t="s">
        <v>1689</v>
      </c>
      <c r="F165" s="61" t="s">
        <v>1690</v>
      </c>
      <c r="G165" s="68" t="s">
        <v>1560</v>
      </c>
      <c r="H165" s="367" t="s">
        <v>784</v>
      </c>
      <c r="I165" s="115"/>
      <c r="J165" s="75"/>
      <c r="K165" s="76"/>
      <c r="L165" s="71" t="s">
        <v>1691</v>
      </c>
      <c r="M165" s="71" t="s">
        <v>1692</v>
      </c>
      <c r="N165" s="71"/>
      <c r="O165" s="71" t="s">
        <v>1693</v>
      </c>
      <c r="P165" s="71" t="s">
        <v>1694</v>
      </c>
      <c r="Q165" s="71" t="s">
        <v>1399</v>
      </c>
      <c r="R165" s="72" t="s">
        <v>1232</v>
      </c>
      <c r="S165" s="72" t="s">
        <v>1232</v>
      </c>
      <c r="T165" s="72" t="s">
        <v>1232</v>
      </c>
      <c r="U165" s="72" t="s">
        <v>1232</v>
      </c>
      <c r="V165" s="72" t="s">
        <v>1232</v>
      </c>
      <c r="W165" s="659"/>
      <c r="X165" s="487"/>
      <c r="Y165" s="487"/>
      <c r="Z165" s="654"/>
      <c r="AA165" s="297"/>
      <c r="AB165" s="297"/>
      <c r="AD165" s="286"/>
      <c r="AE165" s="286"/>
      <c r="AF165" s="286"/>
      <c r="AG165" s="286"/>
      <c r="AH165" s="286"/>
      <c r="AI165" s="286"/>
      <c r="AJ165" s="286"/>
      <c r="AK165" s="286"/>
      <c r="AL165" s="286"/>
      <c r="AM165" s="286"/>
      <c r="AN165" s="428"/>
      <c r="AO165" s="440" t="str">
        <f t="shared" si="1"/>
        <v/>
      </c>
    </row>
    <row r="166" spans="1:41" ht="15" customHeight="1" x14ac:dyDescent="0.2">
      <c r="A166" s="100"/>
      <c r="B166" s="296"/>
      <c r="C166" s="214"/>
      <c r="D166" s="738"/>
      <c r="E166" s="739"/>
      <c r="F166" s="739"/>
      <c r="G166" s="739"/>
      <c r="H166" s="739"/>
      <c r="I166" s="740"/>
      <c r="J166" s="136"/>
      <c r="K166" s="137"/>
      <c r="L166" s="98"/>
      <c r="M166" s="98"/>
      <c r="N166" s="98"/>
      <c r="O166" s="98"/>
      <c r="P166" s="98"/>
      <c r="Q166" s="98"/>
      <c r="R166" s="99"/>
      <c r="S166" s="99"/>
      <c r="T166" s="99"/>
      <c r="U166" s="99"/>
      <c r="V166" s="99"/>
      <c r="W166" s="486" t="str">
        <f>IF(I167="No", "Comments","") &amp; IF(I167="N/A", "Comments","")</f>
        <v/>
      </c>
      <c r="X166" s="486"/>
      <c r="Y166" s="486"/>
      <c r="Z166" s="514"/>
      <c r="AA166" s="173"/>
      <c r="AB166" s="173"/>
      <c r="AD166" s="286"/>
      <c r="AE166" s="286"/>
      <c r="AF166" s="286"/>
      <c r="AG166" s="286"/>
      <c r="AH166" s="286"/>
      <c r="AI166" s="286"/>
      <c r="AJ166" s="286"/>
      <c r="AK166" s="286"/>
      <c r="AL166" s="286"/>
      <c r="AM166" s="286"/>
      <c r="AN166" s="428"/>
      <c r="AO166" s="440"/>
    </row>
    <row r="167" spans="1:41" ht="44.25" customHeight="1" x14ac:dyDescent="0.2">
      <c r="A167" s="73" t="s">
        <v>1659</v>
      </c>
      <c r="B167" s="153" t="s">
        <v>1660</v>
      </c>
      <c r="C167" s="213"/>
      <c r="D167" s="747" t="s">
        <v>1695</v>
      </c>
      <c r="E167" s="61" t="s">
        <v>1696</v>
      </c>
      <c r="F167" s="61" t="s">
        <v>1697</v>
      </c>
      <c r="G167" s="68" t="s">
        <v>1223</v>
      </c>
      <c r="H167" s="367" t="s">
        <v>787</v>
      </c>
      <c r="I167" s="115"/>
      <c r="J167" s="749" t="s">
        <v>1698</v>
      </c>
      <c r="K167" s="752" t="s">
        <v>1699</v>
      </c>
      <c r="L167" s="729" t="s">
        <v>1700</v>
      </c>
      <c r="M167" s="729" t="s">
        <v>1701</v>
      </c>
      <c r="N167" s="729"/>
      <c r="O167" s="729" t="s">
        <v>1702</v>
      </c>
      <c r="P167" s="729" t="s">
        <v>1703</v>
      </c>
      <c r="Q167" s="729"/>
      <c r="R167" s="731" t="s">
        <v>1232</v>
      </c>
      <c r="S167" s="731" t="s">
        <v>1232</v>
      </c>
      <c r="T167" s="731" t="s">
        <v>1232</v>
      </c>
      <c r="U167" s="731" t="s">
        <v>1232</v>
      </c>
      <c r="V167" s="731" t="s">
        <v>1232</v>
      </c>
      <c r="W167" s="659"/>
      <c r="X167" s="487"/>
      <c r="Y167" s="487"/>
      <c r="Z167" s="654"/>
      <c r="AA167" s="297"/>
      <c r="AB167" s="297"/>
      <c r="AD167" s="286"/>
      <c r="AE167" s="286"/>
      <c r="AF167" s="286"/>
      <c r="AG167" s="286"/>
      <c r="AH167" s="286"/>
      <c r="AI167" s="286"/>
      <c r="AJ167" s="286"/>
      <c r="AK167" s="286"/>
      <c r="AL167" s="286"/>
      <c r="AM167" s="286"/>
      <c r="AN167" s="428"/>
      <c r="AO167" s="440" t="str">
        <f t="shared" si="1"/>
        <v/>
      </c>
    </row>
    <row r="168" spans="1:41" ht="20.85" customHeight="1" x14ac:dyDescent="0.2">
      <c r="A168" s="100"/>
      <c r="B168" s="296"/>
      <c r="C168" s="214"/>
      <c r="D168" s="747"/>
      <c r="E168" s="61"/>
      <c r="F168" s="61"/>
      <c r="G168" s="68"/>
      <c r="H168" s="741"/>
      <c r="I168" s="740"/>
      <c r="J168" s="749"/>
      <c r="K168" s="752"/>
      <c r="L168" s="729"/>
      <c r="M168" s="729"/>
      <c r="N168" s="729"/>
      <c r="O168" s="729"/>
      <c r="P168" s="729"/>
      <c r="Q168" s="729"/>
      <c r="R168" s="731"/>
      <c r="S168" s="731"/>
      <c r="T168" s="731"/>
      <c r="U168" s="731"/>
      <c r="V168" s="731"/>
      <c r="W168" s="486" t="str">
        <f>IF(I169="No", "Comments","") &amp; IF(I169="N/A", "Comments","")</f>
        <v/>
      </c>
      <c r="X168" s="486"/>
      <c r="Y168" s="486"/>
      <c r="Z168" s="514"/>
      <c r="AA168" s="173"/>
      <c r="AB168" s="173"/>
      <c r="AD168" s="286"/>
      <c r="AE168" s="286"/>
      <c r="AF168" s="286"/>
      <c r="AG168" s="286"/>
      <c r="AH168" s="286"/>
      <c r="AI168" s="286"/>
      <c r="AJ168" s="286"/>
      <c r="AK168" s="286"/>
      <c r="AL168" s="286"/>
      <c r="AM168" s="286"/>
      <c r="AN168" s="428"/>
      <c r="AO168" s="440"/>
    </row>
    <row r="169" spans="1:41" ht="37.15" customHeight="1" x14ac:dyDescent="0.2">
      <c r="A169" s="73" t="s">
        <v>1659</v>
      </c>
      <c r="B169" s="153" t="s">
        <v>1660</v>
      </c>
      <c r="C169" s="213"/>
      <c r="D169" s="747"/>
      <c r="E169" s="61" t="s">
        <v>1696</v>
      </c>
      <c r="F169" s="61" t="s">
        <v>1704</v>
      </c>
      <c r="G169" s="68" t="s">
        <v>1223</v>
      </c>
      <c r="H169" s="367" t="s">
        <v>790</v>
      </c>
      <c r="I169" s="115"/>
      <c r="J169" s="749" t="s">
        <v>1698</v>
      </c>
      <c r="K169" s="752" t="s">
        <v>1699</v>
      </c>
      <c r="L169" s="729" t="s">
        <v>1700</v>
      </c>
      <c r="M169" s="729" t="s">
        <v>1701</v>
      </c>
      <c r="N169" s="729"/>
      <c r="O169" s="729" t="s">
        <v>1702</v>
      </c>
      <c r="P169" s="729" t="s">
        <v>1703</v>
      </c>
      <c r="Q169" s="729"/>
      <c r="R169" s="731" t="s">
        <v>1232</v>
      </c>
      <c r="S169" s="731" t="s">
        <v>1232</v>
      </c>
      <c r="T169" s="731" t="s">
        <v>1232</v>
      </c>
      <c r="U169" s="731" t="s">
        <v>1232</v>
      </c>
      <c r="V169" s="731" t="s">
        <v>1232</v>
      </c>
      <c r="W169" s="659"/>
      <c r="X169" s="487"/>
      <c r="Y169" s="487"/>
      <c r="Z169" s="654"/>
      <c r="AA169" s="297"/>
      <c r="AB169" s="297"/>
      <c r="AD169" s="286"/>
      <c r="AE169" s="286"/>
      <c r="AF169" s="286"/>
      <c r="AG169" s="286"/>
      <c r="AH169" s="286"/>
      <c r="AI169" s="286"/>
      <c r="AJ169" s="286"/>
      <c r="AK169" s="286"/>
      <c r="AL169" s="286"/>
      <c r="AM169" s="286"/>
      <c r="AN169" s="428"/>
      <c r="AO169" s="440" t="str">
        <f t="shared" si="1"/>
        <v/>
      </c>
    </row>
    <row r="170" spans="1:41" ht="20.85" customHeight="1" x14ac:dyDescent="0.2">
      <c r="A170" s="100"/>
      <c r="B170" s="296"/>
      <c r="C170" s="214"/>
      <c r="D170" s="747"/>
      <c r="E170" s="61"/>
      <c r="F170" s="61"/>
      <c r="G170" s="68"/>
      <c r="H170" s="741"/>
      <c r="I170" s="740"/>
      <c r="J170" s="749"/>
      <c r="K170" s="752"/>
      <c r="L170" s="729"/>
      <c r="M170" s="729"/>
      <c r="N170" s="729"/>
      <c r="O170" s="729"/>
      <c r="P170" s="729"/>
      <c r="Q170" s="729"/>
      <c r="R170" s="731"/>
      <c r="S170" s="731"/>
      <c r="T170" s="731"/>
      <c r="U170" s="731"/>
      <c r="V170" s="731"/>
      <c r="W170" s="486" t="str">
        <f>IF(I171="No", "Comments","") &amp; IF(I171="N/A", "Please Explain","")</f>
        <v/>
      </c>
      <c r="X170" s="486"/>
      <c r="Y170" s="486"/>
      <c r="Z170" s="514"/>
      <c r="AA170" s="173"/>
      <c r="AB170" s="173"/>
      <c r="AD170" s="286"/>
      <c r="AE170" s="286"/>
      <c r="AF170" s="286"/>
      <c r="AG170" s="286"/>
      <c r="AH170" s="286"/>
      <c r="AI170" s="286"/>
      <c r="AJ170" s="286"/>
      <c r="AK170" s="286"/>
      <c r="AL170" s="286"/>
      <c r="AM170" s="286"/>
      <c r="AN170" s="428"/>
      <c r="AO170" s="440"/>
    </row>
    <row r="171" spans="1:41" ht="37.15" customHeight="1" x14ac:dyDescent="0.2">
      <c r="A171" s="73" t="s">
        <v>1659</v>
      </c>
      <c r="B171" s="153" t="s">
        <v>1660</v>
      </c>
      <c r="C171" s="213"/>
      <c r="D171" s="747"/>
      <c r="E171" s="61" t="s">
        <v>1696</v>
      </c>
      <c r="F171" s="61" t="s">
        <v>1705</v>
      </c>
      <c r="G171" s="68" t="s">
        <v>1223</v>
      </c>
      <c r="H171" s="367" t="s">
        <v>793</v>
      </c>
      <c r="I171" s="115"/>
      <c r="J171" s="750" t="s">
        <v>1698</v>
      </c>
      <c r="K171" s="753" t="s">
        <v>1699</v>
      </c>
      <c r="L171" s="746" t="s">
        <v>1700</v>
      </c>
      <c r="M171" s="746" t="s">
        <v>1701</v>
      </c>
      <c r="N171" s="746"/>
      <c r="O171" s="746" t="s">
        <v>1702</v>
      </c>
      <c r="P171" s="746" t="s">
        <v>1703</v>
      </c>
      <c r="Q171" s="746"/>
      <c r="R171" s="732" t="s">
        <v>1232</v>
      </c>
      <c r="S171" s="732" t="s">
        <v>1232</v>
      </c>
      <c r="T171" s="732" t="s">
        <v>1232</v>
      </c>
      <c r="U171" s="732" t="s">
        <v>1232</v>
      </c>
      <c r="V171" s="732" t="s">
        <v>1232</v>
      </c>
      <c r="W171" s="659"/>
      <c r="X171" s="487"/>
      <c r="Y171" s="487"/>
      <c r="Z171" s="654"/>
      <c r="AA171" s="297"/>
      <c r="AB171" s="297"/>
      <c r="AD171" s="286"/>
      <c r="AE171" s="286"/>
      <c r="AF171" s="286"/>
      <c r="AG171" s="286"/>
      <c r="AH171" s="286"/>
      <c r="AI171" s="286"/>
      <c r="AJ171" s="286"/>
      <c r="AK171" s="286"/>
      <c r="AL171" s="286"/>
      <c r="AM171" s="286"/>
      <c r="AN171" s="428"/>
      <c r="AO171" s="440" t="str">
        <f t="shared" si="1"/>
        <v/>
      </c>
    </row>
    <row r="172" spans="1:41" ht="15.75" customHeight="1" x14ac:dyDescent="0.2">
      <c r="A172" s="100"/>
      <c r="B172" s="296"/>
      <c r="C172" s="214"/>
      <c r="D172" s="738"/>
      <c r="E172" s="739"/>
      <c r="F172" s="739"/>
      <c r="G172" s="739"/>
      <c r="H172" s="739"/>
      <c r="I172" s="740"/>
      <c r="J172" s="136"/>
      <c r="K172" s="137"/>
      <c r="L172" s="98"/>
      <c r="M172" s="98"/>
      <c r="N172" s="98"/>
      <c r="O172" s="98"/>
      <c r="P172" s="98"/>
      <c r="Q172" s="98"/>
      <c r="R172" s="99"/>
      <c r="S172" s="99"/>
      <c r="T172" s="99"/>
      <c r="U172" s="99"/>
      <c r="V172" s="99"/>
      <c r="W172" s="486" t="str">
        <f>IF(I173="No", "Comments","") &amp; IF(I173="N/A", "Comments","")</f>
        <v/>
      </c>
      <c r="X172" s="486"/>
      <c r="Y172" s="486"/>
      <c r="Z172" s="514"/>
      <c r="AA172" s="173"/>
      <c r="AB172" s="173"/>
      <c r="AD172" s="286"/>
      <c r="AE172" s="286"/>
      <c r="AF172" s="286"/>
      <c r="AG172" s="286"/>
      <c r="AH172" s="286"/>
      <c r="AI172" s="286"/>
      <c r="AJ172" s="286"/>
      <c r="AK172" s="286"/>
      <c r="AL172" s="286"/>
      <c r="AM172" s="286"/>
      <c r="AN172" s="428"/>
      <c r="AO172" s="440"/>
    </row>
    <row r="173" spans="1:41" ht="37.15" customHeight="1" x14ac:dyDescent="0.2">
      <c r="A173" s="73" t="s">
        <v>1659</v>
      </c>
      <c r="B173" s="153" t="s">
        <v>1660</v>
      </c>
      <c r="C173" s="213"/>
      <c r="D173" s="747" t="s">
        <v>1706</v>
      </c>
      <c r="E173" s="61" t="s">
        <v>1707</v>
      </c>
      <c r="F173" s="61" t="s">
        <v>1708</v>
      </c>
      <c r="G173" s="68" t="s">
        <v>1223</v>
      </c>
      <c r="H173" s="367" t="s">
        <v>796</v>
      </c>
      <c r="I173" s="115"/>
      <c r="J173" s="748" t="s">
        <v>1709</v>
      </c>
      <c r="K173" s="751" t="s">
        <v>1710</v>
      </c>
      <c r="L173" s="728" t="s">
        <v>1711</v>
      </c>
      <c r="M173" s="728" t="s">
        <v>1712</v>
      </c>
      <c r="N173" s="728"/>
      <c r="O173" s="728" t="s">
        <v>1713</v>
      </c>
      <c r="P173" s="728"/>
      <c r="Q173" s="728" t="s">
        <v>1714</v>
      </c>
      <c r="R173" s="730" t="s">
        <v>1232</v>
      </c>
      <c r="S173" s="730" t="s">
        <v>1232</v>
      </c>
      <c r="T173" s="730" t="s">
        <v>1232</v>
      </c>
      <c r="U173" s="730" t="s">
        <v>1232</v>
      </c>
      <c r="V173" s="730" t="s">
        <v>1232</v>
      </c>
      <c r="W173" s="659"/>
      <c r="X173" s="487"/>
      <c r="Y173" s="487"/>
      <c r="Z173" s="654"/>
      <c r="AA173" s="297"/>
      <c r="AB173" s="297"/>
      <c r="AD173" s="286"/>
      <c r="AE173" s="286"/>
      <c r="AF173" s="286"/>
      <c r="AG173" s="286"/>
      <c r="AH173" s="286"/>
      <c r="AI173" s="286"/>
      <c r="AJ173" s="286"/>
      <c r="AK173" s="286"/>
      <c r="AL173" s="286"/>
      <c r="AM173" s="286"/>
      <c r="AN173" s="428"/>
      <c r="AO173" s="440" t="str">
        <f t="shared" si="1"/>
        <v/>
      </c>
    </row>
    <row r="174" spans="1:41" ht="20.85" customHeight="1" x14ac:dyDescent="0.2">
      <c r="A174" s="100"/>
      <c r="B174" s="296"/>
      <c r="C174" s="214"/>
      <c r="D174" s="747"/>
      <c r="E174" s="61"/>
      <c r="F174" s="61"/>
      <c r="G174" s="68"/>
      <c r="H174" s="741"/>
      <c r="I174" s="740"/>
      <c r="J174" s="749"/>
      <c r="K174" s="752"/>
      <c r="L174" s="729"/>
      <c r="M174" s="729"/>
      <c r="N174" s="729"/>
      <c r="O174" s="729"/>
      <c r="P174" s="729"/>
      <c r="Q174" s="729"/>
      <c r="R174" s="731"/>
      <c r="S174" s="731"/>
      <c r="T174" s="731"/>
      <c r="U174" s="731"/>
      <c r="V174" s="731"/>
      <c r="W174" s="486" t="str">
        <f>IF(I175="No", "Comments","") &amp; IF(I175="N/A", "Comments","")</f>
        <v/>
      </c>
      <c r="X174" s="486"/>
      <c r="Y174" s="486"/>
      <c r="Z174" s="514"/>
      <c r="AA174" s="173"/>
      <c r="AB174" s="173"/>
      <c r="AD174" s="286"/>
      <c r="AE174" s="286"/>
      <c r="AF174" s="286"/>
      <c r="AG174" s="286"/>
      <c r="AH174" s="286"/>
      <c r="AI174" s="286"/>
      <c r="AJ174" s="286"/>
      <c r="AK174" s="286"/>
      <c r="AL174" s="286"/>
      <c r="AM174" s="286"/>
      <c r="AN174" s="428"/>
      <c r="AO174" s="440"/>
    </row>
    <row r="175" spans="1:41" ht="75" customHeight="1" x14ac:dyDescent="0.2">
      <c r="A175" s="73" t="s">
        <v>1659</v>
      </c>
      <c r="B175" s="153" t="s">
        <v>1660</v>
      </c>
      <c r="C175" s="213"/>
      <c r="D175" s="747"/>
      <c r="E175" s="61" t="s">
        <v>1707</v>
      </c>
      <c r="F175" s="61" t="s">
        <v>1715</v>
      </c>
      <c r="G175" s="68" t="s">
        <v>1223</v>
      </c>
      <c r="H175" s="367" t="s">
        <v>1716</v>
      </c>
      <c r="I175" s="115"/>
      <c r="J175" s="749" t="s">
        <v>1709</v>
      </c>
      <c r="K175" s="752" t="s">
        <v>1710</v>
      </c>
      <c r="L175" s="729" t="s">
        <v>1711</v>
      </c>
      <c r="M175" s="729" t="s">
        <v>1712</v>
      </c>
      <c r="N175" s="729"/>
      <c r="O175" s="729" t="s">
        <v>1713</v>
      </c>
      <c r="P175" s="729"/>
      <c r="Q175" s="729" t="s">
        <v>1714</v>
      </c>
      <c r="R175" s="731" t="s">
        <v>1232</v>
      </c>
      <c r="S175" s="731" t="s">
        <v>1232</v>
      </c>
      <c r="T175" s="731" t="s">
        <v>1232</v>
      </c>
      <c r="U175" s="731" t="s">
        <v>1232</v>
      </c>
      <c r="V175" s="731" t="s">
        <v>1232</v>
      </c>
      <c r="W175" s="659"/>
      <c r="X175" s="487"/>
      <c r="Y175" s="487"/>
      <c r="Z175" s="654"/>
      <c r="AA175" s="297"/>
      <c r="AB175" s="297"/>
      <c r="AD175" s="286"/>
      <c r="AE175" s="286"/>
      <c r="AF175" s="286"/>
      <c r="AG175" s="286"/>
      <c r="AH175" s="286"/>
      <c r="AI175" s="286"/>
      <c r="AJ175" s="286"/>
      <c r="AK175" s="286"/>
      <c r="AL175" s="286"/>
      <c r="AM175" s="286"/>
      <c r="AN175" s="428"/>
      <c r="AO175" s="440" t="str">
        <f t="shared" si="1"/>
        <v/>
      </c>
    </row>
    <row r="176" spans="1:41" ht="20.85" customHeight="1" x14ac:dyDescent="0.2">
      <c r="A176" s="100"/>
      <c r="B176" s="296"/>
      <c r="C176" s="214"/>
      <c r="D176" s="747"/>
      <c r="E176" s="61"/>
      <c r="F176" s="61"/>
      <c r="G176" s="68"/>
      <c r="H176" s="741"/>
      <c r="I176" s="740"/>
      <c r="J176" s="749"/>
      <c r="K176" s="752"/>
      <c r="L176" s="729"/>
      <c r="M176" s="729"/>
      <c r="N176" s="729"/>
      <c r="O176" s="729"/>
      <c r="P176" s="729"/>
      <c r="Q176" s="729"/>
      <c r="R176" s="731"/>
      <c r="S176" s="731"/>
      <c r="T176" s="731"/>
      <c r="U176" s="731"/>
      <c r="V176" s="731"/>
      <c r="W176" s="486" t="str">
        <f>IF(I177="No", "Comments","") &amp; IF(I177="N/A", "Comments","")</f>
        <v/>
      </c>
      <c r="X176" s="486"/>
      <c r="Y176" s="486"/>
      <c r="Z176" s="514"/>
      <c r="AA176" s="173"/>
      <c r="AB176" s="173"/>
      <c r="AD176" s="286"/>
      <c r="AE176" s="286"/>
      <c r="AF176" s="286"/>
      <c r="AG176" s="286"/>
      <c r="AH176" s="286"/>
      <c r="AI176" s="286"/>
      <c r="AJ176" s="286"/>
      <c r="AK176" s="286"/>
      <c r="AL176" s="286"/>
      <c r="AM176" s="286"/>
      <c r="AN176" s="428"/>
      <c r="AO176" s="440"/>
    </row>
    <row r="177" spans="1:41" ht="55.15" customHeight="1" x14ac:dyDescent="0.2">
      <c r="A177" s="73" t="s">
        <v>1659</v>
      </c>
      <c r="B177" s="153" t="s">
        <v>1660</v>
      </c>
      <c r="C177" s="213"/>
      <c r="D177" s="747"/>
      <c r="E177" s="61" t="s">
        <v>1707</v>
      </c>
      <c r="F177" s="61" t="s">
        <v>1717</v>
      </c>
      <c r="G177" s="68" t="s">
        <v>1223</v>
      </c>
      <c r="H177" s="367" t="s">
        <v>802</v>
      </c>
      <c r="I177" s="115"/>
      <c r="J177" s="750" t="s">
        <v>1709</v>
      </c>
      <c r="K177" s="753" t="s">
        <v>1710</v>
      </c>
      <c r="L177" s="746" t="s">
        <v>1711</v>
      </c>
      <c r="M177" s="746" t="s">
        <v>1712</v>
      </c>
      <c r="N177" s="746"/>
      <c r="O177" s="746" t="s">
        <v>1713</v>
      </c>
      <c r="P177" s="746"/>
      <c r="Q177" s="746" t="s">
        <v>1714</v>
      </c>
      <c r="R177" s="732" t="s">
        <v>1232</v>
      </c>
      <c r="S177" s="732" t="s">
        <v>1232</v>
      </c>
      <c r="T177" s="732" t="s">
        <v>1232</v>
      </c>
      <c r="U177" s="732" t="s">
        <v>1232</v>
      </c>
      <c r="V177" s="732" t="s">
        <v>1232</v>
      </c>
      <c r="W177" s="659"/>
      <c r="X177" s="487"/>
      <c r="Y177" s="487"/>
      <c r="Z177" s="654"/>
      <c r="AA177" s="297"/>
      <c r="AB177" s="297"/>
      <c r="AD177" s="286"/>
      <c r="AE177" s="286"/>
      <c r="AF177" s="286"/>
      <c r="AG177" s="286"/>
      <c r="AH177" s="286"/>
      <c r="AI177" s="286"/>
      <c r="AJ177" s="286"/>
      <c r="AK177" s="286"/>
      <c r="AL177" s="286"/>
      <c r="AM177" s="286"/>
      <c r="AN177" s="428"/>
      <c r="AO177" s="440" t="str">
        <f t="shared" si="1"/>
        <v/>
      </c>
    </row>
    <row r="178" spans="1:41" ht="12.6" customHeight="1" x14ac:dyDescent="0.2">
      <c r="A178" s="100"/>
      <c r="B178" s="296"/>
      <c r="C178" s="214"/>
      <c r="D178" s="450"/>
      <c r="E178" s="61"/>
      <c r="F178" s="61"/>
      <c r="G178" s="68"/>
      <c r="H178" s="741"/>
      <c r="I178" s="740"/>
      <c r="J178" s="299"/>
      <c r="K178" s="300"/>
      <c r="L178" s="110"/>
      <c r="M178" s="110"/>
      <c r="N178" s="110"/>
      <c r="O178" s="110"/>
      <c r="P178" s="110"/>
      <c r="Q178" s="110"/>
      <c r="R178" s="111"/>
      <c r="S178" s="111"/>
      <c r="T178" s="111"/>
      <c r="U178" s="111"/>
      <c r="V178" s="111"/>
      <c r="W178" s="486" t="str">
        <f>IF(I179="No", "Comments","") &amp; IF(I179="N/A", "Comments","")</f>
        <v/>
      </c>
      <c r="X178" s="486"/>
      <c r="Y178" s="486"/>
      <c r="Z178" s="514"/>
      <c r="AA178" s="173"/>
      <c r="AB178" s="173"/>
      <c r="AD178" s="286"/>
      <c r="AE178" s="286"/>
      <c r="AF178" s="286"/>
      <c r="AG178" s="286"/>
      <c r="AH178" s="286"/>
      <c r="AI178" s="286"/>
      <c r="AJ178" s="286"/>
      <c r="AK178" s="286"/>
      <c r="AL178" s="286"/>
      <c r="AM178" s="286"/>
      <c r="AN178" s="428"/>
      <c r="AO178" s="440"/>
    </row>
    <row r="179" spans="1:41" ht="93" customHeight="1" x14ac:dyDescent="0.2">
      <c r="A179" s="73" t="s">
        <v>1659</v>
      </c>
      <c r="B179" s="153" t="s">
        <v>1660</v>
      </c>
      <c r="C179" s="213"/>
      <c r="D179" s="445" t="s">
        <v>804</v>
      </c>
      <c r="E179" s="67" t="s">
        <v>1718</v>
      </c>
      <c r="F179" s="61" t="s">
        <v>1719</v>
      </c>
      <c r="G179" s="68" t="s">
        <v>1560</v>
      </c>
      <c r="H179" s="367" t="s">
        <v>805</v>
      </c>
      <c r="I179" s="115"/>
      <c r="J179" s="75"/>
      <c r="K179" s="76" t="s">
        <v>1720</v>
      </c>
      <c r="L179" s="71" t="s">
        <v>1721</v>
      </c>
      <c r="M179" s="71" t="s">
        <v>1722</v>
      </c>
      <c r="N179" s="71"/>
      <c r="O179" s="71" t="s">
        <v>1723</v>
      </c>
      <c r="P179" s="71" t="s">
        <v>1724</v>
      </c>
      <c r="Q179" s="71" t="s">
        <v>1714</v>
      </c>
      <c r="R179" s="72" t="s">
        <v>1232</v>
      </c>
      <c r="S179" s="72" t="s">
        <v>1232</v>
      </c>
      <c r="T179" s="72" t="s">
        <v>1232</v>
      </c>
      <c r="U179" s="72" t="s">
        <v>1232</v>
      </c>
      <c r="V179" s="72" t="s">
        <v>1232</v>
      </c>
      <c r="W179" s="659"/>
      <c r="X179" s="487"/>
      <c r="Y179" s="487"/>
      <c r="Z179" s="654"/>
      <c r="AA179" s="297"/>
      <c r="AB179" s="297"/>
      <c r="AD179" s="286"/>
      <c r="AE179" s="286"/>
      <c r="AF179" s="286"/>
      <c r="AG179" s="286"/>
      <c r="AH179" s="286"/>
      <c r="AI179" s="286"/>
      <c r="AJ179" s="286"/>
      <c r="AK179" s="286"/>
      <c r="AL179" s="286"/>
      <c r="AM179" s="286"/>
      <c r="AN179" s="428"/>
      <c r="AO179" s="440" t="str">
        <f t="shared" si="1"/>
        <v/>
      </c>
    </row>
    <row r="180" spans="1:41" ht="20.100000000000001" customHeight="1" x14ac:dyDescent="0.2">
      <c r="A180" s="100"/>
      <c r="B180" s="296"/>
      <c r="C180" s="214"/>
      <c r="D180" s="738"/>
      <c r="E180" s="739"/>
      <c r="F180" s="739"/>
      <c r="G180" s="739"/>
      <c r="H180" s="739"/>
      <c r="I180" s="740"/>
      <c r="J180" s="299"/>
      <c r="K180" s="300"/>
      <c r="L180" s="110"/>
      <c r="M180" s="110"/>
      <c r="N180" s="110"/>
      <c r="O180" s="110"/>
      <c r="P180" s="110"/>
      <c r="Q180" s="110"/>
      <c r="R180" s="111"/>
      <c r="S180" s="111"/>
      <c r="T180" s="111"/>
      <c r="U180" s="111"/>
      <c r="V180" s="111"/>
      <c r="W180" s="486" t="str">
        <f>IF(I181="No", "Comments","") &amp; IF(I181="N/A", "Comments","")</f>
        <v/>
      </c>
      <c r="X180" s="486"/>
      <c r="Y180" s="486"/>
      <c r="Z180" s="514"/>
      <c r="AA180" s="173"/>
      <c r="AB180" s="173"/>
      <c r="AD180" s="286"/>
      <c r="AE180" s="286"/>
      <c r="AF180" s="286"/>
      <c r="AG180" s="286"/>
      <c r="AH180" s="286"/>
      <c r="AI180" s="286"/>
      <c r="AJ180" s="286"/>
      <c r="AK180" s="286"/>
      <c r="AL180" s="286"/>
      <c r="AM180" s="286"/>
      <c r="AN180" s="428"/>
      <c r="AO180" s="440"/>
    </row>
    <row r="181" spans="1:41" ht="86.25" customHeight="1" x14ac:dyDescent="0.2">
      <c r="A181" s="73" t="s">
        <v>1659</v>
      </c>
      <c r="B181" s="153" t="s">
        <v>1660</v>
      </c>
      <c r="C181" s="213"/>
      <c r="D181" s="747" t="s">
        <v>1725</v>
      </c>
      <c r="E181" s="61" t="s">
        <v>1726</v>
      </c>
      <c r="F181" s="61" t="s">
        <v>1727</v>
      </c>
      <c r="G181" s="68" t="s">
        <v>1223</v>
      </c>
      <c r="H181" s="367" t="s">
        <v>808</v>
      </c>
      <c r="I181" s="115"/>
      <c r="J181" s="748" t="s">
        <v>1728</v>
      </c>
      <c r="K181" s="751" t="s">
        <v>1729</v>
      </c>
      <c r="L181" s="728" t="s">
        <v>1730</v>
      </c>
      <c r="M181" s="728"/>
      <c r="N181" s="728"/>
      <c r="O181" s="728" t="s">
        <v>1731</v>
      </c>
      <c r="P181" s="728"/>
      <c r="Q181" s="728" t="s">
        <v>1732</v>
      </c>
      <c r="R181" s="730" t="s">
        <v>1232</v>
      </c>
      <c r="S181" s="730" t="s">
        <v>1232</v>
      </c>
      <c r="T181" s="730" t="s">
        <v>1232</v>
      </c>
      <c r="U181" s="730" t="s">
        <v>1232</v>
      </c>
      <c r="V181" s="730" t="s">
        <v>1232</v>
      </c>
      <c r="W181" s="659"/>
      <c r="X181" s="487"/>
      <c r="Y181" s="487"/>
      <c r="Z181" s="654"/>
      <c r="AA181" s="297"/>
      <c r="AB181" s="297"/>
      <c r="AD181" s="286"/>
      <c r="AE181" s="286"/>
      <c r="AF181" s="286"/>
      <c r="AG181" s="286"/>
      <c r="AH181" s="286"/>
      <c r="AI181" s="286"/>
      <c r="AJ181" s="286"/>
      <c r="AK181" s="286"/>
      <c r="AL181" s="286"/>
      <c r="AM181" s="286"/>
      <c r="AN181" s="428"/>
      <c r="AO181" s="440" t="str">
        <f t="shared" si="1"/>
        <v/>
      </c>
    </row>
    <row r="182" spans="1:41" ht="20.85" customHeight="1" x14ac:dyDescent="0.2">
      <c r="A182" s="100"/>
      <c r="B182" s="296"/>
      <c r="C182" s="214"/>
      <c r="D182" s="747"/>
      <c r="E182" s="61"/>
      <c r="F182" s="61"/>
      <c r="G182" s="68"/>
      <c r="H182" s="741"/>
      <c r="I182" s="740"/>
      <c r="J182" s="749"/>
      <c r="K182" s="752"/>
      <c r="L182" s="729"/>
      <c r="M182" s="729"/>
      <c r="N182" s="729"/>
      <c r="O182" s="729"/>
      <c r="P182" s="729"/>
      <c r="Q182" s="729"/>
      <c r="R182" s="731"/>
      <c r="S182" s="731"/>
      <c r="T182" s="731"/>
      <c r="U182" s="731"/>
      <c r="V182" s="731"/>
      <c r="W182" s="486" t="str">
        <f>IF(I183="No", "Comments","") &amp; IF(I183="N/A", "Comments","")</f>
        <v/>
      </c>
      <c r="X182" s="486"/>
      <c r="Y182" s="486"/>
      <c r="Z182" s="514"/>
      <c r="AA182" s="173"/>
      <c r="AB182" s="173"/>
      <c r="AD182" s="286"/>
      <c r="AE182" s="286"/>
      <c r="AF182" s="286"/>
      <c r="AG182" s="286"/>
      <c r="AH182" s="286"/>
      <c r="AI182" s="286"/>
      <c r="AJ182" s="286"/>
      <c r="AK182" s="286"/>
      <c r="AL182" s="286"/>
      <c r="AM182" s="286"/>
      <c r="AN182" s="428"/>
      <c r="AO182" s="440"/>
    </row>
    <row r="183" spans="1:41" ht="37.15" customHeight="1" x14ac:dyDescent="0.2">
      <c r="A183" s="73"/>
      <c r="B183" s="153"/>
      <c r="C183" s="213"/>
      <c r="D183" s="747"/>
      <c r="E183" s="61"/>
      <c r="F183" s="61"/>
      <c r="G183" s="68"/>
      <c r="H183" s="367" t="s">
        <v>811</v>
      </c>
      <c r="I183" s="115"/>
      <c r="J183" s="749"/>
      <c r="K183" s="752"/>
      <c r="L183" s="729"/>
      <c r="M183" s="729"/>
      <c r="N183" s="729"/>
      <c r="O183" s="729"/>
      <c r="P183" s="729"/>
      <c r="Q183" s="729"/>
      <c r="R183" s="731"/>
      <c r="S183" s="731"/>
      <c r="T183" s="731"/>
      <c r="U183" s="731"/>
      <c r="V183" s="731"/>
      <c r="W183" s="659"/>
      <c r="X183" s="487"/>
      <c r="Y183" s="487"/>
      <c r="Z183" s="654"/>
      <c r="AA183" s="297"/>
      <c r="AB183" s="297"/>
      <c r="AD183" s="286"/>
      <c r="AE183" s="286"/>
      <c r="AF183" s="286"/>
      <c r="AG183" s="286"/>
      <c r="AH183" s="286"/>
      <c r="AI183" s="286"/>
      <c r="AJ183" s="286"/>
      <c r="AK183" s="286"/>
      <c r="AL183" s="286"/>
      <c r="AM183" s="286"/>
      <c r="AN183" s="428"/>
      <c r="AO183" s="440" t="str">
        <f t="shared" si="1"/>
        <v/>
      </c>
    </row>
    <row r="184" spans="1:41" ht="20.85" customHeight="1" x14ac:dyDescent="0.2">
      <c r="A184" s="100"/>
      <c r="B184" s="296"/>
      <c r="C184" s="214"/>
      <c r="D184" s="747"/>
      <c r="E184" s="61"/>
      <c r="F184" s="61"/>
      <c r="G184" s="68"/>
      <c r="H184" s="741"/>
      <c r="I184" s="740"/>
      <c r="J184" s="749"/>
      <c r="K184" s="752"/>
      <c r="L184" s="729"/>
      <c r="M184" s="729"/>
      <c r="N184" s="729"/>
      <c r="O184" s="729"/>
      <c r="P184" s="729"/>
      <c r="Q184" s="729"/>
      <c r="R184" s="731"/>
      <c r="S184" s="731"/>
      <c r="T184" s="731"/>
      <c r="U184" s="731"/>
      <c r="V184" s="731"/>
      <c r="W184" s="486" t="str">
        <f>IF(I185="No", "Comments","") &amp; IF(I185="N/A", "Comments","")</f>
        <v/>
      </c>
      <c r="X184" s="486"/>
      <c r="Y184" s="486"/>
      <c r="Z184" s="514"/>
      <c r="AA184" s="173"/>
      <c r="AB184" s="173"/>
      <c r="AD184" s="286"/>
      <c r="AE184" s="286"/>
      <c r="AF184" s="286"/>
      <c r="AG184" s="286"/>
      <c r="AH184" s="286"/>
      <c r="AI184" s="286"/>
      <c r="AJ184" s="286"/>
      <c r="AK184" s="286"/>
      <c r="AL184" s="286"/>
      <c r="AM184" s="286"/>
      <c r="AN184" s="428"/>
      <c r="AO184" s="440"/>
    </row>
    <row r="185" spans="1:41" ht="25.15" customHeight="1" x14ac:dyDescent="0.2">
      <c r="A185" s="73" t="s">
        <v>1659</v>
      </c>
      <c r="B185" s="153" t="s">
        <v>1660</v>
      </c>
      <c r="C185" s="213"/>
      <c r="D185" s="747"/>
      <c r="E185" s="61" t="s">
        <v>1726</v>
      </c>
      <c r="F185" s="61" t="s">
        <v>1733</v>
      </c>
      <c r="G185" s="68" t="s">
        <v>1223</v>
      </c>
      <c r="H185" s="367" t="s">
        <v>814</v>
      </c>
      <c r="I185" s="115"/>
      <c r="J185" s="749" t="s">
        <v>1728</v>
      </c>
      <c r="K185" s="752" t="s">
        <v>1729</v>
      </c>
      <c r="L185" s="729" t="s">
        <v>1730</v>
      </c>
      <c r="M185" s="729"/>
      <c r="N185" s="729"/>
      <c r="O185" s="729" t="s">
        <v>1731</v>
      </c>
      <c r="P185" s="729"/>
      <c r="Q185" s="729" t="s">
        <v>1732</v>
      </c>
      <c r="R185" s="731" t="s">
        <v>1232</v>
      </c>
      <c r="S185" s="731" t="s">
        <v>1232</v>
      </c>
      <c r="T185" s="731" t="s">
        <v>1232</v>
      </c>
      <c r="U185" s="731" t="s">
        <v>1232</v>
      </c>
      <c r="V185" s="731" t="s">
        <v>1232</v>
      </c>
      <c r="W185" s="659"/>
      <c r="X185" s="487"/>
      <c r="Y185" s="487"/>
      <c r="Z185" s="654"/>
      <c r="AA185" s="297"/>
      <c r="AB185" s="297"/>
      <c r="AD185" s="286"/>
      <c r="AE185" s="286"/>
      <c r="AF185" s="286"/>
      <c r="AG185" s="286"/>
      <c r="AH185" s="286"/>
      <c r="AI185" s="286"/>
      <c r="AJ185" s="286"/>
      <c r="AK185" s="286"/>
      <c r="AL185" s="286"/>
      <c r="AM185" s="286"/>
      <c r="AN185" s="428"/>
      <c r="AO185" s="440" t="str">
        <f t="shared" si="1"/>
        <v/>
      </c>
    </row>
    <row r="186" spans="1:41" ht="25.15" customHeight="1" x14ac:dyDescent="0.2">
      <c r="A186" s="144"/>
      <c r="B186" s="153"/>
      <c r="C186" s="213"/>
      <c r="D186" s="804"/>
      <c r="E186" s="805"/>
      <c r="F186" s="805"/>
      <c r="G186" s="805"/>
      <c r="H186" s="805"/>
      <c r="I186" s="805"/>
      <c r="J186" s="805"/>
      <c r="K186" s="805"/>
      <c r="L186" s="805"/>
      <c r="M186" s="805"/>
      <c r="N186" s="805"/>
      <c r="O186" s="805"/>
      <c r="P186" s="805"/>
      <c r="Q186" s="805"/>
      <c r="R186" s="805"/>
      <c r="S186" s="805"/>
      <c r="T186" s="805"/>
      <c r="U186" s="805"/>
      <c r="V186" s="805"/>
      <c r="W186" s="805"/>
      <c r="X186" s="805"/>
      <c r="Y186" s="805"/>
      <c r="Z186" s="806"/>
      <c r="AA186" s="294"/>
      <c r="AB186" s="294"/>
      <c r="AD186" s="286"/>
      <c r="AE186" s="286"/>
      <c r="AF186" s="286"/>
      <c r="AG186" s="286"/>
      <c r="AH186" s="286"/>
      <c r="AI186" s="286"/>
      <c r="AJ186" s="286"/>
      <c r="AK186" s="286"/>
      <c r="AL186" s="286"/>
      <c r="AM186" s="286"/>
      <c r="AN186" s="428"/>
      <c r="AO186" s="440"/>
    </row>
    <row r="187" spans="1:41" ht="25.15" customHeight="1" x14ac:dyDescent="0.2">
      <c r="A187" s="144"/>
      <c r="B187" s="153"/>
      <c r="C187" s="213"/>
      <c r="D187" s="808" t="s">
        <v>1734</v>
      </c>
      <c r="E187" s="145"/>
      <c r="F187" s="145"/>
      <c r="G187" s="146"/>
      <c r="H187" s="810" t="s">
        <v>817</v>
      </c>
      <c r="I187" s="802"/>
      <c r="J187" s="802"/>
      <c r="K187" s="802"/>
      <c r="L187" s="802"/>
      <c r="M187" s="802"/>
      <c r="N187" s="802"/>
      <c r="O187" s="802"/>
      <c r="P187" s="802"/>
      <c r="Q187" s="802"/>
      <c r="R187" s="802"/>
      <c r="S187" s="802"/>
      <c r="T187" s="802"/>
      <c r="U187" s="802"/>
      <c r="V187" s="802"/>
      <c r="W187" s="802"/>
      <c r="X187" s="802"/>
      <c r="Y187" s="802"/>
      <c r="Z187" s="803"/>
      <c r="AA187" s="83"/>
      <c r="AB187" s="83"/>
      <c r="AD187" s="286"/>
      <c r="AE187" s="286"/>
      <c r="AF187" s="286"/>
      <c r="AG187" s="286"/>
      <c r="AH187" s="286"/>
      <c r="AI187" s="286"/>
      <c r="AJ187" s="286"/>
      <c r="AK187" s="286"/>
      <c r="AL187" s="286"/>
      <c r="AM187" s="286"/>
      <c r="AN187" s="428"/>
      <c r="AO187" s="440"/>
    </row>
    <row r="188" spans="1:41" ht="25.15" customHeight="1" thickBot="1" x14ac:dyDescent="0.25">
      <c r="A188" s="144"/>
      <c r="B188" s="153"/>
      <c r="C188" s="213"/>
      <c r="D188" s="809"/>
      <c r="E188" s="145"/>
      <c r="F188" s="145"/>
      <c r="G188" s="146"/>
      <c r="H188" s="811"/>
      <c r="I188" s="802"/>
      <c r="J188" s="802"/>
      <c r="K188" s="802"/>
      <c r="L188" s="802"/>
      <c r="M188" s="802"/>
      <c r="N188" s="802"/>
      <c r="O188" s="802"/>
      <c r="P188" s="802"/>
      <c r="Q188" s="802"/>
      <c r="R188" s="802"/>
      <c r="S188" s="802"/>
      <c r="T188" s="802"/>
      <c r="U188" s="802"/>
      <c r="V188" s="802"/>
      <c r="W188" s="802"/>
      <c r="X188" s="802"/>
      <c r="Y188" s="802"/>
      <c r="Z188" s="803"/>
      <c r="AA188" s="83"/>
      <c r="AB188" s="83"/>
      <c r="AD188" s="286"/>
      <c r="AE188" s="286"/>
      <c r="AF188" s="286"/>
      <c r="AG188" s="286"/>
      <c r="AH188" s="286"/>
      <c r="AI188" s="286"/>
      <c r="AJ188" s="286"/>
      <c r="AK188" s="286"/>
      <c r="AL188" s="286"/>
      <c r="AM188" s="286"/>
      <c r="AN188" s="428"/>
      <c r="AO188" s="440"/>
    </row>
    <row r="189" spans="1:41" ht="25.15" customHeight="1" thickBot="1" x14ac:dyDescent="0.25">
      <c r="A189" s="62" t="s">
        <v>1659</v>
      </c>
      <c r="B189" s="217" t="s">
        <v>1735</v>
      </c>
      <c r="C189" s="229"/>
      <c r="D189" s="785" t="s">
        <v>1735</v>
      </c>
      <c r="E189" s="786"/>
      <c r="F189" s="786"/>
      <c r="G189" s="786"/>
      <c r="H189" s="786"/>
      <c r="I189" s="786"/>
      <c r="J189" s="77"/>
      <c r="K189" s="77"/>
      <c r="L189" s="64"/>
      <c r="M189" s="64"/>
      <c r="N189" s="64"/>
      <c r="O189" s="64"/>
      <c r="P189" s="64"/>
      <c r="Q189" s="64"/>
      <c r="R189" s="65"/>
      <c r="S189" s="65"/>
      <c r="T189" s="65"/>
      <c r="U189" s="65"/>
      <c r="V189" s="65"/>
      <c r="W189" s="286"/>
      <c r="X189" s="286"/>
      <c r="Y189" s="286"/>
      <c r="Z189" s="287"/>
      <c r="AD189" s="286"/>
      <c r="AE189" s="286"/>
      <c r="AF189" s="286"/>
      <c r="AG189" s="286"/>
      <c r="AH189" s="286"/>
      <c r="AI189" s="286"/>
      <c r="AJ189" s="286"/>
      <c r="AK189" s="286"/>
      <c r="AL189" s="286"/>
      <c r="AM189" s="286"/>
      <c r="AN189" s="428"/>
      <c r="AO189" s="440" t="str">
        <f t="shared" si="1"/>
        <v/>
      </c>
    </row>
    <row r="190" spans="1:41" ht="14.85" customHeight="1" x14ac:dyDescent="0.2">
      <c r="A190" s="100"/>
      <c r="B190" s="296"/>
      <c r="C190" s="214"/>
      <c r="D190" s="808" t="s">
        <v>1736</v>
      </c>
      <c r="E190" s="61"/>
      <c r="F190" s="61"/>
      <c r="G190" s="68"/>
      <c r="H190" s="741"/>
      <c r="I190" s="807"/>
      <c r="J190" s="141"/>
      <c r="K190" s="141"/>
      <c r="L190" s="142"/>
      <c r="M190" s="142"/>
      <c r="N190" s="142"/>
      <c r="O190" s="142"/>
      <c r="P190" s="142"/>
      <c r="Q190" s="142"/>
      <c r="R190" s="143"/>
      <c r="S190" s="143"/>
      <c r="T190" s="143"/>
      <c r="U190" s="143"/>
      <c r="V190" s="143"/>
      <c r="W190" s="286"/>
      <c r="X190" s="286"/>
      <c r="Y190" s="286"/>
      <c r="Z190" s="287"/>
      <c r="AD190" s="286"/>
      <c r="AE190" s="286"/>
      <c r="AF190" s="286"/>
      <c r="AG190" s="286"/>
      <c r="AH190" s="286"/>
      <c r="AI190" s="286"/>
      <c r="AJ190" s="286"/>
      <c r="AK190" s="286"/>
      <c r="AL190" s="286"/>
      <c r="AM190" s="286"/>
      <c r="AN190" s="286"/>
      <c r="AO190" s="286"/>
    </row>
    <row r="191" spans="1:41" ht="41.1" customHeight="1" x14ac:dyDescent="0.2">
      <c r="A191" s="151"/>
      <c r="B191" s="154"/>
      <c r="C191" s="214"/>
      <c r="D191" s="816"/>
      <c r="E191" s="79"/>
      <c r="F191" s="79"/>
      <c r="G191" s="80"/>
      <c r="H191" s="367" t="s">
        <v>821</v>
      </c>
      <c r="I191" s="115"/>
      <c r="J191" s="141"/>
      <c r="K191" s="141"/>
      <c r="L191" s="142"/>
      <c r="M191" s="142"/>
      <c r="N191" s="142"/>
      <c r="O191" s="142"/>
      <c r="P191" s="142"/>
      <c r="Q191" s="142"/>
      <c r="R191" s="143"/>
      <c r="S191" s="143"/>
      <c r="T191" s="143"/>
      <c r="U191" s="143"/>
      <c r="V191" s="143"/>
      <c r="W191" s="657"/>
      <c r="X191" s="657"/>
      <c r="Y191" s="657"/>
      <c r="Z191" s="658"/>
      <c r="AA191" s="297"/>
      <c r="AB191" s="297"/>
      <c r="AD191" s="286"/>
      <c r="AE191" s="286"/>
      <c r="AF191" s="286"/>
      <c r="AG191" s="286"/>
      <c r="AH191" s="286"/>
      <c r="AI191" s="286"/>
      <c r="AJ191" s="286"/>
      <c r="AK191" s="286"/>
      <c r="AL191" s="286"/>
      <c r="AM191" s="286"/>
      <c r="AN191" s="286"/>
      <c r="AO191" s="286"/>
    </row>
    <row r="192" spans="1:41" ht="17.850000000000001" customHeight="1" x14ac:dyDescent="0.2">
      <c r="A192" s="151"/>
      <c r="B192" s="154"/>
      <c r="C192" s="214"/>
      <c r="D192" s="816"/>
      <c r="E192" s="79"/>
      <c r="F192" s="79"/>
      <c r="G192" s="80"/>
      <c r="H192" s="741"/>
      <c r="I192" s="740"/>
      <c r="J192" s="141"/>
      <c r="K192" s="141"/>
      <c r="L192" s="142"/>
      <c r="M192" s="142"/>
      <c r="N192" s="142"/>
      <c r="O192" s="142"/>
      <c r="P192" s="142"/>
      <c r="Q192" s="142"/>
      <c r="R192" s="143"/>
      <c r="S192" s="143"/>
      <c r="T192" s="143"/>
      <c r="U192" s="143"/>
      <c r="V192" s="143"/>
      <c r="W192" s="486" t="str">
        <f>IF(I193="Other", "Please Elaborate","")</f>
        <v/>
      </c>
      <c r="X192" s="486"/>
      <c r="Y192" s="486"/>
      <c r="Z192" s="514"/>
      <c r="AA192" s="173"/>
      <c r="AB192" s="173"/>
      <c r="AD192" s="286"/>
      <c r="AE192" s="286"/>
      <c r="AF192" s="286"/>
      <c r="AG192" s="286"/>
      <c r="AH192" s="286"/>
      <c r="AI192" s="286"/>
      <c r="AJ192" s="286"/>
      <c r="AK192" s="286"/>
      <c r="AL192" s="286"/>
      <c r="AM192" s="286"/>
      <c r="AN192" s="428"/>
      <c r="AO192" s="440"/>
    </row>
    <row r="193" spans="1:41" ht="32.25" customHeight="1" x14ac:dyDescent="0.2">
      <c r="A193" s="151"/>
      <c r="B193" s="154"/>
      <c r="C193" s="214"/>
      <c r="D193" s="816"/>
      <c r="E193" s="79"/>
      <c r="F193" s="79"/>
      <c r="G193" s="80"/>
      <c r="H193" s="367" t="s">
        <v>824</v>
      </c>
      <c r="I193" s="115"/>
      <c r="J193" s="141"/>
      <c r="K193" s="141"/>
      <c r="L193" s="142"/>
      <c r="M193" s="142"/>
      <c r="N193" s="142"/>
      <c r="O193" s="142"/>
      <c r="P193" s="142"/>
      <c r="Q193" s="142"/>
      <c r="R193" s="143"/>
      <c r="S193" s="143"/>
      <c r="T193" s="143"/>
      <c r="U193" s="143"/>
      <c r="V193" s="143"/>
      <c r="W193" s="659" t="s">
        <v>1737</v>
      </c>
      <c r="X193" s="487"/>
      <c r="Y193" s="487"/>
      <c r="Z193" s="654"/>
      <c r="AA193" s="297"/>
      <c r="AB193" s="297"/>
      <c r="AD193" s="286"/>
      <c r="AE193" s="286"/>
      <c r="AF193" s="286"/>
      <c r="AG193" s="286"/>
      <c r="AH193" s="286"/>
      <c r="AI193" s="286"/>
      <c r="AJ193" s="286"/>
      <c r="AK193" s="286"/>
      <c r="AL193" s="286"/>
      <c r="AM193" s="286"/>
      <c r="AN193" s="428"/>
      <c r="AO193" s="440" t="str">
        <f>IF(I193="Other","1","")</f>
        <v/>
      </c>
    </row>
    <row r="194" spans="1:41" ht="14.85" customHeight="1" x14ac:dyDescent="0.2">
      <c r="A194" s="151"/>
      <c r="B194" s="154"/>
      <c r="C194" s="214"/>
      <c r="D194" s="816"/>
      <c r="E194" s="79"/>
      <c r="F194" s="79"/>
      <c r="G194" s="80"/>
      <c r="H194" s="741"/>
      <c r="I194" s="740"/>
      <c r="J194" s="141"/>
      <c r="K194" s="141"/>
      <c r="L194" s="142"/>
      <c r="M194" s="142"/>
      <c r="N194" s="142"/>
      <c r="O194" s="142"/>
      <c r="P194" s="142"/>
      <c r="Q194" s="142"/>
      <c r="R194" s="143"/>
      <c r="S194" s="143"/>
      <c r="T194" s="143"/>
      <c r="U194" s="143"/>
      <c r="V194" s="143"/>
      <c r="W194" s="486" t="str">
        <f>IF(I195="Other", "Please Elaborate","")</f>
        <v/>
      </c>
      <c r="X194" s="486"/>
      <c r="Y194" s="486"/>
      <c r="Z194" s="514"/>
      <c r="AA194" s="173"/>
      <c r="AB194" s="173"/>
      <c r="AD194" s="286"/>
      <c r="AE194" s="286"/>
      <c r="AF194" s="286"/>
      <c r="AG194" s="286"/>
      <c r="AH194" s="286"/>
      <c r="AI194" s="286"/>
      <c r="AJ194" s="286"/>
      <c r="AK194" s="286"/>
      <c r="AL194" s="286"/>
      <c r="AM194" s="286"/>
      <c r="AN194" s="428"/>
      <c r="AO194" s="440"/>
    </row>
    <row r="195" spans="1:41" ht="22.5" customHeight="1" x14ac:dyDescent="0.2">
      <c r="A195" s="151"/>
      <c r="B195" s="154"/>
      <c r="C195" s="214"/>
      <c r="D195" s="817"/>
      <c r="E195" s="79"/>
      <c r="F195" s="79"/>
      <c r="G195" s="80"/>
      <c r="H195" s="367" t="s">
        <v>827</v>
      </c>
      <c r="I195" s="115"/>
      <c r="J195" s="141"/>
      <c r="K195" s="141"/>
      <c r="L195" s="142"/>
      <c r="M195" s="142"/>
      <c r="N195" s="142"/>
      <c r="O195" s="142"/>
      <c r="P195" s="142"/>
      <c r="Q195" s="142"/>
      <c r="R195" s="143"/>
      <c r="S195" s="143"/>
      <c r="T195" s="143"/>
      <c r="U195" s="143"/>
      <c r="V195" s="143"/>
      <c r="W195" s="659" t="s">
        <v>1738</v>
      </c>
      <c r="X195" s="487"/>
      <c r="Y195" s="487"/>
      <c r="Z195" s="654"/>
      <c r="AA195" s="297"/>
      <c r="AB195" s="297"/>
      <c r="AD195" s="286"/>
      <c r="AE195" s="286"/>
      <c r="AF195" s="286"/>
      <c r="AG195" s="286"/>
      <c r="AH195" s="286"/>
      <c r="AI195" s="286"/>
      <c r="AJ195" s="286"/>
      <c r="AK195" s="286"/>
      <c r="AL195" s="286"/>
      <c r="AM195" s="286"/>
      <c r="AN195" s="428"/>
      <c r="AO195" s="440" t="str">
        <f>IF(I195="Other","1","")</f>
        <v/>
      </c>
    </row>
    <row r="196" spans="1:41" ht="14.85" customHeight="1" x14ac:dyDescent="0.2">
      <c r="A196" s="151"/>
      <c r="B196" s="154"/>
      <c r="C196" s="214"/>
      <c r="D196" s="738"/>
      <c r="E196" s="739"/>
      <c r="F196" s="739"/>
      <c r="G196" s="739"/>
      <c r="H196" s="739"/>
      <c r="I196" s="740"/>
      <c r="J196" s="141"/>
      <c r="K196" s="141"/>
      <c r="L196" s="142"/>
      <c r="M196" s="142"/>
      <c r="N196" s="142"/>
      <c r="O196" s="142"/>
      <c r="P196" s="142"/>
      <c r="Q196" s="142"/>
      <c r="R196" s="143"/>
      <c r="S196" s="143"/>
      <c r="T196" s="143"/>
      <c r="U196" s="143"/>
      <c r="V196" s="143"/>
      <c r="W196" s="486" t="str">
        <f>IF(I197="Other", "Please Elaborate","")</f>
        <v/>
      </c>
      <c r="X196" s="486"/>
      <c r="Y196" s="486"/>
      <c r="Z196" s="514"/>
      <c r="AA196" s="173"/>
      <c r="AB196" s="173"/>
      <c r="AD196" s="286"/>
      <c r="AE196" s="286"/>
      <c r="AF196" s="286"/>
      <c r="AG196" s="286"/>
      <c r="AH196" s="286"/>
      <c r="AI196" s="286"/>
      <c r="AJ196" s="286"/>
      <c r="AK196" s="286"/>
      <c r="AL196" s="286"/>
      <c r="AM196" s="286"/>
      <c r="AN196" s="428"/>
      <c r="AO196" s="440"/>
    </row>
    <row r="197" spans="1:41" ht="29.85" customHeight="1" x14ac:dyDescent="0.2">
      <c r="A197" s="151"/>
      <c r="B197" s="154"/>
      <c r="C197" s="214"/>
      <c r="D197" s="808" t="s">
        <v>1739</v>
      </c>
      <c r="E197" s="79"/>
      <c r="F197" s="79"/>
      <c r="G197" s="80"/>
      <c r="H197" s="367" t="s">
        <v>830</v>
      </c>
      <c r="I197" s="115"/>
      <c r="J197" s="141"/>
      <c r="K197" s="141"/>
      <c r="L197" s="142"/>
      <c r="M197" s="142"/>
      <c r="N197" s="142"/>
      <c r="O197" s="142"/>
      <c r="P197" s="142"/>
      <c r="Q197" s="142"/>
      <c r="R197" s="143"/>
      <c r="S197" s="143"/>
      <c r="T197" s="143"/>
      <c r="U197" s="143"/>
      <c r="V197" s="143"/>
      <c r="W197" s="659" t="s">
        <v>1737</v>
      </c>
      <c r="X197" s="487"/>
      <c r="Y197" s="487"/>
      <c r="Z197" s="654"/>
      <c r="AA197" s="297"/>
      <c r="AB197" s="297"/>
      <c r="AD197" s="286"/>
      <c r="AE197" s="286"/>
      <c r="AF197" s="286"/>
      <c r="AG197" s="286"/>
      <c r="AH197" s="286"/>
      <c r="AI197" s="286"/>
      <c r="AJ197" s="286"/>
      <c r="AK197" s="286"/>
      <c r="AL197" s="286"/>
      <c r="AM197" s="286"/>
      <c r="AN197" s="428"/>
      <c r="AO197" s="440" t="str">
        <f>IF(I197="Other","1","")</f>
        <v/>
      </c>
    </row>
    <row r="198" spans="1:41" ht="14.85" customHeight="1" x14ac:dyDescent="0.2">
      <c r="A198" s="151"/>
      <c r="B198" s="154"/>
      <c r="C198" s="214"/>
      <c r="D198" s="632"/>
      <c r="E198" s="79"/>
      <c r="F198" s="79"/>
      <c r="G198" s="80"/>
      <c r="H198" s="741"/>
      <c r="I198" s="740"/>
      <c r="J198" s="141"/>
      <c r="K198" s="141"/>
      <c r="L198" s="142"/>
      <c r="M198" s="142"/>
      <c r="N198" s="142"/>
      <c r="O198" s="142"/>
      <c r="P198" s="142"/>
      <c r="Q198" s="142"/>
      <c r="R198" s="143"/>
      <c r="S198" s="143"/>
      <c r="T198" s="143"/>
      <c r="U198" s="143"/>
      <c r="V198" s="143"/>
      <c r="W198" s="657"/>
      <c r="X198" s="657"/>
      <c r="Y198" s="657"/>
      <c r="Z198" s="658"/>
      <c r="AA198" s="297"/>
      <c r="AB198" s="297"/>
      <c r="AD198" s="286"/>
      <c r="AE198" s="286"/>
      <c r="AF198" s="286"/>
      <c r="AG198" s="286"/>
      <c r="AH198" s="286"/>
      <c r="AI198" s="286"/>
      <c r="AJ198" s="286"/>
      <c r="AK198" s="286"/>
      <c r="AL198" s="286"/>
      <c r="AM198" s="286"/>
      <c r="AN198" s="428"/>
      <c r="AO198" s="440"/>
    </row>
    <row r="199" spans="1:41" ht="25.15" customHeight="1" x14ac:dyDescent="0.2">
      <c r="A199" s="78"/>
      <c r="B199" s="155"/>
      <c r="C199" s="213"/>
      <c r="D199" s="632"/>
      <c r="E199" s="79"/>
      <c r="F199" s="79"/>
      <c r="G199" s="80"/>
      <c r="H199" s="367" t="s">
        <v>1740</v>
      </c>
      <c r="I199" s="115"/>
      <c r="J199" s="81"/>
      <c r="K199" s="81"/>
      <c r="L199" s="82"/>
      <c r="M199" s="82"/>
      <c r="N199" s="82"/>
      <c r="O199" s="82"/>
      <c r="P199" s="82"/>
      <c r="Q199" s="82"/>
      <c r="R199" s="83"/>
      <c r="S199" s="83"/>
      <c r="T199" s="83"/>
      <c r="U199" s="83"/>
      <c r="V199" s="83"/>
      <c r="W199" s="657"/>
      <c r="X199" s="657"/>
      <c r="Y199" s="657"/>
      <c r="Z199" s="658"/>
      <c r="AA199" s="297"/>
      <c r="AB199" s="297"/>
      <c r="AD199" s="286"/>
      <c r="AE199" s="286"/>
      <c r="AF199" s="286"/>
      <c r="AG199" s="286"/>
      <c r="AH199" s="286"/>
      <c r="AI199" s="286"/>
      <c r="AJ199" s="286"/>
      <c r="AK199" s="286"/>
      <c r="AL199" s="286"/>
      <c r="AM199" s="286"/>
      <c r="AN199" s="428"/>
      <c r="AO199" s="440"/>
    </row>
    <row r="200" spans="1:41" ht="20.85" customHeight="1" x14ac:dyDescent="0.2">
      <c r="A200" s="100"/>
      <c r="B200" s="296"/>
      <c r="C200" s="214"/>
      <c r="D200" s="632"/>
      <c r="E200" s="61"/>
      <c r="F200" s="61"/>
      <c r="G200" s="68"/>
      <c r="H200" s="741"/>
      <c r="I200" s="740"/>
      <c r="J200" s="141"/>
      <c r="K200" s="141"/>
      <c r="L200" s="142"/>
      <c r="M200" s="142"/>
      <c r="N200" s="142"/>
      <c r="O200" s="142"/>
      <c r="P200" s="142"/>
      <c r="Q200" s="142"/>
      <c r="R200" s="143"/>
      <c r="S200" s="143"/>
      <c r="T200" s="143"/>
      <c r="U200" s="143"/>
      <c r="V200" s="143"/>
      <c r="W200" s="451"/>
      <c r="X200" s="451"/>
      <c r="Y200" s="451"/>
      <c r="Z200" s="452"/>
      <c r="AA200" s="435"/>
      <c r="AB200" s="435"/>
      <c r="AD200" s="286"/>
      <c r="AE200" s="286"/>
      <c r="AF200" s="286"/>
      <c r="AG200" s="286"/>
      <c r="AH200" s="286"/>
      <c r="AI200" s="286"/>
      <c r="AJ200" s="286"/>
      <c r="AK200" s="286"/>
      <c r="AL200" s="286"/>
      <c r="AM200" s="286"/>
      <c r="AN200" s="428"/>
      <c r="AO200" s="440"/>
    </row>
    <row r="201" spans="1:41" ht="20.85" customHeight="1" x14ac:dyDescent="0.2">
      <c r="A201" s="151"/>
      <c r="B201" s="154"/>
      <c r="C201" s="214"/>
      <c r="D201" s="632"/>
      <c r="E201" s="81"/>
      <c r="F201" s="81"/>
      <c r="G201" s="84"/>
      <c r="H201" s="367" t="s">
        <v>1741</v>
      </c>
      <c r="I201" s="115"/>
      <c r="J201" s="141"/>
      <c r="K201" s="141"/>
      <c r="L201" s="142"/>
      <c r="M201" s="142"/>
      <c r="N201" s="142"/>
      <c r="O201" s="142"/>
      <c r="P201" s="142"/>
      <c r="Q201" s="142"/>
      <c r="R201" s="143"/>
      <c r="S201" s="143"/>
      <c r="T201" s="143"/>
      <c r="U201" s="143"/>
      <c r="V201" s="143"/>
      <c r="W201" s="451"/>
      <c r="X201" s="451"/>
      <c r="Y201" s="451"/>
      <c r="Z201" s="452"/>
      <c r="AA201" s="435"/>
      <c r="AB201" s="435"/>
      <c r="AD201" s="286"/>
      <c r="AE201" s="286"/>
      <c r="AF201" s="286"/>
      <c r="AG201" s="286"/>
      <c r="AH201" s="286"/>
      <c r="AI201" s="286"/>
      <c r="AJ201" s="286"/>
      <c r="AK201" s="286"/>
      <c r="AL201" s="286"/>
      <c r="AM201" s="286"/>
      <c r="AN201" s="428"/>
      <c r="AO201" s="440"/>
    </row>
    <row r="202" spans="1:41" ht="20.85" customHeight="1" x14ac:dyDescent="0.2">
      <c r="A202" s="151"/>
      <c r="B202" s="154"/>
      <c r="C202" s="214"/>
      <c r="D202" s="632"/>
      <c r="E202" s="81"/>
      <c r="F202" s="81"/>
      <c r="G202" s="84"/>
      <c r="H202" s="741"/>
      <c r="I202" s="740"/>
      <c r="J202" s="141"/>
      <c r="K202" s="141"/>
      <c r="L202" s="142"/>
      <c r="M202" s="142"/>
      <c r="N202" s="142"/>
      <c r="O202" s="142"/>
      <c r="P202" s="142"/>
      <c r="Q202" s="142"/>
      <c r="R202" s="143"/>
      <c r="S202" s="143"/>
      <c r="T202" s="143"/>
      <c r="U202" s="143"/>
      <c r="V202" s="143"/>
      <c r="W202" s="451"/>
      <c r="X202" s="451"/>
      <c r="Y202" s="451"/>
      <c r="Z202" s="452"/>
      <c r="AA202" s="435"/>
      <c r="AB202" s="435"/>
      <c r="AD202" s="286"/>
      <c r="AE202" s="286"/>
      <c r="AF202" s="286"/>
      <c r="AG202" s="286"/>
      <c r="AH202" s="286"/>
      <c r="AI202" s="286"/>
      <c r="AJ202" s="286"/>
      <c r="AK202" s="286"/>
      <c r="AL202" s="286"/>
      <c r="AM202" s="286"/>
      <c r="AN202" s="428"/>
      <c r="AO202" s="440"/>
    </row>
    <row r="203" spans="1:41" ht="25.15" customHeight="1" x14ac:dyDescent="0.2">
      <c r="A203" s="78"/>
      <c r="B203" s="155"/>
      <c r="C203" s="213"/>
      <c r="D203" s="632"/>
      <c r="E203" s="81"/>
      <c r="F203" s="81"/>
      <c r="G203" s="84"/>
      <c r="H203" s="367" t="s">
        <v>839</v>
      </c>
      <c r="I203" s="115"/>
      <c r="J203" s="81"/>
      <c r="K203" s="81"/>
      <c r="L203" s="82"/>
      <c r="M203" s="82"/>
      <c r="N203" s="82"/>
      <c r="O203" s="82"/>
      <c r="P203" s="82"/>
      <c r="Q203" s="82"/>
      <c r="R203" s="83"/>
      <c r="S203" s="83"/>
      <c r="T203" s="83"/>
      <c r="U203" s="83"/>
      <c r="V203" s="83"/>
      <c r="W203" s="428"/>
      <c r="X203" s="428"/>
      <c r="Y203" s="428"/>
      <c r="Z203" s="453"/>
      <c r="AA203" s="454"/>
      <c r="AB203" s="454"/>
      <c r="AD203" s="286"/>
      <c r="AE203" s="286"/>
      <c r="AF203" s="286"/>
      <c r="AG203" s="286"/>
      <c r="AH203" s="286"/>
      <c r="AI203" s="286"/>
      <c r="AJ203" s="286"/>
      <c r="AK203" s="286"/>
      <c r="AL203" s="286"/>
      <c r="AM203" s="286"/>
      <c r="AN203" s="428"/>
      <c r="AO203" s="440" t="str">
        <f t="shared" si="1"/>
        <v/>
      </c>
    </row>
    <row r="204" spans="1:41" ht="20.85" customHeight="1" x14ac:dyDescent="0.2">
      <c r="A204" s="100"/>
      <c r="B204" s="296"/>
      <c r="C204" s="214"/>
      <c r="D204" s="632"/>
      <c r="E204" s="61"/>
      <c r="F204" s="61"/>
      <c r="G204" s="68"/>
      <c r="H204" s="741"/>
      <c r="I204" s="740"/>
      <c r="J204" s="141"/>
      <c r="K204" s="141"/>
      <c r="L204" s="142"/>
      <c r="M204" s="142"/>
      <c r="N204" s="142"/>
      <c r="O204" s="142"/>
      <c r="P204" s="142"/>
      <c r="Q204" s="142"/>
      <c r="R204" s="143"/>
      <c r="S204" s="143"/>
      <c r="T204" s="143"/>
      <c r="U204" s="143"/>
      <c r="V204" s="143"/>
      <c r="W204" s="451"/>
      <c r="X204" s="451"/>
      <c r="Y204" s="451"/>
      <c r="Z204" s="452"/>
      <c r="AA204" s="435"/>
      <c r="AB204" s="435"/>
      <c r="AD204" s="286"/>
      <c r="AE204" s="286"/>
      <c r="AF204" s="286"/>
      <c r="AG204" s="286"/>
      <c r="AH204" s="286"/>
      <c r="AI204" s="286"/>
      <c r="AJ204" s="286"/>
      <c r="AK204" s="286"/>
      <c r="AL204" s="286"/>
      <c r="AM204" s="286"/>
      <c r="AN204" s="428"/>
      <c r="AO204" s="440"/>
    </row>
    <row r="205" spans="1:41" ht="25.15" customHeight="1" x14ac:dyDescent="0.2">
      <c r="A205" s="78"/>
      <c r="B205" s="155"/>
      <c r="C205" s="213"/>
      <c r="D205" s="632"/>
      <c r="E205" s="81"/>
      <c r="F205" s="81"/>
      <c r="G205" s="84"/>
      <c r="H205" s="367" t="s">
        <v>1742</v>
      </c>
      <c r="I205" s="115"/>
      <c r="J205" s="81"/>
      <c r="K205" s="81"/>
      <c r="L205" s="82"/>
      <c r="M205" s="82"/>
      <c r="N205" s="82"/>
      <c r="O205" s="82"/>
      <c r="P205" s="82"/>
      <c r="Q205" s="82"/>
      <c r="R205" s="83"/>
      <c r="S205" s="83"/>
      <c r="T205" s="83"/>
      <c r="U205" s="83"/>
      <c r="V205" s="83"/>
      <c r="W205" s="428"/>
      <c r="X205" s="428"/>
      <c r="Y205" s="428"/>
      <c r="Z205" s="453"/>
      <c r="AA205" s="454"/>
      <c r="AB205" s="454"/>
      <c r="AD205" s="286"/>
      <c r="AE205" s="286"/>
      <c r="AF205" s="286"/>
      <c r="AG205" s="286"/>
      <c r="AH205" s="286"/>
      <c r="AI205" s="286"/>
      <c r="AJ205" s="286"/>
      <c r="AK205" s="286"/>
      <c r="AL205" s="286"/>
      <c r="AM205" s="286"/>
      <c r="AN205" s="428"/>
      <c r="AO205" s="440" t="str">
        <f t="shared" si="1"/>
        <v/>
      </c>
    </row>
    <row r="206" spans="1:41" ht="20.85" customHeight="1" x14ac:dyDescent="0.2">
      <c r="A206" s="100"/>
      <c r="B206" s="296"/>
      <c r="C206" s="214"/>
      <c r="D206" s="632"/>
      <c r="E206" s="61"/>
      <c r="F206" s="61"/>
      <c r="G206" s="68"/>
      <c r="H206" s="741"/>
      <c r="I206" s="740"/>
      <c r="J206" s="141"/>
      <c r="K206" s="141"/>
      <c r="L206" s="142"/>
      <c r="M206" s="142"/>
      <c r="N206" s="142"/>
      <c r="O206" s="142"/>
      <c r="P206" s="142"/>
      <c r="Q206" s="142"/>
      <c r="R206" s="143"/>
      <c r="S206" s="143"/>
      <c r="T206" s="143"/>
      <c r="U206" s="143"/>
      <c r="V206" s="143"/>
      <c r="W206" s="451"/>
      <c r="X206" s="451"/>
      <c r="Y206" s="451"/>
      <c r="Z206" s="452"/>
      <c r="AA206" s="435"/>
      <c r="AB206" s="435"/>
      <c r="AD206" s="286"/>
      <c r="AE206" s="286"/>
      <c r="AF206" s="286"/>
      <c r="AG206" s="286"/>
      <c r="AH206" s="286"/>
      <c r="AI206" s="286"/>
      <c r="AJ206" s="286"/>
      <c r="AK206" s="286"/>
      <c r="AL206" s="286"/>
      <c r="AM206" s="286"/>
      <c r="AN206" s="428"/>
      <c r="AO206" s="440"/>
    </row>
    <row r="207" spans="1:41" ht="25.15" customHeight="1" x14ac:dyDescent="0.2">
      <c r="A207" s="78"/>
      <c r="B207" s="155"/>
      <c r="C207" s="213"/>
      <c r="D207" s="632"/>
      <c r="E207" s="81"/>
      <c r="F207" s="81"/>
      <c r="G207" s="84"/>
      <c r="H207" s="367" t="s">
        <v>1743</v>
      </c>
      <c r="I207" s="115"/>
      <c r="J207" s="81"/>
      <c r="K207" s="81"/>
      <c r="L207" s="82"/>
      <c r="M207" s="82"/>
      <c r="N207" s="82"/>
      <c r="O207" s="82"/>
      <c r="P207" s="82"/>
      <c r="Q207" s="82"/>
      <c r="R207" s="83"/>
      <c r="S207" s="83"/>
      <c r="T207" s="83"/>
      <c r="U207" s="83"/>
      <c r="V207" s="83"/>
      <c r="W207" s="428"/>
      <c r="X207" s="428"/>
      <c r="Y207" s="428"/>
      <c r="Z207" s="453"/>
      <c r="AA207" s="454"/>
      <c r="AB207" s="454"/>
      <c r="AD207" s="286"/>
      <c r="AE207" s="286"/>
      <c r="AF207" s="286"/>
      <c r="AG207" s="286"/>
      <c r="AH207" s="286"/>
      <c r="AI207" s="286"/>
      <c r="AJ207" s="286"/>
      <c r="AK207" s="286"/>
      <c r="AL207" s="286"/>
      <c r="AM207" s="286"/>
      <c r="AN207" s="428"/>
      <c r="AO207" s="440" t="str">
        <f t="shared" si="1"/>
        <v/>
      </c>
    </row>
    <row r="208" spans="1:41" ht="17.25" customHeight="1" x14ac:dyDescent="0.2">
      <c r="A208" s="100"/>
      <c r="B208" s="296"/>
      <c r="C208" s="214"/>
      <c r="D208" s="632"/>
      <c r="E208" s="61"/>
      <c r="F208" s="61"/>
      <c r="G208" s="68"/>
      <c r="H208" s="741"/>
      <c r="I208" s="740"/>
      <c r="J208" s="141"/>
      <c r="K208" s="141"/>
      <c r="L208" s="142"/>
      <c r="M208" s="142"/>
      <c r="N208" s="142"/>
      <c r="O208" s="142"/>
      <c r="P208" s="142"/>
      <c r="Q208" s="142"/>
      <c r="R208" s="143"/>
      <c r="S208" s="143"/>
      <c r="T208" s="143"/>
      <c r="U208" s="143"/>
      <c r="V208" s="143"/>
      <c r="W208" s="486" t="str">
        <f>IF(I209="Other", "Please Elaborate","")</f>
        <v/>
      </c>
      <c r="X208" s="486"/>
      <c r="Y208" s="486"/>
      <c r="Z208" s="514"/>
      <c r="AA208" s="173"/>
      <c r="AB208" s="173"/>
      <c r="AD208" s="286"/>
      <c r="AE208" s="286"/>
      <c r="AF208" s="286"/>
      <c r="AG208" s="286"/>
      <c r="AH208" s="286"/>
      <c r="AI208" s="286"/>
      <c r="AJ208" s="286"/>
      <c r="AK208" s="286"/>
      <c r="AL208" s="286"/>
      <c r="AM208" s="286"/>
      <c r="AN208" s="428"/>
      <c r="AO208" s="440"/>
    </row>
    <row r="209" spans="1:41" ht="18.75" customHeight="1" x14ac:dyDescent="0.2">
      <c r="A209" s="151"/>
      <c r="B209" s="154"/>
      <c r="C209" s="214"/>
      <c r="D209" s="632"/>
      <c r="E209" s="81"/>
      <c r="F209" s="81"/>
      <c r="G209" s="84"/>
      <c r="H209" s="367" t="s">
        <v>848</v>
      </c>
      <c r="I209" s="115"/>
      <c r="J209" s="141"/>
      <c r="K209" s="141"/>
      <c r="L209" s="142"/>
      <c r="M209" s="142"/>
      <c r="N209" s="142"/>
      <c r="O209" s="142"/>
      <c r="P209" s="142"/>
      <c r="Q209" s="142"/>
      <c r="R209" s="143"/>
      <c r="S209" s="143"/>
      <c r="T209" s="143"/>
      <c r="U209" s="143"/>
      <c r="V209" s="143"/>
      <c r="W209" s="659" t="s">
        <v>1737</v>
      </c>
      <c r="X209" s="487"/>
      <c r="Y209" s="487"/>
      <c r="Z209" s="654"/>
      <c r="AA209" s="297"/>
      <c r="AB209" s="297"/>
      <c r="AD209" s="286"/>
      <c r="AE209" s="286"/>
      <c r="AF209" s="286"/>
      <c r="AG209" s="286"/>
      <c r="AH209" s="286"/>
      <c r="AI209" s="286"/>
      <c r="AJ209" s="286"/>
      <c r="AK209" s="286"/>
      <c r="AL209" s="286"/>
      <c r="AM209" s="286"/>
      <c r="AN209" s="428"/>
      <c r="AO209" s="440" t="str">
        <f>IF(I209="Other","1","")</f>
        <v/>
      </c>
    </row>
    <row r="210" spans="1:41" ht="17.25" customHeight="1" x14ac:dyDescent="0.2">
      <c r="A210" s="151"/>
      <c r="B210" s="154"/>
      <c r="C210" s="214"/>
      <c r="D210" s="816"/>
      <c r="E210" s="81"/>
      <c r="F210" s="81"/>
      <c r="G210" s="84"/>
      <c r="H210" s="741"/>
      <c r="I210" s="740"/>
      <c r="J210" s="141"/>
      <c r="K210" s="141"/>
      <c r="L210" s="142"/>
      <c r="M210" s="142"/>
      <c r="N210" s="142"/>
      <c r="O210" s="142"/>
      <c r="P210" s="142"/>
      <c r="Q210" s="142"/>
      <c r="R210" s="143"/>
      <c r="S210" s="143"/>
      <c r="T210" s="143"/>
      <c r="U210" s="143"/>
      <c r="V210" s="143"/>
      <c r="W210" s="486" t="str">
        <f>IF(I211="Yes", "Please Elaborate","")</f>
        <v/>
      </c>
      <c r="X210" s="486"/>
      <c r="Y210" s="486"/>
      <c r="Z210" s="514"/>
      <c r="AA210" s="173"/>
      <c r="AB210" s="173"/>
      <c r="AD210" s="286"/>
      <c r="AE210" s="286"/>
      <c r="AF210" s="286"/>
      <c r="AG210" s="286"/>
      <c r="AH210" s="286"/>
      <c r="AI210" s="286"/>
      <c r="AJ210" s="286"/>
      <c r="AK210" s="286"/>
      <c r="AL210" s="286"/>
      <c r="AM210" s="286"/>
      <c r="AN210" s="428"/>
      <c r="AO210" s="440"/>
    </row>
    <row r="211" spans="1:41" ht="34.5" x14ac:dyDescent="0.2">
      <c r="A211" s="151"/>
      <c r="B211" s="154"/>
      <c r="C211" s="214"/>
      <c r="D211" s="817"/>
      <c r="E211" s="81"/>
      <c r="F211" s="81"/>
      <c r="G211" s="84"/>
      <c r="H211" s="367" t="s">
        <v>851</v>
      </c>
      <c r="I211" s="115"/>
      <c r="J211" s="141"/>
      <c r="K211" s="141"/>
      <c r="L211" s="142"/>
      <c r="M211" s="142"/>
      <c r="N211" s="142"/>
      <c r="O211" s="142"/>
      <c r="P211" s="142"/>
      <c r="Q211" s="142"/>
      <c r="R211" s="143"/>
      <c r="S211" s="143"/>
      <c r="T211" s="143"/>
      <c r="U211" s="143"/>
      <c r="V211" s="143"/>
      <c r="W211" s="659" t="s">
        <v>1737</v>
      </c>
      <c r="X211" s="487"/>
      <c r="Y211" s="487"/>
      <c r="Z211" s="654"/>
      <c r="AA211" s="297"/>
      <c r="AB211" s="297"/>
      <c r="AD211" s="286"/>
      <c r="AE211" s="286"/>
      <c r="AF211" s="286"/>
      <c r="AG211" s="286"/>
      <c r="AH211" s="286"/>
      <c r="AI211" s="286"/>
      <c r="AJ211" s="286"/>
      <c r="AK211" s="286"/>
      <c r="AL211" s="286"/>
      <c r="AM211" s="286"/>
      <c r="AN211" s="428"/>
      <c r="AO211" s="440" t="str">
        <f>IF(I211="Yes","1","")</f>
        <v/>
      </c>
    </row>
    <row r="212" spans="1:41" ht="17.25" customHeight="1" x14ac:dyDescent="0.2">
      <c r="A212" s="151"/>
      <c r="B212" s="154"/>
      <c r="C212" s="214"/>
      <c r="D212" s="738"/>
      <c r="E212" s="739"/>
      <c r="F212" s="739"/>
      <c r="G212" s="739"/>
      <c r="H212" s="739"/>
      <c r="I212" s="740"/>
      <c r="J212" s="141"/>
      <c r="K212" s="141"/>
      <c r="L212" s="142"/>
      <c r="M212" s="142"/>
      <c r="N212" s="142"/>
      <c r="O212" s="142"/>
      <c r="P212" s="142"/>
      <c r="Q212" s="142"/>
      <c r="R212" s="143"/>
      <c r="S212" s="143"/>
      <c r="T212" s="143"/>
      <c r="U212" s="143"/>
      <c r="V212" s="143"/>
      <c r="W212" s="486" t="str">
        <f>IF(I213="Yes", "Please Elaborate","")</f>
        <v/>
      </c>
      <c r="X212" s="486"/>
      <c r="Y212" s="486"/>
      <c r="Z212" s="514"/>
      <c r="AA212" s="173"/>
      <c r="AB212" s="173"/>
      <c r="AD212" s="286"/>
      <c r="AE212" s="286"/>
      <c r="AF212" s="286"/>
      <c r="AG212" s="286"/>
      <c r="AH212" s="286"/>
      <c r="AI212" s="286"/>
      <c r="AJ212" s="286"/>
      <c r="AK212" s="286"/>
      <c r="AL212" s="286"/>
      <c r="AM212" s="286"/>
      <c r="AN212" s="428"/>
      <c r="AO212" s="440"/>
    </row>
    <row r="213" spans="1:41" ht="33.6" customHeight="1" x14ac:dyDescent="0.2">
      <c r="A213" s="151"/>
      <c r="B213" s="154"/>
      <c r="C213" s="214"/>
      <c r="D213" s="808" t="s">
        <v>1744</v>
      </c>
      <c r="E213" s="81"/>
      <c r="F213" s="81"/>
      <c r="G213" s="84"/>
      <c r="H213" s="367" t="s">
        <v>854</v>
      </c>
      <c r="I213" s="115"/>
      <c r="J213" s="141"/>
      <c r="K213" s="141"/>
      <c r="L213" s="142"/>
      <c r="M213" s="142"/>
      <c r="N213" s="142"/>
      <c r="O213" s="142"/>
      <c r="P213" s="142"/>
      <c r="Q213" s="142"/>
      <c r="R213" s="143"/>
      <c r="S213" s="143"/>
      <c r="T213" s="143"/>
      <c r="U213" s="143"/>
      <c r="V213" s="143"/>
      <c r="W213" s="659"/>
      <c r="X213" s="487"/>
      <c r="Y213" s="487"/>
      <c r="Z213" s="654"/>
      <c r="AA213" s="297"/>
      <c r="AB213" s="297"/>
      <c r="AD213" s="286"/>
      <c r="AE213" s="286"/>
      <c r="AF213" s="286"/>
      <c r="AG213" s="286"/>
      <c r="AH213" s="286"/>
      <c r="AI213" s="286"/>
      <c r="AJ213" s="286"/>
      <c r="AK213" s="286"/>
      <c r="AL213" s="286"/>
      <c r="AM213" s="286"/>
      <c r="AN213" s="428"/>
      <c r="AO213" s="440" t="str">
        <f>IF(I213="Yes","1","")</f>
        <v/>
      </c>
    </row>
    <row r="214" spans="1:41" ht="17.25" customHeight="1" x14ac:dyDescent="0.2">
      <c r="A214" s="151"/>
      <c r="B214" s="154"/>
      <c r="C214" s="214"/>
      <c r="D214" s="632"/>
      <c r="E214" s="81"/>
      <c r="F214" s="81"/>
      <c r="G214" s="84"/>
      <c r="H214" s="741"/>
      <c r="I214" s="740"/>
      <c r="J214" s="141"/>
      <c r="K214" s="141"/>
      <c r="L214" s="142"/>
      <c r="M214" s="142"/>
      <c r="N214" s="142"/>
      <c r="O214" s="142"/>
      <c r="P214" s="142"/>
      <c r="Q214" s="142"/>
      <c r="R214" s="143"/>
      <c r="S214" s="143"/>
      <c r="T214" s="143"/>
      <c r="U214" s="143"/>
      <c r="V214" s="143"/>
      <c r="W214" s="284"/>
      <c r="X214" s="284"/>
      <c r="Y214" s="284"/>
      <c r="Z214" s="285"/>
      <c r="AA214" s="303"/>
      <c r="AB214" s="303"/>
      <c r="AD214" s="286"/>
      <c r="AE214" s="286"/>
      <c r="AF214" s="286"/>
      <c r="AG214" s="286"/>
      <c r="AH214" s="286"/>
      <c r="AI214" s="286"/>
      <c r="AJ214" s="286"/>
      <c r="AK214" s="286"/>
      <c r="AL214" s="286"/>
      <c r="AM214" s="286"/>
      <c r="AN214" s="428"/>
      <c r="AO214" s="440"/>
    </row>
    <row r="215" spans="1:41" ht="17.25" x14ac:dyDescent="0.2">
      <c r="A215" s="151"/>
      <c r="B215" s="154"/>
      <c r="C215" s="214"/>
      <c r="D215" s="632"/>
      <c r="E215" s="81"/>
      <c r="F215" s="81"/>
      <c r="G215" s="84"/>
      <c r="H215" s="367" t="s">
        <v>857</v>
      </c>
      <c r="I215" s="115"/>
      <c r="J215" s="141"/>
      <c r="K215" s="141"/>
      <c r="L215" s="142"/>
      <c r="M215" s="142"/>
      <c r="N215" s="142"/>
      <c r="O215" s="142"/>
      <c r="P215" s="142"/>
      <c r="Q215" s="142"/>
      <c r="R215" s="143"/>
      <c r="S215" s="143"/>
      <c r="T215" s="143"/>
      <c r="U215" s="143"/>
      <c r="V215" s="143"/>
      <c r="W215" s="284"/>
      <c r="X215" s="284"/>
      <c r="Y215" s="284"/>
      <c r="Z215" s="285"/>
      <c r="AA215" s="303"/>
      <c r="AB215" s="303"/>
      <c r="AD215" s="286"/>
      <c r="AE215" s="286"/>
      <c r="AF215" s="286"/>
      <c r="AG215" s="286"/>
      <c r="AH215" s="286"/>
      <c r="AI215" s="286"/>
      <c r="AJ215" s="286"/>
      <c r="AK215" s="286"/>
      <c r="AL215" s="286"/>
      <c r="AM215" s="286"/>
      <c r="AN215" s="428"/>
      <c r="AO215" s="440"/>
    </row>
    <row r="216" spans="1:41" ht="17.25" customHeight="1" x14ac:dyDescent="0.2">
      <c r="A216" s="151"/>
      <c r="B216" s="154"/>
      <c r="C216" s="214"/>
      <c r="D216" s="632"/>
      <c r="E216" s="81"/>
      <c r="F216" s="81"/>
      <c r="G216" s="84"/>
      <c r="H216" s="741"/>
      <c r="I216" s="740"/>
      <c r="J216" s="141"/>
      <c r="K216" s="141"/>
      <c r="L216" s="142"/>
      <c r="M216" s="142"/>
      <c r="N216" s="142"/>
      <c r="O216" s="142"/>
      <c r="P216" s="142"/>
      <c r="Q216" s="142"/>
      <c r="R216" s="143"/>
      <c r="S216" s="143"/>
      <c r="T216" s="143"/>
      <c r="U216" s="143"/>
      <c r="V216" s="143"/>
      <c r="W216" s="486" t="str">
        <f>IF(I217="Other", "Please Elaborate","")</f>
        <v/>
      </c>
      <c r="X216" s="486"/>
      <c r="Y216" s="486"/>
      <c r="Z216" s="514"/>
      <c r="AA216" s="173"/>
      <c r="AB216" s="173"/>
      <c r="AD216" s="286"/>
      <c r="AE216" s="286"/>
      <c r="AF216" s="286"/>
      <c r="AG216" s="286"/>
      <c r="AH216" s="286"/>
      <c r="AI216" s="286"/>
      <c r="AJ216" s="286"/>
      <c r="AK216" s="286"/>
      <c r="AL216" s="286"/>
      <c r="AM216" s="286"/>
      <c r="AN216" s="428"/>
      <c r="AO216" s="440"/>
    </row>
    <row r="217" spans="1:41" ht="17.25" x14ac:dyDescent="0.2">
      <c r="A217" s="78"/>
      <c r="B217" s="155"/>
      <c r="C217" s="213"/>
      <c r="D217" s="632"/>
      <c r="E217" s="81"/>
      <c r="F217" s="81"/>
      <c r="G217" s="84"/>
      <c r="H217" s="367" t="s">
        <v>860</v>
      </c>
      <c r="I217" s="152"/>
      <c r="J217" s="81"/>
      <c r="K217" s="81"/>
      <c r="L217" s="82"/>
      <c r="M217" s="82"/>
      <c r="N217" s="82"/>
      <c r="O217" s="82"/>
      <c r="P217" s="82"/>
      <c r="Q217" s="82"/>
      <c r="R217" s="83"/>
      <c r="S217" s="83"/>
      <c r="T217" s="83"/>
      <c r="U217" s="83"/>
      <c r="V217" s="83"/>
      <c r="W217" s="659" t="s">
        <v>1737</v>
      </c>
      <c r="X217" s="487"/>
      <c r="Y217" s="487"/>
      <c r="Z217" s="654"/>
      <c r="AA217" s="297"/>
      <c r="AB217" s="297"/>
      <c r="AD217" s="286"/>
      <c r="AE217" s="286"/>
      <c r="AF217" s="286"/>
      <c r="AG217" s="286"/>
      <c r="AH217" s="286"/>
      <c r="AI217" s="286"/>
      <c r="AJ217" s="286"/>
      <c r="AK217" s="286"/>
      <c r="AL217" s="286"/>
      <c r="AM217" s="286"/>
      <c r="AN217" s="428"/>
      <c r="AO217" s="440" t="str">
        <f>IF(I217="Other","1","")</f>
        <v/>
      </c>
    </row>
    <row r="218" spans="1:41" ht="17.25" customHeight="1" x14ac:dyDescent="0.2">
      <c r="A218" s="151"/>
      <c r="B218" s="154"/>
      <c r="C218" s="214"/>
      <c r="D218" s="632"/>
      <c r="E218" s="81"/>
      <c r="F218" s="81"/>
      <c r="G218" s="84"/>
      <c r="H218" s="741"/>
      <c r="I218" s="740"/>
      <c r="J218" s="141"/>
      <c r="K218" s="141"/>
      <c r="L218" s="142"/>
      <c r="M218" s="142"/>
      <c r="N218" s="142"/>
      <c r="O218" s="142"/>
      <c r="P218" s="142"/>
      <c r="Q218" s="142"/>
      <c r="R218" s="143"/>
      <c r="S218" s="143"/>
      <c r="T218" s="143"/>
      <c r="U218" s="143"/>
      <c r="V218" s="143"/>
      <c r="W218" s="486" t="str">
        <f>IF(I219="Yes", "Please List","")</f>
        <v/>
      </c>
      <c r="X218" s="486"/>
      <c r="Y218" s="486"/>
      <c r="Z218" s="514"/>
      <c r="AA218" s="173"/>
      <c r="AB218" s="173"/>
      <c r="AD218" s="286"/>
      <c r="AE218" s="286"/>
      <c r="AF218" s="286"/>
      <c r="AG218" s="286"/>
      <c r="AH218" s="286"/>
      <c r="AI218" s="286"/>
      <c r="AJ218" s="286"/>
      <c r="AK218" s="286"/>
      <c r="AL218" s="286"/>
      <c r="AM218" s="286"/>
      <c r="AN218" s="428"/>
      <c r="AO218" s="440"/>
    </row>
    <row r="219" spans="1:41" ht="17.25" x14ac:dyDescent="0.2">
      <c r="A219" s="78"/>
      <c r="B219" s="155"/>
      <c r="C219" s="213"/>
      <c r="D219" s="632"/>
      <c r="E219" s="81"/>
      <c r="F219" s="81"/>
      <c r="G219" s="84"/>
      <c r="H219" s="367" t="s">
        <v>863</v>
      </c>
      <c r="I219" s="115"/>
      <c r="J219" s="81"/>
      <c r="K219" s="81"/>
      <c r="L219" s="82"/>
      <c r="M219" s="82"/>
      <c r="N219" s="82"/>
      <c r="O219" s="82"/>
      <c r="P219" s="82"/>
      <c r="Q219" s="82"/>
      <c r="R219" s="83"/>
      <c r="S219" s="83"/>
      <c r="T219" s="83"/>
      <c r="U219" s="83"/>
      <c r="V219" s="83"/>
      <c r="W219" s="659" t="s">
        <v>1737</v>
      </c>
      <c r="X219" s="487"/>
      <c r="Y219" s="487"/>
      <c r="Z219" s="654"/>
      <c r="AA219" s="297"/>
      <c r="AB219" s="297"/>
      <c r="AD219" s="286"/>
      <c r="AE219" s="286"/>
      <c r="AF219" s="286"/>
      <c r="AG219" s="286"/>
      <c r="AH219" s="286"/>
      <c r="AI219" s="286"/>
      <c r="AJ219" s="286"/>
      <c r="AK219" s="286"/>
      <c r="AL219" s="286"/>
      <c r="AM219" s="286"/>
      <c r="AN219" s="428"/>
      <c r="AO219" s="440" t="str">
        <f>IF(I219="Yes","1","")</f>
        <v/>
      </c>
    </row>
    <row r="220" spans="1:41" ht="17.25" customHeight="1" x14ac:dyDescent="0.2">
      <c r="A220" s="151"/>
      <c r="B220" s="154"/>
      <c r="C220" s="214"/>
      <c r="D220" s="632"/>
      <c r="E220" s="81"/>
      <c r="F220" s="81"/>
      <c r="G220" s="84"/>
      <c r="H220" s="741"/>
      <c r="I220" s="740"/>
      <c r="J220" s="141"/>
      <c r="K220" s="141"/>
      <c r="L220" s="142"/>
      <c r="M220" s="142"/>
      <c r="N220" s="142"/>
      <c r="O220" s="142"/>
      <c r="P220" s="142"/>
      <c r="Q220" s="142"/>
      <c r="R220" s="143"/>
      <c r="S220" s="143"/>
      <c r="T220" s="143"/>
      <c r="U220" s="143"/>
      <c r="V220" s="143"/>
      <c r="W220" s="284"/>
      <c r="X220" s="284"/>
      <c r="Y220" s="284"/>
      <c r="Z220" s="285"/>
      <c r="AA220" s="303"/>
      <c r="AB220" s="303"/>
      <c r="AD220" s="286"/>
      <c r="AE220" s="286"/>
      <c r="AF220" s="286"/>
      <c r="AG220" s="286"/>
      <c r="AH220" s="286"/>
      <c r="AI220" s="286"/>
      <c r="AJ220" s="286"/>
      <c r="AK220" s="286"/>
      <c r="AL220" s="286"/>
      <c r="AM220" s="286"/>
      <c r="AN220" s="428"/>
      <c r="AO220" s="440"/>
    </row>
    <row r="221" spans="1:41" ht="17.25" x14ac:dyDescent="0.2">
      <c r="A221" s="78"/>
      <c r="B221" s="155"/>
      <c r="C221" s="213"/>
      <c r="D221" s="632"/>
      <c r="E221" s="81"/>
      <c r="F221" s="81"/>
      <c r="G221" s="84"/>
      <c r="H221" s="367" t="s">
        <v>866</v>
      </c>
      <c r="I221" s="115"/>
      <c r="J221" s="81"/>
      <c r="K221" s="81"/>
      <c r="L221" s="82"/>
      <c r="M221" s="82"/>
      <c r="N221" s="82"/>
      <c r="O221" s="82"/>
      <c r="P221" s="82"/>
      <c r="Q221" s="82"/>
      <c r="R221" s="83"/>
      <c r="S221" s="83"/>
      <c r="T221" s="83"/>
      <c r="U221" s="83"/>
      <c r="V221" s="83"/>
      <c r="W221" s="286"/>
      <c r="X221" s="286"/>
      <c r="Y221" s="286"/>
      <c r="Z221" s="287"/>
      <c r="AD221" s="286"/>
      <c r="AE221" s="286"/>
      <c r="AF221" s="286"/>
      <c r="AG221" s="286"/>
      <c r="AH221" s="286"/>
      <c r="AI221" s="286"/>
      <c r="AJ221" s="286"/>
      <c r="AK221" s="286"/>
      <c r="AL221" s="286"/>
      <c r="AM221" s="286"/>
      <c r="AN221" s="428"/>
      <c r="AO221" s="440" t="str">
        <f t="shared" ref="AO221" si="2">IF(I221="No","1","")&amp;IF(I221="N/A","2","")</f>
        <v/>
      </c>
    </row>
    <row r="222" spans="1:41" ht="17.25" customHeight="1" x14ac:dyDescent="0.2">
      <c r="A222" s="100"/>
      <c r="B222" s="296"/>
      <c r="C222" s="214"/>
      <c r="D222" s="632"/>
      <c r="E222" s="61"/>
      <c r="F222" s="61"/>
      <c r="G222" s="68"/>
      <c r="H222" s="741"/>
      <c r="I222" s="740"/>
      <c r="J222" s="141"/>
      <c r="K222" s="141"/>
      <c r="L222" s="142"/>
      <c r="M222" s="142"/>
      <c r="N222" s="142"/>
      <c r="O222" s="142"/>
      <c r="P222" s="142"/>
      <c r="Q222" s="142"/>
      <c r="R222" s="143"/>
      <c r="S222" s="143"/>
      <c r="T222" s="143"/>
      <c r="U222" s="143"/>
      <c r="V222" s="143"/>
      <c r="W222" s="284"/>
      <c r="X222" s="284"/>
      <c r="Y222" s="284"/>
      <c r="Z222" s="285"/>
      <c r="AA222" s="303"/>
      <c r="AB222" s="303"/>
      <c r="AD222" s="286"/>
      <c r="AE222" s="286"/>
      <c r="AF222" s="286"/>
      <c r="AG222" s="286"/>
      <c r="AH222" s="286"/>
      <c r="AI222" s="286"/>
      <c r="AJ222" s="286"/>
      <c r="AK222" s="286"/>
      <c r="AL222" s="286"/>
      <c r="AM222" s="286"/>
      <c r="AN222" s="428"/>
      <c r="AO222" s="440"/>
    </row>
    <row r="223" spans="1:41" ht="29.85" customHeight="1" x14ac:dyDescent="0.2">
      <c r="A223" s="78"/>
      <c r="B223" s="155"/>
      <c r="C223" s="213"/>
      <c r="D223" s="632"/>
      <c r="E223" s="81"/>
      <c r="F223" s="81"/>
      <c r="G223" s="84"/>
      <c r="H223" s="367" t="s">
        <v>1745</v>
      </c>
      <c r="I223" s="812"/>
      <c r="J223" s="485"/>
      <c r="K223" s="485"/>
      <c r="L223" s="485"/>
      <c r="M223" s="485"/>
      <c r="N223" s="485"/>
      <c r="O223" s="485"/>
      <c r="P223" s="485"/>
      <c r="Q223" s="485"/>
      <c r="R223" s="485"/>
      <c r="S223" s="485"/>
      <c r="T223" s="485"/>
      <c r="U223" s="485"/>
      <c r="V223" s="485"/>
      <c r="W223" s="485"/>
      <c r="X223" s="485"/>
      <c r="Y223" s="485"/>
      <c r="Z223" s="813"/>
      <c r="AA223" s="45"/>
      <c r="AB223" s="45"/>
      <c r="AD223" s="286"/>
      <c r="AE223" s="286"/>
      <c r="AF223" s="286"/>
      <c r="AG223" s="286"/>
      <c r="AH223" s="286"/>
      <c r="AI223" s="286"/>
      <c r="AJ223" s="286"/>
      <c r="AK223" s="286"/>
      <c r="AL223" s="286"/>
      <c r="AM223" s="286"/>
      <c r="AN223" s="428"/>
      <c r="AO223" s="440" t="str">
        <f t="shared" ref="AO223" si="3">IF(I223="No","1","")&amp;IF(I223="N/A","2","")</f>
        <v/>
      </c>
    </row>
    <row r="224" spans="1:41" ht="17.25" customHeight="1" x14ac:dyDescent="0.2">
      <c r="A224" s="100"/>
      <c r="B224" s="296"/>
      <c r="C224" s="214"/>
      <c r="D224" s="632"/>
      <c r="E224" s="61"/>
      <c r="F224" s="61"/>
      <c r="G224" s="68"/>
      <c r="H224" s="741"/>
      <c r="I224" s="740"/>
      <c r="J224" s="141"/>
      <c r="K224" s="141"/>
      <c r="L224" s="142"/>
      <c r="M224" s="142"/>
      <c r="N224" s="142"/>
      <c r="O224" s="142"/>
      <c r="P224" s="142"/>
      <c r="Q224" s="142"/>
      <c r="R224" s="143"/>
      <c r="S224" s="143"/>
      <c r="T224" s="143"/>
      <c r="U224" s="143"/>
      <c r="V224" s="143"/>
      <c r="W224" s="284"/>
      <c r="X224" s="284"/>
      <c r="Y224" s="284"/>
      <c r="Z224" s="285"/>
      <c r="AA224" s="303"/>
      <c r="AB224" s="303"/>
      <c r="AD224" s="286"/>
      <c r="AE224" s="286"/>
      <c r="AF224" s="286"/>
      <c r="AG224" s="286"/>
      <c r="AH224" s="286"/>
      <c r="AI224" s="286"/>
      <c r="AJ224" s="286"/>
      <c r="AK224" s="286"/>
      <c r="AL224" s="286"/>
      <c r="AM224" s="286"/>
      <c r="AN224" s="428"/>
      <c r="AO224" s="440"/>
    </row>
    <row r="225" spans="1:41" ht="17.25" customHeight="1" x14ac:dyDescent="0.2">
      <c r="A225" s="151"/>
      <c r="B225" s="154"/>
      <c r="C225" s="214"/>
      <c r="D225" s="632"/>
      <c r="E225" s="81"/>
      <c r="F225" s="81"/>
      <c r="G225" s="84"/>
      <c r="H225" s="367" t="s">
        <v>873</v>
      </c>
      <c r="I225" s="115"/>
      <c r="J225" s="141"/>
      <c r="K225" s="141"/>
      <c r="L225" s="142"/>
      <c r="M225" s="142"/>
      <c r="N225" s="142"/>
      <c r="O225" s="142"/>
      <c r="P225" s="142"/>
      <c r="Q225" s="142"/>
      <c r="R225" s="143"/>
      <c r="S225" s="143"/>
      <c r="T225" s="143"/>
      <c r="U225" s="143"/>
      <c r="V225" s="143"/>
      <c r="W225" s="284"/>
      <c r="X225" s="284"/>
      <c r="Y225" s="284"/>
      <c r="Z225" s="285"/>
      <c r="AA225" s="303"/>
      <c r="AB225" s="303"/>
      <c r="AD225" s="286"/>
      <c r="AE225" s="286"/>
      <c r="AF225" s="286"/>
      <c r="AG225" s="286"/>
      <c r="AH225" s="286"/>
      <c r="AI225" s="286"/>
      <c r="AJ225" s="286"/>
      <c r="AK225" s="286"/>
      <c r="AL225" s="286"/>
      <c r="AM225" s="286"/>
      <c r="AN225" s="428"/>
      <c r="AO225" s="440"/>
    </row>
    <row r="226" spans="1:41" ht="17.25" customHeight="1" x14ac:dyDescent="0.2">
      <c r="A226" s="151"/>
      <c r="B226" s="154"/>
      <c r="C226" s="214"/>
      <c r="D226" s="816"/>
      <c r="E226" s="81"/>
      <c r="F226" s="81"/>
      <c r="G226" s="84"/>
      <c r="H226" s="741"/>
      <c r="I226" s="740"/>
      <c r="J226" s="141"/>
      <c r="K226" s="141"/>
      <c r="L226" s="142"/>
      <c r="M226" s="142"/>
      <c r="N226" s="142"/>
      <c r="O226" s="142"/>
      <c r="P226" s="142"/>
      <c r="Q226" s="142"/>
      <c r="R226" s="143"/>
      <c r="S226" s="143"/>
      <c r="T226" s="143"/>
      <c r="U226" s="143"/>
      <c r="V226" s="143"/>
      <c r="W226" s="284"/>
      <c r="X226" s="284"/>
      <c r="Y226" s="284"/>
      <c r="Z226" s="285"/>
      <c r="AA226" s="303"/>
      <c r="AB226" s="303"/>
      <c r="AD226" s="286"/>
      <c r="AE226" s="286"/>
      <c r="AF226" s="286"/>
      <c r="AG226" s="286"/>
      <c r="AH226" s="286"/>
      <c r="AI226" s="286"/>
      <c r="AJ226" s="286"/>
      <c r="AK226" s="286"/>
      <c r="AL226" s="286"/>
      <c r="AM226" s="286"/>
      <c r="AN226" s="428"/>
      <c r="AO226" s="440"/>
    </row>
    <row r="227" spans="1:41" ht="29.85" customHeight="1" x14ac:dyDescent="0.2">
      <c r="A227" s="151"/>
      <c r="B227" s="154"/>
      <c r="C227" s="214"/>
      <c r="D227" s="816"/>
      <c r="E227" s="81"/>
      <c r="F227" s="81"/>
      <c r="G227" s="84"/>
      <c r="H227" s="367" t="s">
        <v>1746</v>
      </c>
      <c r="I227" s="812"/>
      <c r="J227" s="485"/>
      <c r="K227" s="485"/>
      <c r="L227" s="485"/>
      <c r="M227" s="485"/>
      <c r="N227" s="485"/>
      <c r="O227" s="485"/>
      <c r="P227" s="485"/>
      <c r="Q227" s="485"/>
      <c r="R227" s="485"/>
      <c r="S227" s="485"/>
      <c r="T227" s="485"/>
      <c r="U227" s="485"/>
      <c r="V227" s="485"/>
      <c r="W227" s="485"/>
      <c r="X227" s="485"/>
      <c r="Y227" s="485"/>
      <c r="Z227" s="813"/>
      <c r="AA227" s="45"/>
      <c r="AB227" s="45"/>
      <c r="AD227" s="286"/>
      <c r="AE227" s="286"/>
      <c r="AF227" s="286"/>
      <c r="AG227" s="286"/>
      <c r="AH227" s="286"/>
      <c r="AI227" s="286"/>
      <c r="AJ227" s="286"/>
      <c r="AK227" s="286"/>
      <c r="AL227" s="286"/>
      <c r="AM227" s="286"/>
      <c r="AN227" s="428"/>
      <c r="AO227" s="440"/>
    </row>
    <row r="228" spans="1:41" ht="17.25" customHeight="1" x14ac:dyDescent="0.2">
      <c r="A228" s="151"/>
      <c r="B228" s="154"/>
      <c r="C228" s="214"/>
      <c r="D228" s="816"/>
      <c r="E228" s="81"/>
      <c r="F228" s="81"/>
      <c r="G228" s="84"/>
      <c r="H228" s="741"/>
      <c r="I228" s="740"/>
      <c r="J228" s="141"/>
      <c r="K228" s="141"/>
      <c r="L228" s="142"/>
      <c r="M228" s="142"/>
      <c r="N228" s="142"/>
      <c r="O228" s="142"/>
      <c r="P228" s="142"/>
      <c r="Q228" s="142"/>
      <c r="R228" s="143"/>
      <c r="S228" s="143"/>
      <c r="T228" s="143"/>
      <c r="U228" s="143"/>
      <c r="V228" s="143"/>
      <c r="W228" s="284"/>
      <c r="X228" s="284"/>
      <c r="Y228" s="284"/>
      <c r="Z228" s="285"/>
      <c r="AA228" s="303"/>
      <c r="AB228" s="303"/>
      <c r="AD228" s="286"/>
      <c r="AE228" s="286"/>
      <c r="AF228" s="286"/>
      <c r="AG228" s="286"/>
      <c r="AH228" s="286"/>
      <c r="AI228" s="286"/>
      <c r="AJ228" s="286"/>
      <c r="AK228" s="286"/>
      <c r="AL228" s="286"/>
      <c r="AM228" s="286"/>
      <c r="AN228" s="428"/>
      <c r="AO228" s="440"/>
    </row>
    <row r="229" spans="1:41" ht="25.15" customHeight="1" x14ac:dyDescent="0.2">
      <c r="A229" s="78"/>
      <c r="B229" s="155"/>
      <c r="C229" s="213"/>
      <c r="D229" s="816"/>
      <c r="E229" s="81"/>
      <c r="F229" s="81"/>
      <c r="G229" s="84"/>
      <c r="H229" s="367" t="s">
        <v>1747</v>
      </c>
      <c r="I229" s="812"/>
      <c r="J229" s="485"/>
      <c r="K229" s="485"/>
      <c r="L229" s="485"/>
      <c r="M229" s="485"/>
      <c r="N229" s="485"/>
      <c r="O229" s="485"/>
      <c r="P229" s="485"/>
      <c r="Q229" s="485"/>
      <c r="R229" s="485"/>
      <c r="S229" s="485"/>
      <c r="T229" s="485"/>
      <c r="U229" s="485"/>
      <c r="V229" s="485"/>
      <c r="W229" s="485"/>
      <c r="X229" s="485"/>
      <c r="Y229" s="485"/>
      <c r="Z229" s="813"/>
      <c r="AA229" s="45"/>
      <c r="AB229" s="45"/>
      <c r="AD229" s="286"/>
      <c r="AE229" s="286"/>
      <c r="AF229" s="286"/>
      <c r="AG229" s="286"/>
      <c r="AH229" s="286"/>
      <c r="AI229" s="286"/>
      <c r="AJ229" s="286"/>
      <c r="AK229" s="286"/>
      <c r="AL229" s="286"/>
      <c r="AM229" s="286"/>
      <c r="AN229" s="428"/>
      <c r="AO229" s="440" t="str">
        <f t="shared" ref="AO229" si="4">IF(I229="No","1","")&amp;IF(I229="N/A","2","")</f>
        <v/>
      </c>
    </row>
    <row r="230" spans="1:41" ht="25.15" customHeight="1" x14ac:dyDescent="0.2">
      <c r="A230" s="78"/>
      <c r="B230" s="155"/>
      <c r="C230" s="213"/>
      <c r="D230" s="816"/>
      <c r="E230" s="81"/>
      <c r="F230" s="81"/>
      <c r="G230" s="84"/>
      <c r="H230" s="741"/>
      <c r="I230" s="740"/>
      <c r="J230" s="45"/>
      <c r="K230" s="45"/>
      <c r="L230" s="45"/>
      <c r="M230" s="45"/>
      <c r="N230" s="45"/>
      <c r="O230" s="45"/>
      <c r="P230" s="45"/>
      <c r="Q230" s="45"/>
      <c r="R230" s="45"/>
      <c r="S230" s="45"/>
      <c r="T230" s="45"/>
      <c r="U230" s="45"/>
      <c r="V230" s="45"/>
      <c r="W230" s="486" t="str">
        <f>IF(I231="Yes", "Please Elaborate","")</f>
        <v/>
      </c>
      <c r="X230" s="486"/>
      <c r="Y230" s="486"/>
      <c r="Z230" s="514"/>
      <c r="AA230" s="173"/>
      <c r="AB230" s="173"/>
      <c r="AD230" s="286"/>
      <c r="AE230" s="286"/>
      <c r="AF230" s="286"/>
      <c r="AG230" s="286"/>
      <c r="AH230" s="286"/>
      <c r="AI230" s="286"/>
      <c r="AJ230" s="286"/>
      <c r="AK230" s="286"/>
      <c r="AL230" s="286"/>
      <c r="AM230" s="286"/>
      <c r="AN230" s="428"/>
      <c r="AO230" s="440"/>
    </row>
    <row r="231" spans="1:41" ht="36.6" customHeight="1" x14ac:dyDescent="0.2">
      <c r="A231" s="78"/>
      <c r="B231" s="155"/>
      <c r="C231" s="213"/>
      <c r="D231" s="816"/>
      <c r="E231" s="81"/>
      <c r="F231" s="81"/>
      <c r="G231" s="84"/>
      <c r="H231" s="367" t="s">
        <v>883</v>
      </c>
      <c r="I231" s="115"/>
      <c r="J231" s="45"/>
      <c r="K231" s="45"/>
      <c r="L231" s="45"/>
      <c r="M231" s="45"/>
      <c r="N231" s="45"/>
      <c r="O231" s="45"/>
      <c r="P231" s="45"/>
      <c r="Q231" s="45"/>
      <c r="R231" s="45"/>
      <c r="S231" s="45"/>
      <c r="T231" s="45"/>
      <c r="U231" s="45"/>
      <c r="V231" s="45"/>
      <c r="W231" s="659" t="s">
        <v>1737</v>
      </c>
      <c r="X231" s="487"/>
      <c r="Y231" s="487"/>
      <c r="Z231" s="654"/>
      <c r="AA231" s="297"/>
      <c r="AB231" s="297"/>
      <c r="AD231" s="286"/>
      <c r="AE231" s="286"/>
      <c r="AF231" s="286"/>
      <c r="AG231" s="286"/>
      <c r="AH231" s="286"/>
      <c r="AI231" s="286"/>
      <c r="AJ231" s="286"/>
      <c r="AK231" s="286"/>
      <c r="AL231" s="286"/>
      <c r="AM231" s="286"/>
      <c r="AN231" s="428"/>
      <c r="AO231" s="440" t="str">
        <f>IF(I231="Yes","1","")</f>
        <v/>
      </c>
    </row>
    <row r="232" spans="1:41" ht="17.25" customHeight="1" x14ac:dyDescent="0.2">
      <c r="A232" s="100"/>
      <c r="B232" s="296"/>
      <c r="C232" s="214"/>
      <c r="D232" s="738"/>
      <c r="E232" s="739"/>
      <c r="F232" s="739"/>
      <c r="G232" s="739"/>
      <c r="H232" s="739"/>
      <c r="I232" s="740"/>
      <c r="J232" s="45"/>
      <c r="K232" s="45"/>
      <c r="L232" s="45"/>
      <c r="M232" s="45"/>
      <c r="N232" s="45"/>
      <c r="O232" s="45"/>
      <c r="P232" s="45"/>
      <c r="Q232" s="45"/>
      <c r="R232" s="45"/>
      <c r="S232" s="45"/>
      <c r="T232" s="45"/>
      <c r="U232" s="45"/>
      <c r="V232" s="45"/>
      <c r="W232" s="486" t="str">
        <f>IF(I233="Yes", "Please Elaborate","")</f>
        <v/>
      </c>
      <c r="X232" s="486"/>
      <c r="Y232" s="486"/>
      <c r="Z232" s="514"/>
      <c r="AA232" s="173"/>
      <c r="AB232" s="173"/>
      <c r="AD232" s="286"/>
      <c r="AE232" s="286"/>
      <c r="AF232" s="286"/>
      <c r="AG232" s="286"/>
      <c r="AH232" s="286"/>
      <c r="AI232" s="286"/>
      <c r="AJ232" s="286"/>
      <c r="AK232" s="286"/>
      <c r="AL232" s="286"/>
      <c r="AM232" s="286"/>
      <c r="AN232" s="428"/>
      <c r="AO232" s="440"/>
    </row>
    <row r="233" spans="1:41" ht="34.5" x14ac:dyDescent="0.2">
      <c r="A233" s="78"/>
      <c r="B233" s="155"/>
      <c r="C233" s="213"/>
      <c r="D233" s="529" t="s">
        <v>1748</v>
      </c>
      <c r="E233" s="81"/>
      <c r="F233" s="81"/>
      <c r="G233" s="84"/>
      <c r="H233" s="367" t="s">
        <v>886</v>
      </c>
      <c r="I233" s="115"/>
      <c r="J233" s="45"/>
      <c r="K233" s="45"/>
      <c r="L233" s="45"/>
      <c r="M233" s="45"/>
      <c r="N233" s="45"/>
      <c r="O233" s="45"/>
      <c r="P233" s="45"/>
      <c r="Q233" s="45"/>
      <c r="R233" s="45"/>
      <c r="S233" s="45"/>
      <c r="T233" s="45"/>
      <c r="U233" s="45"/>
      <c r="V233" s="45"/>
      <c r="W233" s="659" t="s">
        <v>1737</v>
      </c>
      <c r="X233" s="487"/>
      <c r="Y233" s="487"/>
      <c r="Z233" s="654"/>
      <c r="AA233" s="297"/>
      <c r="AB233" s="297"/>
      <c r="AD233" s="286"/>
      <c r="AE233" s="286"/>
      <c r="AF233" s="286"/>
      <c r="AG233" s="286"/>
      <c r="AH233" s="286"/>
      <c r="AI233" s="286"/>
      <c r="AJ233" s="286"/>
      <c r="AK233" s="286"/>
      <c r="AL233" s="286"/>
      <c r="AM233" s="286"/>
      <c r="AN233" s="428"/>
      <c r="AO233" s="440" t="str">
        <f>IF(I233="Yes","1","")</f>
        <v/>
      </c>
    </row>
    <row r="234" spans="1:41" ht="17.25" customHeight="1" x14ac:dyDescent="0.2">
      <c r="A234" s="100"/>
      <c r="B234" s="296"/>
      <c r="C234" s="214"/>
      <c r="D234" s="818"/>
      <c r="E234" s="61"/>
      <c r="F234" s="61"/>
      <c r="G234" s="68"/>
      <c r="H234" s="741"/>
      <c r="I234" s="740"/>
      <c r="J234" s="141"/>
      <c r="K234" s="141"/>
      <c r="L234" s="142"/>
      <c r="M234" s="142"/>
      <c r="N234" s="142"/>
      <c r="O234" s="142"/>
      <c r="P234" s="142"/>
      <c r="Q234" s="142"/>
      <c r="R234" s="143"/>
      <c r="S234" s="143"/>
      <c r="T234" s="143"/>
      <c r="U234" s="143"/>
      <c r="V234" s="143"/>
      <c r="W234" s="284"/>
      <c r="X234" s="284"/>
      <c r="Y234" s="284"/>
      <c r="Z234" s="285"/>
      <c r="AA234" s="303"/>
      <c r="AB234" s="303"/>
      <c r="AD234" s="286"/>
      <c r="AE234" s="286"/>
      <c r="AF234" s="286"/>
      <c r="AG234" s="286"/>
      <c r="AH234" s="286"/>
      <c r="AI234" s="286"/>
      <c r="AJ234" s="286"/>
      <c r="AK234" s="286"/>
      <c r="AL234" s="286"/>
      <c r="AM234" s="286"/>
      <c r="AN234" s="428"/>
      <c r="AO234" s="440"/>
    </row>
    <row r="235" spans="1:41" ht="25.15" customHeight="1" x14ac:dyDescent="0.2">
      <c r="A235" s="78"/>
      <c r="B235" s="155"/>
      <c r="C235" s="213"/>
      <c r="D235" s="818"/>
      <c r="E235" s="81"/>
      <c r="F235" s="81"/>
      <c r="G235" s="84"/>
      <c r="H235" s="367" t="s">
        <v>889</v>
      </c>
      <c r="I235" s="115"/>
      <c r="J235" s="81"/>
      <c r="K235" s="81"/>
      <c r="L235" s="82"/>
      <c r="M235" s="82"/>
      <c r="N235" s="82"/>
      <c r="O235" s="82"/>
      <c r="P235" s="82"/>
      <c r="Q235" s="82"/>
      <c r="R235" s="83"/>
      <c r="S235" s="83"/>
      <c r="T235" s="83"/>
      <c r="U235" s="83"/>
      <c r="V235" s="83"/>
      <c r="W235" s="286"/>
      <c r="X235" s="286"/>
      <c r="Y235" s="286"/>
      <c r="Z235" s="287"/>
      <c r="AD235" s="286"/>
      <c r="AE235" s="286"/>
      <c r="AF235" s="286"/>
      <c r="AG235" s="286"/>
      <c r="AH235" s="286"/>
      <c r="AI235" s="286"/>
      <c r="AJ235" s="286"/>
      <c r="AK235" s="286"/>
      <c r="AL235" s="286"/>
      <c r="AM235" s="286"/>
      <c r="AN235" s="428"/>
      <c r="AO235" s="440" t="str">
        <f t="shared" si="1"/>
        <v/>
      </c>
    </row>
    <row r="236" spans="1:41" ht="17.25" customHeight="1" x14ac:dyDescent="0.2">
      <c r="A236" s="100"/>
      <c r="B236" s="296"/>
      <c r="C236" s="214"/>
      <c r="D236" s="818"/>
      <c r="E236" s="61"/>
      <c r="F236" s="61"/>
      <c r="G236" s="68"/>
      <c r="H236" s="741"/>
      <c r="I236" s="740"/>
      <c r="J236" s="45"/>
      <c r="K236" s="45"/>
      <c r="L236" s="45"/>
      <c r="M236" s="45"/>
      <c r="N236" s="45"/>
      <c r="O236" s="45"/>
      <c r="P236" s="45"/>
      <c r="Q236" s="45"/>
      <c r="R236" s="45"/>
      <c r="S236" s="45"/>
      <c r="T236" s="45"/>
      <c r="U236" s="45"/>
      <c r="V236" s="45"/>
      <c r="W236" s="486" t="str">
        <f>IF(I237="Yes", "Please Elaborate","")</f>
        <v/>
      </c>
      <c r="X236" s="486"/>
      <c r="Y236" s="486"/>
      <c r="Z236" s="514"/>
      <c r="AA236" s="173"/>
      <c r="AB236" s="173"/>
      <c r="AD236" s="286"/>
      <c r="AE236" s="286"/>
      <c r="AF236" s="286"/>
      <c r="AG236" s="286"/>
      <c r="AH236" s="286"/>
      <c r="AI236" s="286"/>
      <c r="AJ236" s="286"/>
      <c r="AK236" s="286"/>
      <c r="AL236" s="286"/>
      <c r="AM236" s="286"/>
      <c r="AN236" s="428"/>
      <c r="AO236" s="440"/>
    </row>
    <row r="237" spans="1:41" ht="25.15" customHeight="1" x14ac:dyDescent="0.2">
      <c r="A237" s="78"/>
      <c r="B237" s="155"/>
      <c r="C237" s="213"/>
      <c r="D237" s="818"/>
      <c r="E237" s="81"/>
      <c r="F237" s="81"/>
      <c r="G237" s="84"/>
      <c r="H237" s="367" t="s">
        <v>892</v>
      </c>
      <c r="I237" s="115"/>
      <c r="J237" s="45"/>
      <c r="K237" s="45"/>
      <c r="L237" s="45"/>
      <c r="M237" s="45"/>
      <c r="N237" s="45"/>
      <c r="O237" s="45"/>
      <c r="P237" s="45"/>
      <c r="Q237" s="45"/>
      <c r="R237" s="45"/>
      <c r="S237" s="45"/>
      <c r="T237" s="45"/>
      <c r="U237" s="45"/>
      <c r="V237" s="45"/>
      <c r="W237" s="659" t="s">
        <v>1737</v>
      </c>
      <c r="X237" s="487"/>
      <c r="Y237" s="487"/>
      <c r="Z237" s="654"/>
      <c r="AA237" s="297"/>
      <c r="AB237" s="297"/>
      <c r="AD237" s="286"/>
      <c r="AE237" s="286"/>
      <c r="AF237" s="286"/>
      <c r="AG237" s="286"/>
      <c r="AH237" s="286"/>
      <c r="AI237" s="286"/>
      <c r="AJ237" s="286"/>
      <c r="AK237" s="286"/>
      <c r="AL237" s="286"/>
      <c r="AM237" s="286"/>
      <c r="AN237" s="428"/>
      <c r="AO237" s="440" t="str">
        <f>IF(I237="Yes","1","")</f>
        <v/>
      </c>
    </row>
    <row r="238" spans="1:41" ht="17.25" customHeight="1" x14ac:dyDescent="0.2">
      <c r="A238" s="100"/>
      <c r="B238" s="296"/>
      <c r="C238" s="214"/>
      <c r="D238" s="818"/>
      <c r="E238" s="61"/>
      <c r="F238" s="61"/>
      <c r="G238" s="68"/>
      <c r="H238" s="741"/>
      <c r="I238" s="740"/>
      <c r="J238" s="172"/>
      <c r="K238" s="172"/>
      <c r="L238" s="93"/>
      <c r="M238" s="93"/>
      <c r="N238" s="93"/>
      <c r="O238" s="93"/>
      <c r="P238" s="93"/>
      <c r="Q238" s="93"/>
      <c r="R238" s="94"/>
      <c r="S238" s="94"/>
      <c r="T238" s="94"/>
      <c r="U238" s="94"/>
      <c r="V238" s="94"/>
      <c r="W238" s="284"/>
      <c r="X238" s="284"/>
      <c r="Y238" s="284"/>
      <c r="Z238" s="285"/>
      <c r="AA238" s="303"/>
      <c r="AB238" s="303"/>
      <c r="AD238" s="286"/>
      <c r="AE238" s="286"/>
      <c r="AF238" s="286"/>
      <c r="AG238" s="286"/>
      <c r="AH238" s="286"/>
      <c r="AI238" s="286"/>
      <c r="AJ238" s="286"/>
      <c r="AK238" s="286"/>
      <c r="AL238" s="286"/>
      <c r="AM238" s="286"/>
      <c r="AN238" s="428"/>
      <c r="AO238" s="440"/>
    </row>
    <row r="239" spans="1:41" ht="25.15" customHeight="1" x14ac:dyDescent="0.2">
      <c r="A239" s="78"/>
      <c r="B239" s="155"/>
      <c r="C239" s="213"/>
      <c r="D239" s="818"/>
      <c r="E239" s="81"/>
      <c r="F239" s="81"/>
      <c r="G239" s="84"/>
      <c r="H239" s="367" t="s">
        <v>1749</v>
      </c>
      <c r="I239" s="812"/>
      <c r="J239" s="485"/>
      <c r="K239" s="485"/>
      <c r="L239" s="485"/>
      <c r="M239" s="485"/>
      <c r="N239" s="485"/>
      <c r="O239" s="485"/>
      <c r="P239" s="485"/>
      <c r="Q239" s="485"/>
      <c r="R239" s="485"/>
      <c r="S239" s="485"/>
      <c r="T239" s="485"/>
      <c r="U239" s="485"/>
      <c r="V239" s="485"/>
      <c r="W239" s="485"/>
      <c r="X239" s="485"/>
      <c r="Y239" s="485"/>
      <c r="Z239" s="813"/>
      <c r="AA239" s="45"/>
      <c r="AB239" s="45"/>
      <c r="AD239" s="286"/>
      <c r="AE239" s="286"/>
      <c r="AF239" s="286"/>
      <c r="AG239" s="286"/>
      <c r="AH239" s="286"/>
      <c r="AI239" s="286"/>
      <c r="AJ239" s="286"/>
      <c r="AK239" s="286"/>
      <c r="AL239" s="286"/>
      <c r="AM239" s="286"/>
      <c r="AN239" s="428"/>
      <c r="AO239" s="440" t="str">
        <f t="shared" si="1"/>
        <v/>
      </c>
    </row>
    <row r="240" spans="1:41" ht="17.25" customHeight="1" x14ac:dyDescent="0.2">
      <c r="A240" s="100"/>
      <c r="B240" s="296"/>
      <c r="C240" s="214"/>
      <c r="D240" s="738"/>
      <c r="E240" s="822"/>
      <c r="F240" s="822"/>
      <c r="G240" s="822"/>
      <c r="H240" s="822"/>
      <c r="I240" s="823"/>
      <c r="J240" s="141"/>
      <c r="K240" s="141"/>
      <c r="L240" s="142"/>
      <c r="M240" s="142"/>
      <c r="N240" s="142"/>
      <c r="O240" s="142"/>
      <c r="P240" s="142"/>
      <c r="Q240" s="142"/>
      <c r="R240" s="143"/>
      <c r="S240" s="143"/>
      <c r="T240" s="143"/>
      <c r="U240" s="143"/>
      <c r="V240" s="143"/>
      <c r="W240" s="284"/>
      <c r="X240" s="284"/>
      <c r="Y240" s="284"/>
      <c r="Z240" s="285"/>
      <c r="AA240" s="303"/>
      <c r="AB240" s="303"/>
      <c r="AD240" s="286"/>
      <c r="AE240" s="286"/>
      <c r="AF240" s="286"/>
      <c r="AG240" s="286"/>
      <c r="AH240" s="286"/>
      <c r="AI240" s="286"/>
      <c r="AJ240" s="286"/>
      <c r="AK240" s="286"/>
      <c r="AL240" s="286"/>
      <c r="AM240" s="286"/>
      <c r="AN240" s="428"/>
      <c r="AO240" s="440"/>
    </row>
    <row r="241" spans="1:41" ht="25.15" customHeight="1" x14ac:dyDescent="0.2">
      <c r="A241" s="78"/>
      <c r="B241" s="155"/>
      <c r="C241" s="213"/>
      <c r="D241" s="529" t="s">
        <v>1750</v>
      </c>
      <c r="E241" s="81"/>
      <c r="F241" s="81"/>
      <c r="G241" s="84"/>
      <c r="H241" s="367" t="s">
        <v>1751</v>
      </c>
      <c r="I241" s="812"/>
      <c r="J241" s="485"/>
      <c r="K241" s="485"/>
      <c r="L241" s="485"/>
      <c r="M241" s="485"/>
      <c r="N241" s="485"/>
      <c r="O241" s="485"/>
      <c r="P241" s="485"/>
      <c r="Q241" s="485"/>
      <c r="R241" s="485"/>
      <c r="S241" s="485"/>
      <c r="T241" s="485"/>
      <c r="U241" s="485"/>
      <c r="V241" s="485"/>
      <c r="W241" s="485"/>
      <c r="X241" s="485"/>
      <c r="Y241" s="485"/>
      <c r="Z241" s="813"/>
      <c r="AA241" s="45"/>
      <c r="AB241" s="45"/>
      <c r="AD241" s="286"/>
      <c r="AE241" s="286"/>
      <c r="AF241" s="286"/>
      <c r="AG241" s="286"/>
      <c r="AH241" s="286"/>
      <c r="AI241" s="286"/>
      <c r="AJ241" s="286"/>
      <c r="AK241" s="286"/>
      <c r="AL241" s="286"/>
      <c r="AM241" s="286"/>
      <c r="AN241" s="428"/>
      <c r="AO241" s="440" t="str">
        <f t="shared" si="1"/>
        <v/>
      </c>
    </row>
    <row r="242" spans="1:41" ht="17.25" customHeight="1" x14ac:dyDescent="0.2">
      <c r="A242" s="100"/>
      <c r="B242" s="296"/>
      <c r="C242" s="214"/>
      <c r="D242" s="819"/>
      <c r="E242" s="61"/>
      <c r="F242" s="61"/>
      <c r="G242" s="68"/>
      <c r="H242" s="741"/>
      <c r="I242" s="740"/>
      <c r="J242" s="45"/>
      <c r="K242" s="45"/>
      <c r="L242" s="45"/>
      <c r="M242" s="45"/>
      <c r="N242" s="45"/>
      <c r="O242" s="45"/>
      <c r="P242" s="45"/>
      <c r="Q242" s="45"/>
      <c r="R242" s="45"/>
      <c r="S242" s="45"/>
      <c r="T242" s="45"/>
      <c r="U242" s="45"/>
      <c r="V242" s="45"/>
      <c r="W242" s="486" t="str">
        <f>IF(I243="Yes", "Please Elaborate","")</f>
        <v/>
      </c>
      <c r="X242" s="486"/>
      <c r="Y242" s="486"/>
      <c r="Z242" s="514"/>
      <c r="AA242" s="173"/>
      <c r="AB242" s="173"/>
      <c r="AD242" s="286"/>
      <c r="AE242" s="286"/>
      <c r="AF242" s="286"/>
      <c r="AG242" s="286"/>
      <c r="AH242" s="286"/>
      <c r="AI242" s="286"/>
      <c r="AJ242" s="286"/>
      <c r="AK242" s="286"/>
      <c r="AL242" s="286"/>
      <c r="AM242" s="286"/>
      <c r="AN242" s="428"/>
      <c r="AO242" s="440"/>
    </row>
    <row r="243" spans="1:41" ht="25.15" customHeight="1" x14ac:dyDescent="0.2">
      <c r="A243" s="78"/>
      <c r="B243" s="155"/>
      <c r="C243" s="213"/>
      <c r="D243" s="819"/>
      <c r="E243" s="81"/>
      <c r="F243" s="81"/>
      <c r="G243" s="84"/>
      <c r="H243" s="367" t="s">
        <v>902</v>
      </c>
      <c r="I243" s="115"/>
      <c r="J243" s="45"/>
      <c r="K243" s="45"/>
      <c r="L243" s="45"/>
      <c r="M243" s="45"/>
      <c r="N243" s="45"/>
      <c r="O243" s="45"/>
      <c r="P243" s="45"/>
      <c r="Q243" s="45"/>
      <c r="R243" s="45"/>
      <c r="S243" s="45"/>
      <c r="T243" s="45"/>
      <c r="U243" s="45"/>
      <c r="V243" s="45"/>
      <c r="W243" s="659" t="s">
        <v>1737</v>
      </c>
      <c r="X243" s="487"/>
      <c r="Y243" s="487"/>
      <c r="Z243" s="654"/>
      <c r="AA243" s="297"/>
      <c r="AB243" s="297"/>
      <c r="AD243" s="286"/>
      <c r="AE243" s="286"/>
      <c r="AF243" s="286"/>
      <c r="AG243" s="286"/>
      <c r="AH243" s="286"/>
      <c r="AI243" s="286"/>
      <c r="AJ243" s="286"/>
      <c r="AK243" s="286"/>
      <c r="AL243" s="286"/>
      <c r="AM243" s="286"/>
      <c r="AN243" s="428"/>
      <c r="AO243" s="440" t="str">
        <f>IF(I243="Yes","1","")</f>
        <v/>
      </c>
    </row>
    <row r="244" spans="1:41" ht="17.25" customHeight="1" x14ac:dyDescent="0.2">
      <c r="A244" s="100"/>
      <c r="B244" s="296"/>
      <c r="C244" s="214"/>
      <c r="D244" s="819"/>
      <c r="E244" s="61"/>
      <c r="F244" s="61"/>
      <c r="G244" s="68"/>
      <c r="H244" s="741"/>
      <c r="I244" s="740"/>
      <c r="J244" s="172"/>
      <c r="K244" s="172"/>
      <c r="L244" s="93"/>
      <c r="M244" s="93"/>
      <c r="N244" s="93"/>
      <c r="O244" s="93"/>
      <c r="P244" s="93"/>
      <c r="Q244" s="93"/>
      <c r="R244" s="94"/>
      <c r="S244" s="94"/>
      <c r="T244" s="94"/>
      <c r="U244" s="94"/>
      <c r="V244" s="94"/>
      <c r="W244" s="284"/>
      <c r="X244" s="284"/>
      <c r="Y244" s="284"/>
      <c r="Z244" s="455"/>
      <c r="AA244" s="303"/>
      <c r="AB244" s="303"/>
      <c r="AD244" s="286"/>
      <c r="AE244" s="286"/>
      <c r="AF244" s="286"/>
      <c r="AG244" s="286"/>
      <c r="AH244" s="286"/>
      <c r="AI244" s="286"/>
      <c r="AJ244" s="286"/>
      <c r="AK244" s="286"/>
      <c r="AL244" s="286"/>
      <c r="AM244" s="286"/>
      <c r="AN244" s="428"/>
      <c r="AO244" s="440"/>
    </row>
    <row r="245" spans="1:41" ht="25.15" customHeight="1" x14ac:dyDescent="0.2">
      <c r="A245" s="78"/>
      <c r="B245" s="155"/>
      <c r="C245" s="213"/>
      <c r="D245" s="820"/>
      <c r="E245" s="81"/>
      <c r="F245" s="81"/>
      <c r="G245" s="84"/>
      <c r="H245" s="367" t="s">
        <v>1752</v>
      </c>
      <c r="I245" s="812"/>
      <c r="J245" s="485"/>
      <c r="K245" s="485"/>
      <c r="L245" s="485"/>
      <c r="M245" s="485"/>
      <c r="N245" s="485"/>
      <c r="O245" s="485"/>
      <c r="P245" s="485"/>
      <c r="Q245" s="485"/>
      <c r="R245" s="485"/>
      <c r="S245" s="485"/>
      <c r="T245" s="485"/>
      <c r="U245" s="485"/>
      <c r="V245" s="485"/>
      <c r="W245" s="485"/>
      <c r="X245" s="485"/>
      <c r="Y245" s="485"/>
      <c r="Z245" s="813"/>
      <c r="AA245" s="45"/>
      <c r="AB245" s="45"/>
      <c r="AD245" s="286"/>
      <c r="AE245" s="286"/>
      <c r="AF245" s="286"/>
      <c r="AG245" s="286"/>
      <c r="AH245" s="286"/>
      <c r="AI245" s="286"/>
      <c r="AJ245" s="286"/>
      <c r="AK245" s="286"/>
      <c r="AL245" s="286"/>
      <c r="AM245" s="286"/>
      <c r="AN245" s="428"/>
      <c r="AO245" s="440" t="str">
        <f t="shared" si="1"/>
        <v/>
      </c>
    </row>
    <row r="246" spans="1:41" ht="17.25" customHeight="1" x14ac:dyDescent="0.2">
      <c r="A246" s="100"/>
      <c r="B246" s="296"/>
      <c r="C246" s="214"/>
      <c r="D246" s="738"/>
      <c r="E246" s="739"/>
      <c r="F246" s="739"/>
      <c r="G246" s="739"/>
      <c r="H246" s="739"/>
      <c r="I246" s="740"/>
      <c r="J246" s="141"/>
      <c r="K246" s="141"/>
      <c r="L246" s="142"/>
      <c r="M246" s="142"/>
      <c r="N246" s="142"/>
      <c r="O246" s="142"/>
      <c r="P246" s="142"/>
      <c r="Q246" s="142"/>
      <c r="R246" s="143"/>
      <c r="S246" s="143"/>
      <c r="T246" s="143"/>
      <c r="U246" s="143"/>
      <c r="V246" s="143"/>
      <c r="W246" s="284"/>
      <c r="X246" s="284"/>
      <c r="Y246" s="284"/>
      <c r="Z246" s="285"/>
      <c r="AA246" s="303"/>
      <c r="AB246" s="303"/>
      <c r="AD246" s="286"/>
      <c r="AE246" s="286"/>
      <c r="AF246" s="286"/>
      <c r="AG246" s="286"/>
      <c r="AH246" s="286"/>
      <c r="AI246" s="286"/>
      <c r="AJ246" s="286"/>
      <c r="AK246" s="286"/>
      <c r="AL246" s="286"/>
      <c r="AM246" s="286"/>
      <c r="AN246" s="428"/>
      <c r="AO246" s="440"/>
    </row>
    <row r="247" spans="1:41" ht="25.15" customHeight="1" x14ac:dyDescent="0.2">
      <c r="A247" s="78"/>
      <c r="B247" s="155"/>
      <c r="C247" s="213"/>
      <c r="D247" s="808" t="s">
        <v>1753</v>
      </c>
      <c r="E247" s="81"/>
      <c r="F247" s="81"/>
      <c r="G247" s="84"/>
      <c r="H247" s="367" t="s">
        <v>908</v>
      </c>
      <c r="I247" s="115"/>
      <c r="J247" s="81"/>
      <c r="K247" s="81"/>
      <c r="L247" s="82"/>
      <c r="M247" s="82"/>
      <c r="N247" s="82"/>
      <c r="O247" s="82"/>
      <c r="P247" s="82"/>
      <c r="Q247" s="82"/>
      <c r="R247" s="83"/>
      <c r="S247" s="83"/>
      <c r="T247" s="83"/>
      <c r="U247" s="83"/>
      <c r="V247" s="83"/>
      <c r="W247" s="286"/>
      <c r="X247" s="286"/>
      <c r="Y247" s="286"/>
      <c r="Z247" s="287"/>
      <c r="AD247" s="286"/>
      <c r="AE247" s="286"/>
      <c r="AF247" s="286"/>
      <c r="AG247" s="286"/>
      <c r="AH247" s="286"/>
      <c r="AI247" s="286"/>
      <c r="AJ247" s="286"/>
      <c r="AK247" s="286"/>
      <c r="AL247" s="286"/>
      <c r="AM247" s="286"/>
      <c r="AN247" s="428"/>
      <c r="AO247" s="440" t="str">
        <f t="shared" si="1"/>
        <v/>
      </c>
    </row>
    <row r="248" spans="1:41" ht="17.25" customHeight="1" x14ac:dyDescent="0.2">
      <c r="A248" s="100"/>
      <c r="B248" s="296"/>
      <c r="C248" s="214"/>
      <c r="D248" s="632"/>
      <c r="E248" s="61"/>
      <c r="F248" s="61"/>
      <c r="G248" s="68"/>
      <c r="H248" s="741"/>
      <c r="I248" s="740"/>
      <c r="J248" s="141"/>
      <c r="K248" s="141"/>
      <c r="L248" s="142"/>
      <c r="M248" s="142"/>
      <c r="N248" s="142"/>
      <c r="O248" s="142"/>
      <c r="P248" s="142"/>
      <c r="Q248" s="142"/>
      <c r="R248" s="143"/>
      <c r="S248" s="143"/>
      <c r="T248" s="143"/>
      <c r="U248" s="143"/>
      <c r="V248" s="143"/>
      <c r="W248" s="284"/>
      <c r="X248" s="284"/>
      <c r="Y248" s="284"/>
      <c r="Z248" s="285"/>
      <c r="AA248" s="303"/>
      <c r="AB248" s="303"/>
      <c r="AD248" s="286"/>
      <c r="AE248" s="286"/>
      <c r="AF248" s="286"/>
      <c r="AG248" s="286"/>
      <c r="AH248" s="286"/>
      <c r="AI248" s="286"/>
      <c r="AJ248" s="286"/>
      <c r="AK248" s="286"/>
      <c r="AL248" s="286"/>
      <c r="AM248" s="286"/>
      <c r="AN248" s="428"/>
      <c r="AO248" s="440"/>
    </row>
    <row r="249" spans="1:41" ht="25.15" customHeight="1" x14ac:dyDescent="0.2">
      <c r="A249" s="78"/>
      <c r="B249" s="155"/>
      <c r="C249" s="213"/>
      <c r="D249" s="632"/>
      <c r="E249" s="81"/>
      <c r="F249" s="81"/>
      <c r="G249" s="84"/>
      <c r="H249" s="367" t="s">
        <v>911</v>
      </c>
      <c r="I249" s="115"/>
      <c r="J249" s="81"/>
      <c r="K249" s="81"/>
      <c r="L249" s="82"/>
      <c r="M249" s="82"/>
      <c r="N249" s="82"/>
      <c r="O249" s="82"/>
      <c r="P249" s="82"/>
      <c r="Q249" s="82"/>
      <c r="R249" s="83"/>
      <c r="S249" s="83"/>
      <c r="T249" s="83"/>
      <c r="U249" s="83"/>
      <c r="V249" s="83"/>
      <c r="W249" s="286"/>
      <c r="X249" s="286"/>
      <c r="Y249" s="286"/>
      <c r="Z249" s="287"/>
      <c r="AD249" s="286"/>
      <c r="AE249" s="286"/>
      <c r="AF249" s="286"/>
      <c r="AG249" s="286"/>
      <c r="AH249" s="286"/>
      <c r="AI249" s="286"/>
      <c r="AJ249" s="286"/>
      <c r="AK249" s="286"/>
      <c r="AL249" s="286"/>
      <c r="AM249" s="286"/>
      <c r="AN249" s="428"/>
      <c r="AO249" s="440" t="str">
        <f t="shared" si="1"/>
        <v/>
      </c>
    </row>
    <row r="250" spans="1:41" ht="25.15" customHeight="1" x14ac:dyDescent="0.2">
      <c r="A250" s="78"/>
      <c r="B250" s="155"/>
      <c r="C250" s="213"/>
      <c r="D250" s="821"/>
      <c r="E250" s="81"/>
      <c r="F250" s="81"/>
      <c r="G250" s="84"/>
      <c r="H250" s="741"/>
      <c r="I250" s="740"/>
      <c r="J250" s="81"/>
      <c r="K250" s="81"/>
      <c r="L250" s="82"/>
      <c r="M250" s="82"/>
      <c r="N250" s="82"/>
      <c r="O250" s="82"/>
      <c r="P250" s="82"/>
      <c r="Q250" s="82"/>
      <c r="R250" s="83"/>
      <c r="S250" s="83"/>
      <c r="T250" s="83"/>
      <c r="U250" s="83"/>
      <c r="V250" s="83"/>
      <c r="W250" s="286"/>
      <c r="X250" s="286"/>
      <c r="Y250" s="286"/>
      <c r="Z250" s="287"/>
      <c r="AD250" s="286"/>
      <c r="AE250" s="286"/>
      <c r="AF250" s="286"/>
      <c r="AG250" s="286"/>
      <c r="AH250" s="286"/>
      <c r="AI250" s="286"/>
      <c r="AJ250" s="286"/>
      <c r="AK250" s="286"/>
      <c r="AL250" s="286"/>
      <c r="AM250" s="286"/>
      <c r="AN250" s="428"/>
      <c r="AO250" s="440"/>
    </row>
    <row r="251" spans="1:41" ht="25.15" customHeight="1" x14ac:dyDescent="0.2">
      <c r="A251" s="78"/>
      <c r="B251" s="155"/>
      <c r="C251" s="213"/>
      <c r="D251" s="821"/>
      <c r="E251" s="81"/>
      <c r="F251" s="81"/>
      <c r="G251" s="84"/>
      <c r="H251" s="367" t="s">
        <v>1754</v>
      </c>
      <c r="I251" s="812"/>
      <c r="J251" s="485"/>
      <c r="K251" s="485"/>
      <c r="L251" s="485"/>
      <c r="M251" s="485"/>
      <c r="N251" s="485"/>
      <c r="O251" s="485"/>
      <c r="P251" s="485"/>
      <c r="Q251" s="485"/>
      <c r="R251" s="485"/>
      <c r="S251" s="485"/>
      <c r="T251" s="485"/>
      <c r="U251" s="485"/>
      <c r="V251" s="485"/>
      <c r="W251" s="485"/>
      <c r="X251" s="485"/>
      <c r="Y251" s="485"/>
      <c r="Z251" s="813"/>
      <c r="AA251" s="45"/>
      <c r="AB251" s="45"/>
      <c r="AD251" s="286"/>
      <c r="AE251" s="286"/>
      <c r="AF251" s="286"/>
      <c r="AG251" s="286"/>
      <c r="AH251" s="286"/>
      <c r="AI251" s="286"/>
      <c r="AJ251" s="286"/>
      <c r="AK251" s="286"/>
      <c r="AL251" s="286"/>
      <c r="AM251" s="286"/>
      <c r="AN251" s="428"/>
      <c r="AO251" s="440"/>
    </row>
    <row r="252" spans="1:41" ht="25.15" customHeight="1" x14ac:dyDescent="0.2">
      <c r="A252" s="78"/>
      <c r="B252" s="155"/>
      <c r="C252" s="213"/>
      <c r="D252" s="738"/>
      <c r="E252" s="739"/>
      <c r="F252" s="739"/>
      <c r="G252" s="739"/>
      <c r="H252" s="739"/>
      <c r="I252" s="740"/>
      <c r="J252" s="45"/>
      <c r="K252" s="45"/>
      <c r="L252" s="45"/>
      <c r="M252" s="45"/>
      <c r="N252" s="45"/>
      <c r="O252" s="45"/>
      <c r="P252" s="45"/>
      <c r="Q252" s="45"/>
      <c r="R252" s="45"/>
      <c r="S252" s="45"/>
      <c r="T252" s="45"/>
      <c r="U252" s="45"/>
      <c r="V252" s="45"/>
      <c r="W252" s="286"/>
      <c r="X252" s="286"/>
      <c r="Y252" s="286"/>
      <c r="Z252" s="287"/>
      <c r="AD252" s="286"/>
      <c r="AE252" s="286"/>
      <c r="AF252" s="286"/>
      <c r="AG252" s="286"/>
      <c r="AH252" s="286"/>
      <c r="AI252" s="286"/>
      <c r="AJ252" s="286"/>
      <c r="AK252" s="286"/>
      <c r="AL252" s="286"/>
      <c r="AM252" s="286"/>
      <c r="AN252" s="428"/>
      <c r="AO252" s="440"/>
    </row>
    <row r="253" spans="1:41" ht="69.75" thickBot="1" x14ac:dyDescent="0.25">
      <c r="A253" s="78"/>
      <c r="B253" s="156"/>
      <c r="C253" s="213"/>
      <c r="D253" s="233" t="s">
        <v>1755</v>
      </c>
      <c r="E253" s="157"/>
      <c r="F253" s="157"/>
      <c r="G253" s="158"/>
      <c r="H253" s="456" t="s">
        <v>1756</v>
      </c>
      <c r="I253" s="159"/>
      <c r="J253" s="457"/>
      <c r="K253" s="457"/>
      <c r="L253" s="457"/>
      <c r="M253" s="457"/>
      <c r="N253" s="457"/>
      <c r="O253" s="457"/>
      <c r="P253" s="457"/>
      <c r="Q253" s="457"/>
      <c r="R253" s="457"/>
      <c r="S253" s="457"/>
      <c r="T253" s="457"/>
      <c r="U253" s="457"/>
      <c r="V253" s="457"/>
      <c r="W253" s="814" t="str">
        <f>IF(I253="Select here to add attachment", "Please provide attachment","")</f>
        <v/>
      </c>
      <c r="X253" s="814"/>
      <c r="Y253" s="814"/>
      <c r="Z253" s="815"/>
      <c r="AA253" s="173"/>
      <c r="AB253" s="173"/>
      <c r="AD253" s="286"/>
      <c r="AE253" s="286"/>
      <c r="AF253" s="286"/>
      <c r="AG253" s="286"/>
      <c r="AH253" s="286"/>
      <c r="AI253" s="286"/>
      <c r="AJ253" s="286"/>
      <c r="AK253" s="286"/>
      <c r="AL253" s="286"/>
      <c r="AM253" s="286"/>
      <c r="AN253" s="428"/>
      <c r="AO253" s="440" t="str">
        <f>IF(I253="Select here to add attachment","1","")</f>
        <v/>
      </c>
    </row>
    <row r="254" spans="1:41" s="74" customFormat="1" ht="34.5" customHeight="1" x14ac:dyDescent="0.2">
      <c r="B254" s="85"/>
      <c r="C254" s="458"/>
      <c r="D254" s="459" t="s">
        <v>1757</v>
      </c>
      <c r="E254" s="85"/>
      <c r="F254" s="85"/>
      <c r="G254" s="460"/>
      <c r="H254" s="85"/>
      <c r="I254" s="461"/>
      <c r="J254" s="85"/>
      <c r="K254" s="85"/>
      <c r="R254" s="210"/>
      <c r="S254" s="210"/>
      <c r="T254" s="210"/>
      <c r="U254" s="210"/>
      <c r="V254" s="210"/>
      <c r="AN254" s="462"/>
    </row>
    <row r="255" spans="1:41" s="74" customFormat="1" ht="14.25" x14ac:dyDescent="0.2">
      <c r="B255" s="298"/>
      <c r="C255" s="463"/>
      <c r="D255" s="298"/>
      <c r="E255" s="298"/>
      <c r="F255" s="298"/>
      <c r="G255" s="208"/>
      <c r="H255" s="298"/>
      <c r="I255" s="207"/>
      <c r="J255" s="298"/>
      <c r="K255" s="298"/>
      <c r="R255" s="210"/>
      <c r="S255" s="210"/>
      <c r="T255" s="210"/>
      <c r="U255" s="210"/>
      <c r="V255" s="210"/>
      <c r="AN255" s="462"/>
    </row>
    <row r="256" spans="1:41" s="74" customFormat="1" x14ac:dyDescent="0.2">
      <c r="C256" s="181"/>
      <c r="G256" s="209"/>
      <c r="I256" s="210"/>
      <c r="R256" s="210"/>
      <c r="S256" s="210"/>
      <c r="T256" s="210"/>
      <c r="U256" s="210"/>
      <c r="V256" s="210"/>
      <c r="AN256" s="462"/>
    </row>
    <row r="257" spans="24:24" x14ac:dyDescent="0.2">
      <c r="X257" s="86"/>
    </row>
    <row r="258" spans="24:24" x14ac:dyDescent="0.2">
      <c r="X258" s="86"/>
    </row>
    <row r="259" spans="24:24" x14ac:dyDescent="0.2">
      <c r="X259" s="86"/>
    </row>
    <row r="260" spans="24:24" x14ac:dyDescent="0.2">
      <c r="X260" s="86"/>
    </row>
    <row r="261" spans="24:24" x14ac:dyDescent="0.2">
      <c r="X261" s="86"/>
    </row>
  </sheetData>
  <mergeCells count="663">
    <mergeCell ref="D2:Z2"/>
    <mergeCell ref="D110:I110"/>
    <mergeCell ref="H32:I32"/>
    <mergeCell ref="H27:I27"/>
    <mergeCell ref="D70:I70"/>
    <mergeCell ref="D68:I68"/>
    <mergeCell ref="D66:I66"/>
    <mergeCell ref="D60:I60"/>
    <mergeCell ref="D58:I58"/>
    <mergeCell ref="D56:I56"/>
    <mergeCell ref="D54:I54"/>
    <mergeCell ref="D52:I52"/>
    <mergeCell ref="D48:I48"/>
    <mergeCell ref="D39:D41"/>
    <mergeCell ref="D38:I38"/>
    <mergeCell ref="D36:I36"/>
    <mergeCell ref="D34:I34"/>
    <mergeCell ref="D29:I29"/>
    <mergeCell ref="D26:D28"/>
    <mergeCell ref="D49:D51"/>
    <mergeCell ref="D61:D65"/>
    <mergeCell ref="D92:I92"/>
    <mergeCell ref="D86:I86"/>
    <mergeCell ref="D82:I82"/>
    <mergeCell ref="D78:I78"/>
    <mergeCell ref="H106:I106"/>
    <mergeCell ref="H102:I102"/>
    <mergeCell ref="H98:I98"/>
    <mergeCell ref="H94:I94"/>
    <mergeCell ref="H90:I90"/>
    <mergeCell ref="H88:I88"/>
    <mergeCell ref="H84:I84"/>
    <mergeCell ref="H80:I80"/>
    <mergeCell ref="D79:D81"/>
    <mergeCell ref="D87:D91"/>
    <mergeCell ref="D97:D99"/>
    <mergeCell ref="D101:D103"/>
    <mergeCell ref="D105:D107"/>
    <mergeCell ref="D83:D85"/>
    <mergeCell ref="D104:I104"/>
    <mergeCell ref="D100:I100"/>
    <mergeCell ref="D96:I96"/>
    <mergeCell ref="I251:Z251"/>
    <mergeCell ref="W253:Z253"/>
    <mergeCell ref="D190:D195"/>
    <mergeCell ref="D197:D211"/>
    <mergeCell ref="D213:D231"/>
    <mergeCell ref="D233:D239"/>
    <mergeCell ref="D241:D245"/>
    <mergeCell ref="D247:D251"/>
    <mergeCell ref="D196:I196"/>
    <mergeCell ref="D212:I212"/>
    <mergeCell ref="D232:I232"/>
    <mergeCell ref="D240:I240"/>
    <mergeCell ref="D246:I246"/>
    <mergeCell ref="D252:I252"/>
    <mergeCell ref="W198:Z198"/>
    <mergeCell ref="H248:I248"/>
    <mergeCell ref="H250:I250"/>
    <mergeCell ref="H244:I244"/>
    <mergeCell ref="H242:I242"/>
    <mergeCell ref="H238:I238"/>
    <mergeCell ref="H236:I236"/>
    <mergeCell ref="W232:Z232"/>
    <mergeCell ref="W233:Z233"/>
    <mergeCell ref="W236:Z236"/>
    <mergeCell ref="I245:Z245"/>
    <mergeCell ref="H234:I234"/>
    <mergeCell ref="W217:Z217"/>
    <mergeCell ref="W218:Z218"/>
    <mergeCell ref="W219:Z219"/>
    <mergeCell ref="I223:Z223"/>
    <mergeCell ref="I227:Z227"/>
    <mergeCell ref="I229:Z229"/>
    <mergeCell ref="W230:Z230"/>
    <mergeCell ref="W231:Z231"/>
    <mergeCell ref="H230:I230"/>
    <mergeCell ref="H228:I228"/>
    <mergeCell ref="H226:I226"/>
    <mergeCell ref="H224:I224"/>
    <mergeCell ref="H222:I222"/>
    <mergeCell ref="H220:I220"/>
    <mergeCell ref="H218:I218"/>
    <mergeCell ref="W210:Z210"/>
    <mergeCell ref="I241:Z241"/>
    <mergeCell ref="W242:Z242"/>
    <mergeCell ref="W243:Z243"/>
    <mergeCell ref="W237:Z237"/>
    <mergeCell ref="I239:Z239"/>
    <mergeCell ref="H216:I216"/>
    <mergeCell ref="H214:I214"/>
    <mergeCell ref="H210:I210"/>
    <mergeCell ref="W211:Z211"/>
    <mergeCell ref="W212:Z212"/>
    <mergeCell ref="W213:Z213"/>
    <mergeCell ref="W216:Z216"/>
    <mergeCell ref="W177:Z177"/>
    <mergeCell ref="W178:Z178"/>
    <mergeCell ref="W179:Z179"/>
    <mergeCell ref="W180:Z180"/>
    <mergeCell ref="W181:Z181"/>
    <mergeCell ref="W182:Z182"/>
    <mergeCell ref="W183:Z183"/>
    <mergeCell ref="W184:Z184"/>
    <mergeCell ref="W185:Z185"/>
    <mergeCell ref="W208:Z208"/>
    <mergeCell ref="W209:Z209"/>
    <mergeCell ref="I187:Z188"/>
    <mergeCell ref="D186:Z186"/>
    <mergeCell ref="W193:Z193"/>
    <mergeCell ref="W196:Z196"/>
    <mergeCell ref="H200:I200"/>
    <mergeCell ref="H198:I198"/>
    <mergeCell ref="H194:I194"/>
    <mergeCell ref="H192:I192"/>
    <mergeCell ref="H190:I190"/>
    <mergeCell ref="W199:Z199"/>
    <mergeCell ref="W194:Z194"/>
    <mergeCell ref="W195:Z195"/>
    <mergeCell ref="H208:I208"/>
    <mergeCell ref="H206:I206"/>
    <mergeCell ref="H204:I204"/>
    <mergeCell ref="H202:I202"/>
    <mergeCell ref="W192:Z192"/>
    <mergeCell ref="W197:Z197"/>
    <mergeCell ref="W191:Z191"/>
    <mergeCell ref="D189:I189"/>
    <mergeCell ref="D187:D188"/>
    <mergeCell ref="H187:H188"/>
    <mergeCell ref="W168:Z168"/>
    <mergeCell ref="W169:Z169"/>
    <mergeCell ref="W170:Z170"/>
    <mergeCell ref="W171:Z171"/>
    <mergeCell ref="W172:Z172"/>
    <mergeCell ref="W173:Z173"/>
    <mergeCell ref="W174:Z174"/>
    <mergeCell ref="W175:Z175"/>
    <mergeCell ref="W176:Z176"/>
    <mergeCell ref="W159:Z159"/>
    <mergeCell ref="W160:Z160"/>
    <mergeCell ref="W161:Z161"/>
    <mergeCell ref="W162:Z162"/>
    <mergeCell ref="W163:Z163"/>
    <mergeCell ref="W164:Z164"/>
    <mergeCell ref="W165:Z165"/>
    <mergeCell ref="W166:Z166"/>
    <mergeCell ref="W167:Z167"/>
    <mergeCell ref="W151:Z151"/>
    <mergeCell ref="W147:Z147"/>
    <mergeCell ref="W152:Z152"/>
    <mergeCell ref="W153:Z153"/>
    <mergeCell ref="W154:Z154"/>
    <mergeCell ref="W155:Z155"/>
    <mergeCell ref="W156:Z156"/>
    <mergeCell ref="W157:Z157"/>
    <mergeCell ref="W158:Z158"/>
    <mergeCell ref="W142:Z142"/>
    <mergeCell ref="W143:Z143"/>
    <mergeCell ref="W144:Z144"/>
    <mergeCell ref="W145:Z145"/>
    <mergeCell ref="W146:Z146"/>
    <mergeCell ref="W138:Z138"/>
    <mergeCell ref="W148:Z148"/>
    <mergeCell ref="W149:Z149"/>
    <mergeCell ref="W150:Z150"/>
    <mergeCell ref="W132:Z132"/>
    <mergeCell ref="W133:Z133"/>
    <mergeCell ref="W134:Z134"/>
    <mergeCell ref="W135:Z135"/>
    <mergeCell ref="W136:Z136"/>
    <mergeCell ref="W137:Z137"/>
    <mergeCell ref="W139:Z139"/>
    <mergeCell ref="W140:Z140"/>
    <mergeCell ref="W141:Z141"/>
    <mergeCell ref="W112:Z112"/>
    <mergeCell ref="W117:Z117"/>
    <mergeCell ref="W122:Z122"/>
    <mergeCell ref="W105:Z105"/>
    <mergeCell ref="W106:Z106"/>
    <mergeCell ref="W107:Z107"/>
    <mergeCell ref="W108:Z108"/>
    <mergeCell ref="W109:Z109"/>
    <mergeCell ref="W110:Z110"/>
    <mergeCell ref="W111:Z111"/>
    <mergeCell ref="W113:Z113"/>
    <mergeCell ref="W114:Z114"/>
    <mergeCell ref="W131:Z131"/>
    <mergeCell ref="W115:Z115"/>
    <mergeCell ref="W116:Z116"/>
    <mergeCell ref="W118:Z118"/>
    <mergeCell ref="W119:Z119"/>
    <mergeCell ref="W120:Z120"/>
    <mergeCell ref="W121:Z121"/>
    <mergeCell ref="W123:Z123"/>
    <mergeCell ref="W124:Z124"/>
    <mergeCell ref="W125:Z125"/>
    <mergeCell ref="W126:Z126"/>
    <mergeCell ref="W127:Z127"/>
    <mergeCell ref="W128:Z128"/>
    <mergeCell ref="W129:Z129"/>
    <mergeCell ref="W130:Z130"/>
    <mergeCell ref="W100:Z100"/>
    <mergeCell ref="W101:Z101"/>
    <mergeCell ref="W102:Z102"/>
    <mergeCell ref="W103:Z103"/>
    <mergeCell ref="W104:Z104"/>
    <mergeCell ref="W87:Z87"/>
    <mergeCell ref="W88:Z88"/>
    <mergeCell ref="W89:Z89"/>
    <mergeCell ref="W90:Z90"/>
    <mergeCell ref="W91:Z91"/>
    <mergeCell ref="W92:Z92"/>
    <mergeCell ref="W93:Z93"/>
    <mergeCell ref="W94:Z94"/>
    <mergeCell ref="W95:Z95"/>
    <mergeCell ref="W96:Z96"/>
    <mergeCell ref="W97:Z97"/>
    <mergeCell ref="W98:Z98"/>
    <mergeCell ref="W99:Z99"/>
    <mergeCell ref="W78:Z78"/>
    <mergeCell ref="W79:Z79"/>
    <mergeCell ref="W80:Z80"/>
    <mergeCell ref="W81:Z81"/>
    <mergeCell ref="W82:Z82"/>
    <mergeCell ref="W83:Z83"/>
    <mergeCell ref="W84:Z84"/>
    <mergeCell ref="W85:Z85"/>
    <mergeCell ref="W86:Z86"/>
    <mergeCell ref="W3:Z3"/>
    <mergeCell ref="W4:Z6"/>
    <mergeCell ref="D1:Z1"/>
    <mergeCell ref="W58:Z58"/>
    <mergeCell ref="W59:Z59"/>
    <mergeCell ref="W60:Z60"/>
    <mergeCell ref="W61:Z61"/>
    <mergeCell ref="W62:Z62"/>
    <mergeCell ref="W63:Z63"/>
    <mergeCell ref="W46:Z46"/>
    <mergeCell ref="W47:Z47"/>
    <mergeCell ref="W35:Z35"/>
    <mergeCell ref="W36:Z36"/>
    <mergeCell ref="W37:Z37"/>
    <mergeCell ref="W38:Z38"/>
    <mergeCell ref="W39:Z39"/>
    <mergeCell ref="W40:Z40"/>
    <mergeCell ref="W41:Z41"/>
    <mergeCell ref="W45:Z45"/>
    <mergeCell ref="W31:Z31"/>
    <mergeCell ref="W9:Z9"/>
    <mergeCell ref="H62:I62"/>
    <mergeCell ref="H50:I50"/>
    <mergeCell ref="H40:I40"/>
    <mergeCell ref="V61:V65"/>
    <mergeCell ref="P61:P65"/>
    <mergeCell ref="Q61:Q65"/>
    <mergeCell ref="W72:Z72"/>
    <mergeCell ref="W73:Z73"/>
    <mergeCell ref="W74:Z74"/>
    <mergeCell ref="W75:Z75"/>
    <mergeCell ref="W76:Z76"/>
    <mergeCell ref="T61:T65"/>
    <mergeCell ref="U61:U65"/>
    <mergeCell ref="R71:R77"/>
    <mergeCell ref="S71:S77"/>
    <mergeCell ref="T71:T77"/>
    <mergeCell ref="U71:U77"/>
    <mergeCell ref="V71:V77"/>
    <mergeCell ref="W77:Z77"/>
    <mergeCell ref="W57:Z57"/>
    <mergeCell ref="W64:Z64"/>
    <mergeCell ref="W65:Z65"/>
    <mergeCell ref="W66:Z66"/>
    <mergeCell ref="W67:Z67"/>
    <mergeCell ref="W68:Z68"/>
    <mergeCell ref="W69:Z69"/>
    <mergeCell ref="W70:Z70"/>
    <mergeCell ref="W71:Z71"/>
    <mergeCell ref="W48:Z48"/>
    <mergeCell ref="W49:Z49"/>
    <mergeCell ref="W50:Z50"/>
    <mergeCell ref="W51:Z51"/>
    <mergeCell ref="W52:Z52"/>
    <mergeCell ref="W53:Z53"/>
    <mergeCell ref="W54:Z54"/>
    <mergeCell ref="W55:Z55"/>
    <mergeCell ref="W56:Z56"/>
    <mergeCell ref="W44:Z44"/>
    <mergeCell ref="W25:Z25"/>
    <mergeCell ref="W26:Z26"/>
    <mergeCell ref="W27:Z27"/>
    <mergeCell ref="W28:Z28"/>
    <mergeCell ref="W29:Z29"/>
    <mergeCell ref="W30:Z30"/>
    <mergeCell ref="W32:Z32"/>
    <mergeCell ref="W33:Z33"/>
    <mergeCell ref="W34:Z34"/>
    <mergeCell ref="W42:Z42"/>
    <mergeCell ref="W24:Z24"/>
    <mergeCell ref="J11:J17"/>
    <mergeCell ref="K11:K17"/>
    <mergeCell ref="L11:L17"/>
    <mergeCell ref="M11:M17"/>
    <mergeCell ref="W22:Z22"/>
    <mergeCell ref="W14:Z14"/>
    <mergeCell ref="W15:Z15"/>
    <mergeCell ref="W43:Z43"/>
    <mergeCell ref="T26:T28"/>
    <mergeCell ref="U26:U28"/>
    <mergeCell ref="V26:V28"/>
    <mergeCell ref="J39:J41"/>
    <mergeCell ref="W16:Z16"/>
    <mergeCell ref="W17:Z17"/>
    <mergeCell ref="W18:Z18"/>
    <mergeCell ref="W19:Z19"/>
    <mergeCell ref="W20:Z20"/>
    <mergeCell ref="W21:Z21"/>
    <mergeCell ref="W23:Z23"/>
    <mergeCell ref="T19:T21"/>
    <mergeCell ref="U19:U21"/>
    <mergeCell ref="V11:V17"/>
    <mergeCell ref="J19:J21"/>
    <mergeCell ref="V19:V21"/>
    <mergeCell ref="Q19:Q21"/>
    <mergeCell ref="R19:R21"/>
    <mergeCell ref="S19:S21"/>
    <mergeCell ref="P19:P21"/>
    <mergeCell ref="D25:I25"/>
    <mergeCell ref="D23:I23"/>
    <mergeCell ref="D20:I20"/>
    <mergeCell ref="K19:K21"/>
    <mergeCell ref="L19:L21"/>
    <mergeCell ref="M19:M21"/>
    <mergeCell ref="N19:N21"/>
    <mergeCell ref="O19:O21"/>
    <mergeCell ref="D22:I22"/>
    <mergeCell ref="H7:I7"/>
    <mergeCell ref="D4:D8"/>
    <mergeCell ref="T11:T17"/>
    <mergeCell ref="U11:U17"/>
    <mergeCell ref="H14:I14"/>
    <mergeCell ref="H12:I12"/>
    <mergeCell ref="D10:I10"/>
    <mergeCell ref="D11:D19"/>
    <mergeCell ref="H18:I18"/>
    <mergeCell ref="H16:I16"/>
    <mergeCell ref="R11:R17"/>
    <mergeCell ref="S11:S17"/>
    <mergeCell ref="N11:N17"/>
    <mergeCell ref="O11:O17"/>
    <mergeCell ref="P11:P17"/>
    <mergeCell ref="Q11:Q17"/>
    <mergeCell ref="D9:I9"/>
    <mergeCell ref="Q26:Q28"/>
    <mergeCell ref="R26:R28"/>
    <mergeCell ref="S26:S28"/>
    <mergeCell ref="N39:N41"/>
    <mergeCell ref="O39:O41"/>
    <mergeCell ref="R61:R65"/>
    <mergeCell ref="S61:S65"/>
    <mergeCell ref="J26:J28"/>
    <mergeCell ref="K26:K28"/>
    <mergeCell ref="L26:L28"/>
    <mergeCell ref="M26:M28"/>
    <mergeCell ref="N26:N28"/>
    <mergeCell ref="O26:O28"/>
    <mergeCell ref="P26:P28"/>
    <mergeCell ref="J49:J51"/>
    <mergeCell ref="K49:K51"/>
    <mergeCell ref="L49:L51"/>
    <mergeCell ref="M49:M51"/>
    <mergeCell ref="N49:N51"/>
    <mergeCell ref="O49:O51"/>
    <mergeCell ref="T39:T41"/>
    <mergeCell ref="K39:K41"/>
    <mergeCell ref="L39:L41"/>
    <mergeCell ref="M39:M41"/>
    <mergeCell ref="U39:U41"/>
    <mergeCell ref="V39:V41"/>
    <mergeCell ref="P39:P41"/>
    <mergeCell ref="Q39:Q41"/>
    <mergeCell ref="R39:R41"/>
    <mergeCell ref="S39:S41"/>
    <mergeCell ref="T49:T51"/>
    <mergeCell ref="U49:U51"/>
    <mergeCell ref="V49:V51"/>
    <mergeCell ref="P49:P51"/>
    <mergeCell ref="Q49:Q51"/>
    <mergeCell ref="R49:R51"/>
    <mergeCell ref="S49:S51"/>
    <mergeCell ref="D71:D77"/>
    <mergeCell ref="J71:J77"/>
    <mergeCell ref="K71:K77"/>
    <mergeCell ref="L71:L77"/>
    <mergeCell ref="M71:M77"/>
    <mergeCell ref="N71:N77"/>
    <mergeCell ref="H76:I76"/>
    <mergeCell ref="H74:I74"/>
    <mergeCell ref="H64:I64"/>
    <mergeCell ref="O71:O77"/>
    <mergeCell ref="P71:P77"/>
    <mergeCell ref="Q71:Q77"/>
    <mergeCell ref="L61:L65"/>
    <mergeCell ref="M61:M65"/>
    <mergeCell ref="N61:N65"/>
    <mergeCell ref="O61:O65"/>
    <mergeCell ref="H72:I72"/>
    <mergeCell ref="V79:V81"/>
    <mergeCell ref="Q79:Q81"/>
    <mergeCell ref="R79:R81"/>
    <mergeCell ref="S79:S81"/>
    <mergeCell ref="J61:J65"/>
    <mergeCell ref="K61:K65"/>
    <mergeCell ref="V83:V85"/>
    <mergeCell ref="P83:P85"/>
    <mergeCell ref="Q83:Q85"/>
    <mergeCell ref="S83:S85"/>
    <mergeCell ref="R83:R85"/>
    <mergeCell ref="J79:J81"/>
    <mergeCell ref="K79:K81"/>
    <mergeCell ref="L79:L81"/>
    <mergeCell ref="M79:M81"/>
    <mergeCell ref="T79:T81"/>
    <mergeCell ref="U79:U81"/>
    <mergeCell ref="T83:T85"/>
    <mergeCell ref="U83:U85"/>
    <mergeCell ref="J83:J85"/>
    <mergeCell ref="K83:K85"/>
    <mergeCell ref="L83:L85"/>
    <mergeCell ref="M83:M85"/>
    <mergeCell ref="N83:N85"/>
    <mergeCell ref="O83:O85"/>
    <mergeCell ref="N79:N81"/>
    <mergeCell ref="O79:O81"/>
    <mergeCell ref="P79:P81"/>
    <mergeCell ref="V87:V91"/>
    <mergeCell ref="D93:D95"/>
    <mergeCell ref="J93:J95"/>
    <mergeCell ref="K93:K95"/>
    <mergeCell ref="L93:L95"/>
    <mergeCell ref="M93:M95"/>
    <mergeCell ref="T93:T95"/>
    <mergeCell ref="U93:U95"/>
    <mergeCell ref="V93:V95"/>
    <mergeCell ref="Q93:Q95"/>
    <mergeCell ref="R93:R95"/>
    <mergeCell ref="S93:S95"/>
    <mergeCell ref="J87:J91"/>
    <mergeCell ref="K87:K91"/>
    <mergeCell ref="L87:L91"/>
    <mergeCell ref="M87:M91"/>
    <mergeCell ref="N87:N91"/>
    <mergeCell ref="O87:O91"/>
    <mergeCell ref="P87:P91"/>
    <mergeCell ref="Q87:Q91"/>
    <mergeCell ref="U87:U91"/>
    <mergeCell ref="J97:J99"/>
    <mergeCell ref="K97:K99"/>
    <mergeCell ref="L97:L99"/>
    <mergeCell ref="M97:M99"/>
    <mergeCell ref="N97:N99"/>
    <mergeCell ref="O97:O99"/>
    <mergeCell ref="N93:N95"/>
    <mergeCell ref="O93:O95"/>
    <mergeCell ref="P93:P95"/>
    <mergeCell ref="P97:P99"/>
    <mergeCell ref="Q97:Q99"/>
    <mergeCell ref="R87:R91"/>
    <mergeCell ref="S87:S91"/>
    <mergeCell ref="Q105:Q107"/>
    <mergeCell ref="R105:R107"/>
    <mergeCell ref="S105:S107"/>
    <mergeCell ref="R97:R99"/>
    <mergeCell ref="S97:S99"/>
    <mergeCell ref="T97:T99"/>
    <mergeCell ref="U97:U99"/>
    <mergeCell ref="R101:R103"/>
    <mergeCell ref="S101:S103"/>
    <mergeCell ref="T101:T103"/>
    <mergeCell ref="U101:U103"/>
    <mergeCell ref="T105:T107"/>
    <mergeCell ref="Q101:Q103"/>
    <mergeCell ref="H120:I120"/>
    <mergeCell ref="H115:I115"/>
    <mergeCell ref="J101:J103"/>
    <mergeCell ref="K101:K103"/>
    <mergeCell ref="L101:L103"/>
    <mergeCell ref="M101:M103"/>
    <mergeCell ref="N101:N103"/>
    <mergeCell ref="O101:O103"/>
    <mergeCell ref="P101:P103"/>
    <mergeCell ref="N105:N107"/>
    <mergeCell ref="O105:O107"/>
    <mergeCell ref="P105:P107"/>
    <mergeCell ref="J105:J107"/>
    <mergeCell ref="K105:K107"/>
    <mergeCell ref="L105:L107"/>
    <mergeCell ref="M105:M107"/>
    <mergeCell ref="D123:I123"/>
    <mergeCell ref="H125:I125"/>
    <mergeCell ref="U114:U116"/>
    <mergeCell ref="V114:V116"/>
    <mergeCell ref="D119:D121"/>
    <mergeCell ref="J119:J121"/>
    <mergeCell ref="K119:K121"/>
    <mergeCell ref="L119:L121"/>
    <mergeCell ref="M119:M121"/>
    <mergeCell ref="N119:N121"/>
    <mergeCell ref="O119:O121"/>
    <mergeCell ref="O114:O116"/>
    <mergeCell ref="P114:P116"/>
    <mergeCell ref="Q114:Q116"/>
    <mergeCell ref="R114:R116"/>
    <mergeCell ref="S114:S116"/>
    <mergeCell ref="T114:T116"/>
    <mergeCell ref="D114:D116"/>
    <mergeCell ref="J114:J116"/>
    <mergeCell ref="K114:K116"/>
    <mergeCell ref="L114:L116"/>
    <mergeCell ref="M114:M116"/>
    <mergeCell ref="N114:N116"/>
    <mergeCell ref="D118:I118"/>
    <mergeCell ref="L124:L126"/>
    <mergeCell ref="M124:M126"/>
    <mergeCell ref="N124:N126"/>
    <mergeCell ref="O124:O126"/>
    <mergeCell ref="P124:P126"/>
    <mergeCell ref="P119:P121"/>
    <mergeCell ref="Q119:Q121"/>
    <mergeCell ref="R119:R121"/>
    <mergeCell ref="S119:S121"/>
    <mergeCell ref="J149:J155"/>
    <mergeCell ref="K149:K155"/>
    <mergeCell ref="Q124:Q126"/>
    <mergeCell ref="R124:R126"/>
    <mergeCell ref="S124:S126"/>
    <mergeCell ref="R149:R155"/>
    <mergeCell ref="S149:S155"/>
    <mergeCell ref="D132:I132"/>
    <mergeCell ref="D134:I134"/>
    <mergeCell ref="D136:I136"/>
    <mergeCell ref="D139:I139"/>
    <mergeCell ref="D141:I141"/>
    <mergeCell ref="D143:I143"/>
    <mergeCell ref="D145:I145"/>
    <mergeCell ref="D148:I148"/>
    <mergeCell ref="D127:I127"/>
    <mergeCell ref="D129:I129"/>
    <mergeCell ref="H154:I154"/>
    <mergeCell ref="H152:I152"/>
    <mergeCell ref="H150:I150"/>
    <mergeCell ref="D149:D157"/>
    <mergeCell ref="D124:D126"/>
    <mergeCell ref="J124:J126"/>
    <mergeCell ref="K124:K126"/>
    <mergeCell ref="L149:L155"/>
    <mergeCell ref="M149:M155"/>
    <mergeCell ref="N149:N155"/>
    <mergeCell ref="O149:O155"/>
    <mergeCell ref="P149:P155"/>
    <mergeCell ref="Q149:Q155"/>
    <mergeCell ref="T159:T161"/>
    <mergeCell ref="U159:U161"/>
    <mergeCell ref="V159:V161"/>
    <mergeCell ref="P159:P161"/>
    <mergeCell ref="Q159:Q161"/>
    <mergeCell ref="R159:R161"/>
    <mergeCell ref="S159:S161"/>
    <mergeCell ref="D181:D185"/>
    <mergeCell ref="J181:J185"/>
    <mergeCell ref="K181:K185"/>
    <mergeCell ref="L181:L185"/>
    <mergeCell ref="M181:M185"/>
    <mergeCell ref="P181:P185"/>
    <mergeCell ref="U173:U177"/>
    <mergeCell ref="N159:N161"/>
    <mergeCell ref="O159:O161"/>
    <mergeCell ref="D159:D161"/>
    <mergeCell ref="J159:J161"/>
    <mergeCell ref="K159:K161"/>
    <mergeCell ref="L159:L161"/>
    <mergeCell ref="M159:M161"/>
    <mergeCell ref="P167:P171"/>
    <mergeCell ref="Q167:Q171"/>
    <mergeCell ref="R167:R171"/>
    <mergeCell ref="S167:S171"/>
    <mergeCell ref="T167:T171"/>
    <mergeCell ref="U167:U171"/>
    <mergeCell ref="R181:R185"/>
    <mergeCell ref="D167:D171"/>
    <mergeCell ref="J167:J171"/>
    <mergeCell ref="K167:K171"/>
    <mergeCell ref="L167:L171"/>
    <mergeCell ref="M167:M171"/>
    <mergeCell ref="N167:N171"/>
    <mergeCell ref="O167:O171"/>
    <mergeCell ref="T173:T177"/>
    <mergeCell ref="D180:I180"/>
    <mergeCell ref="D172:I172"/>
    <mergeCell ref="H184:I184"/>
    <mergeCell ref="H182:I182"/>
    <mergeCell ref="H178:I178"/>
    <mergeCell ref="H176:I176"/>
    <mergeCell ref="H174:I174"/>
    <mergeCell ref="H170:I170"/>
    <mergeCell ref="H168:I168"/>
    <mergeCell ref="D173:D177"/>
    <mergeCell ref="J173:J177"/>
    <mergeCell ref="K173:K177"/>
    <mergeCell ref="L173:L177"/>
    <mergeCell ref="M173:M177"/>
    <mergeCell ref="N173:N177"/>
    <mergeCell ref="O173:O177"/>
    <mergeCell ref="P173:P177"/>
    <mergeCell ref="Q173:Q177"/>
    <mergeCell ref="Q181:Q185"/>
    <mergeCell ref="W7:Z7"/>
    <mergeCell ref="W8:Z8"/>
    <mergeCell ref="W10:Z10"/>
    <mergeCell ref="W11:Z11"/>
    <mergeCell ref="W12:Z12"/>
    <mergeCell ref="W13:Z13"/>
    <mergeCell ref="T181:T185"/>
    <mergeCell ref="U181:U185"/>
    <mergeCell ref="V181:V185"/>
    <mergeCell ref="V167:V171"/>
    <mergeCell ref="T149:T155"/>
    <mergeCell ref="U149:U155"/>
    <mergeCell ref="V149:V155"/>
    <mergeCell ref="T124:T126"/>
    <mergeCell ref="U124:U126"/>
    <mergeCell ref="V124:V126"/>
    <mergeCell ref="V119:V121"/>
    <mergeCell ref="T119:T121"/>
    <mergeCell ref="U119:U121"/>
    <mergeCell ref="V97:V99"/>
    <mergeCell ref="U105:U107"/>
    <mergeCell ref="V105:V107"/>
    <mergeCell ref="V101:V103"/>
    <mergeCell ref="T87:T91"/>
    <mergeCell ref="N181:N185"/>
    <mergeCell ref="O181:O185"/>
    <mergeCell ref="S181:S185"/>
    <mergeCell ref="R173:R177"/>
    <mergeCell ref="S173:S177"/>
    <mergeCell ref="V173:V177"/>
    <mergeCell ref="D31:I31"/>
    <mergeCell ref="D42:I42"/>
    <mergeCell ref="D45:I45"/>
    <mergeCell ref="D117:I117"/>
    <mergeCell ref="D147:I147"/>
    <mergeCell ref="D138:I138"/>
    <mergeCell ref="D131:I131"/>
    <mergeCell ref="D112:I112"/>
    <mergeCell ref="D122:I122"/>
    <mergeCell ref="D46:I46"/>
    <mergeCell ref="D43:I43"/>
    <mergeCell ref="D166:I166"/>
    <mergeCell ref="D164:I164"/>
    <mergeCell ref="D162:I162"/>
    <mergeCell ref="D158:I158"/>
    <mergeCell ref="D113:I113"/>
    <mergeCell ref="H156:I156"/>
    <mergeCell ref="D108:I108"/>
  </mergeCells>
  <conditionalFormatting sqref="W8">
    <cfRule type="expression" dxfId="309" priority="515">
      <formula>$AO$8="1"</formula>
    </cfRule>
  </conditionalFormatting>
  <conditionalFormatting sqref="W7">
    <cfRule type="cellIs" dxfId="308" priority="514" operator="notEqual">
      <formula>""</formula>
    </cfRule>
  </conditionalFormatting>
  <conditionalFormatting sqref="W10">
    <cfRule type="cellIs" dxfId="307" priority="512" operator="notEqual">
      <formula>""</formula>
    </cfRule>
  </conditionalFormatting>
  <conditionalFormatting sqref="W12">
    <cfRule type="cellIs" dxfId="306" priority="509" operator="notEqual">
      <formula>""</formula>
    </cfRule>
  </conditionalFormatting>
  <conditionalFormatting sqref="W14">
    <cfRule type="cellIs" dxfId="305" priority="506" operator="notEqual">
      <formula>""</formula>
    </cfRule>
  </conditionalFormatting>
  <conditionalFormatting sqref="W16">
    <cfRule type="cellIs" dxfId="304" priority="503" operator="notEqual">
      <formula>""</formula>
    </cfRule>
  </conditionalFormatting>
  <conditionalFormatting sqref="W18">
    <cfRule type="cellIs" dxfId="303" priority="500" operator="notEqual">
      <formula>""</formula>
    </cfRule>
  </conditionalFormatting>
  <conditionalFormatting sqref="W19">
    <cfRule type="expression" dxfId="302" priority="499">
      <formula>AO19="2"</formula>
    </cfRule>
    <cfRule type="expression" dxfId="301" priority="501">
      <formula>AO19="1"</formula>
    </cfRule>
  </conditionalFormatting>
  <conditionalFormatting sqref="W20">
    <cfRule type="cellIs" dxfId="300" priority="497" operator="notEqual">
      <formula>""</formula>
    </cfRule>
  </conditionalFormatting>
  <conditionalFormatting sqref="W23">
    <cfRule type="cellIs" dxfId="299" priority="494" operator="notEqual">
      <formula>""</formula>
    </cfRule>
  </conditionalFormatting>
  <conditionalFormatting sqref="W25">
    <cfRule type="cellIs" dxfId="298" priority="491" operator="notEqual">
      <formula>""</formula>
    </cfRule>
  </conditionalFormatting>
  <conditionalFormatting sqref="W27">
    <cfRule type="cellIs" dxfId="297" priority="488" operator="notEqual">
      <formula>""</formula>
    </cfRule>
  </conditionalFormatting>
  <conditionalFormatting sqref="W29">
    <cfRule type="cellIs" dxfId="296" priority="485" operator="notEqual">
      <formula>""</formula>
    </cfRule>
  </conditionalFormatting>
  <conditionalFormatting sqref="W32">
    <cfRule type="cellIs" dxfId="295" priority="482" operator="notEqual">
      <formula>""</formula>
    </cfRule>
  </conditionalFormatting>
  <conditionalFormatting sqref="W34">
    <cfRule type="cellIs" dxfId="294" priority="479" operator="notEqual">
      <formula>""</formula>
    </cfRule>
  </conditionalFormatting>
  <conditionalFormatting sqref="W36">
    <cfRule type="cellIs" dxfId="293" priority="476" operator="notEqual">
      <formula>""</formula>
    </cfRule>
  </conditionalFormatting>
  <conditionalFormatting sqref="W38">
    <cfRule type="cellIs" dxfId="292" priority="473" operator="notEqual">
      <formula>""</formula>
    </cfRule>
  </conditionalFormatting>
  <conditionalFormatting sqref="W40">
    <cfRule type="cellIs" dxfId="291" priority="470" operator="notEqual">
      <formula>""</formula>
    </cfRule>
  </conditionalFormatting>
  <conditionalFormatting sqref="W46">
    <cfRule type="cellIs" dxfId="290" priority="464" operator="notEqual">
      <formula>""</formula>
    </cfRule>
  </conditionalFormatting>
  <conditionalFormatting sqref="W17">
    <cfRule type="expression" dxfId="289" priority="461">
      <formula>AO17="2"</formula>
    </cfRule>
    <cfRule type="expression" dxfId="288" priority="462">
      <formula>AO17="1"</formula>
    </cfRule>
  </conditionalFormatting>
  <conditionalFormatting sqref="W43">
    <cfRule type="cellIs" dxfId="287" priority="442" operator="notEqual">
      <formula>""</formula>
    </cfRule>
  </conditionalFormatting>
  <conditionalFormatting sqref="W48">
    <cfRule type="cellIs" dxfId="286" priority="439" operator="notEqual">
      <formula>""</formula>
    </cfRule>
  </conditionalFormatting>
  <conditionalFormatting sqref="W50">
    <cfRule type="cellIs" dxfId="285" priority="436" operator="notEqual">
      <formula>""</formula>
    </cfRule>
  </conditionalFormatting>
  <conditionalFormatting sqref="W52">
    <cfRule type="cellIs" dxfId="284" priority="433" operator="notEqual">
      <formula>""</formula>
    </cfRule>
  </conditionalFormatting>
  <conditionalFormatting sqref="W54">
    <cfRule type="cellIs" dxfId="283" priority="430" operator="notEqual">
      <formula>""</formula>
    </cfRule>
  </conditionalFormatting>
  <conditionalFormatting sqref="W56">
    <cfRule type="cellIs" dxfId="282" priority="427" operator="notEqual">
      <formula>""</formula>
    </cfRule>
  </conditionalFormatting>
  <conditionalFormatting sqref="W58">
    <cfRule type="cellIs" dxfId="281" priority="424" operator="notEqual">
      <formula>""</formula>
    </cfRule>
  </conditionalFormatting>
  <conditionalFormatting sqref="W60">
    <cfRule type="cellIs" dxfId="280" priority="421" operator="notEqual">
      <formula>""</formula>
    </cfRule>
  </conditionalFormatting>
  <conditionalFormatting sqref="W62">
    <cfRule type="cellIs" dxfId="279" priority="418" operator="notEqual">
      <formula>""</formula>
    </cfRule>
  </conditionalFormatting>
  <conditionalFormatting sqref="W64">
    <cfRule type="cellIs" dxfId="278" priority="415" operator="notEqual">
      <formula>""</formula>
    </cfRule>
  </conditionalFormatting>
  <conditionalFormatting sqref="W66">
    <cfRule type="cellIs" dxfId="277" priority="412" operator="notEqual">
      <formula>""</formula>
    </cfRule>
  </conditionalFormatting>
  <conditionalFormatting sqref="W68">
    <cfRule type="cellIs" dxfId="276" priority="409" operator="notEqual">
      <formula>""</formula>
    </cfRule>
  </conditionalFormatting>
  <conditionalFormatting sqref="W71">
    <cfRule type="expression" dxfId="275" priority="394">
      <formula>AO71="3"</formula>
    </cfRule>
    <cfRule type="expression" dxfId="274" priority="404">
      <formula>AO71="2"</formula>
    </cfRule>
    <cfRule type="expression" dxfId="273" priority="405">
      <formula>AO71="1"</formula>
    </cfRule>
  </conditionalFormatting>
  <conditionalFormatting sqref="W70">
    <cfRule type="cellIs" dxfId="272" priority="406" operator="notEqual">
      <formula>""</formula>
    </cfRule>
  </conditionalFormatting>
  <conditionalFormatting sqref="W77">
    <cfRule type="expression" dxfId="271" priority="395">
      <formula>AO77="2"</formula>
    </cfRule>
    <cfRule type="expression" dxfId="270" priority="396">
      <formula>AO77="1"</formula>
    </cfRule>
  </conditionalFormatting>
  <conditionalFormatting sqref="W76">
    <cfRule type="cellIs" dxfId="269" priority="397" operator="notEqual">
      <formula>""</formula>
    </cfRule>
  </conditionalFormatting>
  <conditionalFormatting sqref="W73">
    <cfRule type="expression" dxfId="268" priority="390">
      <formula>AO73="3"</formula>
    </cfRule>
    <cfRule type="expression" dxfId="267" priority="391">
      <formula>AO73="2"</formula>
    </cfRule>
    <cfRule type="expression" dxfId="266" priority="392">
      <formula>AO73="1"</formula>
    </cfRule>
  </conditionalFormatting>
  <conditionalFormatting sqref="W72">
    <cfRule type="cellIs" dxfId="265" priority="393" operator="notEqual">
      <formula>""</formula>
    </cfRule>
  </conditionalFormatting>
  <conditionalFormatting sqref="W74">
    <cfRule type="cellIs" dxfId="264" priority="389" operator="notEqual">
      <formula>""</formula>
    </cfRule>
  </conditionalFormatting>
  <conditionalFormatting sqref="W75">
    <cfRule type="expression" dxfId="263" priority="383">
      <formula>AO75="3"</formula>
    </cfRule>
    <cfRule type="expression" dxfId="262" priority="384">
      <formula>AO75="2"</formula>
    </cfRule>
    <cfRule type="expression" dxfId="261" priority="385">
      <formula>AO75="1"</formula>
    </cfRule>
  </conditionalFormatting>
  <conditionalFormatting sqref="W79">
    <cfRule type="expression" dxfId="260" priority="380">
      <formula>AO79="2"</formula>
    </cfRule>
    <cfRule type="expression" dxfId="259" priority="381">
      <formula>AO79="1"</formula>
    </cfRule>
  </conditionalFormatting>
  <conditionalFormatting sqref="W78">
    <cfRule type="cellIs" dxfId="258" priority="382" operator="notEqual">
      <formula>""</formula>
    </cfRule>
  </conditionalFormatting>
  <conditionalFormatting sqref="W81">
    <cfRule type="expression" dxfId="257" priority="377">
      <formula>AO81="2"</formula>
    </cfRule>
    <cfRule type="expression" dxfId="256" priority="378">
      <formula>AO81="1"</formula>
    </cfRule>
  </conditionalFormatting>
  <conditionalFormatting sqref="W80">
    <cfRule type="cellIs" dxfId="255" priority="379" operator="notEqual">
      <formula>""</formula>
    </cfRule>
  </conditionalFormatting>
  <conditionalFormatting sqref="W83">
    <cfRule type="expression" dxfId="254" priority="374">
      <formula>AO83="2"</formula>
    </cfRule>
    <cfRule type="expression" dxfId="253" priority="375">
      <formula>AO83="1"</formula>
    </cfRule>
  </conditionalFormatting>
  <conditionalFormatting sqref="W82">
    <cfRule type="cellIs" dxfId="252" priority="376" operator="notEqual">
      <formula>""</formula>
    </cfRule>
  </conditionalFormatting>
  <conditionalFormatting sqref="W84">
    <cfRule type="cellIs" dxfId="251" priority="373" operator="notEqual">
      <formula>""</formula>
    </cfRule>
  </conditionalFormatting>
  <conditionalFormatting sqref="W86">
    <cfRule type="cellIs" dxfId="250" priority="370" operator="notEqual">
      <formula>""</formula>
    </cfRule>
  </conditionalFormatting>
  <conditionalFormatting sqref="W88">
    <cfRule type="cellIs" dxfId="249" priority="367" operator="notEqual">
      <formula>""</formula>
    </cfRule>
  </conditionalFormatting>
  <conditionalFormatting sqref="W90">
    <cfRule type="cellIs" dxfId="248" priority="364" operator="notEqual">
      <formula>""</formula>
    </cfRule>
  </conditionalFormatting>
  <conditionalFormatting sqref="W92">
    <cfRule type="cellIs" dxfId="247" priority="361" operator="notEqual">
      <formula>""</formula>
    </cfRule>
  </conditionalFormatting>
  <conditionalFormatting sqref="W94">
    <cfRule type="cellIs" dxfId="246" priority="358" operator="notEqual">
      <formula>""</formula>
    </cfRule>
  </conditionalFormatting>
  <conditionalFormatting sqref="W96">
    <cfRule type="cellIs" dxfId="245" priority="355" operator="notEqual">
      <formula>""</formula>
    </cfRule>
  </conditionalFormatting>
  <conditionalFormatting sqref="W98">
    <cfRule type="cellIs" dxfId="244" priority="352" operator="notEqual">
      <formula>""</formula>
    </cfRule>
  </conditionalFormatting>
  <conditionalFormatting sqref="W100">
    <cfRule type="cellIs" dxfId="243" priority="349" operator="notEqual">
      <formula>""</formula>
    </cfRule>
  </conditionalFormatting>
  <conditionalFormatting sqref="W106">
    <cfRule type="cellIs" dxfId="242" priority="337" operator="notEqual">
      <formula>""</formula>
    </cfRule>
  </conditionalFormatting>
  <conditionalFormatting sqref="W102">
    <cfRule type="cellIs" dxfId="241" priority="343" operator="notEqual">
      <formula>""</formula>
    </cfRule>
  </conditionalFormatting>
  <conditionalFormatting sqref="W104">
    <cfRule type="cellIs" dxfId="240" priority="340" operator="notEqual">
      <formula>""</formula>
    </cfRule>
  </conditionalFormatting>
  <conditionalFormatting sqref="W108">
    <cfRule type="cellIs" dxfId="239" priority="334" operator="notEqual">
      <formula>""</formula>
    </cfRule>
  </conditionalFormatting>
  <conditionalFormatting sqref="W110">
    <cfRule type="cellIs" dxfId="238" priority="331" operator="notEqual">
      <formula>""</formula>
    </cfRule>
  </conditionalFormatting>
  <conditionalFormatting sqref="W113">
    <cfRule type="cellIs" dxfId="237" priority="328" operator="notEqual">
      <formula>""</formula>
    </cfRule>
  </conditionalFormatting>
  <conditionalFormatting sqref="W115">
    <cfRule type="cellIs" dxfId="236" priority="325" operator="notEqual">
      <formula>""</formula>
    </cfRule>
  </conditionalFormatting>
  <conditionalFormatting sqref="W118">
    <cfRule type="cellIs" dxfId="235" priority="322" operator="notEqual">
      <formula>""</formula>
    </cfRule>
  </conditionalFormatting>
  <conditionalFormatting sqref="W120">
    <cfRule type="cellIs" dxfId="234" priority="319" operator="notEqual">
      <formula>""</formula>
    </cfRule>
  </conditionalFormatting>
  <conditionalFormatting sqref="W123">
    <cfRule type="cellIs" dxfId="233" priority="316" operator="notEqual">
      <formula>""</formula>
    </cfRule>
  </conditionalFormatting>
  <conditionalFormatting sqref="W125">
    <cfRule type="cellIs" dxfId="232" priority="313" operator="notEqual">
      <formula>""</formula>
    </cfRule>
  </conditionalFormatting>
  <conditionalFormatting sqref="W127">
    <cfRule type="cellIs" dxfId="231" priority="310" operator="notEqual">
      <formula>""</formula>
    </cfRule>
  </conditionalFormatting>
  <conditionalFormatting sqref="W129">
    <cfRule type="cellIs" dxfId="230" priority="307" operator="notEqual">
      <formula>""</formula>
    </cfRule>
  </conditionalFormatting>
  <conditionalFormatting sqref="W132">
    <cfRule type="cellIs" dxfId="229" priority="301" operator="notEqual">
      <formula>""</formula>
    </cfRule>
  </conditionalFormatting>
  <conditionalFormatting sqref="W134">
    <cfRule type="cellIs" dxfId="228" priority="298" operator="notEqual">
      <formula>""</formula>
    </cfRule>
  </conditionalFormatting>
  <conditionalFormatting sqref="W136">
    <cfRule type="cellIs" dxfId="227" priority="295" operator="notEqual">
      <formula>""</formula>
    </cfRule>
  </conditionalFormatting>
  <conditionalFormatting sqref="W139">
    <cfRule type="cellIs" dxfId="226" priority="292" operator="notEqual">
      <formula>""</formula>
    </cfRule>
  </conditionalFormatting>
  <conditionalFormatting sqref="W141">
    <cfRule type="cellIs" dxfId="225" priority="289" operator="notEqual">
      <formula>""</formula>
    </cfRule>
  </conditionalFormatting>
  <conditionalFormatting sqref="W143">
    <cfRule type="cellIs" dxfId="224" priority="286" operator="notEqual">
      <formula>""</formula>
    </cfRule>
  </conditionalFormatting>
  <conditionalFormatting sqref="W145">
    <cfRule type="cellIs" dxfId="223" priority="283" operator="notEqual">
      <formula>""</formula>
    </cfRule>
  </conditionalFormatting>
  <conditionalFormatting sqref="W150">
    <cfRule type="cellIs" dxfId="222" priority="277" operator="notEqual">
      <formula>""</formula>
    </cfRule>
  </conditionalFormatting>
  <conditionalFormatting sqref="W149">
    <cfRule type="expression" dxfId="221" priority="272">
      <formula>AO149="3"</formula>
    </cfRule>
    <cfRule type="expression" dxfId="220" priority="273">
      <formula>AO149="2"</formula>
    </cfRule>
    <cfRule type="expression" dxfId="219" priority="274">
      <formula>AO149="1"</formula>
    </cfRule>
  </conditionalFormatting>
  <conditionalFormatting sqref="W151">
    <cfRule type="expression" dxfId="218" priority="269">
      <formula>AO151="3"</formula>
    </cfRule>
    <cfRule type="expression" dxfId="217" priority="270">
      <formula>AO151="2"</formula>
    </cfRule>
    <cfRule type="expression" dxfId="216" priority="271">
      <formula>AO151="1"</formula>
    </cfRule>
  </conditionalFormatting>
  <conditionalFormatting sqref="W152">
    <cfRule type="cellIs" dxfId="215" priority="264" operator="notEqual">
      <formula>""</formula>
    </cfRule>
  </conditionalFormatting>
  <conditionalFormatting sqref="W153">
    <cfRule type="expression" dxfId="214" priority="262">
      <formula>AO153="2"</formula>
    </cfRule>
    <cfRule type="expression" dxfId="213" priority="263">
      <formula>AO153="1"</formula>
    </cfRule>
  </conditionalFormatting>
  <conditionalFormatting sqref="W154">
    <cfRule type="cellIs" dxfId="212" priority="260" operator="notEqual">
      <formula>""</formula>
    </cfRule>
  </conditionalFormatting>
  <conditionalFormatting sqref="W155">
    <cfRule type="expression" dxfId="211" priority="258">
      <formula>AO155="2"</formula>
    </cfRule>
    <cfRule type="expression" dxfId="210" priority="259">
      <formula>AO155="1"</formula>
    </cfRule>
  </conditionalFormatting>
  <conditionalFormatting sqref="W156">
    <cfRule type="cellIs" dxfId="209" priority="256" operator="notEqual">
      <formula>""</formula>
    </cfRule>
  </conditionalFormatting>
  <conditionalFormatting sqref="W158">
    <cfRule type="cellIs" dxfId="208" priority="248" operator="notEqual">
      <formula>""</formula>
    </cfRule>
  </conditionalFormatting>
  <conditionalFormatting sqref="W160">
    <cfRule type="cellIs" dxfId="207" priority="244" operator="notEqual">
      <formula>""</formula>
    </cfRule>
  </conditionalFormatting>
  <conditionalFormatting sqref="W161">
    <cfRule type="expression" dxfId="206" priority="242">
      <formula>AO161="2"</formula>
    </cfRule>
    <cfRule type="expression" dxfId="205" priority="243">
      <formula>AO161="1"</formula>
    </cfRule>
  </conditionalFormatting>
  <conditionalFormatting sqref="W162">
    <cfRule type="cellIs" dxfId="204" priority="240" operator="notEqual">
      <formula>""</formula>
    </cfRule>
  </conditionalFormatting>
  <conditionalFormatting sqref="W164">
    <cfRule type="cellIs" dxfId="203" priority="236" operator="notEqual">
      <formula>""</formula>
    </cfRule>
  </conditionalFormatting>
  <conditionalFormatting sqref="W166">
    <cfRule type="cellIs" dxfId="202" priority="232" operator="notEqual">
      <formula>""</formula>
    </cfRule>
  </conditionalFormatting>
  <conditionalFormatting sqref="W168">
    <cfRule type="cellIs" dxfId="201" priority="228" operator="notEqual">
      <formula>""</formula>
    </cfRule>
  </conditionalFormatting>
  <conditionalFormatting sqref="W170">
    <cfRule type="cellIs" dxfId="200" priority="224" operator="notEqual">
      <formula>""</formula>
    </cfRule>
  </conditionalFormatting>
  <conditionalFormatting sqref="W172">
    <cfRule type="cellIs" dxfId="199" priority="220" operator="notEqual">
      <formula>""</formula>
    </cfRule>
  </conditionalFormatting>
  <conditionalFormatting sqref="W174">
    <cfRule type="cellIs" dxfId="198" priority="216" operator="notEqual">
      <formula>""</formula>
    </cfRule>
  </conditionalFormatting>
  <conditionalFormatting sqref="W176">
    <cfRule type="cellIs" dxfId="197" priority="212" operator="notEqual">
      <formula>""</formula>
    </cfRule>
  </conditionalFormatting>
  <conditionalFormatting sqref="W178">
    <cfRule type="cellIs" dxfId="196" priority="208" operator="notEqual">
      <formula>""</formula>
    </cfRule>
  </conditionalFormatting>
  <conditionalFormatting sqref="W180">
    <cfRule type="cellIs" dxfId="195" priority="204" operator="notEqual">
      <formula>""</formula>
    </cfRule>
  </conditionalFormatting>
  <conditionalFormatting sqref="W182">
    <cfRule type="cellIs" dxfId="194" priority="200" operator="notEqual">
      <formula>""</formula>
    </cfRule>
  </conditionalFormatting>
  <conditionalFormatting sqref="W184">
    <cfRule type="cellIs" dxfId="193" priority="196" operator="notEqual">
      <formula>""</formula>
    </cfRule>
  </conditionalFormatting>
  <conditionalFormatting sqref="W159">
    <cfRule type="expression" dxfId="192" priority="190">
      <formula>AO159="3"</formula>
    </cfRule>
    <cfRule type="expression" dxfId="191" priority="191">
      <formula>AO159="2"</formula>
    </cfRule>
    <cfRule type="expression" dxfId="190" priority="192">
      <formula>AO159="1"</formula>
    </cfRule>
  </conditionalFormatting>
  <conditionalFormatting sqref="W193">
    <cfRule type="expression" dxfId="189" priority="183">
      <formula>AO193="1"</formula>
    </cfRule>
  </conditionalFormatting>
  <conditionalFormatting sqref="W192">
    <cfRule type="cellIs" dxfId="188" priority="184" operator="notEqual">
      <formula>""</formula>
    </cfRule>
  </conditionalFormatting>
  <conditionalFormatting sqref="W194">
    <cfRule type="cellIs" dxfId="187" priority="178" operator="notEqual">
      <formula>""</formula>
    </cfRule>
  </conditionalFormatting>
  <conditionalFormatting sqref="W196">
    <cfRule type="cellIs" dxfId="186" priority="176" operator="notEqual">
      <formula>""</formula>
    </cfRule>
  </conditionalFormatting>
  <conditionalFormatting sqref="W210">
    <cfRule type="cellIs" dxfId="185" priority="174" operator="notEqual">
      <formula>""</formula>
    </cfRule>
  </conditionalFormatting>
  <conditionalFormatting sqref="W212">
    <cfRule type="cellIs" dxfId="184" priority="172" operator="notEqual">
      <formula>""</formula>
    </cfRule>
  </conditionalFormatting>
  <conditionalFormatting sqref="W216">
    <cfRule type="cellIs" dxfId="183" priority="170" operator="notEqual">
      <formula>""</formula>
    </cfRule>
  </conditionalFormatting>
  <conditionalFormatting sqref="W218">
    <cfRule type="cellIs" dxfId="182" priority="168" operator="notEqual">
      <formula>""</formula>
    </cfRule>
  </conditionalFormatting>
  <conditionalFormatting sqref="W243">
    <cfRule type="expression" dxfId="181" priority="159">
      <formula>AO243="1"</formula>
    </cfRule>
  </conditionalFormatting>
  <conditionalFormatting sqref="W231">
    <cfRule type="expression" dxfId="180" priority="165">
      <formula>AO231="1"</formula>
    </cfRule>
  </conditionalFormatting>
  <conditionalFormatting sqref="W230">
    <cfRule type="cellIs" dxfId="179" priority="166" operator="notEqual">
      <formula>""</formula>
    </cfRule>
  </conditionalFormatting>
  <conditionalFormatting sqref="W232">
    <cfRule type="cellIs" dxfId="178" priority="164" operator="notEqual">
      <formula>""</formula>
    </cfRule>
  </conditionalFormatting>
  <conditionalFormatting sqref="W236">
    <cfRule type="cellIs" dxfId="177" priority="162" operator="notEqual">
      <formula>""</formula>
    </cfRule>
  </conditionalFormatting>
  <conditionalFormatting sqref="W242">
    <cfRule type="cellIs" dxfId="176" priority="160" operator="notEqual">
      <formula>""</formula>
    </cfRule>
  </conditionalFormatting>
  <conditionalFormatting sqref="W253">
    <cfRule type="cellIs" dxfId="175" priority="158" operator="notEqual">
      <formula>""</formula>
    </cfRule>
  </conditionalFormatting>
  <conditionalFormatting sqref="W11">
    <cfRule type="expression" dxfId="174" priority="154">
      <formula>$AO$11="2"</formula>
    </cfRule>
    <cfRule type="expression" dxfId="173" priority="155">
      <formula>$AO$11="1"</formula>
    </cfRule>
  </conditionalFormatting>
  <conditionalFormatting sqref="W13">
    <cfRule type="expression" dxfId="172" priority="152">
      <formula>$AO$13="2"</formula>
    </cfRule>
    <cfRule type="expression" dxfId="171" priority="153">
      <formula>$AO$13="1"</formula>
    </cfRule>
  </conditionalFormatting>
  <conditionalFormatting sqref="W15">
    <cfRule type="expression" dxfId="170" priority="150">
      <formula>$AO$15="2"</formula>
    </cfRule>
    <cfRule type="expression" dxfId="169" priority="151">
      <formula>$AO$15="1"</formula>
    </cfRule>
  </conditionalFormatting>
  <conditionalFormatting sqref="W21">
    <cfRule type="expression" dxfId="168" priority="148">
      <formula>AO21="2"</formula>
    </cfRule>
    <cfRule type="expression" dxfId="167" priority="149">
      <formula>AO21="1"</formula>
    </cfRule>
  </conditionalFormatting>
  <conditionalFormatting sqref="W24">
    <cfRule type="expression" dxfId="166" priority="146">
      <formula>AO24="2"</formula>
    </cfRule>
    <cfRule type="expression" dxfId="165" priority="147">
      <formula>AO24="1"</formula>
    </cfRule>
  </conditionalFormatting>
  <conditionalFormatting sqref="W26">
    <cfRule type="expression" dxfId="164" priority="144">
      <formula>AO26="2"</formula>
    </cfRule>
    <cfRule type="expression" dxfId="163" priority="145">
      <formula>AO26="1"</formula>
    </cfRule>
  </conditionalFormatting>
  <conditionalFormatting sqref="W28">
    <cfRule type="expression" dxfId="162" priority="142">
      <formula>AO28="2"</formula>
    </cfRule>
    <cfRule type="expression" dxfId="161" priority="143">
      <formula>AO28="1"</formula>
    </cfRule>
  </conditionalFormatting>
  <conditionalFormatting sqref="W30">
    <cfRule type="expression" dxfId="160" priority="140">
      <formula>AO30="2"</formula>
    </cfRule>
    <cfRule type="expression" dxfId="159" priority="141">
      <formula>AO30="1"</formula>
    </cfRule>
  </conditionalFormatting>
  <conditionalFormatting sqref="W33">
    <cfRule type="expression" dxfId="158" priority="138">
      <formula>AO33="2"</formula>
    </cfRule>
    <cfRule type="expression" dxfId="157" priority="139">
      <formula>AO33="1"</formula>
    </cfRule>
  </conditionalFormatting>
  <conditionalFormatting sqref="W35">
    <cfRule type="expression" dxfId="156" priority="136">
      <formula>AO35="2"</formula>
    </cfRule>
    <cfRule type="expression" dxfId="155" priority="137">
      <formula>AO35="1"</formula>
    </cfRule>
  </conditionalFormatting>
  <conditionalFormatting sqref="W37">
    <cfRule type="expression" dxfId="154" priority="134">
      <formula>AO37="2"</formula>
    </cfRule>
    <cfRule type="expression" dxfId="153" priority="135">
      <formula>AO37="1"</formula>
    </cfRule>
  </conditionalFormatting>
  <conditionalFormatting sqref="W39">
    <cfRule type="expression" dxfId="152" priority="132">
      <formula>AO39="2"</formula>
    </cfRule>
    <cfRule type="expression" dxfId="151" priority="133">
      <formula>AO39="1"</formula>
    </cfRule>
  </conditionalFormatting>
  <conditionalFormatting sqref="W41">
    <cfRule type="expression" dxfId="150" priority="130">
      <formula>AO41="2"</formula>
    </cfRule>
    <cfRule type="expression" dxfId="149" priority="131">
      <formula>AO41="1"</formula>
    </cfRule>
  </conditionalFormatting>
  <conditionalFormatting sqref="W44">
    <cfRule type="expression" dxfId="148" priority="126">
      <formula>AO44="2"</formula>
    </cfRule>
    <cfRule type="expression" dxfId="147" priority="127">
      <formula>AO44="1"</formula>
    </cfRule>
  </conditionalFormatting>
  <conditionalFormatting sqref="W47">
    <cfRule type="expression" dxfId="146" priority="124">
      <formula>AO47="2"</formula>
    </cfRule>
    <cfRule type="expression" dxfId="145" priority="125">
      <formula>AO47="1"</formula>
    </cfRule>
  </conditionalFormatting>
  <conditionalFormatting sqref="W49">
    <cfRule type="expression" dxfId="144" priority="122">
      <formula>AO49="2"</formula>
    </cfRule>
    <cfRule type="expression" dxfId="143" priority="123">
      <formula>AO49="1"</formula>
    </cfRule>
  </conditionalFormatting>
  <conditionalFormatting sqref="W51">
    <cfRule type="expression" dxfId="142" priority="120">
      <formula>AO51="2"</formula>
    </cfRule>
    <cfRule type="expression" dxfId="141" priority="121">
      <formula>AO51="1"</formula>
    </cfRule>
  </conditionalFormatting>
  <conditionalFormatting sqref="W53">
    <cfRule type="expression" dxfId="140" priority="118">
      <formula>AO53="2"</formula>
    </cfRule>
    <cfRule type="expression" dxfId="139" priority="119">
      <formula>AO53="1"</formula>
    </cfRule>
  </conditionalFormatting>
  <conditionalFormatting sqref="W55">
    <cfRule type="expression" dxfId="138" priority="116">
      <formula>AO55="2"</formula>
    </cfRule>
    <cfRule type="expression" dxfId="137" priority="117">
      <formula>AO55="1"</formula>
    </cfRule>
  </conditionalFormatting>
  <conditionalFormatting sqref="W57">
    <cfRule type="expression" dxfId="136" priority="114">
      <formula>AO57="2"</formula>
    </cfRule>
    <cfRule type="expression" dxfId="135" priority="115">
      <formula>AO57="1"</formula>
    </cfRule>
  </conditionalFormatting>
  <conditionalFormatting sqref="W59">
    <cfRule type="expression" dxfId="134" priority="112">
      <formula>AO59="2"</formula>
    </cfRule>
    <cfRule type="expression" dxfId="133" priority="113">
      <formula>AO59="1"</formula>
    </cfRule>
  </conditionalFormatting>
  <conditionalFormatting sqref="W61">
    <cfRule type="expression" dxfId="132" priority="110">
      <formula>AO61="2"</formula>
    </cfRule>
    <cfRule type="expression" dxfId="131" priority="111">
      <formula>AO61="1"</formula>
    </cfRule>
  </conditionalFormatting>
  <conditionalFormatting sqref="W63">
    <cfRule type="expression" dxfId="130" priority="108">
      <formula>AO63="2"</formula>
    </cfRule>
    <cfRule type="expression" dxfId="129" priority="109">
      <formula>AO63="1"</formula>
    </cfRule>
  </conditionalFormatting>
  <conditionalFormatting sqref="W65">
    <cfRule type="expression" dxfId="128" priority="106">
      <formula>AO65="2"</formula>
    </cfRule>
    <cfRule type="expression" dxfId="127" priority="107">
      <formula>AO65="1"</formula>
    </cfRule>
  </conditionalFormatting>
  <conditionalFormatting sqref="W67">
    <cfRule type="expression" dxfId="126" priority="104">
      <formula>AO67="2"</formula>
    </cfRule>
    <cfRule type="expression" dxfId="125" priority="105">
      <formula>AO67="1"</formula>
    </cfRule>
  </conditionalFormatting>
  <conditionalFormatting sqref="W69">
    <cfRule type="expression" dxfId="124" priority="102">
      <formula>AO69="2"</formula>
    </cfRule>
    <cfRule type="expression" dxfId="123" priority="103">
      <formula>AO69="1"</formula>
    </cfRule>
  </conditionalFormatting>
  <conditionalFormatting sqref="W85">
    <cfRule type="expression" dxfId="122" priority="100">
      <formula>AO85="2"</formula>
    </cfRule>
    <cfRule type="expression" dxfId="121" priority="101">
      <formula>AO85="1"</formula>
    </cfRule>
  </conditionalFormatting>
  <conditionalFormatting sqref="W87">
    <cfRule type="expression" dxfId="120" priority="98">
      <formula>AO87="2"</formula>
    </cfRule>
    <cfRule type="expression" dxfId="119" priority="99">
      <formula>AO87="1"</formula>
    </cfRule>
  </conditionalFormatting>
  <conditionalFormatting sqref="W89">
    <cfRule type="expression" dxfId="118" priority="96">
      <formula>AO89="2"</formula>
    </cfRule>
    <cfRule type="expression" dxfId="117" priority="97">
      <formula>AO89="1"</formula>
    </cfRule>
  </conditionalFormatting>
  <conditionalFormatting sqref="W91">
    <cfRule type="expression" dxfId="116" priority="94">
      <formula>AO91="2"</formula>
    </cfRule>
    <cfRule type="expression" dxfId="115" priority="95">
      <formula>AO91="1"</formula>
    </cfRule>
  </conditionalFormatting>
  <conditionalFormatting sqref="W93">
    <cfRule type="expression" dxfId="114" priority="92">
      <formula>AO93="2"</formula>
    </cfRule>
    <cfRule type="expression" dxfId="113" priority="93">
      <formula>AO93="1"</formula>
    </cfRule>
  </conditionalFormatting>
  <conditionalFormatting sqref="W95">
    <cfRule type="expression" dxfId="112" priority="90">
      <formula>AO95="2"</formula>
    </cfRule>
    <cfRule type="expression" dxfId="111" priority="91">
      <formula>AO95="1"</formula>
    </cfRule>
  </conditionalFormatting>
  <conditionalFormatting sqref="W97">
    <cfRule type="expression" dxfId="110" priority="88">
      <formula>AO97="2"</formula>
    </cfRule>
    <cfRule type="expression" dxfId="109" priority="89">
      <formula>AO97="1"</formula>
    </cfRule>
  </conditionalFormatting>
  <conditionalFormatting sqref="W99">
    <cfRule type="expression" dxfId="108" priority="86">
      <formula>AO99="2"</formula>
    </cfRule>
    <cfRule type="expression" dxfId="107" priority="87">
      <formula>AO99="1"</formula>
    </cfRule>
  </conditionalFormatting>
  <conditionalFormatting sqref="W101">
    <cfRule type="expression" dxfId="106" priority="84">
      <formula>AO101="2"</formula>
    </cfRule>
    <cfRule type="expression" dxfId="105" priority="85">
      <formula>AO101="1"</formula>
    </cfRule>
  </conditionalFormatting>
  <conditionalFormatting sqref="W103">
    <cfRule type="expression" dxfId="104" priority="82">
      <formula>AO103="2"</formula>
    </cfRule>
    <cfRule type="expression" dxfId="103" priority="83">
      <formula>AO103="1"</formula>
    </cfRule>
  </conditionalFormatting>
  <conditionalFormatting sqref="W105">
    <cfRule type="expression" dxfId="102" priority="80">
      <formula>AO105="2"</formula>
    </cfRule>
    <cfRule type="expression" dxfId="101" priority="81">
      <formula>AO105="1"</formula>
    </cfRule>
  </conditionalFormatting>
  <conditionalFormatting sqref="W107">
    <cfRule type="expression" dxfId="100" priority="78">
      <formula>AO107="2"</formula>
    </cfRule>
    <cfRule type="expression" dxfId="99" priority="79">
      <formula>AO107="1"</formula>
    </cfRule>
  </conditionalFormatting>
  <conditionalFormatting sqref="W109">
    <cfRule type="expression" dxfId="98" priority="76">
      <formula>AO109="2"</formula>
    </cfRule>
    <cfRule type="expression" dxfId="97" priority="77">
      <formula>AO109="1"</formula>
    </cfRule>
  </conditionalFormatting>
  <conditionalFormatting sqref="W111">
    <cfRule type="expression" dxfId="96" priority="74">
      <formula>AO111="2"</formula>
    </cfRule>
    <cfRule type="expression" dxfId="95" priority="75">
      <formula>AO111="1"</formula>
    </cfRule>
  </conditionalFormatting>
  <conditionalFormatting sqref="W114">
    <cfRule type="expression" dxfId="94" priority="72">
      <formula>AO114="2"</formula>
    </cfRule>
    <cfRule type="expression" dxfId="93" priority="73">
      <formula>AO114="1"</formula>
    </cfRule>
  </conditionalFormatting>
  <conditionalFormatting sqref="W116">
    <cfRule type="expression" dxfId="92" priority="70">
      <formula>AO116="2"</formula>
    </cfRule>
    <cfRule type="expression" dxfId="91" priority="71">
      <formula>AO116="1"</formula>
    </cfRule>
  </conditionalFormatting>
  <conditionalFormatting sqref="W119">
    <cfRule type="expression" dxfId="90" priority="68">
      <formula>AO119="2"</formula>
    </cfRule>
    <cfRule type="expression" dxfId="89" priority="69">
      <formula>AO119="1"</formula>
    </cfRule>
  </conditionalFormatting>
  <conditionalFormatting sqref="W121">
    <cfRule type="expression" dxfId="88" priority="66">
      <formula>AO121="2"</formula>
    </cfRule>
    <cfRule type="expression" dxfId="87" priority="67">
      <formula>AO121="1"</formula>
    </cfRule>
  </conditionalFormatting>
  <conditionalFormatting sqref="W124">
    <cfRule type="expression" dxfId="86" priority="64">
      <formula>AO124="2"</formula>
    </cfRule>
    <cfRule type="expression" dxfId="85" priority="65">
      <formula>AO124="1"</formula>
    </cfRule>
  </conditionalFormatting>
  <conditionalFormatting sqref="W126">
    <cfRule type="expression" dxfId="84" priority="62">
      <formula>AO126="2"</formula>
    </cfRule>
    <cfRule type="expression" dxfId="83" priority="63">
      <formula>AO126="1"</formula>
    </cfRule>
  </conditionalFormatting>
  <conditionalFormatting sqref="W128">
    <cfRule type="expression" dxfId="82" priority="60">
      <formula>AO128="2"</formula>
    </cfRule>
    <cfRule type="expression" dxfId="81" priority="61">
      <formula>AO128="1"</formula>
    </cfRule>
  </conditionalFormatting>
  <conditionalFormatting sqref="W130">
    <cfRule type="expression" dxfId="80" priority="58">
      <formula>AO130="2"</formula>
    </cfRule>
    <cfRule type="expression" dxfId="79" priority="59">
      <formula>AO130="1"</formula>
    </cfRule>
  </conditionalFormatting>
  <conditionalFormatting sqref="W133">
    <cfRule type="expression" dxfId="78" priority="56">
      <formula>AO133="2"</formula>
    </cfRule>
    <cfRule type="expression" dxfId="77" priority="57">
      <formula>AO133="1"</formula>
    </cfRule>
  </conditionalFormatting>
  <conditionalFormatting sqref="W135">
    <cfRule type="expression" dxfId="76" priority="54">
      <formula>AO135="2"</formula>
    </cfRule>
    <cfRule type="expression" dxfId="75" priority="55">
      <formula>AO135="1"</formula>
    </cfRule>
  </conditionalFormatting>
  <conditionalFormatting sqref="W137">
    <cfRule type="expression" dxfId="74" priority="52">
      <formula>AO137="2"</formula>
    </cfRule>
    <cfRule type="expression" dxfId="73" priority="53">
      <formula>AO137="1"</formula>
    </cfRule>
  </conditionalFormatting>
  <conditionalFormatting sqref="W140">
    <cfRule type="expression" dxfId="72" priority="50">
      <formula>AO140="2"</formula>
    </cfRule>
    <cfRule type="expression" dxfId="71" priority="51">
      <formula>AO140="1"</formula>
    </cfRule>
  </conditionalFormatting>
  <conditionalFormatting sqref="W142">
    <cfRule type="expression" dxfId="70" priority="48">
      <formula>AO142="2"</formula>
    </cfRule>
    <cfRule type="expression" dxfId="69" priority="49">
      <formula>AO142="1"</formula>
    </cfRule>
  </conditionalFormatting>
  <conditionalFormatting sqref="W144">
    <cfRule type="expression" dxfId="68" priority="46">
      <formula>AO144="2"</formula>
    </cfRule>
    <cfRule type="expression" dxfId="67" priority="47">
      <formula>AO144="1"</formula>
    </cfRule>
  </conditionalFormatting>
  <conditionalFormatting sqref="W146">
    <cfRule type="expression" dxfId="66" priority="44">
      <formula>AO146="2"</formula>
    </cfRule>
    <cfRule type="expression" dxfId="65" priority="45">
      <formula>AO146="1"</formula>
    </cfRule>
  </conditionalFormatting>
  <conditionalFormatting sqref="W163">
    <cfRule type="expression" dxfId="64" priority="42">
      <formula>AO163="2"</formula>
    </cfRule>
    <cfRule type="expression" dxfId="63" priority="43">
      <formula>AO163="1"</formula>
    </cfRule>
  </conditionalFormatting>
  <conditionalFormatting sqref="W165">
    <cfRule type="expression" dxfId="62" priority="40">
      <formula>AO165="2"</formula>
    </cfRule>
    <cfRule type="expression" dxfId="61" priority="41">
      <formula>AO165="1"</formula>
    </cfRule>
  </conditionalFormatting>
  <conditionalFormatting sqref="W167">
    <cfRule type="expression" dxfId="60" priority="38">
      <formula>AO167="2"</formula>
    </cfRule>
    <cfRule type="expression" dxfId="59" priority="39">
      <formula>AO167="1"</formula>
    </cfRule>
  </conditionalFormatting>
  <conditionalFormatting sqref="W169">
    <cfRule type="expression" dxfId="58" priority="36">
      <formula>AO169="2"</formula>
    </cfRule>
    <cfRule type="expression" dxfId="57" priority="37">
      <formula>AO169="1"</formula>
    </cfRule>
  </conditionalFormatting>
  <conditionalFormatting sqref="W171">
    <cfRule type="expression" dxfId="56" priority="34">
      <formula>AO171="2"</formula>
    </cfRule>
    <cfRule type="expression" dxfId="55" priority="35">
      <formula>AO171="1"</formula>
    </cfRule>
  </conditionalFormatting>
  <conditionalFormatting sqref="W173">
    <cfRule type="expression" dxfId="54" priority="32">
      <formula>AO173="2"</formula>
    </cfRule>
    <cfRule type="expression" dxfId="53" priority="33">
      <formula>AO173="1"</formula>
    </cfRule>
  </conditionalFormatting>
  <conditionalFormatting sqref="W175">
    <cfRule type="expression" dxfId="52" priority="30">
      <formula>AO175="2"</formula>
    </cfRule>
    <cfRule type="expression" dxfId="51" priority="31">
      <formula>AO175="1"</formula>
    </cfRule>
  </conditionalFormatting>
  <conditionalFormatting sqref="W177">
    <cfRule type="expression" dxfId="50" priority="28">
      <formula>AO177="2"</formula>
    </cfRule>
    <cfRule type="expression" dxfId="49" priority="29">
      <formula>AO177="1"</formula>
    </cfRule>
  </conditionalFormatting>
  <conditionalFormatting sqref="W179">
    <cfRule type="expression" dxfId="48" priority="26">
      <formula>AO179="2"</formula>
    </cfRule>
    <cfRule type="expression" dxfId="47" priority="27">
      <formula>AO179="1"</formula>
    </cfRule>
  </conditionalFormatting>
  <conditionalFormatting sqref="W181">
    <cfRule type="expression" dxfId="46" priority="24">
      <formula>AO181="2"</formula>
    </cfRule>
    <cfRule type="expression" dxfId="45" priority="25">
      <formula>AO181="1"</formula>
    </cfRule>
  </conditionalFormatting>
  <conditionalFormatting sqref="W183">
    <cfRule type="expression" dxfId="44" priority="22">
      <formula>AO183="2"</formula>
    </cfRule>
    <cfRule type="expression" dxfId="43" priority="23">
      <formula>AO183="1"</formula>
    </cfRule>
  </conditionalFormatting>
  <conditionalFormatting sqref="W185">
    <cfRule type="expression" dxfId="42" priority="20">
      <formula>AO185="2"</formula>
    </cfRule>
    <cfRule type="expression" dxfId="41" priority="21">
      <formula>AO185="1"</formula>
    </cfRule>
  </conditionalFormatting>
  <conditionalFormatting sqref="W195">
    <cfRule type="expression" dxfId="40" priority="19">
      <formula>AO195="1"</formula>
    </cfRule>
  </conditionalFormatting>
  <conditionalFormatting sqref="W197">
    <cfRule type="expression" dxfId="39" priority="18">
      <formula>AO197="1"</formula>
    </cfRule>
  </conditionalFormatting>
  <conditionalFormatting sqref="W208">
    <cfRule type="cellIs" dxfId="38" priority="14" operator="notEqual">
      <formula>""</formula>
    </cfRule>
  </conditionalFormatting>
  <conditionalFormatting sqref="W233">
    <cfRule type="expression" dxfId="37" priority="12">
      <formula>AO233="1"</formula>
    </cfRule>
  </conditionalFormatting>
  <conditionalFormatting sqref="W237">
    <cfRule type="expression" dxfId="36" priority="11">
      <formula>AO237="1"</formula>
    </cfRule>
  </conditionalFormatting>
  <conditionalFormatting sqref="AB49 AB57">
    <cfRule type="expression" dxfId="35" priority="10">
      <formula>AS49="3"</formula>
    </cfRule>
  </conditionalFormatting>
  <conditionalFormatting sqref="W157">
    <cfRule type="expression" dxfId="34" priority="7">
      <formula>AO157="2"</formula>
    </cfRule>
    <cfRule type="expression" dxfId="33" priority="8">
      <formula>AO157="1"</formula>
    </cfRule>
  </conditionalFormatting>
  <conditionalFormatting sqref="W209">
    <cfRule type="expression" dxfId="32" priority="6">
      <formula>AO209="1"</formula>
    </cfRule>
  </conditionalFormatting>
  <conditionalFormatting sqref="W213">
    <cfRule type="expression" dxfId="31" priority="5">
      <formula>AO213="1"</formula>
    </cfRule>
  </conditionalFormatting>
  <conditionalFormatting sqref="W211">
    <cfRule type="expression" dxfId="30" priority="4">
      <formula>AO211="1"</formula>
    </cfRule>
  </conditionalFormatting>
  <conditionalFormatting sqref="W217">
    <cfRule type="expression" dxfId="29" priority="3">
      <formula>AO217="1"</formula>
    </cfRule>
  </conditionalFormatting>
  <conditionalFormatting sqref="W219">
    <cfRule type="expression" dxfId="28" priority="2">
      <formula>AO219="1"</formula>
    </cfRule>
  </conditionalFormatting>
  <conditionalFormatting sqref="W49:AA49 W57:AA57">
    <cfRule type="expression" dxfId="27" priority="1156">
      <formula>AO49="3"</formula>
    </cfRule>
  </conditionalFormatting>
  <conditionalFormatting sqref="W148">
    <cfRule type="cellIs" dxfId="26" priority="1" operator="notEqual">
      <formul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500-000000000000}">
          <x14:formula1>
            <xm:f>'Values-DoNotDelete'!$B$2:$B$4</xm:f>
          </x14:formula1>
          <xm:sqref>I8 I185 I19 I21 I24 I26 I28 I30 I33 I35 I37 I39 I41 I44 I47 I49 I51 I53 I55 I57 I59 I61 I63 I65 I67 I69 I71 I73 I75 I77 I79 I81 I83 I85 I87 I89 I91 I93 I95 I97 I99 I101 I103 I105 I107 I109 I111 I114 I116 I119 I121 I124 I126 I128 I130 I133 I135 I137 I140 I142 I144 I146 I149 I151 I153 I157 I155 I159 I161 I163 I165 I167 I169 I171 I173 I207 I177 I179 I181 I183 I175 I17 I15 I11 I13</xm:sqref>
        </x14:dataValidation>
        <x14:dataValidation type="list" allowBlank="1" showInputMessage="1" showErrorMessage="1" xr:uid="{00000000-0002-0000-0500-000001000000}">
          <x14:formula1>
            <xm:f>'Values-DoNotDelete'!$B$2:$B$3</xm:f>
          </x14:formula1>
          <xm:sqref>I199 I191 I247 I205 I201 I249 I211 I213 I215 I219 I221 I225 I231 I233 I235 I237 I243</xm:sqref>
        </x14:dataValidation>
        <x14:dataValidation type="list" allowBlank="1" showInputMessage="1" showErrorMessage="1" xr:uid="{00000000-0002-0000-0500-000002000000}">
          <x14:formula1>
            <xm:f>'Values-DoNotDelete'!$E$2:$E$6</xm:f>
          </x14:formula1>
          <xm:sqref>I193</xm:sqref>
        </x14:dataValidation>
        <x14:dataValidation type="list" allowBlank="1" showInputMessage="1" showErrorMessage="1" xr:uid="{00000000-0002-0000-0500-000003000000}">
          <x14:formula1>
            <xm:f>'Values-DoNotDelete'!$G$2:$G$5</xm:f>
          </x14:formula1>
          <xm:sqref>I217</xm:sqref>
        </x14:dataValidation>
        <x14:dataValidation type="list" allowBlank="1" showInputMessage="1" showErrorMessage="1" xr:uid="{00000000-0002-0000-0500-000004000000}">
          <x14:formula1>
            <xm:f>'Values-DoNotDelete'!$C$2:$C$3</xm:f>
          </x14:formula1>
          <xm:sqref>I253</xm:sqref>
        </x14:dataValidation>
        <x14:dataValidation type="list" allowBlank="1" showInputMessage="1" showErrorMessage="1" xr:uid="{00000000-0002-0000-0500-000005000000}">
          <x14:formula1>
            <xm:f>'Values-DoNotDelete'!$B$9:$B$14</xm:f>
          </x14:formula1>
          <xm:sqref>I209</xm:sqref>
        </x14:dataValidation>
        <x14:dataValidation type="list" allowBlank="1" showInputMessage="1" showErrorMessage="1" xr:uid="{00000000-0002-0000-0500-000006000000}">
          <x14:formula1>
            <xm:f>'Values-DoNotDelete'!$D$9:$D$14</xm:f>
          </x14:formula1>
          <xm:sqref>I195</xm:sqref>
        </x14:dataValidation>
        <x14:dataValidation type="list" allowBlank="1" showInputMessage="1" showErrorMessage="1" xr:uid="{00000000-0002-0000-0500-000007000000}">
          <x14:formula1>
            <xm:f>'Values-DoNotDelete'!$F$2:$F$5</xm:f>
          </x14:formula1>
          <xm:sqref>I197</xm:sqref>
        </x14:dataValidation>
        <x14:dataValidation type="list" allowBlank="1" showInputMessage="1" showErrorMessage="1" xr:uid="{00000000-0002-0000-0500-000008000000}">
          <x14:formula1>
            <xm:f>'Values-DoNotDelete'!$C$9:$C$13</xm:f>
          </x14:formula1>
          <xm:sqref>I203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9"/>
  <sheetViews>
    <sheetView topLeftCell="A16" workbookViewId="0">
      <selection activeCell="E41" sqref="E41"/>
    </sheetView>
  </sheetViews>
  <sheetFormatPr defaultColWidth="10.7109375" defaultRowHeight="12.75" x14ac:dyDescent="0.2"/>
  <cols>
    <col min="1" max="1" width="36.28515625" style="15" customWidth="1"/>
    <col min="2" max="2" width="34" style="15" customWidth="1"/>
    <col min="3" max="3" width="84.7109375" style="15" customWidth="1"/>
    <col min="4" max="16384" width="10.7109375" style="15"/>
  </cols>
  <sheetData>
    <row r="1" spans="1:3" ht="26.25" x14ac:dyDescent="0.2">
      <c r="A1" s="835" t="s">
        <v>1758</v>
      </c>
      <c r="B1" s="835"/>
      <c r="C1" s="835"/>
    </row>
    <row r="2" spans="1:3" ht="17.25" x14ac:dyDescent="0.2">
      <c r="A2" s="836" t="s">
        <v>1759</v>
      </c>
      <c r="B2" s="837"/>
      <c r="C2" s="837"/>
    </row>
    <row r="3" spans="1:3" ht="45" customHeight="1" x14ac:dyDescent="0.2">
      <c r="A3" s="838" t="s">
        <v>1760</v>
      </c>
      <c r="B3" s="839"/>
      <c r="C3" s="839"/>
    </row>
    <row r="4" spans="1:3" ht="45" customHeight="1" x14ac:dyDescent="0.2">
      <c r="A4" s="840"/>
      <c r="B4" s="840"/>
      <c r="C4" s="840"/>
    </row>
    <row r="5" spans="1:3" ht="45" customHeight="1" x14ac:dyDescent="0.2">
      <c r="A5" s="840"/>
      <c r="B5" s="840"/>
      <c r="C5" s="840"/>
    </row>
    <row r="6" spans="1:3" ht="45" customHeight="1" x14ac:dyDescent="0.2">
      <c r="A6" s="840"/>
      <c r="B6" s="840"/>
      <c r="C6" s="840"/>
    </row>
    <row r="7" spans="1:3" ht="45" customHeight="1" x14ac:dyDescent="0.2">
      <c r="A7" s="840"/>
      <c r="B7" s="840"/>
      <c r="C7" s="840"/>
    </row>
    <row r="8" spans="1:3" ht="22.15" customHeight="1" x14ac:dyDescent="0.2">
      <c r="A8" s="841"/>
      <c r="B8" s="841"/>
      <c r="C8" s="841"/>
    </row>
    <row r="9" spans="1:3" ht="17.25" x14ac:dyDescent="0.2">
      <c r="A9" s="19" t="s">
        <v>1761</v>
      </c>
      <c r="B9" s="23" t="s">
        <v>1762</v>
      </c>
      <c r="C9" s="23" t="s">
        <v>1763</v>
      </c>
    </row>
    <row r="10" spans="1:3" x14ac:dyDescent="0.2">
      <c r="A10" s="831"/>
      <c r="B10" s="843" t="s">
        <v>1764</v>
      </c>
      <c r="C10" s="843" t="s">
        <v>1765</v>
      </c>
    </row>
    <row r="11" spans="1:3" x14ac:dyDescent="0.2">
      <c r="A11" s="832"/>
      <c r="B11" s="844"/>
      <c r="C11" s="844"/>
    </row>
    <row r="12" spans="1:3" x14ac:dyDescent="0.2">
      <c r="A12" s="832"/>
      <c r="B12" s="843" t="s">
        <v>1766</v>
      </c>
      <c r="C12" s="843" t="s">
        <v>1767</v>
      </c>
    </row>
    <row r="13" spans="1:3" x14ac:dyDescent="0.2">
      <c r="A13" s="832"/>
      <c r="B13" s="844"/>
      <c r="C13" s="844"/>
    </row>
    <row r="14" spans="1:3" ht="37.15" customHeight="1" x14ac:dyDescent="0.2">
      <c r="A14" s="832"/>
      <c r="B14" s="843" t="s">
        <v>1768</v>
      </c>
      <c r="C14" s="843" t="s">
        <v>1769</v>
      </c>
    </row>
    <row r="15" spans="1:3" ht="37.15" customHeight="1" x14ac:dyDescent="0.2">
      <c r="A15" s="842"/>
      <c r="B15" s="844"/>
      <c r="C15" s="844"/>
    </row>
    <row r="16" spans="1:3" ht="17.25" x14ac:dyDescent="0.2">
      <c r="A16" s="19" t="s">
        <v>1770</v>
      </c>
      <c r="B16" s="23" t="s">
        <v>1762</v>
      </c>
      <c r="C16" s="23" t="s">
        <v>1763</v>
      </c>
    </row>
    <row r="17" spans="1:3" x14ac:dyDescent="0.2">
      <c r="A17" s="831"/>
      <c r="B17" s="833" t="s">
        <v>1771</v>
      </c>
      <c r="C17" s="833" t="s">
        <v>1772</v>
      </c>
    </row>
    <row r="18" spans="1:3" x14ac:dyDescent="0.2">
      <c r="A18" s="832"/>
      <c r="B18" s="845"/>
      <c r="C18" s="845"/>
    </row>
    <row r="19" spans="1:3" x14ac:dyDescent="0.2">
      <c r="A19" s="832"/>
      <c r="B19" s="833" t="s">
        <v>1773</v>
      </c>
      <c r="C19" s="833" t="s">
        <v>1774</v>
      </c>
    </row>
    <row r="20" spans="1:3" ht="25.5" customHeight="1" x14ac:dyDescent="0.2">
      <c r="A20" s="832"/>
      <c r="B20" s="845"/>
      <c r="C20" s="845"/>
    </row>
    <row r="21" spans="1:3" ht="33" x14ac:dyDescent="0.2">
      <c r="A21" s="832"/>
      <c r="B21" s="26" t="s">
        <v>1775</v>
      </c>
      <c r="C21" s="26" t="s">
        <v>1776</v>
      </c>
    </row>
    <row r="22" spans="1:3" ht="16.5" x14ac:dyDescent="0.2">
      <c r="A22" s="832"/>
      <c r="B22" s="25" t="s">
        <v>1777</v>
      </c>
      <c r="C22" s="25" t="s">
        <v>1778</v>
      </c>
    </row>
    <row r="23" spans="1:3" ht="16.5" x14ac:dyDescent="0.2">
      <c r="A23" s="832"/>
      <c r="B23" s="25" t="s">
        <v>1779</v>
      </c>
      <c r="C23" s="25" t="s">
        <v>1780</v>
      </c>
    </row>
    <row r="24" spans="1:3" ht="16.5" x14ac:dyDescent="0.2">
      <c r="A24" s="832"/>
      <c r="B24" s="25" t="s">
        <v>1781</v>
      </c>
      <c r="C24" s="25" t="s">
        <v>1782</v>
      </c>
    </row>
    <row r="25" spans="1:3" ht="16.5" x14ac:dyDescent="0.2">
      <c r="A25" s="842"/>
      <c r="B25" s="25" t="s">
        <v>1783</v>
      </c>
      <c r="C25" s="25" t="s">
        <v>1784</v>
      </c>
    </row>
    <row r="26" spans="1:3" ht="17.25" x14ac:dyDescent="0.2">
      <c r="A26" s="19" t="s">
        <v>1785</v>
      </c>
      <c r="B26" s="23" t="s">
        <v>1762</v>
      </c>
      <c r="C26" s="23" t="s">
        <v>1763</v>
      </c>
    </row>
    <row r="27" spans="1:3" x14ac:dyDescent="0.2">
      <c r="A27" s="831"/>
      <c r="B27" s="833" t="s">
        <v>1786</v>
      </c>
      <c r="C27" s="833" t="s">
        <v>1787</v>
      </c>
    </row>
    <row r="28" spans="1:3" x14ac:dyDescent="0.2">
      <c r="A28" s="832"/>
      <c r="B28" s="834"/>
      <c r="C28" s="834"/>
    </row>
    <row r="29" spans="1:3" x14ac:dyDescent="0.2">
      <c r="A29" s="829"/>
      <c r="B29" s="828" t="s">
        <v>1788</v>
      </c>
      <c r="C29" s="828" t="s">
        <v>1789</v>
      </c>
    </row>
    <row r="30" spans="1:3" x14ac:dyDescent="0.2">
      <c r="A30" s="829"/>
      <c r="B30" s="828"/>
      <c r="C30" s="828"/>
    </row>
    <row r="31" spans="1:3" ht="33" x14ac:dyDescent="0.2">
      <c r="A31" s="829"/>
      <c r="B31" s="22" t="s">
        <v>1790</v>
      </c>
      <c r="C31" s="22" t="s">
        <v>1789</v>
      </c>
    </row>
    <row r="32" spans="1:3" ht="16.5" x14ac:dyDescent="0.2">
      <c r="A32" s="829"/>
      <c r="B32" s="24" t="s">
        <v>1791</v>
      </c>
      <c r="C32" s="24" t="s">
        <v>1792</v>
      </c>
    </row>
    <row r="33" spans="1:3" x14ac:dyDescent="0.2">
      <c r="A33" s="829"/>
      <c r="B33" s="828" t="s">
        <v>1793</v>
      </c>
      <c r="C33" s="828" t="s">
        <v>1794</v>
      </c>
    </row>
    <row r="34" spans="1:3" x14ac:dyDescent="0.2">
      <c r="A34" s="829"/>
      <c r="B34" s="828"/>
      <c r="C34" s="828"/>
    </row>
    <row r="35" spans="1:3" ht="16.5" x14ac:dyDescent="0.2">
      <c r="A35" s="829"/>
      <c r="B35" s="22" t="s">
        <v>1795</v>
      </c>
      <c r="C35" s="22" t="s">
        <v>1796</v>
      </c>
    </row>
    <row r="36" spans="1:3" ht="16.5" x14ac:dyDescent="0.2">
      <c r="A36" s="829"/>
      <c r="B36" s="22" t="s">
        <v>1797</v>
      </c>
      <c r="C36" s="22" t="s">
        <v>1798</v>
      </c>
    </row>
    <row r="37" spans="1:3" ht="16.5" x14ac:dyDescent="0.2">
      <c r="A37" s="829"/>
      <c r="B37" s="22" t="s">
        <v>1799</v>
      </c>
      <c r="C37" s="22" t="s">
        <v>1800</v>
      </c>
    </row>
    <row r="38" spans="1:3" ht="33" x14ac:dyDescent="0.2">
      <c r="A38" s="830"/>
      <c r="B38" s="22" t="s">
        <v>1801</v>
      </c>
      <c r="C38" s="22" t="s">
        <v>1802</v>
      </c>
    </row>
    <row r="39" spans="1:3" ht="17.25" x14ac:dyDescent="0.2">
      <c r="A39" s="19" t="s">
        <v>1803</v>
      </c>
      <c r="B39" s="23" t="s">
        <v>1762</v>
      </c>
      <c r="C39" s="23" t="s">
        <v>1763</v>
      </c>
    </row>
    <row r="40" spans="1:3" x14ac:dyDescent="0.2">
      <c r="A40" s="829"/>
      <c r="B40" s="828" t="s">
        <v>1793</v>
      </c>
      <c r="C40" s="828" t="s">
        <v>1794</v>
      </c>
    </row>
    <row r="41" spans="1:3" x14ac:dyDescent="0.2">
      <c r="A41" s="829"/>
      <c r="B41" s="828"/>
      <c r="C41" s="828"/>
    </row>
    <row r="42" spans="1:3" ht="16.5" x14ac:dyDescent="0.2">
      <c r="A42" s="829"/>
      <c r="B42" s="22" t="s">
        <v>1795</v>
      </c>
      <c r="C42" s="22" t="s">
        <v>1796</v>
      </c>
    </row>
    <row r="43" spans="1:3" ht="16.5" x14ac:dyDescent="0.2">
      <c r="A43" s="829"/>
      <c r="B43" s="22" t="s">
        <v>1797</v>
      </c>
      <c r="C43" s="22" t="s">
        <v>1798</v>
      </c>
    </row>
    <row r="44" spans="1:3" ht="16.5" x14ac:dyDescent="0.2">
      <c r="A44" s="829"/>
      <c r="B44" s="22" t="s">
        <v>1799</v>
      </c>
      <c r="C44" s="22" t="s">
        <v>1800</v>
      </c>
    </row>
    <row r="45" spans="1:3" ht="33" x14ac:dyDescent="0.2">
      <c r="A45" s="830"/>
      <c r="B45" s="22" t="s">
        <v>1801</v>
      </c>
      <c r="C45" s="22" t="s">
        <v>1802</v>
      </c>
    </row>
    <row r="46" spans="1:3" ht="17.25" x14ac:dyDescent="0.2">
      <c r="A46" s="19" t="s">
        <v>1804</v>
      </c>
      <c r="B46" s="18" t="s">
        <v>1762</v>
      </c>
      <c r="C46" s="18" t="s">
        <v>1763</v>
      </c>
    </row>
    <row r="47" spans="1:3" ht="16.5" x14ac:dyDescent="0.2">
      <c r="A47" s="829"/>
      <c r="B47" s="22" t="s">
        <v>1805</v>
      </c>
      <c r="C47" s="22" t="s">
        <v>1806</v>
      </c>
    </row>
    <row r="48" spans="1:3" ht="16.5" x14ac:dyDescent="0.2">
      <c r="A48" s="829"/>
      <c r="B48" s="22" t="s">
        <v>1807</v>
      </c>
      <c r="C48" s="22" t="s">
        <v>1808</v>
      </c>
    </row>
    <row r="49" spans="1:3" ht="16.5" x14ac:dyDescent="0.2">
      <c r="A49" s="829"/>
      <c r="B49" s="22" t="s">
        <v>1809</v>
      </c>
      <c r="C49" s="22" t="s">
        <v>1810</v>
      </c>
    </row>
    <row r="50" spans="1:3" ht="17.25" x14ac:dyDescent="0.2">
      <c r="A50" s="19" t="s">
        <v>1811</v>
      </c>
      <c r="B50" s="18" t="s">
        <v>1762</v>
      </c>
      <c r="C50" s="18" t="s">
        <v>1763</v>
      </c>
    </row>
    <row r="51" spans="1:3" x14ac:dyDescent="0.2">
      <c r="A51" s="829"/>
      <c r="B51" s="846" t="s">
        <v>1812</v>
      </c>
      <c r="C51" s="846" t="s">
        <v>1813</v>
      </c>
    </row>
    <row r="52" spans="1:3" x14ac:dyDescent="0.2">
      <c r="A52" s="829"/>
      <c r="B52" s="846"/>
      <c r="C52" s="846"/>
    </row>
    <row r="53" spans="1:3" ht="17.25" x14ac:dyDescent="0.2">
      <c r="A53" s="829"/>
      <c r="B53" s="16" t="s">
        <v>1814</v>
      </c>
      <c r="C53" s="16" t="s">
        <v>1815</v>
      </c>
    </row>
    <row r="54" spans="1:3" ht="17.25" x14ac:dyDescent="0.2">
      <c r="A54" s="829"/>
      <c r="B54" s="16" t="s">
        <v>1057</v>
      </c>
      <c r="C54" s="16" t="s">
        <v>1816</v>
      </c>
    </row>
    <row r="55" spans="1:3" x14ac:dyDescent="0.2">
      <c r="A55" s="829"/>
      <c r="B55" s="846" t="s">
        <v>1817</v>
      </c>
      <c r="C55" s="847" t="s">
        <v>1818</v>
      </c>
    </row>
    <row r="56" spans="1:3" ht="31.15" customHeight="1" x14ac:dyDescent="0.3">
      <c r="A56" s="21"/>
      <c r="B56" s="846"/>
      <c r="C56" s="848"/>
    </row>
    <row r="57" spans="1:3" ht="17.25" x14ac:dyDescent="0.2">
      <c r="A57" s="19" t="s">
        <v>1819</v>
      </c>
      <c r="B57" s="18" t="s">
        <v>1762</v>
      </c>
      <c r="C57" s="18" t="s">
        <v>1763</v>
      </c>
    </row>
    <row r="58" spans="1:3" x14ac:dyDescent="0.2">
      <c r="A58" s="829"/>
      <c r="B58" s="846" t="s">
        <v>1820</v>
      </c>
      <c r="C58" s="846" t="s">
        <v>1821</v>
      </c>
    </row>
    <row r="59" spans="1:3" x14ac:dyDescent="0.2">
      <c r="A59" s="829"/>
      <c r="B59" s="846"/>
      <c r="C59" s="846"/>
    </row>
    <row r="60" spans="1:3" ht="34.5" x14ac:dyDescent="0.2">
      <c r="A60" s="829"/>
      <c r="B60" s="16" t="s">
        <v>1790</v>
      </c>
      <c r="C60" s="16" t="s">
        <v>1789</v>
      </c>
    </row>
    <row r="61" spans="1:3" x14ac:dyDescent="0.2">
      <c r="A61" s="829"/>
      <c r="B61" s="846" t="s">
        <v>1822</v>
      </c>
      <c r="C61" s="847" t="s">
        <v>1823</v>
      </c>
    </row>
    <row r="62" spans="1:3" ht="27" customHeight="1" x14ac:dyDescent="0.2">
      <c r="A62" s="829"/>
      <c r="B62" s="846"/>
      <c r="C62" s="848"/>
    </row>
    <row r="63" spans="1:3" ht="17.25" x14ac:dyDescent="0.3">
      <c r="A63" s="21"/>
      <c r="B63" s="16" t="s">
        <v>1824</v>
      </c>
      <c r="C63" s="16" t="s">
        <v>1825</v>
      </c>
    </row>
    <row r="64" spans="1:3" ht="17.25" x14ac:dyDescent="0.2">
      <c r="A64" s="19" t="s">
        <v>1826</v>
      </c>
      <c r="B64" s="18" t="s">
        <v>1762</v>
      </c>
      <c r="C64" s="18" t="s">
        <v>1763</v>
      </c>
    </row>
    <row r="65" spans="1:3" x14ac:dyDescent="0.2">
      <c r="A65" s="829"/>
      <c r="B65" s="846" t="s">
        <v>1827</v>
      </c>
      <c r="C65" s="846"/>
    </row>
    <row r="66" spans="1:3" x14ac:dyDescent="0.2">
      <c r="A66" s="829"/>
      <c r="B66" s="846"/>
      <c r="C66" s="846"/>
    </row>
    <row r="67" spans="1:3" ht="34.5" x14ac:dyDescent="0.2">
      <c r="A67" s="829"/>
      <c r="B67" s="16" t="s">
        <v>1828</v>
      </c>
      <c r="C67" s="16"/>
    </row>
    <row r="68" spans="1:3" ht="34.5" x14ac:dyDescent="0.2">
      <c r="A68" s="829"/>
      <c r="B68" s="16" t="s">
        <v>1829</v>
      </c>
      <c r="C68" s="16"/>
    </row>
    <row r="69" spans="1:3" ht="17.25" x14ac:dyDescent="0.2">
      <c r="A69" s="829"/>
      <c r="B69" s="16" t="s">
        <v>1830</v>
      </c>
      <c r="C69" s="16" t="s">
        <v>1831</v>
      </c>
    </row>
    <row r="70" spans="1:3" ht="17.25" x14ac:dyDescent="0.2">
      <c r="A70" s="20"/>
      <c r="B70" s="16" t="s">
        <v>1832</v>
      </c>
      <c r="C70" s="16" t="s">
        <v>1833</v>
      </c>
    </row>
    <row r="71" spans="1:3" ht="17.25" x14ac:dyDescent="0.2">
      <c r="A71" s="20"/>
      <c r="B71" s="16" t="s">
        <v>1834</v>
      </c>
      <c r="C71" s="16" t="s">
        <v>1835</v>
      </c>
    </row>
    <row r="72" spans="1:3" ht="17.25" x14ac:dyDescent="0.2">
      <c r="A72" s="20"/>
      <c r="B72" s="16" t="s">
        <v>1836</v>
      </c>
      <c r="C72" s="16"/>
    </row>
    <row r="73" spans="1:3" ht="17.25" x14ac:dyDescent="0.2">
      <c r="A73" s="19" t="s">
        <v>1837</v>
      </c>
      <c r="B73" s="18" t="s">
        <v>1762</v>
      </c>
      <c r="C73" s="18" t="s">
        <v>1763</v>
      </c>
    </row>
    <row r="74" spans="1:3" ht="17.25" x14ac:dyDescent="0.2">
      <c r="A74" s="829"/>
      <c r="B74" s="16" t="s">
        <v>1838</v>
      </c>
      <c r="C74" s="16" t="s">
        <v>1839</v>
      </c>
    </row>
    <row r="75" spans="1:3" ht="17.25" x14ac:dyDescent="0.2">
      <c r="A75" s="829"/>
      <c r="B75" s="16" t="s">
        <v>1840</v>
      </c>
      <c r="C75" s="16" t="s">
        <v>1841</v>
      </c>
    </row>
    <row r="76" spans="1:3" ht="17.25" x14ac:dyDescent="0.2">
      <c r="A76" s="829"/>
      <c r="B76" s="16" t="s">
        <v>1842</v>
      </c>
      <c r="C76" s="16" t="s">
        <v>1843</v>
      </c>
    </row>
    <row r="77" spans="1:3" ht="17.25" x14ac:dyDescent="0.2">
      <c r="A77" s="829"/>
      <c r="B77" s="846" t="s">
        <v>1844</v>
      </c>
      <c r="C77" s="16" t="s">
        <v>1845</v>
      </c>
    </row>
    <row r="78" spans="1:3" ht="17.25" x14ac:dyDescent="0.2">
      <c r="A78" s="829"/>
      <c r="B78" s="846"/>
      <c r="C78" s="16" t="s">
        <v>1846</v>
      </c>
    </row>
    <row r="79" spans="1:3" ht="34.5" x14ac:dyDescent="0.2">
      <c r="A79" s="17"/>
      <c r="B79" s="16" t="s">
        <v>1847</v>
      </c>
      <c r="C79" s="16" t="s">
        <v>1848</v>
      </c>
    </row>
  </sheetData>
  <mergeCells count="41">
    <mergeCell ref="A47:A49"/>
    <mergeCell ref="A65:A69"/>
    <mergeCell ref="B65:B66"/>
    <mergeCell ref="C65:C66"/>
    <mergeCell ref="A74:A78"/>
    <mergeCell ref="B77:B78"/>
    <mergeCell ref="A51:A55"/>
    <mergeCell ref="B51:B52"/>
    <mergeCell ref="C51:C52"/>
    <mergeCell ref="B55:B56"/>
    <mergeCell ref="C55:C56"/>
    <mergeCell ref="A58:A62"/>
    <mergeCell ref="B58:B59"/>
    <mergeCell ref="C58:C59"/>
    <mergeCell ref="B61:B62"/>
    <mergeCell ref="C61:C62"/>
    <mergeCell ref="A17:A25"/>
    <mergeCell ref="B17:B18"/>
    <mergeCell ref="C17:C18"/>
    <mergeCell ref="B19:B20"/>
    <mergeCell ref="C19:C20"/>
    <mergeCell ref="A1:C1"/>
    <mergeCell ref="A2:C2"/>
    <mergeCell ref="A3:C8"/>
    <mergeCell ref="A10:A15"/>
    <mergeCell ref="B10:B11"/>
    <mergeCell ref="C10:C11"/>
    <mergeCell ref="B12:B13"/>
    <mergeCell ref="C12:C13"/>
    <mergeCell ref="B14:B15"/>
    <mergeCell ref="C14:C15"/>
    <mergeCell ref="B33:B34"/>
    <mergeCell ref="C33:C34"/>
    <mergeCell ref="A40:A45"/>
    <mergeCell ref="B40:B41"/>
    <mergeCell ref="C40:C41"/>
    <mergeCell ref="A27:A38"/>
    <mergeCell ref="B27:B28"/>
    <mergeCell ref="C27:C28"/>
    <mergeCell ref="B29:B30"/>
    <mergeCell ref="C29:C3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5"/>
  <sheetViews>
    <sheetView workbookViewId="0">
      <selection activeCell="C12" sqref="C12"/>
    </sheetView>
  </sheetViews>
  <sheetFormatPr defaultColWidth="16.7109375" defaultRowHeight="12" x14ac:dyDescent="0.2"/>
  <cols>
    <col min="1" max="2" width="16.7109375" style="239"/>
    <col min="3" max="3" width="25.28515625" style="242" bestFit="1" customWidth="1"/>
    <col min="4" max="4" width="27.85546875" style="239" customWidth="1"/>
    <col min="5" max="5" width="14.28515625" style="239" customWidth="1"/>
    <col min="6" max="16384" width="16.7109375" style="239"/>
  </cols>
  <sheetData>
    <row r="1" spans="1:7" s="236" customFormat="1" x14ac:dyDescent="0.2">
      <c r="A1" s="234" t="s">
        <v>1849</v>
      </c>
      <c r="B1" s="234" t="s">
        <v>1850</v>
      </c>
      <c r="C1" s="235" t="s">
        <v>1851</v>
      </c>
      <c r="D1" s="234" t="s">
        <v>1852</v>
      </c>
      <c r="E1" s="234" t="s">
        <v>1853</v>
      </c>
      <c r="F1" s="234" t="s">
        <v>1854</v>
      </c>
      <c r="G1" s="234" t="s">
        <v>1855</v>
      </c>
    </row>
    <row r="2" spans="1:7" ht="24" x14ac:dyDescent="0.2">
      <c r="A2" s="237" t="s">
        <v>924</v>
      </c>
      <c r="B2" s="237" t="s">
        <v>930</v>
      </c>
      <c r="C2" s="238" t="s">
        <v>927</v>
      </c>
      <c r="D2" s="238" t="s">
        <v>939</v>
      </c>
      <c r="E2" s="237" t="s">
        <v>978</v>
      </c>
      <c r="F2" s="237" t="s">
        <v>987</v>
      </c>
      <c r="G2" s="237" t="s">
        <v>997</v>
      </c>
    </row>
    <row r="3" spans="1:7" x14ac:dyDescent="0.2">
      <c r="A3" s="237" t="s">
        <v>926</v>
      </c>
      <c r="B3" s="237" t="s">
        <v>932</v>
      </c>
      <c r="C3" s="238" t="s">
        <v>929</v>
      </c>
      <c r="D3" s="237" t="s">
        <v>938</v>
      </c>
      <c r="E3" s="237" t="s">
        <v>979</v>
      </c>
      <c r="F3" s="237" t="s">
        <v>988</v>
      </c>
      <c r="G3" s="237" t="s">
        <v>998</v>
      </c>
    </row>
    <row r="4" spans="1:7" ht="24" x14ac:dyDescent="0.2">
      <c r="A4" s="237"/>
      <c r="B4" s="237" t="s">
        <v>929</v>
      </c>
      <c r="C4" s="238" t="s">
        <v>928</v>
      </c>
      <c r="D4" s="237" t="s">
        <v>929</v>
      </c>
      <c r="E4" s="237" t="s">
        <v>980</v>
      </c>
      <c r="F4" s="237" t="s">
        <v>981</v>
      </c>
      <c r="G4" s="237" t="s">
        <v>981</v>
      </c>
    </row>
    <row r="5" spans="1:7" x14ac:dyDescent="0.2">
      <c r="A5" s="237"/>
      <c r="B5" s="237"/>
      <c r="C5" s="238"/>
      <c r="D5" s="237"/>
      <c r="E5" s="237" t="s">
        <v>981</v>
      </c>
      <c r="F5" s="237" t="s">
        <v>929</v>
      </c>
      <c r="G5" s="237" t="s">
        <v>929</v>
      </c>
    </row>
    <row r="6" spans="1:7" x14ac:dyDescent="0.2">
      <c r="A6" s="237"/>
      <c r="B6" s="237"/>
      <c r="C6" s="238"/>
      <c r="D6" s="237"/>
      <c r="E6" s="237" t="s">
        <v>929</v>
      </c>
      <c r="G6" s="237"/>
    </row>
    <row r="7" spans="1:7" x14ac:dyDescent="0.2">
      <c r="A7" s="237"/>
      <c r="B7" s="237"/>
      <c r="C7" s="238"/>
      <c r="D7" s="237"/>
      <c r="E7" s="237"/>
      <c r="G7" s="237"/>
    </row>
    <row r="8" spans="1:7" x14ac:dyDescent="0.2">
      <c r="A8" s="234" t="s">
        <v>1856</v>
      </c>
      <c r="B8" s="234" t="s">
        <v>1857</v>
      </c>
      <c r="C8" s="235" t="s">
        <v>1858</v>
      </c>
      <c r="D8" s="234" t="s">
        <v>1859</v>
      </c>
      <c r="E8" s="234" t="s">
        <v>1860</v>
      </c>
      <c r="F8" s="237"/>
      <c r="G8" s="237"/>
    </row>
    <row r="9" spans="1:7" x14ac:dyDescent="0.2">
      <c r="A9" s="193" t="s">
        <v>941</v>
      </c>
      <c r="B9" s="237" t="s">
        <v>993</v>
      </c>
      <c r="C9" s="238" t="s">
        <v>989</v>
      </c>
      <c r="D9" s="237" t="s">
        <v>983</v>
      </c>
      <c r="E9" s="237" t="s">
        <v>953</v>
      </c>
      <c r="F9" s="237"/>
      <c r="G9" s="237"/>
    </row>
    <row r="10" spans="1:7" x14ac:dyDescent="0.2">
      <c r="A10" s="194" t="s">
        <v>942</v>
      </c>
      <c r="B10" s="237" t="s">
        <v>1861</v>
      </c>
      <c r="C10" s="238" t="s">
        <v>990</v>
      </c>
      <c r="D10" s="237" t="s">
        <v>984</v>
      </c>
      <c r="E10" s="237" t="s">
        <v>954</v>
      </c>
      <c r="F10" s="237"/>
      <c r="G10" s="237"/>
    </row>
    <row r="11" spans="1:7" x14ac:dyDescent="0.2">
      <c r="A11" s="194" t="s">
        <v>943</v>
      </c>
      <c r="B11" s="237" t="s">
        <v>1862</v>
      </c>
      <c r="C11" s="238" t="s">
        <v>991</v>
      </c>
      <c r="D11" s="237" t="s">
        <v>985</v>
      </c>
      <c r="E11" s="237" t="s">
        <v>955</v>
      </c>
      <c r="F11" s="237"/>
      <c r="G11" s="237"/>
    </row>
    <row r="12" spans="1:7" x14ac:dyDescent="0.2">
      <c r="A12" s="237" t="s">
        <v>929</v>
      </c>
      <c r="B12" s="237" t="s">
        <v>996</v>
      </c>
      <c r="C12" s="238" t="s">
        <v>992</v>
      </c>
      <c r="D12" s="237" t="s">
        <v>986</v>
      </c>
      <c r="E12" s="238" t="s">
        <v>929</v>
      </c>
      <c r="F12" s="237"/>
      <c r="G12" s="237"/>
    </row>
    <row r="13" spans="1:7" x14ac:dyDescent="0.2">
      <c r="A13" s="237"/>
      <c r="B13" s="237" t="s">
        <v>981</v>
      </c>
      <c r="C13" s="238" t="s">
        <v>929</v>
      </c>
      <c r="D13" s="237" t="s">
        <v>981</v>
      </c>
      <c r="F13" s="237"/>
      <c r="G13" s="237"/>
    </row>
    <row r="14" spans="1:7" x14ac:dyDescent="0.2">
      <c r="A14" s="237"/>
      <c r="B14" s="237" t="s">
        <v>929</v>
      </c>
      <c r="C14" s="238"/>
      <c r="D14" s="237" t="s">
        <v>929</v>
      </c>
      <c r="E14" s="237"/>
      <c r="F14" s="237"/>
      <c r="G14" s="237"/>
    </row>
    <row r="16" spans="1:7" x14ac:dyDescent="0.2">
      <c r="A16" s="234" t="s">
        <v>1863</v>
      </c>
      <c r="C16" s="234" t="s">
        <v>1864</v>
      </c>
      <c r="D16" s="234" t="s">
        <v>1865</v>
      </c>
      <c r="E16" s="258" t="s">
        <v>1866</v>
      </c>
      <c r="F16" s="258" t="s">
        <v>1867</v>
      </c>
    </row>
    <row r="17" spans="1:6" ht="36" x14ac:dyDescent="0.2">
      <c r="A17" s="240" t="s">
        <v>945</v>
      </c>
      <c r="C17" s="241" t="s">
        <v>956</v>
      </c>
      <c r="D17" s="194" t="s">
        <v>963</v>
      </c>
      <c r="E17" s="194" t="s">
        <v>966</v>
      </c>
      <c r="F17" s="194" t="s">
        <v>971</v>
      </c>
    </row>
    <row r="18" spans="1:6" ht="36" x14ac:dyDescent="0.2">
      <c r="A18" s="240" t="s">
        <v>946</v>
      </c>
      <c r="C18" s="242" t="s">
        <v>957</v>
      </c>
      <c r="D18" s="194" t="s">
        <v>964</v>
      </c>
      <c r="E18" s="194" t="s">
        <v>967</v>
      </c>
      <c r="F18" s="194" t="s">
        <v>972</v>
      </c>
    </row>
    <row r="19" spans="1:6" ht="60" x14ac:dyDescent="0.2">
      <c r="A19" s="240" t="s">
        <v>947</v>
      </c>
      <c r="C19" s="241" t="s">
        <v>958</v>
      </c>
      <c r="D19" s="194" t="s">
        <v>965</v>
      </c>
      <c r="E19" s="194" t="s">
        <v>968</v>
      </c>
      <c r="F19" s="194" t="s">
        <v>973</v>
      </c>
    </row>
    <row r="20" spans="1:6" ht="36" x14ac:dyDescent="0.2">
      <c r="A20" s="240" t="s">
        <v>948</v>
      </c>
      <c r="C20" s="241" t="s">
        <v>959</v>
      </c>
      <c r="D20" s="237" t="s">
        <v>929</v>
      </c>
      <c r="E20" s="194" t="s">
        <v>969</v>
      </c>
      <c r="F20" s="194" t="s">
        <v>974</v>
      </c>
    </row>
    <row r="21" spans="1:6" ht="36" x14ac:dyDescent="0.2">
      <c r="A21" s="240" t="s">
        <v>949</v>
      </c>
      <c r="C21" s="241" t="s">
        <v>960</v>
      </c>
      <c r="E21" s="194" t="s">
        <v>951</v>
      </c>
      <c r="F21" s="194" t="s">
        <v>951</v>
      </c>
    </row>
    <row r="22" spans="1:6" ht="24" x14ac:dyDescent="0.2">
      <c r="A22" s="240" t="s">
        <v>950</v>
      </c>
      <c r="C22" s="241" t="s">
        <v>961</v>
      </c>
      <c r="E22" s="194" t="s">
        <v>970</v>
      </c>
      <c r="F22" s="194" t="s">
        <v>929</v>
      </c>
    </row>
    <row r="23" spans="1:6" x14ac:dyDescent="0.2">
      <c r="A23" s="240" t="s">
        <v>951</v>
      </c>
      <c r="C23" s="241" t="s">
        <v>962</v>
      </c>
      <c r="E23" s="194" t="s">
        <v>929</v>
      </c>
      <c r="F23" s="194"/>
    </row>
    <row r="24" spans="1:6" x14ac:dyDescent="0.2">
      <c r="A24" s="239" t="s">
        <v>929</v>
      </c>
      <c r="C24" s="239" t="s">
        <v>929</v>
      </c>
      <c r="E24" s="194"/>
      <c r="F24" s="194"/>
    </row>
    <row r="25" spans="1:6" x14ac:dyDescent="0.2">
      <c r="A25" s="242" t="s">
        <v>1868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CE7757-CEFE-4260-8794-5FA446F06EA9}">
  <ds:schemaRefs>
    <ds:schemaRef ds:uri="http://schemas.microsoft.com/office/2006/metadata/properties"/>
    <ds:schemaRef ds:uri="http://schemas.microsoft.com/office/infopath/2007/PartnerControls"/>
    <ds:schemaRef ds:uri="http://schemas.microsoft.com/sharepoint/v3/fields"/>
  </ds:schemaRefs>
</ds:datastoreItem>
</file>

<file path=customXml/itemProps2.xml><?xml version="1.0" encoding="utf-8"?>
<ds:datastoreItem xmlns:ds="http://schemas.openxmlformats.org/officeDocument/2006/customXml" ds:itemID="{DBBD235A-CB9F-41AA-B9A7-72874F43F226}">
  <ds:schemaRefs>
    <ds:schemaRef ds:uri="http://schemas.microsoft.com/sharepoint/v3/contenttype/forms"/>
  </ds:schemaRefs>
</ds:datastoreItem>
</file>

<file path=customXml/itemProps3.xml><?xml version="1.0" encoding="utf-8"?>
<ds:datastoreItem xmlns:ds="http://schemas.openxmlformats.org/officeDocument/2006/customXml" ds:itemID="{C04BD660-41CF-4797-B7C5-1C8CA120E107}"/>
</file>

<file path=customXml/itemProps4.xml><?xml version="1.0" encoding="utf-8"?>
<ds:datastoreItem xmlns:ds="http://schemas.openxmlformats.org/officeDocument/2006/customXml" ds:itemID="{FF45F80A-51F5-4A83-B7E3-549F9B138A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NYP General Assessment</vt:lpstr>
      <vt:lpstr>GENERAL</vt:lpstr>
      <vt:lpstr>BCDR</vt:lpstr>
      <vt:lpstr>MEDICAL DEVICE</vt:lpstr>
      <vt:lpstr>SECURITY</vt:lpstr>
      <vt:lpstr>VENDOR HOSTED</vt:lpstr>
      <vt:lpstr>DESIGN</vt:lpstr>
      <vt:lpstr>Values-DoNotDelete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Jacqueline De Souza</dc:creator>
  <cp:keywords/>
  <dc:description/>
  <cp:lastModifiedBy>Bruno Bendavid</cp:lastModifiedBy>
  <cp:revision/>
  <dcterms:created xsi:type="dcterms:W3CDTF">2020-07-02T17:53:45Z</dcterms:created>
  <dcterms:modified xsi:type="dcterms:W3CDTF">2022-01-12T20:31:34Z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25803ffa-249f-4af8-93fa-3963d73bfc42</vt:lpwstr>
  </property>
  <property fmtid="{D5CDD505-2E9C-101B-9397-08002B2CF9AE}" pid="4" name="Order">
    <vt:r8>88600</vt:r8>
  </property>
  <property fmtid="{D5CDD505-2E9C-101B-9397-08002B2CF9AE}" pid="5" name="_ExtendedDescription">
    <vt:lpwstr/>
  </property>
</Properties>
</file>