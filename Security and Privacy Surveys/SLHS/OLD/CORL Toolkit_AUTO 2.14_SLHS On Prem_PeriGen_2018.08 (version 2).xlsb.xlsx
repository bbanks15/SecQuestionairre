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4.xml" ContentType="application/vnd.openxmlformats-officedocument.spreadsheetml.worksheet+xml"/>
  <Override PartName="/xl/charts/style3.xml" ContentType="application/vnd.ms-office.chartstyle+xml"/>
  <Override PartName="/xl/charts/colors3.xml" ContentType="application/vnd.ms-office.chartcolorstyle+xml"/>
  <Override PartName="/xl/worksheets/sheet3.xml" ContentType="application/vnd.openxmlformats-officedocument.spreadsheetml.worksheet+xml"/>
  <Override PartName="/xl/worksheets/sheet2.xml" ContentType="application/vnd.openxmlformats-officedocument.spreadsheetml.worksheet+xml"/>
  <Override PartName="/xl/charts/chart3.xml" ContentType="application/vnd.openxmlformats-officedocument.drawingml.chart+xml"/>
  <Override PartName="/xl/drawings/drawing4.xml" ContentType="application/vnd.openxmlformats-officedocument.drawing+xml"/>
  <Override PartName="/xl/charts/colors2.xml" ContentType="application/vnd.ms-office.chartcolorsty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worksheets/sheet1.xml" ContentType="application/vnd.openxmlformats-officedocument.spreadsheetml.worksheet+xml"/>
  <Override PartName="/xl/charts/style2.xml" ContentType="application/vnd.ms-office.chartstyle+xml"/>
  <Override PartName="/xl/theme/theme1.xml" ContentType="application/vnd.openxmlformats-officedocument.theme+xml"/>
  <Override PartName="/xl/worksheets/sheet18.xml" ContentType="application/vnd.openxmlformats-officedocument.spreadsheetml.worksheet+xml"/>
  <Override PartName="/xl/worksheets/sheet19.xml" ContentType="application/vnd.openxmlformats-officedocument.spreadsheetml.worksheet+xml"/>
  <Override PartName="/xl/worksheets/sheet11.xml" ContentType="application/vnd.openxmlformats-officedocument.spreadsheetml.worksheet+xml"/>
  <Override PartName="/xl/worksheets/sheet10.xml" ContentType="application/vnd.openxmlformats-officedocument.spreadsheetml.worksheet+xml"/>
  <Override PartName="/xl/worksheets/sheet17.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worksheets/sheet15.xml" ContentType="application/vnd.openxmlformats-officedocument.spreadsheetml.worksheet+xml"/>
  <Override PartName="/xl/worksheets/sheet14.xml" ContentType="application/vnd.openxmlformats-officedocument.spreadsheetml.worksheet+xml"/>
  <Override PartName="/xl/worksheets/sheet16.xml" ContentType="application/vnd.openxmlformats-officedocument.spreadsheetml.worksheet+xml"/>
  <Override PartName="/xl/worksheets/sheet9.xml" ContentType="application/vnd.openxmlformats-officedocument.spreadsheetml.worksheet+xml"/>
  <Override PartName="/xl/drawings/drawing1.xml" ContentType="application/vnd.openxmlformats-officedocument.drawing+xml"/>
  <Override PartName="/xl/worksheets/sheet21.xml" ContentType="application/vnd.openxmlformats-officedocument.spreadsheetml.worksheet+xml"/>
  <Override PartName="/xl/worksheets/sheet20.xml" ContentType="application/vnd.openxmlformats-officedocument.spreadsheetml.worksheet+xml"/>
  <Override PartName="/xl/worksheets/sheet8.xml" ContentType="application/vnd.openxmlformats-officedocument.spreadsheetml.worksheet+xml"/>
  <Override PartName="/xl/worksheets/sheet5.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worksheets/sheet22.xml" ContentType="application/vnd.openxmlformats-officedocument.spreadsheetml.worksheet+xml"/>
  <Override PartName="/xl/comments1.xml" ContentType="application/vnd.openxmlformats-officedocument.spreadsheetml.comments+xml"/>
  <Override PartName="/xl/externalLinks/externalLink3.xml" ContentType="application/vnd.openxmlformats-officedocument.spreadsheetml.externalLink+xml"/>
  <Override PartName="/xl/externalLinks/externalLink2.xml" ContentType="application/vnd.openxmlformats-officedocument.spreadsheetml.externalLink+xml"/>
  <Override PartName="/xl/calcChain.xml" ContentType="application/vnd.openxmlformats-officedocument.spreadsheetml.calcChain+xml"/>
  <Override PartName="/customXml/itemProps1.xml" ContentType="application/vnd.openxmlformats-officedocument.customXmlProperties+xml"/>
  <Override PartName="/docProps/custom.xml" ContentType="application/vnd.openxmlformats-officedocument.custom-properties+xml"/>
  <Override PartName="/docProps/app.xml" ContentType="application/vnd.openxmlformats-officedocument.extended-properties+xml"/>
  <Override PartName="/docProps/core.xml" ContentType="application/vnd.openxmlformats-package.core-properties+xml"/>
  <Override PartName="/customXml/itemProps3.xml" ContentType="application/vnd.openxmlformats-officedocument.customXmlProperties+xml"/>
  <Override PartName="/customXml/itemProps2.xml" ContentType="application/vnd.openxmlformats-officedocument.customXmlProperties+xml"/>
  <Override PartName="/xl/externalLinks/externalLink1.xml" ContentType="application/vnd.openxmlformats-officedocument.spreadsheetml.externalLink+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9126"/>
  <workbookPr updateLinks="never" codeName="ThisWorkbook"/>
  <mc:AlternateContent xmlns:mc="http://schemas.openxmlformats.org/markup-compatibility/2006">
    <mc:Choice Requires="x15">
      <x15ac:absPath xmlns:x15ac="http://schemas.microsoft.com/office/spreadsheetml/2010/11/ac" url="https://perigenlive-portal1.sharepoint.com/RFPs/Security and Privacy Surveys/SLHS/"/>
    </mc:Choice>
  </mc:AlternateContent>
  <xr:revisionPtr revIDLastSave="0" documentId="10_ncr:100000_{3233522E-1402-4438-A01C-FC49063116F7}" xr6:coauthVersionLast="31" xr6:coauthVersionMax="31" xr10:uidLastSave="{00000000-0000-0000-0000-000000000000}"/>
  <workbookProtection workbookAlgorithmName="SHA-512" workbookHashValue="A7d+Ha+rHrATb6OhBob0h0gKGM7hjgwDCqJyUUzv1pZKvuKXuoicv3Aq1CdgZgSk5iBlPW4ReHBsfuw3YHP8Wg==" workbookSaltValue="OZmirFKM7OvXpM1nqYDoXQ==" workbookSpinCount="100000" lockStructure="1"/>
  <bookViews>
    <workbookView xWindow="0" yWindow="0" windowWidth="20160" windowHeight="7545" tabRatio="824" firstSheet="5" activeTab="13" xr2:uid="{00000000-000D-0000-FFFF-FFFF00000000}"/>
  </bookViews>
  <sheets>
    <sheet name="Cover Page" sheetId="33" r:id="rId1"/>
    <sheet name="Instructions" sheetId="34" r:id="rId2"/>
    <sheet name="Data Validation Key" sheetId="2" state="hidden" r:id="rId3"/>
    <sheet name="Key Controls" sheetId="3" state="hidden" r:id="rId4"/>
    <sheet name="IRQ" sheetId="40" state="hidden" r:id="rId5"/>
    <sheet name="Vendor Profile Questionnaire" sheetId="29" r:id="rId6"/>
    <sheet name="Scope" sheetId="30" r:id="rId7"/>
    <sheet name="Network_Architecture_Diagrams" sheetId="23" r:id="rId8"/>
    <sheet name="Connectivity Mapping" sheetId="24" r:id="rId9"/>
    <sheet name="Required Evidence" sheetId="39" r:id="rId10"/>
    <sheet name="1. Access Controls" sheetId="31" r:id="rId11"/>
    <sheet name="2. Awareness and Training" sheetId="7" r:id="rId12"/>
    <sheet name="8. Incident Response" sheetId="13" r:id="rId13"/>
    <sheet name="9. Maintenance" sheetId="14" r:id="rId14"/>
    <sheet name="13. Personnel Security" sheetId="18" r:id="rId15"/>
    <sheet name="Override Control Env1" sheetId="25" state="hidden" r:id="rId16"/>
    <sheet name="Override Control Env2" sheetId="35" state="hidden" r:id="rId17"/>
    <sheet name="Override Control Env3" sheetId="36" state="hidden" r:id="rId18"/>
    <sheet name="Grading" sheetId="26" state="hidden" r:id="rId19"/>
    <sheet name="Inadequacy Distribution Env1" sheetId="28" state="hidden" r:id="rId20"/>
    <sheet name="Inadequacy Distribution Env2" sheetId="37" state="hidden" r:id="rId21"/>
    <sheet name="Inadequacy Distribution Env3" sheetId="38" state="hidden" r:id="rId22"/>
  </sheets>
  <externalReferences>
    <externalReference r:id="rId23"/>
    <externalReference r:id="rId24"/>
    <externalReference r:id="rId25"/>
  </externalReferences>
  <definedNames>
    <definedName name="CORL" localSheetId="4">[1]Sheet1!$A$1:$A$2</definedName>
    <definedName name="Risk" localSheetId="4">[2]Sheet2!$A$3:$A$7</definedName>
  </definedNames>
  <calcPr calcId="179017"/>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9" i="36" l="1"/>
  <c r="H9" i="36"/>
  <c r="H16" i="36"/>
  <c r="I16" i="36"/>
  <c r="I28" i="36"/>
  <c r="H28" i="36"/>
  <c r="I28" i="35"/>
  <c r="H28" i="35"/>
  <c r="I16" i="35"/>
  <c r="H16" i="35"/>
  <c r="I9" i="35"/>
  <c r="H9" i="35"/>
  <c r="I28" i="25"/>
  <c r="H28" i="25"/>
  <c r="I16" i="25"/>
  <c r="H16" i="25"/>
  <c r="I9" i="25"/>
  <c r="H9" i="25"/>
  <c r="I38" i="36" l="1"/>
  <c r="J38" i="36" s="1"/>
  <c r="I37" i="36"/>
  <c r="J37" i="36" s="1"/>
  <c r="I36" i="36"/>
  <c r="J36" i="36" s="1"/>
  <c r="I35" i="36"/>
  <c r="J35" i="36" s="1"/>
  <c r="I34" i="36"/>
  <c r="I33" i="36"/>
  <c r="I32" i="36"/>
  <c r="J32" i="36" s="1"/>
  <c r="I31" i="36"/>
  <c r="J31" i="36" s="1"/>
  <c r="I30" i="36"/>
  <c r="J30" i="36" s="1"/>
  <c r="I29" i="36"/>
  <c r="J29" i="36" s="1"/>
  <c r="J28" i="36"/>
  <c r="I27" i="36"/>
  <c r="J27" i="36" s="1"/>
  <c r="I26" i="36"/>
  <c r="J26" i="36" s="1"/>
  <c r="I25" i="36"/>
  <c r="I24" i="36"/>
  <c r="I23" i="36"/>
  <c r="I22" i="36"/>
  <c r="I21" i="36"/>
  <c r="N21" i="36" s="1"/>
  <c r="I20" i="36"/>
  <c r="I19" i="36"/>
  <c r="J19" i="36" s="1"/>
  <c r="L19" i="36" s="1"/>
  <c r="I18" i="36"/>
  <c r="I17" i="36"/>
  <c r="N17" i="36" s="1"/>
  <c r="I15" i="36"/>
  <c r="N15" i="36" s="1"/>
  <c r="I14" i="36"/>
  <c r="N14" i="36" s="1"/>
  <c r="I13" i="36"/>
  <c r="J13" i="36" s="1"/>
  <c r="I12" i="36"/>
  <c r="J12" i="36" s="1"/>
  <c r="I11" i="36"/>
  <c r="J11" i="36" s="1"/>
  <c r="L11" i="36" s="1"/>
  <c r="I10" i="36"/>
  <c r="N10" i="36" s="1"/>
  <c r="J9" i="36"/>
  <c r="L9" i="36" s="1"/>
  <c r="I8" i="36"/>
  <c r="J8" i="36" s="1"/>
  <c r="L8" i="36" s="1"/>
  <c r="P8" i="36" s="1"/>
  <c r="I7" i="36"/>
  <c r="J7" i="36" s="1"/>
  <c r="L7" i="36" s="1"/>
  <c r="I6" i="36"/>
  <c r="J6" i="36" s="1"/>
  <c r="L6" i="36" s="1"/>
  <c r="I5" i="36"/>
  <c r="I4" i="36"/>
  <c r="J4" i="36" s="1"/>
  <c r="L4" i="36" s="1"/>
  <c r="I3" i="36"/>
  <c r="J3" i="36" s="1"/>
  <c r="L3" i="36" s="1"/>
  <c r="P3" i="36" s="1"/>
  <c r="I2" i="36"/>
  <c r="J2" i="36" s="1"/>
  <c r="L2" i="36" s="1"/>
  <c r="H38" i="36"/>
  <c r="O38" i="36" s="1"/>
  <c r="H37" i="36"/>
  <c r="O37" i="36" s="1"/>
  <c r="H36" i="36"/>
  <c r="H35" i="36"/>
  <c r="O35" i="36" s="1"/>
  <c r="H34" i="36"/>
  <c r="O34" i="36" s="1"/>
  <c r="H33" i="36"/>
  <c r="O33" i="36" s="1"/>
  <c r="H32" i="36"/>
  <c r="H31" i="36"/>
  <c r="O31" i="36" s="1"/>
  <c r="H30" i="36"/>
  <c r="O30" i="36" s="1"/>
  <c r="H29" i="36"/>
  <c r="O29" i="36" s="1"/>
  <c r="O28" i="36"/>
  <c r="H27" i="36"/>
  <c r="O27" i="36" s="1"/>
  <c r="H26" i="36"/>
  <c r="O26" i="36" s="1"/>
  <c r="H25" i="36"/>
  <c r="O25" i="36" s="1"/>
  <c r="H24" i="36"/>
  <c r="O24" i="36" s="1"/>
  <c r="H23" i="36"/>
  <c r="O23" i="36" s="1"/>
  <c r="H22" i="36"/>
  <c r="O22" i="36" s="1"/>
  <c r="H21" i="36"/>
  <c r="H20" i="36"/>
  <c r="O20" i="36" s="1"/>
  <c r="H19" i="36"/>
  <c r="O19" i="36" s="1"/>
  <c r="H18" i="36"/>
  <c r="H17" i="36"/>
  <c r="O17" i="36" s="1"/>
  <c r="H15" i="36"/>
  <c r="O15" i="36" s="1"/>
  <c r="H14" i="36"/>
  <c r="O14" i="36" s="1"/>
  <c r="H13" i="36"/>
  <c r="O13" i="36" s="1"/>
  <c r="H12" i="36"/>
  <c r="O12" i="36" s="1"/>
  <c r="H11" i="36"/>
  <c r="O11" i="36" s="1"/>
  <c r="H10" i="36"/>
  <c r="O10" i="36" s="1"/>
  <c r="O9" i="36"/>
  <c r="H8" i="36"/>
  <c r="O8" i="36" s="1"/>
  <c r="H7" i="36"/>
  <c r="O7" i="36" s="1"/>
  <c r="H6" i="36"/>
  <c r="O6" i="36" s="1"/>
  <c r="H5" i="36"/>
  <c r="O5" i="36" s="1"/>
  <c r="H4" i="36"/>
  <c r="O4" i="36" s="1"/>
  <c r="H3" i="36"/>
  <c r="O3" i="36" s="1"/>
  <c r="H2" i="36"/>
  <c r="O2" i="36" s="1"/>
  <c r="I38" i="35"/>
  <c r="N38" i="35" s="1"/>
  <c r="I37" i="35"/>
  <c r="J37" i="35" s="1"/>
  <c r="I36" i="35"/>
  <c r="J36" i="35" s="1"/>
  <c r="L36" i="35" s="1"/>
  <c r="I35" i="35"/>
  <c r="N35" i="35" s="1"/>
  <c r="I34" i="35"/>
  <c r="N34" i="35" s="1"/>
  <c r="I33" i="35"/>
  <c r="J33" i="35" s="1"/>
  <c r="I32" i="35"/>
  <c r="N32" i="35" s="1"/>
  <c r="I31" i="35"/>
  <c r="J31" i="35" s="1"/>
  <c r="I30" i="35"/>
  <c r="N30" i="35" s="1"/>
  <c r="I29" i="35"/>
  <c r="J29" i="35" s="1"/>
  <c r="J28" i="35"/>
  <c r="L28" i="35" s="1"/>
  <c r="I27" i="35"/>
  <c r="J27" i="35" s="1"/>
  <c r="I26" i="35"/>
  <c r="J26" i="35" s="1"/>
  <c r="L26" i="35" s="1"/>
  <c r="I25" i="35"/>
  <c r="J25" i="35" s="1"/>
  <c r="I24" i="35"/>
  <c r="J24" i="35" s="1"/>
  <c r="I23" i="35"/>
  <c r="I22" i="35"/>
  <c r="N22" i="35" s="1"/>
  <c r="I21" i="35"/>
  <c r="N21" i="35" s="1"/>
  <c r="I20" i="35"/>
  <c r="N20" i="35" s="1"/>
  <c r="I19" i="35"/>
  <c r="J19" i="35" s="1"/>
  <c r="I18" i="35"/>
  <c r="N18" i="35" s="1"/>
  <c r="I17" i="35"/>
  <c r="N17" i="35" s="1"/>
  <c r="N16" i="35"/>
  <c r="I15" i="35"/>
  <c r="N15" i="35" s="1"/>
  <c r="I14" i="35"/>
  <c r="J14" i="35" s="1"/>
  <c r="I13" i="35"/>
  <c r="J13" i="35" s="1"/>
  <c r="L13" i="35" s="1"/>
  <c r="P13" i="35" s="1"/>
  <c r="I12" i="35"/>
  <c r="N12" i="35" s="1"/>
  <c r="I11" i="35"/>
  <c r="N11" i="35" s="1"/>
  <c r="I10" i="35"/>
  <c r="J10" i="35" s="1"/>
  <c r="L10" i="35" s="1"/>
  <c r="N9" i="35"/>
  <c r="I8" i="35"/>
  <c r="J8" i="35" s="1"/>
  <c r="L8" i="35" s="1"/>
  <c r="I7" i="35"/>
  <c r="J7" i="35" s="1"/>
  <c r="I6" i="35"/>
  <c r="I5" i="35"/>
  <c r="J5" i="35" s="1"/>
  <c r="L5" i="35" s="1"/>
  <c r="I4" i="35"/>
  <c r="J4" i="35" s="1"/>
  <c r="L4" i="35" s="1"/>
  <c r="I3" i="35"/>
  <c r="J3" i="35" s="1"/>
  <c r="L3" i="35" s="1"/>
  <c r="I2" i="35"/>
  <c r="J2" i="35" s="1"/>
  <c r="L2" i="35" s="1"/>
  <c r="H38" i="35"/>
  <c r="O38" i="35" s="1"/>
  <c r="H37" i="35"/>
  <c r="H36" i="35"/>
  <c r="O36" i="35" s="1"/>
  <c r="H35" i="35"/>
  <c r="O35" i="35" s="1"/>
  <c r="H34" i="35"/>
  <c r="O34" i="35" s="1"/>
  <c r="H33" i="35"/>
  <c r="O33" i="35" s="1"/>
  <c r="H32" i="35"/>
  <c r="O32" i="35" s="1"/>
  <c r="H31" i="35"/>
  <c r="O31" i="35" s="1"/>
  <c r="H30" i="35"/>
  <c r="H29" i="35"/>
  <c r="O29" i="35" s="1"/>
  <c r="O28" i="35"/>
  <c r="H27" i="35"/>
  <c r="O27" i="35" s="1"/>
  <c r="H26" i="35"/>
  <c r="O26" i="35" s="1"/>
  <c r="H25" i="35"/>
  <c r="O25" i="35" s="1"/>
  <c r="H24" i="35"/>
  <c r="O24" i="35" s="1"/>
  <c r="H23" i="35"/>
  <c r="O23" i="35" s="1"/>
  <c r="H22" i="35"/>
  <c r="O22" i="35" s="1"/>
  <c r="H21" i="35"/>
  <c r="O21" i="35" s="1"/>
  <c r="H20" i="35"/>
  <c r="O20" i="35" s="1"/>
  <c r="H19" i="35"/>
  <c r="O19" i="35" s="1"/>
  <c r="H18" i="35"/>
  <c r="O18" i="35" s="1"/>
  <c r="H17" i="35"/>
  <c r="O17" i="35" s="1"/>
  <c r="O16" i="35"/>
  <c r="H15" i="35"/>
  <c r="O15" i="35" s="1"/>
  <c r="H14" i="35"/>
  <c r="O14" i="35" s="1"/>
  <c r="H13" i="35"/>
  <c r="O13" i="35" s="1"/>
  <c r="H12" i="35"/>
  <c r="O12" i="35" s="1"/>
  <c r="H11" i="35"/>
  <c r="O11" i="35" s="1"/>
  <c r="H10" i="35"/>
  <c r="O10" i="35" s="1"/>
  <c r="O9" i="35"/>
  <c r="H8" i="35"/>
  <c r="O8" i="35" s="1"/>
  <c r="H7" i="35"/>
  <c r="O7" i="35" s="1"/>
  <c r="H6" i="35"/>
  <c r="O6" i="35" s="1"/>
  <c r="H5" i="35"/>
  <c r="H4" i="35"/>
  <c r="O4" i="35" s="1"/>
  <c r="H3" i="35"/>
  <c r="O3" i="35" s="1"/>
  <c r="H2" i="35"/>
  <c r="O2" i="35" s="1"/>
  <c r="Q38" i="36"/>
  <c r="C38" i="36"/>
  <c r="R38" i="36" s="1"/>
  <c r="Q37" i="36"/>
  <c r="C37" i="36"/>
  <c r="R37" i="36" s="1"/>
  <c r="Q36" i="36"/>
  <c r="O36" i="36"/>
  <c r="C36" i="36"/>
  <c r="R36" i="36" s="1"/>
  <c r="Q35" i="36"/>
  <c r="C35" i="36"/>
  <c r="R35" i="36" s="1"/>
  <c r="Q34" i="36"/>
  <c r="J34" i="36"/>
  <c r="C34" i="36"/>
  <c r="R34" i="36" s="1"/>
  <c r="Q33" i="36"/>
  <c r="J33" i="36"/>
  <c r="C33" i="36"/>
  <c r="R33" i="36" s="1"/>
  <c r="Q32" i="36"/>
  <c r="O32" i="36"/>
  <c r="C32" i="36"/>
  <c r="R32" i="36" s="1"/>
  <c r="Q31" i="36"/>
  <c r="C31" i="36"/>
  <c r="R31" i="36" s="1"/>
  <c r="Q30" i="36"/>
  <c r="C30" i="36"/>
  <c r="R30" i="36" s="1"/>
  <c r="Q29" i="36"/>
  <c r="C29" i="36"/>
  <c r="R29" i="36" s="1"/>
  <c r="Q28" i="36"/>
  <c r="C28" i="36"/>
  <c r="Q27" i="36"/>
  <c r="C27" i="36"/>
  <c r="R27" i="36" s="1"/>
  <c r="Q26" i="36"/>
  <c r="C26" i="36"/>
  <c r="R26" i="36" s="1"/>
  <c r="Q25" i="36"/>
  <c r="C25" i="36"/>
  <c r="R25" i="36" s="1"/>
  <c r="Q24" i="36"/>
  <c r="C24" i="36"/>
  <c r="R24" i="36" s="1"/>
  <c r="Q23" i="36"/>
  <c r="C23" i="36"/>
  <c r="R23" i="36" s="1"/>
  <c r="Q22" i="36"/>
  <c r="J22" i="36"/>
  <c r="L22" i="36" s="1"/>
  <c r="C22" i="36"/>
  <c r="R22" i="36" s="1"/>
  <c r="Q21" i="36"/>
  <c r="O21" i="36"/>
  <c r="C21" i="36"/>
  <c r="R21" i="36" s="1"/>
  <c r="Q20" i="36"/>
  <c r="C20" i="36"/>
  <c r="R20" i="36" s="1"/>
  <c r="Q19" i="36"/>
  <c r="C19" i="36"/>
  <c r="R19" i="36" s="1"/>
  <c r="Q18" i="36"/>
  <c r="J18" i="36"/>
  <c r="L18" i="36" s="1"/>
  <c r="O18" i="36"/>
  <c r="C18" i="36"/>
  <c r="R18" i="36" s="1"/>
  <c r="Q17" i="36"/>
  <c r="C17" i="36"/>
  <c r="R17" i="36" s="1"/>
  <c r="Q16" i="36"/>
  <c r="O16" i="36"/>
  <c r="C16" i="36"/>
  <c r="Q15" i="36"/>
  <c r="C15" i="36"/>
  <c r="R15" i="36" s="1"/>
  <c r="Q14" i="36"/>
  <c r="C14" i="36"/>
  <c r="R14" i="36" s="1"/>
  <c r="Q13" i="36"/>
  <c r="C13" i="36"/>
  <c r="R13" i="36" s="1"/>
  <c r="Q12" i="36"/>
  <c r="C12" i="36"/>
  <c r="R12" i="36" s="1"/>
  <c r="Q11" i="36"/>
  <c r="C11" i="36"/>
  <c r="R11" i="36" s="1"/>
  <c r="Q10" i="36"/>
  <c r="C10" i="36"/>
  <c r="R10" i="36" s="1"/>
  <c r="Q9" i="36"/>
  <c r="C9" i="36"/>
  <c r="Q8" i="36"/>
  <c r="C8" i="36"/>
  <c r="R8" i="36" s="1"/>
  <c r="Q7" i="36"/>
  <c r="C7" i="36"/>
  <c r="Q6" i="36"/>
  <c r="C6" i="36"/>
  <c r="R6" i="36" s="1"/>
  <c r="Q5" i="36"/>
  <c r="J5" i="36"/>
  <c r="L5" i="36" s="1"/>
  <c r="P5" i="36" s="1"/>
  <c r="C5" i="36"/>
  <c r="R5" i="36" s="1"/>
  <c r="Q4" i="36"/>
  <c r="C4" i="36"/>
  <c r="Q3" i="36"/>
  <c r="C3" i="36"/>
  <c r="R3" i="36" s="1"/>
  <c r="Q2" i="36"/>
  <c r="C2" i="36"/>
  <c r="Q38" i="35"/>
  <c r="C38" i="35"/>
  <c r="R38" i="35" s="1"/>
  <c r="Q37" i="35"/>
  <c r="O37" i="35"/>
  <c r="C37" i="35"/>
  <c r="R37" i="35" s="1"/>
  <c r="Q36" i="35"/>
  <c r="C36" i="35"/>
  <c r="R36" i="35" s="1"/>
  <c r="Q35" i="35"/>
  <c r="C35" i="35"/>
  <c r="R35" i="35" s="1"/>
  <c r="Q34" i="35"/>
  <c r="C34" i="35"/>
  <c r="R34" i="35" s="1"/>
  <c r="Q33" i="35"/>
  <c r="C33" i="35"/>
  <c r="R33" i="35" s="1"/>
  <c r="Q32" i="35"/>
  <c r="C32" i="35"/>
  <c r="R32" i="35" s="1"/>
  <c r="Q31" i="35"/>
  <c r="C31" i="35"/>
  <c r="R31" i="35" s="1"/>
  <c r="Q30" i="35"/>
  <c r="O30" i="35"/>
  <c r="C30" i="35"/>
  <c r="R30" i="35" s="1"/>
  <c r="Q29" i="35"/>
  <c r="C29" i="35"/>
  <c r="R29" i="35" s="1"/>
  <c r="Q28" i="35"/>
  <c r="C28" i="35"/>
  <c r="Q27" i="35"/>
  <c r="C27" i="35"/>
  <c r="R27" i="35" s="1"/>
  <c r="Q26" i="35"/>
  <c r="C26" i="35"/>
  <c r="R26" i="35" s="1"/>
  <c r="Q25" i="35"/>
  <c r="C25" i="35"/>
  <c r="R25" i="35" s="1"/>
  <c r="Q24" i="35"/>
  <c r="N24" i="35"/>
  <c r="C24" i="35"/>
  <c r="R24" i="35" s="1"/>
  <c r="Q23" i="35"/>
  <c r="C23" i="35"/>
  <c r="R23" i="35" s="1"/>
  <c r="Q22" i="35"/>
  <c r="C22" i="35"/>
  <c r="R22" i="35" s="1"/>
  <c r="Q21" i="35"/>
  <c r="C21" i="35"/>
  <c r="R21" i="35" s="1"/>
  <c r="Q20" i="35"/>
  <c r="C20" i="35"/>
  <c r="R20" i="35" s="1"/>
  <c r="Q19" i="35"/>
  <c r="C19" i="35"/>
  <c r="R19" i="35" s="1"/>
  <c r="Q18" i="35"/>
  <c r="C18" i="35"/>
  <c r="R18" i="35" s="1"/>
  <c r="Q17" i="35"/>
  <c r="C17" i="35"/>
  <c r="R17" i="35" s="1"/>
  <c r="Q16" i="35"/>
  <c r="C16" i="35"/>
  <c r="Q15" i="35"/>
  <c r="C15" i="35"/>
  <c r="R15" i="35" s="1"/>
  <c r="Q14" i="35"/>
  <c r="C14" i="35"/>
  <c r="R14" i="35" s="1"/>
  <c r="Q13" i="35"/>
  <c r="C13" i="35"/>
  <c r="R13" i="35" s="1"/>
  <c r="Q12" i="35"/>
  <c r="C12" i="35"/>
  <c r="R12" i="35" s="1"/>
  <c r="Q11" i="35"/>
  <c r="C11" i="35"/>
  <c r="R11" i="35" s="1"/>
  <c r="Q10" i="35"/>
  <c r="C10" i="35"/>
  <c r="R10" i="35" s="1"/>
  <c r="Q9" i="35"/>
  <c r="C9" i="35"/>
  <c r="Q8" i="35"/>
  <c r="C8" i="35"/>
  <c r="R8" i="35" s="1"/>
  <c r="Q7" i="35"/>
  <c r="C7" i="35"/>
  <c r="R7" i="35" s="1"/>
  <c r="Q6" i="35"/>
  <c r="C6" i="35"/>
  <c r="R6" i="35" s="1"/>
  <c r="Q5" i="35"/>
  <c r="O5" i="35"/>
  <c r="C5" i="35"/>
  <c r="R5" i="35" s="1"/>
  <c r="Q4" i="35"/>
  <c r="C4" i="35"/>
  <c r="Q3" i="35"/>
  <c r="C3" i="35"/>
  <c r="R3" i="35" s="1"/>
  <c r="Q2" i="35"/>
  <c r="C2" i="35"/>
  <c r="Q2" i="25"/>
  <c r="Q3" i="25"/>
  <c r="I3" i="25"/>
  <c r="J3" i="25" s="1"/>
  <c r="I2" i="25"/>
  <c r="N2" i="25" s="1"/>
  <c r="H3" i="25"/>
  <c r="O3" i="25" s="1"/>
  <c r="H2" i="25"/>
  <c r="O2" i="25" s="1"/>
  <c r="C2" i="25"/>
  <c r="C3" i="25"/>
  <c r="R3" i="25" s="1"/>
  <c r="D8" i="37" l="1"/>
  <c r="D12" i="38"/>
  <c r="J18" i="35"/>
  <c r="R28" i="36"/>
  <c r="R16" i="36"/>
  <c r="R28" i="35"/>
  <c r="R2" i="35"/>
  <c r="R4" i="35"/>
  <c r="R9" i="35"/>
  <c r="R16" i="35"/>
  <c r="J30" i="35"/>
  <c r="N29" i="35"/>
  <c r="N37" i="35"/>
  <c r="J38" i="35"/>
  <c r="L38" i="35" s="1"/>
  <c r="P38" i="35" s="1"/>
  <c r="S38" i="35" s="1"/>
  <c r="J22" i="35"/>
  <c r="N14" i="35"/>
  <c r="J6" i="35"/>
  <c r="L6" i="35" s="1"/>
  <c r="N6" i="35"/>
  <c r="J12" i="35"/>
  <c r="L12" i="35" s="1"/>
  <c r="N8" i="35"/>
  <c r="J11" i="35"/>
  <c r="L11" i="35" s="1"/>
  <c r="P11" i="35" s="1"/>
  <c r="S11" i="35" s="1"/>
  <c r="N7" i="35"/>
  <c r="P2" i="35"/>
  <c r="S2" i="35" s="1"/>
  <c r="N2" i="35"/>
  <c r="N31" i="35"/>
  <c r="J9" i="35"/>
  <c r="L9" i="35" s="1"/>
  <c r="J35" i="35"/>
  <c r="L35" i="35" s="1"/>
  <c r="M35" i="35" s="1"/>
  <c r="N23" i="35"/>
  <c r="J23" i="35"/>
  <c r="N23" i="36"/>
  <c r="J23" i="36"/>
  <c r="N25" i="36"/>
  <c r="J25" i="36"/>
  <c r="N25" i="35"/>
  <c r="N27" i="35"/>
  <c r="N24" i="36"/>
  <c r="J24" i="36"/>
  <c r="J15" i="36"/>
  <c r="L15" i="36" s="1"/>
  <c r="M15" i="36" s="1"/>
  <c r="R4" i="36"/>
  <c r="N13" i="36"/>
  <c r="J15" i="35"/>
  <c r="L15" i="35" s="1"/>
  <c r="P15" i="35" s="1"/>
  <c r="S15" i="35" s="1"/>
  <c r="N5" i="35"/>
  <c r="J17" i="35"/>
  <c r="L17" i="35" s="1"/>
  <c r="M17" i="35" s="1"/>
  <c r="J21" i="35"/>
  <c r="L21" i="35" s="1"/>
  <c r="M21" i="35" s="1"/>
  <c r="J17" i="36"/>
  <c r="L17" i="36" s="1"/>
  <c r="P17" i="36" s="1"/>
  <c r="R7" i="36"/>
  <c r="R2" i="36"/>
  <c r="N11" i="36"/>
  <c r="J21" i="36"/>
  <c r="L21" i="36" s="1"/>
  <c r="P21" i="36" s="1"/>
  <c r="R9" i="36"/>
  <c r="N36" i="35"/>
  <c r="J32" i="35"/>
  <c r="L32" i="35" s="1"/>
  <c r="P32" i="35" s="1"/>
  <c r="S32" i="35" s="1"/>
  <c r="R2" i="25"/>
  <c r="N10" i="35"/>
  <c r="N12" i="36"/>
  <c r="N33" i="35"/>
  <c r="J34" i="35"/>
  <c r="N28" i="35"/>
  <c r="J20" i="35"/>
  <c r="L20" i="35" s="1"/>
  <c r="P20" i="35" s="1"/>
  <c r="S20" i="35" s="1"/>
  <c r="N26" i="35"/>
  <c r="N19" i="35"/>
  <c r="J16" i="35"/>
  <c r="L16" i="35" s="1"/>
  <c r="J10" i="36"/>
  <c r="L10" i="36" s="1"/>
  <c r="P10" i="36" s="1"/>
  <c r="S10" i="36" s="1"/>
  <c r="N13" i="35"/>
  <c r="P9" i="36"/>
  <c r="S9" i="36" s="1"/>
  <c r="N4" i="35"/>
  <c r="N19" i="36"/>
  <c r="J14" i="36"/>
  <c r="L14" i="36" s="1"/>
  <c r="M14" i="36" s="1"/>
  <c r="M22" i="36"/>
  <c r="P4" i="35"/>
  <c r="S4" i="35" s="1"/>
  <c r="P8" i="35"/>
  <c r="S8" i="35" s="1"/>
  <c r="L31" i="35"/>
  <c r="P31" i="35" s="1"/>
  <c r="S31" i="35" s="1"/>
  <c r="L24" i="35"/>
  <c r="L27" i="35"/>
  <c r="M27" i="35" s="1"/>
  <c r="M28" i="35"/>
  <c r="L30" i="35"/>
  <c r="M30" i="35" s="1"/>
  <c r="L33" i="35"/>
  <c r="M33" i="35" s="1"/>
  <c r="M36" i="35"/>
  <c r="S13" i="35"/>
  <c r="L22" i="35"/>
  <c r="M22" i="35" s="1"/>
  <c r="L23" i="35"/>
  <c r="L25" i="35"/>
  <c r="D15" i="37" s="1"/>
  <c r="M26" i="35"/>
  <c r="L29" i="35"/>
  <c r="M29" i="35" s="1"/>
  <c r="L34" i="35"/>
  <c r="M34" i="35" s="1"/>
  <c r="L37" i="35"/>
  <c r="M37" i="35" s="1"/>
  <c r="N3" i="35"/>
  <c r="P18" i="36"/>
  <c r="S18" i="36" s="1"/>
  <c r="J20" i="36"/>
  <c r="N20" i="36"/>
  <c r="L26" i="36"/>
  <c r="L32" i="36"/>
  <c r="N2" i="36"/>
  <c r="N3" i="36"/>
  <c r="N4" i="36"/>
  <c r="N5" i="36"/>
  <c r="N6" i="36"/>
  <c r="N7" i="36"/>
  <c r="N8" i="36"/>
  <c r="N9" i="36"/>
  <c r="L13" i="36"/>
  <c r="M13" i="36" s="1"/>
  <c r="J16" i="36"/>
  <c r="N16" i="36"/>
  <c r="M18" i="36"/>
  <c r="L34" i="36"/>
  <c r="D16" i="38" s="1"/>
  <c r="P2" i="36"/>
  <c r="S2" i="36" s="1"/>
  <c r="P4" i="36"/>
  <c r="S4" i="36" s="1"/>
  <c r="P6" i="36"/>
  <c r="S6" i="36" s="1"/>
  <c r="P7" i="36"/>
  <c r="S7" i="36" s="1"/>
  <c r="P11" i="36"/>
  <c r="S11" i="36" s="1"/>
  <c r="L28" i="36"/>
  <c r="L36" i="36"/>
  <c r="M36" i="36" s="1"/>
  <c r="S3" i="36"/>
  <c r="S5" i="36"/>
  <c r="S8" i="36"/>
  <c r="M2" i="36"/>
  <c r="M3" i="36"/>
  <c r="M4" i="36"/>
  <c r="M5" i="36"/>
  <c r="M6" i="36"/>
  <c r="M7" i="36"/>
  <c r="M8" i="36"/>
  <c r="M9" i="36"/>
  <c r="M11" i="36"/>
  <c r="L12" i="36"/>
  <c r="P19" i="36"/>
  <c r="S19" i="36" s="1"/>
  <c r="M19" i="36"/>
  <c r="P22" i="36"/>
  <c r="S22" i="36" s="1"/>
  <c r="L30" i="36"/>
  <c r="N18" i="36"/>
  <c r="N22" i="36"/>
  <c r="L38" i="36"/>
  <c r="M38" i="36" s="1"/>
  <c r="L25" i="36"/>
  <c r="L27" i="36"/>
  <c r="L29" i="36"/>
  <c r="L31" i="36"/>
  <c r="L33" i="36"/>
  <c r="L35" i="36"/>
  <c r="L37" i="36"/>
  <c r="M37" i="36" s="1"/>
  <c r="N26" i="36"/>
  <c r="N27" i="36"/>
  <c r="N28" i="36"/>
  <c r="N29" i="36"/>
  <c r="N30" i="36"/>
  <c r="N31" i="36"/>
  <c r="N32" i="36"/>
  <c r="N33" i="36"/>
  <c r="N34" i="36"/>
  <c r="N35" i="36"/>
  <c r="N36" i="36"/>
  <c r="N37" i="36"/>
  <c r="N38" i="36"/>
  <c r="P3" i="35"/>
  <c r="S3" i="35" s="1"/>
  <c r="P12" i="35"/>
  <c r="S12" i="35" s="1"/>
  <c r="M4" i="35"/>
  <c r="P5" i="35"/>
  <c r="S5" i="35" s="1"/>
  <c r="L7" i="35"/>
  <c r="M7" i="35" s="1"/>
  <c r="M8" i="35"/>
  <c r="P10" i="35"/>
  <c r="S10" i="35" s="1"/>
  <c r="M13" i="35"/>
  <c r="L14" i="35"/>
  <c r="M12" i="35"/>
  <c r="M5" i="35"/>
  <c r="M10" i="35"/>
  <c r="L18" i="35"/>
  <c r="M18" i="35" s="1"/>
  <c r="L19" i="35"/>
  <c r="M19" i="35" s="1"/>
  <c r="M3" i="35"/>
  <c r="M2" i="35"/>
  <c r="P28" i="35"/>
  <c r="S28" i="35" s="1"/>
  <c r="P26" i="35"/>
  <c r="S26" i="35" s="1"/>
  <c r="P36" i="35"/>
  <c r="S36" i="35" s="1"/>
  <c r="N3" i="25"/>
  <c r="L3" i="25"/>
  <c r="J2" i="25"/>
  <c r="D10" i="37" l="1"/>
  <c r="D3" i="37"/>
  <c r="D13" i="37"/>
  <c r="D8" i="38"/>
  <c r="D18" i="37"/>
  <c r="D21" i="37"/>
  <c r="D5" i="37"/>
  <c r="D4" i="37"/>
  <c r="D11" i="37"/>
  <c r="D2" i="37"/>
  <c r="D20" i="38"/>
  <c r="D4" i="38"/>
  <c r="D14" i="37"/>
  <c r="D17" i="37"/>
  <c r="D16" i="37"/>
  <c r="D20" i="37"/>
  <c r="D7" i="37"/>
  <c r="D6" i="37"/>
  <c r="D9" i="37"/>
  <c r="D12" i="37"/>
  <c r="D19" i="37"/>
  <c r="P6" i="35"/>
  <c r="S6" i="35" s="1"/>
  <c r="M6" i="35"/>
  <c r="M11" i="35"/>
  <c r="P37" i="35"/>
  <c r="S37" i="35" s="1"/>
  <c r="P34" i="35"/>
  <c r="S34" i="35" s="1"/>
  <c r="P27" i="35"/>
  <c r="S27" i="35" s="1"/>
  <c r="M9" i="35"/>
  <c r="P9" i="35"/>
  <c r="S9" i="35" s="1"/>
  <c r="M15" i="35"/>
  <c r="C28" i="26"/>
  <c r="D28" i="26" s="1"/>
  <c r="M32" i="35"/>
  <c r="M23" i="35"/>
  <c r="P23" i="35"/>
  <c r="S23" i="35" s="1"/>
  <c r="M25" i="35"/>
  <c r="P25" i="35"/>
  <c r="S25" i="35" s="1"/>
  <c r="M24" i="35"/>
  <c r="P24" i="35"/>
  <c r="S24" i="35" s="1"/>
  <c r="M10" i="36"/>
  <c r="S17" i="36"/>
  <c r="M17" i="36"/>
  <c r="S21" i="36"/>
  <c r="M20" i="35"/>
  <c r="M38" i="35"/>
  <c r="C25" i="26"/>
  <c r="D25" i="26" s="1"/>
  <c r="P30" i="35"/>
  <c r="S30" i="35" s="1"/>
  <c r="C48" i="26"/>
  <c r="D48" i="26" s="1"/>
  <c r="P35" i="35"/>
  <c r="S35" i="35" s="1"/>
  <c r="P29" i="35"/>
  <c r="S29" i="35" s="1"/>
  <c r="C22" i="26"/>
  <c r="D22" i="26" s="1"/>
  <c r="C21" i="26"/>
  <c r="D21" i="26" s="1"/>
  <c r="C20" i="26"/>
  <c r="D20" i="26" s="1"/>
  <c r="C23" i="26"/>
  <c r="D23" i="26" s="1"/>
  <c r="C35" i="26"/>
  <c r="D35" i="26" s="1"/>
  <c r="C46" i="26"/>
  <c r="D46" i="26" s="1"/>
  <c r="C47" i="26"/>
  <c r="D47" i="26" s="1"/>
  <c r="C49" i="26"/>
  <c r="D49" i="26" s="1"/>
  <c r="C31" i="26"/>
  <c r="D31" i="26" s="1"/>
  <c r="C30" i="26"/>
  <c r="D30" i="26" s="1"/>
  <c r="C29" i="26"/>
  <c r="D29" i="26" s="1"/>
  <c r="C33" i="26"/>
  <c r="D33" i="26" s="1"/>
  <c r="C32" i="26"/>
  <c r="D32" i="26" s="1"/>
  <c r="C34" i="26"/>
  <c r="D34" i="26" s="1"/>
  <c r="C24" i="26"/>
  <c r="D24" i="26" s="1"/>
  <c r="C27" i="26"/>
  <c r="D27" i="26" s="1"/>
  <c r="C26" i="26"/>
  <c r="D26" i="26" s="1"/>
  <c r="M21" i="36"/>
  <c r="M31" i="35"/>
  <c r="P33" i="35"/>
  <c r="S33" i="35" s="1"/>
  <c r="P22" i="35"/>
  <c r="S22" i="35" s="1"/>
  <c r="P29" i="36"/>
  <c r="S29" i="36" s="1"/>
  <c r="P12" i="36"/>
  <c r="S12" i="36" s="1"/>
  <c r="P32" i="36"/>
  <c r="S32" i="36" s="1"/>
  <c r="L23" i="36"/>
  <c r="D6" i="38" s="1"/>
  <c r="P35" i="36"/>
  <c r="S35" i="36" s="1"/>
  <c r="P27" i="36"/>
  <c r="S27" i="36" s="1"/>
  <c r="M35" i="36"/>
  <c r="M27" i="36"/>
  <c r="M12" i="36"/>
  <c r="M32" i="36"/>
  <c r="L20" i="36"/>
  <c r="M20" i="36" s="1"/>
  <c r="M29" i="36"/>
  <c r="P14" i="36"/>
  <c r="S14" i="36" s="1"/>
  <c r="P36" i="36"/>
  <c r="S36" i="36" s="1"/>
  <c r="P33" i="36"/>
  <c r="S33" i="36" s="1"/>
  <c r="M33" i="36"/>
  <c r="P38" i="36"/>
  <c r="S38" i="36" s="1"/>
  <c r="P30" i="36"/>
  <c r="S30" i="36" s="1"/>
  <c r="P28" i="36"/>
  <c r="S28" i="36" s="1"/>
  <c r="P34" i="36"/>
  <c r="S34" i="36" s="1"/>
  <c r="P26" i="36"/>
  <c r="S26" i="36" s="1"/>
  <c r="L24" i="36"/>
  <c r="D19" i="38" s="1"/>
  <c r="P37" i="36"/>
  <c r="S37" i="36" s="1"/>
  <c r="L16" i="36"/>
  <c r="P31" i="36"/>
  <c r="S31" i="36" s="1"/>
  <c r="P25" i="36"/>
  <c r="S25" i="36" s="1"/>
  <c r="M31" i="36"/>
  <c r="M25" i="36"/>
  <c r="M30" i="36"/>
  <c r="M28" i="36"/>
  <c r="M34" i="36"/>
  <c r="P15" i="36"/>
  <c r="S15" i="36" s="1"/>
  <c r="P13" i="36"/>
  <c r="S13" i="36" s="1"/>
  <c r="M26" i="36"/>
  <c r="P16" i="35"/>
  <c r="S16" i="35" s="1"/>
  <c r="P18" i="35"/>
  <c r="S18" i="35" s="1"/>
  <c r="M16" i="35"/>
  <c r="P21" i="35"/>
  <c r="S21" i="35" s="1"/>
  <c r="P19" i="35"/>
  <c r="S19" i="35" s="1"/>
  <c r="P17" i="35"/>
  <c r="S17" i="35" s="1"/>
  <c r="P14" i="35"/>
  <c r="S14" i="35" s="1"/>
  <c r="P7" i="35"/>
  <c r="S7" i="35" s="1"/>
  <c r="M14" i="35"/>
  <c r="L2" i="25"/>
  <c r="P3" i="25"/>
  <c r="S3" i="25" s="1"/>
  <c r="M3" i="25"/>
  <c r="D3" i="38" l="1"/>
  <c r="D11" i="38"/>
  <c r="D2" i="38"/>
  <c r="C44" i="26"/>
  <c r="D44" i="26" s="1"/>
  <c r="D15" i="38"/>
  <c r="D10" i="38"/>
  <c r="D14" i="38"/>
  <c r="D18" i="38"/>
  <c r="D13" i="38"/>
  <c r="D17" i="38"/>
  <c r="D5" i="38"/>
  <c r="D21" i="38"/>
  <c r="D9" i="38"/>
  <c r="D7" i="38"/>
  <c r="C43" i="26"/>
  <c r="D43" i="26" s="1"/>
  <c r="C45" i="26"/>
  <c r="D45" i="26" s="1"/>
  <c r="C42" i="26"/>
  <c r="D42" i="26" s="1"/>
  <c r="C41" i="26"/>
  <c r="D41" i="26" s="1"/>
  <c r="C40" i="26"/>
  <c r="D40" i="26" s="1"/>
  <c r="C39" i="26"/>
  <c r="D39" i="26" s="1"/>
  <c r="C38" i="26"/>
  <c r="D38" i="26" s="1"/>
  <c r="C51" i="26"/>
  <c r="D51" i="26" s="1"/>
  <c r="C50" i="26"/>
  <c r="D50" i="26" s="1"/>
  <c r="C52" i="26"/>
  <c r="D52" i="26" s="1"/>
  <c r="C53" i="26"/>
  <c r="D53" i="26" s="1"/>
  <c r="G20" i="26"/>
  <c r="G23" i="26"/>
  <c r="P24" i="36"/>
  <c r="S24" i="36" s="1"/>
  <c r="P23" i="36"/>
  <c r="S23" i="36" s="1"/>
  <c r="P16" i="36"/>
  <c r="S16" i="36" s="1"/>
  <c r="M16" i="36"/>
  <c r="M24" i="36"/>
  <c r="P20" i="36"/>
  <c r="S20" i="36" s="1"/>
  <c r="M23" i="36"/>
  <c r="P2" i="25"/>
  <c r="S2" i="25" s="1"/>
  <c r="M2" i="25"/>
  <c r="G41" i="26" l="1"/>
  <c r="G38" i="26"/>
  <c r="G21" i="26"/>
  <c r="G22" i="26" s="1"/>
  <c r="I37" i="25"/>
  <c r="H38" i="25"/>
  <c r="O38" i="25" s="1"/>
  <c r="H37" i="25"/>
  <c r="O37" i="25" s="1"/>
  <c r="H36" i="25"/>
  <c r="O36" i="25" s="1"/>
  <c r="H35" i="25"/>
  <c r="O35" i="25" s="1"/>
  <c r="H34" i="25"/>
  <c r="O34" i="25" s="1"/>
  <c r="H33" i="25"/>
  <c r="O33" i="25" s="1"/>
  <c r="H32" i="25"/>
  <c r="O32" i="25" s="1"/>
  <c r="H31" i="25"/>
  <c r="O31" i="25" s="1"/>
  <c r="H30" i="25"/>
  <c r="O30" i="25" s="1"/>
  <c r="H29" i="25"/>
  <c r="O29" i="25" s="1"/>
  <c r="O28" i="25"/>
  <c r="H27" i="25"/>
  <c r="O27" i="25" s="1"/>
  <c r="H26" i="25"/>
  <c r="O26" i="25" s="1"/>
  <c r="H25" i="25"/>
  <c r="O25" i="25" s="1"/>
  <c r="H24" i="25"/>
  <c r="O24" i="25" s="1"/>
  <c r="H23" i="25"/>
  <c r="O23" i="25" s="1"/>
  <c r="H22" i="25"/>
  <c r="O22" i="25" s="1"/>
  <c r="H21" i="25"/>
  <c r="O21" i="25" s="1"/>
  <c r="H20" i="25"/>
  <c r="O20" i="25" s="1"/>
  <c r="H19" i="25"/>
  <c r="O19" i="25" s="1"/>
  <c r="H18" i="25"/>
  <c r="O18" i="25" s="1"/>
  <c r="H17" i="25"/>
  <c r="O17" i="25" s="1"/>
  <c r="O16" i="25"/>
  <c r="H15" i="25"/>
  <c r="O15" i="25" s="1"/>
  <c r="H14" i="25"/>
  <c r="O14" i="25" s="1"/>
  <c r="H13" i="25"/>
  <c r="O13" i="25" s="1"/>
  <c r="H12" i="25"/>
  <c r="O12" i="25" s="1"/>
  <c r="H11" i="25"/>
  <c r="O11" i="25" s="1"/>
  <c r="H10" i="25"/>
  <c r="O10" i="25" s="1"/>
  <c r="O9" i="25"/>
  <c r="H8" i="25"/>
  <c r="O8" i="25" s="1"/>
  <c r="H7" i="25"/>
  <c r="O7" i="25" s="1"/>
  <c r="H6" i="25"/>
  <c r="O6" i="25" s="1"/>
  <c r="H5" i="25"/>
  <c r="O5" i="25" s="1"/>
  <c r="H4" i="25"/>
  <c r="O4" i="25" s="1"/>
  <c r="I38" i="25"/>
  <c r="J38" i="25" s="1"/>
  <c r="I36" i="25"/>
  <c r="J36" i="25" s="1"/>
  <c r="I35" i="25"/>
  <c r="I34" i="25"/>
  <c r="J34" i="25" s="1"/>
  <c r="I33" i="25"/>
  <c r="I32" i="25"/>
  <c r="N32" i="25" s="1"/>
  <c r="I31" i="25"/>
  <c r="I30" i="25"/>
  <c r="J30" i="25" s="1"/>
  <c r="I29" i="25"/>
  <c r="N28" i="25"/>
  <c r="I27" i="25"/>
  <c r="N27" i="25" s="1"/>
  <c r="I26" i="25"/>
  <c r="I25" i="25"/>
  <c r="I24" i="25"/>
  <c r="I23" i="25"/>
  <c r="I22" i="25"/>
  <c r="J22" i="25" s="1"/>
  <c r="L22" i="25" s="1"/>
  <c r="I21" i="25"/>
  <c r="J21" i="25" s="1"/>
  <c r="L21" i="25" s="1"/>
  <c r="I20" i="25"/>
  <c r="I19" i="25"/>
  <c r="N19" i="25" s="1"/>
  <c r="I18" i="25"/>
  <c r="I17" i="25"/>
  <c r="N17" i="25" s="1"/>
  <c r="J16" i="25"/>
  <c r="L16" i="25" s="1"/>
  <c r="I15" i="25"/>
  <c r="J15" i="25" s="1"/>
  <c r="L15" i="25" s="1"/>
  <c r="P15" i="25" s="1"/>
  <c r="I14" i="25"/>
  <c r="J14" i="25" s="1"/>
  <c r="L14" i="25" s="1"/>
  <c r="P14" i="25" s="1"/>
  <c r="I13" i="25"/>
  <c r="J13" i="25" s="1"/>
  <c r="L13" i="25" s="1"/>
  <c r="P13" i="25" s="1"/>
  <c r="I12" i="25"/>
  <c r="J12" i="25" s="1"/>
  <c r="L12" i="25" s="1"/>
  <c r="P12" i="25" s="1"/>
  <c r="I11" i="25"/>
  <c r="J11" i="25" s="1"/>
  <c r="I10" i="25"/>
  <c r="J10" i="25" s="1"/>
  <c r="J9" i="25"/>
  <c r="I8" i="25"/>
  <c r="J8" i="25" s="1"/>
  <c r="I7" i="25"/>
  <c r="N7" i="25" s="1"/>
  <c r="I6" i="25"/>
  <c r="I5" i="25"/>
  <c r="N5" i="25" s="1"/>
  <c r="I4" i="25"/>
  <c r="N4" i="25" s="1"/>
  <c r="Q38" i="25"/>
  <c r="C38" i="25"/>
  <c r="R38" i="25" s="1"/>
  <c r="Q37" i="25"/>
  <c r="C37" i="25"/>
  <c r="R37" i="25" s="1"/>
  <c r="Q36" i="25"/>
  <c r="C36" i="25"/>
  <c r="R36" i="25" s="1"/>
  <c r="Q35" i="25"/>
  <c r="C35" i="25"/>
  <c r="R35" i="25" s="1"/>
  <c r="Q34" i="25"/>
  <c r="C34" i="25"/>
  <c r="R34" i="25" s="1"/>
  <c r="Q33" i="25"/>
  <c r="C33" i="25"/>
  <c r="R33" i="25" s="1"/>
  <c r="Q32" i="25"/>
  <c r="C32" i="25"/>
  <c r="Q31" i="25"/>
  <c r="C31" i="25"/>
  <c r="R31" i="25" s="1"/>
  <c r="Q30" i="25"/>
  <c r="C30" i="25"/>
  <c r="R30" i="25" s="1"/>
  <c r="Q29" i="25"/>
  <c r="C29" i="25"/>
  <c r="R29" i="25" s="1"/>
  <c r="Q28" i="25"/>
  <c r="C28" i="25"/>
  <c r="R28" i="25" s="1"/>
  <c r="Q27" i="25"/>
  <c r="C27" i="25"/>
  <c r="R27" i="25" s="1"/>
  <c r="Q26" i="25"/>
  <c r="C26" i="25"/>
  <c r="R26" i="25" s="1"/>
  <c r="Q25" i="25"/>
  <c r="C25" i="25"/>
  <c r="R25" i="25" s="1"/>
  <c r="Q24" i="25"/>
  <c r="C24" i="25"/>
  <c r="R24" i="25" s="1"/>
  <c r="Q23" i="25"/>
  <c r="C23" i="25"/>
  <c r="R23" i="25" s="1"/>
  <c r="Q22" i="25"/>
  <c r="C22" i="25"/>
  <c r="R22" i="25" s="1"/>
  <c r="Q21" i="25"/>
  <c r="C21" i="25"/>
  <c r="R21" i="25" s="1"/>
  <c r="Q20" i="25"/>
  <c r="C20" i="25"/>
  <c r="Q19" i="25"/>
  <c r="C19" i="25"/>
  <c r="R19" i="25" s="1"/>
  <c r="Q18" i="25"/>
  <c r="C18" i="25"/>
  <c r="R18" i="25" s="1"/>
  <c r="Q17" i="25"/>
  <c r="C17" i="25"/>
  <c r="R17" i="25" s="1"/>
  <c r="Q16" i="25"/>
  <c r="C16" i="25"/>
  <c r="R16" i="25" s="1"/>
  <c r="Q15" i="25"/>
  <c r="C15" i="25"/>
  <c r="R15" i="25" s="1"/>
  <c r="Q14" i="25"/>
  <c r="C14" i="25"/>
  <c r="R14" i="25" s="1"/>
  <c r="Q13" i="25"/>
  <c r="C13" i="25"/>
  <c r="R13" i="25" s="1"/>
  <c r="Q12" i="25"/>
  <c r="C12" i="25"/>
  <c r="R12" i="25" s="1"/>
  <c r="Q11" i="25"/>
  <c r="C11" i="25"/>
  <c r="R11" i="25" s="1"/>
  <c r="Q10" i="25"/>
  <c r="C10" i="25"/>
  <c r="R10" i="25" s="1"/>
  <c r="Q9" i="25"/>
  <c r="C9" i="25"/>
  <c r="Q8" i="25"/>
  <c r="C8" i="25"/>
  <c r="R8" i="25" s="1"/>
  <c r="Q7" i="25"/>
  <c r="C7" i="25"/>
  <c r="R7" i="25" s="1"/>
  <c r="Q6" i="25"/>
  <c r="C6" i="25"/>
  <c r="R6" i="25" s="1"/>
  <c r="Q5" i="25"/>
  <c r="C5" i="25"/>
  <c r="R5" i="25" s="1"/>
  <c r="Q4" i="25"/>
  <c r="C4" i="25"/>
  <c r="J32" i="25" l="1"/>
  <c r="L32" i="25" s="1"/>
  <c r="R4" i="25"/>
  <c r="R9" i="25"/>
  <c r="R32" i="25"/>
  <c r="R20" i="25"/>
  <c r="N6" i="25"/>
  <c r="J6" i="25"/>
  <c r="F27" i="26"/>
  <c r="J27" i="25"/>
  <c r="L27" i="25" s="1"/>
  <c r="P27" i="25" s="1"/>
  <c r="S27" i="25" s="1"/>
  <c r="N24" i="25"/>
  <c r="J24" i="25"/>
  <c r="N25" i="25"/>
  <c r="J25" i="25"/>
  <c r="N23" i="25"/>
  <c r="J23" i="25"/>
  <c r="G39" i="26"/>
  <c r="G40" i="26" s="1"/>
  <c r="J17" i="25"/>
  <c r="L17" i="25" s="1"/>
  <c r="P17" i="25" s="1"/>
  <c r="S17" i="25" s="1"/>
  <c r="N36" i="25"/>
  <c r="J28" i="25"/>
  <c r="L28" i="25" s="1"/>
  <c r="N21" i="25"/>
  <c r="P16" i="25"/>
  <c r="S16" i="25" s="1"/>
  <c r="N37" i="25"/>
  <c r="J37" i="25"/>
  <c r="L37" i="25" s="1"/>
  <c r="M37" i="25" s="1"/>
  <c r="J19" i="25"/>
  <c r="L19" i="25" s="1"/>
  <c r="M19" i="25" s="1"/>
  <c r="N38" i="25"/>
  <c r="N30" i="25"/>
  <c r="N34" i="25"/>
  <c r="M22" i="25"/>
  <c r="L8" i="25"/>
  <c r="M8" i="25" s="1"/>
  <c r="N8" i="25"/>
  <c r="J20" i="25"/>
  <c r="N20" i="25"/>
  <c r="J4" i="25"/>
  <c r="J5" i="25"/>
  <c r="J7" i="25"/>
  <c r="P21" i="25"/>
  <c r="S21" i="25" s="1"/>
  <c r="M12" i="25"/>
  <c r="M13" i="25"/>
  <c r="M14" i="25"/>
  <c r="M15" i="25"/>
  <c r="M16" i="25"/>
  <c r="P22" i="25"/>
  <c r="S22" i="25" s="1"/>
  <c r="L9" i="25"/>
  <c r="L10" i="25"/>
  <c r="L11" i="25"/>
  <c r="M11" i="25" s="1"/>
  <c r="S12" i="25"/>
  <c r="S13" i="25"/>
  <c r="S14" i="25"/>
  <c r="S15" i="25"/>
  <c r="L36" i="25"/>
  <c r="M36" i="25" s="1"/>
  <c r="N9" i="25"/>
  <c r="N10" i="25"/>
  <c r="N11" i="25"/>
  <c r="N12" i="25"/>
  <c r="N13" i="25"/>
  <c r="N14" i="25"/>
  <c r="N15" i="25"/>
  <c r="N16" i="25"/>
  <c r="J18" i="25"/>
  <c r="N18" i="25"/>
  <c r="M21" i="25"/>
  <c r="J26" i="25"/>
  <c r="N26" i="25"/>
  <c r="N22" i="25"/>
  <c r="N31" i="25"/>
  <c r="J31" i="25"/>
  <c r="N35" i="25"/>
  <c r="J35" i="25"/>
  <c r="L30" i="25"/>
  <c r="L34" i="25"/>
  <c r="D8" i="28" s="1"/>
  <c r="J29" i="25"/>
  <c r="N29" i="25"/>
  <c r="J33" i="25"/>
  <c r="N33" i="25"/>
  <c r="L38" i="25"/>
  <c r="M38" i="25" s="1"/>
  <c r="D16" i="28" l="1"/>
  <c r="D20" i="28"/>
  <c r="D12" i="28"/>
  <c r="D4" i="28"/>
  <c r="M27" i="25"/>
  <c r="P37" i="25"/>
  <c r="S37" i="25" s="1"/>
  <c r="F45" i="26"/>
  <c r="M28" i="25"/>
  <c r="M17" i="25"/>
  <c r="C13" i="26"/>
  <c r="D13" i="26" s="1"/>
  <c r="C12" i="26"/>
  <c r="D12" i="26" s="1"/>
  <c r="C10" i="26"/>
  <c r="D10" i="26" s="1"/>
  <c r="C11" i="26"/>
  <c r="D11" i="26" s="1"/>
  <c r="P19" i="25"/>
  <c r="S19" i="25" s="1"/>
  <c r="M9" i="25"/>
  <c r="P34" i="25"/>
  <c r="S34" i="25" s="1"/>
  <c r="L26" i="25"/>
  <c r="P10" i="25"/>
  <c r="S10" i="25" s="1"/>
  <c r="L4" i="25"/>
  <c r="P38" i="25"/>
  <c r="S38" i="25" s="1"/>
  <c r="L25" i="25"/>
  <c r="M25" i="25" s="1"/>
  <c r="M34" i="25"/>
  <c r="L31" i="25"/>
  <c r="P9" i="25"/>
  <c r="S9" i="25" s="1"/>
  <c r="L7" i="25"/>
  <c r="L24" i="25"/>
  <c r="P28" i="25"/>
  <c r="S28" i="25" s="1"/>
  <c r="L29" i="25"/>
  <c r="M29" i="25" s="1"/>
  <c r="P30" i="25"/>
  <c r="S30" i="25" s="1"/>
  <c r="P32" i="25"/>
  <c r="S32" i="25" s="1"/>
  <c r="L18" i="25"/>
  <c r="L6" i="25"/>
  <c r="M6" i="25" s="1"/>
  <c r="L20" i="25"/>
  <c r="L33" i="25"/>
  <c r="P8" i="25"/>
  <c r="S8" i="25" s="1"/>
  <c r="L23" i="25"/>
  <c r="M30" i="25"/>
  <c r="L35" i="25"/>
  <c r="M35" i="25" s="1"/>
  <c r="M32" i="25"/>
  <c r="P36" i="25"/>
  <c r="S36" i="25" s="1"/>
  <c r="P11" i="25"/>
  <c r="S11" i="25" s="1"/>
  <c r="M10" i="25"/>
  <c r="L5" i="25"/>
  <c r="D5" i="28" l="1"/>
  <c r="D21" i="28"/>
  <c r="M20" i="25"/>
  <c r="D18" i="28"/>
  <c r="D10" i="28"/>
  <c r="D13" i="28"/>
  <c r="D14" i="28"/>
  <c r="D9" i="28"/>
  <c r="D3" i="28"/>
  <c r="D11" i="28"/>
  <c r="D7" i="28"/>
  <c r="D19" i="28"/>
  <c r="D15" i="28"/>
  <c r="D17" i="28"/>
  <c r="D2" i="28"/>
  <c r="D6" i="28"/>
  <c r="M24" i="25"/>
  <c r="C5" i="26"/>
  <c r="D5" i="26" s="1"/>
  <c r="C3" i="26"/>
  <c r="D3" i="26" s="1"/>
  <c r="C4" i="26"/>
  <c r="D4" i="26" s="1"/>
  <c r="C2" i="26"/>
  <c r="D2" i="26" s="1"/>
  <c r="C16" i="26"/>
  <c r="D16" i="26" s="1"/>
  <c r="C15" i="26"/>
  <c r="D15" i="26" s="1"/>
  <c r="C14" i="26"/>
  <c r="D14" i="26" s="1"/>
  <c r="C17" i="26"/>
  <c r="D17" i="26" s="1"/>
  <c r="C6" i="26"/>
  <c r="D6" i="26" s="1"/>
  <c r="C9" i="26"/>
  <c r="D9" i="26" s="1"/>
  <c r="C7" i="26"/>
  <c r="C8" i="26"/>
  <c r="D8" i="26" s="1"/>
  <c r="M5" i="25"/>
  <c r="P7" i="25"/>
  <c r="S7" i="25" s="1"/>
  <c r="P26" i="25"/>
  <c r="S26" i="25" s="1"/>
  <c r="P5" i="25"/>
  <c r="S5" i="25" s="1"/>
  <c r="P35" i="25"/>
  <c r="S35" i="25" s="1"/>
  <c r="P20" i="25"/>
  <c r="S20" i="25" s="1"/>
  <c r="P29" i="25"/>
  <c r="S29" i="25" s="1"/>
  <c r="P24" i="25"/>
  <c r="S24" i="25" s="1"/>
  <c r="M7" i="25"/>
  <c r="P25" i="25"/>
  <c r="S25" i="25" s="1"/>
  <c r="M26" i="25"/>
  <c r="P31" i="25"/>
  <c r="S31" i="25" s="1"/>
  <c r="P4" i="25"/>
  <c r="S4" i="25" s="1"/>
  <c r="P6" i="25"/>
  <c r="S6" i="25" s="1"/>
  <c r="P18" i="25"/>
  <c r="S18" i="25" s="1"/>
  <c r="P23" i="25"/>
  <c r="S23" i="25" s="1"/>
  <c r="P33" i="25"/>
  <c r="S33" i="25" s="1"/>
  <c r="M23" i="25"/>
  <c r="M33" i="25"/>
  <c r="M18" i="25"/>
  <c r="M31" i="25"/>
  <c r="M4" i="25"/>
  <c r="D7" i="26" l="1"/>
  <c r="G2" i="26"/>
  <c r="G5" i="26"/>
  <c r="G3" i="26" l="1"/>
  <c r="G4" i="26" s="1"/>
  <c r="F9" i="2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Bryan Johnson</author>
  </authors>
  <commentList>
    <comment ref="G6" authorId="0" shapeId="0" xr:uid="{00000000-0006-0000-1200-000001000000}">
      <text>
        <r>
          <rPr>
            <b/>
            <sz val="9"/>
            <color indexed="81"/>
            <rFont val="Tahoma"/>
            <family val="2"/>
          </rPr>
          <t>Bryan Johnson:</t>
        </r>
        <r>
          <rPr>
            <sz val="9"/>
            <color indexed="81"/>
            <rFont val="Tahoma"/>
            <family val="2"/>
          </rPr>
          <t xml:space="preserve">
Has not been defined as of the time of this coding.</t>
        </r>
      </text>
    </comment>
    <comment ref="G24" authorId="0" shapeId="0" xr:uid="{00000000-0006-0000-1200-000002000000}">
      <text>
        <r>
          <rPr>
            <b/>
            <sz val="9"/>
            <color indexed="81"/>
            <rFont val="Tahoma"/>
            <family val="2"/>
          </rPr>
          <t>Bryan Johnson:</t>
        </r>
        <r>
          <rPr>
            <sz val="9"/>
            <color indexed="81"/>
            <rFont val="Tahoma"/>
            <family val="2"/>
          </rPr>
          <t xml:space="preserve">
Has not been defined as of the time of this coding.</t>
        </r>
      </text>
    </comment>
    <comment ref="G42" authorId="0" shapeId="0" xr:uid="{00000000-0006-0000-1200-000003000000}">
      <text>
        <r>
          <rPr>
            <b/>
            <sz val="9"/>
            <color indexed="81"/>
            <rFont val="Tahoma"/>
            <family val="2"/>
          </rPr>
          <t>Bryan Johnson:</t>
        </r>
        <r>
          <rPr>
            <sz val="9"/>
            <color indexed="81"/>
            <rFont val="Tahoma"/>
            <family val="2"/>
          </rPr>
          <t xml:space="preserve">
Has not been defined as of the time of this coding.</t>
        </r>
      </text>
    </comment>
  </commentList>
</comments>
</file>

<file path=xl/sharedStrings.xml><?xml version="1.0" encoding="utf-8"?>
<sst xmlns="http://schemas.openxmlformats.org/spreadsheetml/2006/main" count="1540" uniqueCount="514">
  <si>
    <t>Official Name of Vendor:</t>
  </si>
  <si>
    <t>Vendor POC Name:</t>
  </si>
  <si>
    <t>Vendor POC Title:</t>
  </si>
  <si>
    <t>Vendor Website Domain(s):</t>
  </si>
  <si>
    <t>Vendor POC Email:</t>
  </si>
  <si>
    <t>Date IRQ Completed:</t>
  </si>
  <si>
    <t>Vendor POC Phone #:</t>
  </si>
  <si>
    <t>Control Question #</t>
  </si>
  <si>
    <t>Control Name</t>
  </si>
  <si>
    <t>Control Questions</t>
  </si>
  <si>
    <t>Response</t>
  </si>
  <si>
    <t>Notes</t>
  </si>
  <si>
    <t>Inherent Risk Questions:</t>
  </si>
  <si>
    <t>Products and Applications</t>
  </si>
  <si>
    <t>Accessible Data</t>
  </si>
  <si>
    <t>Data Storage</t>
  </si>
  <si>
    <t>Does vendor provide remote support?</t>
  </si>
  <si>
    <t>Vendor Business Operations</t>
  </si>
  <si>
    <t>Business Relationship Length</t>
  </si>
  <si>
    <t>Data Classifications</t>
  </si>
  <si>
    <t>Types of Data:</t>
  </si>
  <si>
    <t>Type of Access</t>
  </si>
  <si>
    <t>Method of Access</t>
  </si>
  <si>
    <t>Financial Value</t>
  </si>
  <si>
    <t>Size of Organization (# of Employees)</t>
  </si>
  <si>
    <t>Company Data</t>
  </si>
  <si>
    <t>PHI</t>
  </si>
  <si>
    <t>Intentionally Shared</t>
  </si>
  <si>
    <t>Electronic</t>
  </si>
  <si>
    <t>High</t>
  </si>
  <si>
    <t>Yes</t>
  </si>
  <si>
    <t>International</t>
  </si>
  <si>
    <t>&gt; 100,000</t>
  </si>
  <si>
    <t>In the Cloud</t>
  </si>
  <si>
    <t>Restricted Data</t>
  </si>
  <si>
    <t>PII</t>
  </si>
  <si>
    <t>Incidental Access</t>
  </si>
  <si>
    <t>Physical</t>
  </si>
  <si>
    <t>Medium High</t>
  </si>
  <si>
    <t>No</t>
  </si>
  <si>
    <t>National</t>
  </si>
  <si>
    <t>&gt; 10,001</t>
  </si>
  <si>
    <t>Sensitive Data</t>
  </si>
  <si>
    <t>PCI</t>
  </si>
  <si>
    <t>No Access</t>
  </si>
  <si>
    <t>Electronic and Physical</t>
  </si>
  <si>
    <t>Data related to a specific business unit or division</t>
  </si>
  <si>
    <t xml:space="preserve">Medium </t>
  </si>
  <si>
    <t>Partial</t>
  </si>
  <si>
    <t>Single-State</t>
  </si>
  <si>
    <t>&gt; 1001</t>
  </si>
  <si>
    <t>At the Vendor's Location</t>
  </si>
  <si>
    <t>Internal Data</t>
  </si>
  <si>
    <t>Intellectual property</t>
  </si>
  <si>
    <t>Data related to a specific service line or facility</t>
  </si>
  <si>
    <t>Medium Low</t>
  </si>
  <si>
    <t>N/A</t>
  </si>
  <si>
    <t>&gt; 501</t>
  </si>
  <si>
    <t>Public Data</t>
  </si>
  <si>
    <t>PHI, PII</t>
  </si>
  <si>
    <t>Very specific and limited focus</t>
  </si>
  <si>
    <t>Low</t>
  </si>
  <si>
    <t>&gt; 51</t>
  </si>
  <si>
    <t>PHI, PCI</t>
  </si>
  <si>
    <t>None</t>
  </si>
  <si>
    <t>&gt; 1</t>
  </si>
  <si>
    <t>PHI, Intellectual property</t>
  </si>
  <si>
    <t>PCI, PII</t>
  </si>
  <si>
    <t>PCI, Intellectual property</t>
  </si>
  <si>
    <t xml:space="preserve">PII, Intellectual property </t>
  </si>
  <si>
    <t>All Data types</t>
  </si>
  <si>
    <t>Key Control Question Reference #</t>
  </si>
  <si>
    <t>Key Control:</t>
  </si>
  <si>
    <t>NIST SP800-53 R4: Control #</t>
  </si>
  <si>
    <t xml:space="preserve">HIPAA CFR Control Reference(s) </t>
  </si>
  <si>
    <t>Security Questions:</t>
  </si>
  <si>
    <t>Response:</t>
  </si>
  <si>
    <t>Comments/ Notes:</t>
  </si>
  <si>
    <t>Access Enforcement</t>
  </si>
  <si>
    <t>AC-17</t>
  </si>
  <si>
    <t>Remote Access</t>
  </si>
  <si>
    <t>Name:</t>
  </si>
  <si>
    <t>Title:</t>
  </si>
  <si>
    <t>Email:</t>
  </si>
  <si>
    <t>Date Completed:</t>
  </si>
  <si>
    <t>Phone:</t>
  </si>
  <si>
    <t>PHI (Protected Health Information)</t>
  </si>
  <si>
    <t>PII (Personally Identifiable Information)</t>
  </si>
  <si>
    <t>PCI (Payment Card Industry)</t>
  </si>
  <si>
    <t>Employee Information</t>
  </si>
  <si>
    <t>HITRUST</t>
  </si>
  <si>
    <t>PCI Compliance</t>
  </si>
  <si>
    <t>ISO 27001</t>
  </si>
  <si>
    <t>FedRAMP</t>
  </si>
  <si>
    <t>HIPAA (please provide type of assessment performed and certifying organization in the comments section)</t>
  </si>
  <si>
    <t>NIST (please provide type of assessment performed and certifying organization in the comments section)</t>
  </si>
  <si>
    <t>Other? (please specify in the comments section)</t>
  </si>
  <si>
    <t>PS-3</t>
  </si>
  <si>
    <t xml:space="preserve">164.308(a)(3)(ii)(B) 
</t>
  </si>
  <si>
    <t>SC-13</t>
  </si>
  <si>
    <t>Vendor Discovery Questions:</t>
  </si>
  <si>
    <t>Awareness and Training</t>
  </si>
  <si>
    <t>AT-1</t>
  </si>
  <si>
    <t>AT-1.1</t>
  </si>
  <si>
    <t>Are there formally documented procedures for security awareness and training for this information system? If yes, please attach.</t>
  </si>
  <si>
    <t>AT-2</t>
  </si>
  <si>
    <t>AT-2.1</t>
  </si>
  <si>
    <t xml:space="preserve">Is basic security awareness training performed for all personnel as a part of the onboarding process? </t>
  </si>
  <si>
    <t>AT-2.2</t>
  </si>
  <si>
    <t>Is it periodically performed for all users?</t>
  </si>
  <si>
    <t>AT-3</t>
  </si>
  <si>
    <t>AT-3.1</t>
  </si>
  <si>
    <t>Is there role-based security training for personnel with assigned security roles and responsibilities for this information system before access is granted and when required by information system changes?</t>
  </si>
  <si>
    <t>AT-4</t>
  </si>
  <si>
    <t>AT-4.1</t>
  </si>
  <si>
    <t>Do you document and monitor information system security training activities for individuals?</t>
  </si>
  <si>
    <t xml:space="preserve">Incident Response </t>
  </si>
  <si>
    <t>IR-1</t>
  </si>
  <si>
    <t>164.308(a)(6)(i)</t>
  </si>
  <si>
    <t xml:space="preserve">Incident Response Policies and Procedures </t>
  </si>
  <si>
    <t>IR-1.1</t>
  </si>
  <si>
    <t>Are there formally documented policies and procedures for Incident Response? If yes, please attach.</t>
  </si>
  <si>
    <t>IR-2</t>
  </si>
  <si>
    <t>Incident Response Training</t>
  </si>
  <si>
    <t>IR-2.1</t>
  </si>
  <si>
    <t>Are staff provided with incident response training?</t>
  </si>
  <si>
    <t>IR-2.2</t>
  </si>
  <si>
    <t>Is incident response training unique based on the role of the individual?</t>
  </si>
  <si>
    <t>IR-3</t>
  </si>
  <si>
    <t>Incident Response Testing and Exercises</t>
  </si>
  <si>
    <t>IR-3.1</t>
  </si>
  <si>
    <t>Are incident response tests conducted?</t>
  </si>
  <si>
    <t>IR-3.2</t>
  </si>
  <si>
    <t>Are the incident response test results analyzed?</t>
  </si>
  <si>
    <t>IR-5</t>
  </si>
  <si>
    <t>Incident Monitoring</t>
  </si>
  <si>
    <t>IR-5.1</t>
  </si>
  <si>
    <t>Are security incidents tracked and documented?</t>
  </si>
  <si>
    <t xml:space="preserve">IR-6 </t>
  </si>
  <si>
    <t>Incident Reporting</t>
  </si>
  <si>
    <t>IR-6.1</t>
  </si>
  <si>
    <t>Are security incidents timely reported to appropriate personnel/ government authorities?</t>
  </si>
  <si>
    <t>Maintenance</t>
  </si>
  <si>
    <t>MA-1</t>
  </si>
  <si>
    <t xml:space="preserve">164.310(a)(2)(iv)
</t>
  </si>
  <si>
    <t>System Maintenance Policy and Procedures</t>
  </si>
  <si>
    <t>MA-1.1</t>
  </si>
  <si>
    <t>Are there formally documented policies and procedures for Maintenance? If yes, please attach.</t>
  </si>
  <si>
    <r>
      <rPr>
        <sz val="9"/>
        <rFont val="Arial"/>
        <family val="2"/>
      </rPr>
      <t>MA-2</t>
    </r>
  </si>
  <si>
    <r>
      <rPr>
        <sz val="9"/>
        <rFont val="Arial"/>
        <family val="2"/>
      </rPr>
      <t>Controlled Maintenance</t>
    </r>
  </si>
  <si>
    <t>MA-2.1</t>
  </si>
  <si>
    <t>Are maintenance and repairs on the information system scheduled, performed, documented, and reviewed?</t>
  </si>
  <si>
    <t>MA-2.2</t>
  </si>
  <si>
    <t>Do you approve and monitor all maintenance activities?</t>
  </si>
  <si>
    <t>MA-2.3</t>
  </si>
  <si>
    <t>Is management's approval required for the removal of the information system or its components for off-site maintenance and repairs?</t>
  </si>
  <si>
    <t>MA-2.4</t>
  </si>
  <si>
    <t>Do you sanitize equipment to remove all information from associated media (e.g., hard drives) prior to removal from the facilities for off-site maintenance or repairs?</t>
  </si>
  <si>
    <t>MA-2.5</t>
  </si>
  <si>
    <t>Do you check all potentially impacted security controls to verify that the controls are still functioning properly following maintenance or repair actions? (E.g., verify that audit logs are still functioning properly, user level of access is still appropriate.)</t>
  </si>
  <si>
    <t>MA-3</t>
  </si>
  <si>
    <t>Maintenance Tools</t>
  </si>
  <si>
    <t>MA-3.1</t>
  </si>
  <si>
    <t>Does the organization approve, control and monitor information system maintenance tools?</t>
  </si>
  <si>
    <t>Nonlocal Maintenance</t>
  </si>
  <si>
    <t>MA-4.3</t>
  </si>
  <si>
    <t>Are strong authenticators/passwords used in the establishment of nonlocal maintenance and diagnostic sessions?</t>
  </si>
  <si>
    <t>MA-4.4</t>
  </si>
  <si>
    <t>Do you maintain records for nonlocal maintenance and diagnostic activities?</t>
  </si>
  <si>
    <t>MA-4.5</t>
  </si>
  <si>
    <t>Are the sessions and network connections terminated after the nonlocal maintenance has been completed?</t>
  </si>
  <si>
    <r>
      <rPr>
        <sz val="9"/>
        <rFont val="Arial"/>
        <family val="2"/>
      </rPr>
      <t>MA-5</t>
    </r>
  </si>
  <si>
    <t xml:space="preserve">164.308(a)(3)(ii)(A)
</t>
  </si>
  <si>
    <r>
      <rPr>
        <sz val="9"/>
        <rFont val="Arial"/>
        <family val="2"/>
      </rPr>
      <t>Maintenance Personnel</t>
    </r>
  </si>
  <si>
    <t>MA-5.1</t>
  </si>
  <si>
    <t>Do you authorize and maintain a list of authorized maintenance personnel?</t>
  </si>
  <si>
    <t>MA-6</t>
  </si>
  <si>
    <t>Timely Maintenance</t>
  </si>
  <si>
    <t>MA-6.1</t>
  </si>
  <si>
    <t>Is there a maintenance contract with the vendor to provide timely maintenance in the event of a failure of the information system? (E.g., spare parts on hand, response times from the vendor or other personnel, documented in OLA/SLA agreements.)</t>
  </si>
  <si>
    <t>Personnel Security</t>
  </si>
  <si>
    <t xml:space="preserve">PS-1 </t>
  </si>
  <si>
    <t xml:space="preserve">164.308(a)(3)(ii)(A)
164.308(a)(3)(ii)(B) 
164.308(a)(3)(ii)(C)
</t>
  </si>
  <si>
    <t xml:space="preserve">Personnel Security Policies and Procedures </t>
  </si>
  <si>
    <t>PS-1.1</t>
  </si>
  <si>
    <t>Are there formally documented policies and procedures for Personnel Security? If yes, please attach.</t>
  </si>
  <si>
    <t>PS-2</t>
  </si>
  <si>
    <t>Position Risk Designation</t>
  </si>
  <si>
    <t>PS-2.1</t>
  </si>
  <si>
    <t>Does the organization assign risk designations to all positions?</t>
  </si>
  <si>
    <t>PS-2.2</t>
  </si>
  <si>
    <t>Does the organization establish screening criteria for individuals filling those positions?</t>
  </si>
  <si>
    <t>PS-2.3</t>
  </si>
  <si>
    <t>Does the organization review and revise position risk designations at least every three years?</t>
  </si>
  <si>
    <t>Personnel Screening</t>
  </si>
  <si>
    <t>PS-3.1</t>
  </si>
  <si>
    <t>Does the organization screen individuals prior to authorizing access to the information system?</t>
  </si>
  <si>
    <t>PS-3.2</t>
  </si>
  <si>
    <t>Does the organization re-screen individuals with access to the information system?</t>
  </si>
  <si>
    <t>PS-4</t>
  </si>
  <si>
    <t xml:space="preserve">164.308(a)(3)(ii)(C)
</t>
  </si>
  <si>
    <t>Personnel Termination</t>
  </si>
  <si>
    <t>PS-4.1</t>
  </si>
  <si>
    <t>Does the organization have appropriate termination procedures in place to those with access to the information system?</t>
  </si>
  <si>
    <t>PS-5</t>
  </si>
  <si>
    <t>Personnel Transfer</t>
  </si>
  <si>
    <t>PS-5.1</t>
  </si>
  <si>
    <t>Does the organization have appropriate transfer procedures in place to those with access to the information system?</t>
  </si>
  <si>
    <t>PS-6</t>
  </si>
  <si>
    <t xml:space="preserve">164.308(a)(3)(ii)(A)
164.308(a)(3)(ii)(B)
164.308(a)(4)(ii)(B)
164.310(b)
164.310(d)(2)(iii)
164.314(a)(1)
164.314(a)(2)(i)
164.314(a)(2)(ii)
</t>
  </si>
  <si>
    <t>Access Agreements</t>
  </si>
  <si>
    <t>PS-6.1</t>
  </si>
  <si>
    <t>Does the organization have access agreements (reviewed annually) for individuals with access to the information system?</t>
  </si>
  <si>
    <t>PS-7</t>
  </si>
  <si>
    <t xml:space="preserve">164.308(a)(3)(ii)(A)
164.308(a)(4)(ii)(B)
164.308(b)(1)
164.314(a)(1)
164.314(a)(2)(i)
164.314(a)(2)(ii)
</t>
  </si>
  <si>
    <t>Third Party Personnel Security</t>
  </si>
  <si>
    <t>PS-7.1</t>
  </si>
  <si>
    <t>Does the organization have appropriate third-party access control procedures for external parties granted access to the information system?</t>
  </si>
  <si>
    <t>PS-8</t>
  </si>
  <si>
    <t>164.308(a)(1)(ii)(C)</t>
  </si>
  <si>
    <t>Personnel Sanctions</t>
  </si>
  <si>
    <t>PS-8.1</t>
  </si>
  <si>
    <t>Does the organization have appropriate personnel sanctions policies and procedures?</t>
  </si>
  <si>
    <t>RA-5</t>
  </si>
  <si>
    <t>SI-2.1</t>
  </si>
  <si>
    <t>Example Evidence Requested:</t>
  </si>
  <si>
    <t>Anti-virus/Malware Protection</t>
  </si>
  <si>
    <t>Example evidence: malware protection program documentation</t>
  </si>
  <si>
    <t>SI-3</t>
  </si>
  <si>
    <t>Control Area #</t>
  </si>
  <si>
    <t>Encryption of Data</t>
  </si>
  <si>
    <t xml:space="preserve">Please provide information on Encryption algorithms </t>
  </si>
  <si>
    <t>Example evidence: procedures for reviewing and approving remote control software and remote access</t>
  </si>
  <si>
    <t>Patch Management</t>
  </si>
  <si>
    <t xml:space="preserve">Example evidence: documented patch management program </t>
  </si>
  <si>
    <t>Vulnerability Management</t>
  </si>
  <si>
    <t>Example evidence: vulnerability management program documentation</t>
  </si>
  <si>
    <t>Example evidence: recent vulnerability assessment results</t>
  </si>
  <si>
    <t>Access Control</t>
  </si>
  <si>
    <t>Most of our patients</t>
  </si>
  <si>
    <t>Most our employees</t>
  </si>
  <si>
    <t>On our Network</t>
  </si>
  <si>
    <t>How data is stored, hosted</t>
  </si>
  <si>
    <t>Response Questions</t>
  </si>
  <si>
    <t>App / Product?</t>
  </si>
  <si>
    <t>Service(s) / Product(s) provided:</t>
  </si>
  <si>
    <t>Breah Business Impact</t>
  </si>
  <si>
    <t xml:space="preserve">Geographic Scope </t>
  </si>
  <si>
    <t>COBiT 5.0</t>
  </si>
  <si>
    <t xml:space="preserve">DSS05.04 </t>
  </si>
  <si>
    <t>DSS02.02
DSS02.04</t>
  </si>
  <si>
    <t xml:space="preserve"> DSS02.02
DSS02.04 DSS02.05</t>
  </si>
  <si>
    <t>DSS02.02
DSS02.04 DSS02.05
DSS04.07</t>
  </si>
  <si>
    <t>DSS05.05</t>
  </si>
  <si>
    <t>DSS05.02
DSS05.03
DSS05.05</t>
  </si>
  <si>
    <t>Volume of Records</t>
  </si>
  <si>
    <t>Vendor Age / Business Relationship Length</t>
  </si>
  <si>
    <t>&lt; 5 Years</t>
  </si>
  <si>
    <t>5 - 10 Years</t>
  </si>
  <si>
    <t>11 - 20 Years</t>
  </si>
  <si>
    <t>&gt; 20 Years</t>
  </si>
  <si>
    <t>164.308(a)(1)(ii)(D)
164.308(a)(6)(ii)
164.314(a)(2)(i)</t>
  </si>
  <si>
    <t>164.308(a)(1)(ii)(D)
164.308(a)(6)(ii)</t>
  </si>
  <si>
    <t>164.308(a)(5)(i)</t>
  </si>
  <si>
    <t>164.308(a)(5)(i)
164.308(a)(5)(ii)(A)
164.308(a)(5)(ii)(B)</t>
  </si>
  <si>
    <t>Objective:</t>
  </si>
  <si>
    <t>Summary/Explanation (if diagrams are not available):</t>
  </si>
  <si>
    <t>Evidence/Assurance</t>
  </si>
  <si>
    <t>Please provide any and all network architecture diagram(s) within this worksheet:</t>
  </si>
  <si>
    <t xml:space="preserve">Please attach network architecture diagram(s) or provide screenshots below: </t>
  </si>
  <si>
    <t>Summary/Explanation:</t>
  </si>
  <si>
    <t>If necessary please provide supporting documentation</t>
  </si>
  <si>
    <t>TSP</t>
  </si>
  <si>
    <t>PCI 3.0</t>
  </si>
  <si>
    <t>CC2.3</t>
  </si>
  <si>
    <t>12.3.1</t>
  </si>
  <si>
    <t>12.3.10</t>
  </si>
  <si>
    <t>CC3.2</t>
  </si>
  <si>
    <t>CC2.3
CC1.3
CC2.5</t>
  </si>
  <si>
    <t>A.7.2.2
A12.2.1</t>
  </si>
  <si>
    <t>6.5
9.9
9.9.3
12.6
12.6.1
12.6.2</t>
  </si>
  <si>
    <t>CC2.3
CC1.3</t>
  </si>
  <si>
    <t>A.7.2.2</t>
  </si>
  <si>
    <t>CC6.1
CC6.2</t>
  </si>
  <si>
    <t>12.1.1</t>
  </si>
  <si>
    <t>CC7.1
CC5.6</t>
  </si>
  <si>
    <t>CC1.3</t>
  </si>
  <si>
    <t>A1.2</t>
  </si>
  <si>
    <t>11.1.2
12.1.1
12.10
12.10.1
12.10.2
12.10.3
12.10.4
12.10.5</t>
  </si>
  <si>
    <t>CC6.2</t>
  </si>
  <si>
    <t>11.1.2
12.10
12.10.1
12.10.2
12.10.4</t>
  </si>
  <si>
    <t>11.1.2
12.10
12.10.1
12.10.2
12.10.4
12.10.6</t>
  </si>
  <si>
    <t>A.6.1.3
A.16.1.2</t>
  </si>
  <si>
    <t>A.11.2.4
A.11.2.5</t>
  </si>
  <si>
    <t>CC7.1CC5.6</t>
  </si>
  <si>
    <t>CC1.4
CC5.6
CC7.4</t>
  </si>
  <si>
    <t>CC1.4</t>
  </si>
  <si>
    <t>CC1.4
CC1.3</t>
  </si>
  <si>
    <t>A.7.1.1</t>
  </si>
  <si>
    <t>CC5.4
CC5.2
CC5.6
A1.2
CC2.3
CC5.5</t>
  </si>
  <si>
    <t>A.7.3.1
A.8.1.4</t>
  </si>
  <si>
    <t>8.1.3</t>
  </si>
  <si>
    <t>CC5.4
CC5.5</t>
  </si>
  <si>
    <t>CC1.4
CC5.4
CC2.3</t>
  </si>
  <si>
    <t>CC1.4
CC1.2
CC5.5
CC4.1</t>
  </si>
  <si>
    <t>12.3
12.3.1
12.3.2
12.3.5
12.3.7
12.8.2
12.8.5</t>
  </si>
  <si>
    <t>CC1.1</t>
  </si>
  <si>
    <r>
      <t xml:space="preserve">Role-Based </t>
    </r>
    <r>
      <rPr>
        <sz val="9"/>
        <color rgb="FFFF0000"/>
        <rFont val="Arial"/>
        <family val="2"/>
      </rPr>
      <t>Privacy</t>
    </r>
    <r>
      <rPr>
        <sz val="9"/>
        <rFont val="Arial"/>
        <family val="2"/>
      </rPr>
      <t>, Security Training</t>
    </r>
  </si>
  <si>
    <r>
      <rPr>
        <sz val="9"/>
        <color rgb="FFFF0000"/>
        <rFont val="Arial"/>
        <family val="2"/>
      </rPr>
      <t>Privacy</t>
    </r>
    <r>
      <rPr>
        <sz val="9"/>
        <rFont val="Arial"/>
        <family val="2"/>
      </rPr>
      <t>, Security Awareness and Training Policy and
Procedures</t>
    </r>
  </si>
  <si>
    <r>
      <rPr>
        <sz val="9"/>
        <color rgb="FFFF0000"/>
        <rFont val="Arial"/>
        <family val="2"/>
      </rPr>
      <t>Privacy</t>
    </r>
    <r>
      <rPr>
        <sz val="9"/>
        <rFont val="Arial"/>
        <family val="2"/>
      </rPr>
      <t>, Security Awareness</t>
    </r>
  </si>
  <si>
    <r>
      <rPr>
        <sz val="9"/>
        <color rgb="FFFF0000"/>
        <rFont val="Arial"/>
        <family val="2"/>
      </rPr>
      <t>Privacy</t>
    </r>
    <r>
      <rPr>
        <sz val="9"/>
        <rFont val="Arial"/>
        <family val="2"/>
      </rPr>
      <t>, Security Training Records</t>
    </r>
  </si>
  <si>
    <t>Tier</t>
  </si>
  <si>
    <t>Client Tier</t>
  </si>
  <si>
    <t>Calc Tier</t>
  </si>
  <si>
    <t>Control Family</t>
  </si>
  <si>
    <t>Security Question</t>
  </si>
  <si>
    <t>Comment</t>
  </si>
  <si>
    <t>Calc Response</t>
  </si>
  <si>
    <t>Override</t>
  </si>
  <si>
    <t>Final Response</t>
  </si>
  <si>
    <t>FindOverrideChanges</t>
  </si>
  <si>
    <t>FinalResponse</t>
  </si>
  <si>
    <t>Overrides</t>
  </si>
  <si>
    <t>OverrideTier</t>
  </si>
  <si>
    <t>CheckOverrideChanges</t>
  </si>
  <si>
    <t>No Override</t>
  </si>
  <si>
    <t>Security Awareness and Training Policy and
Procedures</t>
  </si>
  <si>
    <t>Security Awareness</t>
  </si>
  <si>
    <t>Role-Based Security Training</t>
  </si>
  <si>
    <t>Security Training Records</t>
  </si>
  <si>
    <t>Incident Response</t>
  </si>
  <si>
    <t>Count</t>
  </si>
  <si>
    <t>% of tier</t>
  </si>
  <si>
    <t>Grade Test</t>
  </si>
  <si>
    <t>Tier 1</t>
  </si>
  <si>
    <t>Adequate</t>
  </si>
  <si>
    <t>A</t>
  </si>
  <si>
    <t>Inadequate</t>
  </si>
  <si>
    <t>B</t>
  </si>
  <si>
    <t>C</t>
  </si>
  <si>
    <t>Blank</t>
  </si>
  <si>
    <t>D</t>
  </si>
  <si>
    <t>Tier 2</t>
  </si>
  <si>
    <t>F</t>
  </si>
  <si>
    <t>Tier 3</t>
  </si>
  <si>
    <t>Tier 4</t>
  </si>
  <si>
    <t>Count of Inadequacies</t>
  </si>
  <si>
    <t>T1</t>
  </si>
  <si>
    <t>T2</t>
  </si>
  <si>
    <t>T3</t>
  </si>
  <si>
    <t>T4</t>
  </si>
  <si>
    <t>Questions</t>
  </si>
  <si>
    <t>Disclosure Permitted?</t>
  </si>
  <si>
    <t>Comments</t>
  </si>
  <si>
    <t>Name of Information Security leader?</t>
  </si>
  <si>
    <t>Title</t>
  </si>
  <si>
    <t>Role</t>
  </si>
  <si>
    <t xml:space="preserve">  Number of full-time information security personnel?</t>
  </si>
  <si>
    <t>Is there a current BAA in place?</t>
  </si>
  <si>
    <t>Vendor Scope Questions</t>
  </si>
  <si>
    <t>Environment 1</t>
  </si>
  <si>
    <t>Environment 2</t>
  </si>
  <si>
    <t>Environment 3</t>
  </si>
  <si>
    <t xml:space="preserve">Comments </t>
  </si>
  <si>
    <t>Please identity the environment and provide a brief description in the comments section:</t>
  </si>
  <si>
    <t>Is the identified environment either of the following:</t>
  </si>
  <si>
    <t>Service</t>
  </si>
  <si>
    <t>Product</t>
  </si>
  <si>
    <t xml:space="preserve">Please indicate if the identified environment will: </t>
  </si>
  <si>
    <t>If "yes", please provide details in the comments section.</t>
  </si>
  <si>
    <t>Workstation</t>
  </si>
  <si>
    <t>Mobile Device</t>
  </si>
  <si>
    <t xml:space="preserve"> </t>
  </si>
  <si>
    <t>Medical Device</t>
  </si>
  <si>
    <r>
      <t xml:space="preserve">Other </t>
    </r>
    <r>
      <rPr>
        <sz val="12"/>
        <rFont val="Cambria"/>
        <family val="1"/>
      </rPr>
      <t>Method? P</t>
    </r>
    <r>
      <rPr>
        <sz val="12"/>
        <color rgb="FF000000"/>
        <rFont val="Cambria"/>
        <family val="1"/>
      </rPr>
      <t>lease explain in the comments section</t>
    </r>
  </si>
  <si>
    <t>Please indicate all locations where the data will be stored for the identified environment:</t>
  </si>
  <si>
    <t>3rd Party Data Center</t>
  </si>
  <si>
    <t>Other? Please explain in the comments section</t>
  </si>
  <si>
    <t xml:space="preserve">Does the identified environment maintain any of the following security assurances: </t>
  </si>
  <si>
    <t>SSAE 16 / SOC 1 Type 1</t>
  </si>
  <si>
    <t>SSAE 16 / SOC 1 Type 2</t>
  </si>
  <si>
    <t>SOC 2 Type 1</t>
  </si>
  <si>
    <t>SOC 2 Type 2</t>
  </si>
  <si>
    <t>SOC 3</t>
  </si>
  <si>
    <t>ISO 27001:2013</t>
  </si>
  <si>
    <t>AC-3.2</t>
  </si>
  <si>
    <t xml:space="preserve">Does the information system support role-based account management and access controls (RBAC)? </t>
  </si>
  <si>
    <t>AC-3.3</t>
  </si>
  <si>
    <t>If RBAC is supported, can a customer administrator create/customize unique roles and permissions.</t>
  </si>
  <si>
    <t>Environment 1 Comments:</t>
  </si>
  <si>
    <t>Environment 2 Comments:</t>
  </si>
  <si>
    <t>Environment 1 Response:</t>
  </si>
  <si>
    <t>Environment 2 Response:</t>
  </si>
  <si>
    <t>Environment 3 Response:</t>
  </si>
  <si>
    <t>Environment 3 Comments:</t>
  </si>
  <si>
    <t>Access Controls</t>
  </si>
  <si>
    <t>"VPQ" - Vendor Profile Questionnaire - Vendor to Complete</t>
  </si>
  <si>
    <t>Scope</t>
  </si>
  <si>
    <t>Env1</t>
  </si>
  <si>
    <t>Env2</t>
  </si>
  <si>
    <t>Env3</t>
  </si>
  <si>
    <t>Awareness &amp; Training</t>
  </si>
  <si>
    <t>Env3 Grade</t>
  </si>
  <si>
    <t>Env2 Grade</t>
  </si>
  <si>
    <t>Env1 Grade</t>
  </si>
  <si>
    <t>Evidence Requested:</t>
  </si>
  <si>
    <t>Provided to CORL?</t>
  </si>
  <si>
    <t>Vendor Comments</t>
  </si>
  <si>
    <t>MA-4.1 - MA-4.5</t>
  </si>
  <si>
    <t>Non-local Maintenance</t>
  </si>
  <si>
    <t>MA-4</t>
  </si>
  <si>
    <t>Provide policy and procedures surrounding secure remote support of the information system.</t>
  </si>
  <si>
    <t>Please complete this questionnaire as it relates to the business relationship between your organization and Saint Luke's Health System. In the "Disclosure Permitted?" column, please indicate if CORL Technologies may disclose the responses provided herein to other CORL Technologies clients who also utilize your organization as a vendor. Allowing such disclosure may expedite future assessments.</t>
  </si>
  <si>
    <t>Please identify all environments that will handle, process, transmit, or store Saint Luke's Health System data. Please provided a response to all questions for each identified environment.</t>
  </si>
  <si>
    <t xml:space="preserve">Saint Luke's Health System is obligated by regulations and internal risk management policies to gain reasonable assurance that its vendors are protecting Saint Luke's Health System data.  To meet this obligation, Saint Luke's Health System is requiring vendors to complete this Vendor Security Questionnaire (VSQ) within 15 business days of receiving it.  Any questions should be directed to clientengagement@corltech.com.
</t>
  </si>
  <si>
    <r>
      <rPr>
        <b/>
        <sz val="36"/>
        <color rgb="FFF46A02"/>
        <rFont val="Cambria"/>
        <family val="1"/>
      </rPr>
      <t xml:space="preserve">
Vendor Security Assessment Toolkit</t>
    </r>
    <r>
      <rPr>
        <b/>
        <sz val="36"/>
        <color theme="5" tint="-0.249977111117893"/>
        <rFont val="Cambria"/>
        <family val="1"/>
      </rPr>
      <t xml:space="preserve">
</t>
    </r>
    <r>
      <rPr>
        <b/>
        <sz val="36"/>
        <color rgb="FFF46A02"/>
        <rFont val="Cambria"/>
        <family val="1"/>
      </rPr>
      <t xml:space="preserve">
by CORL Technologies
On behalf of Saint Luke's Health System
</t>
    </r>
    <r>
      <rPr>
        <b/>
        <sz val="12"/>
        <rFont val="Cambria"/>
        <family val="1"/>
      </rPr>
      <t>This document is PROPRIETARY and CONFIDENTIAL Information. 
It may not be used, disclosed or reproduced, in whole or in part, without the express written permission of CORL Technologies, LLC</t>
    </r>
    <r>
      <rPr>
        <b/>
        <sz val="12"/>
        <color rgb="FFF46A02"/>
        <rFont val="Cambria"/>
        <family val="1"/>
      </rPr>
      <t xml:space="preserve">
</t>
    </r>
    <r>
      <rPr>
        <b/>
        <sz val="36"/>
        <color rgb="FFF46A02"/>
        <rFont val="Cambria"/>
        <family val="1"/>
      </rPr>
      <t xml:space="preserve">
</t>
    </r>
  </si>
  <si>
    <t>Initial Vendor Profile Questionnaire - on behalf of Saint Luke's Health System</t>
  </si>
  <si>
    <t>Is any Saint Luke's Health System data accessed, transmitted, or stored outside of the United States?</t>
  </si>
  <si>
    <t>Please describe how your organization obtains data from Saint Luke's Health System. Include file type(s) and the medium(s) utilized to transmit the data (e.g., SFTP, Encrypted email).</t>
  </si>
  <si>
    <t>"Required Evidence" - Evidence and Assurances specific to Saint Luke's Health System - Vendor to Provide</t>
  </si>
  <si>
    <t xml:space="preserve">Instructions: Please identify all environments that will handle, process, transmit, or store Saint Luke's Health System data. Please provided a response to all questions for each identified environment. </t>
  </si>
  <si>
    <t>What is the scope of Saint Luke's Health System records that the identified environment will transmit, process, or store?</t>
  </si>
  <si>
    <t>have access into the Saint Luke's Health System's network for remote Support</t>
  </si>
  <si>
    <t>have access into the Saint Luke's Health System's  network to provide onsite support</t>
  </si>
  <si>
    <t>Have access to infrastructure that stores or transmits Saint Luke's Health System data:</t>
  </si>
  <si>
    <t>Have access to a database or application that stores or transmits Saint Luke's Health System data:</t>
  </si>
  <si>
    <t>Receive transmitted data from Saint Luke's Health System</t>
  </si>
  <si>
    <t>Not access  Saint Luke's Health System's information</t>
  </si>
  <si>
    <t>What types of Saint Luke's Health System information will the identified environment have access to:</t>
  </si>
  <si>
    <t>Saint Luke's Health System Internal/Proprietary Information</t>
  </si>
  <si>
    <t>Please indicate if the identified environment will utilize the following device(s) to access and/or transmit Saint Luke's Health System data:</t>
  </si>
  <si>
    <t>Saint Luke's Health System Data Center</t>
  </si>
  <si>
    <t>Is any of the Saint Luke's Health System data not covered by the scope of the above identified certifications?</t>
  </si>
  <si>
    <t>Is all Saint Luke's Health System data encrypted at rest within the identified environment? If so, please provide the level of encryption utilized in the comments section</t>
  </si>
  <si>
    <t>Please provide a summary of how you will be connecting to the Saint Luke's Health System network (if applicable)</t>
  </si>
  <si>
    <t>Inherent Risk Questionnaire ("IRQ")</t>
  </si>
  <si>
    <t>Business Owner Name:</t>
  </si>
  <si>
    <t>Business Owner Title:</t>
  </si>
  <si>
    <t>Business Owner Email:</t>
  </si>
  <si>
    <t>Business Owner Phone #:</t>
  </si>
  <si>
    <t>Vendor-specific business unit / division, if applicable:</t>
  </si>
  <si>
    <t>Does your organization use a vendor specific service/product(s)? (if "Yes" please list the names of the services/products in "Notes")</t>
  </si>
  <si>
    <t>Type of data vendor will have access to:</t>
  </si>
  <si>
    <t>Where will the data of your organization be stored, hosted?</t>
  </si>
  <si>
    <t>Records</t>
  </si>
  <si>
    <t>Volume of your organization's records accessible by vendor:</t>
  </si>
  <si>
    <t>Geographic scope of the vendor (if vendor has international operations, please list country name(s) in "Notes"):</t>
  </si>
  <si>
    <t>How long has the vendor been in business with your organization?</t>
  </si>
  <si>
    <t>Annual Spend</t>
  </si>
  <si>
    <t>What is the annual spend on the vendor?</t>
  </si>
  <si>
    <t>Business Associate Agreement (BAA)</t>
  </si>
  <si>
    <t>Is there an executed Business Associate Agreement between your organization and the vendor?</t>
  </si>
  <si>
    <t>Information Security Agreement (ISA)</t>
  </si>
  <si>
    <t>Is there an executed Information Security Agreement between your organization and the vendor?</t>
  </si>
  <si>
    <t>Security Assessment Activities</t>
  </si>
  <si>
    <t>Has your organization completed security assessment activities on the vendor in the past? (if "Yes" please describe the assessment scope and approximate timeframe in "Notes"):</t>
  </si>
  <si>
    <t>Security/Performance issues</t>
  </si>
  <si>
    <t>Has your organization had any security findings and/or performance issues during the contract tenure with the vendor? (if "Yes" please explain in the "Notes" Column)</t>
  </si>
  <si>
    <t>Remote Support</t>
  </si>
  <si>
    <t>"VSQ" - Vendor Security Questionnaire -  Excel worksheets 1, 2, 8, 9, 13 herein - Vendor to Complete</t>
  </si>
  <si>
    <t>Upon completion of this questionnaire, CORL and Saint Luke's Health System will obtain evidence and assurances relating to the key controls as defined by the Saint Luke's Health System team. Please indicate within the "Required Evidence" sheet whether you have provided the documentation requested by CORL and Saint Luke's Health System.
Instructions surrounding Evidence and Assurances:  The Vendor Profile Questions (VPQ) &amp; Scope sections include questions that relate to information about your organization and the products and services provided to Saint Luke's Health System.  The Vendor Security Questionnaire (worksheets 1, 2, 8, 9, 13) section relates to questions about overall security controls at the vendor level and product level.  All responses require references to documents that provide evidence of the control.  
If your organization has received a current security certification, please provide documentation in lieu of evidence.  Relevant security certifications include,  SOC 2 Type 2 (must include Security TSP), HITRUST and/or ISO 27001.  
Please provide certification and/or evidence documents along with this completed questionnaire to CORL Technologies within 15 business days.</t>
  </si>
  <si>
    <t>Version 2.14</t>
  </si>
  <si>
    <t>Instructions: Please complete this questionnaire as it relates to the business relationship between your organization and Saint Luke's Health System. In the "Disclosure Permitted?" column, please indicate if CORL Technologies may disclose the responses provided herein to other CORL Technologies clients who also utilize PeriGen. Allowing such disclosure may expedite future assessments.</t>
  </si>
  <si>
    <t>Does PeriGen have a designated leader responsible for information security?</t>
  </si>
  <si>
    <t xml:space="preserve">Does PeriGen employ an information security team? </t>
  </si>
  <si>
    <t>Does PeriGen outsource information security functions to a third party? If yes, please provide the name and scope of services provided in the comments section.</t>
  </si>
  <si>
    <t>Does PeriGen have any employees or physical office locations outside of the United States?</t>
  </si>
  <si>
    <t>What year was PeriGen founded?</t>
  </si>
  <si>
    <t>Approximately how many people does PeriGen employ?</t>
  </si>
  <si>
    <t>Has PeriGen ever experienced a data breach?  If so, please explain in the comments section.</t>
  </si>
  <si>
    <t>Does PeriGen utilize any subcontractors with access Saint Luke's Health System data? If yes, please provide the name of the subcontractor(s) in the comments section.</t>
  </si>
  <si>
    <t>PeriGen Data Center</t>
  </si>
  <si>
    <t>Does PeriGen adhere to information system security engineering principles in the specification, design, development, implementation, and modification of the identified environment?</t>
  </si>
  <si>
    <t>For the identified environment, may CORL Technologies disclose the responses provided herein to other CORL Technologies clients who also utilize PeriGen? Allowing such disclosure may expedite future assessments.</t>
  </si>
  <si>
    <t>Vendor Name:</t>
  </si>
  <si>
    <t>Does PeriGen maintain cyber liability insurance in addition to general liability insurance? If Yes, please explain how much in the comments section.</t>
  </si>
  <si>
    <t>Bruno Bendavid</t>
  </si>
  <si>
    <t>SVP Product Management</t>
  </si>
  <si>
    <t>Product management</t>
  </si>
  <si>
    <t>&lt;100</t>
  </si>
  <si>
    <t>No data collected outside the servers hosted by the SLHS</t>
  </si>
  <si>
    <t>PeriCALM Tracings Fetal monitoring application</t>
  </si>
  <si>
    <t>Dedicated and fully hospital hosted fetal monitoring, documentation, alerts, archiving and decision support</t>
  </si>
  <si>
    <t>Data is only stored on hospital hosted servers. An estimate of volume of data stored on hospital servers including long term archive files is ~10GB (steady state) + 5GB per year as continuous archive files per pregnancy</t>
  </si>
  <si>
    <t>All access to the PeriGen servers is done via SecureLink approved infrastructure for 24/7/365 support</t>
  </si>
  <si>
    <t>PeriGen support staff have user access credentials to PeriGen server(s) only. This can be used for onsite support/operations if required by the customer</t>
  </si>
  <si>
    <t>No if the question pertains to physical access</t>
  </si>
  <si>
    <t>Only to the PeriGen application DB and ADT/EMR HL7 data interfaces</t>
  </si>
  <si>
    <t>Only ADT inbound</t>
  </si>
  <si>
    <t>Only data supplied via the ADT inbound interface</t>
  </si>
  <si>
    <t>The PeriCALM application is installed on workstation at the bedside and nursing stations. Data is communicated between workstations and server. Not data is cached or saved on the workstation.</t>
  </si>
  <si>
    <t>The system interfaces to fetal monitor to collect the fetal tracing, trasmit it to the main server which publishes it to all open client application instances on the network</t>
  </si>
  <si>
    <t>All data is stored on the main DB/App server and possibly on the long term data archival system used by the customer at the data center. No data is stored on client workstations</t>
  </si>
  <si>
    <t xml:space="preserve">HIPAA compliance functions are coded within the PeriCALM Tracings system design. To date there has not been an external assessment. PeriGen is presently engaged to perfrom such an audit  </t>
  </si>
  <si>
    <t xml:space="preserve">Although many NIST guidelines are built into system design there was no certification perfromed  </t>
  </si>
  <si>
    <t>Archives file are archived as encrypted and compressed XML (AES-256). Real-time database (Objectivity/DB) which reside on the main server hosted at University of Utah is not encrypted at rest.</t>
  </si>
  <si>
    <t>Connectivity is perfromed by SecureLink which is already approved and operational.</t>
  </si>
  <si>
    <t>Access to hospital is goverend by individual account / profile in SecureLink.</t>
  </si>
  <si>
    <t>Only for software support services</t>
  </si>
  <si>
    <t>PeriGen Inc.</t>
  </si>
  <si>
    <t>www.perigen.com</t>
  </si>
  <si>
    <t>bruno.bendavid@perigen.com</t>
  </si>
  <si>
    <t>514-978-0611</t>
  </si>
  <si>
    <t>PeriCALM Tracings</t>
  </si>
  <si>
    <t>All employees are screened during job interviews</t>
  </si>
  <si>
    <t>See the attached document: "St Lukes Preliminary System Architecture FINAL.pdf"</t>
  </si>
  <si>
    <t>Maintenance procedures are part of corporate QMS and are propriatary</t>
  </si>
  <si>
    <t>(Cannot resize cell. Please read entire comment)
PeriGen has technical resources residing outside the United States; Montreal, Canada and Tel Aviv, Israel.  These resources may from time to time analyze and troubleshoot the solution which may require access to ePHI data via approved connections. ePHI is never copied or stored outside the US.</t>
  </si>
  <si>
    <t>Liability insurance is set to $5 million (both general and cyber)</t>
  </si>
  <si>
    <t>By maintenance we assume two main parts: 1) Patches and enhancements to the product. This is fully monitored and controlled by our SDLC.
2) Help-desk activities. Although all processes and proceudres are approved, the actual activities by support are controlled by severity where minor issues are closed by support while higher severity items are escalated and closely controlled</t>
  </si>
  <si>
    <t>PeriGen does not move, copy or remove data/systems from customer controlled instances of our system</t>
  </si>
  <si>
    <t>Upon update, Operations staff perfroms a validation of installation to ensure the update was perromed correctly. Logs are reviewed for errors and authentication is confirmed implicitly is order to perform this check. The user aspect of the validation is the responsibility of the customer.</t>
  </si>
  <si>
    <t>We only maintain records of support incidences that were called in and where support connected to the site instance remotely.</t>
  </si>
  <si>
    <t>Access is perfromed via SecureLink where passowrd control and policies are enforced.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</si>
</sst>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40" x14ac:knownFonts="1">
    <font>
      <sz val="11"/>
      <color theme="1"/>
      <name val="Calibri"/>
      <family val="2"/>
      <scheme val="minor"/>
    </font>
    <font>
      <b/>
      <sz val="12"/>
      <color theme="0"/>
      <name val="Arial"/>
      <family val="34"/>
    </font>
    <font>
      <sz val="9"/>
      <color theme="1"/>
      <name val="Arial"/>
      <family val="2"/>
    </font>
    <font>
      <sz val="11"/>
      <color indexed="8"/>
      <name val="Calibri"/>
      <family val="2"/>
    </font>
    <font>
      <sz val="11"/>
      <color indexed="10"/>
      <name val="Calibri"/>
      <family val="2"/>
    </font>
    <font>
      <b/>
      <sz val="10"/>
      <color theme="0"/>
      <name val="Arial"/>
      <family val="2"/>
    </font>
    <font>
      <sz val="9"/>
      <name val="Arial"/>
      <family val="2"/>
    </font>
    <font>
      <sz val="11"/>
      <name val="Calibri"/>
      <family val="2"/>
    </font>
    <font>
      <b/>
      <sz val="9"/>
      <name val="Arial"/>
      <family val="2"/>
    </font>
    <font>
      <b/>
      <sz val="12"/>
      <color theme="0"/>
      <name val="Arial"/>
      <family val="2"/>
    </font>
    <font>
      <sz val="10"/>
      <color theme="1"/>
      <name val="Arial"/>
      <family val="2"/>
    </font>
    <font>
      <sz val="12"/>
      <color theme="1"/>
      <name val="Calibri"/>
      <family val="2"/>
      <scheme val="minor"/>
    </font>
    <font>
      <b/>
      <sz val="12"/>
      <color theme="4" tint="-0.249977111117893"/>
      <name val="Arial"/>
      <family val="2"/>
    </font>
    <font>
      <sz val="12"/>
      <color theme="4" tint="-0.249977111117893"/>
      <name val="Arial"/>
      <family val="2"/>
    </font>
    <font>
      <sz val="12"/>
      <color theme="1"/>
      <name val="Arial"/>
      <family val="2"/>
    </font>
    <font>
      <sz val="12"/>
      <name val="Arial"/>
      <family val="2"/>
    </font>
    <font>
      <sz val="9"/>
      <color rgb="FF0070C0"/>
      <name val="Arial"/>
      <family val="2"/>
    </font>
    <font>
      <sz val="11"/>
      <color theme="1"/>
      <name val="Arial"/>
      <family val="2"/>
    </font>
    <font>
      <b/>
      <sz val="14"/>
      <color theme="0"/>
      <name val="Calibri"/>
      <family val="2"/>
      <scheme val="minor"/>
    </font>
    <font>
      <b/>
      <sz val="12"/>
      <color theme="0"/>
      <name val="Calibri"/>
      <family val="2"/>
      <scheme val="minor"/>
    </font>
    <font>
      <sz val="9"/>
      <color rgb="FFFF0000"/>
      <name val="Arial"/>
      <family val="2"/>
    </font>
    <font>
      <b/>
      <sz val="11"/>
      <color theme="1"/>
      <name val="Calibri"/>
      <family val="2"/>
      <scheme val="minor"/>
    </font>
    <font>
      <b/>
      <sz val="9"/>
      <color indexed="81"/>
      <name val="Tahoma"/>
      <family val="2"/>
    </font>
    <font>
      <sz val="9"/>
      <color indexed="81"/>
      <name val="Tahoma"/>
      <family val="2"/>
    </font>
    <font>
      <sz val="72"/>
      <color theme="1"/>
      <name val="Calibri"/>
      <family val="2"/>
      <scheme val="minor"/>
    </font>
    <font>
      <sz val="11"/>
      <color theme="1"/>
      <name val="Cambria"/>
      <family val="1"/>
    </font>
    <font>
      <b/>
      <sz val="14"/>
      <color rgb="FFF8F8F8"/>
      <name val="Cambria"/>
      <family val="1"/>
    </font>
    <font>
      <b/>
      <sz val="12"/>
      <color rgb="FF000000"/>
      <name val="Cambria"/>
      <family val="1"/>
    </font>
    <font>
      <sz val="12"/>
      <color rgb="FF000000"/>
      <name val="Cambria"/>
      <family val="1"/>
    </font>
    <font>
      <sz val="12"/>
      <color theme="1"/>
      <name val="Cambria"/>
      <family val="1"/>
    </font>
    <font>
      <b/>
      <sz val="14"/>
      <color theme="0"/>
      <name val="Cambria"/>
      <family val="1"/>
    </font>
    <font>
      <b/>
      <sz val="12"/>
      <color theme="1"/>
      <name val="Cambria"/>
      <family val="1"/>
    </font>
    <font>
      <b/>
      <i/>
      <sz val="12"/>
      <color rgb="FF000000"/>
      <name val="Cambria"/>
      <family val="1"/>
    </font>
    <font>
      <sz val="12"/>
      <name val="Cambria"/>
      <family val="1"/>
    </font>
    <font>
      <b/>
      <sz val="36"/>
      <color theme="5" tint="-0.249977111117893"/>
      <name val="Cambria"/>
      <family val="1"/>
    </font>
    <font>
      <b/>
      <sz val="36"/>
      <color rgb="FFF46A02"/>
      <name val="Cambria"/>
      <family val="1"/>
    </font>
    <font>
      <b/>
      <sz val="12"/>
      <name val="Cambria"/>
      <family val="1"/>
    </font>
    <font>
      <b/>
      <sz val="12"/>
      <color rgb="FFF46A02"/>
      <name val="Cambria"/>
      <family val="1"/>
    </font>
    <font>
      <b/>
      <sz val="10"/>
      <name val="Arial"/>
      <family val="2"/>
    </font>
    <font>
      <u/>
      <sz val="11"/>
      <color theme="10"/>
      <name val="Calibri"/>
      <family val="2"/>
      <scheme val="minor"/>
    </font>
  </fonts>
  <fills count="14">
    <fill>
      <patternFill patternType="none"/>
    </fill>
    <fill>
      <patternFill patternType="gray125"/>
    </fill>
    <fill>
      <patternFill patternType="solid">
        <fgColor theme="4"/>
        <bgColor indexed="64"/>
      </patternFill>
    </fill>
    <fill>
      <patternFill patternType="solid">
        <fgColor theme="4" tint="-0.499984740745262"/>
        <bgColor indexed="64"/>
      </patternFill>
    </fill>
    <fill>
      <patternFill patternType="solid">
        <fgColor theme="6" tint="-0.249977111117893"/>
        <bgColor indexed="64"/>
      </patternFill>
    </fill>
    <fill>
      <patternFill patternType="solid">
        <fgColor theme="0"/>
        <bgColor indexed="64"/>
      </patternFill>
    </fill>
    <fill>
      <patternFill patternType="solid">
        <fgColor theme="5"/>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FFFF"/>
        <bgColor indexed="64"/>
      </patternFill>
    </fill>
    <fill>
      <patternFill patternType="solid">
        <fgColor rgb="FFFFFF00"/>
        <bgColor indexed="64"/>
      </patternFill>
    </fill>
    <fill>
      <patternFill patternType="solid">
        <fgColor theme="4" tint="0.39997558519241921"/>
        <bgColor indexed="64"/>
      </patternFill>
    </fill>
    <fill>
      <patternFill patternType="solid">
        <fgColor theme="0" tint="-0.249977111117893"/>
        <bgColor indexed="64"/>
      </patternFill>
    </fill>
    <fill>
      <patternFill patternType="solid">
        <fgColor theme="5" tint="0.59999389629810485"/>
        <bgColor indexed="64"/>
      </patternFill>
    </fill>
  </fills>
  <borders count="51">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style="double">
        <color indexed="64"/>
      </top>
      <bottom style="thin">
        <color indexed="64"/>
      </bottom>
      <diagonal/>
    </border>
    <border>
      <left style="double">
        <color indexed="64"/>
      </left>
      <right style="double">
        <color indexed="64"/>
      </right>
      <top style="double">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top/>
      <bottom/>
      <diagonal/>
    </border>
    <border>
      <left/>
      <right style="medium">
        <color indexed="64"/>
      </right>
      <top style="thin">
        <color indexed="64"/>
      </top>
      <bottom style="thin">
        <color auto="1"/>
      </bottom>
      <diagonal/>
    </border>
    <border>
      <left style="thin">
        <color auto="1"/>
      </left>
      <right/>
      <top style="thin">
        <color auto="1"/>
      </top>
      <bottom/>
      <diagonal/>
    </border>
    <border>
      <left/>
      <right style="medium">
        <color indexed="64"/>
      </right>
      <top style="thin">
        <color indexed="64"/>
      </top>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right style="medium">
        <color indexed="64"/>
      </right>
      <top/>
      <bottom/>
      <diagonal/>
    </border>
    <border>
      <left/>
      <right style="medium">
        <color indexed="64"/>
      </right>
      <top/>
      <bottom style="thin">
        <color auto="1"/>
      </bottom>
      <diagonal/>
    </border>
    <border>
      <left style="thin">
        <color auto="1"/>
      </left>
      <right/>
      <top style="thin">
        <color auto="1"/>
      </top>
      <bottom style="medium">
        <color indexed="64"/>
      </bottom>
      <diagonal/>
    </border>
    <border>
      <left/>
      <right style="medium">
        <color indexed="64"/>
      </right>
      <top style="thin">
        <color auto="1"/>
      </top>
      <bottom style="medium">
        <color indexed="64"/>
      </bottom>
      <diagonal/>
    </border>
    <border>
      <left style="thin">
        <color auto="1"/>
      </left>
      <right/>
      <top/>
      <bottom style="medium">
        <color indexed="64"/>
      </bottom>
      <diagonal/>
    </border>
    <border>
      <left style="medium">
        <color indexed="64"/>
      </left>
      <right style="thin">
        <color auto="1"/>
      </right>
      <top/>
      <bottom style="medium">
        <color indexed="64"/>
      </bottom>
      <diagonal/>
    </border>
    <border>
      <left style="thin">
        <color auto="1"/>
      </left>
      <right style="medium">
        <color indexed="64"/>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auto="1"/>
      </left>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diagonal/>
    </border>
    <border>
      <left style="double">
        <color indexed="64"/>
      </left>
      <right/>
      <top style="double">
        <color indexed="64"/>
      </top>
      <bottom/>
      <diagonal/>
    </border>
    <border>
      <left/>
      <right style="thin">
        <color indexed="64"/>
      </right>
      <top style="thin">
        <color indexed="64"/>
      </top>
      <bottom style="thin">
        <color indexed="64"/>
      </bottom>
      <diagonal/>
    </border>
  </borders>
  <cellStyleXfs count="15">
    <xf numFmtId="0" fontId="0" fillId="0" borderId="0"/>
    <xf numFmtId="0" fontId="3" fillId="0" borderId="0">
      <alignment wrapText="1"/>
    </xf>
    <xf numFmtId="0" fontId="3" fillId="0" borderId="0">
      <alignment wrapText="1"/>
    </xf>
    <xf numFmtId="0" fontId="4" fillId="0" borderId="0">
      <alignment vertical="center"/>
    </xf>
    <xf numFmtId="0" fontId="3" fillId="0" borderId="0">
      <alignment wrapText="1"/>
    </xf>
    <xf numFmtId="0" fontId="3" fillId="0" borderId="0">
      <alignment wrapText="1"/>
    </xf>
    <xf numFmtId="0" fontId="3" fillId="0" borderId="0">
      <alignment wrapText="1"/>
    </xf>
    <xf numFmtId="0" fontId="3" fillId="0" borderId="0">
      <alignment wrapText="1"/>
    </xf>
    <xf numFmtId="0" fontId="3" fillId="0" borderId="0">
      <alignment wrapText="1"/>
    </xf>
    <xf numFmtId="0" fontId="3" fillId="0" borderId="0">
      <alignment wrapText="1"/>
    </xf>
    <xf numFmtId="0" fontId="3" fillId="0" borderId="0">
      <alignment wrapText="1"/>
    </xf>
    <xf numFmtId="0" fontId="3" fillId="0" borderId="0">
      <alignment wrapText="1"/>
    </xf>
    <xf numFmtId="0" fontId="3" fillId="0" borderId="0">
      <alignment wrapText="1"/>
    </xf>
    <xf numFmtId="0" fontId="3" fillId="0" borderId="0">
      <alignment wrapText="1"/>
    </xf>
    <xf numFmtId="0" fontId="39" fillId="0" borderId="0" applyNumberFormat="0" applyFill="0" applyBorder="0" applyAlignment="0" applyProtection="0"/>
  </cellStyleXfs>
  <cellXfs count="265">
    <xf numFmtId="0" fontId="0" fillId="0" borderId="0" xfId="0"/>
    <xf numFmtId="0" fontId="5" fillId="6" borderId="1" xfId="0" applyFont="1" applyFill="1" applyBorder="1" applyAlignment="1">
      <alignment horizontal="center" vertical="center" wrapText="1"/>
    </xf>
    <xf numFmtId="0" fontId="0" fillId="0" borderId="0" xfId="0"/>
    <xf numFmtId="0" fontId="10" fillId="0" borderId="0" xfId="0" applyFont="1"/>
    <xf numFmtId="0" fontId="11" fillId="0" borderId="0" xfId="0" applyFont="1"/>
    <xf numFmtId="0" fontId="2" fillId="0" borderId="0" xfId="0" applyFont="1"/>
    <xf numFmtId="0" fontId="2" fillId="0" borderId="0" xfId="0" applyFont="1" applyAlignment="1">
      <alignment vertical="center"/>
    </xf>
    <xf numFmtId="0" fontId="2" fillId="8" borderId="0" xfId="0" applyFont="1" applyFill="1" applyAlignment="1">
      <alignment vertical="center" wrapText="1"/>
    </xf>
    <xf numFmtId="0" fontId="2" fillId="8" borderId="2" xfId="0" applyFont="1" applyFill="1" applyBorder="1" applyAlignment="1">
      <alignment vertical="center" wrapText="1"/>
    </xf>
    <xf numFmtId="0" fontId="14" fillId="5" borderId="0" xfId="0" applyFont="1" applyFill="1"/>
    <xf numFmtId="0" fontId="14" fillId="0" borderId="0" xfId="0" applyFont="1"/>
    <xf numFmtId="0" fontId="14" fillId="8" borderId="0" xfId="0" applyFont="1" applyFill="1"/>
    <xf numFmtId="0" fontId="15" fillId="8" borderId="0" xfId="0" applyFont="1" applyFill="1" applyBorder="1" applyAlignment="1">
      <alignment vertical="center" wrapText="1"/>
    </xf>
    <xf numFmtId="0" fontId="11" fillId="5" borderId="0" xfId="0" applyFont="1" applyFill="1"/>
    <xf numFmtId="0" fontId="10" fillId="0" borderId="1" xfId="0" applyFont="1" applyBorder="1" applyAlignment="1">
      <alignment vertical="center" wrapText="1"/>
    </xf>
    <xf numFmtId="0" fontId="6" fillId="5" borderId="1" xfId="0" applyFont="1" applyFill="1" applyBorder="1" applyAlignment="1">
      <alignment horizontal="center" vertical="center" wrapText="1"/>
    </xf>
    <xf numFmtId="0" fontId="6" fillId="5" borderId="1" xfId="0" applyFont="1" applyFill="1" applyBorder="1" applyAlignment="1">
      <alignment horizontal="left" vertical="center" wrapText="1"/>
    </xf>
    <xf numFmtId="0" fontId="0" fillId="0" borderId="0" xfId="0" applyAlignment="1">
      <alignment horizontal="center"/>
    </xf>
    <xf numFmtId="49" fontId="6" fillId="5" borderId="1" xfId="0" applyNumberFormat="1" applyFont="1" applyFill="1" applyBorder="1" applyAlignment="1">
      <alignment horizontal="center" vertical="center" wrapText="1"/>
    </xf>
    <xf numFmtId="0" fontId="6" fillId="5" borderId="1" xfId="0" applyFont="1" applyFill="1" applyBorder="1" applyAlignment="1" applyProtection="1">
      <alignment horizontal="center" vertical="center" wrapText="1"/>
      <protection locked="0"/>
    </xf>
    <xf numFmtId="0" fontId="6" fillId="5" borderId="1" xfId="0" applyFont="1" applyFill="1" applyBorder="1" applyAlignment="1">
      <alignment horizontal="center" vertical="center"/>
    </xf>
    <xf numFmtId="0" fontId="6" fillId="0" borderId="1" xfId="0" applyFont="1" applyFill="1" applyBorder="1" applyAlignment="1">
      <alignment horizontal="left" vertical="center" wrapText="1"/>
    </xf>
    <xf numFmtId="0" fontId="6" fillId="0" borderId="1" xfId="1" applyFont="1" applyFill="1" applyBorder="1" applyAlignment="1">
      <alignment horizontal="left" vertical="center" wrapText="1"/>
    </xf>
    <xf numFmtId="49" fontId="6" fillId="5" borderId="1" xfId="0" applyNumberFormat="1" applyFont="1" applyFill="1" applyBorder="1" applyAlignment="1">
      <alignment vertical="center" wrapText="1"/>
    </xf>
    <xf numFmtId="0" fontId="6" fillId="5" borderId="1" xfId="1" applyFont="1" applyFill="1" applyBorder="1" applyAlignment="1" applyProtection="1">
      <alignment horizontal="left" vertical="center" wrapText="1"/>
    </xf>
    <xf numFmtId="49" fontId="7" fillId="5" borderId="1" xfId="0" applyNumberFormat="1" applyFont="1" applyFill="1" applyBorder="1" applyAlignment="1">
      <alignment vertical="center" wrapText="1"/>
    </xf>
    <xf numFmtId="0" fontId="6" fillId="5" borderId="1" xfId="0" applyFont="1" applyFill="1" applyBorder="1" applyAlignment="1">
      <alignment vertical="center" wrapText="1"/>
    </xf>
    <xf numFmtId="0" fontId="17" fillId="0" borderId="0" xfId="0" applyFont="1"/>
    <xf numFmtId="0" fontId="10" fillId="0" borderId="0" xfId="0" applyFont="1" applyAlignment="1">
      <alignment horizontal="left" vertical="center"/>
    </xf>
    <xf numFmtId="0" fontId="17" fillId="0" borderId="0" xfId="0" applyFont="1" applyAlignment="1">
      <alignment horizontal="center"/>
    </xf>
    <xf numFmtId="0" fontId="5" fillId="3" borderId="6" xfId="0" applyFont="1" applyFill="1" applyBorder="1" applyAlignment="1">
      <alignment horizontal="left" vertical="center" wrapText="1"/>
    </xf>
    <xf numFmtId="0" fontId="5" fillId="3" borderId="6" xfId="0" applyFont="1" applyFill="1" applyBorder="1" applyAlignment="1">
      <alignment horizontal="left" vertical="center"/>
    </xf>
    <xf numFmtId="0" fontId="5" fillId="3" borderId="6" xfId="0" applyFont="1" applyFill="1" applyBorder="1" applyAlignment="1">
      <alignment horizontal="center" vertical="center"/>
    </xf>
    <xf numFmtId="0" fontId="10" fillId="0" borderId="1" xfId="0" applyFont="1" applyBorder="1" applyAlignment="1">
      <alignment horizontal="center" vertical="center"/>
    </xf>
    <xf numFmtId="0" fontId="10" fillId="0" borderId="1" xfId="0" applyFont="1" applyBorder="1" applyAlignment="1">
      <alignment horizontal="left" vertical="center"/>
    </xf>
    <xf numFmtId="0" fontId="10" fillId="0" borderId="1" xfId="0" applyFont="1" applyBorder="1" applyAlignment="1">
      <alignment horizontal="left" vertical="center" wrapText="1"/>
    </xf>
    <xf numFmtId="0" fontId="17" fillId="0" borderId="1" xfId="0" applyFont="1" applyBorder="1"/>
    <xf numFmtId="0" fontId="17" fillId="0" borderId="1" xfId="0" applyFont="1" applyBorder="1" applyAlignment="1">
      <alignment horizontal="center"/>
    </xf>
    <xf numFmtId="0" fontId="17" fillId="0" borderId="1" xfId="0" applyFont="1" applyBorder="1" applyAlignment="1">
      <alignment wrapText="1"/>
    </xf>
    <xf numFmtId="16" fontId="2" fillId="0" borderId="0" xfId="0" applyNumberFormat="1" applyFont="1"/>
    <xf numFmtId="0" fontId="2" fillId="0" borderId="1" xfId="0" applyFont="1" applyBorder="1" applyAlignment="1">
      <alignment vertical="center" wrapText="1"/>
    </xf>
    <xf numFmtId="0" fontId="2" fillId="9" borderId="1" xfId="0" applyFont="1" applyFill="1" applyBorder="1" applyAlignment="1">
      <alignment vertical="center" wrapText="1"/>
    </xf>
    <xf numFmtId="0" fontId="10" fillId="0" borderId="3" xfId="0" applyFont="1" applyBorder="1" applyAlignment="1">
      <alignment vertical="center" wrapText="1"/>
    </xf>
    <xf numFmtId="0" fontId="0" fillId="0" borderId="0" xfId="0"/>
    <xf numFmtId="0" fontId="5" fillId="6" borderId="1" xfId="0" applyFont="1" applyFill="1" applyBorder="1" applyAlignment="1">
      <alignment horizontal="center" vertical="center" wrapText="1"/>
    </xf>
    <xf numFmtId="0" fontId="0" fillId="0" borderId="0" xfId="0" applyAlignment="1">
      <alignment horizontal="center"/>
    </xf>
    <xf numFmtId="49" fontId="7" fillId="5" borderId="1" xfId="0" applyNumberFormat="1" applyFont="1" applyFill="1" applyBorder="1" applyAlignment="1">
      <alignment horizontal="center" vertical="center" wrapText="1"/>
    </xf>
    <xf numFmtId="49" fontId="6" fillId="5" borderId="1" xfId="0" applyNumberFormat="1" applyFont="1" applyFill="1" applyBorder="1" applyAlignment="1">
      <alignment horizontal="center" vertical="center" wrapText="1"/>
    </xf>
    <xf numFmtId="0" fontId="6" fillId="5" borderId="1" xfId="0" applyFont="1" applyFill="1" applyBorder="1" applyAlignment="1">
      <alignment horizontal="center" vertical="center" wrapText="1"/>
    </xf>
    <xf numFmtId="0" fontId="6" fillId="5" borderId="8" xfId="0" applyFont="1" applyFill="1" applyBorder="1" applyAlignment="1">
      <alignment horizontal="center" vertical="center" wrapText="1"/>
    </xf>
    <xf numFmtId="0" fontId="6" fillId="5" borderId="9" xfId="0" applyFont="1" applyFill="1" applyBorder="1" applyAlignment="1">
      <alignment horizontal="center" vertical="center" wrapText="1"/>
    </xf>
    <xf numFmtId="0" fontId="6" fillId="5" borderId="3" xfId="0" applyFont="1" applyFill="1" applyBorder="1" applyAlignment="1">
      <alignment horizontal="center" vertical="center" wrapText="1"/>
    </xf>
    <xf numFmtId="0" fontId="21" fillId="6" borderId="0" xfId="0" applyFont="1" applyFill="1"/>
    <xf numFmtId="0" fontId="21" fillId="6" borderId="0" xfId="0" applyFont="1" applyFill="1" applyAlignment="1">
      <alignment horizontal="left"/>
    </xf>
    <xf numFmtId="0" fontId="21" fillId="11" borderId="0" xfId="0" applyFont="1" applyFill="1"/>
    <xf numFmtId="0" fontId="6" fillId="0" borderId="0" xfId="0" applyFont="1" applyFill="1" applyBorder="1" applyAlignment="1">
      <alignment horizontal="center" vertical="center" wrapText="1"/>
    </xf>
    <xf numFmtId="0" fontId="6" fillId="0" borderId="0" xfId="0" applyFont="1" applyFill="1" applyBorder="1" applyAlignment="1">
      <alignment horizontal="left" vertical="center"/>
    </xf>
    <xf numFmtId="0" fontId="6" fillId="0" borderId="0" xfId="0" applyFont="1" applyFill="1" applyBorder="1" applyAlignment="1">
      <alignment vertical="center"/>
    </xf>
    <xf numFmtId="0" fontId="2" fillId="0" borderId="0" xfId="0" applyFont="1" applyFill="1" applyBorder="1" applyAlignment="1">
      <alignment horizontal="left"/>
    </xf>
    <xf numFmtId="0" fontId="6" fillId="0" borderId="0" xfId="0" applyFont="1" applyFill="1" applyBorder="1" applyAlignment="1">
      <alignment horizontal="center" vertical="center"/>
    </xf>
    <xf numFmtId="0" fontId="8" fillId="0" borderId="0" xfId="0" applyFont="1" applyFill="1" applyBorder="1" applyAlignment="1">
      <alignment horizontal="left" vertical="center"/>
    </xf>
    <xf numFmtId="0" fontId="0" fillId="0" borderId="0" xfId="0" applyAlignment="1">
      <alignment horizontal="left"/>
    </xf>
    <xf numFmtId="0" fontId="0" fillId="0" borderId="0" xfId="0" applyNumberFormat="1"/>
    <xf numFmtId="0" fontId="0" fillId="0" borderId="11" xfId="0" applyBorder="1"/>
    <xf numFmtId="0" fontId="21" fillId="6" borderId="12" xfId="0" applyFont="1" applyFill="1" applyBorder="1"/>
    <xf numFmtId="0" fontId="21" fillId="6" borderId="13" xfId="0" applyFont="1" applyFill="1" applyBorder="1"/>
    <xf numFmtId="0" fontId="0" fillId="0" borderId="16" xfId="0" applyBorder="1"/>
    <xf numFmtId="10" fontId="0" fillId="0" borderId="15" xfId="0" applyNumberFormat="1" applyBorder="1"/>
    <xf numFmtId="0" fontId="0" fillId="0" borderId="17" xfId="0" applyBorder="1"/>
    <xf numFmtId="0" fontId="0" fillId="0" borderId="18" xfId="0" applyBorder="1"/>
    <xf numFmtId="0" fontId="0" fillId="0" borderId="1" xfId="0" applyBorder="1"/>
    <xf numFmtId="10" fontId="0" fillId="0" borderId="18" xfId="0" applyNumberFormat="1" applyBorder="1"/>
    <xf numFmtId="0" fontId="0" fillId="0" borderId="20" xfId="0" applyBorder="1"/>
    <xf numFmtId="10" fontId="0" fillId="0" borderId="21" xfId="0" applyNumberFormat="1" applyBorder="1"/>
    <xf numFmtId="0" fontId="0" fillId="0" borderId="3" xfId="0" applyBorder="1"/>
    <xf numFmtId="10" fontId="0" fillId="0" borderId="23" xfId="0" applyNumberFormat="1" applyBorder="1"/>
    <xf numFmtId="0" fontId="0" fillId="0" borderId="19" xfId="0" applyBorder="1"/>
    <xf numFmtId="0" fontId="0" fillId="0" borderId="21" xfId="0" applyBorder="1"/>
    <xf numFmtId="0" fontId="0" fillId="0" borderId="8" xfId="0" applyBorder="1"/>
    <xf numFmtId="10" fontId="0" fillId="0" borderId="25" xfId="0" applyNumberFormat="1" applyBorder="1"/>
    <xf numFmtId="0" fontId="0" fillId="0" borderId="0" xfId="0" applyBorder="1"/>
    <xf numFmtId="0" fontId="0" fillId="0" borderId="0" xfId="0" applyBorder="1" applyAlignment="1">
      <alignment horizontal="center" vertical="center"/>
    </xf>
    <xf numFmtId="0" fontId="6" fillId="5" borderId="1" xfId="0" applyFont="1" applyFill="1" applyBorder="1" applyAlignment="1">
      <alignment horizontal="center" vertical="center" wrapText="1"/>
    </xf>
    <xf numFmtId="0" fontId="6" fillId="5" borderId="1" xfId="0" applyFont="1" applyFill="1" applyBorder="1" applyAlignment="1">
      <alignment horizontal="left" vertical="center" wrapText="1"/>
    </xf>
    <xf numFmtId="0" fontId="0" fillId="0" borderId="0" xfId="0" applyBorder="1" applyAlignment="1">
      <alignment horizontal="center" vertical="center"/>
    </xf>
    <xf numFmtId="0" fontId="6" fillId="5" borderId="8" xfId="0" applyFont="1" applyFill="1" applyBorder="1" applyAlignment="1">
      <alignment horizontal="center" vertical="center" wrapText="1"/>
    </xf>
    <xf numFmtId="0" fontId="6" fillId="5" borderId="1" xfId="0" applyFont="1" applyFill="1" applyBorder="1" applyAlignment="1">
      <alignment horizontal="center" vertical="center" wrapText="1"/>
    </xf>
    <xf numFmtId="0" fontId="6" fillId="5" borderId="1" xfId="0" applyFont="1" applyFill="1" applyBorder="1" applyAlignment="1">
      <alignment horizontal="left" vertical="center" wrapText="1"/>
    </xf>
    <xf numFmtId="0" fontId="8" fillId="5" borderId="1" xfId="0" applyFont="1" applyFill="1" applyBorder="1" applyAlignment="1">
      <alignment horizontal="center" vertical="center"/>
    </xf>
    <xf numFmtId="0" fontId="0" fillId="0" borderId="0" xfId="0" applyBorder="1" applyAlignment="1">
      <alignment horizontal="center" vertical="center"/>
    </xf>
    <xf numFmtId="0" fontId="9" fillId="6" borderId="5" xfId="0" applyFont="1" applyFill="1" applyBorder="1" applyAlignment="1">
      <alignment vertical="center"/>
    </xf>
    <xf numFmtId="0" fontId="9" fillId="6" borderId="0" xfId="0" applyFont="1" applyFill="1" applyBorder="1" applyAlignment="1">
      <alignment vertical="center"/>
    </xf>
    <xf numFmtId="0" fontId="9" fillId="6" borderId="2" xfId="0" applyFont="1" applyFill="1" applyBorder="1" applyAlignment="1">
      <alignment vertical="center"/>
    </xf>
    <xf numFmtId="0" fontId="9" fillId="0" borderId="29" xfId="0" applyFont="1" applyFill="1" applyBorder="1" applyAlignment="1">
      <alignment vertical="center"/>
    </xf>
    <xf numFmtId="0" fontId="9" fillId="0" borderId="0" xfId="0" applyFont="1" applyFill="1" applyBorder="1" applyAlignment="1">
      <alignment vertical="center"/>
    </xf>
    <xf numFmtId="0" fontId="16" fillId="0" borderId="7" xfId="0" applyFont="1" applyBorder="1" applyAlignment="1" applyProtection="1">
      <alignment horizontal="left" vertical="center" wrapText="1"/>
      <protection locked="0"/>
    </xf>
    <xf numFmtId="0" fontId="16" fillId="0" borderId="29" xfId="0" applyFont="1" applyBorder="1" applyAlignment="1">
      <alignment horizontal="left" vertical="center" wrapText="1"/>
    </xf>
    <xf numFmtId="0" fontId="16" fillId="0" borderId="0" xfId="0" applyFont="1" applyBorder="1" applyAlignment="1">
      <alignment horizontal="left" vertical="center" wrapText="1"/>
    </xf>
    <xf numFmtId="0" fontId="0" fillId="0" borderId="29" xfId="0" applyBorder="1"/>
    <xf numFmtId="0" fontId="26" fillId="6" borderId="1" xfId="0" applyFont="1" applyFill="1" applyBorder="1" applyAlignment="1">
      <alignment horizontal="center" vertical="top" wrapText="1"/>
    </xf>
    <xf numFmtId="0" fontId="27" fillId="12" borderId="1" xfId="0" applyFont="1" applyFill="1" applyBorder="1" applyAlignment="1">
      <alignment vertical="top" wrapText="1"/>
    </xf>
    <xf numFmtId="0" fontId="27" fillId="12" borderId="7" xfId="0" applyFont="1" applyFill="1" applyBorder="1" applyAlignment="1">
      <alignment vertical="top" wrapText="1"/>
    </xf>
    <xf numFmtId="0" fontId="28" fillId="13" borderId="1" xfId="0" applyFont="1" applyFill="1" applyBorder="1" applyAlignment="1">
      <alignment horizontal="left" vertical="top" wrapText="1"/>
    </xf>
    <xf numFmtId="0" fontId="28" fillId="0" borderId="1" xfId="0" applyFont="1" applyFill="1" applyBorder="1" applyAlignment="1" applyProtection="1">
      <alignment vertical="top" wrapText="1"/>
      <protection locked="0"/>
    </xf>
    <xf numFmtId="0" fontId="28" fillId="0" borderId="7" xfId="0" applyFont="1" applyFill="1" applyBorder="1" applyAlignment="1" applyProtection="1">
      <alignment vertical="top" wrapText="1"/>
      <protection locked="0"/>
    </xf>
    <xf numFmtId="0" fontId="28" fillId="13" borderId="1" xfId="0" applyFont="1" applyFill="1" applyBorder="1" applyAlignment="1">
      <alignment horizontal="left" vertical="top" wrapText="1" indent="4"/>
    </xf>
    <xf numFmtId="0" fontId="28" fillId="13" borderId="1" xfId="0" applyFont="1" applyFill="1" applyBorder="1" applyAlignment="1">
      <alignment horizontal="left" vertical="top" wrapText="1" indent="3"/>
    </xf>
    <xf numFmtId="0" fontId="29" fillId="13" borderId="1" xfId="0" applyFont="1" applyFill="1" applyBorder="1" applyAlignment="1">
      <alignment wrapText="1"/>
    </xf>
    <xf numFmtId="0" fontId="0" fillId="0" borderId="1" xfId="0" applyBorder="1" applyProtection="1">
      <protection locked="0"/>
    </xf>
    <xf numFmtId="0" fontId="28" fillId="13" borderId="8" xfId="0" applyFont="1" applyFill="1" applyBorder="1" applyAlignment="1">
      <alignment horizontal="left" vertical="top" wrapText="1"/>
    </xf>
    <xf numFmtId="0" fontId="0" fillId="0" borderId="8" xfId="0" applyBorder="1" applyProtection="1">
      <protection locked="0"/>
    </xf>
    <xf numFmtId="0" fontId="28" fillId="0" borderId="8" xfId="0" applyFont="1" applyFill="1" applyBorder="1" applyAlignment="1" applyProtection="1">
      <alignment vertical="top" wrapText="1"/>
      <protection locked="0"/>
    </xf>
    <xf numFmtId="0" fontId="29" fillId="13" borderId="1" xfId="0" applyFont="1" applyFill="1" applyBorder="1" applyAlignment="1">
      <alignment horizontal="left" vertical="center" wrapText="1"/>
    </xf>
    <xf numFmtId="0" fontId="19" fillId="6" borderId="24" xfId="0" applyFont="1" applyFill="1" applyBorder="1" applyAlignment="1">
      <alignment horizontal="center"/>
    </xf>
    <xf numFmtId="0" fontId="19" fillId="6" borderId="25" xfId="0" applyFont="1" applyFill="1" applyBorder="1" applyAlignment="1">
      <alignment horizontal="center"/>
    </xf>
    <xf numFmtId="0" fontId="19" fillId="6" borderId="17" xfId="0" applyFont="1" applyFill="1" applyBorder="1" applyAlignment="1">
      <alignment horizontal="center"/>
    </xf>
    <xf numFmtId="0" fontId="19" fillId="6" borderId="18" xfId="0" applyFont="1" applyFill="1" applyBorder="1" applyAlignment="1">
      <alignment horizontal="center"/>
    </xf>
    <xf numFmtId="0" fontId="31" fillId="6" borderId="37" xfId="0" applyFont="1" applyFill="1" applyBorder="1" applyAlignment="1">
      <alignment wrapText="1"/>
    </xf>
    <xf numFmtId="0" fontId="31" fillId="0" borderId="19" xfId="0" applyFont="1" applyFill="1" applyBorder="1" applyAlignment="1" applyProtection="1">
      <alignment horizontal="center" vertical="center"/>
      <protection locked="0"/>
    </xf>
    <xf numFmtId="0" fontId="31" fillId="0" borderId="38" xfId="0" applyFont="1" applyFill="1" applyBorder="1" applyAlignment="1" applyProtection="1">
      <alignment horizontal="center" vertical="center" wrapText="1"/>
      <protection locked="0"/>
    </xf>
    <xf numFmtId="0" fontId="31" fillId="0" borderId="21" xfId="0" applyFont="1" applyFill="1" applyBorder="1" applyAlignment="1" applyProtection="1">
      <alignment horizontal="center" vertical="center" wrapText="1"/>
      <protection locked="0"/>
    </xf>
    <xf numFmtId="0" fontId="27" fillId="6" borderId="4" xfId="0" applyFont="1" applyFill="1" applyBorder="1" applyAlignment="1">
      <alignment vertical="top" wrapText="1"/>
    </xf>
    <xf numFmtId="0" fontId="28" fillId="13" borderId="7" xfId="0" applyFont="1" applyFill="1" applyBorder="1" applyAlignment="1">
      <alignment horizontal="left" vertical="top" wrapText="1"/>
    </xf>
    <xf numFmtId="0" fontId="28" fillId="0" borderId="22" xfId="0" applyFont="1" applyFill="1" applyBorder="1" applyAlignment="1" applyProtection="1">
      <alignment horizontal="center" vertical="center" wrapText="1"/>
      <protection locked="0"/>
    </xf>
    <xf numFmtId="0" fontId="28" fillId="0" borderId="23" xfId="0" applyFont="1" applyFill="1" applyBorder="1" applyAlignment="1" applyProtection="1">
      <alignment horizontal="center" vertical="center" wrapText="1"/>
      <protection locked="0"/>
    </xf>
    <xf numFmtId="0" fontId="28" fillId="13" borderId="37" xfId="0" applyFont="1" applyFill="1" applyBorder="1" applyAlignment="1">
      <alignment horizontal="left" vertical="top" wrapText="1"/>
    </xf>
    <xf numFmtId="0" fontId="28" fillId="0" borderId="19" xfId="0" applyFont="1" applyFill="1" applyBorder="1" applyAlignment="1" applyProtection="1">
      <alignment horizontal="center" vertical="center" wrapText="1"/>
      <protection locked="0"/>
    </xf>
    <xf numFmtId="0" fontId="28" fillId="0" borderId="21" xfId="0" applyFont="1" applyFill="1" applyBorder="1" applyAlignment="1" applyProtection="1">
      <alignment horizontal="center" vertical="center" wrapText="1"/>
      <protection locked="0"/>
    </xf>
    <xf numFmtId="0" fontId="27" fillId="6" borderId="39" xfId="0" applyFont="1" applyFill="1" applyBorder="1" applyAlignment="1">
      <alignment horizontal="left" vertical="top" wrapText="1"/>
    </xf>
    <xf numFmtId="0" fontId="28" fillId="0" borderId="40" xfId="0" applyFont="1" applyFill="1" applyBorder="1" applyAlignment="1" applyProtection="1">
      <alignment horizontal="center" vertical="center" wrapText="1"/>
      <protection locked="0"/>
    </xf>
    <xf numFmtId="0" fontId="28" fillId="0" borderId="41" xfId="0" applyFont="1" applyFill="1" applyBorder="1" applyAlignment="1" applyProtection="1">
      <alignment horizontal="center" vertical="center" wrapText="1"/>
      <protection locked="0"/>
    </xf>
    <xf numFmtId="0" fontId="28" fillId="0" borderId="17" xfId="0" applyFont="1" applyFill="1" applyBorder="1" applyAlignment="1" applyProtection="1">
      <alignment horizontal="center" vertical="center" wrapText="1"/>
      <protection locked="0"/>
    </xf>
    <xf numFmtId="0" fontId="28" fillId="0" borderId="18" xfId="0" applyFont="1" applyFill="1" applyBorder="1" applyAlignment="1" applyProtection="1">
      <alignment horizontal="center" vertical="center" wrapText="1"/>
      <protection locked="0"/>
    </xf>
    <xf numFmtId="0" fontId="28" fillId="0" borderId="22" xfId="0" applyFont="1" applyBorder="1" applyAlignment="1" applyProtection="1">
      <alignment horizontal="center" vertical="center" wrapText="1"/>
      <protection locked="0"/>
    </xf>
    <xf numFmtId="0" fontId="28" fillId="0" borderId="23" xfId="0" applyFont="1" applyBorder="1" applyAlignment="1" applyProtection="1">
      <alignment horizontal="center" vertical="center" wrapText="1"/>
      <protection locked="0"/>
    </xf>
    <xf numFmtId="0" fontId="28" fillId="0" borderId="18" xfId="0" applyFont="1" applyBorder="1" applyAlignment="1" applyProtection="1">
      <alignment horizontal="center" vertical="center" wrapText="1"/>
      <protection locked="0"/>
    </xf>
    <xf numFmtId="0" fontId="29" fillId="0" borderId="17" xfId="0" applyFont="1" applyFill="1" applyBorder="1" applyAlignment="1" applyProtection="1">
      <alignment horizontal="center" vertical="center" wrapText="1"/>
      <protection locked="0"/>
    </xf>
    <xf numFmtId="0" fontId="29" fillId="0" borderId="18" xfId="0" applyFont="1" applyFill="1" applyBorder="1" applyAlignment="1" applyProtection="1">
      <alignment horizontal="center" vertical="center" wrapText="1"/>
      <protection locked="0"/>
    </xf>
    <xf numFmtId="0" fontId="29" fillId="0" borderId="19" xfId="0" applyFont="1" applyFill="1" applyBorder="1" applyAlignment="1" applyProtection="1">
      <alignment horizontal="center" vertical="center" wrapText="1"/>
      <protection locked="0"/>
    </xf>
    <xf numFmtId="0" fontId="29" fillId="0" borderId="21" xfId="0" applyFont="1" applyFill="1" applyBorder="1" applyAlignment="1" applyProtection="1">
      <alignment horizontal="center" vertical="center" wrapText="1"/>
      <protection locked="0"/>
    </xf>
    <xf numFmtId="0" fontId="0" fillId="0" borderId="0" xfId="0" applyFill="1"/>
    <xf numFmtId="0" fontId="29" fillId="0" borderId="41" xfId="0" applyFont="1" applyBorder="1" applyAlignment="1" applyProtection="1">
      <alignment horizontal="center" vertical="center" wrapText="1"/>
      <protection locked="0"/>
    </xf>
    <xf numFmtId="0" fontId="31" fillId="6" borderId="45" xfId="0" applyFont="1" applyFill="1" applyBorder="1" applyAlignment="1">
      <alignment wrapText="1"/>
    </xf>
    <xf numFmtId="0" fontId="28" fillId="0" borderId="33" xfId="0" applyFont="1" applyFill="1" applyBorder="1" applyAlignment="1" applyProtection="1">
      <alignment horizontal="center" vertical="center" wrapText="1"/>
      <protection locked="0"/>
    </xf>
    <xf numFmtId="0" fontId="29" fillId="0" borderId="46" xfId="0" applyFont="1" applyBorder="1" applyAlignment="1" applyProtection="1">
      <alignment horizontal="center" vertical="center" wrapText="1"/>
      <protection locked="0"/>
    </xf>
    <xf numFmtId="0" fontId="31" fillId="6" borderId="39" xfId="0" applyFont="1" applyFill="1" applyBorder="1" applyAlignment="1">
      <alignment wrapText="1"/>
    </xf>
    <xf numFmtId="0" fontId="31" fillId="6" borderId="47" xfId="0" applyFont="1" applyFill="1" applyBorder="1" applyAlignment="1">
      <alignment wrapText="1"/>
    </xf>
    <xf numFmtId="0" fontId="6" fillId="0" borderId="1" xfId="0" applyFont="1" applyFill="1" applyBorder="1" applyAlignment="1">
      <alignment horizontal="center" vertical="center" wrapText="1"/>
    </xf>
    <xf numFmtId="0" fontId="21" fillId="0" borderId="0" xfId="0" applyFont="1" applyFill="1"/>
    <xf numFmtId="0" fontId="0" fillId="0" borderId="0" xfId="0" applyFont="1" applyFill="1"/>
    <xf numFmtId="0" fontId="0" fillId="0" borderId="0" xfId="0" applyFont="1" applyFill="1" applyAlignment="1">
      <alignment horizontal="left"/>
    </xf>
    <xf numFmtId="0" fontId="0" fillId="0" borderId="0" xfId="0" applyAlignment="1">
      <alignment horizontal="center" vertical="top" wrapText="1"/>
    </xf>
    <xf numFmtId="0" fontId="14" fillId="8" borderId="0" xfId="0" applyFont="1" applyFill="1" applyAlignment="1">
      <alignment horizontal="left"/>
    </xf>
    <xf numFmtId="0" fontId="6" fillId="0" borderId="1" xfId="0" applyFont="1" applyFill="1" applyBorder="1" applyAlignment="1" applyProtection="1">
      <alignment horizontal="center" vertical="center" wrapText="1"/>
      <protection locked="0"/>
    </xf>
    <xf numFmtId="0" fontId="21" fillId="6" borderId="0" xfId="0" applyFont="1" applyFill="1" applyAlignment="1">
      <alignment horizontal="left" wrapText="1"/>
    </xf>
    <xf numFmtId="0" fontId="6" fillId="0" borderId="0" xfId="0" applyFont="1" applyFill="1" applyBorder="1" applyAlignment="1">
      <alignment horizontal="left" vertical="center" wrapText="1"/>
    </xf>
    <xf numFmtId="0" fontId="6" fillId="0" borderId="0" xfId="0" applyFont="1" applyFill="1" applyBorder="1" applyAlignment="1">
      <alignment vertical="center" wrapText="1"/>
    </xf>
    <xf numFmtId="0" fontId="6" fillId="0" borderId="0" xfId="1" applyFont="1" applyFill="1" applyBorder="1" applyAlignment="1" applyProtection="1">
      <alignment horizontal="left" vertical="center" wrapText="1"/>
    </xf>
    <xf numFmtId="0" fontId="2" fillId="0" borderId="0" xfId="0" applyFont="1" applyFill="1" applyBorder="1" applyAlignment="1">
      <alignment wrapText="1"/>
    </xf>
    <xf numFmtId="0" fontId="6" fillId="0" borderId="0" xfId="1" applyFont="1" applyFill="1" applyBorder="1" applyAlignment="1">
      <alignment horizontal="left" vertical="center" wrapText="1"/>
    </xf>
    <xf numFmtId="0" fontId="0" fillId="0" borderId="0" xfId="0" applyAlignment="1">
      <alignment horizontal="left" wrapText="1"/>
    </xf>
    <xf numFmtId="0" fontId="6" fillId="5" borderId="1" xfId="0" applyFont="1" applyFill="1" applyBorder="1" applyAlignment="1">
      <alignment horizontal="center" vertical="center" wrapText="1"/>
    </xf>
    <xf numFmtId="0" fontId="6" fillId="5" borderId="1" xfId="0" applyFont="1" applyFill="1" applyBorder="1" applyAlignment="1">
      <alignment horizontal="left" vertical="center" wrapText="1"/>
    </xf>
    <xf numFmtId="0" fontId="5" fillId="6" borderId="6" xfId="0" applyFont="1" applyFill="1" applyBorder="1" applyAlignment="1">
      <alignment horizontal="left" vertical="center" wrapText="1"/>
    </xf>
    <xf numFmtId="0" fontId="0" fillId="0" borderId="7" xfId="0" applyBorder="1" applyProtection="1">
      <protection locked="0"/>
    </xf>
    <xf numFmtId="0" fontId="5" fillId="6" borderId="6" xfId="0" applyFont="1" applyFill="1" applyBorder="1" applyAlignment="1">
      <alignment horizontal="left" vertical="center"/>
    </xf>
    <xf numFmtId="0" fontId="5" fillId="6" borderId="6" xfId="0" applyFont="1" applyFill="1" applyBorder="1" applyAlignment="1">
      <alignment horizontal="center" vertical="center"/>
    </xf>
    <xf numFmtId="0" fontId="5" fillId="6" borderId="49" xfId="0" applyFont="1" applyFill="1" applyBorder="1" applyAlignment="1">
      <alignment horizontal="left" vertical="center"/>
    </xf>
    <xf numFmtId="0" fontId="5" fillId="6" borderId="1" xfId="0" applyFont="1" applyFill="1" applyBorder="1" applyAlignment="1">
      <alignment horizontal="left" vertical="center"/>
    </xf>
    <xf numFmtId="0" fontId="10" fillId="0" borderId="1" xfId="0" applyFont="1" applyFill="1" applyBorder="1" applyAlignment="1">
      <alignment horizontal="left" vertical="center"/>
    </xf>
    <xf numFmtId="0" fontId="10" fillId="0" borderId="1" xfId="0" applyFont="1" applyFill="1" applyBorder="1" applyAlignment="1">
      <alignment vertical="top" wrapText="1"/>
    </xf>
    <xf numFmtId="0" fontId="17" fillId="0" borderId="1" xfId="0" applyFont="1" applyBorder="1" applyProtection="1">
      <protection locked="0"/>
    </xf>
    <xf numFmtId="0" fontId="17" fillId="0" borderId="1" xfId="0" applyFont="1" applyBorder="1" applyAlignment="1" applyProtection="1">
      <alignment wrapText="1"/>
      <protection locked="0"/>
    </xf>
    <xf numFmtId="0" fontId="10" fillId="0" borderId="1" xfId="0" applyFont="1" applyFill="1" applyBorder="1" applyAlignment="1">
      <alignment horizontal="center" vertical="center"/>
    </xf>
    <xf numFmtId="0" fontId="38" fillId="0" borderId="1" xfId="0" applyFont="1" applyFill="1" applyBorder="1" applyAlignment="1">
      <alignment horizontal="left"/>
    </xf>
    <xf numFmtId="0" fontId="15" fillId="0" borderId="0" xfId="0" applyFont="1"/>
    <xf numFmtId="0" fontId="16" fillId="0" borderId="1" xfId="0" applyFont="1" applyBorder="1" applyAlignment="1">
      <alignment vertical="center" wrapText="1"/>
    </xf>
    <xf numFmtId="0" fontId="1" fillId="2" borderId="1" xfId="0" applyFont="1" applyFill="1" applyBorder="1" applyAlignment="1">
      <alignment horizontal="left" vertical="center"/>
    </xf>
    <xf numFmtId="0" fontId="1" fillId="2" borderId="1" xfId="0" applyFont="1" applyFill="1" applyBorder="1" applyAlignment="1">
      <alignment horizontal="left" vertical="center" wrapText="1"/>
    </xf>
    <xf numFmtId="0" fontId="2" fillId="0" borderId="1" xfId="0" applyFont="1" applyBorder="1" applyAlignment="1">
      <alignment horizontal="center" vertical="center"/>
    </xf>
    <xf numFmtId="0" fontId="2" fillId="0" borderId="1" xfId="0" applyFont="1" applyBorder="1" applyAlignment="1">
      <alignment horizontal="left" vertical="center" wrapText="1"/>
    </xf>
    <xf numFmtId="0" fontId="2" fillId="0" borderId="1" xfId="0" applyFont="1" applyBorder="1" applyAlignment="1">
      <alignment vertical="center"/>
    </xf>
    <xf numFmtId="0" fontId="20" fillId="0" borderId="1" xfId="0" applyFont="1" applyBorder="1" applyAlignment="1">
      <alignment vertical="center"/>
    </xf>
    <xf numFmtId="0" fontId="2" fillId="0" borderId="1" xfId="0" applyFont="1" applyFill="1" applyBorder="1" applyAlignment="1">
      <alignment horizontal="center" vertical="center"/>
    </xf>
    <xf numFmtId="0" fontId="2" fillId="0" borderId="1" xfId="0" applyFont="1" applyFill="1" applyBorder="1" applyAlignment="1">
      <alignment horizontal="left" vertical="center" wrapText="1"/>
    </xf>
    <xf numFmtId="0" fontId="5" fillId="6" borderId="1" xfId="0" applyFont="1" applyFill="1" applyBorder="1" applyAlignment="1">
      <alignment vertical="center"/>
    </xf>
    <xf numFmtId="164" fontId="0" fillId="0" borderId="0" xfId="0" applyNumberFormat="1" applyAlignment="1" applyProtection="1">
      <alignment vertical="center"/>
      <protection locked="0"/>
    </xf>
    <xf numFmtId="0" fontId="0" fillId="0" borderId="1" xfId="0" applyFill="1" applyBorder="1" applyProtection="1">
      <protection locked="0"/>
    </xf>
    <xf numFmtId="0" fontId="0" fillId="0" borderId="20" xfId="0" applyBorder="1" applyAlignment="1" applyProtection="1">
      <alignment wrapText="1"/>
      <protection locked="0"/>
    </xf>
    <xf numFmtId="0" fontId="39" fillId="0" borderId="7" xfId="14" applyBorder="1" applyAlignment="1" applyProtection="1">
      <alignment horizontal="left" vertical="center" wrapText="1"/>
      <protection locked="0"/>
    </xf>
    <xf numFmtId="0" fontId="10" fillId="0" borderId="1" xfId="0" applyFont="1" applyFill="1" applyBorder="1" applyAlignment="1">
      <alignment horizontal="left" vertical="center" wrapText="1"/>
    </xf>
    <xf numFmtId="0" fontId="34" fillId="0" borderId="0" xfId="0" applyFont="1" applyAlignment="1">
      <alignment horizontal="center" vertical="top" wrapText="1"/>
    </xf>
    <xf numFmtId="0" fontId="12" fillId="7" borderId="0" xfId="0" applyFont="1" applyFill="1" applyBorder="1" applyAlignment="1"/>
    <xf numFmtId="0" fontId="12" fillId="7" borderId="0" xfId="0" applyFont="1" applyFill="1" applyAlignment="1">
      <alignment horizontal="left"/>
    </xf>
    <xf numFmtId="0" fontId="13" fillId="0" borderId="0" xfId="0" applyFont="1" applyBorder="1" applyAlignment="1"/>
    <xf numFmtId="0" fontId="16" fillId="0" borderId="1" xfId="0" applyFont="1" applyBorder="1" applyAlignment="1">
      <alignment horizontal="center" vertical="center" wrapText="1"/>
    </xf>
    <xf numFmtId="0" fontId="9" fillId="4" borderId="1" xfId="0" applyFont="1" applyFill="1" applyBorder="1" applyAlignment="1">
      <alignment horizontal="left"/>
    </xf>
    <xf numFmtId="0" fontId="15" fillId="0" borderId="7" xfId="0" applyFont="1" applyFill="1" applyBorder="1" applyAlignment="1">
      <alignment horizontal="center"/>
    </xf>
    <xf numFmtId="0" fontId="15" fillId="0" borderId="50" xfId="0" applyFont="1" applyFill="1" applyBorder="1" applyAlignment="1">
      <alignment horizontal="center"/>
    </xf>
    <xf numFmtId="0" fontId="0" fillId="0" borderId="7" xfId="0" applyBorder="1" applyAlignment="1" applyProtection="1">
      <alignment horizontal="center"/>
      <protection locked="0"/>
    </xf>
    <xf numFmtId="0" fontId="0" fillId="0" borderId="30" xfId="0" applyBorder="1" applyAlignment="1" applyProtection="1">
      <alignment horizontal="center"/>
      <protection locked="0"/>
    </xf>
    <xf numFmtId="0" fontId="28" fillId="0" borderId="7" xfId="0" applyFont="1" applyFill="1" applyBorder="1" applyAlignment="1" applyProtection="1">
      <alignment horizontal="left" vertical="center" wrapText="1"/>
      <protection locked="0"/>
    </xf>
    <xf numFmtId="0" fontId="28" fillId="0" borderId="10" xfId="0" applyFont="1" applyFill="1" applyBorder="1" applyAlignment="1" applyProtection="1">
      <alignment horizontal="left" vertical="center" wrapText="1"/>
      <protection locked="0"/>
    </xf>
    <xf numFmtId="0" fontId="28" fillId="0" borderId="30" xfId="0" applyFont="1" applyFill="1" applyBorder="1" applyAlignment="1" applyProtection="1">
      <alignment horizontal="left" vertical="center" wrapText="1"/>
      <protection locked="0"/>
    </xf>
    <xf numFmtId="0" fontId="28" fillId="0" borderId="1" xfId="0" applyFont="1" applyFill="1" applyBorder="1" applyAlignment="1" applyProtection="1">
      <alignment horizontal="left" vertical="center" wrapText="1"/>
      <protection locked="0"/>
    </xf>
    <xf numFmtId="0" fontId="28" fillId="0" borderId="18" xfId="0" applyFont="1" applyFill="1" applyBorder="1" applyAlignment="1" applyProtection="1">
      <alignment horizontal="left" vertical="center" wrapText="1"/>
      <protection locked="0"/>
    </xf>
    <xf numFmtId="0" fontId="0" fillId="0" borderId="7" xfId="0" applyBorder="1" applyAlignment="1" applyProtection="1">
      <alignment horizontal="left" vertical="center" wrapText="1"/>
      <protection locked="0"/>
    </xf>
    <xf numFmtId="0" fontId="0" fillId="0" borderId="30" xfId="0" applyBorder="1" applyAlignment="1" applyProtection="1">
      <alignment horizontal="left" vertical="center" wrapText="1"/>
      <protection locked="0"/>
    </xf>
    <xf numFmtId="0" fontId="0" fillId="0" borderId="7" xfId="0" applyBorder="1" applyProtection="1">
      <protection locked="0"/>
    </xf>
    <xf numFmtId="0" fontId="0" fillId="0" borderId="30" xfId="0" applyBorder="1" applyProtection="1">
      <protection locked="0"/>
    </xf>
    <xf numFmtId="0" fontId="0" fillId="0" borderId="31" xfId="0" applyBorder="1" applyProtection="1">
      <protection locked="0"/>
    </xf>
    <xf numFmtId="0" fontId="0" fillId="0" borderId="32" xfId="0" applyBorder="1" applyProtection="1">
      <protection locked="0"/>
    </xf>
    <xf numFmtId="0" fontId="25" fillId="10" borderId="26" xfId="0" applyFont="1" applyFill="1" applyBorder="1" applyAlignment="1">
      <alignment horizontal="center" wrapText="1"/>
    </xf>
    <xf numFmtId="0" fontId="25" fillId="10" borderId="27" xfId="0" applyFont="1" applyFill="1" applyBorder="1" applyAlignment="1">
      <alignment horizontal="center" wrapText="1"/>
    </xf>
    <xf numFmtId="0" fontId="25" fillId="10" borderId="28" xfId="0" applyFont="1" applyFill="1" applyBorder="1" applyAlignment="1">
      <alignment horizontal="center" wrapText="1"/>
    </xf>
    <xf numFmtId="0" fontId="16" fillId="0" borderId="1" xfId="0" applyFont="1" applyBorder="1" applyAlignment="1" applyProtection="1">
      <alignment horizontal="center" vertical="center" wrapText="1"/>
      <protection locked="0"/>
    </xf>
    <xf numFmtId="0" fontId="39" fillId="0" borderId="1" xfId="14" applyBorder="1" applyAlignment="1" applyProtection="1">
      <alignment horizontal="center" vertical="center" wrapText="1"/>
      <protection locked="0"/>
    </xf>
    <xf numFmtId="15" fontId="16" fillId="0" borderId="1" xfId="0" applyNumberFormat="1" applyFont="1" applyFill="1" applyBorder="1" applyAlignment="1" applyProtection="1">
      <alignment horizontal="center" vertical="center" wrapText="1"/>
      <protection locked="0"/>
    </xf>
    <xf numFmtId="0" fontId="16" fillId="0" borderId="1" xfId="0" applyFont="1" applyFill="1" applyBorder="1" applyAlignment="1" applyProtection="1">
      <alignment horizontal="center" vertical="center" wrapText="1"/>
      <protection locked="0"/>
    </xf>
    <xf numFmtId="0" fontId="1" fillId="2" borderId="7" xfId="0" applyFont="1" applyFill="1" applyBorder="1" applyAlignment="1">
      <alignment horizontal="left" vertical="center"/>
    </xf>
    <xf numFmtId="0" fontId="1" fillId="2" borderId="10" xfId="0" applyFont="1" applyFill="1" applyBorder="1" applyAlignment="1">
      <alignment horizontal="left" vertical="center"/>
    </xf>
    <xf numFmtId="0" fontId="26" fillId="6" borderId="1" xfId="0" applyFont="1" applyFill="1" applyBorder="1" applyAlignment="1">
      <alignment horizontal="center" vertical="top" wrapText="1"/>
    </xf>
    <xf numFmtId="0" fontId="26" fillId="6" borderId="7" xfId="0" applyFont="1" applyFill="1" applyBorder="1" applyAlignment="1">
      <alignment horizontal="center" vertical="top" wrapText="1"/>
    </xf>
    <xf numFmtId="0" fontId="27" fillId="12" borderId="7" xfId="0" applyFont="1" applyFill="1" applyBorder="1" applyAlignment="1">
      <alignment horizontal="center" vertical="top" wrapText="1"/>
    </xf>
    <xf numFmtId="0" fontId="27" fillId="12" borderId="10" xfId="0" applyFont="1" applyFill="1" applyBorder="1" applyAlignment="1">
      <alignment horizontal="center" vertical="top" wrapText="1"/>
    </xf>
    <xf numFmtId="0" fontId="32" fillId="12" borderId="42" xfId="0" applyFont="1" applyFill="1" applyBorder="1" applyAlignment="1">
      <alignment horizontal="center" vertical="top" wrapText="1"/>
    </xf>
    <xf numFmtId="0" fontId="32" fillId="12" borderId="43" xfId="0" applyFont="1" applyFill="1" applyBorder="1" applyAlignment="1">
      <alignment horizontal="center" vertical="top" wrapText="1"/>
    </xf>
    <xf numFmtId="0" fontId="32" fillId="12" borderId="44" xfId="0" applyFont="1" applyFill="1" applyBorder="1" applyAlignment="1">
      <alignment horizontal="center" vertical="top" wrapText="1"/>
    </xf>
    <xf numFmtId="0" fontId="27" fillId="12" borderId="42" xfId="0" applyFont="1" applyFill="1" applyBorder="1" applyAlignment="1">
      <alignment horizontal="center" vertical="top" wrapText="1"/>
    </xf>
    <xf numFmtId="0" fontId="27" fillId="12" borderId="43" xfId="0" applyFont="1" applyFill="1" applyBorder="1" applyAlignment="1">
      <alignment horizontal="center" vertical="top" wrapText="1"/>
    </xf>
    <xf numFmtId="0" fontId="27" fillId="12" borderId="44" xfId="0" applyFont="1" applyFill="1" applyBorder="1" applyAlignment="1">
      <alignment horizontal="center" vertical="top" wrapText="1"/>
    </xf>
    <xf numFmtId="0" fontId="27" fillId="12" borderId="22" xfId="0" applyFont="1" applyFill="1" applyBorder="1" applyAlignment="1">
      <alignment vertical="top" wrapText="1"/>
    </xf>
    <xf numFmtId="0" fontId="27" fillId="12" borderId="3" xfId="0" applyFont="1" applyFill="1" applyBorder="1" applyAlignment="1">
      <alignment vertical="top" wrapText="1"/>
    </xf>
    <xf numFmtId="0" fontId="30" fillId="2" borderId="33" xfId="0" applyFont="1" applyFill="1" applyBorder="1" applyAlignment="1">
      <alignment wrapText="1"/>
    </xf>
    <xf numFmtId="0" fontId="30" fillId="2" borderId="34" xfId="0" applyFont="1" applyFill="1" applyBorder="1" applyAlignment="1">
      <alignment wrapText="1"/>
    </xf>
    <xf numFmtId="0" fontId="29" fillId="10" borderId="35" xfId="0" applyFont="1" applyFill="1" applyBorder="1" applyAlignment="1">
      <alignment horizontal="center" wrapText="1"/>
    </xf>
    <xf numFmtId="0" fontId="29" fillId="10" borderId="36" xfId="0" applyFont="1" applyFill="1" applyBorder="1" applyAlignment="1">
      <alignment horizontal="center" wrapText="1"/>
    </xf>
    <xf numFmtId="0" fontId="18" fillId="6" borderId="22" xfId="0" applyFont="1" applyFill="1" applyBorder="1" applyAlignment="1">
      <alignment horizontal="center"/>
    </xf>
    <xf numFmtId="0" fontId="18" fillId="6" borderId="23" xfId="0" applyFont="1" applyFill="1" applyBorder="1" applyAlignment="1">
      <alignment horizontal="center"/>
    </xf>
    <xf numFmtId="0" fontId="6" fillId="5" borderId="8" xfId="0" applyFont="1" applyFill="1" applyBorder="1" applyAlignment="1">
      <alignment horizontal="center" vertical="center"/>
    </xf>
    <xf numFmtId="0" fontId="6" fillId="5" borderId="3" xfId="0" applyFont="1" applyFill="1" applyBorder="1" applyAlignment="1">
      <alignment horizontal="center" vertical="center"/>
    </xf>
    <xf numFmtId="0" fontId="9" fillId="2" borderId="7" xfId="0" applyFont="1" applyFill="1" applyBorder="1" applyAlignment="1">
      <alignment horizontal="left" vertical="center" wrapText="1"/>
    </xf>
    <xf numFmtId="0" fontId="9" fillId="2" borderId="10" xfId="0" applyFont="1" applyFill="1" applyBorder="1" applyAlignment="1">
      <alignment horizontal="left" vertical="center" wrapText="1"/>
    </xf>
    <xf numFmtId="0" fontId="1" fillId="2" borderId="31" xfId="0" applyFont="1" applyFill="1" applyBorder="1" applyAlignment="1">
      <alignment horizontal="left" vertical="center" wrapText="1"/>
    </xf>
    <xf numFmtId="0" fontId="1" fillId="2" borderId="48" xfId="0" applyFont="1" applyFill="1" applyBorder="1" applyAlignment="1">
      <alignment horizontal="left" vertical="center" wrapText="1"/>
    </xf>
    <xf numFmtId="0" fontId="6" fillId="5" borderId="1" xfId="0" applyFont="1" applyFill="1" applyBorder="1" applyAlignment="1">
      <alignment horizontal="center" vertical="center" wrapText="1"/>
    </xf>
    <xf numFmtId="0" fontId="6" fillId="5" borderId="1" xfId="0" applyFont="1" applyFill="1" applyBorder="1" applyAlignment="1">
      <alignment horizontal="left" vertical="center" wrapText="1"/>
    </xf>
    <xf numFmtId="0" fontId="6" fillId="5" borderId="8" xfId="0" applyFont="1" applyFill="1" applyBorder="1" applyAlignment="1">
      <alignment horizontal="center" vertical="center" wrapText="1"/>
    </xf>
    <xf numFmtId="0" fontId="6" fillId="5" borderId="3" xfId="0" applyFont="1" applyFill="1" applyBorder="1" applyAlignment="1">
      <alignment horizontal="center" vertical="center" wrapText="1"/>
    </xf>
    <xf numFmtId="0" fontId="6" fillId="5" borderId="1" xfId="0" applyFont="1" applyFill="1" applyBorder="1" applyAlignment="1">
      <alignment vertical="center" wrapText="1"/>
    </xf>
    <xf numFmtId="0" fontId="8" fillId="5" borderId="1" xfId="0" applyFont="1" applyFill="1" applyBorder="1" applyAlignment="1">
      <alignment horizontal="center" vertical="center"/>
    </xf>
    <xf numFmtId="0" fontId="6" fillId="5" borderId="9" xfId="0" applyFont="1" applyFill="1" applyBorder="1" applyAlignment="1">
      <alignment horizontal="center" vertical="center" wrapText="1"/>
    </xf>
    <xf numFmtId="0" fontId="6" fillId="5" borderId="1" xfId="0" applyFont="1" applyFill="1" applyBorder="1" applyAlignment="1">
      <alignment horizontal="left" vertical="center"/>
    </xf>
    <xf numFmtId="0" fontId="21" fillId="6" borderId="22" xfId="0" applyFont="1" applyFill="1" applyBorder="1" applyAlignment="1">
      <alignment horizontal="center" vertical="center" textRotation="90"/>
    </xf>
    <xf numFmtId="0" fontId="21" fillId="6" borderId="17" xfId="0" applyFont="1" applyFill="1" applyBorder="1" applyAlignment="1">
      <alignment horizontal="center" vertical="center" textRotation="90"/>
    </xf>
    <xf numFmtId="0" fontId="21" fillId="6" borderId="19" xfId="0" applyFont="1" applyFill="1" applyBorder="1" applyAlignment="1">
      <alignment horizontal="center" vertical="center" textRotation="90"/>
    </xf>
    <xf numFmtId="0" fontId="0" fillId="6" borderId="14" xfId="0" applyFill="1" applyBorder="1" applyAlignment="1">
      <alignment horizontal="center"/>
    </xf>
    <xf numFmtId="0" fontId="0" fillId="6" borderId="15" xfId="0" applyFill="1" applyBorder="1" applyAlignment="1">
      <alignment horizontal="center"/>
    </xf>
    <xf numFmtId="0" fontId="21" fillId="6" borderId="14" xfId="0" applyFont="1" applyFill="1" applyBorder="1" applyAlignment="1">
      <alignment horizontal="center" vertical="center" textRotation="90"/>
    </xf>
    <xf numFmtId="0" fontId="21" fillId="6" borderId="24" xfId="0" applyFont="1" applyFill="1" applyBorder="1" applyAlignment="1">
      <alignment horizontal="center" vertical="center" textRotation="90"/>
    </xf>
    <xf numFmtId="0" fontId="24" fillId="0" borderId="17" xfId="0" applyFont="1" applyBorder="1" applyAlignment="1">
      <alignment horizontal="center" vertical="center"/>
    </xf>
    <xf numFmtId="0" fontId="24" fillId="0" borderId="18" xfId="0" applyFont="1" applyBorder="1" applyAlignment="1">
      <alignment horizontal="center" vertical="center"/>
    </xf>
    <xf numFmtId="0" fontId="24" fillId="0" borderId="19" xfId="0" applyFont="1" applyBorder="1" applyAlignment="1">
      <alignment horizontal="center" vertical="center"/>
    </xf>
    <xf numFmtId="0" fontId="24" fillId="0" borderId="21" xfId="0" applyFont="1" applyBorder="1" applyAlignment="1">
      <alignment horizontal="center" vertical="center"/>
    </xf>
    <xf numFmtId="0" fontId="0" fillId="0" borderId="0" xfId="0" applyBorder="1" applyAlignment="1">
      <alignment horizontal="center" vertical="center"/>
    </xf>
  </cellXfs>
  <cellStyles count="15">
    <cellStyle name="GridGroupingStyle" xfId="2" xr:uid="{00000000-0005-0000-0000-000000000000}"/>
    <cellStyle name="Hyperlink" xfId="14" builtinId="8"/>
    <cellStyle name="negativeColor" xfId="3" xr:uid="{00000000-0005-0000-0000-000002000000}"/>
    <cellStyle name="Normal" xfId="0" builtinId="0"/>
    <cellStyle name="Normal 2" xfId="1" xr:uid="{00000000-0005-0000-0000-000004000000}"/>
    <cellStyle name="ReportHeaderStyle" xfId="4" xr:uid="{00000000-0005-0000-0000-000005000000}"/>
    <cellStyle name="RowLevelNDataEvenStyle" xfId="5" xr:uid="{00000000-0005-0000-0000-000006000000}"/>
    <cellStyle name="RowLevelNDataOddStyle" xfId="6" xr:uid="{00000000-0005-0000-0000-000007000000}"/>
    <cellStyle name="RowLevelNHeaderStyle" xfId="7" xr:uid="{00000000-0005-0000-0000-000008000000}"/>
    <cellStyle name="RowLevelOneDataEvenStyle" xfId="8" xr:uid="{00000000-0005-0000-0000-000009000000}"/>
    <cellStyle name="RowLevelOneDataOddStyle" xfId="9" xr:uid="{00000000-0005-0000-0000-00000A000000}"/>
    <cellStyle name="RowLevelOneHeaderStyle" xfId="10" xr:uid="{00000000-0005-0000-0000-00000B000000}"/>
    <cellStyle name="RowLevelTwoDataEvenStyle" xfId="11" xr:uid="{00000000-0005-0000-0000-00000C000000}"/>
    <cellStyle name="RowLevelTwoDataOddStyle" xfId="12" xr:uid="{00000000-0005-0000-0000-00000D000000}"/>
    <cellStyle name="RowLevelTwoHeaderStyle" xfId="13" xr:uid="{00000000-0005-0000-0000-00000E000000}"/>
  </cellStyles>
  <dxfs count="9">
    <dxf>
      <fill>
        <patternFill>
          <bgColor theme="5" tint="0.39994506668294322"/>
        </patternFill>
      </fill>
    </dxf>
    <dxf>
      <fill>
        <patternFill>
          <bgColor theme="7" tint="0.39994506668294322"/>
        </patternFill>
      </fill>
    </dxf>
    <dxf>
      <fill>
        <patternFill>
          <bgColor theme="5" tint="0.39994506668294322"/>
        </patternFill>
      </fill>
    </dxf>
    <dxf>
      <fill>
        <patternFill>
          <bgColor theme="7" tint="0.39994506668294322"/>
        </patternFill>
      </fill>
    </dxf>
    <dxf>
      <fill>
        <patternFill>
          <bgColor theme="5" tint="0.39994506668294322"/>
        </patternFill>
      </fill>
    </dxf>
    <dxf>
      <fill>
        <patternFill>
          <bgColor theme="7" tint="0.39994506668294322"/>
        </patternFill>
      </fill>
    </dxf>
    <dxf>
      <font>
        <strike/>
      </font>
      <fill>
        <patternFill>
          <bgColor theme="0" tint="-0.34998626667073579"/>
        </patternFill>
      </fill>
    </dxf>
    <dxf>
      <font>
        <strike/>
      </font>
      <fill>
        <patternFill>
          <bgColor theme="0" tint="-0.34998626667073579"/>
        </patternFill>
      </fill>
    </dxf>
    <dxf>
      <font>
        <strike/>
      </font>
      <fill>
        <patternFill>
          <bgColor theme="0" tint="-0.3499862666707357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3.xml"/><Relationship Id="rId33"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1.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'Inadequacy Distribution Env1'!$C$1</c:f>
              <c:strCache>
                <c:ptCount val="1"/>
                <c:pt idx="0">
                  <c:v>Tier</c:v>
                </c:pt>
              </c:strCache>
            </c:strRef>
          </c:tx>
          <c:spPr>
            <a:solidFill>
              <a:schemeClr val="accent1"/>
            </a:solidFill>
            <a:ln>
              <a:noFill/>
            </a:ln>
            <a:effectLst/>
          </c:spPr>
          <c:invertIfNegative val="0"/>
          <c:cat>
            <c:multiLvlStrRef>
              <c:f>'Inadequacy Distribution Env1'!$A$2:$B$21</c:f>
              <c:multiLvlStrCache>
                <c:ptCount val="20"/>
                <c:lvl>
                  <c:pt idx="0">
                    <c:v>T1</c:v>
                  </c:pt>
                  <c:pt idx="1">
                    <c:v>T2</c:v>
                  </c:pt>
                  <c:pt idx="2">
                    <c:v>T3</c:v>
                  </c:pt>
                  <c:pt idx="3">
                    <c:v>T4</c:v>
                  </c:pt>
                  <c:pt idx="4">
                    <c:v>T1</c:v>
                  </c:pt>
                  <c:pt idx="5">
                    <c:v>T2</c:v>
                  </c:pt>
                  <c:pt idx="6">
                    <c:v>T3</c:v>
                  </c:pt>
                  <c:pt idx="7">
                    <c:v>T4</c:v>
                  </c:pt>
                  <c:pt idx="8">
                    <c:v>T1</c:v>
                  </c:pt>
                  <c:pt idx="9">
                    <c:v>T2</c:v>
                  </c:pt>
                  <c:pt idx="10">
                    <c:v>T3</c:v>
                  </c:pt>
                  <c:pt idx="11">
                    <c:v>T4</c:v>
                  </c:pt>
                  <c:pt idx="12">
                    <c:v>T1</c:v>
                  </c:pt>
                  <c:pt idx="13">
                    <c:v>T2</c:v>
                  </c:pt>
                  <c:pt idx="14">
                    <c:v>T3</c:v>
                  </c:pt>
                  <c:pt idx="15">
                    <c:v>T4</c:v>
                  </c:pt>
                  <c:pt idx="16">
                    <c:v>T1</c:v>
                  </c:pt>
                  <c:pt idx="17">
                    <c:v>T2</c:v>
                  </c:pt>
                  <c:pt idx="18">
                    <c:v>T3</c:v>
                  </c:pt>
                  <c:pt idx="19">
                    <c:v>T4</c:v>
                  </c:pt>
                </c:lvl>
                <c:lvl>
                  <c:pt idx="0">
                    <c:v>Access Controls</c:v>
                  </c:pt>
                  <c:pt idx="4">
                    <c:v>Awareness &amp; Training</c:v>
                  </c:pt>
                  <c:pt idx="8">
                    <c:v>Incident Response</c:v>
                  </c:pt>
                  <c:pt idx="12">
                    <c:v>Maintenance</c:v>
                  </c:pt>
                  <c:pt idx="16">
                    <c:v>Personnel Security</c:v>
                  </c:pt>
                </c:lvl>
              </c:multiLvlStrCache>
            </c:multiLvlStrRef>
          </c:cat>
          <c:val>
            <c:numRef>
              <c:f>'Inadequacy Distribution Env1'!$C$2:$C$21</c:f>
            </c:numRef>
          </c:val>
          <c:extLst>
            <c:ext xmlns:c16="http://schemas.microsoft.com/office/drawing/2014/chart" uri="{C3380CC4-5D6E-409C-BE32-E72D297353CC}">
              <c16:uniqueId val="{00000000-7F49-4EA7-AFD4-76BFD59CCCB6}"/>
            </c:ext>
          </c:extLst>
        </c:ser>
        <c:ser>
          <c:idx val="1"/>
          <c:order val="1"/>
          <c:tx>
            <c:strRef>
              <c:f>'Inadequacy Distribution Env1'!$D$1</c:f>
              <c:strCache>
                <c:ptCount val="1"/>
                <c:pt idx="0">
                  <c:v>Count of Inadequacies</c:v>
                </c:pt>
              </c:strCache>
            </c:strRef>
          </c:tx>
          <c:spPr>
            <a:solidFill>
              <a:schemeClr val="accent2"/>
            </a:solidFill>
            <a:ln>
              <a:noFill/>
            </a:ln>
            <a:effectLst/>
          </c:spPr>
          <c:invertIfNegative val="0"/>
          <c:cat>
            <c:multiLvlStrRef>
              <c:f>'Inadequacy Distribution Env1'!$A$2:$B$21</c:f>
              <c:multiLvlStrCache>
                <c:ptCount val="20"/>
                <c:lvl>
                  <c:pt idx="0">
                    <c:v>T1</c:v>
                  </c:pt>
                  <c:pt idx="1">
                    <c:v>T2</c:v>
                  </c:pt>
                  <c:pt idx="2">
                    <c:v>T3</c:v>
                  </c:pt>
                  <c:pt idx="3">
                    <c:v>T4</c:v>
                  </c:pt>
                  <c:pt idx="4">
                    <c:v>T1</c:v>
                  </c:pt>
                  <c:pt idx="5">
                    <c:v>T2</c:v>
                  </c:pt>
                  <c:pt idx="6">
                    <c:v>T3</c:v>
                  </c:pt>
                  <c:pt idx="7">
                    <c:v>T4</c:v>
                  </c:pt>
                  <c:pt idx="8">
                    <c:v>T1</c:v>
                  </c:pt>
                  <c:pt idx="9">
                    <c:v>T2</c:v>
                  </c:pt>
                  <c:pt idx="10">
                    <c:v>T3</c:v>
                  </c:pt>
                  <c:pt idx="11">
                    <c:v>T4</c:v>
                  </c:pt>
                  <c:pt idx="12">
                    <c:v>T1</c:v>
                  </c:pt>
                  <c:pt idx="13">
                    <c:v>T2</c:v>
                  </c:pt>
                  <c:pt idx="14">
                    <c:v>T3</c:v>
                  </c:pt>
                  <c:pt idx="15">
                    <c:v>T4</c:v>
                  </c:pt>
                  <c:pt idx="16">
                    <c:v>T1</c:v>
                  </c:pt>
                  <c:pt idx="17">
                    <c:v>T2</c:v>
                  </c:pt>
                  <c:pt idx="18">
                    <c:v>T3</c:v>
                  </c:pt>
                  <c:pt idx="19">
                    <c:v>T4</c:v>
                  </c:pt>
                </c:lvl>
                <c:lvl>
                  <c:pt idx="0">
                    <c:v>Access Controls</c:v>
                  </c:pt>
                  <c:pt idx="4">
                    <c:v>Awareness &amp; Training</c:v>
                  </c:pt>
                  <c:pt idx="8">
                    <c:v>Incident Response</c:v>
                  </c:pt>
                  <c:pt idx="12">
                    <c:v>Maintenance</c:v>
                  </c:pt>
                  <c:pt idx="16">
                    <c:v>Personnel Security</c:v>
                  </c:pt>
                </c:lvl>
              </c:multiLvlStrCache>
            </c:multiLvlStrRef>
          </c:cat>
          <c:val>
            <c:numRef>
              <c:f>'Inadequacy Distribution Env1'!$D$2:$D$21</c:f>
              <c:numCache>
                <c:formatCode>General</c:formatCode>
                <c:ptCount val="20"/>
                <c:pt idx="0">
                  <c:v>0</c:v>
                </c:pt>
                <c:pt idx="1">
                  <c:v>0</c:v>
                </c:pt>
                <c:pt idx="2">
                  <c:v>0</c:v>
                </c:pt>
                <c:pt idx="3">
                  <c:v>0</c:v>
                </c:pt>
                <c:pt idx="4">
                  <c:v>0</c:v>
                </c:pt>
                <c:pt idx="5">
                  <c:v>1</c:v>
                </c:pt>
                <c:pt idx="6">
                  <c:v>0</c:v>
                </c:pt>
                <c:pt idx="7">
                  <c:v>0</c:v>
                </c:pt>
                <c:pt idx="8">
                  <c:v>0</c:v>
                </c:pt>
                <c:pt idx="9">
                  <c:v>3</c:v>
                </c:pt>
                <c:pt idx="10">
                  <c:v>0</c:v>
                </c:pt>
                <c:pt idx="11">
                  <c:v>0</c:v>
                </c:pt>
                <c:pt idx="12">
                  <c:v>1</c:v>
                </c:pt>
                <c:pt idx="13">
                  <c:v>0</c:v>
                </c:pt>
                <c:pt idx="14">
                  <c:v>0</c:v>
                </c:pt>
                <c:pt idx="15">
                  <c:v>3</c:v>
                </c:pt>
                <c:pt idx="16">
                  <c:v>1</c:v>
                </c:pt>
                <c:pt idx="17">
                  <c:v>0</c:v>
                </c:pt>
                <c:pt idx="18">
                  <c:v>0</c:v>
                </c:pt>
                <c:pt idx="19">
                  <c:v>4</c:v>
                </c:pt>
              </c:numCache>
            </c:numRef>
          </c:val>
          <c:extLst>
            <c:ext xmlns:c16="http://schemas.microsoft.com/office/drawing/2014/chart" uri="{C3380CC4-5D6E-409C-BE32-E72D297353CC}">
              <c16:uniqueId val="{00000001-7F49-4EA7-AFD4-76BFD59CCCB6}"/>
            </c:ext>
          </c:extLst>
        </c:ser>
        <c:dLbls>
          <c:showLegendKey val="0"/>
          <c:showVal val="0"/>
          <c:showCatName val="0"/>
          <c:showSerName val="0"/>
          <c:showPercent val="0"/>
          <c:showBubbleSize val="0"/>
        </c:dLbls>
        <c:gapWidth val="219"/>
        <c:overlap val="-27"/>
        <c:axId val="1008461736"/>
        <c:axId val="1008463376"/>
      </c:barChart>
      <c:catAx>
        <c:axId val="1008461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8463376"/>
        <c:crosses val="autoZero"/>
        <c:auto val="1"/>
        <c:lblAlgn val="ctr"/>
        <c:lblOffset val="100"/>
        <c:noMultiLvlLbl val="0"/>
      </c:catAx>
      <c:valAx>
        <c:axId val="10084633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84617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'Inadequacy Distribution Env1'!$C$1</c:f>
              <c:strCache>
                <c:ptCount val="1"/>
                <c:pt idx="0">
                  <c:v>Tier</c:v>
                </c:pt>
              </c:strCache>
            </c:strRef>
          </c:tx>
          <c:spPr>
            <a:solidFill>
              <a:schemeClr val="accent1"/>
            </a:solidFill>
            <a:ln>
              <a:noFill/>
            </a:ln>
            <a:effectLst/>
          </c:spPr>
          <c:invertIfNegative val="0"/>
          <c:cat>
            <c:multiLvlStrRef>
              <c:f>'Inadequacy Distribution Env1'!$A$2:$B$21</c:f>
              <c:multiLvlStrCache>
                <c:ptCount val="20"/>
                <c:lvl>
                  <c:pt idx="0">
                    <c:v>T1</c:v>
                  </c:pt>
                  <c:pt idx="1">
                    <c:v>T2</c:v>
                  </c:pt>
                  <c:pt idx="2">
                    <c:v>T3</c:v>
                  </c:pt>
                  <c:pt idx="3">
                    <c:v>T4</c:v>
                  </c:pt>
                  <c:pt idx="4">
                    <c:v>T1</c:v>
                  </c:pt>
                  <c:pt idx="5">
                    <c:v>T2</c:v>
                  </c:pt>
                  <c:pt idx="6">
                    <c:v>T3</c:v>
                  </c:pt>
                  <c:pt idx="7">
                    <c:v>T4</c:v>
                  </c:pt>
                  <c:pt idx="8">
                    <c:v>T1</c:v>
                  </c:pt>
                  <c:pt idx="9">
                    <c:v>T2</c:v>
                  </c:pt>
                  <c:pt idx="10">
                    <c:v>T3</c:v>
                  </c:pt>
                  <c:pt idx="11">
                    <c:v>T4</c:v>
                  </c:pt>
                  <c:pt idx="12">
                    <c:v>T1</c:v>
                  </c:pt>
                  <c:pt idx="13">
                    <c:v>T2</c:v>
                  </c:pt>
                  <c:pt idx="14">
                    <c:v>T3</c:v>
                  </c:pt>
                  <c:pt idx="15">
                    <c:v>T4</c:v>
                  </c:pt>
                  <c:pt idx="16">
                    <c:v>T1</c:v>
                  </c:pt>
                  <c:pt idx="17">
                    <c:v>T2</c:v>
                  </c:pt>
                  <c:pt idx="18">
                    <c:v>T3</c:v>
                  </c:pt>
                  <c:pt idx="19">
                    <c:v>T4</c:v>
                  </c:pt>
                </c:lvl>
                <c:lvl>
                  <c:pt idx="0">
                    <c:v>Access Controls</c:v>
                  </c:pt>
                  <c:pt idx="4">
                    <c:v>Awareness &amp; Training</c:v>
                  </c:pt>
                  <c:pt idx="8">
                    <c:v>Incident Response</c:v>
                  </c:pt>
                  <c:pt idx="12">
                    <c:v>Maintenance</c:v>
                  </c:pt>
                  <c:pt idx="16">
                    <c:v>Personnel Security</c:v>
                  </c:pt>
                </c:lvl>
              </c:multiLvlStrCache>
            </c:multiLvlStrRef>
          </c:cat>
          <c:val>
            <c:numRef>
              <c:f>'Inadequacy Distribution Env1'!$C$2:$C$21</c:f>
            </c:numRef>
          </c:val>
          <c:extLst>
            <c:ext xmlns:c16="http://schemas.microsoft.com/office/drawing/2014/chart" uri="{C3380CC4-5D6E-409C-BE32-E72D297353CC}">
              <c16:uniqueId val="{00000000-5F6C-4639-921D-6F2CCD1FAE53}"/>
            </c:ext>
          </c:extLst>
        </c:ser>
        <c:ser>
          <c:idx val="1"/>
          <c:order val="1"/>
          <c:tx>
            <c:strRef>
              <c:f>'Inadequacy Distribution Env2'!$D$1</c:f>
              <c:strCache>
                <c:ptCount val="1"/>
                <c:pt idx="0">
                  <c:v>Count of Inadequacies</c:v>
                </c:pt>
              </c:strCache>
            </c:strRef>
          </c:tx>
          <c:spPr>
            <a:solidFill>
              <a:schemeClr val="accent2"/>
            </a:solidFill>
            <a:ln>
              <a:noFill/>
            </a:ln>
            <a:effectLst/>
          </c:spPr>
          <c:invertIfNegative val="0"/>
          <c:cat>
            <c:multiLvlStrRef>
              <c:f>'Inadequacy Distribution Env2'!$A$2:$B$21</c:f>
              <c:multiLvlStrCache>
                <c:ptCount val="20"/>
                <c:lvl>
                  <c:pt idx="0">
                    <c:v>T1</c:v>
                  </c:pt>
                  <c:pt idx="1">
                    <c:v>T2</c:v>
                  </c:pt>
                  <c:pt idx="2">
                    <c:v>T3</c:v>
                  </c:pt>
                  <c:pt idx="3">
                    <c:v>T4</c:v>
                  </c:pt>
                  <c:pt idx="4">
                    <c:v>T1</c:v>
                  </c:pt>
                  <c:pt idx="5">
                    <c:v>T2</c:v>
                  </c:pt>
                  <c:pt idx="6">
                    <c:v>T3</c:v>
                  </c:pt>
                  <c:pt idx="7">
                    <c:v>T4</c:v>
                  </c:pt>
                  <c:pt idx="8">
                    <c:v>T1</c:v>
                  </c:pt>
                  <c:pt idx="9">
                    <c:v>T2</c:v>
                  </c:pt>
                  <c:pt idx="10">
                    <c:v>T3</c:v>
                  </c:pt>
                  <c:pt idx="11">
                    <c:v>T4</c:v>
                  </c:pt>
                  <c:pt idx="12">
                    <c:v>T1</c:v>
                  </c:pt>
                  <c:pt idx="13">
                    <c:v>T2</c:v>
                  </c:pt>
                  <c:pt idx="14">
                    <c:v>T3</c:v>
                  </c:pt>
                  <c:pt idx="15">
                    <c:v>T4</c:v>
                  </c:pt>
                  <c:pt idx="16">
                    <c:v>T1</c:v>
                  </c:pt>
                  <c:pt idx="17">
                    <c:v>T2</c:v>
                  </c:pt>
                  <c:pt idx="18">
                    <c:v>T3</c:v>
                  </c:pt>
                  <c:pt idx="19">
                    <c:v>T4</c:v>
                  </c:pt>
                </c:lvl>
                <c:lvl>
                  <c:pt idx="0">
                    <c:v>Access Controls</c:v>
                  </c:pt>
                  <c:pt idx="4">
                    <c:v>Awareness &amp; Training</c:v>
                  </c:pt>
                  <c:pt idx="8">
                    <c:v>Incident Response</c:v>
                  </c:pt>
                  <c:pt idx="12">
                    <c:v>Maintenance</c:v>
                  </c:pt>
                  <c:pt idx="16">
                    <c:v>Personnel Security</c:v>
                  </c:pt>
                </c:lvl>
              </c:multiLvlStrCache>
            </c:multiLvlStrRef>
          </c:cat>
          <c:val>
            <c:numRef>
              <c:f>'Inadequacy Distribution Env2'!$D$2:$D$21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5F6C-4639-921D-6F2CCD1FAE53}"/>
            </c:ext>
          </c:extLst>
        </c:ser>
        <c:dLbls>
          <c:showLegendKey val="0"/>
          <c:showVal val="0"/>
          <c:showCatName val="0"/>
          <c:showSerName val="0"/>
          <c:showPercent val="0"/>
          <c:showBubbleSize val="0"/>
        </c:dLbls>
        <c:gapWidth val="219"/>
        <c:overlap val="-27"/>
        <c:axId val="1008461736"/>
        <c:axId val="1008463376"/>
      </c:barChart>
      <c:catAx>
        <c:axId val="1008461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8463376"/>
        <c:crosses val="autoZero"/>
        <c:auto val="1"/>
        <c:lblAlgn val="ctr"/>
        <c:lblOffset val="100"/>
        <c:noMultiLvlLbl val="0"/>
      </c:catAx>
      <c:valAx>
        <c:axId val="10084633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84617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'Inadequacy Distribution Env1'!$C$1</c:f>
              <c:strCache>
                <c:ptCount val="1"/>
                <c:pt idx="0">
                  <c:v>Tier</c:v>
                </c:pt>
              </c:strCache>
            </c:strRef>
          </c:tx>
          <c:spPr>
            <a:solidFill>
              <a:schemeClr val="accent1"/>
            </a:solidFill>
            <a:ln>
              <a:noFill/>
            </a:ln>
            <a:effectLst/>
          </c:spPr>
          <c:invertIfNegative val="0"/>
          <c:cat>
            <c:multiLvlStrRef>
              <c:f>'Inadequacy Distribution Env1'!$A$2:$B$21</c:f>
              <c:multiLvlStrCache>
                <c:ptCount val="20"/>
                <c:lvl>
                  <c:pt idx="0">
                    <c:v>T1</c:v>
                  </c:pt>
                  <c:pt idx="1">
                    <c:v>T2</c:v>
                  </c:pt>
                  <c:pt idx="2">
                    <c:v>T3</c:v>
                  </c:pt>
                  <c:pt idx="3">
                    <c:v>T4</c:v>
                  </c:pt>
                  <c:pt idx="4">
                    <c:v>T1</c:v>
                  </c:pt>
                  <c:pt idx="5">
                    <c:v>T2</c:v>
                  </c:pt>
                  <c:pt idx="6">
                    <c:v>T3</c:v>
                  </c:pt>
                  <c:pt idx="7">
                    <c:v>T4</c:v>
                  </c:pt>
                  <c:pt idx="8">
                    <c:v>T1</c:v>
                  </c:pt>
                  <c:pt idx="9">
                    <c:v>T2</c:v>
                  </c:pt>
                  <c:pt idx="10">
                    <c:v>T3</c:v>
                  </c:pt>
                  <c:pt idx="11">
                    <c:v>T4</c:v>
                  </c:pt>
                  <c:pt idx="12">
                    <c:v>T1</c:v>
                  </c:pt>
                  <c:pt idx="13">
                    <c:v>T2</c:v>
                  </c:pt>
                  <c:pt idx="14">
                    <c:v>T3</c:v>
                  </c:pt>
                  <c:pt idx="15">
                    <c:v>T4</c:v>
                  </c:pt>
                  <c:pt idx="16">
                    <c:v>T1</c:v>
                  </c:pt>
                  <c:pt idx="17">
                    <c:v>T2</c:v>
                  </c:pt>
                  <c:pt idx="18">
                    <c:v>T3</c:v>
                  </c:pt>
                  <c:pt idx="19">
                    <c:v>T4</c:v>
                  </c:pt>
                </c:lvl>
                <c:lvl>
                  <c:pt idx="0">
                    <c:v>Access Controls</c:v>
                  </c:pt>
                  <c:pt idx="4">
                    <c:v>Awareness &amp; Training</c:v>
                  </c:pt>
                  <c:pt idx="8">
                    <c:v>Incident Response</c:v>
                  </c:pt>
                  <c:pt idx="12">
                    <c:v>Maintenance</c:v>
                  </c:pt>
                  <c:pt idx="16">
                    <c:v>Personnel Security</c:v>
                  </c:pt>
                </c:lvl>
              </c:multiLvlStrCache>
            </c:multiLvlStrRef>
          </c:cat>
          <c:val>
            <c:numRef>
              <c:f>'Inadequacy Distribution Env1'!$C$2:$C$21</c:f>
            </c:numRef>
          </c:val>
          <c:extLst>
            <c:ext xmlns:c16="http://schemas.microsoft.com/office/drawing/2014/chart" uri="{C3380CC4-5D6E-409C-BE32-E72D297353CC}">
              <c16:uniqueId val="{00000000-B950-4132-A0F3-9F059A779755}"/>
            </c:ext>
          </c:extLst>
        </c:ser>
        <c:ser>
          <c:idx val="1"/>
          <c:order val="1"/>
          <c:tx>
            <c:strRef>
              <c:f>'Inadequacy Distribution Env3'!$D$1</c:f>
              <c:strCache>
                <c:ptCount val="1"/>
                <c:pt idx="0">
                  <c:v>Count of Inadequacies</c:v>
                </c:pt>
              </c:strCache>
            </c:strRef>
          </c:tx>
          <c:spPr>
            <a:solidFill>
              <a:schemeClr val="accent2"/>
            </a:solidFill>
            <a:ln>
              <a:noFill/>
            </a:ln>
            <a:effectLst/>
          </c:spPr>
          <c:invertIfNegative val="0"/>
          <c:cat>
            <c:multiLvlStrRef>
              <c:f>'Inadequacy Distribution Env3'!$A$2:$B$21</c:f>
              <c:multiLvlStrCache>
                <c:ptCount val="20"/>
                <c:lvl>
                  <c:pt idx="0">
                    <c:v>T1</c:v>
                  </c:pt>
                  <c:pt idx="1">
                    <c:v>T2</c:v>
                  </c:pt>
                  <c:pt idx="2">
                    <c:v>T3</c:v>
                  </c:pt>
                  <c:pt idx="3">
                    <c:v>T4</c:v>
                  </c:pt>
                  <c:pt idx="4">
                    <c:v>T1</c:v>
                  </c:pt>
                  <c:pt idx="5">
                    <c:v>T2</c:v>
                  </c:pt>
                  <c:pt idx="6">
                    <c:v>T3</c:v>
                  </c:pt>
                  <c:pt idx="7">
                    <c:v>T4</c:v>
                  </c:pt>
                  <c:pt idx="8">
                    <c:v>T1</c:v>
                  </c:pt>
                  <c:pt idx="9">
                    <c:v>T2</c:v>
                  </c:pt>
                  <c:pt idx="10">
                    <c:v>T3</c:v>
                  </c:pt>
                  <c:pt idx="11">
                    <c:v>T4</c:v>
                  </c:pt>
                  <c:pt idx="12">
                    <c:v>T1</c:v>
                  </c:pt>
                  <c:pt idx="13">
                    <c:v>T2</c:v>
                  </c:pt>
                  <c:pt idx="14">
                    <c:v>T3</c:v>
                  </c:pt>
                  <c:pt idx="15">
                    <c:v>T4</c:v>
                  </c:pt>
                  <c:pt idx="16">
                    <c:v>T1</c:v>
                  </c:pt>
                  <c:pt idx="17">
                    <c:v>T2</c:v>
                  </c:pt>
                  <c:pt idx="18">
                    <c:v>T3</c:v>
                  </c:pt>
                  <c:pt idx="19">
                    <c:v>T4</c:v>
                  </c:pt>
                </c:lvl>
                <c:lvl>
                  <c:pt idx="0">
                    <c:v>Access Controls</c:v>
                  </c:pt>
                  <c:pt idx="4">
                    <c:v>Awareness &amp; Training</c:v>
                  </c:pt>
                  <c:pt idx="8">
                    <c:v>Incident Response</c:v>
                  </c:pt>
                  <c:pt idx="12">
                    <c:v>Maintenance</c:v>
                  </c:pt>
                  <c:pt idx="16">
                    <c:v>Personnel Security</c:v>
                  </c:pt>
                </c:lvl>
              </c:multiLvlStrCache>
            </c:multiLvlStrRef>
          </c:cat>
          <c:val>
            <c:numRef>
              <c:f>'Inadequacy Distribution Env3'!$D$2:$D$21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B950-4132-A0F3-9F059A779755}"/>
            </c:ext>
          </c:extLst>
        </c:ser>
        <c:dLbls>
          <c:showLegendKey val="0"/>
          <c:showVal val="0"/>
          <c:showCatName val="0"/>
          <c:showSerName val="0"/>
          <c:showPercent val="0"/>
          <c:showBubbleSize val="0"/>
        </c:dLbls>
        <c:gapWidth val="219"/>
        <c:overlap val="-27"/>
        <c:axId val="1008461736"/>
        <c:axId val="1008463376"/>
      </c:barChart>
      <c:catAx>
        <c:axId val="1008461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8463376"/>
        <c:crosses val="autoZero"/>
        <c:auto val="1"/>
        <c:lblAlgn val="ctr"/>
        <c:lblOffset val="100"/>
        <c:noMultiLvlLbl val="0"/>
      </c:catAx>
      <c:valAx>
        <c:axId val="10084633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84617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2868083</xdr:colOff>
      <xdr:row>0</xdr:row>
      <xdr:rowOff>43392</xdr:rowOff>
    </xdr:from>
    <xdr:to>
      <xdr:col>0</xdr:col>
      <xdr:colOff>14812433</xdr:colOff>
      <xdr:row>0</xdr:row>
      <xdr:rowOff>52917</xdr:rowOff>
    </xdr:to>
    <xdr:cxnSp macro="">
      <xdr:nvCxnSpPr>
        <xdr:cNvPr id="2" name="Straight Connector 1">
          <a:extLst>
            <a:ext uri="{FF2B5EF4-FFF2-40B4-BE49-F238E27FC236}">
              <a16:creationId xmlns:a16="http://schemas.microsoft.com/office/drawing/2014/main" id="{00000000-0008-0000-0000-000002000000}"/>
            </a:ext>
          </a:extLst>
        </xdr:cNvPr>
        <xdr:cNvCxnSpPr/>
      </xdr:nvCxnSpPr>
      <xdr:spPr>
        <a:xfrm>
          <a:off x="2868083" y="43392"/>
          <a:ext cx="11944350" cy="9525"/>
        </a:xfrm>
        <a:prstGeom prst="line">
          <a:avLst/>
        </a:prstGeom>
        <a:ln w="28575">
          <a:solidFill>
            <a:srgbClr val="840000"/>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2727095</xdr:colOff>
      <xdr:row>2</xdr:row>
      <xdr:rowOff>657731</xdr:rowOff>
    </xdr:from>
    <xdr:to>
      <xdr:col>0</xdr:col>
      <xdr:colOff>14671445</xdr:colOff>
      <xdr:row>2</xdr:row>
      <xdr:rowOff>667256</xdr:rowOff>
    </xdr:to>
    <xdr:cxnSp macro="">
      <xdr:nvCxnSpPr>
        <xdr:cNvPr id="3" name="Straight Connector 2">
          <a:extLst>
            <a:ext uri="{FF2B5EF4-FFF2-40B4-BE49-F238E27FC236}">
              <a16:creationId xmlns:a16="http://schemas.microsoft.com/office/drawing/2014/main" id="{00000000-0008-0000-0000-000003000000}"/>
            </a:ext>
          </a:extLst>
        </xdr:cNvPr>
        <xdr:cNvCxnSpPr/>
      </xdr:nvCxnSpPr>
      <xdr:spPr>
        <a:xfrm>
          <a:off x="2727095" y="3314148"/>
          <a:ext cx="11944350" cy="9525"/>
        </a:xfrm>
        <a:prstGeom prst="line">
          <a:avLst/>
        </a:prstGeom>
        <a:ln w="28575">
          <a:solidFill>
            <a:srgbClr val="840000"/>
          </a:solidFill>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0</xdr:col>
      <xdr:colOff>0</xdr:colOff>
      <xdr:row>2</xdr:row>
      <xdr:rowOff>2247900</xdr:rowOff>
    </xdr:from>
    <xdr:to>
      <xdr:col>0</xdr:col>
      <xdr:colOff>2742973</xdr:colOff>
      <xdr:row>14</xdr:row>
      <xdr:rowOff>63419</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4905375"/>
          <a:ext cx="2742973" cy="251134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5</xdr:col>
      <xdr:colOff>304799</xdr:colOff>
      <xdr:row>1</xdr:row>
      <xdr:rowOff>85725</xdr:rowOff>
    </xdr:from>
    <xdr:to>
      <xdr:col>15</xdr:col>
      <xdr:colOff>371474</xdr:colOff>
      <xdr:row>17</xdr:row>
      <xdr:rowOff>28575</xdr:rowOff>
    </xdr:to>
    <xdr:graphicFrame macro="">
      <xdr:nvGraphicFramePr>
        <xdr:cNvPr id="3" name="Chart 2">
          <a:extLst>
            <a:ext uri="{FF2B5EF4-FFF2-40B4-BE49-F238E27FC236}">
              <a16:creationId xmlns:a16="http://schemas.microsoft.com/office/drawing/2014/main" id="{00000000-0008-0000-1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304799</xdr:colOff>
      <xdr:row>1</xdr:row>
      <xdr:rowOff>85725</xdr:rowOff>
    </xdr:from>
    <xdr:to>
      <xdr:col>15</xdr:col>
      <xdr:colOff>371474</xdr:colOff>
      <xdr:row>17</xdr:row>
      <xdr:rowOff>28575</xdr:rowOff>
    </xdr:to>
    <xdr:graphicFrame macro="">
      <xdr:nvGraphicFramePr>
        <xdr:cNvPr id="2" name="Chart 1">
          <a:extLst>
            <a:ext uri="{FF2B5EF4-FFF2-40B4-BE49-F238E27FC236}">
              <a16:creationId xmlns:a16="http://schemas.microsoft.com/office/drawing/2014/main" id="{00000000-0008-0000-14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304799</xdr:colOff>
      <xdr:row>1</xdr:row>
      <xdr:rowOff>85725</xdr:rowOff>
    </xdr:from>
    <xdr:to>
      <xdr:col>15</xdr:col>
      <xdr:colOff>371474</xdr:colOff>
      <xdr:row>17</xdr:row>
      <xdr:rowOff>28575</xdr:rowOff>
    </xdr:to>
    <xdr:graphicFrame macro="">
      <xdr:nvGraphicFramePr>
        <xdr:cNvPr id="2" name="Chart 1">
          <a:extLst>
            <a:ext uri="{FF2B5EF4-FFF2-40B4-BE49-F238E27FC236}">
              <a16:creationId xmlns:a16="http://schemas.microsoft.com/office/drawing/2014/main" id="{00000000-0008-0000-1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harepoint.corl.local/Users/alex.masten/AppData/Local/Microsoft/Windows/Temporary%20Internet%20Files/Content.Outlook/N7Q1VBMO/HFHS%20CORL_Vendor%20Spreadsheet_2016%2002%2022%20(00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harepoint.corl.local/Users/alex.masten/AppData/Local/Microsoft/Windows/Temporary%20Internet%20Files/Content.Outlook/N7Q1VBMO/CORL%20Customized%20Review%20Spreadheet_2%2015%202016.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harepoint.corl.local/Lists/CORL%20Client%20Requests/Attachments/691/CORL_Business%20Owner%20Questionnaire_2016.11.2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ction Items_All Vendors_2-1-16"/>
      <sheetName val="Vendor Summary 2.8.16"/>
      <sheetName val="CORL_HFHS Wkst"/>
      <sheetName val="Sheet1"/>
      <sheetName val="Validation Plan Results_VENDOR"/>
      <sheetName val="Key"/>
      <sheetName val="Data Validation Key"/>
    </sheetNames>
    <sheetDataSet>
      <sheetData sheetId="0"/>
      <sheetData sheetId="1"/>
      <sheetData sheetId="2"/>
      <sheetData sheetId="3">
        <row r="1">
          <cell r="A1" t="str">
            <v>Yes</v>
          </cell>
        </row>
        <row r="2">
          <cell r="A2" t="str">
            <v>Sent to CORL</v>
          </cell>
        </row>
      </sheetData>
      <sheetData sheetId="4"/>
      <sheetData sheetId="5" refreshError="1"/>
      <sheetData sheetId="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CORL Revision"/>
      <sheetName val="Data Validation Key"/>
    </sheetNames>
    <sheetDataSet>
      <sheetData sheetId="0"/>
      <sheetData sheetId="1">
        <row r="3">
          <cell r="A3" t="str">
            <v>Shawn Mcdaniel</v>
          </cell>
        </row>
        <row r="4">
          <cell r="A4" t="str">
            <v>Maryann DiMarco</v>
          </cell>
        </row>
        <row r="5">
          <cell r="A5" t="str">
            <v>Pete Sekulovski</v>
          </cell>
        </row>
      </sheetData>
      <sheetData sheetId="2"/>
      <sheetData sheetId="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Q"/>
      <sheetName val="Definitions"/>
      <sheetName val="Data Validation Key"/>
    </sheetNames>
    <sheetDataSet>
      <sheetData sheetId="0"/>
      <sheetData sheetId="1"/>
      <sheetData sheetId="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1" Type="http://schemas.openxmlformats.org/officeDocument/2006/relationships/vmlDrawing" Target="../drawings/vmlDrawing1.vml"/></Relationships>
</file>

<file path=xl/worksheets/_rels/sheet14.xml.rels><?xml version="1.0" encoding="UTF-8" standalone="yes"?>
<Relationships xmlns="http://schemas.openxmlformats.org/package/2006/relationships"><Relationship Id="rId1" Type="http://schemas.openxmlformats.org/officeDocument/2006/relationships/vmlDrawing" Target="../drawings/vmlDrawing2.vml"/></Relationships>
</file>

<file path=xl/worksheets/_rels/sheet15.xml.rels><?xml version="1.0" encoding="UTF-8" standalone="yes"?>
<Relationships xmlns="http://schemas.openxmlformats.org/package/2006/relationships"><Relationship Id="rId1" Type="http://schemas.openxmlformats.org/officeDocument/2006/relationships/vmlDrawing" Target="../drawings/vmlDrawing3.v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9.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4.v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12"/>
  <sheetViews>
    <sheetView showGridLines="0" zoomScale="90" zoomScaleNormal="90" workbookViewId="0">
      <selection sqref="A1:A11"/>
    </sheetView>
  </sheetViews>
  <sheetFormatPr defaultColWidth="9.140625" defaultRowHeight="15" x14ac:dyDescent="0.25"/>
  <cols>
    <col min="1" max="1" width="255.5703125" style="151" customWidth="1"/>
    <col min="2" max="16384" width="9.140625" style="151"/>
  </cols>
  <sheetData>
    <row r="1" spans="1:1" ht="45" customHeight="1" x14ac:dyDescent="0.25">
      <c r="A1" s="191" t="s">
        <v>415</v>
      </c>
    </row>
    <row r="2" spans="1:1" ht="164.25" customHeight="1" x14ac:dyDescent="0.25">
      <c r="A2" s="191"/>
    </row>
    <row r="3" spans="1:1" ht="323.25" customHeight="1" x14ac:dyDescent="0.25">
      <c r="A3" s="191"/>
    </row>
    <row r="4" spans="1:1" ht="15" hidden="1" customHeight="1" x14ac:dyDescent="0.25">
      <c r="A4" s="191"/>
    </row>
    <row r="5" spans="1:1" ht="15" hidden="1" customHeight="1" x14ac:dyDescent="0.25">
      <c r="A5" s="191"/>
    </row>
    <row r="6" spans="1:1" ht="15" hidden="1" customHeight="1" x14ac:dyDescent="0.25">
      <c r="A6" s="191"/>
    </row>
    <row r="7" spans="1:1" ht="15" hidden="1" customHeight="1" x14ac:dyDescent="0.25">
      <c r="A7" s="191"/>
    </row>
    <row r="8" spans="1:1" ht="15" hidden="1" customHeight="1" x14ac:dyDescent="0.25">
      <c r="A8" s="191"/>
    </row>
    <row r="9" spans="1:1" ht="1.5" customHeight="1" x14ac:dyDescent="0.25">
      <c r="A9" s="191"/>
    </row>
    <row r="10" spans="1:1" ht="15" hidden="1" customHeight="1" x14ac:dyDescent="0.25">
      <c r="A10" s="191"/>
    </row>
    <row r="11" spans="1:1" ht="60" hidden="1" customHeight="1" x14ac:dyDescent="0.25">
      <c r="A11" s="191"/>
    </row>
    <row r="12" spans="1:1" x14ac:dyDescent="0.25">
      <c r="A12" s="151" t="s">
        <v>461</v>
      </c>
    </row>
  </sheetData>
  <sheetProtection algorithmName="SHA-512" hashValue="v72KWXkpKrEf4ilL/V/e1szo8cWVaRMi2nhcjuy5JHaccAhzxlWDDGKTEh6F9EBcGqq+yfqMeGYWmcATyg2Zyw==" saltValue="rOmbnAQwdrUvvr3sxKf5tQ==" spinCount="100000" sheet="1" selectLockedCells="1"/>
  <mergeCells count="1">
    <mergeCell ref="A1:A11"/>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D42"/>
  <sheetViews>
    <sheetView showGridLines="0" zoomScaleNormal="100" workbookViewId="0">
      <selection activeCell="B11" sqref="B11"/>
    </sheetView>
  </sheetViews>
  <sheetFormatPr defaultColWidth="9.140625" defaultRowHeight="15.75" x14ac:dyDescent="0.25"/>
  <cols>
    <col min="1" max="1" width="18.5703125" style="4" customWidth="1"/>
    <col min="2" max="2" width="203.28515625" style="4" customWidth="1"/>
    <col min="3" max="3" width="61.140625" style="13" customWidth="1"/>
    <col min="4" max="4" width="9.140625" style="13"/>
    <col min="5" max="16384" width="9.140625" style="4"/>
  </cols>
  <sheetData>
    <row r="1" spans="1:4" s="10" customFormat="1" x14ac:dyDescent="0.25">
      <c r="A1" s="192" t="s">
        <v>396</v>
      </c>
      <c r="B1" s="192"/>
      <c r="C1" s="9"/>
      <c r="D1" s="9"/>
    </row>
    <row r="2" spans="1:4" s="10" customFormat="1" ht="45" x14ac:dyDescent="0.2">
      <c r="A2" s="11"/>
      <c r="B2" s="12" t="s">
        <v>412</v>
      </c>
      <c r="C2" s="9"/>
      <c r="D2" s="9"/>
    </row>
    <row r="3" spans="1:4" s="9" customFormat="1" ht="15" x14ac:dyDescent="0.2"/>
    <row r="4" spans="1:4" s="9" customFormat="1" x14ac:dyDescent="0.25">
      <c r="A4" s="193" t="s">
        <v>397</v>
      </c>
      <c r="B4" s="193"/>
    </row>
    <row r="5" spans="1:4" s="9" customFormat="1" ht="15" x14ac:dyDescent="0.2">
      <c r="A5" s="152"/>
      <c r="B5" s="152" t="s">
        <v>413</v>
      </c>
    </row>
    <row r="6" spans="1:4" s="9" customFormat="1" ht="15" x14ac:dyDescent="0.2"/>
    <row r="7" spans="1:4" s="10" customFormat="1" x14ac:dyDescent="0.25">
      <c r="A7" s="192" t="s">
        <v>459</v>
      </c>
      <c r="B7" s="192"/>
      <c r="C7" s="9"/>
      <c r="D7" s="9"/>
    </row>
    <row r="8" spans="1:4" s="10" customFormat="1" ht="80.25" customHeight="1" x14ac:dyDescent="0.2">
      <c r="A8" s="11"/>
      <c r="B8" s="12" t="s">
        <v>414</v>
      </c>
      <c r="C8" s="9"/>
      <c r="D8" s="9"/>
    </row>
    <row r="9" spans="1:4" s="9" customFormat="1" ht="15" x14ac:dyDescent="0.2"/>
    <row r="10" spans="1:4" s="10" customFormat="1" x14ac:dyDescent="0.25">
      <c r="A10" s="192" t="s">
        <v>419</v>
      </c>
      <c r="B10" s="194"/>
      <c r="C10" s="9"/>
      <c r="D10" s="9"/>
    </row>
    <row r="11" spans="1:4" s="10" customFormat="1" ht="171.75" customHeight="1" x14ac:dyDescent="0.2">
      <c r="A11" s="11"/>
      <c r="B11" s="12" t="s">
        <v>460</v>
      </c>
      <c r="C11" s="9"/>
      <c r="D11" s="9"/>
    </row>
    <row r="12" spans="1:4" s="13" customFormat="1" x14ac:dyDescent="0.25"/>
    <row r="13" spans="1:4" s="13" customFormat="1" x14ac:dyDescent="0.25"/>
    <row r="14" spans="1:4" s="13" customFormat="1" x14ac:dyDescent="0.25"/>
    <row r="15" spans="1:4" s="13" customFormat="1" x14ac:dyDescent="0.25"/>
    <row r="16" spans="1:4" s="13" customFormat="1" x14ac:dyDescent="0.25"/>
    <row r="17" s="13" customFormat="1" x14ac:dyDescent="0.25"/>
    <row r="18" s="13" customFormat="1" x14ac:dyDescent="0.25"/>
    <row r="19" s="13" customFormat="1" x14ac:dyDescent="0.25"/>
    <row r="20" s="13" customFormat="1" x14ac:dyDescent="0.25"/>
    <row r="21" s="13" customFormat="1" x14ac:dyDescent="0.25"/>
    <row r="22" s="13" customFormat="1" x14ac:dyDescent="0.25"/>
    <row r="23" s="13" customFormat="1" x14ac:dyDescent="0.25"/>
    <row r="24" s="13" customFormat="1" x14ac:dyDescent="0.25"/>
    <row r="25" s="13" customFormat="1" x14ac:dyDescent="0.25"/>
    <row r="26" s="13" customFormat="1" x14ac:dyDescent="0.25"/>
    <row r="27" s="13" customFormat="1" x14ac:dyDescent="0.25"/>
    <row r="28" s="13" customFormat="1" x14ac:dyDescent="0.25"/>
    <row r="29" s="13" customFormat="1" x14ac:dyDescent="0.25"/>
    <row r="30" s="13" customFormat="1" x14ac:dyDescent="0.25"/>
    <row r="31" s="13" customFormat="1" x14ac:dyDescent="0.25"/>
    <row r="32" s="13" customFormat="1" x14ac:dyDescent="0.25"/>
    <row r="33" s="13" customFormat="1" x14ac:dyDescent="0.25"/>
    <row r="34" s="13" customFormat="1" x14ac:dyDescent="0.25"/>
    <row r="35" s="13" customFormat="1" x14ac:dyDescent="0.25"/>
    <row r="36" s="13" customFormat="1" x14ac:dyDescent="0.25"/>
    <row r="37" s="13" customFormat="1" x14ac:dyDescent="0.25"/>
    <row r="38" s="13" customFormat="1" x14ac:dyDescent="0.25"/>
    <row r="39" s="13" customFormat="1" x14ac:dyDescent="0.25"/>
    <row r="40" s="13" customFormat="1" x14ac:dyDescent="0.25"/>
    <row r="41" s="13" customFormat="1" x14ac:dyDescent="0.25"/>
    <row r="42" s="13" customFormat="1" x14ac:dyDescent="0.25"/>
  </sheetData>
  <sheetProtection algorithmName="SHA-512" hashValue="U/8jBlTzwdH7PgSlR0FSD72D0dQoNMycslzCTiTUJZp4lXnZpJm+5xhsMzDebOGZGXPP7QqXPDb/pl3FjjuFgw==" saltValue="Hl3lCp3V84Ks3Sb1RVCpdQ==" spinCount="100000" sheet="1" selectLockedCells="1"/>
  <mergeCells count="4">
    <mergeCell ref="A1:B1"/>
    <mergeCell ref="A4:B4"/>
    <mergeCell ref="A7:B7"/>
    <mergeCell ref="A10:B10"/>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O12"/>
  <sheetViews>
    <sheetView zoomScale="90" zoomScaleNormal="90" workbookViewId="0">
      <selection activeCell="O5" sqref="O5"/>
    </sheetView>
  </sheetViews>
  <sheetFormatPr defaultColWidth="9.140625" defaultRowHeight="15" x14ac:dyDescent="0.25"/>
  <cols>
    <col min="1" max="1" width="8.85546875" style="5" customWidth="1"/>
    <col min="2" max="2" width="12.7109375" style="5" customWidth="1"/>
    <col min="3" max="3" width="7.28515625" style="5" customWidth="1"/>
    <col min="4" max="4" width="16" style="5" customWidth="1"/>
    <col min="5" max="5" width="18.42578125" style="5" customWidth="1"/>
    <col min="6" max="6" width="21.85546875" style="5" customWidth="1"/>
    <col min="7" max="7" width="13.140625" style="5" bestFit="1" customWidth="1"/>
    <col min="8" max="8" width="10.7109375" style="5" customWidth="1"/>
    <col min="9" max="9" width="14.5703125" style="5" customWidth="1"/>
    <col min="10" max="10" width="11" style="5" customWidth="1"/>
    <col min="11" max="11" width="17.42578125" style="5" customWidth="1"/>
    <col min="12" max="12" width="11.5703125" style="5" bestFit="1" customWidth="1"/>
    <col min="13" max="13" width="14.7109375" style="5" customWidth="1"/>
    <col min="14" max="14" width="9.140625" style="5"/>
    <col min="15" max="15" width="9" customWidth="1"/>
    <col min="16" max="16384" width="9.140625" style="5"/>
  </cols>
  <sheetData>
    <row r="1" spans="1:14" s="7" customFormat="1" ht="48" x14ac:dyDescent="0.25">
      <c r="A1" s="8" t="s">
        <v>243</v>
      </c>
      <c r="B1" s="8" t="s">
        <v>19</v>
      </c>
      <c r="C1" s="8" t="s">
        <v>20</v>
      </c>
      <c r="D1" s="8" t="s">
        <v>21</v>
      </c>
      <c r="E1" s="8" t="s">
        <v>22</v>
      </c>
      <c r="F1" s="8" t="s">
        <v>255</v>
      </c>
      <c r="G1" s="8" t="s">
        <v>23</v>
      </c>
      <c r="H1" s="8" t="s">
        <v>246</v>
      </c>
      <c r="I1" s="8" t="s">
        <v>247</v>
      </c>
      <c r="J1" s="8" t="s">
        <v>24</v>
      </c>
      <c r="K1" s="8" t="s">
        <v>242</v>
      </c>
      <c r="L1" s="8" t="s">
        <v>244</v>
      </c>
      <c r="M1" s="8" t="s">
        <v>256</v>
      </c>
      <c r="N1" s="8" t="s">
        <v>322</v>
      </c>
    </row>
    <row r="2" spans="1:14" x14ac:dyDescent="0.25">
      <c r="A2" s="5" t="s">
        <v>30</v>
      </c>
      <c r="B2" s="5" t="s">
        <v>25</v>
      </c>
      <c r="C2" s="5" t="s">
        <v>26</v>
      </c>
      <c r="D2" s="5" t="s">
        <v>27</v>
      </c>
      <c r="E2" s="5" t="s">
        <v>28</v>
      </c>
      <c r="F2" s="5" t="s">
        <v>239</v>
      </c>
      <c r="G2" s="5" t="s">
        <v>29</v>
      </c>
      <c r="H2" s="5" t="s">
        <v>29</v>
      </c>
      <c r="I2" s="5" t="s">
        <v>31</v>
      </c>
      <c r="J2" s="5" t="s">
        <v>32</v>
      </c>
      <c r="K2" s="5" t="s">
        <v>33</v>
      </c>
      <c r="L2" s="5" t="s">
        <v>30</v>
      </c>
      <c r="M2" s="39" t="s">
        <v>257</v>
      </c>
      <c r="N2" s="5" t="s">
        <v>325</v>
      </c>
    </row>
    <row r="3" spans="1:14" x14ac:dyDescent="0.25">
      <c r="A3" s="5" t="s">
        <v>39</v>
      </c>
      <c r="B3" s="5" t="s">
        <v>34</v>
      </c>
      <c r="C3" s="5" t="s">
        <v>35</v>
      </c>
      <c r="D3" s="5" t="s">
        <v>36</v>
      </c>
      <c r="E3" s="5" t="s">
        <v>37</v>
      </c>
      <c r="F3" s="5" t="s">
        <v>240</v>
      </c>
      <c r="G3" s="5" t="s">
        <v>38</v>
      </c>
      <c r="H3" s="5" t="s">
        <v>38</v>
      </c>
      <c r="I3" s="5" t="s">
        <v>40</v>
      </c>
      <c r="J3" s="5" t="s">
        <v>41</v>
      </c>
      <c r="K3" s="5" t="s">
        <v>241</v>
      </c>
      <c r="L3" s="5" t="s">
        <v>39</v>
      </c>
      <c r="M3" s="5" t="s">
        <v>258</v>
      </c>
      <c r="N3" s="5" t="s">
        <v>335</v>
      </c>
    </row>
    <row r="4" spans="1:14" x14ac:dyDescent="0.25">
      <c r="A4" s="5" t="s">
        <v>48</v>
      </c>
      <c r="B4" s="5" t="s">
        <v>42</v>
      </c>
      <c r="C4" s="5" t="s">
        <v>43</v>
      </c>
      <c r="D4" s="5" t="s">
        <v>44</v>
      </c>
      <c r="E4" s="5" t="s">
        <v>45</v>
      </c>
      <c r="F4" s="5" t="s">
        <v>46</v>
      </c>
      <c r="G4" s="5" t="s">
        <v>47</v>
      </c>
      <c r="H4" s="5" t="s">
        <v>47</v>
      </c>
      <c r="I4" s="5" t="s">
        <v>49</v>
      </c>
      <c r="J4" s="5" t="s">
        <v>50</v>
      </c>
      <c r="K4" s="5" t="s">
        <v>51</v>
      </c>
      <c r="M4" s="5" t="s">
        <v>259</v>
      </c>
      <c r="N4" s="5" t="s">
        <v>337</v>
      </c>
    </row>
    <row r="5" spans="1:14" x14ac:dyDescent="0.25">
      <c r="A5" s="5" t="s">
        <v>56</v>
      </c>
      <c r="B5" s="5" t="s">
        <v>52</v>
      </c>
      <c r="C5" s="5" t="s">
        <v>53</v>
      </c>
      <c r="F5" s="5" t="s">
        <v>54</v>
      </c>
      <c r="G5" s="5" t="s">
        <v>55</v>
      </c>
      <c r="H5" s="5" t="s">
        <v>55</v>
      </c>
      <c r="J5" s="5" t="s">
        <v>57</v>
      </c>
      <c r="M5" s="5" t="s">
        <v>260</v>
      </c>
      <c r="N5" s="5" t="s">
        <v>56</v>
      </c>
    </row>
    <row r="6" spans="1:14" x14ac:dyDescent="0.25">
      <c r="B6" s="5" t="s">
        <v>58</v>
      </c>
      <c r="C6" s="5" t="s">
        <v>59</v>
      </c>
      <c r="F6" s="5" t="s">
        <v>60</v>
      </c>
      <c r="G6" s="5" t="s">
        <v>61</v>
      </c>
      <c r="H6" s="5" t="s">
        <v>61</v>
      </c>
      <c r="J6" s="5" t="s">
        <v>62</v>
      </c>
    </row>
    <row r="7" spans="1:14" x14ac:dyDescent="0.25">
      <c r="C7" s="5" t="s">
        <v>63</v>
      </c>
      <c r="G7" s="5" t="s">
        <v>64</v>
      </c>
      <c r="H7" s="5" t="s">
        <v>64</v>
      </c>
      <c r="J7" s="5" t="s">
        <v>65</v>
      </c>
    </row>
    <row r="8" spans="1:14" x14ac:dyDescent="0.25">
      <c r="C8" s="5" t="s">
        <v>66</v>
      </c>
    </row>
    <row r="9" spans="1:14" x14ac:dyDescent="0.25">
      <c r="C9" s="5" t="s">
        <v>67</v>
      </c>
    </row>
    <row r="10" spans="1:14" x14ac:dyDescent="0.25">
      <c r="C10" s="5" t="s">
        <v>68</v>
      </c>
    </row>
    <row r="11" spans="1:14" x14ac:dyDescent="0.25">
      <c r="C11" s="5" t="s">
        <v>69</v>
      </c>
    </row>
    <row r="12" spans="1:14" x14ac:dyDescent="0.25">
      <c r="C12" s="5" t="s">
        <v>70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D15"/>
  <sheetViews>
    <sheetView zoomScale="90" zoomScaleNormal="90" workbookViewId="0">
      <selection activeCell="A8" sqref="A8"/>
    </sheetView>
  </sheetViews>
  <sheetFormatPr defaultColWidth="9.140625" defaultRowHeight="14.25" x14ac:dyDescent="0.2"/>
  <cols>
    <col min="1" max="1" width="12.42578125" style="27" bestFit="1" customWidth="1"/>
    <col min="2" max="2" width="28.5703125" style="27" bestFit="1" customWidth="1"/>
    <col min="3" max="3" width="15.28515625" style="29" bestFit="1" customWidth="1"/>
    <col min="4" max="4" width="56.28515625" style="27" bestFit="1" customWidth="1"/>
    <col min="5" max="16384" width="9.140625" style="27"/>
  </cols>
  <sheetData>
    <row r="1" spans="1:4" s="28" customFormat="1" ht="39" thickTop="1" x14ac:dyDescent="0.25">
      <c r="A1" s="30" t="s">
        <v>71</v>
      </c>
      <c r="B1" s="31" t="s">
        <v>72</v>
      </c>
      <c r="C1" s="32" t="s">
        <v>229</v>
      </c>
      <c r="D1" s="31" t="s">
        <v>225</v>
      </c>
    </row>
    <row r="2" spans="1:4" s="28" customFormat="1" ht="12.75" x14ac:dyDescent="0.25">
      <c r="A2" s="33">
        <v>1</v>
      </c>
      <c r="B2" s="34" t="s">
        <v>226</v>
      </c>
      <c r="C2" s="33" t="s">
        <v>228</v>
      </c>
      <c r="D2" s="35" t="s">
        <v>227</v>
      </c>
    </row>
    <row r="3" spans="1:4" s="28" customFormat="1" ht="12.75" x14ac:dyDescent="0.25">
      <c r="A3" s="33">
        <v>2</v>
      </c>
      <c r="B3" s="34" t="s">
        <v>230</v>
      </c>
      <c r="C3" s="33" t="s">
        <v>99</v>
      </c>
      <c r="D3" s="35" t="s">
        <v>231</v>
      </c>
    </row>
    <row r="4" spans="1:4" s="28" customFormat="1" ht="25.5" x14ac:dyDescent="0.25">
      <c r="A4" s="33">
        <v>3</v>
      </c>
      <c r="B4" s="34" t="s">
        <v>80</v>
      </c>
      <c r="C4" s="33" t="s">
        <v>79</v>
      </c>
      <c r="D4" s="35" t="s">
        <v>232</v>
      </c>
    </row>
    <row r="5" spans="1:4" s="28" customFormat="1" ht="12.75" x14ac:dyDescent="0.25">
      <c r="A5" s="33">
        <v>4</v>
      </c>
      <c r="B5" s="34" t="s">
        <v>233</v>
      </c>
      <c r="C5" s="33" t="s">
        <v>56</v>
      </c>
      <c r="D5" s="35" t="s">
        <v>234</v>
      </c>
    </row>
    <row r="6" spans="1:4" s="28" customFormat="1" ht="25.5" x14ac:dyDescent="0.25">
      <c r="A6" s="33">
        <v>5</v>
      </c>
      <c r="B6" s="34" t="s">
        <v>235</v>
      </c>
      <c r="C6" s="33" t="s">
        <v>223</v>
      </c>
      <c r="D6" s="35" t="s">
        <v>236</v>
      </c>
    </row>
    <row r="7" spans="1:4" s="28" customFormat="1" ht="12.75" x14ac:dyDescent="0.25">
      <c r="A7" s="33">
        <v>6</v>
      </c>
      <c r="B7" s="34" t="s">
        <v>235</v>
      </c>
      <c r="C7" s="33" t="s">
        <v>224</v>
      </c>
      <c r="D7" s="35" t="s">
        <v>237</v>
      </c>
    </row>
    <row r="8" spans="1:4" x14ac:dyDescent="0.2">
      <c r="A8" s="36"/>
      <c r="B8" s="36"/>
      <c r="C8" s="37"/>
      <c r="D8" s="38"/>
    </row>
    <row r="9" spans="1:4" x14ac:dyDescent="0.2">
      <c r="A9" s="36"/>
      <c r="B9" s="36"/>
      <c r="C9" s="37"/>
      <c r="D9" s="36"/>
    </row>
    <row r="10" spans="1:4" x14ac:dyDescent="0.2">
      <c r="A10" s="36"/>
      <c r="B10" s="36"/>
      <c r="C10" s="37"/>
      <c r="D10" s="36"/>
    </row>
    <row r="11" spans="1:4" x14ac:dyDescent="0.2">
      <c r="A11" s="36"/>
      <c r="B11" s="36"/>
      <c r="C11" s="37"/>
      <c r="D11" s="36"/>
    </row>
    <row r="12" spans="1:4" x14ac:dyDescent="0.2">
      <c r="A12" s="36"/>
      <c r="B12" s="36"/>
      <c r="C12" s="37"/>
      <c r="D12" s="36"/>
    </row>
    <row r="13" spans="1:4" x14ac:dyDescent="0.2">
      <c r="A13" s="36"/>
      <c r="B13" s="36"/>
      <c r="C13" s="37"/>
      <c r="D13" s="36"/>
    </row>
    <row r="14" spans="1:4" x14ac:dyDescent="0.2">
      <c r="A14" s="36"/>
      <c r="B14" s="36"/>
      <c r="C14" s="37"/>
      <c r="D14" s="36"/>
    </row>
    <row r="15" spans="1:4" x14ac:dyDescent="0.2">
      <c r="A15" s="36"/>
      <c r="B15" s="36"/>
      <c r="C15" s="37"/>
      <c r="D15" s="36"/>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3"/>
  <sheetViews>
    <sheetView zoomScale="120" zoomScaleNormal="120" workbookViewId="0">
      <selection activeCell="B16" sqref="B16"/>
    </sheetView>
  </sheetViews>
  <sheetFormatPr defaultRowHeight="15" x14ac:dyDescent="0.25"/>
  <cols>
    <col min="1" max="1" width="29" style="43" customWidth="1"/>
    <col min="2" max="2" width="36.5703125" style="43" customWidth="1"/>
    <col min="3" max="3" width="49.7109375" style="43" customWidth="1"/>
    <col min="4" max="4" width="20.42578125" style="43" customWidth="1"/>
    <col min="5" max="5" width="68.7109375" style="43" customWidth="1"/>
    <col min="6" max="16384" width="9.140625" style="43"/>
  </cols>
  <sheetData>
    <row r="1" spans="1:5" s="10" customFormat="1" ht="15.75" x14ac:dyDescent="0.25">
      <c r="A1" s="196" t="s">
        <v>435</v>
      </c>
      <c r="B1" s="196"/>
      <c r="C1" s="196"/>
      <c r="D1" s="196"/>
      <c r="E1" s="196"/>
    </row>
    <row r="2" spans="1:5" s="175" customFormat="1" x14ac:dyDescent="0.2">
      <c r="A2" s="174" t="s">
        <v>436</v>
      </c>
      <c r="B2" s="197"/>
      <c r="C2" s="198"/>
      <c r="D2" s="197"/>
      <c r="E2" s="198"/>
    </row>
    <row r="3" spans="1:5" s="175" customFormat="1" x14ac:dyDescent="0.2">
      <c r="A3" s="174" t="s">
        <v>437</v>
      </c>
      <c r="B3" s="197"/>
      <c r="C3" s="198"/>
      <c r="D3" s="197"/>
      <c r="E3" s="198"/>
    </row>
    <row r="4" spans="1:5" s="175" customFormat="1" x14ac:dyDescent="0.2">
      <c r="A4" s="174" t="s">
        <v>438</v>
      </c>
      <c r="B4" s="197"/>
      <c r="C4" s="198"/>
      <c r="D4" s="197"/>
      <c r="E4" s="198"/>
    </row>
    <row r="5" spans="1:5" s="175" customFormat="1" x14ac:dyDescent="0.2">
      <c r="A5" s="174" t="s">
        <v>439</v>
      </c>
      <c r="B5" s="197"/>
      <c r="C5" s="198"/>
      <c r="D5" s="197"/>
      <c r="E5" s="198"/>
    </row>
    <row r="6" spans="1:5" s="3" customFormat="1" ht="15.75" customHeight="1" x14ac:dyDescent="0.2">
      <c r="A6" s="14" t="s">
        <v>0</v>
      </c>
      <c r="B6" s="195"/>
      <c r="C6" s="195"/>
      <c r="D6" s="14" t="s">
        <v>1</v>
      </c>
      <c r="E6" s="176"/>
    </row>
    <row r="7" spans="1:5" s="3" customFormat="1" ht="25.5" x14ac:dyDescent="0.2">
      <c r="A7" s="14" t="s">
        <v>440</v>
      </c>
      <c r="B7" s="195"/>
      <c r="C7" s="195"/>
      <c r="D7" s="14" t="s">
        <v>2</v>
      </c>
      <c r="E7" s="176"/>
    </row>
    <row r="8" spans="1:5" s="3" customFormat="1" ht="12.75" x14ac:dyDescent="0.2">
      <c r="A8" s="14" t="s">
        <v>3</v>
      </c>
      <c r="B8" s="195"/>
      <c r="C8" s="195"/>
      <c r="D8" s="14" t="s">
        <v>4</v>
      </c>
      <c r="E8" s="176"/>
    </row>
    <row r="9" spans="1:5" s="3" customFormat="1" ht="15.75" customHeight="1" x14ac:dyDescent="0.2">
      <c r="A9" s="14" t="s">
        <v>5</v>
      </c>
      <c r="B9" s="195"/>
      <c r="C9" s="195"/>
      <c r="D9" s="14" t="s">
        <v>6</v>
      </c>
      <c r="E9" s="176"/>
    </row>
    <row r="10" spans="1:5" s="3" customFormat="1" ht="12.75" x14ac:dyDescent="0.2">
      <c r="A10" s="185" t="s">
        <v>7</v>
      </c>
      <c r="B10" s="185" t="s">
        <v>8</v>
      </c>
      <c r="C10" s="185" t="s">
        <v>9</v>
      </c>
      <c r="D10" s="185" t="s">
        <v>10</v>
      </c>
      <c r="E10" s="185" t="s">
        <v>11</v>
      </c>
    </row>
    <row r="11" spans="1:5" s="4" customFormat="1" ht="15.75" x14ac:dyDescent="0.25">
      <c r="A11" s="177" t="s">
        <v>12</v>
      </c>
      <c r="B11" s="178"/>
      <c r="C11" s="178"/>
      <c r="D11" s="178"/>
      <c r="E11" s="178"/>
    </row>
    <row r="12" spans="1:5" s="6" customFormat="1" ht="36" x14ac:dyDescent="0.25">
      <c r="A12" s="179">
        <v>1</v>
      </c>
      <c r="B12" s="179" t="s">
        <v>13</v>
      </c>
      <c r="C12" s="180" t="s">
        <v>441</v>
      </c>
      <c r="D12" s="181"/>
      <c r="E12" s="40"/>
    </row>
    <row r="13" spans="1:5" s="6" customFormat="1" ht="12" x14ac:dyDescent="0.25">
      <c r="A13" s="179">
        <v>2</v>
      </c>
      <c r="B13" s="179" t="s">
        <v>14</v>
      </c>
      <c r="C13" s="180" t="s">
        <v>442</v>
      </c>
      <c r="D13" s="181"/>
      <c r="E13" s="40"/>
    </row>
    <row r="14" spans="1:5" s="6" customFormat="1" ht="12" x14ac:dyDescent="0.25">
      <c r="A14" s="179">
        <v>3</v>
      </c>
      <c r="B14" s="179" t="s">
        <v>15</v>
      </c>
      <c r="C14" s="180" t="s">
        <v>443</v>
      </c>
      <c r="D14" s="181"/>
      <c r="E14" s="40"/>
    </row>
    <row r="15" spans="1:5" s="6" customFormat="1" ht="12" x14ac:dyDescent="0.25">
      <c r="A15" s="179">
        <v>4</v>
      </c>
      <c r="B15" s="179" t="s">
        <v>458</v>
      </c>
      <c r="C15" s="180" t="s">
        <v>16</v>
      </c>
      <c r="D15" s="181"/>
      <c r="E15" s="40"/>
    </row>
    <row r="16" spans="1:5" s="6" customFormat="1" ht="12" x14ac:dyDescent="0.25">
      <c r="A16" s="179">
        <v>5</v>
      </c>
      <c r="B16" s="179" t="s">
        <v>444</v>
      </c>
      <c r="C16" s="180" t="s">
        <v>445</v>
      </c>
      <c r="D16" s="182"/>
      <c r="E16" s="40"/>
    </row>
    <row r="17" spans="1:5" s="6" customFormat="1" ht="24" x14ac:dyDescent="0.25">
      <c r="A17" s="179">
        <v>6</v>
      </c>
      <c r="B17" s="179" t="s">
        <v>17</v>
      </c>
      <c r="C17" s="180" t="s">
        <v>446</v>
      </c>
      <c r="D17" s="182"/>
      <c r="E17" s="40"/>
    </row>
    <row r="18" spans="1:5" s="6" customFormat="1" ht="24" x14ac:dyDescent="0.25">
      <c r="A18" s="179">
        <v>7</v>
      </c>
      <c r="B18" s="179" t="s">
        <v>18</v>
      </c>
      <c r="C18" s="180" t="s">
        <v>447</v>
      </c>
      <c r="D18" s="182"/>
      <c r="E18" s="40"/>
    </row>
    <row r="19" spans="1:5" s="6" customFormat="1" ht="12" x14ac:dyDescent="0.25">
      <c r="A19" s="179">
        <v>8</v>
      </c>
      <c r="B19" s="183" t="s">
        <v>448</v>
      </c>
      <c r="C19" s="184" t="s">
        <v>449</v>
      </c>
      <c r="D19" s="40"/>
      <c r="E19" s="40"/>
    </row>
    <row r="20" spans="1:5" s="6" customFormat="1" ht="24" x14ac:dyDescent="0.25">
      <c r="A20" s="179">
        <v>9</v>
      </c>
      <c r="B20" s="179" t="s">
        <v>450</v>
      </c>
      <c r="C20" s="180" t="s">
        <v>451</v>
      </c>
      <c r="D20" s="181"/>
      <c r="E20" s="40"/>
    </row>
    <row r="21" spans="1:5" s="6" customFormat="1" ht="24" x14ac:dyDescent="0.25">
      <c r="A21" s="179">
        <v>10</v>
      </c>
      <c r="B21" s="179" t="s">
        <v>452</v>
      </c>
      <c r="C21" s="180" t="s">
        <v>453</v>
      </c>
      <c r="D21" s="181"/>
      <c r="E21" s="40"/>
    </row>
    <row r="22" spans="1:5" s="6" customFormat="1" ht="48" x14ac:dyDescent="0.25">
      <c r="A22" s="179">
        <v>11</v>
      </c>
      <c r="B22" s="179" t="s">
        <v>454</v>
      </c>
      <c r="C22" s="180" t="s">
        <v>455</v>
      </c>
      <c r="D22" s="181"/>
      <c r="E22" s="40"/>
    </row>
    <row r="23" spans="1:5" ht="36" x14ac:dyDescent="0.25">
      <c r="A23" s="179">
        <v>12</v>
      </c>
      <c r="B23" s="179" t="s">
        <v>456</v>
      </c>
      <c r="C23" s="180" t="s">
        <v>457</v>
      </c>
      <c r="D23" s="181"/>
      <c r="E23" s="40"/>
    </row>
  </sheetData>
  <mergeCells count="13">
    <mergeCell ref="B9:C9"/>
    <mergeCell ref="A1:E1"/>
    <mergeCell ref="B2:C2"/>
    <mergeCell ref="D2:E2"/>
    <mergeCell ref="B3:C3"/>
    <mergeCell ref="D3:E3"/>
    <mergeCell ref="B4:C4"/>
    <mergeCell ref="D4:E4"/>
    <mergeCell ref="B5:C5"/>
    <mergeCell ref="D5:E5"/>
    <mergeCell ref="B6:C6"/>
    <mergeCell ref="B7:C7"/>
    <mergeCell ref="B8:C8"/>
  </mergeCell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0000000}">
          <x14:formula1>
            <xm:f>'http://sharepoint.corl.local/Lists/CORL Client Requests/Attachments/691/[CORL_Business Owner Questionnaire_2016.11.22.xlsx]Data Validation Key'!#REF!</xm:f>
          </x14:formula1>
          <xm:sqref>D19</xm:sqref>
        </x14:dataValidation>
        <x14:dataValidation type="list" allowBlank="1" showInputMessage="1" showErrorMessage="1" xr:uid="{00000000-0002-0000-0400-000001000000}">
          <x14:formula1>
            <xm:f>'http://sharepoint.corl.local/Lists/CORL Client Requests/Attachments/691/[CORL_Business Owner Questionnaire_2016.11.22.xlsx]Data Validation Key'!#REF!</xm:f>
          </x14:formula1>
          <xm:sqref>D20:D23 D12:D18</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K25"/>
  <sheetViews>
    <sheetView showGridLines="0" zoomScaleNormal="100" workbookViewId="0">
      <selection activeCell="D22" sqref="D22:E22"/>
    </sheetView>
  </sheetViews>
  <sheetFormatPr defaultColWidth="8.85546875" defaultRowHeight="15" customHeight="1" x14ac:dyDescent="0.25"/>
  <cols>
    <col min="1" max="1" width="91" style="43" customWidth="1"/>
    <col min="2" max="3" width="23.140625" style="43" customWidth="1"/>
    <col min="4" max="4" width="8.85546875" style="43"/>
    <col min="5" max="5" width="51.85546875" style="43" customWidth="1"/>
    <col min="6" max="16384" width="8.85546875" style="43"/>
  </cols>
  <sheetData>
    <row r="1" spans="1:11" ht="40.5" customHeight="1" thickBot="1" x14ac:dyDescent="0.3">
      <c r="A1" s="212" t="s">
        <v>462</v>
      </c>
      <c r="B1" s="213"/>
      <c r="C1" s="213"/>
      <c r="D1" s="213"/>
      <c r="E1" s="214"/>
      <c r="K1" s="80"/>
    </row>
    <row r="2" spans="1:11" ht="32.25" customHeight="1" thickTop="1" x14ac:dyDescent="0.25">
      <c r="A2" s="90" t="s">
        <v>416</v>
      </c>
      <c r="B2" s="91"/>
      <c r="C2" s="91"/>
      <c r="D2" s="92"/>
      <c r="E2" s="92"/>
      <c r="F2" s="93"/>
      <c r="G2" s="94"/>
      <c r="K2" s="80"/>
    </row>
    <row r="3" spans="1:11" ht="15" customHeight="1" x14ac:dyDescent="0.25">
      <c r="A3" s="42" t="s">
        <v>474</v>
      </c>
      <c r="B3" s="215" t="s">
        <v>499</v>
      </c>
      <c r="C3" s="215"/>
      <c r="D3" s="14" t="s">
        <v>81</v>
      </c>
      <c r="E3" s="95" t="s">
        <v>476</v>
      </c>
      <c r="F3" s="96"/>
      <c r="G3" s="97"/>
    </row>
    <row r="4" spans="1:11" ht="15" customHeight="1" x14ac:dyDescent="0.25">
      <c r="A4" s="14" t="s">
        <v>245</v>
      </c>
      <c r="B4" s="215" t="s">
        <v>503</v>
      </c>
      <c r="C4" s="215"/>
      <c r="D4" s="14" t="s">
        <v>82</v>
      </c>
      <c r="E4" s="95" t="s">
        <v>477</v>
      </c>
      <c r="F4" s="96"/>
      <c r="G4" s="97"/>
    </row>
    <row r="5" spans="1:11" ht="15" customHeight="1" x14ac:dyDescent="0.25">
      <c r="A5" s="14" t="s">
        <v>3</v>
      </c>
      <c r="B5" s="216" t="s">
        <v>500</v>
      </c>
      <c r="C5" s="215"/>
      <c r="D5" s="14" t="s">
        <v>83</v>
      </c>
      <c r="E5" s="189" t="s">
        <v>501</v>
      </c>
      <c r="F5" s="96"/>
      <c r="G5" s="97"/>
    </row>
    <row r="6" spans="1:11" ht="15" customHeight="1" x14ac:dyDescent="0.25">
      <c r="A6" s="14" t="s">
        <v>84</v>
      </c>
      <c r="B6" s="217">
        <v>43371</v>
      </c>
      <c r="C6" s="218"/>
      <c r="D6" s="14" t="s">
        <v>85</v>
      </c>
      <c r="E6" s="95" t="s">
        <v>502</v>
      </c>
      <c r="F6" s="96"/>
      <c r="G6" s="97"/>
    </row>
    <row r="7" spans="1:11" ht="15.75" x14ac:dyDescent="0.25">
      <c r="A7" s="219" t="s">
        <v>100</v>
      </c>
      <c r="B7" s="220"/>
      <c r="C7" s="220"/>
      <c r="D7" s="220"/>
      <c r="E7" s="220"/>
      <c r="F7" s="98"/>
    </row>
    <row r="8" spans="1:11" ht="36" x14ac:dyDescent="0.25">
      <c r="A8" s="99" t="s">
        <v>351</v>
      </c>
      <c r="B8" s="99" t="s">
        <v>10</v>
      </c>
      <c r="C8" s="99" t="s">
        <v>352</v>
      </c>
      <c r="D8" s="221" t="s">
        <v>353</v>
      </c>
      <c r="E8" s="222"/>
      <c r="F8" s="98"/>
    </row>
    <row r="9" spans="1:11" ht="15.75" x14ac:dyDescent="0.25">
      <c r="A9" s="100"/>
      <c r="B9" s="100"/>
      <c r="C9" s="101"/>
      <c r="D9" s="223"/>
      <c r="E9" s="224"/>
      <c r="F9" s="98"/>
    </row>
    <row r="10" spans="1:11" ht="15.75" x14ac:dyDescent="0.25">
      <c r="A10" s="102" t="s">
        <v>463</v>
      </c>
      <c r="B10" s="103" t="s">
        <v>30</v>
      </c>
      <c r="C10" s="104" t="s">
        <v>30</v>
      </c>
      <c r="D10" s="201"/>
      <c r="E10" s="202"/>
      <c r="F10" s="98"/>
    </row>
    <row r="11" spans="1:11" ht="15.75" x14ac:dyDescent="0.25">
      <c r="A11" s="105" t="s">
        <v>354</v>
      </c>
      <c r="B11" s="103" t="s">
        <v>476</v>
      </c>
      <c r="C11" s="104" t="s">
        <v>30</v>
      </c>
      <c r="D11" s="201"/>
      <c r="E11" s="202"/>
      <c r="F11" s="98"/>
    </row>
    <row r="12" spans="1:11" ht="31.5" x14ac:dyDescent="0.25">
      <c r="A12" s="105" t="s">
        <v>355</v>
      </c>
      <c r="B12" s="103" t="s">
        <v>477</v>
      </c>
      <c r="C12" s="104" t="s">
        <v>30</v>
      </c>
      <c r="D12" s="201"/>
      <c r="E12" s="202"/>
      <c r="F12" s="98"/>
    </row>
    <row r="13" spans="1:11" ht="15.75" x14ac:dyDescent="0.25">
      <c r="A13" s="105" t="s">
        <v>356</v>
      </c>
      <c r="B13" s="103" t="s">
        <v>478</v>
      </c>
      <c r="C13" s="104" t="s">
        <v>30</v>
      </c>
      <c r="D13" s="201"/>
      <c r="E13" s="202"/>
      <c r="F13" s="98"/>
    </row>
    <row r="14" spans="1:11" ht="15.75" x14ac:dyDescent="0.25">
      <c r="A14" s="102" t="s">
        <v>464</v>
      </c>
      <c r="B14" s="103" t="s">
        <v>39</v>
      </c>
      <c r="C14" s="104" t="s">
        <v>30</v>
      </c>
      <c r="D14" s="201"/>
      <c r="E14" s="202"/>
      <c r="F14" s="98"/>
    </row>
    <row r="15" spans="1:11" ht="15.75" x14ac:dyDescent="0.25">
      <c r="A15" s="106" t="s">
        <v>357</v>
      </c>
      <c r="B15" s="103"/>
      <c r="C15" s="104" t="s">
        <v>30</v>
      </c>
      <c r="D15" s="201"/>
      <c r="E15" s="203"/>
    </row>
    <row r="16" spans="1:11" ht="31.5" x14ac:dyDescent="0.25">
      <c r="A16" s="102" t="s">
        <v>465</v>
      </c>
      <c r="B16" s="103" t="s">
        <v>39</v>
      </c>
      <c r="C16" s="104" t="s">
        <v>30</v>
      </c>
      <c r="D16" s="201"/>
      <c r="E16" s="203"/>
    </row>
    <row r="17" spans="1:5" ht="31.5" x14ac:dyDescent="0.25">
      <c r="A17" s="102" t="s">
        <v>475</v>
      </c>
      <c r="B17" s="103" t="s">
        <v>30</v>
      </c>
      <c r="C17" s="103" t="s">
        <v>30</v>
      </c>
      <c r="D17" s="204" t="s">
        <v>508</v>
      </c>
      <c r="E17" s="205"/>
    </row>
    <row r="18" spans="1:5" ht="31.5" x14ac:dyDescent="0.25">
      <c r="A18" s="102" t="s">
        <v>466</v>
      </c>
      <c r="B18" s="103" t="s">
        <v>30</v>
      </c>
      <c r="C18" s="103" t="s">
        <v>30</v>
      </c>
      <c r="D18" s="204"/>
      <c r="E18" s="205"/>
    </row>
    <row r="19" spans="1:5" ht="31.5" x14ac:dyDescent="0.25">
      <c r="A19" s="102" t="s">
        <v>417</v>
      </c>
      <c r="B19" s="103" t="s">
        <v>30</v>
      </c>
      <c r="C19" s="103" t="s">
        <v>30</v>
      </c>
      <c r="D19" s="204" t="s">
        <v>507</v>
      </c>
      <c r="E19" s="205"/>
    </row>
    <row r="20" spans="1:5" ht="15.75" x14ac:dyDescent="0.25">
      <c r="A20" s="102" t="s">
        <v>467</v>
      </c>
      <c r="B20" s="186">
        <v>36164</v>
      </c>
      <c r="C20" s="103" t="s">
        <v>30</v>
      </c>
      <c r="D20" s="204"/>
      <c r="E20" s="205"/>
    </row>
    <row r="21" spans="1:5" ht="15.75" x14ac:dyDescent="0.25">
      <c r="A21" s="102" t="s">
        <v>468</v>
      </c>
      <c r="B21" s="103" t="s">
        <v>479</v>
      </c>
      <c r="C21" s="103" t="s">
        <v>30</v>
      </c>
      <c r="D21" s="204"/>
      <c r="E21" s="205"/>
    </row>
    <row r="22" spans="1:5" ht="31.5" x14ac:dyDescent="0.25">
      <c r="A22" s="107" t="s">
        <v>469</v>
      </c>
      <c r="B22" s="108" t="s">
        <v>39</v>
      </c>
      <c r="C22" s="103" t="s">
        <v>30</v>
      </c>
      <c r="D22" s="206"/>
      <c r="E22" s="207"/>
    </row>
    <row r="23" spans="1:5" ht="15.75" x14ac:dyDescent="0.25">
      <c r="A23" s="102" t="s">
        <v>358</v>
      </c>
      <c r="B23" s="187" t="s">
        <v>30</v>
      </c>
      <c r="C23" s="103" t="s">
        <v>30</v>
      </c>
      <c r="D23" s="208"/>
      <c r="E23" s="209"/>
    </row>
    <row r="24" spans="1:5" ht="31.5" x14ac:dyDescent="0.25">
      <c r="A24" s="109" t="s">
        <v>470</v>
      </c>
      <c r="B24" s="110" t="s">
        <v>39</v>
      </c>
      <c r="C24" s="111" t="s">
        <v>30</v>
      </c>
      <c r="D24" s="210"/>
      <c r="E24" s="211"/>
    </row>
    <row r="25" spans="1:5" ht="53.25" customHeight="1" thickBot="1" x14ac:dyDescent="0.3">
      <c r="A25" s="112" t="s">
        <v>418</v>
      </c>
      <c r="B25" s="188" t="s">
        <v>480</v>
      </c>
      <c r="C25" s="164" t="s">
        <v>56</v>
      </c>
      <c r="D25" s="199"/>
      <c r="E25" s="200"/>
    </row>
  </sheetData>
  <sheetProtection algorithmName="SHA-512" hashValue="CSLlXgKLUp3uvfA8K+EJnfSKcMMs4/lpsH57yVG4HQHaEZZihvlzhyobZOYQgXtH7z85j3jm5m3q9igdfGQT6Q==" saltValue="x7+GUwNeBA8PB1qTwJ7QvQ==" spinCount="100000" sheet="1" objects="1" scenarios="1" selectLockedCells="1"/>
  <mergeCells count="24">
    <mergeCell ref="D13:E13"/>
    <mergeCell ref="A1:E1"/>
    <mergeCell ref="B3:C3"/>
    <mergeCell ref="B4:C4"/>
    <mergeCell ref="B5:C5"/>
    <mergeCell ref="B6:C6"/>
    <mergeCell ref="A7:E7"/>
    <mergeCell ref="D8:E8"/>
    <mergeCell ref="D9:E9"/>
    <mergeCell ref="D10:E10"/>
    <mergeCell ref="D11:E11"/>
    <mergeCell ref="D12:E12"/>
    <mergeCell ref="D25:E25"/>
    <mergeCell ref="D14:E14"/>
    <mergeCell ref="D15:E15"/>
    <mergeCell ref="D16:E16"/>
    <mergeCell ref="D17:E17"/>
    <mergeCell ref="D18:E18"/>
    <mergeCell ref="D19:E19"/>
    <mergeCell ref="D20:E20"/>
    <mergeCell ref="D21:E21"/>
    <mergeCell ref="D22:E22"/>
    <mergeCell ref="D23:E23"/>
    <mergeCell ref="D24:E24"/>
  </mergeCells>
  <dataValidations count="2">
    <dataValidation type="list" allowBlank="1" showInputMessage="1" showErrorMessage="1" sqref="B10 B14 B16:B19 B22:B24" xr:uid="{00000000-0002-0000-0500-000000000000}">
      <formula1>"Yes, No"</formula1>
    </dataValidation>
    <dataValidation type="list" showInputMessage="1" showErrorMessage="1" sqref="C10:C24" xr:uid="{00000000-0002-0000-0500-000001000000}">
      <formula1>"Yes, No"</formula1>
    </dataValidation>
  </dataValidations>
  <pageMargins left="0.7" right="0.7" top="0.75" bottom="0.75" header="0.3" footer="0.3"/>
  <pageSetup orientation="portrait" horizontalDpi="4294967292" verticalDpi="4294967292"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O51"/>
  <sheetViews>
    <sheetView showGridLines="0" topLeftCell="A13" zoomScale="80" zoomScaleNormal="80" workbookViewId="0">
      <selection activeCell="B4" sqref="B4"/>
    </sheetView>
  </sheetViews>
  <sheetFormatPr defaultColWidth="9" defaultRowHeight="15" x14ac:dyDescent="0.25"/>
  <cols>
    <col min="1" max="1" width="61.140625" style="43" customWidth="1"/>
    <col min="2" max="2" width="15.7109375" style="43" customWidth="1"/>
    <col min="3" max="3" width="26.7109375" style="43" customWidth="1"/>
    <col min="4" max="4" width="15.7109375" style="43" customWidth="1"/>
    <col min="5" max="5" width="26.7109375" style="43" customWidth="1"/>
    <col min="6" max="6" width="15.7109375" style="43" customWidth="1"/>
    <col min="7" max="7" width="26.7109375" style="43" customWidth="1"/>
    <col min="8" max="8" width="21.85546875" style="43" bestFit="1" customWidth="1"/>
    <col min="9" max="16384" width="9" style="43"/>
  </cols>
  <sheetData>
    <row r="1" spans="1:15" ht="18.75" thickBot="1" x14ac:dyDescent="0.3">
      <c r="A1" s="233" t="s">
        <v>359</v>
      </c>
      <c r="B1" s="234"/>
      <c r="C1" s="234"/>
      <c r="D1" s="234"/>
      <c r="E1" s="234"/>
      <c r="F1" s="234"/>
      <c r="G1" s="234"/>
    </row>
    <row r="2" spans="1:15" ht="21.75" customHeight="1" x14ac:dyDescent="0.3">
      <c r="A2" s="235" t="s">
        <v>420</v>
      </c>
      <c r="B2" s="237" t="s">
        <v>360</v>
      </c>
      <c r="C2" s="238"/>
      <c r="D2" s="237" t="s">
        <v>361</v>
      </c>
      <c r="E2" s="238"/>
      <c r="F2" s="237" t="s">
        <v>362</v>
      </c>
      <c r="G2" s="238"/>
    </row>
    <row r="3" spans="1:15" ht="43.5" customHeight="1" x14ac:dyDescent="0.25">
      <c r="A3" s="236"/>
      <c r="B3" s="113" t="s">
        <v>10</v>
      </c>
      <c r="C3" s="114" t="s">
        <v>363</v>
      </c>
      <c r="D3" s="115" t="s">
        <v>10</v>
      </c>
      <c r="E3" s="116" t="s">
        <v>353</v>
      </c>
      <c r="F3" s="115" t="s">
        <v>10</v>
      </c>
      <c r="G3" s="116" t="s">
        <v>353</v>
      </c>
    </row>
    <row r="4" spans="1:15" ht="95.25" thickBot="1" x14ac:dyDescent="0.3">
      <c r="A4" s="117" t="s">
        <v>364</v>
      </c>
      <c r="B4" s="118" t="s">
        <v>481</v>
      </c>
      <c r="C4" s="119" t="s">
        <v>482</v>
      </c>
      <c r="D4" s="118"/>
      <c r="E4" s="120"/>
      <c r="F4" s="118"/>
      <c r="G4" s="120"/>
      <c r="I4" s="80"/>
      <c r="O4" s="80"/>
    </row>
    <row r="5" spans="1:15" ht="31.5" customHeight="1" x14ac:dyDescent="0.25">
      <c r="A5" s="121" t="s">
        <v>365</v>
      </c>
      <c r="B5" s="231"/>
      <c r="C5" s="232"/>
      <c r="D5" s="232"/>
      <c r="E5" s="232"/>
      <c r="F5" s="232"/>
      <c r="G5" s="232"/>
    </row>
    <row r="6" spans="1:15" ht="15.75" x14ac:dyDescent="0.25">
      <c r="A6" s="122" t="s">
        <v>366</v>
      </c>
      <c r="B6" s="123" t="s">
        <v>39</v>
      </c>
      <c r="C6" s="124"/>
      <c r="D6" s="123"/>
      <c r="E6" s="124"/>
      <c r="F6" s="123"/>
      <c r="G6" s="124"/>
    </row>
    <row r="7" spans="1:15" ht="16.5" thickBot="1" x14ac:dyDescent="0.3">
      <c r="A7" s="125" t="s">
        <v>367</v>
      </c>
      <c r="B7" s="126" t="s">
        <v>30</v>
      </c>
      <c r="C7" s="127"/>
      <c r="D7" s="126"/>
      <c r="E7" s="127"/>
      <c r="F7" s="126"/>
      <c r="G7" s="127"/>
    </row>
    <row r="8" spans="1:15" ht="315.75" thickBot="1" x14ac:dyDescent="0.3">
      <c r="A8" s="128" t="s">
        <v>421</v>
      </c>
      <c r="B8" s="129" t="s">
        <v>483</v>
      </c>
      <c r="C8" s="130"/>
      <c r="D8" s="129"/>
      <c r="E8" s="130"/>
      <c r="F8" s="129"/>
      <c r="G8" s="130"/>
    </row>
    <row r="9" spans="1:15" ht="31.5" customHeight="1" x14ac:dyDescent="0.25">
      <c r="A9" s="121" t="s">
        <v>368</v>
      </c>
      <c r="B9" s="225" t="s">
        <v>369</v>
      </c>
      <c r="C9" s="226"/>
      <c r="D9" s="226"/>
      <c r="E9" s="226"/>
      <c r="F9" s="226"/>
      <c r="G9" s="227"/>
    </row>
    <row r="10" spans="1:15" ht="78.75" x14ac:dyDescent="0.25">
      <c r="A10" s="122" t="s">
        <v>422</v>
      </c>
      <c r="B10" s="123" t="s">
        <v>30</v>
      </c>
      <c r="C10" s="124" t="s">
        <v>484</v>
      </c>
      <c r="D10" s="123"/>
      <c r="E10" s="124"/>
      <c r="F10" s="123"/>
      <c r="G10" s="124"/>
    </row>
    <row r="11" spans="1:15" ht="126" x14ac:dyDescent="0.25">
      <c r="A11" s="122" t="s">
        <v>423</v>
      </c>
      <c r="B11" s="123" t="s">
        <v>30</v>
      </c>
      <c r="C11" s="132" t="s">
        <v>485</v>
      </c>
      <c r="D11" s="131"/>
      <c r="E11" s="132"/>
      <c r="F11" s="131"/>
      <c r="G11" s="132"/>
    </row>
    <row r="12" spans="1:15" ht="47.25" x14ac:dyDescent="0.25">
      <c r="A12" s="122" t="s">
        <v>424</v>
      </c>
      <c r="B12" s="123" t="s">
        <v>39</v>
      </c>
      <c r="C12" s="132" t="s">
        <v>486</v>
      </c>
      <c r="D12" s="131"/>
      <c r="E12" s="132"/>
      <c r="F12" s="131"/>
      <c r="G12" s="132"/>
    </row>
    <row r="13" spans="1:15" ht="63" x14ac:dyDescent="0.25">
      <c r="A13" s="122" t="s">
        <v>425</v>
      </c>
      <c r="B13" s="123" t="s">
        <v>30</v>
      </c>
      <c r="C13" s="132" t="s">
        <v>487</v>
      </c>
      <c r="D13" s="131"/>
      <c r="E13" s="132"/>
      <c r="F13" s="131"/>
      <c r="G13" s="132"/>
    </row>
    <row r="14" spans="1:15" ht="15.75" x14ac:dyDescent="0.25">
      <c r="A14" s="122" t="s">
        <v>426</v>
      </c>
      <c r="B14" s="123" t="s">
        <v>30</v>
      </c>
      <c r="C14" s="132" t="s">
        <v>488</v>
      </c>
      <c r="D14" s="131"/>
      <c r="E14" s="132"/>
      <c r="F14" s="131"/>
      <c r="G14" s="132"/>
    </row>
    <row r="15" spans="1:15" ht="16.5" thickBot="1" x14ac:dyDescent="0.3">
      <c r="A15" s="125" t="s">
        <v>427</v>
      </c>
      <c r="B15" s="123" t="s">
        <v>39</v>
      </c>
      <c r="C15" s="127"/>
      <c r="D15" s="126"/>
      <c r="E15" s="127"/>
      <c r="F15" s="126"/>
      <c r="G15" s="127"/>
    </row>
    <row r="16" spans="1:15" ht="31.5" customHeight="1" x14ac:dyDescent="0.25">
      <c r="A16" s="121" t="s">
        <v>428</v>
      </c>
      <c r="B16" s="225" t="s">
        <v>369</v>
      </c>
      <c r="C16" s="226"/>
      <c r="D16" s="226"/>
      <c r="E16" s="226"/>
      <c r="F16" s="226"/>
      <c r="G16" s="227"/>
    </row>
    <row r="17" spans="1:7" ht="47.25" x14ac:dyDescent="0.25">
      <c r="A17" s="122" t="s">
        <v>86</v>
      </c>
      <c r="B17" s="133" t="s">
        <v>30</v>
      </c>
      <c r="C17" s="134" t="s">
        <v>489</v>
      </c>
      <c r="D17" s="123"/>
      <c r="E17" s="124"/>
      <c r="F17" s="123"/>
      <c r="G17" s="124"/>
    </row>
    <row r="18" spans="1:7" ht="15.75" x14ac:dyDescent="0.25">
      <c r="A18" s="122" t="s">
        <v>87</v>
      </c>
      <c r="B18" s="133" t="s">
        <v>39</v>
      </c>
      <c r="C18" s="135"/>
      <c r="D18" s="131"/>
      <c r="E18" s="132"/>
      <c r="F18" s="131"/>
      <c r="G18" s="132"/>
    </row>
    <row r="19" spans="1:7" ht="15.75" x14ac:dyDescent="0.25">
      <c r="A19" s="122" t="s">
        <v>88</v>
      </c>
      <c r="B19" s="133" t="s">
        <v>39</v>
      </c>
      <c r="C19" s="132"/>
      <c r="D19" s="131"/>
      <c r="E19" s="132"/>
      <c r="F19" s="131"/>
      <c r="G19" s="132"/>
    </row>
    <row r="20" spans="1:7" ht="15.75" x14ac:dyDescent="0.25">
      <c r="A20" s="122" t="s">
        <v>89</v>
      </c>
      <c r="B20" s="133" t="s">
        <v>39</v>
      </c>
      <c r="C20" s="132"/>
      <c r="D20" s="131"/>
      <c r="E20" s="132"/>
      <c r="F20" s="136"/>
      <c r="G20" s="137"/>
    </row>
    <row r="21" spans="1:7" ht="32.25" thickBot="1" x14ac:dyDescent="0.3">
      <c r="A21" s="125" t="s">
        <v>429</v>
      </c>
      <c r="B21" s="133" t="s">
        <v>39</v>
      </c>
      <c r="C21" s="127"/>
      <c r="D21" s="126"/>
      <c r="E21" s="127"/>
      <c r="F21" s="138"/>
      <c r="G21" s="139"/>
    </row>
    <row r="22" spans="1:7" ht="47.25" customHeight="1" x14ac:dyDescent="0.25">
      <c r="A22" s="121" t="s">
        <v>430</v>
      </c>
      <c r="B22" s="225" t="s">
        <v>369</v>
      </c>
      <c r="C22" s="226"/>
      <c r="D22" s="226"/>
      <c r="E22" s="226"/>
      <c r="F22" s="226"/>
      <c r="G22" s="227"/>
    </row>
    <row r="23" spans="1:7" ht="157.5" x14ac:dyDescent="0.25">
      <c r="A23" s="122" t="s">
        <v>370</v>
      </c>
      <c r="B23" s="123" t="s">
        <v>30</v>
      </c>
      <c r="C23" s="124" t="s">
        <v>490</v>
      </c>
      <c r="D23" s="123"/>
      <c r="E23" s="124"/>
      <c r="F23" s="123"/>
      <c r="G23" s="124"/>
    </row>
    <row r="24" spans="1:7" ht="15.75" x14ac:dyDescent="0.25">
      <c r="A24" s="122" t="s">
        <v>371</v>
      </c>
      <c r="B24" s="131" t="s">
        <v>39</v>
      </c>
      <c r="C24" s="132"/>
      <c r="D24" s="131"/>
      <c r="E24" s="132"/>
      <c r="F24" s="131" t="s">
        <v>372</v>
      </c>
      <c r="G24" s="132"/>
    </row>
    <row r="25" spans="1:7" ht="110.25" x14ac:dyDescent="0.25">
      <c r="A25" s="122" t="s">
        <v>373</v>
      </c>
      <c r="B25" s="131" t="s">
        <v>30</v>
      </c>
      <c r="C25" s="132" t="s">
        <v>491</v>
      </c>
      <c r="D25" s="131"/>
      <c r="E25" s="132"/>
      <c r="F25" s="131"/>
      <c r="G25" s="132"/>
    </row>
    <row r="26" spans="1:7" ht="16.5" thickBot="1" x14ac:dyDescent="0.3">
      <c r="A26" s="125" t="s">
        <v>374</v>
      </c>
      <c r="B26" s="126" t="s">
        <v>39</v>
      </c>
      <c r="C26" s="127"/>
      <c r="D26" s="126"/>
      <c r="E26" s="127"/>
      <c r="F26" s="138"/>
      <c r="G26" s="139"/>
    </row>
    <row r="27" spans="1:7" ht="31.5" customHeight="1" x14ac:dyDescent="0.25">
      <c r="A27" s="121" t="s">
        <v>375</v>
      </c>
      <c r="B27" s="225" t="s">
        <v>369</v>
      </c>
      <c r="C27" s="226"/>
      <c r="D27" s="226"/>
      <c r="E27" s="226"/>
      <c r="F27" s="226"/>
      <c r="G27" s="227"/>
    </row>
    <row r="28" spans="1:7" ht="126" x14ac:dyDescent="0.25">
      <c r="A28" s="122" t="s">
        <v>431</v>
      </c>
      <c r="B28" s="123" t="s">
        <v>30</v>
      </c>
      <c r="C28" s="124" t="s">
        <v>492</v>
      </c>
      <c r="D28" s="123"/>
      <c r="E28" s="124"/>
      <c r="F28" s="123"/>
      <c r="G28" s="124"/>
    </row>
    <row r="29" spans="1:7" ht="15.75" x14ac:dyDescent="0.25">
      <c r="A29" s="122" t="s">
        <v>471</v>
      </c>
      <c r="B29" s="131" t="s">
        <v>39</v>
      </c>
      <c r="C29" s="132"/>
      <c r="D29" s="131"/>
      <c r="E29" s="132"/>
      <c r="F29" s="131"/>
      <c r="G29" s="132"/>
    </row>
    <row r="30" spans="1:7" ht="15.75" x14ac:dyDescent="0.25">
      <c r="A30" s="122" t="s">
        <v>376</v>
      </c>
      <c r="B30" s="131" t="s">
        <v>39</v>
      </c>
      <c r="C30" s="132"/>
      <c r="D30" s="131"/>
      <c r="E30" s="132"/>
      <c r="F30" s="131"/>
      <c r="G30" s="132"/>
    </row>
    <row r="31" spans="1:7" ht="15.75" x14ac:dyDescent="0.25">
      <c r="A31" s="122" t="s">
        <v>370</v>
      </c>
      <c r="B31" s="131" t="s">
        <v>39</v>
      </c>
      <c r="C31" s="132"/>
      <c r="D31" s="131"/>
      <c r="E31" s="132"/>
      <c r="F31" s="131"/>
      <c r="G31" s="132"/>
    </row>
    <row r="32" spans="1:7" ht="15.75" x14ac:dyDescent="0.25">
      <c r="A32" s="122" t="s">
        <v>371</v>
      </c>
      <c r="B32" s="131" t="s">
        <v>39</v>
      </c>
      <c r="C32" s="132"/>
      <c r="D32" s="131"/>
      <c r="E32" s="132"/>
      <c r="F32" s="131"/>
      <c r="G32" s="132"/>
    </row>
    <row r="33" spans="1:9" ht="15.75" x14ac:dyDescent="0.25">
      <c r="A33" s="122" t="s">
        <v>373</v>
      </c>
      <c r="B33" s="131" t="s">
        <v>39</v>
      </c>
      <c r="C33" s="132"/>
      <c r="D33" s="131"/>
      <c r="E33" s="132"/>
      <c r="F33" s="131"/>
      <c r="G33" s="132"/>
    </row>
    <row r="34" spans="1:9" ht="16.5" thickBot="1" x14ac:dyDescent="0.3">
      <c r="A34" s="125" t="s">
        <v>377</v>
      </c>
      <c r="B34" s="126" t="s">
        <v>39</v>
      </c>
      <c r="C34" s="127"/>
      <c r="D34" s="126"/>
      <c r="E34" s="127"/>
      <c r="F34" s="138"/>
      <c r="G34" s="139"/>
    </row>
    <row r="35" spans="1:9" ht="31.5" x14ac:dyDescent="0.25">
      <c r="A35" s="121" t="s">
        <v>378</v>
      </c>
      <c r="B35" s="228"/>
      <c r="C35" s="229"/>
      <c r="D35" s="229"/>
      <c r="E35" s="229"/>
      <c r="F35" s="229"/>
      <c r="G35" s="230"/>
    </row>
    <row r="36" spans="1:9" ht="16.5" thickBot="1" x14ac:dyDescent="0.3">
      <c r="A36" s="122" t="s">
        <v>379</v>
      </c>
      <c r="B36" s="126" t="s">
        <v>39</v>
      </c>
      <c r="C36" s="124"/>
      <c r="D36" s="123"/>
      <c r="E36" s="124"/>
      <c r="F36" s="123"/>
      <c r="G36" s="124"/>
      <c r="I36" s="140"/>
    </row>
    <row r="37" spans="1:9" ht="16.5" thickBot="1" x14ac:dyDescent="0.3">
      <c r="A37" s="122" t="s">
        <v>380</v>
      </c>
      <c r="B37" s="126" t="s">
        <v>39</v>
      </c>
      <c r="C37" s="132"/>
      <c r="D37" s="131"/>
      <c r="E37" s="132"/>
      <c r="F37" s="131"/>
      <c r="G37" s="132"/>
    </row>
    <row r="38" spans="1:9" ht="16.5" thickBot="1" x14ac:dyDescent="0.3">
      <c r="A38" s="122" t="s">
        <v>381</v>
      </c>
      <c r="B38" s="126" t="s">
        <v>39</v>
      </c>
      <c r="C38" s="132"/>
      <c r="D38" s="131"/>
      <c r="E38" s="132"/>
      <c r="F38" s="131"/>
      <c r="G38" s="132"/>
    </row>
    <row r="39" spans="1:9" ht="16.5" thickBot="1" x14ac:dyDescent="0.3">
      <c r="A39" s="122" t="s">
        <v>382</v>
      </c>
      <c r="B39" s="126" t="s">
        <v>39</v>
      </c>
      <c r="C39" s="132"/>
      <c r="D39" s="131"/>
      <c r="E39" s="132"/>
      <c r="F39" s="131"/>
      <c r="G39" s="132"/>
    </row>
    <row r="40" spans="1:9" ht="16.5" thickBot="1" x14ac:dyDescent="0.3">
      <c r="A40" s="122" t="s">
        <v>383</v>
      </c>
      <c r="B40" s="126" t="s">
        <v>39</v>
      </c>
      <c r="C40" s="132"/>
      <c r="D40" s="131"/>
      <c r="E40" s="132"/>
      <c r="F40" s="131"/>
      <c r="G40" s="132"/>
    </row>
    <row r="41" spans="1:9" ht="16.5" thickBot="1" x14ac:dyDescent="0.3">
      <c r="A41" s="122" t="s">
        <v>90</v>
      </c>
      <c r="B41" s="126" t="s">
        <v>39</v>
      </c>
      <c r="C41" s="132"/>
      <c r="D41" s="131"/>
      <c r="E41" s="132"/>
      <c r="F41" s="131"/>
      <c r="G41" s="132"/>
    </row>
    <row r="42" spans="1:9" ht="16.5" thickBot="1" x14ac:dyDescent="0.3">
      <c r="A42" s="122" t="s">
        <v>91</v>
      </c>
      <c r="B42" s="126" t="s">
        <v>39</v>
      </c>
      <c r="C42" s="132"/>
      <c r="D42" s="131"/>
      <c r="E42" s="132"/>
      <c r="F42" s="131"/>
      <c r="G42" s="132"/>
    </row>
    <row r="43" spans="1:9" ht="16.5" thickBot="1" x14ac:dyDescent="0.3">
      <c r="A43" s="122" t="s">
        <v>384</v>
      </c>
      <c r="B43" s="126" t="s">
        <v>39</v>
      </c>
      <c r="C43" s="132"/>
      <c r="D43" s="131"/>
      <c r="E43" s="132"/>
      <c r="F43" s="131"/>
      <c r="G43" s="132"/>
    </row>
    <row r="44" spans="1:9" ht="16.5" thickBot="1" x14ac:dyDescent="0.3">
      <c r="A44" s="122" t="s">
        <v>93</v>
      </c>
      <c r="B44" s="126" t="s">
        <v>39</v>
      </c>
      <c r="C44" s="132"/>
      <c r="D44" s="131"/>
      <c r="E44" s="132"/>
      <c r="F44" s="131"/>
      <c r="G44" s="132"/>
    </row>
    <row r="45" spans="1:9" ht="141.75" x14ac:dyDescent="0.25">
      <c r="A45" s="122" t="s">
        <v>94</v>
      </c>
      <c r="B45" s="123" t="s">
        <v>30</v>
      </c>
      <c r="C45" s="132" t="s">
        <v>493</v>
      </c>
      <c r="D45" s="131"/>
      <c r="E45" s="132"/>
      <c r="F45" s="131"/>
      <c r="G45" s="132"/>
    </row>
    <row r="46" spans="1:9" ht="78.75" x14ac:dyDescent="0.25">
      <c r="A46" s="122" t="s">
        <v>95</v>
      </c>
      <c r="B46" s="123" t="s">
        <v>39</v>
      </c>
      <c r="C46" s="132" t="s">
        <v>494</v>
      </c>
      <c r="D46" s="131"/>
      <c r="E46" s="132"/>
      <c r="F46" s="131"/>
      <c r="G46" s="132"/>
    </row>
    <row r="47" spans="1:9" ht="16.5" thickBot="1" x14ac:dyDescent="0.3">
      <c r="A47" s="125" t="s">
        <v>96</v>
      </c>
      <c r="B47" s="126" t="s">
        <v>39</v>
      </c>
      <c r="C47" s="127"/>
      <c r="D47" s="126"/>
      <c r="E47" s="127"/>
      <c r="F47" s="126"/>
      <c r="G47" s="127"/>
    </row>
    <row r="48" spans="1:9" ht="48" thickBot="1" x14ac:dyDescent="0.3">
      <c r="A48" s="128" t="s">
        <v>432</v>
      </c>
      <c r="B48" s="129" t="s">
        <v>39</v>
      </c>
      <c r="C48" s="141"/>
      <c r="D48" s="129"/>
      <c r="E48" s="141"/>
      <c r="F48" s="129"/>
      <c r="G48" s="141"/>
    </row>
    <row r="49" spans="1:7" ht="158.25" thickBot="1" x14ac:dyDescent="0.3">
      <c r="A49" s="142" t="s">
        <v>433</v>
      </c>
      <c r="B49" s="143" t="s">
        <v>39</v>
      </c>
      <c r="C49" s="144" t="s">
        <v>495</v>
      </c>
      <c r="D49" s="143"/>
      <c r="E49" s="144"/>
      <c r="F49" s="143"/>
      <c r="G49" s="144"/>
    </row>
    <row r="50" spans="1:7" ht="63.75" thickBot="1" x14ac:dyDescent="0.3">
      <c r="A50" s="145" t="s">
        <v>472</v>
      </c>
      <c r="B50" s="129" t="s">
        <v>30</v>
      </c>
      <c r="C50" s="141"/>
      <c r="D50" s="129"/>
      <c r="E50" s="141"/>
      <c r="F50" s="129"/>
      <c r="G50" s="141"/>
    </row>
    <row r="51" spans="1:7" ht="79.5" thickBot="1" x14ac:dyDescent="0.3">
      <c r="A51" s="146" t="s">
        <v>473</v>
      </c>
      <c r="B51" s="129" t="s">
        <v>30</v>
      </c>
      <c r="C51" s="141"/>
      <c r="D51" s="129" t="s">
        <v>30</v>
      </c>
      <c r="E51" s="141"/>
      <c r="F51" s="129" t="s">
        <v>30</v>
      </c>
      <c r="G51" s="141"/>
    </row>
  </sheetData>
  <sheetProtection algorithmName="SHA-512" hashValue="wZ+vGrymmDYOxRJtxuoJKF63SceXdnJ7ujDW14tZBtBxRE4uus4cvTYTqaDuREcpxy5qW09QUmb9qOmDmlS1Jg==" saltValue="yAyXizNhz4emIYSwt55GIQ==" spinCount="100000" sheet="1" objects="1" scenarios="1" selectLockedCells="1"/>
  <mergeCells count="11">
    <mergeCell ref="B5:G5"/>
    <mergeCell ref="A1:G1"/>
    <mergeCell ref="A2:A3"/>
    <mergeCell ref="B2:C2"/>
    <mergeCell ref="D2:E2"/>
    <mergeCell ref="F2:G2"/>
    <mergeCell ref="B9:G9"/>
    <mergeCell ref="B16:G16"/>
    <mergeCell ref="B22:G22"/>
    <mergeCell ref="B27:G27"/>
    <mergeCell ref="B35:G35"/>
  </mergeCells>
  <dataValidations count="2">
    <dataValidation type="list" showInputMessage="1" showErrorMessage="1" sqref="D6:D7 B10:B15 B17:B21 B23:B26 B28:B34 B36:B51 D36:D51 D28:D34 D23:D26 D17:D21 D10:D15 F6:F7 F10:F15 F17:F21 F23:F26 F28:F34 F36:F51 B6:B7" xr:uid="{00000000-0002-0000-0600-000000000000}">
      <formula1>"Yes, No"</formula1>
    </dataValidation>
    <dataValidation showInputMessage="1" showErrorMessage="1" sqref="B8 D8 F8" xr:uid="{00000000-0002-0000-0600-000001000000}"/>
  </dataValidation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C2"/>
  <sheetViews>
    <sheetView showGridLines="0" workbookViewId="0">
      <selection activeCell="B2" sqref="B2"/>
    </sheetView>
  </sheetViews>
  <sheetFormatPr defaultColWidth="9.140625" defaultRowHeight="15" x14ac:dyDescent="0.25"/>
  <cols>
    <col min="1" max="1" width="68.42578125" style="2" bestFit="1" customWidth="1"/>
    <col min="2" max="2" width="51.42578125" style="2" customWidth="1"/>
    <col min="3" max="3" width="66.42578125" style="2" bestFit="1" customWidth="1"/>
    <col min="4" max="16384" width="9.140625" style="2"/>
  </cols>
  <sheetData>
    <row r="1" spans="1:3" ht="20.25" customHeight="1" thickTop="1" x14ac:dyDescent="0.25">
      <c r="A1" s="163" t="s">
        <v>265</v>
      </c>
      <c r="B1" s="163" t="s">
        <v>266</v>
      </c>
      <c r="C1" s="163" t="s">
        <v>267</v>
      </c>
    </row>
    <row r="2" spans="1:3" ht="42" customHeight="1" x14ac:dyDescent="0.25">
      <c r="A2" s="34" t="s">
        <v>268</v>
      </c>
      <c r="B2" s="190" t="s">
        <v>505</v>
      </c>
      <c r="C2" s="34" t="s">
        <v>269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C2"/>
  <sheetViews>
    <sheetView showGridLines="0" workbookViewId="0">
      <selection activeCell="B2" sqref="B2"/>
    </sheetView>
  </sheetViews>
  <sheetFormatPr defaultColWidth="9.140625" defaultRowHeight="15" x14ac:dyDescent="0.25"/>
  <cols>
    <col min="1" max="1" width="106.28515625" style="2" customWidth="1"/>
    <col min="2" max="2" width="66.7109375" style="2" customWidth="1"/>
    <col min="3" max="3" width="45.7109375" style="2" customWidth="1"/>
    <col min="4" max="16384" width="9.140625" style="2"/>
  </cols>
  <sheetData>
    <row r="1" spans="1:3" ht="15.75" thickTop="1" x14ac:dyDescent="0.25">
      <c r="A1" s="163" t="s">
        <v>265</v>
      </c>
      <c r="B1" s="163" t="s">
        <v>270</v>
      </c>
      <c r="C1" s="163" t="s">
        <v>267</v>
      </c>
    </row>
    <row r="2" spans="1:3" ht="117.75" customHeight="1" x14ac:dyDescent="0.25">
      <c r="A2" s="34" t="s">
        <v>434</v>
      </c>
      <c r="B2" s="35" t="s">
        <v>496</v>
      </c>
      <c r="C2" s="34" t="s">
        <v>271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2"/>
  <sheetViews>
    <sheetView showGridLines="0" zoomScaleNormal="100" workbookViewId="0">
      <selection activeCell="E2" sqref="E2"/>
    </sheetView>
  </sheetViews>
  <sheetFormatPr defaultColWidth="9.140625" defaultRowHeight="14.25" x14ac:dyDescent="0.2"/>
  <cols>
    <col min="1" max="1" width="19.7109375" style="27" customWidth="1"/>
    <col min="2" max="2" width="37.42578125" style="27" customWidth="1"/>
    <col min="3" max="3" width="15.28515625" style="29" bestFit="1" customWidth="1"/>
    <col min="4" max="4" width="58.85546875" style="27" customWidth="1"/>
    <col min="5" max="5" width="23.140625" style="27" customWidth="1"/>
    <col min="6" max="6" width="26.85546875" style="27" customWidth="1"/>
    <col min="7" max="16384" width="9.140625" style="27"/>
  </cols>
  <sheetData>
    <row r="1" spans="1:6" s="28" customFormat="1" ht="39" thickTop="1" x14ac:dyDescent="0.25">
      <c r="A1" s="163" t="s">
        <v>71</v>
      </c>
      <c r="B1" s="165" t="s">
        <v>72</v>
      </c>
      <c r="C1" s="166" t="s">
        <v>229</v>
      </c>
      <c r="D1" s="167" t="s">
        <v>405</v>
      </c>
      <c r="E1" s="168" t="s">
        <v>406</v>
      </c>
      <c r="F1" s="168" t="s">
        <v>407</v>
      </c>
    </row>
    <row r="2" spans="1:6" ht="25.5" x14ac:dyDescent="0.2">
      <c r="A2" s="169" t="s">
        <v>408</v>
      </c>
      <c r="B2" s="169" t="s">
        <v>409</v>
      </c>
      <c r="C2" s="173" t="s">
        <v>410</v>
      </c>
      <c r="D2" s="170" t="s">
        <v>411</v>
      </c>
      <c r="E2" s="171"/>
      <c r="F2" s="172"/>
    </row>
  </sheetData>
  <sheetProtection algorithmName="SHA-512" hashValue="DIsC6toPwNovZox9G0px69o++6KyyZc+m4a9uTFkKOysdiTu2XsSxplHC+t/bw0OXWjQCb/2LmWLNET5RQbXIQ==" saltValue="whs4EAra9JdgLKr2bkCM7g==" spinCount="100000" sheet="1" selectLockedCells="1"/>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900-000000000000}">
          <x14:formula1>
            <xm:f>'Data Validation Key'!$A$2:$A$5</xm:f>
          </x14:formula1>
          <xm:sqref>E2</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dimension ref="A1:M4"/>
  <sheetViews>
    <sheetView showGridLines="0" zoomScaleNormal="100" workbookViewId="0">
      <pane xSplit="2" ySplit="2" topLeftCell="C3" activePane="bottomRight" state="frozen"/>
      <selection activeCell="H20" sqref="H20"/>
      <selection pane="topRight" activeCell="H20" sqref="H20"/>
      <selection pane="bottomLeft" activeCell="H20" sqref="H20"/>
      <selection pane="bottomRight" activeCell="G4" sqref="G4"/>
    </sheetView>
  </sheetViews>
  <sheetFormatPr defaultColWidth="9" defaultRowHeight="15" x14ac:dyDescent="0.25"/>
  <cols>
    <col min="1" max="1" width="18.42578125" style="43" customWidth="1"/>
    <col min="2" max="2" width="17.5703125" style="43" customWidth="1"/>
    <col min="3" max="3" width="25.140625" style="43" bestFit="1" customWidth="1"/>
    <col min="4" max="4" width="25.140625" style="43" hidden="1" customWidth="1"/>
    <col min="5" max="5" width="25" style="43" bestFit="1" customWidth="1"/>
    <col min="6" max="6" width="51.42578125" style="43" customWidth="1"/>
    <col min="7" max="7" width="12.5703125" style="43" customWidth="1"/>
    <col min="8" max="8" width="20.5703125" style="43" customWidth="1"/>
    <col min="9" max="9" width="12.5703125" style="43" customWidth="1"/>
    <col min="10" max="10" width="20.5703125" style="43" customWidth="1"/>
    <col min="11" max="11" width="12.5703125" style="43" customWidth="1"/>
    <col min="12" max="12" width="20.5703125" style="43" customWidth="1"/>
    <col min="13" max="16384" width="9" style="43"/>
  </cols>
  <sheetData>
    <row r="1" spans="1:13" ht="25.5" x14ac:dyDescent="0.25">
      <c r="A1" s="44" t="s">
        <v>7</v>
      </c>
      <c r="B1" s="44" t="s">
        <v>73</v>
      </c>
      <c r="C1" s="44" t="s">
        <v>74</v>
      </c>
      <c r="D1" s="44" t="s">
        <v>248</v>
      </c>
      <c r="E1" s="44" t="s">
        <v>8</v>
      </c>
      <c r="F1" s="44" t="s">
        <v>75</v>
      </c>
      <c r="G1" s="44" t="s">
        <v>391</v>
      </c>
      <c r="H1" s="44" t="s">
        <v>389</v>
      </c>
      <c r="I1" s="44" t="s">
        <v>392</v>
      </c>
      <c r="J1" s="44" t="s">
        <v>390</v>
      </c>
      <c r="K1" s="44" t="s">
        <v>393</v>
      </c>
      <c r="L1" s="44" t="s">
        <v>394</v>
      </c>
    </row>
    <row r="2" spans="1:13" ht="15" customHeight="1" x14ac:dyDescent="0.25">
      <c r="A2" s="241" t="s">
        <v>238</v>
      </c>
      <c r="B2" s="242"/>
      <c r="C2" s="242"/>
      <c r="D2" s="242"/>
      <c r="E2" s="242"/>
      <c r="F2" s="242"/>
      <c r="G2" s="242"/>
      <c r="H2" s="242"/>
      <c r="I2" s="242"/>
      <c r="J2" s="242"/>
      <c r="K2" s="242"/>
      <c r="L2" s="242"/>
    </row>
    <row r="3" spans="1:13" ht="24" x14ac:dyDescent="0.25">
      <c r="A3" s="82" t="s">
        <v>385</v>
      </c>
      <c r="B3" s="147" t="s">
        <v>56</v>
      </c>
      <c r="C3" s="83"/>
      <c r="D3" s="82"/>
      <c r="E3" s="239" t="s">
        <v>78</v>
      </c>
      <c r="F3" s="21" t="s">
        <v>386</v>
      </c>
      <c r="G3" s="19" t="s">
        <v>30</v>
      </c>
      <c r="H3" s="19"/>
      <c r="I3" s="19"/>
      <c r="J3" s="19"/>
      <c r="K3" s="19"/>
      <c r="L3" s="19"/>
      <c r="M3" s="55"/>
    </row>
    <row r="4" spans="1:13" ht="24" x14ac:dyDescent="0.25">
      <c r="A4" s="82" t="s">
        <v>387</v>
      </c>
      <c r="B4" s="147" t="s">
        <v>56</v>
      </c>
      <c r="C4" s="83"/>
      <c r="D4" s="82"/>
      <c r="E4" s="240"/>
      <c r="F4" s="21" t="s">
        <v>388</v>
      </c>
      <c r="G4" s="19" t="s">
        <v>30</v>
      </c>
      <c r="H4" s="19"/>
      <c r="I4" s="19"/>
      <c r="J4" s="19"/>
      <c r="K4" s="19"/>
      <c r="L4" s="19"/>
      <c r="M4" s="55"/>
    </row>
  </sheetData>
  <sheetProtection algorithmName="SHA-512" hashValue="epTtnlH+40WdZF3PJ/CMnv6nNobQ65z/YGeSMx3diF5nZ8DnJJMyvYXRNGYOkvmpDDndSJRgaVwYoycKboOvCQ==" saltValue="01EddR9kzLEY/jeqIOjtoQ==" spinCount="100000" sheet="1" objects="1" scenarios="1" selectLockedCells="1"/>
  <mergeCells count="2">
    <mergeCell ref="E3:E4"/>
    <mergeCell ref="A2:L2"/>
  </mergeCells>
  <pageMargins left="0.7" right="0.7" top="0.75" bottom="0.75" header="0.3" footer="0.3"/>
  <pageSetup orientation="portrait" horizontalDpi="0" verticalDpi="0" r:id="rId1"/>
  <extLst>
    <ext xmlns:x14="http://schemas.microsoft.com/office/spreadsheetml/2009/9/main" uri="{CCE6A557-97BC-4b89-ADB6-D9C93CAAB3DF}">
      <x14:dataValidations xmlns:xm="http://schemas.microsoft.com/office/excel/2006/main" count="1">
        <x14:dataValidation type="list" showInputMessage="1" showErrorMessage="1" xr:uid="{00000000-0002-0000-0A00-000000000000}">
          <x14:formula1>
            <xm:f>'Data Validation Key'!$A$2:$A$5</xm:f>
          </x14:formula1>
          <xm:sqref>I3:I4 K3:K4 G3:G4</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1"/>
  <dimension ref="A1:P7"/>
  <sheetViews>
    <sheetView showGridLines="0" zoomScale="90" zoomScaleNormal="90" workbookViewId="0">
      <pane xSplit="2" ySplit="2" topLeftCell="C3" activePane="bottomRight" state="frozen"/>
      <selection pane="topRight" activeCell="C1" sqref="C1"/>
      <selection pane="bottomLeft" activeCell="A3" sqref="A3"/>
      <selection pane="bottomRight" activeCell="K6" sqref="K6"/>
    </sheetView>
  </sheetViews>
  <sheetFormatPr defaultRowHeight="15" x14ac:dyDescent="0.25"/>
  <cols>
    <col min="1" max="1" width="27" customWidth="1"/>
    <col min="2" max="2" width="20.7109375" customWidth="1"/>
    <col min="3" max="3" width="28.85546875" customWidth="1"/>
    <col min="4" max="4" width="6" style="43" hidden="1" customWidth="1"/>
    <col min="5" max="5" width="10.28515625" style="43" hidden="1" customWidth="1"/>
    <col min="6" max="6" width="7.28515625" style="43" hidden="1" customWidth="1"/>
    <col min="7" max="7" width="18.5703125" style="2" hidden="1" customWidth="1"/>
    <col min="8" max="8" width="21.140625" customWidth="1"/>
    <col min="9" max="9" width="55.140625" customWidth="1"/>
    <col min="10" max="10" width="12.5703125" customWidth="1"/>
    <col min="11" max="11" width="20.5703125" customWidth="1"/>
    <col min="12" max="12" width="12.5703125" customWidth="1"/>
    <col min="13" max="13" width="20.5703125" customWidth="1"/>
    <col min="14" max="14" width="12.5703125" customWidth="1"/>
    <col min="15" max="15" width="20.5703125" customWidth="1"/>
  </cols>
  <sheetData>
    <row r="1" spans="1:16" ht="25.5" x14ac:dyDescent="0.25">
      <c r="A1" s="1" t="s">
        <v>7</v>
      </c>
      <c r="B1" s="1" t="s">
        <v>73</v>
      </c>
      <c r="C1" s="1" t="s">
        <v>74</v>
      </c>
      <c r="D1" s="44" t="s">
        <v>272</v>
      </c>
      <c r="E1" s="44" t="s">
        <v>92</v>
      </c>
      <c r="F1" s="44" t="s">
        <v>273</v>
      </c>
      <c r="G1" s="1" t="s">
        <v>248</v>
      </c>
      <c r="H1" s="1" t="s">
        <v>8</v>
      </c>
      <c r="I1" s="1" t="s">
        <v>75</v>
      </c>
      <c r="J1" s="44" t="s">
        <v>391</v>
      </c>
      <c r="K1" s="44" t="s">
        <v>389</v>
      </c>
      <c r="L1" s="44" t="s">
        <v>392</v>
      </c>
      <c r="M1" s="44" t="s">
        <v>390</v>
      </c>
      <c r="N1" s="44" t="s">
        <v>393</v>
      </c>
      <c r="O1" s="44" t="s">
        <v>394</v>
      </c>
    </row>
    <row r="2" spans="1:16" ht="16.5" customHeight="1" x14ac:dyDescent="0.25">
      <c r="A2" s="243" t="s">
        <v>101</v>
      </c>
      <c r="B2" s="244"/>
      <c r="C2" s="244"/>
      <c r="D2" s="244"/>
      <c r="E2" s="244"/>
      <c r="F2" s="244"/>
      <c r="G2" s="244"/>
      <c r="H2" s="244"/>
      <c r="I2" s="244"/>
      <c r="J2" s="244"/>
      <c r="K2" s="244"/>
      <c r="L2" s="244"/>
      <c r="M2" s="244"/>
      <c r="N2" s="244"/>
      <c r="O2" s="244"/>
    </row>
    <row r="3" spans="1:16" ht="46.5" customHeight="1" x14ac:dyDescent="0.25">
      <c r="A3" s="15" t="s">
        <v>103</v>
      </c>
      <c r="B3" s="15" t="s">
        <v>102</v>
      </c>
      <c r="C3" s="16" t="s">
        <v>263</v>
      </c>
      <c r="D3" s="48" t="s">
        <v>277</v>
      </c>
      <c r="E3" s="48"/>
      <c r="F3" s="45"/>
      <c r="G3" s="16"/>
      <c r="H3" s="15" t="s">
        <v>308</v>
      </c>
      <c r="I3" s="16" t="s">
        <v>104</v>
      </c>
      <c r="J3" s="19" t="s">
        <v>30</v>
      </c>
      <c r="K3" s="19"/>
      <c r="L3" s="19"/>
      <c r="M3" s="19"/>
      <c r="N3" s="19"/>
      <c r="O3" s="19"/>
      <c r="P3" s="55"/>
    </row>
    <row r="4" spans="1:16" ht="33.75" customHeight="1" x14ac:dyDescent="0.25">
      <c r="A4" s="15" t="s">
        <v>106</v>
      </c>
      <c r="B4" s="245" t="s">
        <v>105</v>
      </c>
      <c r="C4" s="246" t="s">
        <v>264</v>
      </c>
      <c r="D4" s="247" t="s">
        <v>278</v>
      </c>
      <c r="E4" s="247" t="s">
        <v>279</v>
      </c>
      <c r="F4" s="49"/>
      <c r="G4" s="245"/>
      <c r="H4" s="245" t="s">
        <v>309</v>
      </c>
      <c r="I4" s="16" t="s">
        <v>107</v>
      </c>
      <c r="J4" s="19" t="s">
        <v>30</v>
      </c>
      <c r="K4" s="19"/>
      <c r="L4" s="19"/>
      <c r="M4" s="19"/>
      <c r="N4" s="19"/>
      <c r="O4" s="19"/>
      <c r="P4" s="55"/>
    </row>
    <row r="5" spans="1:16" ht="72" x14ac:dyDescent="0.25">
      <c r="A5" s="15" t="s">
        <v>108</v>
      </c>
      <c r="B5" s="245"/>
      <c r="C5" s="246"/>
      <c r="D5" s="248"/>
      <c r="E5" s="248"/>
      <c r="F5" s="48" t="s">
        <v>280</v>
      </c>
      <c r="G5" s="245"/>
      <c r="H5" s="245"/>
      <c r="I5" s="16" t="s">
        <v>109</v>
      </c>
      <c r="J5" s="19" t="s">
        <v>30</v>
      </c>
      <c r="K5" s="19"/>
      <c r="L5" s="19"/>
      <c r="M5" s="19"/>
      <c r="N5" s="19"/>
      <c r="O5" s="19"/>
      <c r="P5" s="55"/>
    </row>
    <row r="6" spans="1:16" ht="72" x14ac:dyDescent="0.25">
      <c r="A6" s="15" t="s">
        <v>111</v>
      </c>
      <c r="B6" s="15" t="s">
        <v>110</v>
      </c>
      <c r="C6" s="16" t="s">
        <v>263</v>
      </c>
      <c r="D6" s="48" t="s">
        <v>281</v>
      </c>
      <c r="E6" s="48" t="s">
        <v>282</v>
      </c>
      <c r="F6" s="48" t="s">
        <v>280</v>
      </c>
      <c r="G6" s="16"/>
      <c r="H6" s="15" t="s">
        <v>307</v>
      </c>
      <c r="I6" s="16" t="s">
        <v>112</v>
      </c>
      <c r="J6" s="19" t="s">
        <v>39</v>
      </c>
      <c r="K6" s="19"/>
      <c r="L6" s="19"/>
      <c r="M6" s="19"/>
      <c r="N6" s="19"/>
      <c r="O6" s="19"/>
      <c r="P6" s="55"/>
    </row>
    <row r="7" spans="1:16" ht="72" x14ac:dyDescent="0.25">
      <c r="A7" s="15" t="s">
        <v>114</v>
      </c>
      <c r="B7" s="15" t="s">
        <v>113</v>
      </c>
      <c r="C7" s="16" t="s">
        <v>263</v>
      </c>
      <c r="D7" s="48" t="s">
        <v>274</v>
      </c>
      <c r="E7" s="48"/>
      <c r="F7" s="48" t="s">
        <v>280</v>
      </c>
      <c r="G7" s="16"/>
      <c r="H7" s="15" t="s">
        <v>310</v>
      </c>
      <c r="I7" s="16" t="s">
        <v>115</v>
      </c>
      <c r="J7" s="19" t="s">
        <v>30</v>
      </c>
      <c r="K7" s="19"/>
      <c r="L7" s="19"/>
      <c r="M7" s="19"/>
      <c r="N7" s="19"/>
      <c r="O7" s="19"/>
      <c r="P7" s="55"/>
    </row>
  </sheetData>
  <sheetProtection algorithmName="SHA-512" hashValue="2ik76iX1mWnu02nCyUigyNbYLVLaUMkZxWv+3GBgqbxDaYkcPaoX+60KUO9TwqWYeOIyVXdydxiWNQzDt3s5sg==" saltValue="3Mz3X0TC6saxBuxRt9fKPg==" spinCount="100000" sheet="1" objects="1" scenarios="1" selectLockedCells="1"/>
  <mergeCells count="7">
    <mergeCell ref="A2:O2"/>
    <mergeCell ref="B4:B5"/>
    <mergeCell ref="C4:C5"/>
    <mergeCell ref="H4:H5"/>
    <mergeCell ref="G4:G5"/>
    <mergeCell ref="D4:D5"/>
    <mergeCell ref="E4:E5"/>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showInputMessage="1" showErrorMessage="1" xr:uid="{00000000-0002-0000-0B00-000000000000}">
          <x14:formula1>
            <xm:f>'Data Validation Key'!$A$2:$A$5</xm:f>
          </x14:formula1>
          <xm:sqref>L3:L7 N3:N7 J3:J7</xm:sqref>
        </x14:dataValidation>
      </x14:dataValidations>
    </ext>
  </extLs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dimension ref="A1:P9"/>
  <sheetViews>
    <sheetView showGridLines="0" zoomScaleNormal="100" workbookViewId="0">
      <pane xSplit="2" ySplit="2" topLeftCell="C3" activePane="bottomRight" state="frozen"/>
      <selection pane="topRight" activeCell="C1" sqref="C1"/>
      <selection pane="bottomLeft" activeCell="A3" sqref="A3"/>
      <selection pane="bottomRight" activeCell="J3" sqref="J3"/>
    </sheetView>
  </sheetViews>
  <sheetFormatPr defaultRowHeight="15" x14ac:dyDescent="0.25"/>
  <cols>
    <col min="1" max="1" width="18" bestFit="1" customWidth="1"/>
    <col min="2" max="2" width="17.7109375" bestFit="1" customWidth="1"/>
    <col min="3" max="3" width="18.42578125" bestFit="1" customWidth="1"/>
    <col min="4" max="4" width="6" style="43" hidden="1" customWidth="1"/>
    <col min="5" max="5" width="9.85546875" style="43" hidden="1" customWidth="1"/>
    <col min="6" max="6" width="7.28515625" style="43" hidden="1" customWidth="1"/>
    <col min="7" max="7" width="18.42578125" style="2" hidden="1" customWidth="1"/>
    <col min="8" max="8" width="23.140625" bestFit="1" customWidth="1"/>
    <col min="9" max="9" width="50" customWidth="1"/>
    <col min="10" max="10" width="12.5703125" customWidth="1"/>
    <col min="11" max="11" width="20.5703125" customWidth="1"/>
    <col min="12" max="12" width="12.5703125" customWidth="1"/>
    <col min="13" max="13" width="20.5703125" customWidth="1"/>
    <col min="14" max="14" width="12.5703125" customWidth="1"/>
    <col min="15" max="15" width="20.5703125" customWidth="1"/>
  </cols>
  <sheetData>
    <row r="1" spans="1:16" ht="25.5" x14ac:dyDescent="0.25">
      <c r="A1" s="1" t="s">
        <v>7</v>
      </c>
      <c r="B1" s="1" t="s">
        <v>73</v>
      </c>
      <c r="C1" s="1" t="s">
        <v>74</v>
      </c>
      <c r="D1" s="44" t="s">
        <v>272</v>
      </c>
      <c r="E1" s="44" t="s">
        <v>92</v>
      </c>
      <c r="F1" s="44" t="s">
        <v>273</v>
      </c>
      <c r="G1" s="1" t="s">
        <v>248</v>
      </c>
      <c r="H1" s="1" t="s">
        <v>8</v>
      </c>
      <c r="I1" s="1" t="s">
        <v>75</v>
      </c>
      <c r="J1" s="44" t="s">
        <v>391</v>
      </c>
      <c r="K1" s="44" t="s">
        <v>389</v>
      </c>
      <c r="L1" s="44" t="s">
        <v>392</v>
      </c>
      <c r="M1" s="44" t="s">
        <v>390</v>
      </c>
      <c r="N1" s="44" t="s">
        <v>393</v>
      </c>
      <c r="O1" s="44" t="s">
        <v>394</v>
      </c>
    </row>
    <row r="2" spans="1:16" ht="15.75" customHeight="1" x14ac:dyDescent="0.25">
      <c r="A2" s="243" t="s">
        <v>116</v>
      </c>
      <c r="B2" s="244"/>
      <c r="C2" s="244"/>
      <c r="D2" s="244"/>
      <c r="E2" s="244"/>
      <c r="F2" s="244"/>
      <c r="G2" s="244"/>
      <c r="H2" s="244"/>
      <c r="I2" s="244"/>
      <c r="J2" s="244"/>
      <c r="K2" s="244"/>
      <c r="L2" s="244"/>
      <c r="M2" s="244"/>
      <c r="N2" s="244"/>
      <c r="O2" s="244"/>
    </row>
    <row r="3" spans="1:16" s="43" customFormat="1" ht="35.25" customHeight="1" x14ac:dyDescent="0.25">
      <c r="A3" s="161" t="s">
        <v>120</v>
      </c>
      <c r="B3" s="161" t="s">
        <v>117</v>
      </c>
      <c r="C3" s="25" t="s">
        <v>118</v>
      </c>
      <c r="D3" s="46" t="s">
        <v>277</v>
      </c>
      <c r="E3" s="161"/>
      <c r="F3" s="161" t="s">
        <v>288</v>
      </c>
      <c r="G3" s="46" t="s">
        <v>250</v>
      </c>
      <c r="H3" s="161" t="s">
        <v>119</v>
      </c>
      <c r="I3" s="41" t="s">
        <v>121</v>
      </c>
      <c r="J3" s="19" t="s">
        <v>30</v>
      </c>
      <c r="K3" s="19"/>
      <c r="L3" s="19"/>
      <c r="M3" s="19"/>
      <c r="N3" s="19"/>
      <c r="O3" s="19"/>
    </row>
    <row r="4" spans="1:16" ht="36.75" customHeight="1" x14ac:dyDescent="0.25">
      <c r="A4" s="15" t="s">
        <v>124</v>
      </c>
      <c r="B4" s="245" t="s">
        <v>122</v>
      </c>
      <c r="C4" s="249" t="s">
        <v>118</v>
      </c>
      <c r="D4" s="247" t="s">
        <v>286</v>
      </c>
      <c r="E4" s="247" t="s">
        <v>282</v>
      </c>
      <c r="F4" s="247" t="s">
        <v>280</v>
      </c>
      <c r="G4" s="245" t="s">
        <v>251</v>
      </c>
      <c r="H4" s="245" t="s">
        <v>123</v>
      </c>
      <c r="I4" s="41" t="s">
        <v>125</v>
      </c>
      <c r="J4" s="19" t="s">
        <v>30</v>
      </c>
      <c r="K4" s="19"/>
      <c r="L4" s="19"/>
      <c r="M4" s="19"/>
      <c r="N4" s="19"/>
      <c r="O4" s="19"/>
      <c r="P4" s="55"/>
    </row>
    <row r="5" spans="1:16" ht="51.75" customHeight="1" x14ac:dyDescent="0.25">
      <c r="A5" s="15" t="s">
        <v>126</v>
      </c>
      <c r="B5" s="245"/>
      <c r="C5" s="249"/>
      <c r="D5" s="248"/>
      <c r="E5" s="248"/>
      <c r="F5" s="248"/>
      <c r="G5" s="245"/>
      <c r="H5" s="245"/>
      <c r="I5" s="41" t="s">
        <v>127</v>
      </c>
      <c r="J5" s="19" t="s">
        <v>39</v>
      </c>
      <c r="K5" s="19"/>
      <c r="L5" s="19"/>
      <c r="M5" s="19"/>
      <c r="N5" s="19"/>
      <c r="O5" s="19"/>
      <c r="P5" s="55"/>
    </row>
    <row r="6" spans="1:16" ht="38.25" customHeight="1" x14ac:dyDescent="0.25">
      <c r="A6" s="15" t="s">
        <v>130</v>
      </c>
      <c r="B6" s="245" t="s">
        <v>128</v>
      </c>
      <c r="C6" s="249" t="s">
        <v>118</v>
      </c>
      <c r="D6" s="247" t="s">
        <v>289</v>
      </c>
      <c r="E6" s="48"/>
      <c r="F6" s="247" t="s">
        <v>290</v>
      </c>
      <c r="G6" s="245" t="s">
        <v>251</v>
      </c>
      <c r="H6" s="245" t="s">
        <v>129</v>
      </c>
      <c r="I6" s="41" t="s">
        <v>131</v>
      </c>
      <c r="J6" s="19" t="s">
        <v>39</v>
      </c>
      <c r="K6" s="19"/>
      <c r="L6" s="19"/>
      <c r="M6" s="19"/>
      <c r="N6" s="19"/>
      <c r="O6" s="19"/>
      <c r="P6" s="55"/>
    </row>
    <row r="7" spans="1:16" ht="38.25" customHeight="1" x14ac:dyDescent="0.25">
      <c r="A7" s="15" t="s">
        <v>132</v>
      </c>
      <c r="B7" s="245"/>
      <c r="C7" s="249"/>
      <c r="D7" s="248"/>
      <c r="E7" s="48"/>
      <c r="F7" s="248"/>
      <c r="G7" s="245"/>
      <c r="H7" s="245"/>
      <c r="I7" s="41" t="s">
        <v>133</v>
      </c>
      <c r="J7" s="19" t="s">
        <v>39</v>
      </c>
      <c r="K7" s="19"/>
      <c r="L7" s="19"/>
      <c r="M7" s="19"/>
      <c r="N7" s="19"/>
      <c r="O7" s="19"/>
      <c r="P7" s="55"/>
    </row>
    <row r="8" spans="1:16" ht="84" customHeight="1" x14ac:dyDescent="0.25">
      <c r="A8" s="15" t="s">
        <v>136</v>
      </c>
      <c r="B8" s="15" t="s">
        <v>134</v>
      </c>
      <c r="C8" s="26" t="s">
        <v>262</v>
      </c>
      <c r="D8" s="48" t="s">
        <v>289</v>
      </c>
      <c r="E8" s="48"/>
      <c r="F8" s="48" t="s">
        <v>291</v>
      </c>
      <c r="G8" s="15" t="s">
        <v>252</v>
      </c>
      <c r="H8" s="15" t="s">
        <v>135</v>
      </c>
      <c r="I8" s="41" t="s">
        <v>137</v>
      </c>
      <c r="J8" s="19" t="s">
        <v>30</v>
      </c>
      <c r="K8" s="19"/>
      <c r="L8" s="19"/>
      <c r="M8" s="19"/>
      <c r="N8" s="19"/>
      <c r="O8" s="19"/>
      <c r="P8" s="55"/>
    </row>
    <row r="9" spans="1:16" ht="36" x14ac:dyDescent="0.25">
      <c r="A9" s="15" t="s">
        <v>140</v>
      </c>
      <c r="B9" s="15" t="s">
        <v>138</v>
      </c>
      <c r="C9" s="26" t="s">
        <v>261</v>
      </c>
      <c r="D9" s="48" t="s">
        <v>283</v>
      </c>
      <c r="E9" s="48" t="s">
        <v>292</v>
      </c>
      <c r="F9" s="48">
        <v>12.1</v>
      </c>
      <c r="G9" s="15"/>
      <c r="H9" s="15" t="s">
        <v>139</v>
      </c>
      <c r="I9" s="41" t="s">
        <v>141</v>
      </c>
      <c r="J9" s="19" t="s">
        <v>30</v>
      </c>
      <c r="K9" s="19"/>
      <c r="L9" s="19"/>
      <c r="M9" s="19"/>
      <c r="N9" s="19"/>
      <c r="O9" s="19"/>
      <c r="P9" s="55"/>
    </row>
  </sheetData>
  <sheetProtection algorithmName="SHA-512" hashValue="xywRyEtpWUC5Z4dxUNwjIF8kcA9QFpFhBn9hGGqvdKKTMABt+8L1mqtm37UAM+Oz7Vnw/FO2BDiced+PW69ZQQ==" saltValue="7llZNseDJ6TlyXa69n+qhQ==" spinCount="100000" sheet="1" objects="1" scenarios="1" selectLockedCells="1"/>
  <mergeCells count="14">
    <mergeCell ref="G4:G5"/>
    <mergeCell ref="G6:G7"/>
    <mergeCell ref="A2:O2"/>
    <mergeCell ref="H4:H5"/>
    <mergeCell ref="H6:H7"/>
    <mergeCell ref="D4:D5"/>
    <mergeCell ref="E4:E5"/>
    <mergeCell ref="F4:F5"/>
    <mergeCell ref="D6:D7"/>
    <mergeCell ref="F6:F7"/>
    <mergeCell ref="B4:B5"/>
    <mergeCell ref="C4:C5"/>
    <mergeCell ref="B6:B7"/>
    <mergeCell ref="C6:C7"/>
  </mergeCells>
  <conditionalFormatting sqref="I3">
    <cfRule type="expression" dxfId="8" priority="2">
      <formula>NOT(OR(J2="Yes",J2=""))</formula>
    </cfRule>
  </conditionalFormatting>
  <conditionalFormatting sqref="E3:F3">
    <cfRule type="expression" dxfId="7" priority="1">
      <formula>NOT(OR(G2="Yes",G2=""))</formula>
    </cfRule>
  </conditionalFormatting>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showInputMessage="1" showErrorMessage="1" xr:uid="{00000000-0002-0000-0C00-000000000000}">
          <x14:formula1>
            <xm:f>'Data Validation Key'!$A$2:$A$5</xm:f>
          </x14:formula1>
          <xm:sqref>L3:L9 J3:J9 N3:N9</xm:sqref>
        </x14:dataValidation>
      </x14:dataValidations>
    </ext>
  </extLst>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dimension ref="A1:P15"/>
  <sheetViews>
    <sheetView showGridLines="0" tabSelected="1" zoomScaleNormal="100" workbookViewId="0">
      <pane xSplit="2" ySplit="2" topLeftCell="C6" activePane="bottomRight" state="frozen"/>
      <selection pane="topRight" activeCell="C1" sqref="C1"/>
      <selection pane="bottomLeft" activeCell="A3" sqref="A3"/>
      <selection pane="bottomRight" activeCell="K11" sqref="K11"/>
    </sheetView>
  </sheetViews>
  <sheetFormatPr defaultRowHeight="15" x14ac:dyDescent="0.25"/>
  <cols>
    <col min="1" max="1" width="17.140625" customWidth="1"/>
    <col min="2" max="2" width="16.42578125" customWidth="1"/>
    <col min="3" max="3" width="20.7109375" customWidth="1"/>
    <col min="4" max="4" width="11" style="43" hidden="1" customWidth="1"/>
    <col min="5" max="5" width="9.85546875" style="43" hidden="1" customWidth="1"/>
    <col min="6" max="6" width="7.28515625" style="43" hidden="1" customWidth="1"/>
    <col min="7" max="7" width="20.7109375" style="2" hidden="1" customWidth="1"/>
    <col min="8" max="8" width="26.28515625" bestFit="1" customWidth="1"/>
    <col min="9" max="9" width="58.85546875" customWidth="1"/>
    <col min="10" max="10" width="12.7109375" customWidth="1"/>
    <col min="11" max="11" width="20.5703125" customWidth="1"/>
    <col min="12" max="12" width="12.5703125" customWidth="1"/>
    <col min="13" max="13" width="20.5703125" customWidth="1"/>
    <col min="14" max="14" width="12.5703125" customWidth="1"/>
    <col min="15" max="15" width="20.5703125" customWidth="1"/>
  </cols>
  <sheetData>
    <row r="1" spans="1:16" ht="25.5" x14ac:dyDescent="0.25">
      <c r="A1" s="1" t="s">
        <v>7</v>
      </c>
      <c r="B1" s="1" t="s">
        <v>73</v>
      </c>
      <c r="C1" s="1" t="s">
        <v>74</v>
      </c>
      <c r="D1" s="44" t="s">
        <v>272</v>
      </c>
      <c r="E1" s="44" t="s">
        <v>92</v>
      </c>
      <c r="F1" s="44" t="s">
        <v>273</v>
      </c>
      <c r="G1" s="1" t="s">
        <v>248</v>
      </c>
      <c r="H1" s="1" t="s">
        <v>8</v>
      </c>
      <c r="I1" s="1" t="s">
        <v>75</v>
      </c>
      <c r="J1" s="44" t="s">
        <v>391</v>
      </c>
      <c r="K1" s="44" t="s">
        <v>389</v>
      </c>
      <c r="L1" s="44" t="s">
        <v>392</v>
      </c>
      <c r="M1" s="44" t="s">
        <v>390</v>
      </c>
      <c r="N1" s="44" t="s">
        <v>393</v>
      </c>
      <c r="O1" s="44" t="s">
        <v>394</v>
      </c>
    </row>
    <row r="2" spans="1:16" ht="15.75" x14ac:dyDescent="0.25">
      <c r="A2" s="243" t="s">
        <v>142</v>
      </c>
      <c r="B2" s="244"/>
      <c r="C2" s="244"/>
      <c r="D2" s="244"/>
      <c r="E2" s="244"/>
      <c r="F2" s="244"/>
      <c r="G2" s="244"/>
      <c r="H2" s="244"/>
      <c r="I2" s="244"/>
      <c r="J2" s="244"/>
      <c r="K2" s="244"/>
      <c r="L2" s="244"/>
      <c r="M2" s="244"/>
      <c r="N2" s="244"/>
      <c r="O2" s="244"/>
    </row>
    <row r="3" spans="1:16" s="43" customFormat="1" ht="48" x14ac:dyDescent="0.25">
      <c r="A3" s="161" t="s">
        <v>146</v>
      </c>
      <c r="B3" s="161" t="s">
        <v>143</v>
      </c>
      <c r="C3" s="162" t="s">
        <v>144</v>
      </c>
      <c r="D3" s="161" t="s">
        <v>277</v>
      </c>
      <c r="E3" s="161"/>
      <c r="F3" s="161" t="s">
        <v>284</v>
      </c>
      <c r="G3" s="161" t="s">
        <v>253</v>
      </c>
      <c r="H3" s="161" t="s">
        <v>145</v>
      </c>
      <c r="I3" s="41" t="s">
        <v>147</v>
      </c>
      <c r="J3" s="153" t="s">
        <v>30</v>
      </c>
      <c r="K3" s="19" t="s">
        <v>506</v>
      </c>
      <c r="L3" s="19"/>
      <c r="M3" s="19"/>
      <c r="N3" s="19"/>
      <c r="O3" s="19"/>
    </row>
    <row r="4" spans="1:16" ht="24" x14ac:dyDescent="0.25">
      <c r="A4" s="20" t="s">
        <v>150</v>
      </c>
      <c r="B4" s="250" t="s">
        <v>148</v>
      </c>
      <c r="C4" s="246" t="s">
        <v>144</v>
      </c>
      <c r="D4" s="247" t="s">
        <v>285</v>
      </c>
      <c r="E4" s="247" t="s">
        <v>293</v>
      </c>
      <c r="F4" s="49"/>
      <c r="G4" s="245" t="s">
        <v>253</v>
      </c>
      <c r="H4" s="250" t="s">
        <v>149</v>
      </c>
      <c r="I4" s="41" t="s">
        <v>151</v>
      </c>
      <c r="J4" s="153" t="s">
        <v>30</v>
      </c>
      <c r="K4" s="19"/>
      <c r="L4" s="19"/>
      <c r="M4" s="19"/>
      <c r="N4" s="19"/>
      <c r="O4" s="19"/>
      <c r="P4" s="59"/>
    </row>
    <row r="5" spans="1:16" ht="216" x14ac:dyDescent="0.25">
      <c r="A5" s="20" t="s">
        <v>152</v>
      </c>
      <c r="B5" s="250"/>
      <c r="C5" s="252"/>
      <c r="D5" s="251"/>
      <c r="E5" s="251"/>
      <c r="F5" s="50"/>
      <c r="G5" s="245"/>
      <c r="H5" s="250"/>
      <c r="I5" s="41" t="s">
        <v>153</v>
      </c>
      <c r="J5" s="153" t="s">
        <v>48</v>
      </c>
      <c r="K5" s="19" t="s">
        <v>509</v>
      </c>
      <c r="L5" s="19"/>
      <c r="M5" s="19"/>
      <c r="N5" s="19"/>
      <c r="O5" s="19"/>
      <c r="P5" s="59"/>
    </row>
    <row r="6" spans="1:16" ht="60" x14ac:dyDescent="0.25">
      <c r="A6" s="20" t="s">
        <v>154</v>
      </c>
      <c r="B6" s="250"/>
      <c r="C6" s="252"/>
      <c r="D6" s="251"/>
      <c r="E6" s="251"/>
      <c r="F6" s="50"/>
      <c r="G6" s="245"/>
      <c r="H6" s="250"/>
      <c r="I6" s="41" t="s">
        <v>155</v>
      </c>
      <c r="J6" s="153" t="s">
        <v>56</v>
      </c>
      <c r="K6" s="19" t="s">
        <v>510</v>
      </c>
      <c r="L6" s="19"/>
      <c r="M6" s="19"/>
      <c r="N6" s="19"/>
      <c r="O6" s="19"/>
      <c r="P6" s="59"/>
    </row>
    <row r="7" spans="1:16" ht="60" x14ac:dyDescent="0.25">
      <c r="A7" s="20" t="s">
        <v>156</v>
      </c>
      <c r="B7" s="250"/>
      <c r="C7" s="252"/>
      <c r="D7" s="251"/>
      <c r="E7" s="251"/>
      <c r="F7" s="50"/>
      <c r="G7" s="245"/>
      <c r="H7" s="250"/>
      <c r="I7" s="41" t="s">
        <v>157</v>
      </c>
      <c r="J7" s="153" t="s">
        <v>56</v>
      </c>
      <c r="K7" s="19" t="s">
        <v>510</v>
      </c>
      <c r="L7" s="19"/>
      <c r="M7" s="19"/>
      <c r="N7" s="19"/>
      <c r="O7" s="19"/>
      <c r="P7" s="59"/>
    </row>
    <row r="8" spans="1:16" ht="168" x14ac:dyDescent="0.25">
      <c r="A8" s="20" t="s">
        <v>158</v>
      </c>
      <c r="B8" s="250"/>
      <c r="C8" s="252"/>
      <c r="D8" s="248"/>
      <c r="E8" s="248"/>
      <c r="F8" s="51"/>
      <c r="G8" s="245"/>
      <c r="H8" s="250"/>
      <c r="I8" s="41" t="s">
        <v>159</v>
      </c>
      <c r="J8" s="153" t="s">
        <v>48</v>
      </c>
      <c r="K8" s="19" t="s">
        <v>511</v>
      </c>
      <c r="L8" s="19"/>
      <c r="M8" s="19"/>
      <c r="N8" s="19"/>
      <c r="O8" s="19"/>
      <c r="P8" s="59"/>
    </row>
    <row r="9" spans="1:16" ht="36" x14ac:dyDescent="0.25">
      <c r="A9" s="15" t="s">
        <v>162</v>
      </c>
      <c r="B9" s="15" t="s">
        <v>160</v>
      </c>
      <c r="C9" s="16"/>
      <c r="D9" s="48" t="s">
        <v>294</v>
      </c>
      <c r="E9" s="48"/>
      <c r="F9" s="48"/>
      <c r="G9" s="15" t="s">
        <v>254</v>
      </c>
      <c r="H9" s="15" t="s">
        <v>161</v>
      </c>
      <c r="I9" s="40" t="s">
        <v>163</v>
      </c>
      <c r="J9" s="153" t="s">
        <v>30</v>
      </c>
      <c r="K9" s="19"/>
      <c r="L9" s="19"/>
      <c r="M9" s="19"/>
      <c r="N9" s="19"/>
      <c r="O9" s="19"/>
      <c r="P9" s="55"/>
    </row>
    <row r="10" spans="1:16" ht="48" x14ac:dyDescent="0.25">
      <c r="A10" s="15" t="s">
        <v>165</v>
      </c>
      <c r="B10" s="245" t="s">
        <v>410</v>
      </c>
      <c r="C10" s="246"/>
      <c r="D10" s="251"/>
      <c r="E10" s="48"/>
      <c r="F10" s="48"/>
      <c r="G10" s="245"/>
      <c r="H10" s="245"/>
      <c r="I10" s="41" t="s">
        <v>166</v>
      </c>
      <c r="J10" s="153" t="s">
        <v>30</v>
      </c>
      <c r="K10" s="19" t="s">
        <v>513</v>
      </c>
      <c r="L10" s="19"/>
      <c r="M10" s="19"/>
      <c r="N10" s="19"/>
      <c r="O10" s="19"/>
      <c r="P10" s="55"/>
    </row>
    <row r="11" spans="1:16" ht="72" x14ac:dyDescent="0.25">
      <c r="A11" s="15" t="s">
        <v>167</v>
      </c>
      <c r="B11" s="245"/>
      <c r="C11" s="246"/>
      <c r="D11" s="251"/>
      <c r="E11" s="48"/>
      <c r="F11" s="48"/>
      <c r="G11" s="245"/>
      <c r="H11" s="245"/>
      <c r="I11" s="41" t="s">
        <v>168</v>
      </c>
      <c r="J11" s="153" t="s">
        <v>30</v>
      </c>
      <c r="K11" s="19" t="s">
        <v>512</v>
      </c>
      <c r="L11" s="19"/>
      <c r="M11" s="19"/>
      <c r="N11" s="19"/>
      <c r="O11" s="19"/>
      <c r="P11" s="55"/>
    </row>
    <row r="12" spans="1:16" ht="24" x14ac:dyDescent="0.25">
      <c r="A12" s="15" t="s">
        <v>169</v>
      </c>
      <c r="B12" s="245"/>
      <c r="C12" s="246"/>
      <c r="D12" s="248"/>
      <c r="E12" s="48"/>
      <c r="F12" s="48"/>
      <c r="G12" s="245"/>
      <c r="H12" s="245"/>
      <c r="I12" s="41" t="s">
        <v>170</v>
      </c>
      <c r="J12" s="153" t="s">
        <v>30</v>
      </c>
      <c r="K12" s="19"/>
      <c r="L12" s="19"/>
      <c r="M12" s="19"/>
      <c r="N12" s="19"/>
      <c r="O12" s="19"/>
      <c r="P12" s="55"/>
    </row>
    <row r="13" spans="1:16" ht="93.75" customHeight="1" x14ac:dyDescent="0.25">
      <c r="A13" s="20" t="s">
        <v>174</v>
      </c>
      <c r="B13" s="88" t="s">
        <v>171</v>
      </c>
      <c r="C13" s="87" t="s">
        <v>172</v>
      </c>
      <c r="D13" s="85" t="s">
        <v>295</v>
      </c>
      <c r="E13" s="48"/>
      <c r="F13" s="48"/>
      <c r="G13" s="86" t="s">
        <v>254</v>
      </c>
      <c r="H13" s="88" t="s">
        <v>173</v>
      </c>
      <c r="I13" s="41" t="s">
        <v>175</v>
      </c>
      <c r="J13" s="153" t="s">
        <v>30</v>
      </c>
      <c r="K13" s="19" t="s">
        <v>497</v>
      </c>
      <c r="L13" s="19"/>
      <c r="M13" s="19"/>
      <c r="N13" s="19"/>
      <c r="O13" s="19"/>
      <c r="P13" s="59"/>
    </row>
    <row r="14" spans="1:16" ht="48" x14ac:dyDescent="0.25">
      <c r="A14" s="15" t="s">
        <v>178</v>
      </c>
      <c r="B14" s="15" t="s">
        <v>176</v>
      </c>
      <c r="C14" s="16" t="s">
        <v>144</v>
      </c>
      <c r="D14" s="48" t="s">
        <v>287</v>
      </c>
      <c r="E14" s="48"/>
      <c r="F14" s="48"/>
      <c r="G14" s="15"/>
      <c r="H14" s="15" t="s">
        <v>177</v>
      </c>
      <c r="I14" s="24" t="s">
        <v>179</v>
      </c>
      <c r="J14" s="153" t="s">
        <v>30</v>
      </c>
      <c r="K14" s="19" t="s">
        <v>498</v>
      </c>
      <c r="L14" s="19"/>
      <c r="M14" s="19"/>
      <c r="N14" s="19"/>
      <c r="O14" s="19"/>
      <c r="P14" s="55"/>
    </row>
    <row r="15" spans="1:16" x14ac:dyDescent="0.25">
      <c r="G15" s="17"/>
    </row>
  </sheetData>
  <sheetProtection selectLockedCells="1"/>
  <mergeCells count="12">
    <mergeCell ref="A2:O2"/>
    <mergeCell ref="H4:H8"/>
    <mergeCell ref="H10:H12"/>
    <mergeCell ref="D4:D8"/>
    <mergeCell ref="E4:E8"/>
    <mergeCell ref="D10:D12"/>
    <mergeCell ref="B4:B8"/>
    <mergeCell ref="C4:C8"/>
    <mergeCell ref="B10:B12"/>
    <mergeCell ref="C10:C12"/>
    <mergeCell ref="G4:G8"/>
    <mergeCell ref="G10:G12"/>
  </mergeCells>
  <conditionalFormatting sqref="E3:F3">
    <cfRule type="expression" dxfId="6" priority="1">
      <formula>NOT(OR(G2="Yes",G2=""))</formula>
    </cfRule>
  </conditionalFormatting>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showInputMessage="1" showErrorMessage="1" xr:uid="{00000000-0002-0000-0D00-000000000000}">
          <x14:formula1>
            <xm:f>'Data Validation Key'!$A$2:$A$5</xm:f>
          </x14:formula1>
          <xm:sqref>N3:N14 J3:J14 L3:L14</xm:sqref>
        </x14:dataValidation>
      </x14:dataValidations>
    </ext>
  </extLst>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dimension ref="A1:P13"/>
  <sheetViews>
    <sheetView showGridLines="0" zoomScale="90" zoomScaleNormal="90" workbookViewId="0">
      <pane xSplit="2" ySplit="2" topLeftCell="C3" activePane="bottomRight" state="frozen"/>
      <selection pane="topRight" activeCell="C1" sqref="C1"/>
      <selection pane="bottomLeft" activeCell="A3" sqref="A3"/>
      <selection pane="bottomRight" activeCell="M11" sqref="M11"/>
    </sheetView>
  </sheetViews>
  <sheetFormatPr defaultRowHeight="15" x14ac:dyDescent="0.25"/>
  <cols>
    <col min="1" max="1" width="18" bestFit="1" customWidth="1"/>
    <col min="2" max="2" width="18.140625" customWidth="1"/>
    <col min="3" max="3" width="18.42578125" bestFit="1" customWidth="1"/>
    <col min="4" max="4" width="6" style="43" hidden="1" customWidth="1"/>
    <col min="5" max="5" width="9.85546875" style="43" hidden="1" customWidth="1"/>
    <col min="6" max="6" width="7.28515625" style="43" hidden="1" customWidth="1"/>
    <col min="7" max="7" width="18.42578125" style="2" hidden="1" customWidth="1"/>
    <col min="8" max="8" width="26.42578125" bestFit="1" customWidth="1"/>
    <col min="9" max="9" width="48.28515625" customWidth="1"/>
    <col min="10" max="10" width="12.5703125" customWidth="1"/>
    <col min="11" max="11" width="20.5703125" customWidth="1"/>
    <col min="12" max="12" width="12.5703125" customWidth="1"/>
    <col min="13" max="13" width="20.5703125" customWidth="1"/>
    <col min="14" max="14" width="12.5703125" customWidth="1"/>
    <col min="15" max="15" width="20.5703125" customWidth="1"/>
  </cols>
  <sheetData>
    <row r="1" spans="1:16" ht="25.5" x14ac:dyDescent="0.25">
      <c r="A1" s="1" t="s">
        <v>7</v>
      </c>
      <c r="B1" s="1" t="s">
        <v>73</v>
      </c>
      <c r="C1" s="1" t="s">
        <v>74</v>
      </c>
      <c r="D1" s="44" t="s">
        <v>272</v>
      </c>
      <c r="E1" s="44" t="s">
        <v>92</v>
      </c>
      <c r="F1" s="44" t="s">
        <v>273</v>
      </c>
      <c r="G1" s="1" t="s">
        <v>248</v>
      </c>
      <c r="H1" s="1" t="s">
        <v>8</v>
      </c>
      <c r="I1" s="1" t="s">
        <v>75</v>
      </c>
      <c r="J1" s="44" t="s">
        <v>391</v>
      </c>
      <c r="K1" s="44" t="s">
        <v>389</v>
      </c>
      <c r="L1" s="44" t="s">
        <v>392</v>
      </c>
      <c r="M1" s="44" t="s">
        <v>390</v>
      </c>
      <c r="N1" s="44" t="s">
        <v>393</v>
      </c>
      <c r="O1" s="44" t="s">
        <v>394</v>
      </c>
    </row>
    <row r="2" spans="1:16" ht="15.75" customHeight="1" x14ac:dyDescent="0.25">
      <c r="A2" s="243" t="s">
        <v>180</v>
      </c>
      <c r="B2" s="244"/>
      <c r="C2" s="244"/>
      <c r="D2" s="244"/>
      <c r="E2" s="244"/>
      <c r="F2" s="244"/>
      <c r="G2" s="244"/>
      <c r="H2" s="244"/>
      <c r="I2" s="244"/>
      <c r="J2" s="244"/>
      <c r="K2" s="244"/>
      <c r="L2" s="244"/>
      <c r="M2" s="244"/>
      <c r="N2" s="244"/>
      <c r="O2" s="244"/>
    </row>
    <row r="3" spans="1:16" s="43" customFormat="1" ht="33.75" customHeight="1" x14ac:dyDescent="0.25">
      <c r="A3" s="161" t="s">
        <v>184</v>
      </c>
      <c r="B3" s="161" t="s">
        <v>181</v>
      </c>
      <c r="C3" s="162" t="s">
        <v>182</v>
      </c>
      <c r="D3" s="161" t="s">
        <v>277</v>
      </c>
      <c r="E3" s="161"/>
      <c r="F3" s="161" t="s">
        <v>284</v>
      </c>
      <c r="G3" s="161"/>
      <c r="H3" s="161" t="s">
        <v>183</v>
      </c>
      <c r="I3" s="21" t="s">
        <v>185</v>
      </c>
      <c r="J3" s="19" t="s">
        <v>30</v>
      </c>
      <c r="K3" s="19"/>
      <c r="L3" s="19"/>
      <c r="M3" s="19"/>
      <c r="N3" s="19"/>
      <c r="O3" s="19"/>
    </row>
    <row r="4" spans="1:16" ht="24" x14ac:dyDescent="0.25">
      <c r="A4" s="15" t="s">
        <v>188</v>
      </c>
      <c r="B4" s="245" t="s">
        <v>186</v>
      </c>
      <c r="C4" s="246" t="s">
        <v>98</v>
      </c>
      <c r="D4" s="247" t="s">
        <v>296</v>
      </c>
      <c r="E4" s="48"/>
      <c r="F4" s="48"/>
      <c r="G4" s="245"/>
      <c r="H4" s="245" t="s">
        <v>187</v>
      </c>
      <c r="I4" s="22" t="s">
        <v>189</v>
      </c>
      <c r="J4" s="19" t="s">
        <v>39</v>
      </c>
      <c r="K4" s="19"/>
      <c r="L4" s="19"/>
      <c r="M4" s="19"/>
      <c r="N4" s="19"/>
      <c r="O4" s="19"/>
      <c r="P4" s="55"/>
    </row>
    <row r="5" spans="1:16" ht="36" x14ac:dyDescent="0.25">
      <c r="A5" s="15" t="s">
        <v>190</v>
      </c>
      <c r="B5" s="245"/>
      <c r="C5" s="246"/>
      <c r="D5" s="251"/>
      <c r="E5" s="48"/>
      <c r="F5" s="48"/>
      <c r="G5" s="245"/>
      <c r="H5" s="245"/>
      <c r="I5" s="22" t="s">
        <v>191</v>
      </c>
      <c r="J5" s="19" t="s">
        <v>30</v>
      </c>
      <c r="K5" s="19" t="s">
        <v>504</v>
      </c>
      <c r="L5" s="19"/>
      <c r="M5" s="19"/>
      <c r="N5" s="19"/>
      <c r="O5" s="19"/>
      <c r="P5" s="55"/>
    </row>
    <row r="6" spans="1:16" ht="24" x14ac:dyDescent="0.25">
      <c r="A6" s="15" t="s">
        <v>192</v>
      </c>
      <c r="B6" s="245"/>
      <c r="C6" s="246"/>
      <c r="D6" s="248"/>
      <c r="E6" s="48"/>
      <c r="F6" s="48"/>
      <c r="G6" s="245"/>
      <c r="H6" s="245"/>
      <c r="I6" s="22" t="s">
        <v>193</v>
      </c>
      <c r="J6" s="19" t="s">
        <v>39</v>
      </c>
      <c r="K6" s="19"/>
      <c r="L6" s="19"/>
      <c r="M6" s="19"/>
      <c r="N6" s="19"/>
      <c r="O6" s="19"/>
      <c r="P6" s="55"/>
    </row>
    <row r="7" spans="1:16" ht="36" x14ac:dyDescent="0.25">
      <c r="A7" s="15" t="s">
        <v>195</v>
      </c>
      <c r="B7" s="245" t="s">
        <v>97</v>
      </c>
      <c r="C7" s="246" t="s">
        <v>98</v>
      </c>
      <c r="D7" s="247" t="s">
        <v>297</v>
      </c>
      <c r="E7" s="247" t="s">
        <v>298</v>
      </c>
      <c r="F7" s="247">
        <v>12.7</v>
      </c>
      <c r="G7" s="245"/>
      <c r="H7" s="245" t="s">
        <v>194</v>
      </c>
      <c r="I7" s="22" t="s">
        <v>196</v>
      </c>
      <c r="J7" s="19" t="s">
        <v>30</v>
      </c>
      <c r="K7" s="19" t="s">
        <v>504</v>
      </c>
      <c r="L7" s="19"/>
      <c r="M7" s="19"/>
      <c r="N7" s="19"/>
      <c r="O7" s="19"/>
      <c r="P7" s="55"/>
    </row>
    <row r="8" spans="1:16" ht="24" x14ac:dyDescent="0.25">
      <c r="A8" s="15" t="s">
        <v>197</v>
      </c>
      <c r="B8" s="245"/>
      <c r="C8" s="246"/>
      <c r="D8" s="248"/>
      <c r="E8" s="248"/>
      <c r="F8" s="248"/>
      <c r="G8" s="245"/>
      <c r="H8" s="245"/>
      <c r="I8" s="22" t="s">
        <v>198</v>
      </c>
      <c r="J8" s="19" t="s">
        <v>39</v>
      </c>
      <c r="K8" s="19"/>
      <c r="L8" s="19"/>
      <c r="M8" s="19"/>
      <c r="N8" s="19"/>
      <c r="O8" s="19"/>
      <c r="P8" s="55"/>
    </row>
    <row r="9" spans="1:16" ht="72" x14ac:dyDescent="0.25">
      <c r="A9" s="15" t="s">
        <v>202</v>
      </c>
      <c r="B9" s="15" t="s">
        <v>199</v>
      </c>
      <c r="C9" s="16" t="s">
        <v>200</v>
      </c>
      <c r="D9" s="48" t="s">
        <v>299</v>
      </c>
      <c r="E9" s="48" t="s">
        <v>300</v>
      </c>
      <c r="F9" s="48" t="s">
        <v>301</v>
      </c>
      <c r="G9" s="15"/>
      <c r="H9" s="15" t="s">
        <v>201</v>
      </c>
      <c r="I9" s="22" t="s">
        <v>203</v>
      </c>
      <c r="J9" s="19" t="s">
        <v>30</v>
      </c>
      <c r="K9" s="19"/>
      <c r="L9" s="19"/>
      <c r="M9" s="19"/>
      <c r="N9" s="19"/>
      <c r="O9" s="19"/>
      <c r="P9" s="55"/>
    </row>
    <row r="10" spans="1:16" ht="36" x14ac:dyDescent="0.25">
      <c r="A10" s="15" t="s">
        <v>206</v>
      </c>
      <c r="B10" s="15" t="s">
        <v>204</v>
      </c>
      <c r="C10" s="16" t="s">
        <v>200</v>
      </c>
      <c r="D10" s="48" t="s">
        <v>302</v>
      </c>
      <c r="E10" s="48" t="s">
        <v>300</v>
      </c>
      <c r="F10" s="48" t="s">
        <v>301</v>
      </c>
      <c r="G10" s="15" t="s">
        <v>249</v>
      </c>
      <c r="H10" s="15" t="s">
        <v>205</v>
      </c>
      <c r="I10" s="22" t="s">
        <v>207</v>
      </c>
      <c r="J10" s="19" t="s">
        <v>39</v>
      </c>
      <c r="K10" s="19"/>
      <c r="L10" s="19"/>
      <c r="M10" s="19"/>
      <c r="N10" s="19"/>
      <c r="O10" s="19"/>
      <c r="P10" s="55"/>
    </row>
    <row r="11" spans="1:16" ht="108" x14ac:dyDescent="0.25">
      <c r="A11" s="15" t="s">
        <v>211</v>
      </c>
      <c r="B11" s="15" t="s">
        <v>208</v>
      </c>
      <c r="C11" s="16" t="s">
        <v>209</v>
      </c>
      <c r="D11" s="48" t="s">
        <v>303</v>
      </c>
      <c r="E11" s="48"/>
      <c r="F11" s="48" t="s">
        <v>276</v>
      </c>
      <c r="G11" s="15"/>
      <c r="H11" s="15" t="s">
        <v>210</v>
      </c>
      <c r="I11" s="22" t="s">
        <v>212</v>
      </c>
      <c r="J11" s="19" t="s">
        <v>48</v>
      </c>
      <c r="K11" s="19"/>
      <c r="L11" s="19"/>
      <c r="M11" s="19"/>
      <c r="N11" s="19"/>
      <c r="O11" s="19"/>
      <c r="P11" s="55"/>
    </row>
    <row r="12" spans="1:16" ht="84" x14ac:dyDescent="0.25">
      <c r="A12" s="15" t="s">
        <v>216</v>
      </c>
      <c r="B12" s="15" t="s">
        <v>213</v>
      </c>
      <c r="C12" s="16" t="s">
        <v>214</v>
      </c>
      <c r="D12" s="48" t="s">
        <v>304</v>
      </c>
      <c r="E12" s="48"/>
      <c r="F12" s="48" t="s">
        <v>305</v>
      </c>
      <c r="G12" s="15"/>
      <c r="H12" s="15" t="s">
        <v>215</v>
      </c>
      <c r="I12" s="22" t="s">
        <v>217</v>
      </c>
      <c r="J12" s="19" t="s">
        <v>30</v>
      </c>
      <c r="K12" s="19"/>
      <c r="L12" s="19"/>
      <c r="M12" s="19"/>
      <c r="N12" s="19"/>
      <c r="O12" s="19"/>
      <c r="P12" s="55"/>
    </row>
    <row r="13" spans="1:16" ht="24" x14ac:dyDescent="0.25">
      <c r="A13" s="15" t="s">
        <v>221</v>
      </c>
      <c r="B13" s="15" t="s">
        <v>218</v>
      </c>
      <c r="C13" s="23" t="s">
        <v>219</v>
      </c>
      <c r="D13" s="47" t="s">
        <v>306</v>
      </c>
      <c r="E13" s="47"/>
      <c r="F13" s="47" t="s">
        <v>275</v>
      </c>
      <c r="G13" s="18"/>
      <c r="H13" s="15" t="s">
        <v>220</v>
      </c>
      <c r="I13" s="22" t="s">
        <v>222</v>
      </c>
      <c r="J13" s="19" t="s">
        <v>30</v>
      </c>
      <c r="K13" s="19"/>
      <c r="L13" s="19"/>
      <c r="M13" s="19"/>
      <c r="N13" s="19"/>
      <c r="O13" s="19"/>
      <c r="P13" s="55"/>
    </row>
  </sheetData>
  <sheetProtection algorithmName="SHA-512" hashValue="UNkJSrc1EwlAgv7YqSDVn+XMyIF989U8mQhg7U8oa8VUnB/cUwCicgAWas+ZEVGpwCKTYsxCtfVEZcBXI6bUBw==" saltValue="zBKKuYab2niKHvDEHMLBHw==" spinCount="100000" sheet="1" objects="1" scenarios="1" selectLockedCells="1"/>
  <mergeCells count="13">
    <mergeCell ref="A2:O2"/>
    <mergeCell ref="B4:B6"/>
    <mergeCell ref="C4:C6"/>
    <mergeCell ref="B7:B8"/>
    <mergeCell ref="C7:C8"/>
    <mergeCell ref="H4:H6"/>
    <mergeCell ref="H7:H8"/>
    <mergeCell ref="G4:G6"/>
    <mergeCell ref="G7:G8"/>
    <mergeCell ref="D4:D6"/>
    <mergeCell ref="D7:D8"/>
    <mergeCell ref="E7:E8"/>
    <mergeCell ref="F7:F8"/>
  </mergeCells>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showInputMessage="1" showErrorMessage="1" xr:uid="{00000000-0002-0000-0E00-000000000000}">
          <x14:formula1>
            <xm:f>'Data Validation Key'!$A$2:$A$5</xm:f>
          </x14:formula1>
          <xm:sqref>L3:L13 J3:J13 N3:N13</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dimension ref="A1:S38"/>
  <sheetViews>
    <sheetView zoomScale="70" zoomScaleNormal="70" workbookViewId="0">
      <pane ySplit="1" topLeftCell="A2" activePane="bottomLeft" state="frozen"/>
      <selection activeCell="D9" sqref="D9:D11"/>
      <selection pane="bottomLeft" activeCell="A9" sqref="A9:XFD11"/>
    </sheetView>
  </sheetViews>
  <sheetFormatPr defaultColWidth="9" defaultRowHeight="15" x14ac:dyDescent="0.25"/>
  <cols>
    <col min="1" max="1" width="4.42578125" style="43" bestFit="1" customWidth="1"/>
    <col min="2" max="2" width="10.140625" style="43" bestFit="1" customWidth="1"/>
    <col min="3" max="3" width="8.42578125" style="43" bestFit="1" customWidth="1"/>
    <col min="4" max="4" width="20.7109375" style="43" customWidth="1"/>
    <col min="5" max="5" width="17.85546875" style="43" bestFit="1" customWidth="1"/>
    <col min="6" max="6" width="26.28515625" style="61" customWidth="1"/>
    <col min="7" max="7" width="103" style="160" customWidth="1"/>
    <col min="8" max="8" width="13.42578125" style="61" customWidth="1"/>
    <col min="9" max="9" width="9.5703125" style="43" bestFit="1" customWidth="1"/>
    <col min="10" max="10" width="13.7109375" style="43" bestFit="1" customWidth="1"/>
    <col min="11" max="11" width="11.85546875" style="43" bestFit="1" customWidth="1"/>
    <col min="12" max="12" width="14.42578125" style="43" bestFit="1" customWidth="1"/>
    <col min="13" max="13" width="20.42578125" style="43" bestFit="1" customWidth="1"/>
    <col min="14" max="14" width="10.140625" style="43" bestFit="1" customWidth="1"/>
    <col min="15" max="15" width="18" style="43" bestFit="1" customWidth="1"/>
    <col min="16" max="16" width="14" style="43" bestFit="1" customWidth="1"/>
    <col min="17" max="17" width="9.7109375" style="43" bestFit="1" customWidth="1"/>
    <col min="18" max="18" width="12.28515625" style="43" bestFit="1" customWidth="1"/>
    <col min="19" max="19" width="22" style="43" bestFit="1" customWidth="1"/>
    <col min="20" max="16384" width="9" style="43"/>
  </cols>
  <sheetData>
    <row r="1" spans="1:19" x14ac:dyDescent="0.25">
      <c r="A1" s="52" t="s">
        <v>311</v>
      </c>
      <c r="B1" s="52" t="s">
        <v>312</v>
      </c>
      <c r="C1" s="52" t="s">
        <v>313</v>
      </c>
      <c r="D1" s="52" t="s">
        <v>314</v>
      </c>
      <c r="E1" s="52" t="s">
        <v>7</v>
      </c>
      <c r="F1" s="53" t="s">
        <v>8</v>
      </c>
      <c r="G1" s="154" t="s">
        <v>315</v>
      </c>
      <c r="H1" s="53" t="s">
        <v>316</v>
      </c>
      <c r="I1" s="52" t="s">
        <v>10</v>
      </c>
      <c r="J1" s="52" t="s">
        <v>317</v>
      </c>
      <c r="K1" s="52" t="s">
        <v>318</v>
      </c>
      <c r="L1" s="52" t="s">
        <v>319</v>
      </c>
      <c r="M1" s="54" t="s">
        <v>320</v>
      </c>
      <c r="N1" s="54" t="s">
        <v>76</v>
      </c>
      <c r="O1" s="54" t="s">
        <v>77</v>
      </c>
      <c r="P1" s="54" t="s">
        <v>321</v>
      </c>
      <c r="Q1" s="54" t="s">
        <v>322</v>
      </c>
      <c r="R1" s="54" t="s">
        <v>323</v>
      </c>
      <c r="S1" s="54" t="s">
        <v>324</v>
      </c>
    </row>
    <row r="2" spans="1:19" s="140" customFormat="1" x14ac:dyDescent="0.25">
      <c r="A2" s="149">
        <v>4</v>
      </c>
      <c r="B2" s="149">
        <v>1</v>
      </c>
      <c r="C2" s="140">
        <f t="shared" ref="C2:C8" si="0">IF($B2="",$A2,$B2)</f>
        <v>1</v>
      </c>
      <c r="D2" s="149" t="s">
        <v>395</v>
      </c>
      <c r="E2" s="55" t="s">
        <v>385</v>
      </c>
      <c r="F2" s="150" t="s">
        <v>78</v>
      </c>
      <c r="G2" s="155" t="s">
        <v>386</v>
      </c>
      <c r="H2" s="150">
        <f>'1. Access Controls'!$H3</f>
        <v>0</v>
      </c>
      <c r="I2" s="149" t="str">
        <f>'1. Access Controls'!$G3</f>
        <v>Yes</v>
      </c>
      <c r="J2" s="43" t="str">
        <f t="shared" ref="J2:J8" si="1">IF($I2="Yes","Adequate",IF($I2="No","Inadequate",IF($I2="Partial","Inadequate",IF($I2="N/A","Inadequate",IF(OR($I2="",$I2=0),"Blank","Error")))))</f>
        <v>Adequate</v>
      </c>
      <c r="K2" s="43" t="s">
        <v>325</v>
      </c>
      <c r="L2" s="43" t="str">
        <f t="shared" ref="L2:L8" si="2">IF($K2="No Override",$J2,$K2)</f>
        <v>Adequate</v>
      </c>
      <c r="M2" s="43" t="str">
        <f t="shared" ref="M2:M8" si="3">IF($J2=$L2,"","***")</f>
        <v/>
      </c>
      <c r="N2" s="43" t="str">
        <f t="shared" ref="N2:N8" si="4">IF(OR($I2="",$I2=0),"",$I2)</f>
        <v>Yes</v>
      </c>
      <c r="O2" s="43" t="str">
        <f t="shared" ref="O2:O8" si="5">IF(OR($H2="",$H2=0),"",$H2)</f>
        <v/>
      </c>
      <c r="P2" s="43" t="str">
        <f t="shared" ref="P2:P8" si="6">$L2</f>
        <v>Adequate</v>
      </c>
      <c r="Q2" s="43" t="str">
        <f t="shared" ref="Q2:Q8" si="7">$K2</f>
        <v>No Override</v>
      </c>
      <c r="R2" s="43">
        <f t="shared" ref="R2:R8" si="8">$C2</f>
        <v>1</v>
      </c>
      <c r="S2" s="43" t="str">
        <f t="shared" ref="S2:S8" si="9">IF($L2=$P2,"","***")</f>
        <v/>
      </c>
    </row>
    <row r="3" spans="1:19" s="140" customFormat="1" x14ac:dyDescent="0.25">
      <c r="A3" s="149">
        <v>4</v>
      </c>
      <c r="B3" s="148"/>
      <c r="C3" s="140">
        <f t="shared" si="0"/>
        <v>4</v>
      </c>
      <c r="D3" s="149" t="s">
        <v>395</v>
      </c>
      <c r="E3" s="55" t="s">
        <v>387</v>
      </c>
      <c r="F3" s="150" t="s">
        <v>78</v>
      </c>
      <c r="G3" s="155" t="s">
        <v>388</v>
      </c>
      <c r="H3" s="150">
        <f>'1. Access Controls'!$H4</f>
        <v>0</v>
      </c>
      <c r="I3" s="149" t="str">
        <f>'1. Access Controls'!$G4</f>
        <v>Yes</v>
      </c>
      <c r="J3" s="43" t="str">
        <f t="shared" si="1"/>
        <v>Adequate</v>
      </c>
      <c r="K3" s="43" t="s">
        <v>325</v>
      </c>
      <c r="L3" s="43" t="str">
        <f t="shared" si="2"/>
        <v>Adequate</v>
      </c>
      <c r="M3" s="43" t="str">
        <f t="shared" si="3"/>
        <v/>
      </c>
      <c r="N3" s="43" t="str">
        <f t="shared" si="4"/>
        <v>Yes</v>
      </c>
      <c r="O3" s="43" t="str">
        <f t="shared" si="5"/>
        <v/>
      </c>
      <c r="P3" s="43" t="str">
        <f t="shared" si="6"/>
        <v>Adequate</v>
      </c>
      <c r="Q3" s="43" t="str">
        <f t="shared" si="7"/>
        <v>No Override</v>
      </c>
      <c r="R3" s="43">
        <f t="shared" si="8"/>
        <v>4</v>
      </c>
      <c r="S3" s="43" t="str">
        <f t="shared" si="9"/>
        <v/>
      </c>
    </row>
    <row r="4" spans="1:19" ht="24" x14ac:dyDescent="0.25">
      <c r="A4" s="43">
        <v>2</v>
      </c>
      <c r="C4" s="43">
        <f t="shared" si="0"/>
        <v>2</v>
      </c>
      <c r="D4" s="43" t="s">
        <v>101</v>
      </c>
      <c r="E4" s="55" t="s">
        <v>103</v>
      </c>
      <c r="F4" s="56" t="s">
        <v>326</v>
      </c>
      <c r="G4" s="155" t="s">
        <v>104</v>
      </c>
      <c r="H4" s="56">
        <f>'2. Awareness and Training'!$K3</f>
        <v>0</v>
      </c>
      <c r="I4" s="43" t="str">
        <f>'2. Awareness and Training'!$J3</f>
        <v>Yes</v>
      </c>
      <c r="J4" s="43" t="str">
        <f t="shared" si="1"/>
        <v>Adequate</v>
      </c>
      <c r="K4" s="43" t="s">
        <v>325</v>
      </c>
      <c r="L4" s="43" t="str">
        <f t="shared" si="2"/>
        <v>Adequate</v>
      </c>
      <c r="M4" s="43" t="str">
        <f t="shared" si="3"/>
        <v/>
      </c>
      <c r="N4" s="43" t="str">
        <f t="shared" si="4"/>
        <v>Yes</v>
      </c>
      <c r="O4" s="43" t="str">
        <f t="shared" si="5"/>
        <v/>
      </c>
      <c r="P4" s="43" t="str">
        <f t="shared" si="6"/>
        <v>Adequate</v>
      </c>
      <c r="Q4" s="43" t="str">
        <f t="shared" si="7"/>
        <v>No Override</v>
      </c>
      <c r="R4" s="43">
        <f t="shared" si="8"/>
        <v>2</v>
      </c>
      <c r="S4" s="43" t="str">
        <f t="shared" si="9"/>
        <v/>
      </c>
    </row>
    <row r="5" spans="1:19" x14ac:dyDescent="0.25">
      <c r="A5" s="43">
        <v>2</v>
      </c>
      <c r="C5" s="43">
        <f t="shared" si="0"/>
        <v>2</v>
      </c>
      <c r="D5" s="43" t="s">
        <v>101</v>
      </c>
      <c r="E5" s="55" t="s">
        <v>106</v>
      </c>
      <c r="F5" s="57" t="s">
        <v>327</v>
      </c>
      <c r="G5" s="155" t="s">
        <v>107</v>
      </c>
      <c r="H5" s="56">
        <f>'2. Awareness and Training'!$K4</f>
        <v>0</v>
      </c>
      <c r="I5" s="43" t="str">
        <f>'2. Awareness and Training'!$J4</f>
        <v>Yes</v>
      </c>
      <c r="J5" s="43" t="str">
        <f t="shared" si="1"/>
        <v>Adequate</v>
      </c>
      <c r="K5" s="43" t="s">
        <v>325</v>
      </c>
      <c r="L5" s="43" t="str">
        <f t="shared" si="2"/>
        <v>Adequate</v>
      </c>
      <c r="M5" s="43" t="str">
        <f t="shared" si="3"/>
        <v/>
      </c>
      <c r="N5" s="43" t="str">
        <f t="shared" si="4"/>
        <v>Yes</v>
      </c>
      <c r="O5" s="43" t="str">
        <f t="shared" si="5"/>
        <v/>
      </c>
      <c r="P5" s="43" t="str">
        <f t="shared" si="6"/>
        <v>Adequate</v>
      </c>
      <c r="Q5" s="43" t="str">
        <f t="shared" si="7"/>
        <v>No Override</v>
      </c>
      <c r="R5" s="43">
        <f t="shared" si="8"/>
        <v>2</v>
      </c>
      <c r="S5" s="43" t="str">
        <f t="shared" si="9"/>
        <v/>
      </c>
    </row>
    <row r="6" spans="1:19" x14ac:dyDescent="0.25">
      <c r="A6" s="43">
        <v>2</v>
      </c>
      <c r="C6" s="43">
        <f t="shared" si="0"/>
        <v>2</v>
      </c>
      <c r="D6" s="43" t="s">
        <v>101</v>
      </c>
      <c r="E6" s="55" t="s">
        <v>108</v>
      </c>
      <c r="F6" s="56" t="s">
        <v>327</v>
      </c>
      <c r="G6" s="155" t="s">
        <v>109</v>
      </c>
      <c r="H6" s="56">
        <f>'2. Awareness and Training'!$K5</f>
        <v>0</v>
      </c>
      <c r="I6" s="43" t="str">
        <f>'2. Awareness and Training'!$J5</f>
        <v>Yes</v>
      </c>
      <c r="J6" s="43" t="str">
        <f t="shared" si="1"/>
        <v>Adequate</v>
      </c>
      <c r="K6" s="43" t="s">
        <v>325</v>
      </c>
      <c r="L6" s="43" t="str">
        <f t="shared" si="2"/>
        <v>Adequate</v>
      </c>
      <c r="M6" s="43" t="str">
        <f t="shared" si="3"/>
        <v/>
      </c>
      <c r="N6" s="43" t="str">
        <f t="shared" si="4"/>
        <v>Yes</v>
      </c>
      <c r="O6" s="43" t="str">
        <f t="shared" si="5"/>
        <v/>
      </c>
      <c r="P6" s="43" t="str">
        <f t="shared" si="6"/>
        <v>Adequate</v>
      </c>
      <c r="Q6" s="43" t="str">
        <f t="shared" si="7"/>
        <v>No Override</v>
      </c>
      <c r="R6" s="43">
        <f t="shared" si="8"/>
        <v>2</v>
      </c>
      <c r="S6" s="43" t="str">
        <f t="shared" si="9"/>
        <v/>
      </c>
    </row>
    <row r="7" spans="1:19" ht="24" x14ac:dyDescent="0.25">
      <c r="A7" s="43">
        <v>2</v>
      </c>
      <c r="C7" s="43">
        <f t="shared" si="0"/>
        <v>2</v>
      </c>
      <c r="D7" s="43" t="s">
        <v>101</v>
      </c>
      <c r="E7" s="55" t="s">
        <v>111</v>
      </c>
      <c r="F7" s="56" t="s">
        <v>328</v>
      </c>
      <c r="G7" s="156" t="s">
        <v>112</v>
      </c>
      <c r="H7" s="56">
        <f>'2. Awareness and Training'!$K6</f>
        <v>0</v>
      </c>
      <c r="I7" s="43" t="str">
        <f>'2. Awareness and Training'!$J6</f>
        <v>No</v>
      </c>
      <c r="J7" s="43" t="str">
        <f t="shared" si="1"/>
        <v>Inadequate</v>
      </c>
      <c r="K7" s="43" t="s">
        <v>325</v>
      </c>
      <c r="L7" s="43" t="str">
        <f t="shared" si="2"/>
        <v>Inadequate</v>
      </c>
      <c r="M7" s="43" t="str">
        <f t="shared" si="3"/>
        <v/>
      </c>
      <c r="N7" s="43" t="str">
        <f t="shared" si="4"/>
        <v>No</v>
      </c>
      <c r="O7" s="43" t="str">
        <f t="shared" si="5"/>
        <v/>
      </c>
      <c r="P7" s="43" t="str">
        <f t="shared" si="6"/>
        <v>Inadequate</v>
      </c>
      <c r="Q7" s="43" t="str">
        <f t="shared" si="7"/>
        <v>No Override</v>
      </c>
      <c r="R7" s="43">
        <f t="shared" si="8"/>
        <v>2</v>
      </c>
      <c r="S7" s="43" t="str">
        <f t="shared" si="9"/>
        <v/>
      </c>
    </row>
    <row r="8" spans="1:19" x14ac:dyDescent="0.25">
      <c r="A8" s="43">
        <v>2</v>
      </c>
      <c r="C8" s="43">
        <f t="shared" si="0"/>
        <v>2</v>
      </c>
      <c r="D8" s="43" t="s">
        <v>101</v>
      </c>
      <c r="E8" s="55" t="s">
        <v>114</v>
      </c>
      <c r="F8" s="56" t="s">
        <v>329</v>
      </c>
      <c r="G8" s="156" t="s">
        <v>115</v>
      </c>
      <c r="H8" s="56">
        <f>'2. Awareness and Training'!$K7</f>
        <v>0</v>
      </c>
      <c r="I8" s="43" t="str">
        <f>'2. Awareness and Training'!$J7</f>
        <v>Yes</v>
      </c>
      <c r="J8" s="43" t="str">
        <f t="shared" si="1"/>
        <v>Adequate</v>
      </c>
      <c r="K8" s="43" t="s">
        <v>325</v>
      </c>
      <c r="L8" s="43" t="str">
        <f t="shared" si="2"/>
        <v>Adequate</v>
      </c>
      <c r="M8" s="43" t="str">
        <f t="shared" si="3"/>
        <v/>
      </c>
      <c r="N8" s="43" t="str">
        <f t="shared" si="4"/>
        <v>Yes</v>
      </c>
      <c r="O8" s="43" t="str">
        <f t="shared" si="5"/>
        <v/>
      </c>
      <c r="P8" s="43" t="str">
        <f t="shared" si="6"/>
        <v>Adequate</v>
      </c>
      <c r="Q8" s="43" t="str">
        <f t="shared" si="7"/>
        <v>No Override</v>
      </c>
      <c r="R8" s="43">
        <f t="shared" si="8"/>
        <v>2</v>
      </c>
      <c r="S8" s="43" t="str">
        <f t="shared" si="9"/>
        <v/>
      </c>
    </row>
    <row r="9" spans="1:19" x14ac:dyDescent="0.25">
      <c r="A9" s="43">
        <v>3</v>
      </c>
      <c r="B9" s="43">
        <v>1</v>
      </c>
      <c r="C9" s="43">
        <f t="shared" ref="C9:C15" si="10">IF($B9="",$A9,$B9)</f>
        <v>1</v>
      </c>
      <c r="D9" s="43" t="s">
        <v>330</v>
      </c>
      <c r="E9" s="55" t="s">
        <v>120</v>
      </c>
      <c r="F9" s="56" t="s">
        <v>119</v>
      </c>
      <c r="G9" s="158" t="s">
        <v>121</v>
      </c>
      <c r="H9" s="58">
        <f>'8. Incident Response'!$K3</f>
        <v>0</v>
      </c>
      <c r="I9" s="43" t="str">
        <f>'8. Incident Response'!$J3</f>
        <v>Yes</v>
      </c>
      <c r="J9" s="43" t="str">
        <f t="shared" ref="J9:J15" si="11">IF($I9="Yes","Adequate",IF($I9="No","Inadequate",IF($I9="Partial","Inadequate",IF($I9="N/A","Inadequate",IF(OR($I9="",$I9=0),"Blank","Error")))))</f>
        <v>Adequate</v>
      </c>
      <c r="K9" s="43" t="s">
        <v>325</v>
      </c>
      <c r="L9" s="43" t="str">
        <f t="shared" ref="L9:L15" si="12">IF($K9="No Override",$J9,$K9)</f>
        <v>Adequate</v>
      </c>
      <c r="M9" s="43" t="str">
        <f t="shared" ref="M9:M15" si="13">IF($J9=$L9,"","***")</f>
        <v/>
      </c>
      <c r="N9" s="43" t="str">
        <f t="shared" ref="N9:N15" si="14">IF(OR($I9="",$I9=0),"",$I9)</f>
        <v>Yes</v>
      </c>
      <c r="O9" s="43" t="str">
        <f t="shared" ref="O9:O15" si="15">IF(OR($H9="",$H9=0),"",$H9)</f>
        <v/>
      </c>
      <c r="P9" s="43" t="str">
        <f t="shared" ref="P9:P15" si="16">$L9</f>
        <v>Adequate</v>
      </c>
      <c r="Q9" s="43" t="str">
        <f t="shared" ref="Q9:Q15" si="17">$K9</f>
        <v>No Override</v>
      </c>
      <c r="R9" s="43">
        <f t="shared" ref="R9:R15" si="18">$C9</f>
        <v>1</v>
      </c>
      <c r="S9" s="43" t="str">
        <f t="shared" ref="S9:S15" si="19">IF($L9=$P9,"","***")</f>
        <v/>
      </c>
    </row>
    <row r="10" spans="1:19" x14ac:dyDescent="0.25">
      <c r="A10" s="43">
        <v>3</v>
      </c>
      <c r="B10" s="43">
        <v>2</v>
      </c>
      <c r="C10" s="43">
        <f t="shared" si="10"/>
        <v>2</v>
      </c>
      <c r="D10" s="43" t="s">
        <v>330</v>
      </c>
      <c r="E10" s="55" t="s">
        <v>124</v>
      </c>
      <c r="F10" s="56" t="s">
        <v>123</v>
      </c>
      <c r="G10" s="159" t="s">
        <v>125</v>
      </c>
      <c r="H10" s="58">
        <f>'8. Incident Response'!$K4</f>
        <v>0</v>
      </c>
      <c r="I10" s="43" t="str">
        <f>'8. Incident Response'!$J4</f>
        <v>Yes</v>
      </c>
      <c r="J10" s="43" t="str">
        <f t="shared" si="11"/>
        <v>Adequate</v>
      </c>
      <c r="K10" s="43" t="s">
        <v>325</v>
      </c>
      <c r="L10" s="43" t="str">
        <f t="shared" si="12"/>
        <v>Adequate</v>
      </c>
      <c r="M10" s="43" t="str">
        <f t="shared" si="13"/>
        <v/>
      </c>
      <c r="N10" s="43" t="str">
        <f t="shared" si="14"/>
        <v>Yes</v>
      </c>
      <c r="O10" s="43" t="str">
        <f t="shared" si="15"/>
        <v/>
      </c>
      <c r="P10" s="43" t="str">
        <f t="shared" si="16"/>
        <v>Adequate</v>
      </c>
      <c r="Q10" s="43" t="str">
        <f t="shared" si="17"/>
        <v>No Override</v>
      </c>
      <c r="R10" s="43">
        <f t="shared" si="18"/>
        <v>2</v>
      </c>
      <c r="S10" s="43" t="str">
        <f t="shared" si="19"/>
        <v/>
      </c>
    </row>
    <row r="11" spans="1:19" x14ac:dyDescent="0.25">
      <c r="A11" s="43">
        <v>3</v>
      </c>
      <c r="B11" s="43">
        <v>2</v>
      </c>
      <c r="C11" s="43">
        <f t="shared" si="10"/>
        <v>2</v>
      </c>
      <c r="D11" s="43" t="s">
        <v>330</v>
      </c>
      <c r="E11" s="55" t="s">
        <v>126</v>
      </c>
      <c r="F11" s="56" t="s">
        <v>123</v>
      </c>
      <c r="G11" s="159" t="s">
        <v>127</v>
      </c>
      <c r="H11" s="58">
        <f>'8. Incident Response'!$K5</f>
        <v>0</v>
      </c>
      <c r="I11" s="43" t="str">
        <f>'8. Incident Response'!$J5</f>
        <v>No</v>
      </c>
      <c r="J11" s="43" t="str">
        <f t="shared" si="11"/>
        <v>Inadequate</v>
      </c>
      <c r="K11" s="43" t="s">
        <v>325</v>
      </c>
      <c r="L11" s="43" t="str">
        <f t="shared" si="12"/>
        <v>Inadequate</v>
      </c>
      <c r="M11" s="43" t="str">
        <f t="shared" si="13"/>
        <v/>
      </c>
      <c r="N11" s="43" t="str">
        <f t="shared" si="14"/>
        <v>No</v>
      </c>
      <c r="O11" s="43" t="str">
        <f t="shared" si="15"/>
        <v/>
      </c>
      <c r="P11" s="43" t="str">
        <f t="shared" si="16"/>
        <v>Inadequate</v>
      </c>
      <c r="Q11" s="43" t="str">
        <f t="shared" si="17"/>
        <v>No Override</v>
      </c>
      <c r="R11" s="43">
        <f t="shared" si="18"/>
        <v>2</v>
      </c>
      <c r="S11" s="43" t="str">
        <f t="shared" si="19"/>
        <v/>
      </c>
    </row>
    <row r="12" spans="1:19" x14ac:dyDescent="0.25">
      <c r="A12" s="43">
        <v>3</v>
      </c>
      <c r="B12" s="43">
        <v>2</v>
      </c>
      <c r="C12" s="43">
        <f t="shared" si="10"/>
        <v>2</v>
      </c>
      <c r="D12" s="43" t="s">
        <v>330</v>
      </c>
      <c r="E12" s="55" t="s">
        <v>130</v>
      </c>
      <c r="F12" s="56" t="s">
        <v>129</v>
      </c>
      <c r="G12" s="159" t="s">
        <v>131</v>
      </c>
      <c r="H12" s="58">
        <f>'8. Incident Response'!$K6</f>
        <v>0</v>
      </c>
      <c r="I12" s="43" t="str">
        <f>'8. Incident Response'!$J6</f>
        <v>No</v>
      </c>
      <c r="J12" s="43" t="str">
        <f t="shared" si="11"/>
        <v>Inadequate</v>
      </c>
      <c r="K12" s="43" t="s">
        <v>325</v>
      </c>
      <c r="L12" s="43" t="str">
        <f t="shared" si="12"/>
        <v>Inadequate</v>
      </c>
      <c r="M12" s="43" t="str">
        <f t="shared" si="13"/>
        <v/>
      </c>
      <c r="N12" s="43" t="str">
        <f t="shared" si="14"/>
        <v>No</v>
      </c>
      <c r="O12" s="43" t="str">
        <f t="shared" si="15"/>
        <v/>
      </c>
      <c r="P12" s="43" t="str">
        <f t="shared" si="16"/>
        <v>Inadequate</v>
      </c>
      <c r="Q12" s="43" t="str">
        <f t="shared" si="17"/>
        <v>No Override</v>
      </c>
      <c r="R12" s="43">
        <f t="shared" si="18"/>
        <v>2</v>
      </c>
      <c r="S12" s="43" t="str">
        <f t="shared" si="19"/>
        <v/>
      </c>
    </row>
    <row r="13" spans="1:19" x14ac:dyDescent="0.25">
      <c r="A13" s="43">
        <v>3</v>
      </c>
      <c r="B13" s="43">
        <v>2</v>
      </c>
      <c r="C13" s="43">
        <f t="shared" si="10"/>
        <v>2</v>
      </c>
      <c r="D13" s="43" t="s">
        <v>330</v>
      </c>
      <c r="E13" s="55" t="s">
        <v>132</v>
      </c>
      <c r="F13" s="56" t="s">
        <v>129</v>
      </c>
      <c r="G13" s="159" t="s">
        <v>133</v>
      </c>
      <c r="H13" s="58">
        <f>'8. Incident Response'!$K7</f>
        <v>0</v>
      </c>
      <c r="I13" s="43" t="str">
        <f>'8. Incident Response'!$J7</f>
        <v>No</v>
      </c>
      <c r="J13" s="43" t="str">
        <f t="shared" si="11"/>
        <v>Inadequate</v>
      </c>
      <c r="K13" s="43" t="s">
        <v>325</v>
      </c>
      <c r="L13" s="43" t="str">
        <f t="shared" si="12"/>
        <v>Inadequate</v>
      </c>
      <c r="M13" s="43" t="str">
        <f t="shared" si="13"/>
        <v/>
      </c>
      <c r="N13" s="43" t="str">
        <f t="shared" si="14"/>
        <v>No</v>
      </c>
      <c r="O13" s="43" t="str">
        <f t="shared" si="15"/>
        <v/>
      </c>
      <c r="P13" s="43" t="str">
        <f t="shared" si="16"/>
        <v>Inadequate</v>
      </c>
      <c r="Q13" s="43" t="str">
        <f t="shared" si="17"/>
        <v>No Override</v>
      </c>
      <c r="R13" s="43">
        <f t="shared" si="18"/>
        <v>2</v>
      </c>
      <c r="S13" s="43" t="str">
        <f t="shared" si="19"/>
        <v/>
      </c>
    </row>
    <row r="14" spans="1:19" x14ac:dyDescent="0.25">
      <c r="A14" s="43">
        <v>3</v>
      </c>
      <c r="B14" s="43">
        <v>1</v>
      </c>
      <c r="C14" s="43">
        <f t="shared" si="10"/>
        <v>1</v>
      </c>
      <c r="D14" s="43" t="s">
        <v>330</v>
      </c>
      <c r="E14" s="55" t="s">
        <v>136</v>
      </c>
      <c r="F14" s="56" t="s">
        <v>135</v>
      </c>
      <c r="G14" s="159" t="s">
        <v>137</v>
      </c>
      <c r="H14" s="58">
        <f>'8. Incident Response'!$K8</f>
        <v>0</v>
      </c>
      <c r="I14" s="43" t="str">
        <f>'8. Incident Response'!$J8</f>
        <v>Yes</v>
      </c>
      <c r="J14" s="43" t="str">
        <f t="shared" si="11"/>
        <v>Adequate</v>
      </c>
      <c r="K14" s="43" t="s">
        <v>325</v>
      </c>
      <c r="L14" s="43" t="str">
        <f t="shared" si="12"/>
        <v>Adequate</v>
      </c>
      <c r="M14" s="43" t="str">
        <f t="shared" si="13"/>
        <v/>
      </c>
      <c r="N14" s="43" t="str">
        <f t="shared" si="14"/>
        <v>Yes</v>
      </c>
      <c r="O14" s="43" t="str">
        <f t="shared" si="15"/>
        <v/>
      </c>
      <c r="P14" s="43" t="str">
        <f t="shared" si="16"/>
        <v>Adequate</v>
      </c>
      <c r="Q14" s="43" t="str">
        <f t="shared" si="17"/>
        <v>No Override</v>
      </c>
      <c r="R14" s="43">
        <f t="shared" si="18"/>
        <v>1</v>
      </c>
      <c r="S14" s="43" t="str">
        <f t="shared" si="19"/>
        <v/>
      </c>
    </row>
    <row r="15" spans="1:19" x14ac:dyDescent="0.25">
      <c r="A15" s="43">
        <v>3</v>
      </c>
      <c r="B15" s="43">
        <v>1</v>
      </c>
      <c r="C15" s="43">
        <f t="shared" si="10"/>
        <v>1</v>
      </c>
      <c r="D15" s="43" t="s">
        <v>330</v>
      </c>
      <c r="E15" s="55" t="s">
        <v>140</v>
      </c>
      <c r="F15" s="56" t="s">
        <v>139</v>
      </c>
      <c r="G15" s="159" t="s">
        <v>141</v>
      </c>
      <c r="H15" s="58">
        <f>'8. Incident Response'!$K9</f>
        <v>0</v>
      </c>
      <c r="I15" s="43" t="str">
        <f>'8. Incident Response'!$J9</f>
        <v>Yes</v>
      </c>
      <c r="J15" s="43" t="str">
        <f t="shared" si="11"/>
        <v>Adequate</v>
      </c>
      <c r="K15" s="43" t="s">
        <v>325</v>
      </c>
      <c r="L15" s="43" t="str">
        <f t="shared" si="12"/>
        <v>Adequate</v>
      </c>
      <c r="M15" s="43" t="str">
        <f t="shared" si="13"/>
        <v/>
      </c>
      <c r="N15" s="43" t="str">
        <f t="shared" si="14"/>
        <v>Yes</v>
      </c>
      <c r="O15" s="43" t="str">
        <f t="shared" si="15"/>
        <v/>
      </c>
      <c r="P15" s="43" t="str">
        <f t="shared" si="16"/>
        <v>Adequate</v>
      </c>
      <c r="Q15" s="43" t="str">
        <f t="shared" si="17"/>
        <v>No Override</v>
      </c>
      <c r="R15" s="43">
        <f t="shared" si="18"/>
        <v>1</v>
      </c>
      <c r="S15" s="43" t="str">
        <f t="shared" si="19"/>
        <v/>
      </c>
    </row>
    <row r="16" spans="1:19" x14ac:dyDescent="0.25">
      <c r="A16" s="43">
        <v>4</v>
      </c>
      <c r="C16" s="43">
        <f t="shared" ref="C16:C27" si="20">IF($B16="",$A16,$B16)</f>
        <v>4</v>
      </c>
      <c r="D16" s="43" t="s">
        <v>142</v>
      </c>
      <c r="E16" s="55" t="s">
        <v>146</v>
      </c>
      <c r="F16" s="56" t="s">
        <v>145</v>
      </c>
      <c r="G16" s="155" t="s">
        <v>147</v>
      </c>
      <c r="H16" s="56" t="str">
        <f>'9. Maintenance'!$K3</f>
        <v>Maintenance procedures are part of corporate QMS and are propriatary</v>
      </c>
      <c r="I16" s="43" t="str">
        <f>'9. Maintenance'!$J3</f>
        <v>Yes</v>
      </c>
      <c r="J16" s="43" t="str">
        <f t="shared" ref="J16:J27" si="21">IF($I16="Yes","Adequate",IF($I16="No","Inadequate",IF($I16="Partial","Inadequate",IF($I16="N/A","Inadequate",IF(OR($I16="",$I16=0),"Blank","Error")))))</f>
        <v>Adequate</v>
      </c>
      <c r="K16" s="43" t="s">
        <v>325</v>
      </c>
      <c r="L16" s="43" t="str">
        <f t="shared" ref="L16:L27" si="22">IF($K16="No Override",$J16,$K16)</f>
        <v>Adequate</v>
      </c>
      <c r="M16" s="43" t="str">
        <f t="shared" ref="M16:M27" si="23">IF($J16=$L16,"","***")</f>
        <v/>
      </c>
      <c r="N16" s="43" t="str">
        <f t="shared" ref="N16:N27" si="24">IF(OR($I16="",$I16=0),"",$I16)</f>
        <v>Yes</v>
      </c>
      <c r="O16" s="43" t="str">
        <f t="shared" ref="O16:O27" si="25">IF(OR($H16="",$H16=0),"",$H16)</f>
        <v>Maintenance procedures are part of corporate QMS and are propriatary</v>
      </c>
      <c r="P16" s="43" t="str">
        <f t="shared" ref="P16:P27" si="26">$L16</f>
        <v>Adequate</v>
      </c>
      <c r="Q16" s="43" t="str">
        <f t="shared" ref="Q16:Q27" si="27">$K16</f>
        <v>No Override</v>
      </c>
      <c r="R16" s="43">
        <f t="shared" ref="R16:R27" si="28">$C16</f>
        <v>4</v>
      </c>
      <c r="S16" s="43" t="str">
        <f t="shared" ref="S16:S27" si="29">IF($L16=$P16,"","***")</f>
        <v/>
      </c>
    </row>
    <row r="17" spans="1:19" x14ac:dyDescent="0.25">
      <c r="A17" s="43">
        <v>4</v>
      </c>
      <c r="C17" s="43">
        <f t="shared" si="20"/>
        <v>4</v>
      </c>
      <c r="D17" s="43" t="s">
        <v>142</v>
      </c>
      <c r="E17" s="59" t="s">
        <v>150</v>
      </c>
      <c r="F17" s="60" t="s">
        <v>149</v>
      </c>
      <c r="G17" s="159" t="s">
        <v>151</v>
      </c>
      <c r="H17" s="56">
        <f>'9. Maintenance'!$K4</f>
        <v>0</v>
      </c>
      <c r="I17" s="43" t="str">
        <f>'9. Maintenance'!$J4</f>
        <v>Yes</v>
      </c>
      <c r="J17" s="43" t="str">
        <f t="shared" si="21"/>
        <v>Adequate</v>
      </c>
      <c r="K17" s="43" t="s">
        <v>325</v>
      </c>
      <c r="L17" s="43" t="str">
        <f t="shared" si="22"/>
        <v>Adequate</v>
      </c>
      <c r="M17" s="43" t="str">
        <f t="shared" si="23"/>
        <v/>
      </c>
      <c r="N17" s="43" t="str">
        <f t="shared" si="24"/>
        <v>Yes</v>
      </c>
      <c r="O17" s="43" t="str">
        <f t="shared" si="25"/>
        <v/>
      </c>
      <c r="P17" s="43" t="str">
        <f t="shared" si="26"/>
        <v>Adequate</v>
      </c>
      <c r="Q17" s="43" t="str">
        <f t="shared" si="27"/>
        <v>No Override</v>
      </c>
      <c r="R17" s="43">
        <f t="shared" si="28"/>
        <v>4</v>
      </c>
      <c r="S17" s="43" t="str">
        <f t="shared" si="29"/>
        <v/>
      </c>
    </row>
    <row r="18" spans="1:19" x14ac:dyDescent="0.25">
      <c r="A18" s="43">
        <v>4</v>
      </c>
      <c r="C18" s="43">
        <f t="shared" si="20"/>
        <v>4</v>
      </c>
      <c r="D18" s="43" t="s">
        <v>142</v>
      </c>
      <c r="E18" s="59" t="s">
        <v>152</v>
      </c>
      <c r="F18" s="60" t="s">
        <v>149</v>
      </c>
      <c r="G18" s="159" t="s">
        <v>153</v>
      </c>
      <c r="H18" s="56" t="str">
        <f>'9. Maintenance'!$K5</f>
        <v>By maintenance we assume two main parts: 1) Patches and enhancements to the product. This is fully monitored and controlled by our SDLC.
2) Help-desk activities. Although all processes and proceudres are approved, the actual activities by support are controlled by severity where minor issues are closed by support while higher severity items are escalated and closely controlled</v>
      </c>
      <c r="I18" s="43" t="str">
        <f>'9. Maintenance'!$J5</f>
        <v>Partial</v>
      </c>
      <c r="J18" s="43" t="str">
        <f t="shared" si="21"/>
        <v>Inadequate</v>
      </c>
      <c r="K18" s="43" t="s">
        <v>325</v>
      </c>
      <c r="L18" s="43" t="str">
        <f t="shared" si="22"/>
        <v>Inadequate</v>
      </c>
      <c r="M18" s="43" t="str">
        <f t="shared" si="23"/>
        <v/>
      </c>
      <c r="N18" s="43" t="str">
        <f t="shared" si="24"/>
        <v>Partial</v>
      </c>
      <c r="O18" s="43" t="str">
        <f t="shared" si="25"/>
        <v>By maintenance we assume two main parts: 1) Patches and enhancements to the product. This is fully monitored and controlled by our SDLC.
2) Help-desk activities. Although all processes and proceudres are approved, the actual activities by support are controlled by severity where minor issues are closed by support while higher severity items are escalated and closely controlled</v>
      </c>
      <c r="P18" s="43" t="str">
        <f t="shared" si="26"/>
        <v>Inadequate</v>
      </c>
      <c r="Q18" s="43" t="str">
        <f t="shared" si="27"/>
        <v>No Override</v>
      </c>
      <c r="R18" s="43">
        <f t="shared" si="28"/>
        <v>4</v>
      </c>
      <c r="S18" s="43" t="str">
        <f t="shared" si="29"/>
        <v/>
      </c>
    </row>
    <row r="19" spans="1:19" ht="24" x14ac:dyDescent="0.25">
      <c r="A19" s="43">
        <v>4</v>
      </c>
      <c r="C19" s="43">
        <f t="shared" si="20"/>
        <v>4</v>
      </c>
      <c r="D19" s="43" t="s">
        <v>142</v>
      </c>
      <c r="E19" s="59" t="s">
        <v>154</v>
      </c>
      <c r="F19" s="60" t="s">
        <v>149</v>
      </c>
      <c r="G19" s="159" t="s">
        <v>155</v>
      </c>
      <c r="H19" s="56" t="str">
        <f>'9. Maintenance'!$K6</f>
        <v>PeriGen does not move, copy or remove data/systems from customer controlled instances of our system</v>
      </c>
      <c r="I19" s="43" t="str">
        <f>'9. Maintenance'!$J6</f>
        <v>N/A</v>
      </c>
      <c r="J19" s="43" t="str">
        <f t="shared" si="21"/>
        <v>Inadequate</v>
      </c>
      <c r="K19" s="43" t="s">
        <v>325</v>
      </c>
      <c r="L19" s="43" t="str">
        <f t="shared" si="22"/>
        <v>Inadequate</v>
      </c>
      <c r="M19" s="43" t="str">
        <f t="shared" si="23"/>
        <v/>
      </c>
      <c r="N19" s="43" t="str">
        <f t="shared" si="24"/>
        <v>N/A</v>
      </c>
      <c r="O19" s="43" t="str">
        <f t="shared" si="25"/>
        <v>PeriGen does not move, copy or remove data/systems from customer controlled instances of our system</v>
      </c>
      <c r="P19" s="43" t="str">
        <f t="shared" si="26"/>
        <v>Inadequate</v>
      </c>
      <c r="Q19" s="43" t="str">
        <f t="shared" si="27"/>
        <v>No Override</v>
      </c>
      <c r="R19" s="43">
        <f t="shared" si="28"/>
        <v>4</v>
      </c>
      <c r="S19" s="43" t="str">
        <f t="shared" si="29"/>
        <v/>
      </c>
    </row>
    <row r="20" spans="1:19" ht="24" x14ac:dyDescent="0.25">
      <c r="A20" s="43">
        <v>4</v>
      </c>
      <c r="B20" s="43">
        <v>1</v>
      </c>
      <c r="C20" s="43">
        <f t="shared" si="20"/>
        <v>1</v>
      </c>
      <c r="D20" s="43" t="s">
        <v>142</v>
      </c>
      <c r="E20" s="59" t="s">
        <v>156</v>
      </c>
      <c r="F20" s="60" t="s">
        <v>149</v>
      </c>
      <c r="G20" s="159" t="s">
        <v>157</v>
      </c>
      <c r="H20" s="56" t="str">
        <f>'9. Maintenance'!$K7</f>
        <v>PeriGen does not move, copy or remove data/systems from customer controlled instances of our system</v>
      </c>
      <c r="I20" s="43" t="str">
        <f>'9. Maintenance'!$J7</f>
        <v>N/A</v>
      </c>
      <c r="J20" s="43" t="str">
        <f t="shared" si="21"/>
        <v>Inadequate</v>
      </c>
      <c r="K20" s="43" t="s">
        <v>325</v>
      </c>
      <c r="L20" s="43" t="str">
        <f t="shared" si="22"/>
        <v>Inadequate</v>
      </c>
      <c r="M20" s="43" t="str">
        <f t="shared" si="23"/>
        <v/>
      </c>
      <c r="N20" s="43" t="str">
        <f t="shared" si="24"/>
        <v>N/A</v>
      </c>
      <c r="O20" s="43" t="str">
        <f t="shared" si="25"/>
        <v>PeriGen does not move, copy or remove data/systems from customer controlled instances of our system</v>
      </c>
      <c r="P20" s="43" t="str">
        <f t="shared" si="26"/>
        <v>Inadequate</v>
      </c>
      <c r="Q20" s="43" t="str">
        <f t="shared" si="27"/>
        <v>No Override</v>
      </c>
      <c r="R20" s="43">
        <f t="shared" si="28"/>
        <v>1</v>
      </c>
      <c r="S20" s="43" t="str">
        <f t="shared" si="29"/>
        <v/>
      </c>
    </row>
    <row r="21" spans="1:19" ht="24" x14ac:dyDescent="0.25">
      <c r="A21" s="43">
        <v>4</v>
      </c>
      <c r="C21" s="43">
        <f t="shared" si="20"/>
        <v>4</v>
      </c>
      <c r="D21" s="43" t="s">
        <v>142</v>
      </c>
      <c r="E21" s="59" t="s">
        <v>158</v>
      </c>
      <c r="F21" s="60" t="s">
        <v>149</v>
      </c>
      <c r="G21" s="159" t="s">
        <v>159</v>
      </c>
      <c r="H21" s="56" t="str">
        <f>'9. Maintenance'!$K8</f>
        <v>Upon update, Operations staff perfroms a validation of installation to ensure the update was perromed correctly. Logs are reviewed for errors and authentication is confirmed implicitly is order to perform this check. The user aspect of the validation is the responsibility of the customer.</v>
      </c>
      <c r="I21" s="43" t="str">
        <f>'9. Maintenance'!$J8</f>
        <v>Partial</v>
      </c>
      <c r="J21" s="43" t="str">
        <f t="shared" si="21"/>
        <v>Inadequate</v>
      </c>
      <c r="K21" s="43" t="s">
        <v>325</v>
      </c>
      <c r="L21" s="43" t="str">
        <f t="shared" si="22"/>
        <v>Inadequate</v>
      </c>
      <c r="M21" s="43" t="str">
        <f t="shared" si="23"/>
        <v/>
      </c>
      <c r="N21" s="43" t="str">
        <f t="shared" si="24"/>
        <v>Partial</v>
      </c>
      <c r="O21" s="43" t="str">
        <f t="shared" si="25"/>
        <v>Upon update, Operations staff perfroms a validation of installation to ensure the update was perromed correctly. Logs are reviewed for errors and authentication is confirmed implicitly is order to perform this check. The user aspect of the validation is the responsibility of the customer.</v>
      </c>
      <c r="P21" s="43" t="str">
        <f t="shared" si="26"/>
        <v>Inadequate</v>
      </c>
      <c r="Q21" s="43" t="str">
        <f t="shared" si="27"/>
        <v>No Override</v>
      </c>
      <c r="R21" s="43">
        <f t="shared" si="28"/>
        <v>4</v>
      </c>
      <c r="S21" s="43" t="str">
        <f t="shared" si="29"/>
        <v/>
      </c>
    </row>
    <row r="22" spans="1:19" x14ac:dyDescent="0.25">
      <c r="A22" s="43">
        <v>4</v>
      </c>
      <c r="C22" s="43">
        <f t="shared" si="20"/>
        <v>4</v>
      </c>
      <c r="D22" s="43" t="s">
        <v>142</v>
      </c>
      <c r="E22" s="55" t="s">
        <v>162</v>
      </c>
      <c r="F22" s="56" t="s">
        <v>161</v>
      </c>
      <c r="G22" s="159" t="s">
        <v>163</v>
      </c>
      <c r="H22" s="56">
        <f>'9. Maintenance'!$K9</f>
        <v>0</v>
      </c>
      <c r="I22" s="43" t="str">
        <f>'9. Maintenance'!$J9</f>
        <v>Yes</v>
      </c>
      <c r="J22" s="43" t="str">
        <f t="shared" si="21"/>
        <v>Adequate</v>
      </c>
      <c r="K22" s="43" t="s">
        <v>325</v>
      </c>
      <c r="L22" s="43" t="str">
        <f t="shared" si="22"/>
        <v>Adequate</v>
      </c>
      <c r="M22" s="43" t="str">
        <f t="shared" si="23"/>
        <v/>
      </c>
      <c r="N22" s="43" t="str">
        <f t="shared" si="24"/>
        <v>Yes</v>
      </c>
      <c r="O22" s="43" t="str">
        <f t="shared" si="25"/>
        <v/>
      </c>
      <c r="P22" s="43" t="str">
        <f t="shared" si="26"/>
        <v>Adequate</v>
      </c>
      <c r="Q22" s="43" t="str">
        <f t="shared" si="27"/>
        <v>No Override</v>
      </c>
      <c r="R22" s="43">
        <f t="shared" si="28"/>
        <v>4</v>
      </c>
      <c r="S22" s="43" t="str">
        <f t="shared" si="29"/>
        <v/>
      </c>
    </row>
    <row r="23" spans="1:19" x14ac:dyDescent="0.25">
      <c r="A23" s="43">
        <v>1</v>
      </c>
      <c r="B23" s="43">
        <v>1</v>
      </c>
      <c r="C23" s="43">
        <f t="shared" si="20"/>
        <v>1</v>
      </c>
      <c r="D23" s="43" t="s">
        <v>142</v>
      </c>
      <c r="E23" s="55" t="s">
        <v>165</v>
      </c>
      <c r="F23" s="56" t="s">
        <v>164</v>
      </c>
      <c r="G23" s="159" t="s">
        <v>166</v>
      </c>
      <c r="H23" s="56" t="str">
        <f>'9. Maintenance'!$K10</f>
        <v>Access is perfromed via SecureLink where passowrd control and policies are enforced.</v>
      </c>
      <c r="I23" s="43" t="str">
        <f>'9. Maintenance'!$J10</f>
        <v>Yes</v>
      </c>
      <c r="J23" s="43" t="str">
        <f t="shared" si="21"/>
        <v>Adequate</v>
      </c>
      <c r="K23" s="43" t="s">
        <v>325</v>
      </c>
      <c r="L23" s="43" t="str">
        <f t="shared" si="22"/>
        <v>Adequate</v>
      </c>
      <c r="M23" s="43" t="str">
        <f t="shared" si="23"/>
        <v/>
      </c>
      <c r="N23" s="43" t="str">
        <f t="shared" si="24"/>
        <v>Yes</v>
      </c>
      <c r="O23" s="43" t="str">
        <f t="shared" si="25"/>
        <v>Access is perfromed via SecureLink where passowrd control and policies are enforced.</v>
      </c>
      <c r="P23" s="43" t="str">
        <f t="shared" si="26"/>
        <v>Adequate</v>
      </c>
      <c r="Q23" s="43" t="str">
        <f t="shared" si="27"/>
        <v>No Override</v>
      </c>
      <c r="R23" s="43">
        <f t="shared" si="28"/>
        <v>1</v>
      </c>
      <c r="S23" s="43" t="str">
        <f t="shared" si="29"/>
        <v/>
      </c>
    </row>
    <row r="24" spans="1:19" x14ac:dyDescent="0.25">
      <c r="A24" s="43">
        <v>1</v>
      </c>
      <c r="B24" s="43">
        <v>2</v>
      </c>
      <c r="C24" s="43">
        <f t="shared" si="20"/>
        <v>2</v>
      </c>
      <c r="D24" s="43" t="s">
        <v>142</v>
      </c>
      <c r="E24" s="55" t="s">
        <v>167</v>
      </c>
      <c r="F24" s="56" t="s">
        <v>164</v>
      </c>
      <c r="G24" s="159" t="s">
        <v>168</v>
      </c>
      <c r="H24" s="56" t="str">
        <f>'9. Maintenance'!$K11</f>
        <v>We only maintain records of support incidences that were called in and where support connected to the site instance remotely.</v>
      </c>
      <c r="I24" s="43" t="str">
        <f>'9. Maintenance'!$J11</f>
        <v>Yes</v>
      </c>
      <c r="J24" s="43" t="str">
        <f t="shared" si="21"/>
        <v>Adequate</v>
      </c>
      <c r="K24" s="43" t="s">
        <v>325</v>
      </c>
      <c r="L24" s="43" t="str">
        <f t="shared" si="22"/>
        <v>Adequate</v>
      </c>
      <c r="M24" s="43" t="str">
        <f t="shared" si="23"/>
        <v/>
      </c>
      <c r="N24" s="43" t="str">
        <f t="shared" si="24"/>
        <v>Yes</v>
      </c>
      <c r="O24" s="43" t="str">
        <f t="shared" si="25"/>
        <v>We only maintain records of support incidences that were called in and where support connected to the site instance remotely.</v>
      </c>
      <c r="P24" s="43" t="str">
        <f t="shared" si="26"/>
        <v>Adequate</v>
      </c>
      <c r="Q24" s="43" t="str">
        <f t="shared" si="27"/>
        <v>No Override</v>
      </c>
      <c r="R24" s="43">
        <f t="shared" si="28"/>
        <v>2</v>
      </c>
      <c r="S24" s="43" t="str">
        <f t="shared" si="29"/>
        <v/>
      </c>
    </row>
    <row r="25" spans="1:19" x14ac:dyDescent="0.25">
      <c r="A25" s="43">
        <v>1</v>
      </c>
      <c r="B25" s="43">
        <v>2</v>
      </c>
      <c r="C25" s="43">
        <f t="shared" si="20"/>
        <v>2</v>
      </c>
      <c r="D25" s="43" t="s">
        <v>142</v>
      </c>
      <c r="E25" s="55" t="s">
        <v>169</v>
      </c>
      <c r="F25" s="56" t="s">
        <v>164</v>
      </c>
      <c r="G25" s="159" t="s">
        <v>170</v>
      </c>
      <c r="H25" s="56">
        <f>'9. Maintenance'!$K12</f>
        <v>0</v>
      </c>
      <c r="I25" s="43" t="str">
        <f>'9. Maintenance'!$J12</f>
        <v>Yes</v>
      </c>
      <c r="J25" s="43" t="str">
        <f t="shared" si="21"/>
        <v>Adequate</v>
      </c>
      <c r="K25" s="43" t="s">
        <v>325</v>
      </c>
      <c r="L25" s="43" t="str">
        <f t="shared" si="22"/>
        <v>Adequate</v>
      </c>
      <c r="M25" s="43" t="str">
        <f t="shared" si="23"/>
        <v/>
      </c>
      <c r="N25" s="43" t="str">
        <f t="shared" si="24"/>
        <v>Yes</v>
      </c>
      <c r="O25" s="43" t="str">
        <f t="shared" si="25"/>
        <v/>
      </c>
      <c r="P25" s="43" t="str">
        <f t="shared" si="26"/>
        <v>Adequate</v>
      </c>
      <c r="Q25" s="43" t="str">
        <f t="shared" si="27"/>
        <v>No Override</v>
      </c>
      <c r="R25" s="43">
        <f t="shared" si="28"/>
        <v>2</v>
      </c>
      <c r="S25" s="43" t="str">
        <f t="shared" si="29"/>
        <v/>
      </c>
    </row>
    <row r="26" spans="1:19" x14ac:dyDescent="0.25">
      <c r="A26" s="43">
        <v>4</v>
      </c>
      <c r="C26" s="43">
        <f t="shared" si="20"/>
        <v>4</v>
      </c>
      <c r="D26" s="43" t="s">
        <v>142</v>
      </c>
      <c r="E26" s="59" t="s">
        <v>174</v>
      </c>
      <c r="F26" s="60" t="s">
        <v>173</v>
      </c>
      <c r="G26" s="159" t="s">
        <v>175</v>
      </c>
      <c r="H26" s="56" t="str">
        <f>'9. Maintenance'!$K13</f>
        <v>Access to hospital is goverend by individual account / profile in SecureLink.</v>
      </c>
      <c r="I26" s="43" t="str">
        <f>'9. Maintenance'!$J13</f>
        <v>Yes</v>
      </c>
      <c r="J26" s="43" t="str">
        <f t="shared" si="21"/>
        <v>Adequate</v>
      </c>
      <c r="K26" s="43" t="s">
        <v>325</v>
      </c>
      <c r="L26" s="43" t="str">
        <f t="shared" si="22"/>
        <v>Adequate</v>
      </c>
      <c r="M26" s="43" t="str">
        <f t="shared" si="23"/>
        <v/>
      </c>
      <c r="N26" s="43" t="str">
        <f t="shared" si="24"/>
        <v>Yes</v>
      </c>
      <c r="O26" s="43" t="str">
        <f t="shared" si="25"/>
        <v>Access to hospital is goverend by individual account / profile in SecureLink.</v>
      </c>
      <c r="P26" s="43" t="str">
        <f t="shared" si="26"/>
        <v>Adequate</v>
      </c>
      <c r="Q26" s="43" t="str">
        <f t="shared" si="27"/>
        <v>No Override</v>
      </c>
      <c r="R26" s="43">
        <f t="shared" si="28"/>
        <v>4</v>
      </c>
      <c r="S26" s="43" t="str">
        <f t="shared" si="29"/>
        <v/>
      </c>
    </row>
    <row r="27" spans="1:19" ht="36" x14ac:dyDescent="0.25">
      <c r="A27" s="43">
        <v>4</v>
      </c>
      <c r="C27" s="43">
        <f t="shared" si="20"/>
        <v>4</v>
      </c>
      <c r="D27" s="43" t="s">
        <v>142</v>
      </c>
      <c r="E27" s="55" t="s">
        <v>178</v>
      </c>
      <c r="F27" s="56" t="s">
        <v>177</v>
      </c>
      <c r="G27" s="157" t="s">
        <v>179</v>
      </c>
      <c r="H27" s="56" t="str">
        <f>'9. Maintenance'!$K14</f>
        <v>Only for software support services</v>
      </c>
      <c r="I27" s="43" t="str">
        <f>'9. Maintenance'!$J14</f>
        <v>Yes</v>
      </c>
      <c r="J27" s="43" t="str">
        <f t="shared" si="21"/>
        <v>Adequate</v>
      </c>
      <c r="K27" s="43" t="s">
        <v>325</v>
      </c>
      <c r="L27" s="43" t="str">
        <f t="shared" si="22"/>
        <v>Adequate</v>
      </c>
      <c r="M27" s="43" t="str">
        <f t="shared" si="23"/>
        <v/>
      </c>
      <c r="N27" s="43" t="str">
        <f t="shared" si="24"/>
        <v>Yes</v>
      </c>
      <c r="O27" s="43" t="str">
        <f t="shared" si="25"/>
        <v>Only for software support services</v>
      </c>
      <c r="P27" s="43" t="str">
        <f t="shared" si="26"/>
        <v>Adequate</v>
      </c>
      <c r="Q27" s="43" t="str">
        <f t="shared" si="27"/>
        <v>No Override</v>
      </c>
      <c r="R27" s="43">
        <f t="shared" si="28"/>
        <v>4</v>
      </c>
      <c r="S27" s="43" t="str">
        <f t="shared" si="29"/>
        <v/>
      </c>
    </row>
    <row r="28" spans="1:19" x14ac:dyDescent="0.25">
      <c r="A28" s="43">
        <v>4</v>
      </c>
      <c r="C28" s="43">
        <f t="shared" ref="C28:C38" si="30">IF($B28="",$A28,$B28)</f>
        <v>4</v>
      </c>
      <c r="D28" s="43" t="s">
        <v>180</v>
      </c>
      <c r="E28" s="55" t="s">
        <v>184</v>
      </c>
      <c r="F28" s="56" t="s">
        <v>183</v>
      </c>
      <c r="G28" s="155" t="s">
        <v>185</v>
      </c>
      <c r="H28" s="56">
        <f>'13. Personnel Security'!$K3</f>
        <v>0</v>
      </c>
      <c r="I28" s="43" t="str">
        <f>'13. Personnel Security'!$J3</f>
        <v>Yes</v>
      </c>
      <c r="J28" s="43" t="str">
        <f t="shared" ref="J28:J38" si="31">IF($I28="Yes","Adequate",IF($I28="No","Inadequate",IF($I28="Partial","Inadequate",IF($I28="N/A","Inadequate",IF(OR($I28="",$I28=0),"Blank","Error")))))</f>
        <v>Adequate</v>
      </c>
      <c r="K28" s="43" t="s">
        <v>325</v>
      </c>
      <c r="L28" s="43" t="str">
        <f t="shared" ref="L28:L38" si="32">IF($K28="No Override",$J28,$K28)</f>
        <v>Adequate</v>
      </c>
      <c r="M28" s="43" t="str">
        <f t="shared" ref="M28:M38" si="33">IF($J28=$L28,"","***")</f>
        <v/>
      </c>
      <c r="N28" s="43" t="str">
        <f t="shared" ref="N28:N38" si="34">IF(OR($I28="",$I28=0),"",$I28)</f>
        <v>Yes</v>
      </c>
      <c r="O28" s="43" t="str">
        <f t="shared" ref="O28:O38" si="35">IF(OR($H28="",$H28=0),"",$H28)</f>
        <v/>
      </c>
      <c r="P28" s="43" t="str">
        <f t="shared" ref="P28:P38" si="36">$L28</f>
        <v>Adequate</v>
      </c>
      <c r="Q28" s="43" t="str">
        <f t="shared" ref="Q28:Q38" si="37">$K28</f>
        <v>No Override</v>
      </c>
      <c r="R28" s="43">
        <f t="shared" ref="R28:R38" si="38">$C28</f>
        <v>4</v>
      </c>
      <c r="S28" s="43" t="str">
        <f t="shared" ref="S28:S38" si="39">IF($L28=$P28,"","***")</f>
        <v/>
      </c>
    </row>
    <row r="29" spans="1:19" x14ac:dyDescent="0.25">
      <c r="A29" s="43">
        <v>4</v>
      </c>
      <c r="C29" s="43">
        <f t="shared" si="30"/>
        <v>4</v>
      </c>
      <c r="D29" s="43" t="s">
        <v>180</v>
      </c>
      <c r="E29" s="55" t="s">
        <v>188</v>
      </c>
      <c r="F29" s="56" t="s">
        <v>187</v>
      </c>
      <c r="G29" s="159" t="s">
        <v>189</v>
      </c>
      <c r="H29" s="56">
        <f>'13. Personnel Security'!$K4</f>
        <v>0</v>
      </c>
      <c r="I29" s="43" t="str">
        <f>'13. Personnel Security'!$J4</f>
        <v>No</v>
      </c>
      <c r="J29" s="43" t="str">
        <f t="shared" si="31"/>
        <v>Inadequate</v>
      </c>
      <c r="K29" s="43" t="s">
        <v>325</v>
      </c>
      <c r="L29" s="43" t="str">
        <f t="shared" si="32"/>
        <v>Inadequate</v>
      </c>
      <c r="M29" s="43" t="str">
        <f t="shared" si="33"/>
        <v/>
      </c>
      <c r="N29" s="43" t="str">
        <f t="shared" si="34"/>
        <v>No</v>
      </c>
      <c r="O29" s="43" t="str">
        <f t="shared" si="35"/>
        <v/>
      </c>
      <c r="P29" s="43" t="str">
        <f t="shared" si="36"/>
        <v>Inadequate</v>
      </c>
      <c r="Q29" s="43" t="str">
        <f t="shared" si="37"/>
        <v>No Override</v>
      </c>
      <c r="R29" s="43">
        <f t="shared" si="38"/>
        <v>4</v>
      </c>
      <c r="S29" s="43" t="str">
        <f t="shared" si="39"/>
        <v/>
      </c>
    </row>
    <row r="30" spans="1:19" x14ac:dyDescent="0.25">
      <c r="A30" s="43">
        <v>4</v>
      </c>
      <c r="C30" s="43">
        <f t="shared" si="30"/>
        <v>4</v>
      </c>
      <c r="D30" s="43" t="s">
        <v>180</v>
      </c>
      <c r="E30" s="55" t="s">
        <v>190</v>
      </c>
      <c r="F30" s="56" t="s">
        <v>187</v>
      </c>
      <c r="G30" s="159" t="s">
        <v>191</v>
      </c>
      <c r="H30" s="56" t="str">
        <f>'13. Personnel Security'!$K5</f>
        <v>All employees are screened during job interviews</v>
      </c>
      <c r="I30" s="43" t="str">
        <f>'13. Personnel Security'!$J5</f>
        <v>Yes</v>
      </c>
      <c r="J30" s="43" t="str">
        <f t="shared" si="31"/>
        <v>Adequate</v>
      </c>
      <c r="K30" s="43" t="s">
        <v>325</v>
      </c>
      <c r="L30" s="43" t="str">
        <f t="shared" si="32"/>
        <v>Adequate</v>
      </c>
      <c r="M30" s="43" t="str">
        <f t="shared" si="33"/>
        <v/>
      </c>
      <c r="N30" s="43" t="str">
        <f t="shared" si="34"/>
        <v>Yes</v>
      </c>
      <c r="O30" s="43" t="str">
        <f t="shared" si="35"/>
        <v>All employees are screened during job interviews</v>
      </c>
      <c r="P30" s="43" t="str">
        <f t="shared" si="36"/>
        <v>Adequate</v>
      </c>
      <c r="Q30" s="43" t="str">
        <f t="shared" si="37"/>
        <v>No Override</v>
      </c>
      <c r="R30" s="43">
        <f t="shared" si="38"/>
        <v>4</v>
      </c>
      <c r="S30" s="43" t="str">
        <f t="shared" si="39"/>
        <v/>
      </c>
    </row>
    <row r="31" spans="1:19" x14ac:dyDescent="0.25">
      <c r="A31" s="43">
        <v>4</v>
      </c>
      <c r="C31" s="43">
        <f t="shared" si="30"/>
        <v>4</v>
      </c>
      <c r="D31" s="43" t="s">
        <v>180</v>
      </c>
      <c r="E31" s="55" t="s">
        <v>192</v>
      </c>
      <c r="F31" s="56" t="s">
        <v>187</v>
      </c>
      <c r="G31" s="159" t="s">
        <v>193</v>
      </c>
      <c r="H31" s="56">
        <f>'13. Personnel Security'!$K6</f>
        <v>0</v>
      </c>
      <c r="I31" s="43" t="str">
        <f>'13. Personnel Security'!$J6</f>
        <v>No</v>
      </c>
      <c r="J31" s="43" t="str">
        <f t="shared" si="31"/>
        <v>Inadequate</v>
      </c>
      <c r="K31" s="43" t="s">
        <v>325</v>
      </c>
      <c r="L31" s="43" t="str">
        <f t="shared" si="32"/>
        <v>Inadequate</v>
      </c>
      <c r="M31" s="43" t="str">
        <f t="shared" si="33"/>
        <v/>
      </c>
      <c r="N31" s="43" t="str">
        <f t="shared" si="34"/>
        <v>No</v>
      </c>
      <c r="O31" s="43" t="str">
        <f t="shared" si="35"/>
        <v/>
      </c>
      <c r="P31" s="43" t="str">
        <f t="shared" si="36"/>
        <v>Inadequate</v>
      </c>
      <c r="Q31" s="43" t="str">
        <f t="shared" si="37"/>
        <v>No Override</v>
      </c>
      <c r="R31" s="43">
        <f t="shared" si="38"/>
        <v>4</v>
      </c>
      <c r="S31" s="43" t="str">
        <f t="shared" si="39"/>
        <v/>
      </c>
    </row>
    <row r="32" spans="1:19" x14ac:dyDescent="0.25">
      <c r="A32" s="43">
        <v>4</v>
      </c>
      <c r="B32" s="43">
        <v>1</v>
      </c>
      <c r="C32" s="43">
        <f t="shared" si="30"/>
        <v>1</v>
      </c>
      <c r="D32" s="43" t="s">
        <v>180</v>
      </c>
      <c r="E32" s="55" t="s">
        <v>195</v>
      </c>
      <c r="F32" s="56" t="s">
        <v>194</v>
      </c>
      <c r="G32" s="159" t="s">
        <v>196</v>
      </c>
      <c r="H32" s="56" t="str">
        <f>'13. Personnel Security'!$K7</f>
        <v>All employees are screened during job interviews</v>
      </c>
      <c r="I32" s="43" t="str">
        <f>'13. Personnel Security'!$J7</f>
        <v>Yes</v>
      </c>
      <c r="J32" s="43" t="str">
        <f t="shared" si="31"/>
        <v>Adequate</v>
      </c>
      <c r="K32" s="43" t="s">
        <v>325</v>
      </c>
      <c r="L32" s="43" t="str">
        <f t="shared" si="32"/>
        <v>Adequate</v>
      </c>
      <c r="M32" s="43" t="str">
        <f t="shared" si="33"/>
        <v/>
      </c>
      <c r="N32" s="43" t="str">
        <f t="shared" si="34"/>
        <v>Yes</v>
      </c>
      <c r="O32" s="43" t="str">
        <f t="shared" si="35"/>
        <v>All employees are screened during job interviews</v>
      </c>
      <c r="P32" s="43" t="str">
        <f t="shared" si="36"/>
        <v>Adequate</v>
      </c>
      <c r="Q32" s="43" t="str">
        <f t="shared" si="37"/>
        <v>No Override</v>
      </c>
      <c r="R32" s="43">
        <f t="shared" si="38"/>
        <v>1</v>
      </c>
      <c r="S32" s="43" t="str">
        <f t="shared" si="39"/>
        <v/>
      </c>
    </row>
    <row r="33" spans="1:19" x14ac:dyDescent="0.25">
      <c r="A33" s="43">
        <v>4</v>
      </c>
      <c r="B33" s="43">
        <v>1</v>
      </c>
      <c r="C33" s="43">
        <f t="shared" si="30"/>
        <v>1</v>
      </c>
      <c r="D33" s="43" t="s">
        <v>180</v>
      </c>
      <c r="E33" s="55" t="s">
        <v>197</v>
      </c>
      <c r="F33" s="56" t="s">
        <v>194</v>
      </c>
      <c r="G33" s="159" t="s">
        <v>198</v>
      </c>
      <c r="H33" s="56">
        <f>'13. Personnel Security'!$K8</f>
        <v>0</v>
      </c>
      <c r="I33" s="43" t="str">
        <f>'13. Personnel Security'!$J8</f>
        <v>No</v>
      </c>
      <c r="J33" s="43" t="str">
        <f t="shared" si="31"/>
        <v>Inadequate</v>
      </c>
      <c r="K33" s="43" t="s">
        <v>325</v>
      </c>
      <c r="L33" s="43" t="str">
        <f t="shared" si="32"/>
        <v>Inadequate</v>
      </c>
      <c r="M33" s="43" t="str">
        <f t="shared" si="33"/>
        <v/>
      </c>
      <c r="N33" s="43" t="str">
        <f t="shared" si="34"/>
        <v>No</v>
      </c>
      <c r="O33" s="43" t="str">
        <f t="shared" si="35"/>
        <v/>
      </c>
      <c r="P33" s="43" t="str">
        <f t="shared" si="36"/>
        <v>Inadequate</v>
      </c>
      <c r="Q33" s="43" t="str">
        <f t="shared" si="37"/>
        <v>No Override</v>
      </c>
      <c r="R33" s="43">
        <f t="shared" si="38"/>
        <v>1</v>
      </c>
      <c r="S33" s="43" t="str">
        <f t="shared" si="39"/>
        <v/>
      </c>
    </row>
    <row r="34" spans="1:19" x14ac:dyDescent="0.25">
      <c r="A34" s="43">
        <v>4</v>
      </c>
      <c r="B34" s="43">
        <v>3</v>
      </c>
      <c r="C34" s="43">
        <f t="shared" si="30"/>
        <v>3</v>
      </c>
      <c r="D34" s="43" t="s">
        <v>180</v>
      </c>
      <c r="E34" s="55" t="s">
        <v>202</v>
      </c>
      <c r="F34" s="56" t="s">
        <v>201</v>
      </c>
      <c r="G34" s="159" t="s">
        <v>203</v>
      </c>
      <c r="H34" s="56">
        <f>'13. Personnel Security'!$K9</f>
        <v>0</v>
      </c>
      <c r="I34" s="43" t="str">
        <f>'13. Personnel Security'!$J9</f>
        <v>Yes</v>
      </c>
      <c r="J34" s="43" t="str">
        <f t="shared" si="31"/>
        <v>Adequate</v>
      </c>
      <c r="K34" s="43" t="s">
        <v>325</v>
      </c>
      <c r="L34" s="43" t="str">
        <f t="shared" si="32"/>
        <v>Adequate</v>
      </c>
      <c r="M34" s="43" t="str">
        <f t="shared" si="33"/>
        <v/>
      </c>
      <c r="N34" s="43" t="str">
        <f t="shared" si="34"/>
        <v>Yes</v>
      </c>
      <c r="O34" s="43" t="str">
        <f t="shared" si="35"/>
        <v/>
      </c>
      <c r="P34" s="43" t="str">
        <f t="shared" si="36"/>
        <v>Adequate</v>
      </c>
      <c r="Q34" s="43" t="str">
        <f t="shared" si="37"/>
        <v>No Override</v>
      </c>
      <c r="R34" s="43">
        <f t="shared" si="38"/>
        <v>3</v>
      </c>
      <c r="S34" s="43" t="str">
        <f t="shared" si="39"/>
        <v/>
      </c>
    </row>
    <row r="35" spans="1:19" x14ac:dyDescent="0.25">
      <c r="A35" s="43">
        <v>4</v>
      </c>
      <c r="C35" s="43">
        <f t="shared" si="30"/>
        <v>4</v>
      </c>
      <c r="D35" s="43" t="s">
        <v>180</v>
      </c>
      <c r="E35" s="55" t="s">
        <v>206</v>
      </c>
      <c r="F35" s="56" t="s">
        <v>205</v>
      </c>
      <c r="G35" s="159" t="s">
        <v>207</v>
      </c>
      <c r="H35" s="56">
        <f>'13. Personnel Security'!$K10</f>
        <v>0</v>
      </c>
      <c r="I35" s="43" t="str">
        <f>'13. Personnel Security'!$J10</f>
        <v>No</v>
      </c>
      <c r="J35" s="43" t="str">
        <f t="shared" si="31"/>
        <v>Inadequate</v>
      </c>
      <c r="K35" s="43" t="s">
        <v>325</v>
      </c>
      <c r="L35" s="43" t="str">
        <f t="shared" si="32"/>
        <v>Inadequate</v>
      </c>
      <c r="M35" s="43" t="str">
        <f t="shared" si="33"/>
        <v/>
      </c>
      <c r="N35" s="43" t="str">
        <f t="shared" si="34"/>
        <v>No</v>
      </c>
      <c r="O35" s="43" t="str">
        <f t="shared" si="35"/>
        <v/>
      </c>
      <c r="P35" s="43" t="str">
        <f t="shared" si="36"/>
        <v>Inadequate</v>
      </c>
      <c r="Q35" s="43" t="str">
        <f t="shared" si="37"/>
        <v>No Override</v>
      </c>
      <c r="R35" s="43">
        <f t="shared" si="38"/>
        <v>4</v>
      </c>
      <c r="S35" s="43" t="str">
        <f t="shared" si="39"/>
        <v/>
      </c>
    </row>
    <row r="36" spans="1:19" x14ac:dyDescent="0.25">
      <c r="A36" s="43">
        <v>4</v>
      </c>
      <c r="C36" s="43">
        <f t="shared" si="30"/>
        <v>4</v>
      </c>
      <c r="D36" s="43" t="s">
        <v>180</v>
      </c>
      <c r="E36" s="55" t="s">
        <v>211</v>
      </c>
      <c r="F36" s="56" t="s">
        <v>210</v>
      </c>
      <c r="G36" s="159" t="s">
        <v>212</v>
      </c>
      <c r="H36" s="56">
        <f>'13. Personnel Security'!$K11</f>
        <v>0</v>
      </c>
      <c r="I36" s="43" t="str">
        <f>'13. Personnel Security'!$J11</f>
        <v>Partial</v>
      </c>
      <c r="J36" s="43" t="str">
        <f t="shared" si="31"/>
        <v>Inadequate</v>
      </c>
      <c r="K36" s="43" t="s">
        <v>325</v>
      </c>
      <c r="L36" s="43" t="str">
        <f t="shared" si="32"/>
        <v>Inadequate</v>
      </c>
      <c r="M36" s="43" t="str">
        <f t="shared" si="33"/>
        <v/>
      </c>
      <c r="N36" s="43" t="str">
        <f t="shared" si="34"/>
        <v>Partial</v>
      </c>
      <c r="O36" s="43" t="str">
        <f t="shared" si="35"/>
        <v/>
      </c>
      <c r="P36" s="43" t="str">
        <f t="shared" si="36"/>
        <v>Inadequate</v>
      </c>
      <c r="Q36" s="43" t="str">
        <f t="shared" si="37"/>
        <v>No Override</v>
      </c>
      <c r="R36" s="43">
        <f t="shared" si="38"/>
        <v>4</v>
      </c>
      <c r="S36" s="43" t="str">
        <f t="shared" si="39"/>
        <v/>
      </c>
    </row>
    <row r="37" spans="1:19" ht="24" x14ac:dyDescent="0.25">
      <c r="A37" s="43">
        <v>4</v>
      </c>
      <c r="B37" s="43">
        <v>1</v>
      </c>
      <c r="C37" s="43">
        <f t="shared" si="30"/>
        <v>1</v>
      </c>
      <c r="D37" s="43" t="s">
        <v>180</v>
      </c>
      <c r="E37" s="55" t="s">
        <v>216</v>
      </c>
      <c r="F37" s="56" t="s">
        <v>215</v>
      </c>
      <c r="G37" s="159" t="s">
        <v>217</v>
      </c>
      <c r="H37" s="56">
        <f>'13. Personnel Security'!$K12</f>
        <v>0</v>
      </c>
      <c r="I37" s="43" t="str">
        <f>'13. Personnel Security'!$J12</f>
        <v>Yes</v>
      </c>
      <c r="J37" s="43" t="str">
        <f t="shared" si="31"/>
        <v>Adequate</v>
      </c>
      <c r="K37" s="43" t="s">
        <v>325</v>
      </c>
      <c r="L37" s="43" t="str">
        <f t="shared" si="32"/>
        <v>Adequate</v>
      </c>
      <c r="M37" s="43" t="str">
        <f t="shared" si="33"/>
        <v/>
      </c>
      <c r="N37" s="43" t="str">
        <f t="shared" si="34"/>
        <v>Yes</v>
      </c>
      <c r="O37" s="43" t="str">
        <f t="shared" si="35"/>
        <v/>
      </c>
      <c r="P37" s="43" t="str">
        <f t="shared" si="36"/>
        <v>Adequate</v>
      </c>
      <c r="Q37" s="43" t="str">
        <f t="shared" si="37"/>
        <v>No Override</v>
      </c>
      <c r="R37" s="43">
        <f t="shared" si="38"/>
        <v>1</v>
      </c>
      <c r="S37" s="43" t="str">
        <f t="shared" si="39"/>
        <v/>
      </c>
    </row>
    <row r="38" spans="1:19" x14ac:dyDescent="0.25">
      <c r="A38" s="43">
        <v>4</v>
      </c>
      <c r="C38" s="43">
        <f t="shared" si="30"/>
        <v>4</v>
      </c>
      <c r="D38" s="43" t="s">
        <v>180</v>
      </c>
      <c r="E38" s="55" t="s">
        <v>221</v>
      </c>
      <c r="F38" s="56" t="s">
        <v>220</v>
      </c>
      <c r="G38" s="159" t="s">
        <v>222</v>
      </c>
      <c r="H38" s="56">
        <f>'13. Personnel Security'!$K13</f>
        <v>0</v>
      </c>
      <c r="I38" s="62" t="str">
        <f>'13. Personnel Security'!$J13</f>
        <v>Yes</v>
      </c>
      <c r="J38" s="43" t="str">
        <f t="shared" si="31"/>
        <v>Adequate</v>
      </c>
      <c r="K38" s="43" t="s">
        <v>325</v>
      </c>
      <c r="L38" s="43" t="str">
        <f t="shared" si="32"/>
        <v>Adequate</v>
      </c>
      <c r="M38" s="43" t="str">
        <f t="shared" si="33"/>
        <v/>
      </c>
      <c r="N38" s="43" t="str">
        <f t="shared" si="34"/>
        <v>Yes</v>
      </c>
      <c r="O38" s="43" t="str">
        <f t="shared" si="35"/>
        <v/>
      </c>
      <c r="P38" s="43" t="str">
        <f t="shared" si="36"/>
        <v>Adequate</v>
      </c>
      <c r="Q38" s="43" t="str">
        <f t="shared" si="37"/>
        <v>No Override</v>
      </c>
      <c r="R38" s="43">
        <f t="shared" si="38"/>
        <v>4</v>
      </c>
      <c r="S38" s="43" t="str">
        <f t="shared" si="39"/>
        <v/>
      </c>
    </row>
  </sheetData>
  <conditionalFormatting sqref="L2:L38">
    <cfRule type="expression" dxfId="5" priority="1">
      <formula>AND($I2="N/A",$H2&lt;&gt;0)</formula>
    </cfRule>
    <cfRule type="expression" dxfId="4" priority="2">
      <formula>AND($I2="N/A",$H2=0)</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F00-000000000000}">
          <x14:formula1>
            <xm:f>'Data Validation Key'!$N$2:$N$5</xm:f>
          </x14:formula1>
          <xm:sqref>K2:K38</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dimension ref="A1:S38"/>
  <sheetViews>
    <sheetView zoomScale="80" zoomScaleNormal="80" workbookViewId="0">
      <pane ySplit="1" topLeftCell="A2" activePane="bottomLeft" state="frozen"/>
      <selection activeCell="D9" sqref="D9:D11"/>
      <selection pane="bottomLeft" activeCell="A9" sqref="A9:XFD11"/>
    </sheetView>
  </sheetViews>
  <sheetFormatPr defaultColWidth="9" defaultRowHeight="15" x14ac:dyDescent="0.25"/>
  <cols>
    <col min="1" max="1" width="4.42578125" style="43" bestFit="1" customWidth="1"/>
    <col min="2" max="2" width="10.140625" style="43" bestFit="1" customWidth="1"/>
    <col min="3" max="3" width="8.42578125" style="43" bestFit="1" customWidth="1"/>
    <col min="4" max="4" width="21.5703125" style="43" customWidth="1"/>
    <col min="5" max="5" width="17.85546875" style="43" bestFit="1" customWidth="1"/>
    <col min="6" max="6" width="17.85546875" style="61" customWidth="1"/>
    <col min="7" max="7" width="108.140625" style="160" customWidth="1"/>
    <col min="8" max="8" width="15.42578125" style="61" customWidth="1"/>
    <col min="9" max="9" width="9.5703125" style="43" bestFit="1" customWidth="1"/>
    <col min="10" max="10" width="13.7109375" style="43" bestFit="1" customWidth="1"/>
    <col min="11" max="11" width="11.85546875" style="43" bestFit="1" customWidth="1"/>
    <col min="12" max="12" width="14.42578125" style="43" bestFit="1" customWidth="1"/>
    <col min="13" max="13" width="20.42578125" style="43" bestFit="1" customWidth="1"/>
    <col min="14" max="14" width="10.140625" style="43" bestFit="1" customWidth="1"/>
    <col min="15" max="15" width="18" style="43" bestFit="1" customWidth="1"/>
    <col min="16" max="16" width="14" style="43" bestFit="1" customWidth="1"/>
    <col min="17" max="17" width="9.7109375" style="43" bestFit="1" customWidth="1"/>
    <col min="18" max="18" width="12.28515625" style="43" bestFit="1" customWidth="1"/>
    <col min="19" max="19" width="22" style="43" bestFit="1" customWidth="1"/>
    <col min="20" max="16384" width="9" style="43"/>
  </cols>
  <sheetData>
    <row r="1" spans="1:19" x14ac:dyDescent="0.25">
      <c r="A1" s="52" t="s">
        <v>311</v>
      </c>
      <c r="B1" s="52" t="s">
        <v>312</v>
      </c>
      <c r="C1" s="52" t="s">
        <v>313</v>
      </c>
      <c r="D1" s="52" t="s">
        <v>314</v>
      </c>
      <c r="E1" s="52" t="s">
        <v>7</v>
      </c>
      <c r="F1" s="53" t="s">
        <v>8</v>
      </c>
      <c r="G1" s="154" t="s">
        <v>315</v>
      </c>
      <c r="H1" s="53" t="s">
        <v>316</v>
      </c>
      <c r="I1" s="52" t="s">
        <v>10</v>
      </c>
      <c r="J1" s="52" t="s">
        <v>317</v>
      </c>
      <c r="K1" s="52" t="s">
        <v>318</v>
      </c>
      <c r="L1" s="52" t="s">
        <v>319</v>
      </c>
      <c r="M1" s="54" t="s">
        <v>320</v>
      </c>
      <c r="N1" s="54" t="s">
        <v>76</v>
      </c>
      <c r="O1" s="54" t="s">
        <v>77</v>
      </c>
      <c r="P1" s="54" t="s">
        <v>321</v>
      </c>
      <c r="Q1" s="54" t="s">
        <v>322</v>
      </c>
      <c r="R1" s="54" t="s">
        <v>323</v>
      </c>
      <c r="S1" s="54" t="s">
        <v>324</v>
      </c>
    </row>
    <row r="2" spans="1:19" s="140" customFormat="1" x14ac:dyDescent="0.25">
      <c r="A2" s="149">
        <v>4</v>
      </c>
      <c r="B2" s="149">
        <v>1</v>
      </c>
      <c r="C2" s="140">
        <f t="shared" ref="C2:C38" si="0">IF($B2="",$A2,$B2)</f>
        <v>1</v>
      </c>
      <c r="D2" s="149" t="s">
        <v>395</v>
      </c>
      <c r="E2" s="55" t="s">
        <v>385</v>
      </c>
      <c r="F2" s="150" t="s">
        <v>78</v>
      </c>
      <c r="G2" s="155" t="s">
        <v>386</v>
      </c>
      <c r="H2" s="150">
        <f>'1. Access Controls'!$J3</f>
        <v>0</v>
      </c>
      <c r="I2" s="149">
        <f>'1. Access Controls'!$I3</f>
        <v>0</v>
      </c>
      <c r="J2" s="43" t="str">
        <f>IF($I2="Yes","Adequate",IF($I2="No","Inadequate",IF($I2="Partial","Inadequate",IF($I2="N/A","Inadequate",IF(OR($I2="",$I2=0),"Blank","Error")))))</f>
        <v>Blank</v>
      </c>
      <c r="K2" s="43" t="s">
        <v>325</v>
      </c>
      <c r="L2" s="43" t="str">
        <f t="shared" ref="L2:L38" si="1">IF($K2="No Override",$J2,$K2)</f>
        <v>Blank</v>
      </c>
      <c r="M2" s="43" t="str">
        <f t="shared" ref="M2:M38" si="2">IF($J2=$L2,"","***")</f>
        <v/>
      </c>
      <c r="N2" s="43" t="str">
        <f t="shared" ref="N2:N38" si="3">IF(OR($I2="",$I2=0),"",$I2)</f>
        <v/>
      </c>
      <c r="O2" s="43" t="str">
        <f t="shared" ref="O2:O38" si="4">IF(OR($H2="",$H2=0),"",$H2)</f>
        <v/>
      </c>
      <c r="P2" s="43" t="str">
        <f t="shared" ref="P2:P38" si="5">$L2</f>
        <v>Blank</v>
      </c>
      <c r="Q2" s="43" t="str">
        <f t="shared" ref="Q2:Q38" si="6">$K2</f>
        <v>No Override</v>
      </c>
      <c r="R2" s="43">
        <f t="shared" ref="R2:R38" si="7">$C2</f>
        <v>1</v>
      </c>
      <c r="S2" s="43" t="str">
        <f t="shared" ref="S2:S38" si="8">IF($L2=$P2,"","***")</f>
        <v/>
      </c>
    </row>
    <row r="3" spans="1:19" s="140" customFormat="1" x14ac:dyDescent="0.25">
      <c r="A3" s="149">
        <v>4</v>
      </c>
      <c r="B3" s="148"/>
      <c r="C3" s="140">
        <f t="shared" si="0"/>
        <v>4</v>
      </c>
      <c r="D3" s="149" t="s">
        <v>395</v>
      </c>
      <c r="E3" s="55" t="s">
        <v>387</v>
      </c>
      <c r="F3" s="150" t="s">
        <v>78</v>
      </c>
      <c r="G3" s="155" t="s">
        <v>388</v>
      </c>
      <c r="H3" s="150">
        <f>'1. Access Controls'!$J4</f>
        <v>0</v>
      </c>
      <c r="I3" s="149">
        <f>'1. Access Controls'!$I4</f>
        <v>0</v>
      </c>
      <c r="J3" s="43" t="str">
        <f>IF($I3="Yes","Adequate",IF($I3="No","Inadequate",IF($I3="Partial","Inadequate",IF($I3="N/A","Inadequate",IF(OR($I3="",$I3=0),"Blank","Error")))))</f>
        <v>Blank</v>
      </c>
      <c r="K3" s="43" t="s">
        <v>325</v>
      </c>
      <c r="L3" s="43" t="str">
        <f t="shared" si="1"/>
        <v>Blank</v>
      </c>
      <c r="M3" s="43" t="str">
        <f t="shared" si="2"/>
        <v/>
      </c>
      <c r="N3" s="43" t="str">
        <f t="shared" si="3"/>
        <v/>
      </c>
      <c r="O3" s="43" t="str">
        <f t="shared" si="4"/>
        <v/>
      </c>
      <c r="P3" s="43" t="str">
        <f t="shared" si="5"/>
        <v>Blank</v>
      </c>
      <c r="Q3" s="43" t="str">
        <f t="shared" si="6"/>
        <v>No Override</v>
      </c>
      <c r="R3" s="43">
        <f t="shared" si="7"/>
        <v>4</v>
      </c>
      <c r="S3" s="43" t="str">
        <f t="shared" si="8"/>
        <v/>
      </c>
    </row>
    <row r="4" spans="1:19" x14ac:dyDescent="0.25">
      <c r="A4" s="43">
        <v>2</v>
      </c>
      <c r="C4" s="43">
        <f t="shared" si="0"/>
        <v>2</v>
      </c>
      <c r="D4" s="43" t="s">
        <v>101</v>
      </c>
      <c r="E4" s="55" t="s">
        <v>103</v>
      </c>
      <c r="F4" s="56" t="s">
        <v>326</v>
      </c>
      <c r="G4" s="155" t="s">
        <v>104</v>
      </c>
      <c r="H4" s="56">
        <f>'2. Awareness and Training'!$M3</f>
        <v>0</v>
      </c>
      <c r="I4" s="43">
        <f>'2. Awareness and Training'!$L3</f>
        <v>0</v>
      </c>
      <c r="J4" s="43" t="str">
        <f>IF($I4="Yes","Adequate",IF($I4="No","Inadequate",IF($I4="Partial","Inadequate",IF($I4="N/A","Inadequate",IF(OR($I4="",$I4=0),"Blank","Error")))))</f>
        <v>Blank</v>
      </c>
      <c r="K4" s="43" t="s">
        <v>325</v>
      </c>
      <c r="L4" s="43" t="str">
        <f t="shared" si="1"/>
        <v>Blank</v>
      </c>
      <c r="M4" s="43" t="str">
        <f t="shared" si="2"/>
        <v/>
      </c>
      <c r="N4" s="43" t="str">
        <f t="shared" si="3"/>
        <v/>
      </c>
      <c r="O4" s="43" t="str">
        <f t="shared" si="4"/>
        <v/>
      </c>
      <c r="P4" s="43" t="str">
        <f t="shared" si="5"/>
        <v>Blank</v>
      </c>
      <c r="Q4" s="43" t="str">
        <f t="shared" si="6"/>
        <v>No Override</v>
      </c>
      <c r="R4" s="43">
        <f t="shared" si="7"/>
        <v>2</v>
      </c>
      <c r="S4" s="43" t="str">
        <f t="shared" si="8"/>
        <v/>
      </c>
    </row>
    <row r="5" spans="1:19" x14ac:dyDescent="0.25">
      <c r="A5" s="43">
        <v>2</v>
      </c>
      <c r="C5" s="43">
        <f t="shared" si="0"/>
        <v>2</v>
      </c>
      <c r="D5" s="43" t="s">
        <v>101</v>
      </c>
      <c r="E5" s="55" t="s">
        <v>106</v>
      </c>
      <c r="F5" s="57" t="s">
        <v>327</v>
      </c>
      <c r="G5" s="155" t="s">
        <v>107</v>
      </c>
      <c r="H5" s="56">
        <f>'2. Awareness and Training'!$M4</f>
        <v>0</v>
      </c>
      <c r="I5" s="43">
        <f>'2. Awareness and Training'!$L4</f>
        <v>0</v>
      </c>
      <c r="J5" s="43" t="str">
        <f>IF($I5="Yes","Adequate",IF($I5="No","Inadequate",IF($I5="Partial","Inadequate",IF($I5="N/A","Inadequate",IF(OR($I5="",$I5=0),"Blank","Error")))))</f>
        <v>Blank</v>
      </c>
      <c r="K5" s="43" t="s">
        <v>325</v>
      </c>
      <c r="L5" s="43" t="str">
        <f t="shared" si="1"/>
        <v>Blank</v>
      </c>
      <c r="M5" s="43" t="str">
        <f t="shared" si="2"/>
        <v/>
      </c>
      <c r="N5" s="43" t="str">
        <f t="shared" si="3"/>
        <v/>
      </c>
      <c r="O5" s="43" t="str">
        <f t="shared" si="4"/>
        <v/>
      </c>
      <c r="P5" s="43" t="str">
        <f t="shared" si="5"/>
        <v>Blank</v>
      </c>
      <c r="Q5" s="43" t="str">
        <f t="shared" si="6"/>
        <v>No Override</v>
      </c>
      <c r="R5" s="43">
        <f t="shared" si="7"/>
        <v>2</v>
      </c>
      <c r="S5" s="43" t="str">
        <f t="shared" si="8"/>
        <v/>
      </c>
    </row>
    <row r="6" spans="1:19" x14ac:dyDescent="0.25">
      <c r="A6" s="43">
        <v>2</v>
      </c>
      <c r="C6" s="43">
        <f t="shared" si="0"/>
        <v>2</v>
      </c>
      <c r="D6" s="43" t="s">
        <v>101</v>
      </c>
      <c r="E6" s="55" t="s">
        <v>108</v>
      </c>
      <c r="F6" s="56" t="s">
        <v>327</v>
      </c>
      <c r="G6" s="155" t="s">
        <v>109</v>
      </c>
      <c r="H6" s="56">
        <f>'2. Awareness and Training'!$M5</f>
        <v>0</v>
      </c>
      <c r="I6" s="43">
        <f>'2. Awareness and Training'!$L5</f>
        <v>0</v>
      </c>
      <c r="J6" s="43" t="str">
        <f>IF($I6="Yes","Adequate",IF($I6="No","Inadequate",IF($I6="Partial","Inadequate",IF($I6="N/A","Inadequate",IF(OR($I6="",$I6=0),"Blank","Error")))))</f>
        <v>Blank</v>
      </c>
      <c r="K6" s="43" t="s">
        <v>325</v>
      </c>
      <c r="L6" s="43" t="str">
        <f t="shared" si="1"/>
        <v>Blank</v>
      </c>
      <c r="M6" s="43" t="str">
        <f t="shared" si="2"/>
        <v/>
      </c>
      <c r="N6" s="43" t="str">
        <f t="shared" si="3"/>
        <v/>
      </c>
      <c r="O6" s="43" t="str">
        <f t="shared" si="4"/>
        <v/>
      </c>
      <c r="P6" s="43" t="str">
        <f t="shared" si="5"/>
        <v>Blank</v>
      </c>
      <c r="Q6" s="43" t="str">
        <f t="shared" si="6"/>
        <v>No Override</v>
      </c>
      <c r="R6" s="43">
        <f t="shared" si="7"/>
        <v>2</v>
      </c>
      <c r="S6" s="43" t="str">
        <f t="shared" si="8"/>
        <v/>
      </c>
    </row>
    <row r="7" spans="1:19" ht="24" x14ac:dyDescent="0.25">
      <c r="A7" s="43">
        <v>2</v>
      </c>
      <c r="C7" s="43">
        <f t="shared" si="0"/>
        <v>2</v>
      </c>
      <c r="D7" s="43" t="s">
        <v>101</v>
      </c>
      <c r="E7" s="55" t="s">
        <v>111</v>
      </c>
      <c r="F7" s="56" t="s">
        <v>328</v>
      </c>
      <c r="G7" s="156" t="s">
        <v>112</v>
      </c>
      <c r="H7" s="56">
        <f>'2. Awareness and Training'!$M6</f>
        <v>0</v>
      </c>
      <c r="I7" s="43">
        <f>'2. Awareness and Training'!$L6</f>
        <v>0</v>
      </c>
      <c r="J7" s="43" t="str">
        <f t="shared" ref="J7:J15" si="9">IF($I7="Yes","Adequate",IF($I7="No","Inadequate",IF($I7="Partial","Inadequate",IF($I7="N/A","Inadequate",IF(OR($I7="",$I7=0),"Blank","Error")))))</f>
        <v>Blank</v>
      </c>
      <c r="K7" s="43" t="s">
        <v>325</v>
      </c>
      <c r="L7" s="43" t="str">
        <f t="shared" si="1"/>
        <v>Blank</v>
      </c>
      <c r="M7" s="43" t="str">
        <f t="shared" si="2"/>
        <v/>
      </c>
      <c r="N7" s="43" t="str">
        <f t="shared" si="3"/>
        <v/>
      </c>
      <c r="O7" s="43" t="str">
        <f t="shared" si="4"/>
        <v/>
      </c>
      <c r="P7" s="43" t="str">
        <f t="shared" si="5"/>
        <v>Blank</v>
      </c>
      <c r="Q7" s="43" t="str">
        <f t="shared" si="6"/>
        <v>No Override</v>
      </c>
      <c r="R7" s="43">
        <f t="shared" si="7"/>
        <v>2</v>
      </c>
      <c r="S7" s="43" t="str">
        <f t="shared" si="8"/>
        <v/>
      </c>
    </row>
    <row r="8" spans="1:19" x14ac:dyDescent="0.25">
      <c r="A8" s="43">
        <v>2</v>
      </c>
      <c r="C8" s="43">
        <f t="shared" si="0"/>
        <v>2</v>
      </c>
      <c r="D8" s="43" t="s">
        <v>101</v>
      </c>
      <c r="E8" s="55" t="s">
        <v>114</v>
      </c>
      <c r="F8" s="56" t="s">
        <v>329</v>
      </c>
      <c r="G8" s="156" t="s">
        <v>115</v>
      </c>
      <c r="H8" s="56">
        <f>'2. Awareness and Training'!$M7</f>
        <v>0</v>
      </c>
      <c r="I8" s="43">
        <f>'2. Awareness and Training'!$L7</f>
        <v>0</v>
      </c>
      <c r="J8" s="43" t="str">
        <f t="shared" si="9"/>
        <v>Blank</v>
      </c>
      <c r="K8" s="43" t="s">
        <v>325</v>
      </c>
      <c r="L8" s="43" t="str">
        <f t="shared" si="1"/>
        <v>Blank</v>
      </c>
      <c r="M8" s="43" t="str">
        <f t="shared" si="2"/>
        <v/>
      </c>
      <c r="N8" s="43" t="str">
        <f t="shared" si="3"/>
        <v/>
      </c>
      <c r="O8" s="43" t="str">
        <f t="shared" si="4"/>
        <v/>
      </c>
      <c r="P8" s="43" t="str">
        <f t="shared" si="5"/>
        <v>Blank</v>
      </c>
      <c r="Q8" s="43" t="str">
        <f t="shared" si="6"/>
        <v>No Override</v>
      </c>
      <c r="R8" s="43">
        <f t="shared" si="7"/>
        <v>2</v>
      </c>
      <c r="S8" s="43" t="str">
        <f t="shared" si="8"/>
        <v/>
      </c>
    </row>
    <row r="9" spans="1:19" x14ac:dyDescent="0.25">
      <c r="A9" s="43">
        <v>3</v>
      </c>
      <c r="B9" s="43">
        <v>1</v>
      </c>
      <c r="C9" s="43">
        <f t="shared" si="0"/>
        <v>1</v>
      </c>
      <c r="D9" s="43" t="s">
        <v>330</v>
      </c>
      <c r="E9" s="55" t="s">
        <v>120</v>
      </c>
      <c r="F9" s="56" t="s">
        <v>119</v>
      </c>
      <c r="G9" s="158" t="s">
        <v>121</v>
      </c>
      <c r="H9" s="58">
        <f>'8. Incident Response'!$M3</f>
        <v>0</v>
      </c>
      <c r="I9" s="43">
        <f>'8. Incident Response'!$L3</f>
        <v>0</v>
      </c>
      <c r="J9" s="43" t="str">
        <f t="shared" si="9"/>
        <v>Blank</v>
      </c>
      <c r="K9" s="43" t="s">
        <v>325</v>
      </c>
      <c r="L9" s="43" t="str">
        <f t="shared" si="1"/>
        <v>Blank</v>
      </c>
      <c r="M9" s="43" t="str">
        <f t="shared" si="2"/>
        <v/>
      </c>
      <c r="N9" s="43" t="str">
        <f t="shared" si="3"/>
        <v/>
      </c>
      <c r="O9" s="43" t="str">
        <f t="shared" si="4"/>
        <v/>
      </c>
      <c r="P9" s="43" t="str">
        <f t="shared" si="5"/>
        <v>Blank</v>
      </c>
      <c r="Q9" s="43" t="str">
        <f t="shared" si="6"/>
        <v>No Override</v>
      </c>
      <c r="R9" s="43">
        <f t="shared" si="7"/>
        <v>1</v>
      </c>
      <c r="S9" s="43" t="str">
        <f t="shared" si="8"/>
        <v/>
      </c>
    </row>
    <row r="10" spans="1:19" x14ac:dyDescent="0.25">
      <c r="A10" s="43">
        <v>3</v>
      </c>
      <c r="B10" s="43">
        <v>2</v>
      </c>
      <c r="C10" s="43">
        <f t="shared" si="0"/>
        <v>2</v>
      </c>
      <c r="D10" s="43" t="s">
        <v>330</v>
      </c>
      <c r="E10" s="55" t="s">
        <v>124</v>
      </c>
      <c r="F10" s="56" t="s">
        <v>123</v>
      </c>
      <c r="G10" s="159" t="s">
        <v>125</v>
      </c>
      <c r="H10" s="58">
        <f>'8. Incident Response'!$M4</f>
        <v>0</v>
      </c>
      <c r="I10" s="43">
        <f>'8. Incident Response'!$L4</f>
        <v>0</v>
      </c>
      <c r="J10" s="43" t="str">
        <f t="shared" si="9"/>
        <v>Blank</v>
      </c>
      <c r="K10" s="43" t="s">
        <v>325</v>
      </c>
      <c r="L10" s="43" t="str">
        <f t="shared" si="1"/>
        <v>Blank</v>
      </c>
      <c r="M10" s="43" t="str">
        <f t="shared" si="2"/>
        <v/>
      </c>
      <c r="N10" s="43" t="str">
        <f t="shared" si="3"/>
        <v/>
      </c>
      <c r="O10" s="43" t="str">
        <f t="shared" si="4"/>
        <v/>
      </c>
      <c r="P10" s="43" t="str">
        <f t="shared" si="5"/>
        <v>Blank</v>
      </c>
      <c r="Q10" s="43" t="str">
        <f t="shared" si="6"/>
        <v>No Override</v>
      </c>
      <c r="R10" s="43">
        <f t="shared" si="7"/>
        <v>2</v>
      </c>
      <c r="S10" s="43" t="str">
        <f t="shared" si="8"/>
        <v/>
      </c>
    </row>
    <row r="11" spans="1:19" x14ac:dyDescent="0.25">
      <c r="A11" s="43">
        <v>3</v>
      </c>
      <c r="B11" s="43">
        <v>2</v>
      </c>
      <c r="C11" s="43">
        <f t="shared" si="0"/>
        <v>2</v>
      </c>
      <c r="D11" s="43" t="s">
        <v>330</v>
      </c>
      <c r="E11" s="55" t="s">
        <v>126</v>
      </c>
      <c r="F11" s="56" t="s">
        <v>123</v>
      </c>
      <c r="G11" s="159" t="s">
        <v>127</v>
      </c>
      <c r="H11" s="58">
        <f>'8. Incident Response'!$M5</f>
        <v>0</v>
      </c>
      <c r="I11" s="43">
        <f>'8. Incident Response'!$L5</f>
        <v>0</v>
      </c>
      <c r="J11" s="43" t="str">
        <f t="shared" si="9"/>
        <v>Blank</v>
      </c>
      <c r="K11" s="43" t="s">
        <v>325</v>
      </c>
      <c r="L11" s="43" t="str">
        <f t="shared" si="1"/>
        <v>Blank</v>
      </c>
      <c r="M11" s="43" t="str">
        <f t="shared" si="2"/>
        <v/>
      </c>
      <c r="N11" s="43" t="str">
        <f t="shared" si="3"/>
        <v/>
      </c>
      <c r="O11" s="43" t="str">
        <f t="shared" si="4"/>
        <v/>
      </c>
      <c r="P11" s="43" t="str">
        <f t="shared" si="5"/>
        <v>Blank</v>
      </c>
      <c r="Q11" s="43" t="str">
        <f t="shared" si="6"/>
        <v>No Override</v>
      </c>
      <c r="R11" s="43">
        <f t="shared" si="7"/>
        <v>2</v>
      </c>
      <c r="S11" s="43" t="str">
        <f t="shared" si="8"/>
        <v/>
      </c>
    </row>
    <row r="12" spans="1:19" x14ac:dyDescent="0.25">
      <c r="A12" s="43">
        <v>3</v>
      </c>
      <c r="B12" s="43">
        <v>2</v>
      </c>
      <c r="C12" s="43">
        <f t="shared" si="0"/>
        <v>2</v>
      </c>
      <c r="D12" s="43" t="s">
        <v>330</v>
      </c>
      <c r="E12" s="55" t="s">
        <v>130</v>
      </c>
      <c r="F12" s="56" t="s">
        <v>129</v>
      </c>
      <c r="G12" s="159" t="s">
        <v>131</v>
      </c>
      <c r="H12" s="58">
        <f>'8. Incident Response'!$M6</f>
        <v>0</v>
      </c>
      <c r="I12" s="43">
        <f>'8. Incident Response'!$L6</f>
        <v>0</v>
      </c>
      <c r="J12" s="43" t="str">
        <f t="shared" si="9"/>
        <v>Blank</v>
      </c>
      <c r="K12" s="43" t="s">
        <v>325</v>
      </c>
      <c r="L12" s="43" t="str">
        <f t="shared" si="1"/>
        <v>Blank</v>
      </c>
      <c r="M12" s="43" t="str">
        <f t="shared" si="2"/>
        <v/>
      </c>
      <c r="N12" s="43" t="str">
        <f t="shared" si="3"/>
        <v/>
      </c>
      <c r="O12" s="43" t="str">
        <f t="shared" si="4"/>
        <v/>
      </c>
      <c r="P12" s="43" t="str">
        <f t="shared" si="5"/>
        <v>Blank</v>
      </c>
      <c r="Q12" s="43" t="str">
        <f t="shared" si="6"/>
        <v>No Override</v>
      </c>
      <c r="R12" s="43">
        <f t="shared" si="7"/>
        <v>2</v>
      </c>
      <c r="S12" s="43" t="str">
        <f t="shared" si="8"/>
        <v/>
      </c>
    </row>
    <row r="13" spans="1:19" x14ac:dyDescent="0.25">
      <c r="A13" s="43">
        <v>3</v>
      </c>
      <c r="B13" s="43">
        <v>2</v>
      </c>
      <c r="C13" s="43">
        <f t="shared" si="0"/>
        <v>2</v>
      </c>
      <c r="D13" s="43" t="s">
        <v>330</v>
      </c>
      <c r="E13" s="55" t="s">
        <v>132</v>
      </c>
      <c r="F13" s="56" t="s">
        <v>129</v>
      </c>
      <c r="G13" s="159" t="s">
        <v>133</v>
      </c>
      <c r="H13" s="58">
        <f>'8. Incident Response'!$M7</f>
        <v>0</v>
      </c>
      <c r="I13" s="43">
        <f>'8. Incident Response'!$L7</f>
        <v>0</v>
      </c>
      <c r="J13" s="43" t="str">
        <f t="shared" si="9"/>
        <v>Blank</v>
      </c>
      <c r="K13" s="43" t="s">
        <v>325</v>
      </c>
      <c r="L13" s="43" t="str">
        <f t="shared" si="1"/>
        <v>Blank</v>
      </c>
      <c r="M13" s="43" t="str">
        <f t="shared" si="2"/>
        <v/>
      </c>
      <c r="N13" s="43" t="str">
        <f t="shared" si="3"/>
        <v/>
      </c>
      <c r="O13" s="43" t="str">
        <f t="shared" si="4"/>
        <v/>
      </c>
      <c r="P13" s="43" t="str">
        <f t="shared" si="5"/>
        <v>Blank</v>
      </c>
      <c r="Q13" s="43" t="str">
        <f t="shared" si="6"/>
        <v>No Override</v>
      </c>
      <c r="R13" s="43">
        <f t="shared" si="7"/>
        <v>2</v>
      </c>
      <c r="S13" s="43" t="str">
        <f t="shared" si="8"/>
        <v/>
      </c>
    </row>
    <row r="14" spans="1:19" x14ac:dyDescent="0.25">
      <c r="A14" s="43">
        <v>3</v>
      </c>
      <c r="B14" s="43">
        <v>1</v>
      </c>
      <c r="C14" s="43">
        <f t="shared" si="0"/>
        <v>1</v>
      </c>
      <c r="D14" s="43" t="s">
        <v>330</v>
      </c>
      <c r="E14" s="55" t="s">
        <v>136</v>
      </c>
      <c r="F14" s="56" t="s">
        <v>135</v>
      </c>
      <c r="G14" s="159" t="s">
        <v>137</v>
      </c>
      <c r="H14" s="58">
        <f>'8. Incident Response'!$M8</f>
        <v>0</v>
      </c>
      <c r="I14" s="43">
        <f>'8. Incident Response'!$L8</f>
        <v>0</v>
      </c>
      <c r="J14" s="43" t="str">
        <f t="shared" si="9"/>
        <v>Blank</v>
      </c>
      <c r="K14" s="43" t="s">
        <v>325</v>
      </c>
      <c r="L14" s="43" t="str">
        <f t="shared" si="1"/>
        <v>Blank</v>
      </c>
      <c r="M14" s="43" t="str">
        <f t="shared" si="2"/>
        <v/>
      </c>
      <c r="N14" s="43" t="str">
        <f t="shared" si="3"/>
        <v/>
      </c>
      <c r="O14" s="43" t="str">
        <f t="shared" si="4"/>
        <v/>
      </c>
      <c r="P14" s="43" t="str">
        <f t="shared" si="5"/>
        <v>Blank</v>
      </c>
      <c r="Q14" s="43" t="str">
        <f t="shared" si="6"/>
        <v>No Override</v>
      </c>
      <c r="R14" s="43">
        <f t="shared" si="7"/>
        <v>1</v>
      </c>
      <c r="S14" s="43" t="str">
        <f t="shared" si="8"/>
        <v/>
      </c>
    </row>
    <row r="15" spans="1:19" x14ac:dyDescent="0.25">
      <c r="A15" s="43">
        <v>3</v>
      </c>
      <c r="B15" s="43">
        <v>1</v>
      </c>
      <c r="C15" s="43">
        <f t="shared" si="0"/>
        <v>1</v>
      </c>
      <c r="D15" s="43" t="s">
        <v>330</v>
      </c>
      <c r="E15" s="55" t="s">
        <v>140</v>
      </c>
      <c r="F15" s="56" t="s">
        <v>139</v>
      </c>
      <c r="G15" s="159" t="s">
        <v>141</v>
      </c>
      <c r="H15" s="58">
        <f>'8. Incident Response'!$M9</f>
        <v>0</v>
      </c>
      <c r="I15" s="43">
        <f>'8. Incident Response'!$L9</f>
        <v>0</v>
      </c>
      <c r="J15" s="43" t="str">
        <f t="shared" si="9"/>
        <v>Blank</v>
      </c>
      <c r="K15" s="43" t="s">
        <v>325</v>
      </c>
      <c r="L15" s="43" t="str">
        <f t="shared" si="1"/>
        <v>Blank</v>
      </c>
      <c r="M15" s="43" t="str">
        <f t="shared" si="2"/>
        <v/>
      </c>
      <c r="N15" s="43" t="str">
        <f t="shared" si="3"/>
        <v/>
      </c>
      <c r="O15" s="43" t="str">
        <f t="shared" si="4"/>
        <v/>
      </c>
      <c r="P15" s="43" t="str">
        <f t="shared" si="5"/>
        <v>Blank</v>
      </c>
      <c r="Q15" s="43" t="str">
        <f t="shared" si="6"/>
        <v>No Override</v>
      </c>
      <c r="R15" s="43">
        <f t="shared" si="7"/>
        <v>1</v>
      </c>
      <c r="S15" s="43" t="str">
        <f t="shared" si="8"/>
        <v/>
      </c>
    </row>
    <row r="16" spans="1:19" x14ac:dyDescent="0.25">
      <c r="A16" s="43">
        <v>4</v>
      </c>
      <c r="C16" s="43">
        <f t="shared" si="0"/>
        <v>4</v>
      </c>
      <c r="D16" s="43" t="s">
        <v>142</v>
      </c>
      <c r="E16" s="55" t="s">
        <v>146</v>
      </c>
      <c r="F16" s="56" t="s">
        <v>145</v>
      </c>
      <c r="G16" s="155" t="s">
        <v>147</v>
      </c>
      <c r="H16" s="56">
        <f>'9. Maintenance'!$M3</f>
        <v>0</v>
      </c>
      <c r="I16" s="43">
        <f>'9. Maintenance'!$L3</f>
        <v>0</v>
      </c>
      <c r="J16" s="43" t="str">
        <f t="shared" ref="J16:J38" si="10">IF($I16="Yes","Adequate",IF($I16="No","Inadequate",IF($I16="Partial","Inadequate",IF($I16="N/A","Inadequate",IF(OR($I16="",$I16=0),"Blank","Error")))))</f>
        <v>Blank</v>
      </c>
      <c r="K16" s="43" t="s">
        <v>325</v>
      </c>
      <c r="L16" s="43" t="str">
        <f t="shared" si="1"/>
        <v>Blank</v>
      </c>
      <c r="M16" s="43" t="str">
        <f t="shared" si="2"/>
        <v/>
      </c>
      <c r="N16" s="43" t="str">
        <f t="shared" si="3"/>
        <v/>
      </c>
      <c r="O16" s="43" t="str">
        <f t="shared" si="4"/>
        <v/>
      </c>
      <c r="P16" s="43" t="str">
        <f t="shared" si="5"/>
        <v>Blank</v>
      </c>
      <c r="Q16" s="43" t="str">
        <f t="shared" si="6"/>
        <v>No Override</v>
      </c>
      <c r="R16" s="43">
        <f t="shared" si="7"/>
        <v>4</v>
      </c>
      <c r="S16" s="43" t="str">
        <f t="shared" si="8"/>
        <v/>
      </c>
    </row>
    <row r="17" spans="1:19" x14ac:dyDescent="0.25">
      <c r="A17" s="43">
        <v>4</v>
      </c>
      <c r="C17" s="43">
        <f t="shared" si="0"/>
        <v>4</v>
      </c>
      <c r="D17" s="43" t="s">
        <v>142</v>
      </c>
      <c r="E17" s="59" t="s">
        <v>150</v>
      </c>
      <c r="F17" s="60" t="s">
        <v>149</v>
      </c>
      <c r="G17" s="159" t="s">
        <v>151</v>
      </c>
      <c r="H17" s="56">
        <f>'9. Maintenance'!$M4</f>
        <v>0</v>
      </c>
      <c r="I17" s="43">
        <f>'9. Maintenance'!$L4</f>
        <v>0</v>
      </c>
      <c r="J17" s="43" t="str">
        <f t="shared" si="10"/>
        <v>Blank</v>
      </c>
      <c r="K17" s="43" t="s">
        <v>325</v>
      </c>
      <c r="L17" s="43" t="str">
        <f t="shared" si="1"/>
        <v>Blank</v>
      </c>
      <c r="M17" s="43" t="str">
        <f t="shared" si="2"/>
        <v/>
      </c>
      <c r="N17" s="43" t="str">
        <f t="shared" si="3"/>
        <v/>
      </c>
      <c r="O17" s="43" t="str">
        <f t="shared" si="4"/>
        <v/>
      </c>
      <c r="P17" s="43" t="str">
        <f t="shared" si="5"/>
        <v>Blank</v>
      </c>
      <c r="Q17" s="43" t="str">
        <f t="shared" si="6"/>
        <v>No Override</v>
      </c>
      <c r="R17" s="43">
        <f t="shared" si="7"/>
        <v>4</v>
      </c>
      <c r="S17" s="43" t="str">
        <f t="shared" si="8"/>
        <v/>
      </c>
    </row>
    <row r="18" spans="1:19" x14ac:dyDescent="0.25">
      <c r="A18" s="43">
        <v>4</v>
      </c>
      <c r="C18" s="43">
        <f t="shared" si="0"/>
        <v>4</v>
      </c>
      <c r="D18" s="43" t="s">
        <v>142</v>
      </c>
      <c r="E18" s="59" t="s">
        <v>152</v>
      </c>
      <c r="F18" s="60" t="s">
        <v>149</v>
      </c>
      <c r="G18" s="159" t="s">
        <v>153</v>
      </c>
      <c r="H18" s="56">
        <f>'9. Maintenance'!$M5</f>
        <v>0</v>
      </c>
      <c r="I18" s="43">
        <f>'9. Maintenance'!$L5</f>
        <v>0</v>
      </c>
      <c r="J18" s="43" t="str">
        <f t="shared" si="10"/>
        <v>Blank</v>
      </c>
      <c r="K18" s="43" t="s">
        <v>325</v>
      </c>
      <c r="L18" s="43" t="str">
        <f t="shared" si="1"/>
        <v>Blank</v>
      </c>
      <c r="M18" s="43" t="str">
        <f t="shared" si="2"/>
        <v/>
      </c>
      <c r="N18" s="43" t="str">
        <f t="shared" si="3"/>
        <v/>
      </c>
      <c r="O18" s="43" t="str">
        <f t="shared" si="4"/>
        <v/>
      </c>
      <c r="P18" s="43" t="str">
        <f t="shared" si="5"/>
        <v>Blank</v>
      </c>
      <c r="Q18" s="43" t="str">
        <f t="shared" si="6"/>
        <v>No Override</v>
      </c>
      <c r="R18" s="43">
        <f t="shared" si="7"/>
        <v>4</v>
      </c>
      <c r="S18" s="43" t="str">
        <f t="shared" si="8"/>
        <v/>
      </c>
    </row>
    <row r="19" spans="1:19" x14ac:dyDescent="0.25">
      <c r="A19" s="43">
        <v>4</v>
      </c>
      <c r="C19" s="43">
        <f t="shared" si="0"/>
        <v>4</v>
      </c>
      <c r="D19" s="43" t="s">
        <v>142</v>
      </c>
      <c r="E19" s="59" t="s">
        <v>154</v>
      </c>
      <c r="F19" s="60" t="s">
        <v>149</v>
      </c>
      <c r="G19" s="159" t="s">
        <v>155</v>
      </c>
      <c r="H19" s="56">
        <f>'9. Maintenance'!$M6</f>
        <v>0</v>
      </c>
      <c r="I19" s="43">
        <f>'9. Maintenance'!$L6</f>
        <v>0</v>
      </c>
      <c r="J19" s="43" t="str">
        <f t="shared" si="10"/>
        <v>Blank</v>
      </c>
      <c r="K19" s="43" t="s">
        <v>325</v>
      </c>
      <c r="L19" s="43" t="str">
        <f t="shared" si="1"/>
        <v>Blank</v>
      </c>
      <c r="M19" s="43" t="str">
        <f t="shared" si="2"/>
        <v/>
      </c>
      <c r="N19" s="43" t="str">
        <f t="shared" si="3"/>
        <v/>
      </c>
      <c r="O19" s="43" t="str">
        <f t="shared" si="4"/>
        <v/>
      </c>
      <c r="P19" s="43" t="str">
        <f t="shared" si="5"/>
        <v>Blank</v>
      </c>
      <c r="Q19" s="43" t="str">
        <f t="shared" si="6"/>
        <v>No Override</v>
      </c>
      <c r="R19" s="43">
        <f t="shared" si="7"/>
        <v>4</v>
      </c>
      <c r="S19" s="43" t="str">
        <f t="shared" si="8"/>
        <v/>
      </c>
    </row>
    <row r="20" spans="1:19" ht="24" x14ac:dyDescent="0.25">
      <c r="A20" s="43">
        <v>4</v>
      </c>
      <c r="B20" s="43">
        <v>1</v>
      </c>
      <c r="C20" s="43">
        <f t="shared" si="0"/>
        <v>1</v>
      </c>
      <c r="D20" s="43" t="s">
        <v>142</v>
      </c>
      <c r="E20" s="59" t="s">
        <v>156</v>
      </c>
      <c r="F20" s="60" t="s">
        <v>149</v>
      </c>
      <c r="G20" s="159" t="s">
        <v>157</v>
      </c>
      <c r="H20" s="56">
        <f>'9. Maintenance'!$M7</f>
        <v>0</v>
      </c>
      <c r="I20" s="43">
        <f>'9. Maintenance'!$L7</f>
        <v>0</v>
      </c>
      <c r="J20" s="43" t="str">
        <f t="shared" si="10"/>
        <v>Blank</v>
      </c>
      <c r="K20" s="43" t="s">
        <v>325</v>
      </c>
      <c r="L20" s="43" t="str">
        <f t="shared" si="1"/>
        <v>Blank</v>
      </c>
      <c r="M20" s="43" t="str">
        <f t="shared" si="2"/>
        <v/>
      </c>
      <c r="N20" s="43" t="str">
        <f t="shared" si="3"/>
        <v/>
      </c>
      <c r="O20" s="43" t="str">
        <f t="shared" si="4"/>
        <v/>
      </c>
      <c r="P20" s="43" t="str">
        <f t="shared" si="5"/>
        <v>Blank</v>
      </c>
      <c r="Q20" s="43" t="str">
        <f t="shared" si="6"/>
        <v>No Override</v>
      </c>
      <c r="R20" s="43">
        <f t="shared" si="7"/>
        <v>1</v>
      </c>
      <c r="S20" s="43" t="str">
        <f t="shared" si="8"/>
        <v/>
      </c>
    </row>
    <row r="21" spans="1:19" ht="24" x14ac:dyDescent="0.25">
      <c r="A21" s="43">
        <v>4</v>
      </c>
      <c r="C21" s="43">
        <f t="shared" si="0"/>
        <v>4</v>
      </c>
      <c r="D21" s="43" t="s">
        <v>142</v>
      </c>
      <c r="E21" s="59" t="s">
        <v>158</v>
      </c>
      <c r="F21" s="60" t="s">
        <v>149</v>
      </c>
      <c r="G21" s="159" t="s">
        <v>159</v>
      </c>
      <c r="H21" s="56">
        <f>'9. Maintenance'!$M8</f>
        <v>0</v>
      </c>
      <c r="I21" s="43">
        <f>'9. Maintenance'!$L8</f>
        <v>0</v>
      </c>
      <c r="J21" s="43" t="str">
        <f t="shared" si="10"/>
        <v>Blank</v>
      </c>
      <c r="K21" s="43" t="s">
        <v>325</v>
      </c>
      <c r="L21" s="43" t="str">
        <f t="shared" si="1"/>
        <v>Blank</v>
      </c>
      <c r="M21" s="43" t="str">
        <f t="shared" si="2"/>
        <v/>
      </c>
      <c r="N21" s="43" t="str">
        <f t="shared" si="3"/>
        <v/>
      </c>
      <c r="O21" s="43" t="str">
        <f t="shared" si="4"/>
        <v/>
      </c>
      <c r="P21" s="43" t="str">
        <f t="shared" si="5"/>
        <v>Blank</v>
      </c>
      <c r="Q21" s="43" t="str">
        <f t="shared" si="6"/>
        <v>No Override</v>
      </c>
      <c r="R21" s="43">
        <f t="shared" si="7"/>
        <v>4</v>
      </c>
      <c r="S21" s="43" t="str">
        <f t="shared" si="8"/>
        <v/>
      </c>
    </row>
    <row r="22" spans="1:19" x14ac:dyDescent="0.25">
      <c r="A22" s="43">
        <v>4</v>
      </c>
      <c r="C22" s="43">
        <f t="shared" si="0"/>
        <v>4</v>
      </c>
      <c r="D22" s="43" t="s">
        <v>142</v>
      </c>
      <c r="E22" s="55" t="s">
        <v>162</v>
      </c>
      <c r="F22" s="56" t="s">
        <v>161</v>
      </c>
      <c r="G22" s="159" t="s">
        <v>163</v>
      </c>
      <c r="H22" s="56">
        <f>'9. Maintenance'!$M9</f>
        <v>0</v>
      </c>
      <c r="I22" s="43">
        <f>'9. Maintenance'!$L9</f>
        <v>0</v>
      </c>
      <c r="J22" s="43" t="str">
        <f t="shared" si="10"/>
        <v>Blank</v>
      </c>
      <c r="K22" s="43" t="s">
        <v>325</v>
      </c>
      <c r="L22" s="43" t="str">
        <f t="shared" si="1"/>
        <v>Blank</v>
      </c>
      <c r="M22" s="43" t="str">
        <f t="shared" si="2"/>
        <v/>
      </c>
      <c r="N22" s="43" t="str">
        <f t="shared" si="3"/>
        <v/>
      </c>
      <c r="O22" s="43" t="str">
        <f t="shared" si="4"/>
        <v/>
      </c>
      <c r="P22" s="43" t="str">
        <f t="shared" si="5"/>
        <v>Blank</v>
      </c>
      <c r="Q22" s="43" t="str">
        <f t="shared" si="6"/>
        <v>No Override</v>
      </c>
      <c r="R22" s="43">
        <f t="shared" si="7"/>
        <v>4</v>
      </c>
      <c r="S22" s="43" t="str">
        <f t="shared" si="8"/>
        <v/>
      </c>
    </row>
    <row r="23" spans="1:19" x14ac:dyDescent="0.25">
      <c r="A23" s="43">
        <v>1</v>
      </c>
      <c r="B23" s="43">
        <v>1</v>
      </c>
      <c r="C23" s="43">
        <f t="shared" si="0"/>
        <v>1</v>
      </c>
      <c r="D23" s="43" t="s">
        <v>142</v>
      </c>
      <c r="E23" s="55" t="s">
        <v>165</v>
      </c>
      <c r="F23" s="56" t="s">
        <v>164</v>
      </c>
      <c r="G23" s="159" t="s">
        <v>166</v>
      </c>
      <c r="H23" s="56">
        <f>'9. Maintenance'!$M10</f>
        <v>0</v>
      </c>
      <c r="I23" s="43">
        <f>'9. Maintenance'!$L10</f>
        <v>0</v>
      </c>
      <c r="J23" s="43" t="str">
        <f t="shared" si="10"/>
        <v>Blank</v>
      </c>
      <c r="K23" s="43" t="s">
        <v>325</v>
      </c>
      <c r="L23" s="43" t="str">
        <f t="shared" si="1"/>
        <v>Blank</v>
      </c>
      <c r="M23" s="43" t="str">
        <f t="shared" si="2"/>
        <v/>
      </c>
      <c r="N23" s="43" t="str">
        <f t="shared" si="3"/>
        <v/>
      </c>
      <c r="O23" s="43" t="str">
        <f t="shared" si="4"/>
        <v/>
      </c>
      <c r="P23" s="43" t="str">
        <f t="shared" si="5"/>
        <v>Blank</v>
      </c>
      <c r="Q23" s="43" t="str">
        <f t="shared" si="6"/>
        <v>No Override</v>
      </c>
      <c r="R23" s="43">
        <f t="shared" si="7"/>
        <v>1</v>
      </c>
      <c r="S23" s="43" t="str">
        <f t="shared" si="8"/>
        <v/>
      </c>
    </row>
    <row r="24" spans="1:19" x14ac:dyDescent="0.25">
      <c r="A24" s="43">
        <v>1</v>
      </c>
      <c r="B24" s="43">
        <v>2</v>
      </c>
      <c r="C24" s="43">
        <f t="shared" si="0"/>
        <v>2</v>
      </c>
      <c r="D24" s="43" t="s">
        <v>142</v>
      </c>
      <c r="E24" s="55" t="s">
        <v>167</v>
      </c>
      <c r="F24" s="56" t="s">
        <v>164</v>
      </c>
      <c r="G24" s="159" t="s">
        <v>168</v>
      </c>
      <c r="H24" s="56">
        <f>'9. Maintenance'!$M11</f>
        <v>0</v>
      </c>
      <c r="I24" s="43">
        <f>'9. Maintenance'!$L11</f>
        <v>0</v>
      </c>
      <c r="J24" s="43" t="str">
        <f t="shared" si="10"/>
        <v>Blank</v>
      </c>
      <c r="K24" s="43" t="s">
        <v>325</v>
      </c>
      <c r="L24" s="43" t="str">
        <f t="shared" si="1"/>
        <v>Blank</v>
      </c>
      <c r="M24" s="43" t="str">
        <f t="shared" si="2"/>
        <v/>
      </c>
      <c r="N24" s="43" t="str">
        <f t="shared" si="3"/>
        <v/>
      </c>
      <c r="O24" s="43" t="str">
        <f t="shared" si="4"/>
        <v/>
      </c>
      <c r="P24" s="43" t="str">
        <f t="shared" si="5"/>
        <v>Blank</v>
      </c>
      <c r="Q24" s="43" t="str">
        <f t="shared" si="6"/>
        <v>No Override</v>
      </c>
      <c r="R24" s="43">
        <f t="shared" si="7"/>
        <v>2</v>
      </c>
      <c r="S24" s="43" t="str">
        <f t="shared" si="8"/>
        <v/>
      </c>
    </row>
    <row r="25" spans="1:19" x14ac:dyDescent="0.25">
      <c r="A25" s="43">
        <v>1</v>
      </c>
      <c r="B25" s="43">
        <v>2</v>
      </c>
      <c r="C25" s="43">
        <f t="shared" si="0"/>
        <v>2</v>
      </c>
      <c r="D25" s="43" t="s">
        <v>142</v>
      </c>
      <c r="E25" s="55" t="s">
        <v>169</v>
      </c>
      <c r="F25" s="56" t="s">
        <v>164</v>
      </c>
      <c r="G25" s="159" t="s">
        <v>170</v>
      </c>
      <c r="H25" s="56">
        <f>'9. Maintenance'!$M12</f>
        <v>0</v>
      </c>
      <c r="I25" s="43">
        <f>'9. Maintenance'!$L12</f>
        <v>0</v>
      </c>
      <c r="J25" s="43" t="str">
        <f t="shared" si="10"/>
        <v>Blank</v>
      </c>
      <c r="K25" s="43" t="s">
        <v>325</v>
      </c>
      <c r="L25" s="43" t="str">
        <f t="shared" si="1"/>
        <v>Blank</v>
      </c>
      <c r="M25" s="43" t="str">
        <f t="shared" si="2"/>
        <v/>
      </c>
      <c r="N25" s="43" t="str">
        <f t="shared" si="3"/>
        <v/>
      </c>
      <c r="O25" s="43" t="str">
        <f t="shared" si="4"/>
        <v/>
      </c>
      <c r="P25" s="43" t="str">
        <f t="shared" si="5"/>
        <v>Blank</v>
      </c>
      <c r="Q25" s="43" t="str">
        <f t="shared" si="6"/>
        <v>No Override</v>
      </c>
      <c r="R25" s="43">
        <f t="shared" si="7"/>
        <v>2</v>
      </c>
      <c r="S25" s="43" t="str">
        <f t="shared" si="8"/>
        <v/>
      </c>
    </row>
    <row r="26" spans="1:19" x14ac:dyDescent="0.25">
      <c r="A26" s="43">
        <v>4</v>
      </c>
      <c r="C26" s="43">
        <f t="shared" si="0"/>
        <v>4</v>
      </c>
      <c r="D26" s="43" t="s">
        <v>142</v>
      </c>
      <c r="E26" s="59" t="s">
        <v>174</v>
      </c>
      <c r="F26" s="60" t="s">
        <v>173</v>
      </c>
      <c r="G26" s="159" t="s">
        <v>175</v>
      </c>
      <c r="H26" s="56">
        <f>'9. Maintenance'!$M13</f>
        <v>0</v>
      </c>
      <c r="I26" s="43">
        <f>'9. Maintenance'!$L13</f>
        <v>0</v>
      </c>
      <c r="J26" s="43" t="str">
        <f t="shared" si="10"/>
        <v>Blank</v>
      </c>
      <c r="K26" s="43" t="s">
        <v>325</v>
      </c>
      <c r="L26" s="43" t="str">
        <f t="shared" si="1"/>
        <v>Blank</v>
      </c>
      <c r="M26" s="43" t="str">
        <f t="shared" si="2"/>
        <v/>
      </c>
      <c r="N26" s="43" t="str">
        <f t="shared" si="3"/>
        <v/>
      </c>
      <c r="O26" s="43" t="str">
        <f t="shared" si="4"/>
        <v/>
      </c>
      <c r="P26" s="43" t="str">
        <f t="shared" si="5"/>
        <v>Blank</v>
      </c>
      <c r="Q26" s="43" t="str">
        <f t="shared" si="6"/>
        <v>No Override</v>
      </c>
      <c r="R26" s="43">
        <f t="shared" si="7"/>
        <v>4</v>
      </c>
      <c r="S26" s="43" t="str">
        <f t="shared" si="8"/>
        <v/>
      </c>
    </row>
    <row r="27" spans="1:19" ht="24" x14ac:dyDescent="0.25">
      <c r="A27" s="43">
        <v>4</v>
      </c>
      <c r="C27" s="43">
        <f t="shared" si="0"/>
        <v>4</v>
      </c>
      <c r="D27" s="43" t="s">
        <v>142</v>
      </c>
      <c r="E27" s="55" t="s">
        <v>178</v>
      </c>
      <c r="F27" s="56" t="s">
        <v>177</v>
      </c>
      <c r="G27" s="157" t="s">
        <v>179</v>
      </c>
      <c r="H27" s="56">
        <f>'9. Maintenance'!$M14</f>
        <v>0</v>
      </c>
      <c r="I27" s="43">
        <f>'9. Maintenance'!$L14</f>
        <v>0</v>
      </c>
      <c r="J27" s="43" t="str">
        <f t="shared" si="10"/>
        <v>Blank</v>
      </c>
      <c r="K27" s="43" t="s">
        <v>325</v>
      </c>
      <c r="L27" s="43" t="str">
        <f t="shared" si="1"/>
        <v>Blank</v>
      </c>
      <c r="M27" s="43" t="str">
        <f t="shared" si="2"/>
        <v/>
      </c>
      <c r="N27" s="43" t="str">
        <f t="shared" si="3"/>
        <v/>
      </c>
      <c r="O27" s="43" t="str">
        <f t="shared" si="4"/>
        <v/>
      </c>
      <c r="P27" s="43" t="str">
        <f t="shared" si="5"/>
        <v>Blank</v>
      </c>
      <c r="Q27" s="43" t="str">
        <f t="shared" si="6"/>
        <v>No Override</v>
      </c>
      <c r="R27" s="43">
        <f t="shared" si="7"/>
        <v>4</v>
      </c>
      <c r="S27" s="43" t="str">
        <f t="shared" si="8"/>
        <v/>
      </c>
    </row>
    <row r="28" spans="1:19" x14ac:dyDescent="0.25">
      <c r="A28" s="43">
        <v>4</v>
      </c>
      <c r="C28" s="43">
        <f t="shared" si="0"/>
        <v>4</v>
      </c>
      <c r="D28" s="43" t="s">
        <v>180</v>
      </c>
      <c r="E28" s="55" t="s">
        <v>184</v>
      </c>
      <c r="F28" s="56" t="s">
        <v>183</v>
      </c>
      <c r="G28" s="155" t="s">
        <v>185</v>
      </c>
      <c r="H28" s="56">
        <f>'13. Personnel Security'!$M3</f>
        <v>0</v>
      </c>
      <c r="I28" s="43">
        <f>'13. Personnel Security'!$L3</f>
        <v>0</v>
      </c>
      <c r="J28" s="43" t="str">
        <f t="shared" si="10"/>
        <v>Blank</v>
      </c>
      <c r="K28" s="43" t="s">
        <v>325</v>
      </c>
      <c r="L28" s="43" t="str">
        <f t="shared" si="1"/>
        <v>Blank</v>
      </c>
      <c r="M28" s="43" t="str">
        <f t="shared" si="2"/>
        <v/>
      </c>
      <c r="N28" s="43" t="str">
        <f t="shared" si="3"/>
        <v/>
      </c>
      <c r="O28" s="43" t="str">
        <f t="shared" si="4"/>
        <v/>
      </c>
      <c r="P28" s="43" t="str">
        <f t="shared" si="5"/>
        <v>Blank</v>
      </c>
      <c r="Q28" s="43" t="str">
        <f t="shared" si="6"/>
        <v>No Override</v>
      </c>
      <c r="R28" s="43">
        <f t="shared" si="7"/>
        <v>4</v>
      </c>
      <c r="S28" s="43" t="str">
        <f t="shared" si="8"/>
        <v/>
      </c>
    </row>
    <row r="29" spans="1:19" x14ac:dyDescent="0.25">
      <c r="A29" s="43">
        <v>4</v>
      </c>
      <c r="C29" s="43">
        <f t="shared" si="0"/>
        <v>4</v>
      </c>
      <c r="D29" s="43" t="s">
        <v>180</v>
      </c>
      <c r="E29" s="55" t="s">
        <v>188</v>
      </c>
      <c r="F29" s="56" t="s">
        <v>187</v>
      </c>
      <c r="G29" s="159" t="s">
        <v>189</v>
      </c>
      <c r="H29" s="56">
        <f>'13. Personnel Security'!$M4</f>
        <v>0</v>
      </c>
      <c r="I29" s="43">
        <f>'13. Personnel Security'!$L4</f>
        <v>0</v>
      </c>
      <c r="J29" s="43" t="str">
        <f t="shared" si="10"/>
        <v>Blank</v>
      </c>
      <c r="K29" s="43" t="s">
        <v>325</v>
      </c>
      <c r="L29" s="43" t="str">
        <f t="shared" si="1"/>
        <v>Blank</v>
      </c>
      <c r="M29" s="43" t="str">
        <f t="shared" si="2"/>
        <v/>
      </c>
      <c r="N29" s="43" t="str">
        <f t="shared" si="3"/>
        <v/>
      </c>
      <c r="O29" s="43" t="str">
        <f t="shared" si="4"/>
        <v/>
      </c>
      <c r="P29" s="43" t="str">
        <f t="shared" si="5"/>
        <v>Blank</v>
      </c>
      <c r="Q29" s="43" t="str">
        <f t="shared" si="6"/>
        <v>No Override</v>
      </c>
      <c r="R29" s="43">
        <f t="shared" si="7"/>
        <v>4</v>
      </c>
      <c r="S29" s="43" t="str">
        <f t="shared" si="8"/>
        <v/>
      </c>
    </row>
    <row r="30" spans="1:19" x14ac:dyDescent="0.25">
      <c r="A30" s="43">
        <v>4</v>
      </c>
      <c r="C30" s="43">
        <f t="shared" si="0"/>
        <v>4</v>
      </c>
      <c r="D30" s="43" t="s">
        <v>180</v>
      </c>
      <c r="E30" s="55" t="s">
        <v>190</v>
      </c>
      <c r="F30" s="56" t="s">
        <v>187</v>
      </c>
      <c r="G30" s="159" t="s">
        <v>191</v>
      </c>
      <c r="H30" s="56">
        <f>'13. Personnel Security'!$M5</f>
        <v>0</v>
      </c>
      <c r="I30" s="43">
        <f>'13. Personnel Security'!$L5</f>
        <v>0</v>
      </c>
      <c r="J30" s="43" t="str">
        <f t="shared" si="10"/>
        <v>Blank</v>
      </c>
      <c r="K30" s="43" t="s">
        <v>325</v>
      </c>
      <c r="L30" s="43" t="str">
        <f t="shared" si="1"/>
        <v>Blank</v>
      </c>
      <c r="M30" s="43" t="str">
        <f t="shared" si="2"/>
        <v/>
      </c>
      <c r="N30" s="43" t="str">
        <f t="shared" si="3"/>
        <v/>
      </c>
      <c r="O30" s="43" t="str">
        <f t="shared" si="4"/>
        <v/>
      </c>
      <c r="P30" s="43" t="str">
        <f t="shared" si="5"/>
        <v>Blank</v>
      </c>
      <c r="Q30" s="43" t="str">
        <f t="shared" si="6"/>
        <v>No Override</v>
      </c>
      <c r="R30" s="43">
        <f t="shared" si="7"/>
        <v>4</v>
      </c>
      <c r="S30" s="43" t="str">
        <f t="shared" si="8"/>
        <v/>
      </c>
    </row>
    <row r="31" spans="1:19" x14ac:dyDescent="0.25">
      <c r="A31" s="43">
        <v>4</v>
      </c>
      <c r="C31" s="43">
        <f t="shared" si="0"/>
        <v>4</v>
      </c>
      <c r="D31" s="43" t="s">
        <v>180</v>
      </c>
      <c r="E31" s="55" t="s">
        <v>192</v>
      </c>
      <c r="F31" s="56" t="s">
        <v>187</v>
      </c>
      <c r="G31" s="159" t="s">
        <v>193</v>
      </c>
      <c r="H31" s="56">
        <f>'13. Personnel Security'!$M6</f>
        <v>0</v>
      </c>
      <c r="I31" s="43">
        <f>'13. Personnel Security'!$L6</f>
        <v>0</v>
      </c>
      <c r="J31" s="43" t="str">
        <f t="shared" si="10"/>
        <v>Blank</v>
      </c>
      <c r="K31" s="43" t="s">
        <v>325</v>
      </c>
      <c r="L31" s="43" t="str">
        <f t="shared" si="1"/>
        <v>Blank</v>
      </c>
      <c r="M31" s="43" t="str">
        <f t="shared" si="2"/>
        <v/>
      </c>
      <c r="N31" s="43" t="str">
        <f t="shared" si="3"/>
        <v/>
      </c>
      <c r="O31" s="43" t="str">
        <f t="shared" si="4"/>
        <v/>
      </c>
      <c r="P31" s="43" t="str">
        <f t="shared" si="5"/>
        <v>Blank</v>
      </c>
      <c r="Q31" s="43" t="str">
        <f t="shared" si="6"/>
        <v>No Override</v>
      </c>
      <c r="R31" s="43">
        <f t="shared" si="7"/>
        <v>4</v>
      </c>
      <c r="S31" s="43" t="str">
        <f t="shared" si="8"/>
        <v/>
      </c>
    </row>
    <row r="32" spans="1:19" x14ac:dyDescent="0.25">
      <c r="A32" s="43">
        <v>4</v>
      </c>
      <c r="B32" s="43">
        <v>1</v>
      </c>
      <c r="C32" s="43">
        <f t="shared" si="0"/>
        <v>1</v>
      </c>
      <c r="D32" s="43" t="s">
        <v>180</v>
      </c>
      <c r="E32" s="55" t="s">
        <v>195</v>
      </c>
      <c r="F32" s="56" t="s">
        <v>194</v>
      </c>
      <c r="G32" s="159" t="s">
        <v>196</v>
      </c>
      <c r="H32" s="56">
        <f>'13. Personnel Security'!$M7</f>
        <v>0</v>
      </c>
      <c r="I32" s="43">
        <f>'13. Personnel Security'!$L7</f>
        <v>0</v>
      </c>
      <c r="J32" s="43" t="str">
        <f t="shared" si="10"/>
        <v>Blank</v>
      </c>
      <c r="K32" s="43" t="s">
        <v>325</v>
      </c>
      <c r="L32" s="43" t="str">
        <f t="shared" si="1"/>
        <v>Blank</v>
      </c>
      <c r="M32" s="43" t="str">
        <f t="shared" si="2"/>
        <v/>
      </c>
      <c r="N32" s="43" t="str">
        <f t="shared" si="3"/>
        <v/>
      </c>
      <c r="O32" s="43" t="str">
        <f t="shared" si="4"/>
        <v/>
      </c>
      <c r="P32" s="43" t="str">
        <f t="shared" si="5"/>
        <v>Blank</v>
      </c>
      <c r="Q32" s="43" t="str">
        <f t="shared" si="6"/>
        <v>No Override</v>
      </c>
      <c r="R32" s="43">
        <f t="shared" si="7"/>
        <v>1</v>
      </c>
      <c r="S32" s="43" t="str">
        <f t="shared" si="8"/>
        <v/>
      </c>
    </row>
    <row r="33" spans="1:19" x14ac:dyDescent="0.25">
      <c r="A33" s="43">
        <v>4</v>
      </c>
      <c r="B33" s="43">
        <v>1</v>
      </c>
      <c r="C33" s="43">
        <f t="shared" si="0"/>
        <v>1</v>
      </c>
      <c r="D33" s="43" t="s">
        <v>180</v>
      </c>
      <c r="E33" s="55" t="s">
        <v>197</v>
      </c>
      <c r="F33" s="56" t="s">
        <v>194</v>
      </c>
      <c r="G33" s="159" t="s">
        <v>198</v>
      </c>
      <c r="H33" s="56">
        <f>'13. Personnel Security'!$M8</f>
        <v>0</v>
      </c>
      <c r="I33" s="43">
        <f>'13. Personnel Security'!$L8</f>
        <v>0</v>
      </c>
      <c r="J33" s="43" t="str">
        <f t="shared" si="10"/>
        <v>Blank</v>
      </c>
      <c r="K33" s="43" t="s">
        <v>325</v>
      </c>
      <c r="L33" s="43" t="str">
        <f t="shared" si="1"/>
        <v>Blank</v>
      </c>
      <c r="M33" s="43" t="str">
        <f t="shared" si="2"/>
        <v/>
      </c>
      <c r="N33" s="43" t="str">
        <f t="shared" si="3"/>
        <v/>
      </c>
      <c r="O33" s="43" t="str">
        <f t="shared" si="4"/>
        <v/>
      </c>
      <c r="P33" s="43" t="str">
        <f t="shared" si="5"/>
        <v>Blank</v>
      </c>
      <c r="Q33" s="43" t="str">
        <f t="shared" si="6"/>
        <v>No Override</v>
      </c>
      <c r="R33" s="43">
        <f t="shared" si="7"/>
        <v>1</v>
      </c>
      <c r="S33" s="43" t="str">
        <f t="shared" si="8"/>
        <v/>
      </c>
    </row>
    <row r="34" spans="1:19" x14ac:dyDescent="0.25">
      <c r="A34" s="43">
        <v>4</v>
      </c>
      <c r="B34" s="43">
        <v>3</v>
      </c>
      <c r="C34" s="43">
        <f t="shared" si="0"/>
        <v>3</v>
      </c>
      <c r="D34" s="43" t="s">
        <v>180</v>
      </c>
      <c r="E34" s="55" t="s">
        <v>202</v>
      </c>
      <c r="F34" s="56" t="s">
        <v>201</v>
      </c>
      <c r="G34" s="159" t="s">
        <v>203</v>
      </c>
      <c r="H34" s="56">
        <f>'13. Personnel Security'!$M9</f>
        <v>0</v>
      </c>
      <c r="I34" s="43">
        <f>'13. Personnel Security'!$L9</f>
        <v>0</v>
      </c>
      <c r="J34" s="43" t="str">
        <f t="shared" si="10"/>
        <v>Blank</v>
      </c>
      <c r="K34" s="43" t="s">
        <v>325</v>
      </c>
      <c r="L34" s="43" t="str">
        <f t="shared" si="1"/>
        <v>Blank</v>
      </c>
      <c r="M34" s="43" t="str">
        <f t="shared" si="2"/>
        <v/>
      </c>
      <c r="N34" s="43" t="str">
        <f t="shared" si="3"/>
        <v/>
      </c>
      <c r="O34" s="43" t="str">
        <f t="shared" si="4"/>
        <v/>
      </c>
      <c r="P34" s="43" t="str">
        <f t="shared" si="5"/>
        <v>Blank</v>
      </c>
      <c r="Q34" s="43" t="str">
        <f t="shared" si="6"/>
        <v>No Override</v>
      </c>
      <c r="R34" s="43">
        <f t="shared" si="7"/>
        <v>3</v>
      </c>
      <c r="S34" s="43" t="str">
        <f t="shared" si="8"/>
        <v/>
      </c>
    </row>
    <row r="35" spans="1:19" x14ac:dyDescent="0.25">
      <c r="A35" s="43">
        <v>4</v>
      </c>
      <c r="C35" s="43">
        <f t="shared" si="0"/>
        <v>4</v>
      </c>
      <c r="D35" s="43" t="s">
        <v>180</v>
      </c>
      <c r="E35" s="55" t="s">
        <v>206</v>
      </c>
      <c r="F35" s="56" t="s">
        <v>205</v>
      </c>
      <c r="G35" s="159" t="s">
        <v>207</v>
      </c>
      <c r="H35" s="56">
        <f>'13. Personnel Security'!$M10</f>
        <v>0</v>
      </c>
      <c r="I35" s="43">
        <f>'13. Personnel Security'!$L10</f>
        <v>0</v>
      </c>
      <c r="J35" s="43" t="str">
        <f t="shared" si="10"/>
        <v>Blank</v>
      </c>
      <c r="K35" s="43" t="s">
        <v>325</v>
      </c>
      <c r="L35" s="43" t="str">
        <f t="shared" si="1"/>
        <v>Blank</v>
      </c>
      <c r="M35" s="43" t="str">
        <f t="shared" si="2"/>
        <v/>
      </c>
      <c r="N35" s="43" t="str">
        <f t="shared" si="3"/>
        <v/>
      </c>
      <c r="O35" s="43" t="str">
        <f t="shared" si="4"/>
        <v/>
      </c>
      <c r="P35" s="43" t="str">
        <f t="shared" si="5"/>
        <v>Blank</v>
      </c>
      <c r="Q35" s="43" t="str">
        <f t="shared" si="6"/>
        <v>No Override</v>
      </c>
      <c r="R35" s="43">
        <f t="shared" si="7"/>
        <v>4</v>
      </c>
      <c r="S35" s="43" t="str">
        <f t="shared" si="8"/>
        <v/>
      </c>
    </row>
    <row r="36" spans="1:19" x14ac:dyDescent="0.25">
      <c r="A36" s="43">
        <v>4</v>
      </c>
      <c r="C36" s="43">
        <f t="shared" si="0"/>
        <v>4</v>
      </c>
      <c r="D36" s="43" t="s">
        <v>180</v>
      </c>
      <c r="E36" s="55" t="s">
        <v>211</v>
      </c>
      <c r="F36" s="56" t="s">
        <v>210</v>
      </c>
      <c r="G36" s="159" t="s">
        <v>212</v>
      </c>
      <c r="H36" s="56">
        <f>'13. Personnel Security'!$M11</f>
        <v>0</v>
      </c>
      <c r="I36" s="43">
        <f>'13. Personnel Security'!$L11</f>
        <v>0</v>
      </c>
      <c r="J36" s="43" t="str">
        <f t="shared" si="10"/>
        <v>Blank</v>
      </c>
      <c r="K36" s="43" t="s">
        <v>325</v>
      </c>
      <c r="L36" s="43" t="str">
        <f t="shared" si="1"/>
        <v>Blank</v>
      </c>
      <c r="M36" s="43" t="str">
        <f t="shared" si="2"/>
        <v/>
      </c>
      <c r="N36" s="43" t="str">
        <f t="shared" si="3"/>
        <v/>
      </c>
      <c r="O36" s="43" t="str">
        <f t="shared" si="4"/>
        <v/>
      </c>
      <c r="P36" s="43" t="str">
        <f t="shared" si="5"/>
        <v>Blank</v>
      </c>
      <c r="Q36" s="43" t="str">
        <f t="shared" si="6"/>
        <v>No Override</v>
      </c>
      <c r="R36" s="43">
        <f t="shared" si="7"/>
        <v>4</v>
      </c>
      <c r="S36" s="43" t="str">
        <f t="shared" si="8"/>
        <v/>
      </c>
    </row>
    <row r="37" spans="1:19" ht="24" x14ac:dyDescent="0.25">
      <c r="A37" s="43">
        <v>4</v>
      </c>
      <c r="B37" s="43">
        <v>1</v>
      </c>
      <c r="C37" s="43">
        <f t="shared" si="0"/>
        <v>1</v>
      </c>
      <c r="D37" s="43" t="s">
        <v>180</v>
      </c>
      <c r="E37" s="55" t="s">
        <v>216</v>
      </c>
      <c r="F37" s="56" t="s">
        <v>215</v>
      </c>
      <c r="G37" s="159" t="s">
        <v>217</v>
      </c>
      <c r="H37" s="56">
        <f>'13. Personnel Security'!$M12</f>
        <v>0</v>
      </c>
      <c r="I37" s="43">
        <f>'13. Personnel Security'!$L12</f>
        <v>0</v>
      </c>
      <c r="J37" s="43" t="str">
        <f t="shared" si="10"/>
        <v>Blank</v>
      </c>
      <c r="K37" s="43" t="s">
        <v>325</v>
      </c>
      <c r="L37" s="43" t="str">
        <f t="shared" si="1"/>
        <v>Blank</v>
      </c>
      <c r="M37" s="43" t="str">
        <f t="shared" si="2"/>
        <v/>
      </c>
      <c r="N37" s="43" t="str">
        <f t="shared" si="3"/>
        <v/>
      </c>
      <c r="O37" s="43" t="str">
        <f t="shared" si="4"/>
        <v/>
      </c>
      <c r="P37" s="43" t="str">
        <f t="shared" si="5"/>
        <v>Blank</v>
      </c>
      <c r="Q37" s="43" t="str">
        <f t="shared" si="6"/>
        <v>No Override</v>
      </c>
      <c r="R37" s="43">
        <f t="shared" si="7"/>
        <v>1</v>
      </c>
      <c r="S37" s="43" t="str">
        <f t="shared" si="8"/>
        <v/>
      </c>
    </row>
    <row r="38" spans="1:19" x14ac:dyDescent="0.25">
      <c r="A38" s="43">
        <v>4</v>
      </c>
      <c r="C38" s="43">
        <f t="shared" si="0"/>
        <v>4</v>
      </c>
      <c r="D38" s="43" t="s">
        <v>180</v>
      </c>
      <c r="E38" s="55" t="s">
        <v>221</v>
      </c>
      <c r="F38" s="56" t="s">
        <v>220</v>
      </c>
      <c r="G38" s="159" t="s">
        <v>222</v>
      </c>
      <c r="H38" s="56">
        <f>'13. Personnel Security'!$M13</f>
        <v>0</v>
      </c>
      <c r="I38" s="62">
        <f>'13. Personnel Security'!$L13</f>
        <v>0</v>
      </c>
      <c r="J38" s="43" t="str">
        <f t="shared" si="10"/>
        <v>Blank</v>
      </c>
      <c r="K38" s="43" t="s">
        <v>325</v>
      </c>
      <c r="L38" s="43" t="str">
        <f t="shared" si="1"/>
        <v>Blank</v>
      </c>
      <c r="M38" s="43" t="str">
        <f t="shared" si="2"/>
        <v/>
      </c>
      <c r="N38" s="43" t="str">
        <f t="shared" si="3"/>
        <v/>
      </c>
      <c r="O38" s="43" t="str">
        <f t="shared" si="4"/>
        <v/>
      </c>
      <c r="P38" s="43" t="str">
        <f t="shared" si="5"/>
        <v>Blank</v>
      </c>
      <c r="Q38" s="43" t="str">
        <f t="shared" si="6"/>
        <v>No Override</v>
      </c>
      <c r="R38" s="43">
        <f t="shared" si="7"/>
        <v>4</v>
      </c>
      <c r="S38" s="43" t="str">
        <f t="shared" si="8"/>
        <v/>
      </c>
    </row>
  </sheetData>
  <conditionalFormatting sqref="L2:L38">
    <cfRule type="expression" dxfId="3" priority="1">
      <formula>AND($I2="N/A",$H2&lt;&gt;0)</formula>
    </cfRule>
    <cfRule type="expression" dxfId="2" priority="2">
      <formula>AND($I2="N/A",$H2=0)</formula>
    </cfRule>
  </conditionalFormatting>
  <pageMargins left="0.7" right="0.7" top="0.75" bottom="0.75" header="0.3" footer="0.3"/>
  <pageSetup orientation="portrait" verticalDpi="0"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000-000000000000}">
          <x14:formula1>
            <xm:f>'Data Validation Key'!$N$2:$N$5</xm:f>
          </x14:formula1>
          <xm:sqref>K2:K38</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dimension ref="A1:S38"/>
  <sheetViews>
    <sheetView zoomScale="80" zoomScaleNormal="80" workbookViewId="0">
      <pane ySplit="1" topLeftCell="A2" activePane="bottomLeft" state="frozen"/>
      <selection activeCell="D9" sqref="D9:D11"/>
      <selection pane="bottomLeft" activeCell="A38" sqref="A38:XFD38"/>
    </sheetView>
  </sheetViews>
  <sheetFormatPr defaultColWidth="9" defaultRowHeight="15" x14ac:dyDescent="0.25"/>
  <cols>
    <col min="1" max="1" width="4.42578125" style="43" bestFit="1" customWidth="1"/>
    <col min="2" max="2" width="10.140625" style="43" bestFit="1" customWidth="1"/>
    <col min="3" max="3" width="8.42578125" style="43" bestFit="1" customWidth="1"/>
    <col min="4" max="4" width="22.5703125" style="43" customWidth="1"/>
    <col min="5" max="5" width="17.85546875" style="43" bestFit="1" customWidth="1"/>
    <col min="6" max="6" width="17.85546875" style="61" customWidth="1"/>
    <col min="7" max="7" width="102.7109375" style="160" customWidth="1"/>
    <col min="8" max="8" width="18" style="61" customWidth="1"/>
    <col min="9" max="9" width="9.5703125" style="43" bestFit="1" customWidth="1"/>
    <col min="10" max="10" width="13.7109375" style="43" bestFit="1" customWidth="1"/>
    <col min="11" max="11" width="11.85546875" style="43" bestFit="1" customWidth="1"/>
    <col min="12" max="12" width="14.42578125" style="43" bestFit="1" customWidth="1"/>
    <col min="13" max="13" width="20.42578125" style="43" bestFit="1" customWidth="1"/>
    <col min="14" max="14" width="10.140625" style="43" bestFit="1" customWidth="1"/>
    <col min="15" max="15" width="18" style="43" bestFit="1" customWidth="1"/>
    <col min="16" max="16" width="14" style="43" bestFit="1" customWidth="1"/>
    <col min="17" max="17" width="9.7109375" style="43" bestFit="1" customWidth="1"/>
    <col min="18" max="18" width="12.28515625" style="43" bestFit="1" customWidth="1"/>
    <col min="19" max="19" width="22" style="43" bestFit="1" customWidth="1"/>
    <col min="20" max="16384" width="9" style="43"/>
  </cols>
  <sheetData>
    <row r="1" spans="1:19" x14ac:dyDescent="0.25">
      <c r="A1" s="52" t="s">
        <v>311</v>
      </c>
      <c r="B1" s="52" t="s">
        <v>312</v>
      </c>
      <c r="C1" s="52" t="s">
        <v>313</v>
      </c>
      <c r="D1" s="52" t="s">
        <v>314</v>
      </c>
      <c r="E1" s="52" t="s">
        <v>7</v>
      </c>
      <c r="F1" s="53" t="s">
        <v>8</v>
      </c>
      <c r="G1" s="154" t="s">
        <v>315</v>
      </c>
      <c r="H1" s="53" t="s">
        <v>316</v>
      </c>
      <c r="I1" s="52" t="s">
        <v>10</v>
      </c>
      <c r="J1" s="52" t="s">
        <v>317</v>
      </c>
      <c r="K1" s="52" t="s">
        <v>318</v>
      </c>
      <c r="L1" s="52" t="s">
        <v>319</v>
      </c>
      <c r="M1" s="54" t="s">
        <v>320</v>
      </c>
      <c r="N1" s="54" t="s">
        <v>76</v>
      </c>
      <c r="O1" s="54" t="s">
        <v>77</v>
      </c>
      <c r="P1" s="54" t="s">
        <v>321</v>
      </c>
      <c r="Q1" s="54" t="s">
        <v>322</v>
      </c>
      <c r="R1" s="54" t="s">
        <v>323</v>
      </c>
      <c r="S1" s="54" t="s">
        <v>324</v>
      </c>
    </row>
    <row r="2" spans="1:19" s="140" customFormat="1" x14ac:dyDescent="0.25">
      <c r="A2" s="149">
        <v>4</v>
      </c>
      <c r="B2" s="149">
        <v>1</v>
      </c>
      <c r="C2" s="140">
        <f t="shared" ref="C2:C38" si="0">IF($B2="",$A2,$B2)</f>
        <v>1</v>
      </c>
      <c r="D2" s="149" t="s">
        <v>395</v>
      </c>
      <c r="E2" s="55" t="s">
        <v>385</v>
      </c>
      <c r="F2" s="150" t="s">
        <v>78</v>
      </c>
      <c r="G2" s="155" t="s">
        <v>386</v>
      </c>
      <c r="H2" s="150">
        <f>'1. Access Controls'!$L3</f>
        <v>0</v>
      </c>
      <c r="I2" s="149">
        <f>'1. Access Controls'!$K3</f>
        <v>0</v>
      </c>
      <c r="J2" s="43" t="str">
        <f>IF($I2="Yes","Adequate",IF($I2="No","Inadequate",IF($I2="Partial","Inadequate",IF($I2="N/A","Inadequate",IF(OR($I2="",$I2=0),"Blank","Error")))))</f>
        <v>Blank</v>
      </c>
      <c r="K2" s="43" t="s">
        <v>325</v>
      </c>
      <c r="L2" s="43" t="str">
        <f t="shared" ref="L2:L38" si="1">IF($K2="No Override",$J2,$K2)</f>
        <v>Blank</v>
      </c>
      <c r="M2" s="43" t="str">
        <f t="shared" ref="M2:M38" si="2">IF($J2=$L2,"","***")</f>
        <v/>
      </c>
      <c r="N2" s="43" t="str">
        <f t="shared" ref="N2:N38" si="3">IF(OR($I2="",$I2=0),"",$I2)</f>
        <v/>
      </c>
      <c r="O2" s="43" t="str">
        <f t="shared" ref="O2:O38" si="4">IF(OR($H2="",$H2=0),"",$H2)</f>
        <v/>
      </c>
      <c r="P2" s="43" t="str">
        <f t="shared" ref="P2:P38" si="5">$L2</f>
        <v>Blank</v>
      </c>
      <c r="Q2" s="43" t="str">
        <f t="shared" ref="Q2:Q38" si="6">$K2</f>
        <v>No Override</v>
      </c>
      <c r="R2" s="43">
        <f t="shared" ref="R2:R38" si="7">$C2</f>
        <v>1</v>
      </c>
      <c r="S2" s="43" t="str">
        <f t="shared" ref="S2:S38" si="8">IF($L2=$P2,"","***")</f>
        <v/>
      </c>
    </row>
    <row r="3" spans="1:19" s="140" customFormat="1" x14ac:dyDescent="0.25">
      <c r="A3" s="149">
        <v>4</v>
      </c>
      <c r="B3" s="148"/>
      <c r="C3" s="140">
        <f t="shared" si="0"/>
        <v>4</v>
      </c>
      <c r="D3" s="149" t="s">
        <v>395</v>
      </c>
      <c r="E3" s="55" t="s">
        <v>387</v>
      </c>
      <c r="F3" s="150" t="s">
        <v>78</v>
      </c>
      <c r="G3" s="155" t="s">
        <v>388</v>
      </c>
      <c r="H3" s="150">
        <f>'1. Access Controls'!$L4</f>
        <v>0</v>
      </c>
      <c r="I3" s="149">
        <f>'1. Access Controls'!$K4</f>
        <v>0</v>
      </c>
      <c r="J3" s="43" t="str">
        <f>IF($I3="Yes","Adequate",IF($I3="No","Inadequate",IF($I3="Partial","Inadequate",IF($I3="N/A","Inadequate",IF(OR($I3="",$I3=0),"Blank","Error")))))</f>
        <v>Blank</v>
      </c>
      <c r="K3" s="43" t="s">
        <v>325</v>
      </c>
      <c r="L3" s="43" t="str">
        <f t="shared" si="1"/>
        <v>Blank</v>
      </c>
      <c r="M3" s="43" t="str">
        <f t="shared" si="2"/>
        <v/>
      </c>
      <c r="N3" s="43" t="str">
        <f t="shared" si="3"/>
        <v/>
      </c>
      <c r="O3" s="43" t="str">
        <f t="shared" si="4"/>
        <v/>
      </c>
      <c r="P3" s="43" t="str">
        <f t="shared" si="5"/>
        <v>Blank</v>
      </c>
      <c r="Q3" s="43" t="str">
        <f t="shared" si="6"/>
        <v>No Override</v>
      </c>
      <c r="R3" s="43">
        <f t="shared" si="7"/>
        <v>4</v>
      </c>
      <c r="S3" s="43" t="str">
        <f t="shared" si="8"/>
        <v/>
      </c>
    </row>
    <row r="4" spans="1:19" ht="24" x14ac:dyDescent="0.25">
      <c r="A4" s="43">
        <v>2</v>
      </c>
      <c r="C4" s="43">
        <f t="shared" si="0"/>
        <v>2</v>
      </c>
      <c r="D4" s="43" t="s">
        <v>101</v>
      </c>
      <c r="E4" s="55" t="s">
        <v>103</v>
      </c>
      <c r="F4" s="56" t="s">
        <v>326</v>
      </c>
      <c r="G4" s="155" t="s">
        <v>104</v>
      </c>
      <c r="H4" s="56">
        <f>'2. Awareness and Training'!$O3</f>
        <v>0</v>
      </c>
      <c r="I4" s="43">
        <f>'2. Awareness and Training'!$N3</f>
        <v>0</v>
      </c>
      <c r="J4" s="43" t="str">
        <f>IF($I4="Yes","Adequate",IF($I4="No","Inadequate",IF($I4="Partial","Inadequate",IF($I4="N/A","Inadequate",IF(OR($I4="",$I4=0),"Blank","Error")))))</f>
        <v>Blank</v>
      </c>
      <c r="K4" s="43" t="s">
        <v>325</v>
      </c>
      <c r="L4" s="43" t="str">
        <f t="shared" si="1"/>
        <v>Blank</v>
      </c>
      <c r="M4" s="43" t="str">
        <f t="shared" si="2"/>
        <v/>
      </c>
      <c r="N4" s="43" t="str">
        <f t="shared" si="3"/>
        <v/>
      </c>
      <c r="O4" s="43" t="str">
        <f t="shared" si="4"/>
        <v/>
      </c>
      <c r="P4" s="43" t="str">
        <f t="shared" si="5"/>
        <v>Blank</v>
      </c>
      <c r="Q4" s="43" t="str">
        <f t="shared" si="6"/>
        <v>No Override</v>
      </c>
      <c r="R4" s="43">
        <f t="shared" si="7"/>
        <v>2</v>
      </c>
      <c r="S4" s="43" t="str">
        <f t="shared" si="8"/>
        <v/>
      </c>
    </row>
    <row r="5" spans="1:19" x14ac:dyDescent="0.25">
      <c r="A5" s="43">
        <v>2</v>
      </c>
      <c r="C5" s="43">
        <f t="shared" si="0"/>
        <v>2</v>
      </c>
      <c r="D5" s="43" t="s">
        <v>101</v>
      </c>
      <c r="E5" s="55" t="s">
        <v>106</v>
      </c>
      <c r="F5" s="57" t="s">
        <v>327</v>
      </c>
      <c r="G5" s="155" t="s">
        <v>107</v>
      </c>
      <c r="H5" s="56">
        <f>'2. Awareness and Training'!$O4</f>
        <v>0</v>
      </c>
      <c r="I5" s="43">
        <f>'2. Awareness and Training'!$N4</f>
        <v>0</v>
      </c>
      <c r="J5" s="43" t="str">
        <f>IF($I5="Yes","Adequate",IF($I5="No","Inadequate",IF($I5="Partial","Inadequate",IF($I5="N/A","Inadequate",IF(OR($I5="",$I5=0),"Blank","Error")))))</f>
        <v>Blank</v>
      </c>
      <c r="K5" s="43" t="s">
        <v>325</v>
      </c>
      <c r="L5" s="43" t="str">
        <f t="shared" si="1"/>
        <v>Blank</v>
      </c>
      <c r="M5" s="43" t="str">
        <f t="shared" si="2"/>
        <v/>
      </c>
      <c r="N5" s="43" t="str">
        <f t="shared" si="3"/>
        <v/>
      </c>
      <c r="O5" s="43" t="str">
        <f t="shared" si="4"/>
        <v/>
      </c>
      <c r="P5" s="43" t="str">
        <f t="shared" si="5"/>
        <v>Blank</v>
      </c>
      <c r="Q5" s="43" t="str">
        <f t="shared" si="6"/>
        <v>No Override</v>
      </c>
      <c r="R5" s="43">
        <f t="shared" si="7"/>
        <v>2</v>
      </c>
      <c r="S5" s="43" t="str">
        <f t="shared" si="8"/>
        <v/>
      </c>
    </row>
    <row r="6" spans="1:19" x14ac:dyDescent="0.25">
      <c r="A6" s="43">
        <v>2</v>
      </c>
      <c r="C6" s="43">
        <f t="shared" si="0"/>
        <v>2</v>
      </c>
      <c r="D6" s="43" t="s">
        <v>101</v>
      </c>
      <c r="E6" s="55" t="s">
        <v>108</v>
      </c>
      <c r="F6" s="56" t="s">
        <v>327</v>
      </c>
      <c r="G6" s="155" t="s">
        <v>109</v>
      </c>
      <c r="H6" s="56">
        <f>'2. Awareness and Training'!$O5</f>
        <v>0</v>
      </c>
      <c r="I6" s="43">
        <f>'2. Awareness and Training'!$N5</f>
        <v>0</v>
      </c>
      <c r="J6" s="43" t="str">
        <f>IF($I6="Yes","Adequate",IF($I6="No","Inadequate",IF($I6="Partial","Inadequate",IF($I6="N/A","Inadequate",IF(OR($I6="",$I6=0),"Blank","Error")))))</f>
        <v>Blank</v>
      </c>
      <c r="K6" s="43" t="s">
        <v>325</v>
      </c>
      <c r="L6" s="43" t="str">
        <f t="shared" si="1"/>
        <v>Blank</v>
      </c>
      <c r="M6" s="43" t="str">
        <f t="shared" si="2"/>
        <v/>
      </c>
      <c r="N6" s="43" t="str">
        <f t="shared" si="3"/>
        <v/>
      </c>
      <c r="O6" s="43" t="str">
        <f t="shared" si="4"/>
        <v/>
      </c>
      <c r="P6" s="43" t="str">
        <f t="shared" si="5"/>
        <v>Blank</v>
      </c>
      <c r="Q6" s="43" t="str">
        <f t="shared" si="6"/>
        <v>No Override</v>
      </c>
      <c r="R6" s="43">
        <f t="shared" si="7"/>
        <v>2</v>
      </c>
      <c r="S6" s="43" t="str">
        <f t="shared" si="8"/>
        <v/>
      </c>
    </row>
    <row r="7" spans="1:19" ht="24" x14ac:dyDescent="0.25">
      <c r="A7" s="43">
        <v>2</v>
      </c>
      <c r="C7" s="43">
        <f t="shared" si="0"/>
        <v>2</v>
      </c>
      <c r="D7" s="43" t="s">
        <v>101</v>
      </c>
      <c r="E7" s="55" t="s">
        <v>111</v>
      </c>
      <c r="F7" s="56" t="s">
        <v>328</v>
      </c>
      <c r="G7" s="156" t="s">
        <v>112</v>
      </c>
      <c r="H7" s="56">
        <f>'2. Awareness and Training'!$O6</f>
        <v>0</v>
      </c>
      <c r="I7" s="43">
        <f>'2. Awareness and Training'!$N6</f>
        <v>0</v>
      </c>
      <c r="J7" s="43" t="str">
        <f t="shared" ref="J7:J15" si="9">IF($I7="Yes","Adequate",IF($I7="No","Inadequate",IF($I7="Partial","Inadequate",IF($I7="N/A","Inadequate",IF(OR($I7="",$I7=0),"Blank","Error")))))</f>
        <v>Blank</v>
      </c>
      <c r="K7" s="43" t="s">
        <v>325</v>
      </c>
      <c r="L7" s="43" t="str">
        <f t="shared" si="1"/>
        <v>Blank</v>
      </c>
      <c r="M7" s="43" t="str">
        <f t="shared" si="2"/>
        <v/>
      </c>
      <c r="N7" s="43" t="str">
        <f t="shared" si="3"/>
        <v/>
      </c>
      <c r="O7" s="43" t="str">
        <f t="shared" si="4"/>
        <v/>
      </c>
      <c r="P7" s="43" t="str">
        <f t="shared" si="5"/>
        <v>Blank</v>
      </c>
      <c r="Q7" s="43" t="str">
        <f t="shared" si="6"/>
        <v>No Override</v>
      </c>
      <c r="R7" s="43">
        <f t="shared" si="7"/>
        <v>2</v>
      </c>
      <c r="S7" s="43" t="str">
        <f t="shared" si="8"/>
        <v/>
      </c>
    </row>
    <row r="8" spans="1:19" x14ac:dyDescent="0.25">
      <c r="A8" s="43">
        <v>2</v>
      </c>
      <c r="C8" s="43">
        <f t="shared" si="0"/>
        <v>2</v>
      </c>
      <c r="D8" s="43" t="s">
        <v>101</v>
      </c>
      <c r="E8" s="55" t="s">
        <v>114</v>
      </c>
      <c r="F8" s="56" t="s">
        <v>329</v>
      </c>
      <c r="G8" s="156" t="s">
        <v>115</v>
      </c>
      <c r="H8" s="56">
        <f>'2. Awareness and Training'!$O7</f>
        <v>0</v>
      </c>
      <c r="I8" s="43">
        <f>'2. Awareness and Training'!$N7</f>
        <v>0</v>
      </c>
      <c r="J8" s="43" t="str">
        <f t="shared" si="9"/>
        <v>Blank</v>
      </c>
      <c r="K8" s="43" t="s">
        <v>325</v>
      </c>
      <c r="L8" s="43" t="str">
        <f t="shared" si="1"/>
        <v>Blank</v>
      </c>
      <c r="M8" s="43" t="str">
        <f t="shared" si="2"/>
        <v/>
      </c>
      <c r="N8" s="43" t="str">
        <f t="shared" si="3"/>
        <v/>
      </c>
      <c r="O8" s="43" t="str">
        <f t="shared" si="4"/>
        <v/>
      </c>
      <c r="P8" s="43" t="str">
        <f t="shared" si="5"/>
        <v>Blank</v>
      </c>
      <c r="Q8" s="43" t="str">
        <f t="shared" si="6"/>
        <v>No Override</v>
      </c>
      <c r="R8" s="43">
        <f t="shared" si="7"/>
        <v>2</v>
      </c>
      <c r="S8" s="43" t="str">
        <f t="shared" si="8"/>
        <v/>
      </c>
    </row>
    <row r="9" spans="1:19" x14ac:dyDescent="0.25">
      <c r="A9" s="43">
        <v>3</v>
      </c>
      <c r="B9" s="43">
        <v>1</v>
      </c>
      <c r="C9" s="43">
        <f t="shared" si="0"/>
        <v>1</v>
      </c>
      <c r="D9" s="43" t="s">
        <v>330</v>
      </c>
      <c r="E9" s="55" t="s">
        <v>120</v>
      </c>
      <c r="F9" s="56" t="s">
        <v>119</v>
      </c>
      <c r="G9" s="158" t="s">
        <v>121</v>
      </c>
      <c r="H9" s="58">
        <f>'8. Incident Response'!$O3</f>
        <v>0</v>
      </c>
      <c r="I9" s="43">
        <f>'8. Incident Response'!$N3</f>
        <v>0</v>
      </c>
      <c r="J9" s="43" t="str">
        <f t="shared" si="9"/>
        <v>Blank</v>
      </c>
      <c r="K9" s="43" t="s">
        <v>325</v>
      </c>
      <c r="L9" s="43" t="str">
        <f t="shared" si="1"/>
        <v>Blank</v>
      </c>
      <c r="M9" s="43" t="str">
        <f t="shared" si="2"/>
        <v/>
      </c>
      <c r="N9" s="43" t="str">
        <f t="shared" si="3"/>
        <v/>
      </c>
      <c r="O9" s="43" t="str">
        <f t="shared" si="4"/>
        <v/>
      </c>
      <c r="P9" s="43" t="str">
        <f t="shared" si="5"/>
        <v>Blank</v>
      </c>
      <c r="Q9" s="43" t="str">
        <f t="shared" si="6"/>
        <v>No Override</v>
      </c>
      <c r="R9" s="43">
        <f t="shared" si="7"/>
        <v>1</v>
      </c>
      <c r="S9" s="43" t="str">
        <f t="shared" si="8"/>
        <v/>
      </c>
    </row>
    <row r="10" spans="1:19" x14ac:dyDescent="0.25">
      <c r="A10" s="43">
        <v>3</v>
      </c>
      <c r="B10" s="43">
        <v>2</v>
      </c>
      <c r="C10" s="43">
        <f t="shared" si="0"/>
        <v>2</v>
      </c>
      <c r="D10" s="43" t="s">
        <v>330</v>
      </c>
      <c r="E10" s="55" t="s">
        <v>124</v>
      </c>
      <c r="F10" s="56" t="s">
        <v>123</v>
      </c>
      <c r="G10" s="159" t="s">
        <v>125</v>
      </c>
      <c r="H10" s="58">
        <f>'8. Incident Response'!$O4</f>
        <v>0</v>
      </c>
      <c r="I10" s="43">
        <f>'8. Incident Response'!$N4</f>
        <v>0</v>
      </c>
      <c r="J10" s="43" t="str">
        <f t="shared" si="9"/>
        <v>Blank</v>
      </c>
      <c r="K10" s="43" t="s">
        <v>325</v>
      </c>
      <c r="L10" s="43" t="str">
        <f t="shared" si="1"/>
        <v>Blank</v>
      </c>
      <c r="M10" s="43" t="str">
        <f t="shared" si="2"/>
        <v/>
      </c>
      <c r="N10" s="43" t="str">
        <f t="shared" si="3"/>
        <v/>
      </c>
      <c r="O10" s="43" t="str">
        <f t="shared" si="4"/>
        <v/>
      </c>
      <c r="P10" s="43" t="str">
        <f t="shared" si="5"/>
        <v>Blank</v>
      </c>
      <c r="Q10" s="43" t="str">
        <f t="shared" si="6"/>
        <v>No Override</v>
      </c>
      <c r="R10" s="43">
        <f t="shared" si="7"/>
        <v>2</v>
      </c>
      <c r="S10" s="43" t="str">
        <f t="shared" si="8"/>
        <v/>
      </c>
    </row>
    <row r="11" spans="1:19" x14ac:dyDescent="0.25">
      <c r="A11" s="43">
        <v>3</v>
      </c>
      <c r="B11" s="43">
        <v>2</v>
      </c>
      <c r="C11" s="43">
        <f t="shared" si="0"/>
        <v>2</v>
      </c>
      <c r="D11" s="43" t="s">
        <v>330</v>
      </c>
      <c r="E11" s="55" t="s">
        <v>126</v>
      </c>
      <c r="F11" s="56" t="s">
        <v>123</v>
      </c>
      <c r="G11" s="159" t="s">
        <v>127</v>
      </c>
      <c r="H11" s="58">
        <f>'8. Incident Response'!$O5</f>
        <v>0</v>
      </c>
      <c r="I11" s="43">
        <f>'8. Incident Response'!$N5</f>
        <v>0</v>
      </c>
      <c r="J11" s="43" t="str">
        <f t="shared" si="9"/>
        <v>Blank</v>
      </c>
      <c r="K11" s="43" t="s">
        <v>325</v>
      </c>
      <c r="L11" s="43" t="str">
        <f t="shared" si="1"/>
        <v>Blank</v>
      </c>
      <c r="M11" s="43" t="str">
        <f t="shared" si="2"/>
        <v/>
      </c>
      <c r="N11" s="43" t="str">
        <f t="shared" si="3"/>
        <v/>
      </c>
      <c r="O11" s="43" t="str">
        <f t="shared" si="4"/>
        <v/>
      </c>
      <c r="P11" s="43" t="str">
        <f t="shared" si="5"/>
        <v>Blank</v>
      </c>
      <c r="Q11" s="43" t="str">
        <f t="shared" si="6"/>
        <v>No Override</v>
      </c>
      <c r="R11" s="43">
        <f t="shared" si="7"/>
        <v>2</v>
      </c>
      <c r="S11" s="43" t="str">
        <f t="shared" si="8"/>
        <v/>
      </c>
    </row>
    <row r="12" spans="1:19" x14ac:dyDescent="0.25">
      <c r="A12" s="43">
        <v>3</v>
      </c>
      <c r="B12" s="43">
        <v>2</v>
      </c>
      <c r="C12" s="43">
        <f t="shared" si="0"/>
        <v>2</v>
      </c>
      <c r="D12" s="43" t="s">
        <v>330</v>
      </c>
      <c r="E12" s="55" t="s">
        <v>130</v>
      </c>
      <c r="F12" s="56" t="s">
        <v>129</v>
      </c>
      <c r="G12" s="159" t="s">
        <v>131</v>
      </c>
      <c r="H12" s="58">
        <f>'8. Incident Response'!$O6</f>
        <v>0</v>
      </c>
      <c r="I12" s="43">
        <f>'8. Incident Response'!$N6</f>
        <v>0</v>
      </c>
      <c r="J12" s="43" t="str">
        <f t="shared" si="9"/>
        <v>Blank</v>
      </c>
      <c r="K12" s="43" t="s">
        <v>325</v>
      </c>
      <c r="L12" s="43" t="str">
        <f t="shared" si="1"/>
        <v>Blank</v>
      </c>
      <c r="M12" s="43" t="str">
        <f t="shared" si="2"/>
        <v/>
      </c>
      <c r="N12" s="43" t="str">
        <f t="shared" si="3"/>
        <v/>
      </c>
      <c r="O12" s="43" t="str">
        <f t="shared" si="4"/>
        <v/>
      </c>
      <c r="P12" s="43" t="str">
        <f t="shared" si="5"/>
        <v>Blank</v>
      </c>
      <c r="Q12" s="43" t="str">
        <f t="shared" si="6"/>
        <v>No Override</v>
      </c>
      <c r="R12" s="43">
        <f t="shared" si="7"/>
        <v>2</v>
      </c>
      <c r="S12" s="43" t="str">
        <f t="shared" si="8"/>
        <v/>
      </c>
    </row>
    <row r="13" spans="1:19" x14ac:dyDescent="0.25">
      <c r="A13" s="43">
        <v>3</v>
      </c>
      <c r="B13" s="43">
        <v>2</v>
      </c>
      <c r="C13" s="43">
        <f t="shared" si="0"/>
        <v>2</v>
      </c>
      <c r="D13" s="43" t="s">
        <v>330</v>
      </c>
      <c r="E13" s="55" t="s">
        <v>132</v>
      </c>
      <c r="F13" s="56" t="s">
        <v>129</v>
      </c>
      <c r="G13" s="159" t="s">
        <v>133</v>
      </c>
      <c r="H13" s="58">
        <f>'8. Incident Response'!$O7</f>
        <v>0</v>
      </c>
      <c r="I13" s="43">
        <f>'8. Incident Response'!$N7</f>
        <v>0</v>
      </c>
      <c r="J13" s="43" t="str">
        <f t="shared" si="9"/>
        <v>Blank</v>
      </c>
      <c r="K13" s="43" t="s">
        <v>325</v>
      </c>
      <c r="L13" s="43" t="str">
        <f t="shared" si="1"/>
        <v>Blank</v>
      </c>
      <c r="M13" s="43" t="str">
        <f t="shared" si="2"/>
        <v/>
      </c>
      <c r="N13" s="43" t="str">
        <f t="shared" si="3"/>
        <v/>
      </c>
      <c r="O13" s="43" t="str">
        <f t="shared" si="4"/>
        <v/>
      </c>
      <c r="P13" s="43" t="str">
        <f t="shared" si="5"/>
        <v>Blank</v>
      </c>
      <c r="Q13" s="43" t="str">
        <f t="shared" si="6"/>
        <v>No Override</v>
      </c>
      <c r="R13" s="43">
        <f t="shared" si="7"/>
        <v>2</v>
      </c>
      <c r="S13" s="43" t="str">
        <f t="shared" si="8"/>
        <v/>
      </c>
    </row>
    <row r="14" spans="1:19" x14ac:dyDescent="0.25">
      <c r="A14" s="43">
        <v>3</v>
      </c>
      <c r="B14" s="43">
        <v>1</v>
      </c>
      <c r="C14" s="43">
        <f t="shared" si="0"/>
        <v>1</v>
      </c>
      <c r="D14" s="43" t="s">
        <v>330</v>
      </c>
      <c r="E14" s="55" t="s">
        <v>136</v>
      </c>
      <c r="F14" s="56" t="s">
        <v>135</v>
      </c>
      <c r="G14" s="159" t="s">
        <v>137</v>
      </c>
      <c r="H14" s="58">
        <f>'8. Incident Response'!$O8</f>
        <v>0</v>
      </c>
      <c r="I14" s="43">
        <f>'8. Incident Response'!$N8</f>
        <v>0</v>
      </c>
      <c r="J14" s="43" t="str">
        <f t="shared" si="9"/>
        <v>Blank</v>
      </c>
      <c r="K14" s="43" t="s">
        <v>325</v>
      </c>
      <c r="L14" s="43" t="str">
        <f t="shared" si="1"/>
        <v>Blank</v>
      </c>
      <c r="M14" s="43" t="str">
        <f t="shared" si="2"/>
        <v/>
      </c>
      <c r="N14" s="43" t="str">
        <f t="shared" si="3"/>
        <v/>
      </c>
      <c r="O14" s="43" t="str">
        <f t="shared" si="4"/>
        <v/>
      </c>
      <c r="P14" s="43" t="str">
        <f t="shared" si="5"/>
        <v>Blank</v>
      </c>
      <c r="Q14" s="43" t="str">
        <f t="shared" si="6"/>
        <v>No Override</v>
      </c>
      <c r="R14" s="43">
        <f t="shared" si="7"/>
        <v>1</v>
      </c>
      <c r="S14" s="43" t="str">
        <f t="shared" si="8"/>
        <v/>
      </c>
    </row>
    <row r="15" spans="1:19" x14ac:dyDescent="0.25">
      <c r="A15" s="43">
        <v>3</v>
      </c>
      <c r="B15" s="43">
        <v>1</v>
      </c>
      <c r="C15" s="43">
        <f t="shared" si="0"/>
        <v>1</v>
      </c>
      <c r="D15" s="43" t="s">
        <v>330</v>
      </c>
      <c r="E15" s="55" t="s">
        <v>140</v>
      </c>
      <c r="F15" s="56" t="s">
        <v>139</v>
      </c>
      <c r="G15" s="159" t="s">
        <v>141</v>
      </c>
      <c r="H15" s="58">
        <f>'8. Incident Response'!$O9</f>
        <v>0</v>
      </c>
      <c r="I15" s="43">
        <f>'8. Incident Response'!$N9</f>
        <v>0</v>
      </c>
      <c r="J15" s="43" t="str">
        <f t="shared" si="9"/>
        <v>Blank</v>
      </c>
      <c r="K15" s="43" t="s">
        <v>325</v>
      </c>
      <c r="L15" s="43" t="str">
        <f t="shared" si="1"/>
        <v>Blank</v>
      </c>
      <c r="M15" s="43" t="str">
        <f t="shared" si="2"/>
        <v/>
      </c>
      <c r="N15" s="43" t="str">
        <f t="shared" si="3"/>
        <v/>
      </c>
      <c r="O15" s="43" t="str">
        <f t="shared" si="4"/>
        <v/>
      </c>
      <c r="P15" s="43" t="str">
        <f t="shared" si="5"/>
        <v>Blank</v>
      </c>
      <c r="Q15" s="43" t="str">
        <f t="shared" si="6"/>
        <v>No Override</v>
      </c>
      <c r="R15" s="43">
        <f t="shared" si="7"/>
        <v>1</v>
      </c>
      <c r="S15" s="43" t="str">
        <f t="shared" si="8"/>
        <v/>
      </c>
    </row>
    <row r="16" spans="1:19" x14ac:dyDescent="0.25">
      <c r="A16" s="43">
        <v>4</v>
      </c>
      <c r="C16" s="43">
        <f t="shared" si="0"/>
        <v>4</v>
      </c>
      <c r="D16" s="43" t="s">
        <v>142</v>
      </c>
      <c r="E16" s="55" t="s">
        <v>146</v>
      </c>
      <c r="F16" s="56" t="s">
        <v>145</v>
      </c>
      <c r="G16" s="155" t="s">
        <v>147</v>
      </c>
      <c r="H16" s="56">
        <f>'9. Maintenance'!$O3</f>
        <v>0</v>
      </c>
      <c r="I16" s="43">
        <f>'9. Maintenance'!$N3</f>
        <v>0</v>
      </c>
      <c r="J16" s="43" t="str">
        <f t="shared" ref="J16:J38" si="10">IF($I16="Yes","Adequate",IF($I16="No","Inadequate",IF($I16="Partial","Inadequate",IF($I16="N/A","Inadequate",IF(OR($I16="",$I16=0),"Blank","Error")))))</f>
        <v>Blank</v>
      </c>
      <c r="K16" s="43" t="s">
        <v>325</v>
      </c>
      <c r="L16" s="43" t="str">
        <f t="shared" si="1"/>
        <v>Blank</v>
      </c>
      <c r="M16" s="43" t="str">
        <f t="shared" si="2"/>
        <v/>
      </c>
      <c r="N16" s="43" t="str">
        <f t="shared" si="3"/>
        <v/>
      </c>
      <c r="O16" s="43" t="str">
        <f t="shared" si="4"/>
        <v/>
      </c>
      <c r="P16" s="43" t="str">
        <f t="shared" si="5"/>
        <v>Blank</v>
      </c>
      <c r="Q16" s="43" t="str">
        <f t="shared" si="6"/>
        <v>No Override</v>
      </c>
      <c r="R16" s="43">
        <f t="shared" si="7"/>
        <v>4</v>
      </c>
      <c r="S16" s="43" t="str">
        <f t="shared" si="8"/>
        <v/>
      </c>
    </row>
    <row r="17" spans="1:19" x14ac:dyDescent="0.25">
      <c r="A17" s="43">
        <v>4</v>
      </c>
      <c r="C17" s="43">
        <f t="shared" si="0"/>
        <v>4</v>
      </c>
      <c r="D17" s="43" t="s">
        <v>142</v>
      </c>
      <c r="E17" s="59" t="s">
        <v>150</v>
      </c>
      <c r="F17" s="60" t="s">
        <v>149</v>
      </c>
      <c r="G17" s="159" t="s">
        <v>151</v>
      </c>
      <c r="H17" s="56">
        <f>'9. Maintenance'!$O4</f>
        <v>0</v>
      </c>
      <c r="I17" s="43">
        <f>'9. Maintenance'!$N4</f>
        <v>0</v>
      </c>
      <c r="J17" s="43" t="str">
        <f t="shared" si="10"/>
        <v>Blank</v>
      </c>
      <c r="K17" s="43" t="s">
        <v>325</v>
      </c>
      <c r="L17" s="43" t="str">
        <f t="shared" si="1"/>
        <v>Blank</v>
      </c>
      <c r="M17" s="43" t="str">
        <f t="shared" si="2"/>
        <v/>
      </c>
      <c r="N17" s="43" t="str">
        <f t="shared" si="3"/>
        <v/>
      </c>
      <c r="O17" s="43" t="str">
        <f t="shared" si="4"/>
        <v/>
      </c>
      <c r="P17" s="43" t="str">
        <f t="shared" si="5"/>
        <v>Blank</v>
      </c>
      <c r="Q17" s="43" t="str">
        <f t="shared" si="6"/>
        <v>No Override</v>
      </c>
      <c r="R17" s="43">
        <f t="shared" si="7"/>
        <v>4</v>
      </c>
      <c r="S17" s="43" t="str">
        <f t="shared" si="8"/>
        <v/>
      </c>
    </row>
    <row r="18" spans="1:19" x14ac:dyDescent="0.25">
      <c r="A18" s="43">
        <v>4</v>
      </c>
      <c r="C18" s="43">
        <f t="shared" si="0"/>
        <v>4</v>
      </c>
      <c r="D18" s="43" t="s">
        <v>142</v>
      </c>
      <c r="E18" s="59" t="s">
        <v>152</v>
      </c>
      <c r="F18" s="60" t="s">
        <v>149</v>
      </c>
      <c r="G18" s="159" t="s">
        <v>153</v>
      </c>
      <c r="H18" s="56">
        <f>'9. Maintenance'!$O5</f>
        <v>0</v>
      </c>
      <c r="I18" s="43">
        <f>'9. Maintenance'!$N5</f>
        <v>0</v>
      </c>
      <c r="J18" s="43" t="str">
        <f t="shared" si="10"/>
        <v>Blank</v>
      </c>
      <c r="K18" s="43" t="s">
        <v>325</v>
      </c>
      <c r="L18" s="43" t="str">
        <f t="shared" si="1"/>
        <v>Blank</v>
      </c>
      <c r="M18" s="43" t="str">
        <f t="shared" si="2"/>
        <v/>
      </c>
      <c r="N18" s="43" t="str">
        <f t="shared" si="3"/>
        <v/>
      </c>
      <c r="O18" s="43" t="str">
        <f t="shared" si="4"/>
        <v/>
      </c>
      <c r="P18" s="43" t="str">
        <f t="shared" si="5"/>
        <v>Blank</v>
      </c>
      <c r="Q18" s="43" t="str">
        <f t="shared" si="6"/>
        <v>No Override</v>
      </c>
      <c r="R18" s="43">
        <f t="shared" si="7"/>
        <v>4</v>
      </c>
      <c r="S18" s="43" t="str">
        <f t="shared" si="8"/>
        <v/>
      </c>
    </row>
    <row r="19" spans="1:19" ht="24" x14ac:dyDescent="0.25">
      <c r="A19" s="43">
        <v>4</v>
      </c>
      <c r="C19" s="43">
        <f t="shared" si="0"/>
        <v>4</v>
      </c>
      <c r="D19" s="43" t="s">
        <v>142</v>
      </c>
      <c r="E19" s="59" t="s">
        <v>154</v>
      </c>
      <c r="F19" s="60" t="s">
        <v>149</v>
      </c>
      <c r="G19" s="159" t="s">
        <v>155</v>
      </c>
      <c r="H19" s="56">
        <f>'9. Maintenance'!$O6</f>
        <v>0</v>
      </c>
      <c r="I19" s="43">
        <f>'9. Maintenance'!$N6</f>
        <v>0</v>
      </c>
      <c r="J19" s="43" t="str">
        <f t="shared" si="10"/>
        <v>Blank</v>
      </c>
      <c r="K19" s="43" t="s">
        <v>325</v>
      </c>
      <c r="L19" s="43" t="str">
        <f t="shared" si="1"/>
        <v>Blank</v>
      </c>
      <c r="M19" s="43" t="str">
        <f t="shared" si="2"/>
        <v/>
      </c>
      <c r="N19" s="43" t="str">
        <f t="shared" si="3"/>
        <v/>
      </c>
      <c r="O19" s="43" t="str">
        <f t="shared" si="4"/>
        <v/>
      </c>
      <c r="P19" s="43" t="str">
        <f t="shared" si="5"/>
        <v>Blank</v>
      </c>
      <c r="Q19" s="43" t="str">
        <f t="shared" si="6"/>
        <v>No Override</v>
      </c>
      <c r="R19" s="43">
        <f t="shared" si="7"/>
        <v>4</v>
      </c>
      <c r="S19" s="43" t="str">
        <f t="shared" si="8"/>
        <v/>
      </c>
    </row>
    <row r="20" spans="1:19" ht="24" x14ac:dyDescent="0.25">
      <c r="A20" s="43">
        <v>4</v>
      </c>
      <c r="B20" s="43">
        <v>1</v>
      </c>
      <c r="C20" s="43">
        <f t="shared" si="0"/>
        <v>1</v>
      </c>
      <c r="D20" s="43" t="s">
        <v>142</v>
      </c>
      <c r="E20" s="59" t="s">
        <v>156</v>
      </c>
      <c r="F20" s="60" t="s">
        <v>149</v>
      </c>
      <c r="G20" s="159" t="s">
        <v>157</v>
      </c>
      <c r="H20" s="56">
        <f>'9. Maintenance'!$O7</f>
        <v>0</v>
      </c>
      <c r="I20" s="43">
        <f>'9. Maintenance'!$N7</f>
        <v>0</v>
      </c>
      <c r="J20" s="43" t="str">
        <f t="shared" si="10"/>
        <v>Blank</v>
      </c>
      <c r="K20" s="43" t="s">
        <v>325</v>
      </c>
      <c r="L20" s="43" t="str">
        <f t="shared" si="1"/>
        <v>Blank</v>
      </c>
      <c r="M20" s="43" t="str">
        <f t="shared" si="2"/>
        <v/>
      </c>
      <c r="N20" s="43" t="str">
        <f t="shared" si="3"/>
        <v/>
      </c>
      <c r="O20" s="43" t="str">
        <f t="shared" si="4"/>
        <v/>
      </c>
      <c r="P20" s="43" t="str">
        <f t="shared" si="5"/>
        <v>Blank</v>
      </c>
      <c r="Q20" s="43" t="str">
        <f t="shared" si="6"/>
        <v>No Override</v>
      </c>
      <c r="R20" s="43">
        <f t="shared" si="7"/>
        <v>1</v>
      </c>
      <c r="S20" s="43" t="str">
        <f t="shared" si="8"/>
        <v/>
      </c>
    </row>
    <row r="21" spans="1:19" ht="24" x14ac:dyDescent="0.25">
      <c r="A21" s="43">
        <v>4</v>
      </c>
      <c r="C21" s="43">
        <f t="shared" si="0"/>
        <v>4</v>
      </c>
      <c r="D21" s="43" t="s">
        <v>142</v>
      </c>
      <c r="E21" s="59" t="s">
        <v>158</v>
      </c>
      <c r="F21" s="60" t="s">
        <v>149</v>
      </c>
      <c r="G21" s="159" t="s">
        <v>159</v>
      </c>
      <c r="H21" s="56">
        <f>'9. Maintenance'!$O8</f>
        <v>0</v>
      </c>
      <c r="I21" s="43">
        <f>'9. Maintenance'!$N8</f>
        <v>0</v>
      </c>
      <c r="J21" s="43" t="str">
        <f t="shared" si="10"/>
        <v>Blank</v>
      </c>
      <c r="K21" s="43" t="s">
        <v>325</v>
      </c>
      <c r="L21" s="43" t="str">
        <f t="shared" si="1"/>
        <v>Blank</v>
      </c>
      <c r="M21" s="43" t="str">
        <f t="shared" si="2"/>
        <v/>
      </c>
      <c r="N21" s="43" t="str">
        <f t="shared" si="3"/>
        <v/>
      </c>
      <c r="O21" s="43" t="str">
        <f t="shared" si="4"/>
        <v/>
      </c>
      <c r="P21" s="43" t="str">
        <f t="shared" si="5"/>
        <v>Blank</v>
      </c>
      <c r="Q21" s="43" t="str">
        <f t="shared" si="6"/>
        <v>No Override</v>
      </c>
      <c r="R21" s="43">
        <f t="shared" si="7"/>
        <v>4</v>
      </c>
      <c r="S21" s="43" t="str">
        <f t="shared" si="8"/>
        <v/>
      </c>
    </row>
    <row r="22" spans="1:19" x14ac:dyDescent="0.25">
      <c r="A22" s="43">
        <v>4</v>
      </c>
      <c r="C22" s="43">
        <f t="shared" si="0"/>
        <v>4</v>
      </c>
      <c r="D22" s="43" t="s">
        <v>142</v>
      </c>
      <c r="E22" s="55" t="s">
        <v>162</v>
      </c>
      <c r="F22" s="56" t="s">
        <v>161</v>
      </c>
      <c r="G22" s="159" t="s">
        <v>163</v>
      </c>
      <c r="H22" s="56">
        <f>'9. Maintenance'!$O9</f>
        <v>0</v>
      </c>
      <c r="I22" s="43">
        <f>'9. Maintenance'!$N9</f>
        <v>0</v>
      </c>
      <c r="J22" s="43" t="str">
        <f t="shared" si="10"/>
        <v>Blank</v>
      </c>
      <c r="K22" s="43" t="s">
        <v>325</v>
      </c>
      <c r="L22" s="43" t="str">
        <f t="shared" si="1"/>
        <v>Blank</v>
      </c>
      <c r="M22" s="43" t="str">
        <f t="shared" si="2"/>
        <v/>
      </c>
      <c r="N22" s="43" t="str">
        <f t="shared" si="3"/>
        <v/>
      </c>
      <c r="O22" s="43" t="str">
        <f t="shared" si="4"/>
        <v/>
      </c>
      <c r="P22" s="43" t="str">
        <f t="shared" si="5"/>
        <v>Blank</v>
      </c>
      <c r="Q22" s="43" t="str">
        <f t="shared" si="6"/>
        <v>No Override</v>
      </c>
      <c r="R22" s="43">
        <f t="shared" si="7"/>
        <v>4</v>
      </c>
      <c r="S22" s="43" t="str">
        <f t="shared" si="8"/>
        <v/>
      </c>
    </row>
    <row r="23" spans="1:19" x14ac:dyDescent="0.25">
      <c r="A23" s="43">
        <v>1</v>
      </c>
      <c r="B23" s="43">
        <v>1</v>
      </c>
      <c r="C23" s="43">
        <f t="shared" si="0"/>
        <v>1</v>
      </c>
      <c r="D23" s="43" t="s">
        <v>142</v>
      </c>
      <c r="E23" s="55" t="s">
        <v>165</v>
      </c>
      <c r="F23" s="56" t="s">
        <v>164</v>
      </c>
      <c r="G23" s="159" t="s">
        <v>166</v>
      </c>
      <c r="H23" s="56">
        <f>'9. Maintenance'!$O10</f>
        <v>0</v>
      </c>
      <c r="I23" s="43">
        <f>'9. Maintenance'!$N10</f>
        <v>0</v>
      </c>
      <c r="J23" s="43" t="str">
        <f t="shared" si="10"/>
        <v>Blank</v>
      </c>
      <c r="K23" s="43" t="s">
        <v>325</v>
      </c>
      <c r="L23" s="43" t="str">
        <f t="shared" si="1"/>
        <v>Blank</v>
      </c>
      <c r="M23" s="43" t="str">
        <f t="shared" si="2"/>
        <v/>
      </c>
      <c r="N23" s="43" t="str">
        <f t="shared" si="3"/>
        <v/>
      </c>
      <c r="O23" s="43" t="str">
        <f t="shared" si="4"/>
        <v/>
      </c>
      <c r="P23" s="43" t="str">
        <f t="shared" si="5"/>
        <v>Blank</v>
      </c>
      <c r="Q23" s="43" t="str">
        <f t="shared" si="6"/>
        <v>No Override</v>
      </c>
      <c r="R23" s="43">
        <f t="shared" si="7"/>
        <v>1</v>
      </c>
      <c r="S23" s="43" t="str">
        <f t="shared" si="8"/>
        <v/>
      </c>
    </row>
    <row r="24" spans="1:19" x14ac:dyDescent="0.25">
      <c r="A24" s="43">
        <v>1</v>
      </c>
      <c r="B24" s="43">
        <v>2</v>
      </c>
      <c r="C24" s="43">
        <f t="shared" si="0"/>
        <v>2</v>
      </c>
      <c r="D24" s="43" t="s">
        <v>142</v>
      </c>
      <c r="E24" s="55" t="s">
        <v>167</v>
      </c>
      <c r="F24" s="56" t="s">
        <v>164</v>
      </c>
      <c r="G24" s="159" t="s">
        <v>168</v>
      </c>
      <c r="H24" s="56">
        <f>'9. Maintenance'!$O11</f>
        <v>0</v>
      </c>
      <c r="I24" s="43">
        <f>'9. Maintenance'!$N11</f>
        <v>0</v>
      </c>
      <c r="J24" s="43" t="str">
        <f t="shared" si="10"/>
        <v>Blank</v>
      </c>
      <c r="K24" s="43" t="s">
        <v>325</v>
      </c>
      <c r="L24" s="43" t="str">
        <f t="shared" si="1"/>
        <v>Blank</v>
      </c>
      <c r="M24" s="43" t="str">
        <f t="shared" si="2"/>
        <v/>
      </c>
      <c r="N24" s="43" t="str">
        <f t="shared" si="3"/>
        <v/>
      </c>
      <c r="O24" s="43" t="str">
        <f t="shared" si="4"/>
        <v/>
      </c>
      <c r="P24" s="43" t="str">
        <f t="shared" si="5"/>
        <v>Blank</v>
      </c>
      <c r="Q24" s="43" t="str">
        <f t="shared" si="6"/>
        <v>No Override</v>
      </c>
      <c r="R24" s="43">
        <f t="shared" si="7"/>
        <v>2</v>
      </c>
      <c r="S24" s="43" t="str">
        <f t="shared" si="8"/>
        <v/>
      </c>
    </row>
    <row r="25" spans="1:19" x14ac:dyDescent="0.25">
      <c r="A25" s="43">
        <v>1</v>
      </c>
      <c r="B25" s="43">
        <v>2</v>
      </c>
      <c r="C25" s="43">
        <f t="shared" si="0"/>
        <v>2</v>
      </c>
      <c r="D25" s="43" t="s">
        <v>142</v>
      </c>
      <c r="E25" s="55" t="s">
        <v>169</v>
      </c>
      <c r="F25" s="56" t="s">
        <v>164</v>
      </c>
      <c r="G25" s="159" t="s">
        <v>170</v>
      </c>
      <c r="H25" s="56">
        <f>'9. Maintenance'!$O12</f>
        <v>0</v>
      </c>
      <c r="I25" s="43">
        <f>'9. Maintenance'!$N12</f>
        <v>0</v>
      </c>
      <c r="J25" s="43" t="str">
        <f t="shared" si="10"/>
        <v>Blank</v>
      </c>
      <c r="K25" s="43" t="s">
        <v>325</v>
      </c>
      <c r="L25" s="43" t="str">
        <f t="shared" si="1"/>
        <v>Blank</v>
      </c>
      <c r="M25" s="43" t="str">
        <f t="shared" si="2"/>
        <v/>
      </c>
      <c r="N25" s="43" t="str">
        <f t="shared" si="3"/>
        <v/>
      </c>
      <c r="O25" s="43" t="str">
        <f t="shared" si="4"/>
        <v/>
      </c>
      <c r="P25" s="43" t="str">
        <f t="shared" si="5"/>
        <v>Blank</v>
      </c>
      <c r="Q25" s="43" t="str">
        <f t="shared" si="6"/>
        <v>No Override</v>
      </c>
      <c r="R25" s="43">
        <f t="shared" si="7"/>
        <v>2</v>
      </c>
      <c r="S25" s="43" t="str">
        <f t="shared" si="8"/>
        <v/>
      </c>
    </row>
    <row r="26" spans="1:19" x14ac:dyDescent="0.25">
      <c r="A26" s="43">
        <v>4</v>
      </c>
      <c r="C26" s="43">
        <f t="shared" si="0"/>
        <v>4</v>
      </c>
      <c r="D26" s="43" t="s">
        <v>142</v>
      </c>
      <c r="E26" s="59" t="s">
        <v>174</v>
      </c>
      <c r="F26" s="60" t="s">
        <v>173</v>
      </c>
      <c r="G26" s="159" t="s">
        <v>175</v>
      </c>
      <c r="H26" s="56">
        <f>'9. Maintenance'!$O13</f>
        <v>0</v>
      </c>
      <c r="I26" s="43">
        <f>'9. Maintenance'!$N13</f>
        <v>0</v>
      </c>
      <c r="J26" s="43" t="str">
        <f t="shared" si="10"/>
        <v>Blank</v>
      </c>
      <c r="K26" s="43" t="s">
        <v>325</v>
      </c>
      <c r="L26" s="43" t="str">
        <f t="shared" si="1"/>
        <v>Blank</v>
      </c>
      <c r="M26" s="43" t="str">
        <f t="shared" si="2"/>
        <v/>
      </c>
      <c r="N26" s="43" t="str">
        <f t="shared" si="3"/>
        <v/>
      </c>
      <c r="O26" s="43" t="str">
        <f t="shared" si="4"/>
        <v/>
      </c>
      <c r="P26" s="43" t="str">
        <f t="shared" si="5"/>
        <v>Blank</v>
      </c>
      <c r="Q26" s="43" t="str">
        <f t="shared" si="6"/>
        <v>No Override</v>
      </c>
      <c r="R26" s="43">
        <f t="shared" si="7"/>
        <v>4</v>
      </c>
      <c r="S26" s="43" t="str">
        <f t="shared" si="8"/>
        <v/>
      </c>
    </row>
    <row r="27" spans="1:19" ht="36" x14ac:dyDescent="0.25">
      <c r="A27" s="43">
        <v>4</v>
      </c>
      <c r="C27" s="43">
        <f t="shared" si="0"/>
        <v>4</v>
      </c>
      <c r="D27" s="43" t="s">
        <v>142</v>
      </c>
      <c r="E27" s="55" t="s">
        <v>178</v>
      </c>
      <c r="F27" s="56" t="s">
        <v>177</v>
      </c>
      <c r="G27" s="157" t="s">
        <v>179</v>
      </c>
      <c r="H27" s="56">
        <f>'9. Maintenance'!$O14</f>
        <v>0</v>
      </c>
      <c r="I27" s="43">
        <f>'9. Maintenance'!$N14</f>
        <v>0</v>
      </c>
      <c r="J27" s="43" t="str">
        <f t="shared" si="10"/>
        <v>Blank</v>
      </c>
      <c r="K27" s="43" t="s">
        <v>325</v>
      </c>
      <c r="L27" s="43" t="str">
        <f t="shared" si="1"/>
        <v>Blank</v>
      </c>
      <c r="M27" s="43" t="str">
        <f t="shared" si="2"/>
        <v/>
      </c>
      <c r="N27" s="43" t="str">
        <f t="shared" si="3"/>
        <v/>
      </c>
      <c r="O27" s="43" t="str">
        <f t="shared" si="4"/>
        <v/>
      </c>
      <c r="P27" s="43" t="str">
        <f t="shared" si="5"/>
        <v>Blank</v>
      </c>
      <c r="Q27" s="43" t="str">
        <f t="shared" si="6"/>
        <v>No Override</v>
      </c>
      <c r="R27" s="43">
        <f t="shared" si="7"/>
        <v>4</v>
      </c>
      <c r="S27" s="43" t="str">
        <f t="shared" si="8"/>
        <v/>
      </c>
    </row>
    <row r="28" spans="1:19" x14ac:dyDescent="0.25">
      <c r="A28" s="43">
        <v>4</v>
      </c>
      <c r="C28" s="43">
        <f t="shared" si="0"/>
        <v>4</v>
      </c>
      <c r="D28" s="43" t="s">
        <v>180</v>
      </c>
      <c r="E28" s="55" t="s">
        <v>184</v>
      </c>
      <c r="F28" s="56" t="s">
        <v>183</v>
      </c>
      <c r="G28" s="155" t="s">
        <v>185</v>
      </c>
      <c r="H28" s="56">
        <f>'13. Personnel Security'!$O3</f>
        <v>0</v>
      </c>
      <c r="I28" s="43">
        <f>'13. Personnel Security'!$N3</f>
        <v>0</v>
      </c>
      <c r="J28" s="43" t="str">
        <f t="shared" si="10"/>
        <v>Blank</v>
      </c>
      <c r="K28" s="43" t="s">
        <v>325</v>
      </c>
      <c r="L28" s="43" t="str">
        <f t="shared" si="1"/>
        <v>Blank</v>
      </c>
      <c r="M28" s="43" t="str">
        <f t="shared" si="2"/>
        <v/>
      </c>
      <c r="N28" s="43" t="str">
        <f t="shared" si="3"/>
        <v/>
      </c>
      <c r="O28" s="43" t="str">
        <f t="shared" si="4"/>
        <v/>
      </c>
      <c r="P28" s="43" t="str">
        <f t="shared" si="5"/>
        <v>Blank</v>
      </c>
      <c r="Q28" s="43" t="str">
        <f t="shared" si="6"/>
        <v>No Override</v>
      </c>
      <c r="R28" s="43">
        <f t="shared" si="7"/>
        <v>4</v>
      </c>
      <c r="S28" s="43" t="str">
        <f t="shared" si="8"/>
        <v/>
      </c>
    </row>
    <row r="29" spans="1:19" x14ac:dyDescent="0.25">
      <c r="A29" s="43">
        <v>4</v>
      </c>
      <c r="C29" s="43">
        <f t="shared" si="0"/>
        <v>4</v>
      </c>
      <c r="D29" s="43" t="s">
        <v>180</v>
      </c>
      <c r="E29" s="55" t="s">
        <v>188</v>
      </c>
      <c r="F29" s="56" t="s">
        <v>187</v>
      </c>
      <c r="G29" s="159" t="s">
        <v>189</v>
      </c>
      <c r="H29" s="56">
        <f>'13. Personnel Security'!$O4</f>
        <v>0</v>
      </c>
      <c r="I29" s="43">
        <f>'13. Personnel Security'!$N4</f>
        <v>0</v>
      </c>
      <c r="J29" s="43" t="str">
        <f t="shared" si="10"/>
        <v>Blank</v>
      </c>
      <c r="K29" s="43" t="s">
        <v>325</v>
      </c>
      <c r="L29" s="43" t="str">
        <f t="shared" si="1"/>
        <v>Blank</v>
      </c>
      <c r="M29" s="43" t="str">
        <f t="shared" si="2"/>
        <v/>
      </c>
      <c r="N29" s="43" t="str">
        <f t="shared" si="3"/>
        <v/>
      </c>
      <c r="O29" s="43" t="str">
        <f t="shared" si="4"/>
        <v/>
      </c>
      <c r="P29" s="43" t="str">
        <f t="shared" si="5"/>
        <v>Blank</v>
      </c>
      <c r="Q29" s="43" t="str">
        <f t="shared" si="6"/>
        <v>No Override</v>
      </c>
      <c r="R29" s="43">
        <f t="shared" si="7"/>
        <v>4</v>
      </c>
      <c r="S29" s="43" t="str">
        <f t="shared" si="8"/>
        <v/>
      </c>
    </row>
    <row r="30" spans="1:19" x14ac:dyDescent="0.25">
      <c r="A30" s="43">
        <v>4</v>
      </c>
      <c r="C30" s="43">
        <f t="shared" si="0"/>
        <v>4</v>
      </c>
      <c r="D30" s="43" t="s">
        <v>180</v>
      </c>
      <c r="E30" s="55" t="s">
        <v>190</v>
      </c>
      <c r="F30" s="56" t="s">
        <v>187</v>
      </c>
      <c r="G30" s="159" t="s">
        <v>191</v>
      </c>
      <c r="H30" s="56">
        <f>'13. Personnel Security'!$O5</f>
        <v>0</v>
      </c>
      <c r="I30" s="43">
        <f>'13. Personnel Security'!$N5</f>
        <v>0</v>
      </c>
      <c r="J30" s="43" t="str">
        <f t="shared" si="10"/>
        <v>Blank</v>
      </c>
      <c r="K30" s="43" t="s">
        <v>325</v>
      </c>
      <c r="L30" s="43" t="str">
        <f t="shared" si="1"/>
        <v>Blank</v>
      </c>
      <c r="M30" s="43" t="str">
        <f t="shared" si="2"/>
        <v/>
      </c>
      <c r="N30" s="43" t="str">
        <f t="shared" si="3"/>
        <v/>
      </c>
      <c r="O30" s="43" t="str">
        <f t="shared" si="4"/>
        <v/>
      </c>
      <c r="P30" s="43" t="str">
        <f t="shared" si="5"/>
        <v>Blank</v>
      </c>
      <c r="Q30" s="43" t="str">
        <f t="shared" si="6"/>
        <v>No Override</v>
      </c>
      <c r="R30" s="43">
        <f t="shared" si="7"/>
        <v>4</v>
      </c>
      <c r="S30" s="43" t="str">
        <f t="shared" si="8"/>
        <v/>
      </c>
    </row>
    <row r="31" spans="1:19" x14ac:dyDescent="0.25">
      <c r="A31" s="43">
        <v>4</v>
      </c>
      <c r="C31" s="43">
        <f t="shared" si="0"/>
        <v>4</v>
      </c>
      <c r="D31" s="43" t="s">
        <v>180</v>
      </c>
      <c r="E31" s="55" t="s">
        <v>192</v>
      </c>
      <c r="F31" s="56" t="s">
        <v>187</v>
      </c>
      <c r="G31" s="159" t="s">
        <v>193</v>
      </c>
      <c r="H31" s="56">
        <f>'13. Personnel Security'!$O6</f>
        <v>0</v>
      </c>
      <c r="I31" s="43">
        <f>'13. Personnel Security'!$N6</f>
        <v>0</v>
      </c>
      <c r="J31" s="43" t="str">
        <f t="shared" si="10"/>
        <v>Blank</v>
      </c>
      <c r="K31" s="43" t="s">
        <v>325</v>
      </c>
      <c r="L31" s="43" t="str">
        <f t="shared" si="1"/>
        <v>Blank</v>
      </c>
      <c r="M31" s="43" t="str">
        <f t="shared" si="2"/>
        <v/>
      </c>
      <c r="N31" s="43" t="str">
        <f t="shared" si="3"/>
        <v/>
      </c>
      <c r="O31" s="43" t="str">
        <f t="shared" si="4"/>
        <v/>
      </c>
      <c r="P31" s="43" t="str">
        <f t="shared" si="5"/>
        <v>Blank</v>
      </c>
      <c r="Q31" s="43" t="str">
        <f t="shared" si="6"/>
        <v>No Override</v>
      </c>
      <c r="R31" s="43">
        <f t="shared" si="7"/>
        <v>4</v>
      </c>
      <c r="S31" s="43" t="str">
        <f t="shared" si="8"/>
        <v/>
      </c>
    </row>
    <row r="32" spans="1:19" x14ac:dyDescent="0.25">
      <c r="A32" s="43">
        <v>4</v>
      </c>
      <c r="B32" s="43">
        <v>1</v>
      </c>
      <c r="C32" s="43">
        <f t="shared" si="0"/>
        <v>1</v>
      </c>
      <c r="D32" s="43" t="s">
        <v>180</v>
      </c>
      <c r="E32" s="55" t="s">
        <v>195</v>
      </c>
      <c r="F32" s="56" t="s">
        <v>194</v>
      </c>
      <c r="G32" s="159" t="s">
        <v>196</v>
      </c>
      <c r="H32" s="56">
        <f>'13. Personnel Security'!$O7</f>
        <v>0</v>
      </c>
      <c r="I32" s="43">
        <f>'13. Personnel Security'!$N7</f>
        <v>0</v>
      </c>
      <c r="J32" s="43" t="str">
        <f t="shared" si="10"/>
        <v>Blank</v>
      </c>
      <c r="K32" s="43" t="s">
        <v>325</v>
      </c>
      <c r="L32" s="43" t="str">
        <f t="shared" si="1"/>
        <v>Blank</v>
      </c>
      <c r="M32" s="43" t="str">
        <f t="shared" si="2"/>
        <v/>
      </c>
      <c r="N32" s="43" t="str">
        <f t="shared" si="3"/>
        <v/>
      </c>
      <c r="O32" s="43" t="str">
        <f t="shared" si="4"/>
        <v/>
      </c>
      <c r="P32" s="43" t="str">
        <f t="shared" si="5"/>
        <v>Blank</v>
      </c>
      <c r="Q32" s="43" t="str">
        <f t="shared" si="6"/>
        <v>No Override</v>
      </c>
      <c r="R32" s="43">
        <f t="shared" si="7"/>
        <v>1</v>
      </c>
      <c r="S32" s="43" t="str">
        <f t="shared" si="8"/>
        <v/>
      </c>
    </row>
    <row r="33" spans="1:19" x14ac:dyDescent="0.25">
      <c r="A33" s="43">
        <v>4</v>
      </c>
      <c r="B33" s="43">
        <v>1</v>
      </c>
      <c r="C33" s="43">
        <f t="shared" si="0"/>
        <v>1</v>
      </c>
      <c r="D33" s="43" t="s">
        <v>180</v>
      </c>
      <c r="E33" s="55" t="s">
        <v>197</v>
      </c>
      <c r="F33" s="56" t="s">
        <v>194</v>
      </c>
      <c r="G33" s="159" t="s">
        <v>198</v>
      </c>
      <c r="H33" s="56">
        <f>'13. Personnel Security'!$O8</f>
        <v>0</v>
      </c>
      <c r="I33" s="43">
        <f>'13. Personnel Security'!$N8</f>
        <v>0</v>
      </c>
      <c r="J33" s="43" t="str">
        <f t="shared" si="10"/>
        <v>Blank</v>
      </c>
      <c r="K33" s="43" t="s">
        <v>325</v>
      </c>
      <c r="L33" s="43" t="str">
        <f t="shared" si="1"/>
        <v>Blank</v>
      </c>
      <c r="M33" s="43" t="str">
        <f t="shared" si="2"/>
        <v/>
      </c>
      <c r="N33" s="43" t="str">
        <f t="shared" si="3"/>
        <v/>
      </c>
      <c r="O33" s="43" t="str">
        <f t="shared" si="4"/>
        <v/>
      </c>
      <c r="P33" s="43" t="str">
        <f t="shared" si="5"/>
        <v>Blank</v>
      </c>
      <c r="Q33" s="43" t="str">
        <f t="shared" si="6"/>
        <v>No Override</v>
      </c>
      <c r="R33" s="43">
        <f t="shared" si="7"/>
        <v>1</v>
      </c>
      <c r="S33" s="43" t="str">
        <f t="shared" si="8"/>
        <v/>
      </c>
    </row>
    <row r="34" spans="1:19" x14ac:dyDescent="0.25">
      <c r="A34" s="43">
        <v>4</v>
      </c>
      <c r="B34" s="43">
        <v>3</v>
      </c>
      <c r="C34" s="43">
        <f t="shared" si="0"/>
        <v>3</v>
      </c>
      <c r="D34" s="43" t="s">
        <v>180</v>
      </c>
      <c r="E34" s="55" t="s">
        <v>202</v>
      </c>
      <c r="F34" s="56" t="s">
        <v>201</v>
      </c>
      <c r="G34" s="159" t="s">
        <v>203</v>
      </c>
      <c r="H34" s="56">
        <f>'13. Personnel Security'!$O9</f>
        <v>0</v>
      </c>
      <c r="I34" s="43">
        <f>'13. Personnel Security'!$N9</f>
        <v>0</v>
      </c>
      <c r="J34" s="43" t="str">
        <f t="shared" si="10"/>
        <v>Blank</v>
      </c>
      <c r="K34" s="43" t="s">
        <v>325</v>
      </c>
      <c r="L34" s="43" t="str">
        <f t="shared" si="1"/>
        <v>Blank</v>
      </c>
      <c r="M34" s="43" t="str">
        <f t="shared" si="2"/>
        <v/>
      </c>
      <c r="N34" s="43" t="str">
        <f t="shared" si="3"/>
        <v/>
      </c>
      <c r="O34" s="43" t="str">
        <f t="shared" si="4"/>
        <v/>
      </c>
      <c r="P34" s="43" t="str">
        <f t="shared" si="5"/>
        <v>Blank</v>
      </c>
      <c r="Q34" s="43" t="str">
        <f t="shared" si="6"/>
        <v>No Override</v>
      </c>
      <c r="R34" s="43">
        <f t="shared" si="7"/>
        <v>3</v>
      </c>
      <c r="S34" s="43" t="str">
        <f t="shared" si="8"/>
        <v/>
      </c>
    </row>
    <row r="35" spans="1:19" x14ac:dyDescent="0.25">
      <c r="A35" s="43">
        <v>4</v>
      </c>
      <c r="C35" s="43">
        <f t="shared" si="0"/>
        <v>4</v>
      </c>
      <c r="D35" s="43" t="s">
        <v>180</v>
      </c>
      <c r="E35" s="55" t="s">
        <v>206</v>
      </c>
      <c r="F35" s="56" t="s">
        <v>205</v>
      </c>
      <c r="G35" s="159" t="s">
        <v>207</v>
      </c>
      <c r="H35" s="56">
        <f>'13. Personnel Security'!$O10</f>
        <v>0</v>
      </c>
      <c r="I35" s="43">
        <f>'13. Personnel Security'!$N10</f>
        <v>0</v>
      </c>
      <c r="J35" s="43" t="str">
        <f t="shared" si="10"/>
        <v>Blank</v>
      </c>
      <c r="K35" s="43" t="s">
        <v>325</v>
      </c>
      <c r="L35" s="43" t="str">
        <f t="shared" si="1"/>
        <v>Blank</v>
      </c>
      <c r="M35" s="43" t="str">
        <f t="shared" si="2"/>
        <v/>
      </c>
      <c r="N35" s="43" t="str">
        <f t="shared" si="3"/>
        <v/>
      </c>
      <c r="O35" s="43" t="str">
        <f t="shared" si="4"/>
        <v/>
      </c>
      <c r="P35" s="43" t="str">
        <f t="shared" si="5"/>
        <v>Blank</v>
      </c>
      <c r="Q35" s="43" t="str">
        <f t="shared" si="6"/>
        <v>No Override</v>
      </c>
      <c r="R35" s="43">
        <f t="shared" si="7"/>
        <v>4</v>
      </c>
      <c r="S35" s="43" t="str">
        <f t="shared" si="8"/>
        <v/>
      </c>
    </row>
    <row r="36" spans="1:19" x14ac:dyDescent="0.25">
      <c r="A36" s="43">
        <v>4</v>
      </c>
      <c r="C36" s="43">
        <f t="shared" si="0"/>
        <v>4</v>
      </c>
      <c r="D36" s="43" t="s">
        <v>180</v>
      </c>
      <c r="E36" s="55" t="s">
        <v>211</v>
      </c>
      <c r="F36" s="56" t="s">
        <v>210</v>
      </c>
      <c r="G36" s="159" t="s">
        <v>212</v>
      </c>
      <c r="H36" s="56">
        <f>'13. Personnel Security'!$O11</f>
        <v>0</v>
      </c>
      <c r="I36" s="43">
        <f>'13. Personnel Security'!$N11</f>
        <v>0</v>
      </c>
      <c r="J36" s="43" t="str">
        <f t="shared" si="10"/>
        <v>Blank</v>
      </c>
      <c r="K36" s="43" t="s">
        <v>325</v>
      </c>
      <c r="L36" s="43" t="str">
        <f t="shared" si="1"/>
        <v>Blank</v>
      </c>
      <c r="M36" s="43" t="str">
        <f t="shared" si="2"/>
        <v/>
      </c>
      <c r="N36" s="43" t="str">
        <f t="shared" si="3"/>
        <v/>
      </c>
      <c r="O36" s="43" t="str">
        <f t="shared" si="4"/>
        <v/>
      </c>
      <c r="P36" s="43" t="str">
        <f t="shared" si="5"/>
        <v>Blank</v>
      </c>
      <c r="Q36" s="43" t="str">
        <f t="shared" si="6"/>
        <v>No Override</v>
      </c>
      <c r="R36" s="43">
        <f t="shared" si="7"/>
        <v>4</v>
      </c>
      <c r="S36" s="43" t="str">
        <f t="shared" si="8"/>
        <v/>
      </c>
    </row>
    <row r="37" spans="1:19" ht="24" x14ac:dyDescent="0.25">
      <c r="A37" s="43">
        <v>4</v>
      </c>
      <c r="B37" s="43">
        <v>1</v>
      </c>
      <c r="C37" s="43">
        <f t="shared" si="0"/>
        <v>1</v>
      </c>
      <c r="D37" s="43" t="s">
        <v>180</v>
      </c>
      <c r="E37" s="55" t="s">
        <v>216</v>
      </c>
      <c r="F37" s="56" t="s">
        <v>215</v>
      </c>
      <c r="G37" s="159" t="s">
        <v>217</v>
      </c>
      <c r="H37" s="56">
        <f>'13. Personnel Security'!$O12</f>
        <v>0</v>
      </c>
      <c r="I37" s="43">
        <f>'13. Personnel Security'!$N12</f>
        <v>0</v>
      </c>
      <c r="J37" s="43" t="str">
        <f t="shared" si="10"/>
        <v>Blank</v>
      </c>
      <c r="K37" s="43" t="s">
        <v>325</v>
      </c>
      <c r="L37" s="43" t="str">
        <f t="shared" si="1"/>
        <v>Blank</v>
      </c>
      <c r="M37" s="43" t="str">
        <f t="shared" si="2"/>
        <v/>
      </c>
      <c r="N37" s="43" t="str">
        <f t="shared" si="3"/>
        <v/>
      </c>
      <c r="O37" s="43" t="str">
        <f t="shared" si="4"/>
        <v/>
      </c>
      <c r="P37" s="43" t="str">
        <f t="shared" si="5"/>
        <v>Blank</v>
      </c>
      <c r="Q37" s="43" t="str">
        <f t="shared" si="6"/>
        <v>No Override</v>
      </c>
      <c r="R37" s="43">
        <f t="shared" si="7"/>
        <v>1</v>
      </c>
      <c r="S37" s="43" t="str">
        <f t="shared" si="8"/>
        <v/>
      </c>
    </row>
    <row r="38" spans="1:19" x14ac:dyDescent="0.25">
      <c r="A38" s="43">
        <v>4</v>
      </c>
      <c r="C38" s="43">
        <f t="shared" si="0"/>
        <v>4</v>
      </c>
      <c r="D38" s="43" t="s">
        <v>180</v>
      </c>
      <c r="E38" s="55" t="s">
        <v>221</v>
      </c>
      <c r="F38" s="56" t="s">
        <v>220</v>
      </c>
      <c r="G38" s="159" t="s">
        <v>222</v>
      </c>
      <c r="H38" s="56">
        <f>'13. Personnel Security'!$O13</f>
        <v>0</v>
      </c>
      <c r="I38" s="62">
        <f>'13. Personnel Security'!$N13</f>
        <v>0</v>
      </c>
      <c r="J38" s="43" t="str">
        <f t="shared" si="10"/>
        <v>Blank</v>
      </c>
      <c r="K38" s="43" t="s">
        <v>325</v>
      </c>
      <c r="L38" s="43" t="str">
        <f t="shared" si="1"/>
        <v>Blank</v>
      </c>
      <c r="M38" s="43" t="str">
        <f t="shared" si="2"/>
        <v/>
      </c>
      <c r="N38" s="43" t="str">
        <f t="shared" si="3"/>
        <v/>
      </c>
      <c r="O38" s="43" t="str">
        <f t="shared" si="4"/>
        <v/>
      </c>
      <c r="P38" s="43" t="str">
        <f t="shared" si="5"/>
        <v>Blank</v>
      </c>
      <c r="Q38" s="43" t="str">
        <f t="shared" si="6"/>
        <v>No Override</v>
      </c>
      <c r="R38" s="43">
        <f t="shared" si="7"/>
        <v>4</v>
      </c>
      <c r="S38" s="43" t="str">
        <f t="shared" si="8"/>
        <v/>
      </c>
    </row>
  </sheetData>
  <conditionalFormatting sqref="L2:L38">
    <cfRule type="expression" dxfId="1" priority="1">
      <formula>AND($I2="N/A",$H2&lt;&gt;0)</formula>
    </cfRule>
    <cfRule type="expression" dxfId="0" priority="2">
      <formula>AND($I2="N/A",$H2=0)</formula>
    </cfRule>
  </conditionalFormatting>
  <pageMargins left="0.7" right="0.7" top="0.75" bottom="0.75" header="0.3" footer="0.3"/>
  <pageSetup orientation="portrait" verticalDpi="0"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100-000000000000}">
          <x14:formula1>
            <xm:f>'Data Validation Key'!$N$2:$N$5</xm:f>
          </x14:formula1>
          <xm:sqref>K2:K38</xm:sqref>
        </x14:dataValidation>
      </x14:dataValidations>
    </ext>
  </extLst>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dimension ref="A1:G53"/>
  <sheetViews>
    <sheetView topLeftCell="A19" workbookViewId="0">
      <selection activeCell="C31" sqref="C31"/>
    </sheetView>
  </sheetViews>
  <sheetFormatPr defaultColWidth="9" defaultRowHeight="15" x14ac:dyDescent="0.25"/>
  <cols>
    <col min="1" max="1" width="9" style="43"/>
    <col min="2" max="2" width="11.140625" style="43" bestFit="1" customWidth="1"/>
    <col min="3" max="16384" width="9" style="43"/>
  </cols>
  <sheetData>
    <row r="1" spans="1:7" ht="15.75" thickBot="1" x14ac:dyDescent="0.3">
      <c r="A1" s="63" t="s">
        <v>398</v>
      </c>
      <c r="B1" s="64" t="s">
        <v>10</v>
      </c>
      <c r="C1" s="64" t="s">
        <v>331</v>
      </c>
      <c r="D1" s="65" t="s">
        <v>332</v>
      </c>
      <c r="F1" s="256" t="s">
        <v>333</v>
      </c>
      <c r="G1" s="257"/>
    </row>
    <row r="2" spans="1:7" ht="15" customHeight="1" x14ac:dyDescent="0.25">
      <c r="A2" s="258" t="s">
        <v>334</v>
      </c>
      <c r="B2" s="66" t="s">
        <v>335</v>
      </c>
      <c r="C2" s="66">
        <f>COUNTIFS('Override Control Env1'!$C$2:$C$38,1,'Override Control Env1'!$L$2:$L$38,B2)</f>
        <v>7</v>
      </c>
      <c r="D2" s="67">
        <f>$C2/COUNTIF('Override Control Env1'!$C$2:$C$38,1)</f>
        <v>0.77777777777777779</v>
      </c>
      <c r="F2" s="68" t="s">
        <v>336</v>
      </c>
      <c r="G2" s="69" t="str">
        <f>IF(AND($C$3=0,$C$7=0,$C$11=0),"True",IF(AND($C$3=0,($C$7+$C$11)/(COUNTIF('Override Control Env1'!$C$2:$C$38,2)+COUNTIF('Override Control Env1'!$C$2:$C$38,3))&lt;=0.25),"True","False"))</f>
        <v>False</v>
      </c>
    </row>
    <row r="3" spans="1:7" x14ac:dyDescent="0.25">
      <c r="A3" s="254"/>
      <c r="B3" s="70" t="s">
        <v>337</v>
      </c>
      <c r="C3" s="70">
        <f>COUNTIFS('Override Control Env1'!$C$2:$C$38,1,'Override Control Env1'!$L$2:$L$38,B3)</f>
        <v>2</v>
      </c>
      <c r="D3" s="71">
        <f>$C3/COUNTIF('Override Control Env1'!$C$2:$C$38,1)</f>
        <v>0.22222222222222221</v>
      </c>
      <c r="F3" s="68" t="s">
        <v>338</v>
      </c>
      <c r="G3" s="69" t="str">
        <f>IF(AND($C$3=0,$G$2="False",($C$7+$C$11)/(COUNTIF('Override Control Env1'!$C$2:$C$38,2)+COUNTIF('Override Control Env1'!$C$2:$C$38,3))&lt;=0.5),"True","False")</f>
        <v>False</v>
      </c>
    </row>
    <row r="4" spans="1:7" x14ac:dyDescent="0.25">
      <c r="A4" s="254"/>
      <c r="B4" s="70" t="s">
        <v>56</v>
      </c>
      <c r="C4" s="70">
        <f>COUNTIFS('Override Control Env1'!$C$2:$C$38,1,'Override Control Env1'!$L$2:$L$38,B4)</f>
        <v>0</v>
      </c>
      <c r="D4" s="71">
        <f>$C4/COUNTIF('Override Control Env1'!$C$2:$C$38,1)</f>
        <v>0</v>
      </c>
      <c r="F4" s="68" t="s">
        <v>339</v>
      </c>
      <c r="G4" s="69" t="str">
        <f>IF(AND($C$3=0,$G$2="False",$G$3="False",($C$7+$C$11)/(COUNTIF('Override Control Env1'!$C$2:$C$38,2)+COUNTIF('Override Control Env1'!$C$2:$C$38,3))&gt;0.5),"True",IF(AND($C$3=1,$C$7=0,$C$11=0),"True","False"))</f>
        <v>False</v>
      </c>
    </row>
    <row r="5" spans="1:7" ht="15.75" thickBot="1" x14ac:dyDescent="0.3">
      <c r="A5" s="255"/>
      <c r="B5" s="72" t="s">
        <v>340</v>
      </c>
      <c r="C5" s="72">
        <f>COUNTIFS('Override Control Env1'!$C$2:$C$38,1,'Override Control Env1'!$L$2:$L$38,B5)</f>
        <v>0</v>
      </c>
      <c r="D5" s="73">
        <f>$C5/COUNTIF('Override Control Env1'!$C$2:$C$38,1)</f>
        <v>0</v>
      </c>
      <c r="F5" s="68" t="s">
        <v>341</v>
      </c>
      <c r="G5" s="69" t="str">
        <f>IF($C$3&gt;1,"True",IF(AND($C$3=1,$C$7+$C$11&gt;0),"True","False"))</f>
        <v>True</v>
      </c>
    </row>
    <row r="6" spans="1:7" ht="15.75" thickBot="1" x14ac:dyDescent="0.3">
      <c r="A6" s="253" t="s">
        <v>342</v>
      </c>
      <c r="B6" s="74" t="s">
        <v>335</v>
      </c>
      <c r="C6" s="74">
        <f>COUNTIFS('Override Control Env1'!$C$2:$C$38,2,'Override Control Env1'!$L$2:$L$38,B6)</f>
        <v>7</v>
      </c>
      <c r="D6" s="75">
        <f>$C6/COUNTIF('Override Control Env1'!$C$2:$C$38,2)</f>
        <v>0.63636363636363635</v>
      </c>
      <c r="F6" s="76" t="s">
        <v>343</v>
      </c>
      <c r="G6" s="77"/>
    </row>
    <row r="7" spans="1:7" ht="15.75" thickBot="1" x14ac:dyDescent="0.3">
      <c r="A7" s="254"/>
      <c r="B7" s="70" t="s">
        <v>337</v>
      </c>
      <c r="C7" s="70">
        <f>COUNTIFS('Override Control Env1'!$C$2:$C$38,2,'Override Control Env1'!$L$2:$L$38,B7)</f>
        <v>4</v>
      </c>
      <c r="D7" s="71">
        <f>$C7/COUNTIF('Override Control Env1'!$C$2:$C$38,2)</f>
        <v>0.36363636363636365</v>
      </c>
    </row>
    <row r="8" spans="1:7" x14ac:dyDescent="0.25">
      <c r="A8" s="254"/>
      <c r="B8" s="70" t="s">
        <v>56</v>
      </c>
      <c r="C8" s="70">
        <f>COUNTIFS('Override Control Env1'!$C$2:$C$38,2,'Override Control Env1'!$L$2:$L$38,B8)</f>
        <v>0</v>
      </c>
      <c r="D8" s="71">
        <f>$C8/COUNTIF('Override Control Env1'!$C$2:$C$38,2)</f>
        <v>0</v>
      </c>
      <c r="F8" s="256" t="s">
        <v>404</v>
      </c>
      <c r="G8" s="257"/>
    </row>
    <row r="9" spans="1:7" ht="15.75" thickBot="1" x14ac:dyDescent="0.3">
      <c r="A9" s="259"/>
      <c r="B9" s="78" t="s">
        <v>340</v>
      </c>
      <c r="C9" s="78">
        <f>COUNTIFS('Override Control Env1'!$C$2:$C$38,2,'Override Control Env1'!$L$2:$L$38,B9)</f>
        <v>0</v>
      </c>
      <c r="D9" s="79">
        <f>$C9/COUNTIF('Override Control Env1'!$C$2:$C$38,2)</f>
        <v>0</v>
      </c>
      <c r="F9" s="260" t="str">
        <f>IF($G$2="True","A",IF($G$3="True","B",IF($G$4="True","C",IF($G$5="True","D","Error"))))</f>
        <v>D</v>
      </c>
      <c r="G9" s="261"/>
    </row>
    <row r="10" spans="1:7" x14ac:dyDescent="0.25">
      <c r="A10" s="258" t="s">
        <v>344</v>
      </c>
      <c r="B10" s="66" t="s">
        <v>335</v>
      </c>
      <c r="C10" s="66">
        <f>COUNTIFS('Override Control Env1'!$C$2:$C$38,3,'Override Control Env1'!$L$2:$L$38,B10)</f>
        <v>1</v>
      </c>
      <c r="D10" s="67">
        <f>$C10/COUNTIF('Override Control Env1'!$C$2:$C$38,3)</f>
        <v>1</v>
      </c>
      <c r="F10" s="260"/>
      <c r="G10" s="261"/>
    </row>
    <row r="11" spans="1:7" x14ac:dyDescent="0.25">
      <c r="A11" s="254"/>
      <c r="B11" s="70" t="s">
        <v>337</v>
      </c>
      <c r="C11" s="70">
        <f>COUNTIFS('Override Control Env1'!$C$2:$C$38,3,'Override Control Env1'!$L$2:$L$38,B11)</f>
        <v>0</v>
      </c>
      <c r="D11" s="71">
        <f>$C11/COUNTIF('Override Control Env1'!$C$2:$C$38,3)</f>
        <v>0</v>
      </c>
      <c r="F11" s="260"/>
      <c r="G11" s="261"/>
    </row>
    <row r="12" spans="1:7" x14ac:dyDescent="0.25">
      <c r="A12" s="254"/>
      <c r="B12" s="70" t="s">
        <v>56</v>
      </c>
      <c r="C12" s="70">
        <f>COUNTIFS('Override Control Env1'!$C$2:$C$38,3,'Override Control Env1'!$L$2:$L$38,B12)</f>
        <v>0</v>
      </c>
      <c r="D12" s="71">
        <f>$C12/COUNTIF('Override Control Env1'!$C$2:$C$38,3)</f>
        <v>0</v>
      </c>
      <c r="F12" s="260"/>
      <c r="G12" s="261"/>
    </row>
    <row r="13" spans="1:7" ht="15.75" thickBot="1" x14ac:dyDescent="0.3">
      <c r="A13" s="255"/>
      <c r="B13" s="72" t="s">
        <v>340</v>
      </c>
      <c r="C13" s="72">
        <f>COUNTIFS('Override Control Env1'!$C$2:$C$38,3,'Override Control Env1'!$L$2:$L$38,B13)</f>
        <v>0</v>
      </c>
      <c r="D13" s="73">
        <f>$C13/COUNTIF('Override Control Env1'!$C$2:$C$38,3)</f>
        <v>0</v>
      </c>
      <c r="F13" s="262"/>
      <c r="G13" s="263"/>
    </row>
    <row r="14" spans="1:7" x14ac:dyDescent="0.25">
      <c r="A14" s="253" t="s">
        <v>345</v>
      </c>
      <c r="B14" s="74" t="s">
        <v>335</v>
      </c>
      <c r="C14" s="74">
        <f>COUNTIFS('Override Control Env1'!$C$2:$C$38,4,'Override Control Env1'!$L$2:$L$38,B14)</f>
        <v>9</v>
      </c>
      <c r="D14" s="75">
        <f>$C14/COUNTIF('Override Control Env1'!$C$2:$C$38,4)</f>
        <v>0.5625</v>
      </c>
    </row>
    <row r="15" spans="1:7" x14ac:dyDescent="0.25">
      <c r="A15" s="254"/>
      <c r="B15" s="70" t="s">
        <v>337</v>
      </c>
      <c r="C15" s="70">
        <f>COUNTIFS('Override Control Env1'!$C$2:$C$38,4,'Override Control Env1'!$L$2:$L$38,B15)</f>
        <v>7</v>
      </c>
      <c r="D15" s="71">
        <f>$C15/COUNTIF('Override Control Env1'!$C$2:$C$38,4)</f>
        <v>0.4375</v>
      </c>
    </row>
    <row r="16" spans="1:7" x14ac:dyDescent="0.25">
      <c r="A16" s="254"/>
      <c r="B16" s="70" t="s">
        <v>56</v>
      </c>
      <c r="C16" s="70">
        <f>COUNTIFS('Override Control Env1'!$C$2:$C$38,4,'Override Control Env1'!$L$2:$L$38,B16)</f>
        <v>0</v>
      </c>
      <c r="D16" s="71">
        <f>$C16/COUNTIF('Override Control Env1'!$C$2:$C$38,4)</f>
        <v>0</v>
      </c>
    </row>
    <row r="17" spans="1:7" ht="15.75" thickBot="1" x14ac:dyDescent="0.3">
      <c r="A17" s="255"/>
      <c r="B17" s="72" t="s">
        <v>340</v>
      </c>
      <c r="C17" s="72">
        <f>COUNTIFS('Override Control Env1'!$C$2:$C$38,4,'Override Control Env1'!$L$2:$L$38,B17)</f>
        <v>0</v>
      </c>
      <c r="D17" s="73">
        <f>$C17/COUNTIF('Override Control Env1'!$C$2:$C$38,4)</f>
        <v>0</v>
      </c>
    </row>
    <row r="18" spans="1:7" ht="15.75" thickBot="1" x14ac:dyDescent="0.3"/>
    <row r="19" spans="1:7" ht="15.75" thickBot="1" x14ac:dyDescent="0.3">
      <c r="A19" s="63" t="s">
        <v>399</v>
      </c>
      <c r="B19" s="64" t="s">
        <v>10</v>
      </c>
      <c r="C19" s="64" t="s">
        <v>331</v>
      </c>
      <c r="D19" s="65" t="s">
        <v>332</v>
      </c>
      <c r="F19" s="256" t="s">
        <v>333</v>
      </c>
      <c r="G19" s="257"/>
    </row>
    <row r="20" spans="1:7" x14ac:dyDescent="0.25">
      <c r="A20" s="258" t="s">
        <v>334</v>
      </c>
      <c r="B20" s="66" t="s">
        <v>335</v>
      </c>
      <c r="C20" s="66">
        <f>COUNTIFS('Override Control Env2'!$C$2:$C$38,1,'Override Control Env2'!$L$2:$L$38,B20)</f>
        <v>0</v>
      </c>
      <c r="D20" s="67">
        <f>$C20/COUNTIF('Override Control Env2'!$C$2:$C$38,1)</f>
        <v>0</v>
      </c>
      <c r="F20" s="68" t="s">
        <v>336</v>
      </c>
      <c r="G20" s="69" t="str">
        <f>IF(AND($C$21=0,$C$25=0,$C$29=0),"True",IF(AND($C$21=0,($C$25+$C$29)/(COUNTIF('Override Control Env2'!$C$2:$C$38,2)+COUNTIF('Override Control Env2'!$C$2:$C$38,3))&lt;=0.25),"True","False"))</f>
        <v>True</v>
      </c>
    </row>
    <row r="21" spans="1:7" x14ac:dyDescent="0.25">
      <c r="A21" s="254"/>
      <c r="B21" s="70" t="s">
        <v>337</v>
      </c>
      <c r="C21" s="70">
        <f>COUNTIFS('Override Control Env2'!$C$2:$C$38,1,'Override Control Env2'!$L$2:$L$38,B21)</f>
        <v>0</v>
      </c>
      <c r="D21" s="71">
        <f>$C21/COUNTIF('Override Control Env2'!$C$2:$C$38,1)</f>
        <v>0</v>
      </c>
      <c r="F21" s="68" t="s">
        <v>338</v>
      </c>
      <c r="G21" s="69" t="str">
        <f>IF(AND($C$21=0,$G$20="False",($C$25+$C$29)/(COUNTIF('Override Control Env2'!$C$2:$C$38,2)+COUNTIF('Override Control Env2'!$C$2:$C$38,3))&lt;=0.5),"True","False")</f>
        <v>False</v>
      </c>
    </row>
    <row r="22" spans="1:7" x14ac:dyDescent="0.25">
      <c r="A22" s="254"/>
      <c r="B22" s="70" t="s">
        <v>56</v>
      </c>
      <c r="C22" s="70">
        <f>COUNTIFS('Override Control Env2'!$C$2:$C$38,1,'Override Control Env2'!$L$2:$L$38,B22)</f>
        <v>0</v>
      </c>
      <c r="D22" s="71">
        <f>$C22/COUNTIF('Override Control Env2'!$C$2:$C$38,1)</f>
        <v>0</v>
      </c>
      <c r="F22" s="68" t="s">
        <v>339</v>
      </c>
      <c r="G22" s="69" t="str">
        <f>IF(AND($C$21=0,$G$20="False",$G$21="False",($C$25+$C$29)/(COUNTIF('Override Control Env2'!$C$2:$C$38,2)+COUNTIF('Override Control Env2'!$C$2:$C$38,3))&gt;0.5),"True",IF(AND($C$21=1,$C$25=0,$C$29=0),"True","False"))</f>
        <v>False</v>
      </c>
    </row>
    <row r="23" spans="1:7" ht="15.75" thickBot="1" x14ac:dyDescent="0.3">
      <c r="A23" s="255"/>
      <c r="B23" s="72" t="s">
        <v>340</v>
      </c>
      <c r="C23" s="72">
        <f>COUNTIFS('Override Control Env2'!$C$2:$C$38,1,'Override Control Env2'!$L$2:$L$38,B23)</f>
        <v>9</v>
      </c>
      <c r="D23" s="73">
        <f>$C23/COUNTIF('Override Control Env2'!$C$2:$C$38,1)</f>
        <v>1</v>
      </c>
      <c r="F23" s="68" t="s">
        <v>341</v>
      </c>
      <c r="G23" s="69" t="str">
        <f>IF($C$21&gt;1,"True",IF(AND($C$21=1,$C$25+$C$29&gt;0),"True","False"))</f>
        <v>False</v>
      </c>
    </row>
    <row r="24" spans="1:7" ht="15.75" thickBot="1" x14ac:dyDescent="0.3">
      <c r="A24" s="253" t="s">
        <v>342</v>
      </c>
      <c r="B24" s="74" t="s">
        <v>335</v>
      </c>
      <c r="C24" s="74">
        <f>COUNTIFS('Override Control Env2'!$C$2:$C$38,2,'Override Control Env2'!$L$2:$L$38,B24)</f>
        <v>0</v>
      </c>
      <c r="D24" s="75">
        <f>$C24/COUNTIF('Override Control Env2'!$C$2:$C$38,2)</f>
        <v>0</v>
      </c>
      <c r="F24" s="76" t="s">
        <v>343</v>
      </c>
      <c r="G24" s="77"/>
    </row>
    <row r="25" spans="1:7" ht="15.75" thickBot="1" x14ac:dyDescent="0.3">
      <c r="A25" s="254"/>
      <c r="B25" s="70" t="s">
        <v>337</v>
      </c>
      <c r="C25" s="70">
        <f>COUNTIFS('Override Control Env2'!$C$2:$C$38,2,'Override Control Env2'!$L$2:$L$38,B25)</f>
        <v>0</v>
      </c>
      <c r="D25" s="71">
        <f>$C25/COUNTIF('Override Control Env2'!$C$2:$C$38,2)</f>
        <v>0</v>
      </c>
    </row>
    <row r="26" spans="1:7" x14ac:dyDescent="0.25">
      <c r="A26" s="254"/>
      <c r="B26" s="70" t="s">
        <v>56</v>
      </c>
      <c r="C26" s="70">
        <f>COUNTIFS('Override Control Env2'!$C$2:$C$38,2,'Override Control Env2'!$L$2:$L$38,B26)</f>
        <v>0</v>
      </c>
      <c r="D26" s="71">
        <f>$C26/COUNTIF('Override Control Env2'!$C$2:$C$38,2)</f>
        <v>0</v>
      </c>
      <c r="F26" s="256" t="s">
        <v>403</v>
      </c>
      <c r="G26" s="257"/>
    </row>
    <row r="27" spans="1:7" ht="15.75" thickBot="1" x14ac:dyDescent="0.3">
      <c r="A27" s="259"/>
      <c r="B27" s="78" t="s">
        <v>340</v>
      </c>
      <c r="C27" s="78">
        <f>COUNTIFS('Override Control Env2'!$C$2:$C$38,2,'Override Control Env2'!$L$2:$L$38,B27)</f>
        <v>11</v>
      </c>
      <c r="D27" s="79">
        <f>$C27/COUNTIF('Override Control Env2'!$C$2:$C$38,2)</f>
        <v>1</v>
      </c>
      <c r="F27" s="260" t="str">
        <f>IF($G$20="True","A",IF($G$21="True","B",IF($G$22="True","C",IF($G$23="True","D","Error"))))</f>
        <v>A</v>
      </c>
      <c r="G27" s="261"/>
    </row>
    <row r="28" spans="1:7" x14ac:dyDescent="0.25">
      <c r="A28" s="258" t="s">
        <v>344</v>
      </c>
      <c r="B28" s="66" t="s">
        <v>335</v>
      </c>
      <c r="C28" s="66">
        <f>COUNTIFS('Override Control Env2'!$C$2:$C$38,3,'Override Control Env2'!$L$2:$L$38,B28)</f>
        <v>0</v>
      </c>
      <c r="D28" s="67">
        <f>$C28/COUNTIF('Override Control Env2'!$C$2:$C$38,3)</f>
        <v>0</v>
      </c>
      <c r="F28" s="260"/>
      <c r="G28" s="261"/>
    </row>
    <row r="29" spans="1:7" x14ac:dyDescent="0.25">
      <c r="A29" s="254"/>
      <c r="B29" s="70" t="s">
        <v>337</v>
      </c>
      <c r="C29" s="70">
        <f>COUNTIFS('Override Control Env2'!$C$2:$C$38,3,'Override Control Env2'!$L$2:$L$38,B29)</f>
        <v>0</v>
      </c>
      <c r="D29" s="71">
        <f>$C29/COUNTIF('Override Control Env2'!$C$2:$C$38,3)</f>
        <v>0</v>
      </c>
      <c r="F29" s="260"/>
      <c r="G29" s="261"/>
    </row>
    <row r="30" spans="1:7" x14ac:dyDescent="0.25">
      <c r="A30" s="254"/>
      <c r="B30" s="70" t="s">
        <v>56</v>
      </c>
      <c r="C30" s="70">
        <f>COUNTIFS('Override Control Env2'!$C$2:$C$38,3,'Override Control Env2'!$L$2:$L$38,B30)</f>
        <v>0</v>
      </c>
      <c r="D30" s="71">
        <f>$C30/COUNTIF('Override Control Env2'!$C$2:$C$38,3)</f>
        <v>0</v>
      </c>
      <c r="F30" s="260"/>
      <c r="G30" s="261"/>
    </row>
    <row r="31" spans="1:7" ht="15.75" thickBot="1" x14ac:dyDescent="0.3">
      <c r="A31" s="255"/>
      <c r="B31" s="72" t="s">
        <v>340</v>
      </c>
      <c r="C31" s="72">
        <f>COUNTIFS('Override Control Env2'!$C$2:$C$38,3,'Override Control Env2'!$L$2:$L$38,B31)</f>
        <v>1</v>
      </c>
      <c r="D31" s="73">
        <f>$C31/COUNTIF('Override Control Env2'!$C$2:$C$38,3)</f>
        <v>1</v>
      </c>
      <c r="F31" s="262"/>
      <c r="G31" s="263"/>
    </row>
    <row r="32" spans="1:7" x14ac:dyDescent="0.25">
      <c r="A32" s="253" t="s">
        <v>345</v>
      </c>
      <c r="B32" s="74" t="s">
        <v>335</v>
      </c>
      <c r="C32" s="74">
        <f>COUNTIFS('Override Control Env2'!$C$2:$C$38,4,'Override Control Env2'!$L$2:$L$38,B32)</f>
        <v>0</v>
      </c>
      <c r="D32" s="75">
        <f>$C32/COUNTIF('Override Control Env2'!$C$2:$C$38,4)</f>
        <v>0</v>
      </c>
    </row>
    <row r="33" spans="1:7" x14ac:dyDescent="0.25">
      <c r="A33" s="254"/>
      <c r="B33" s="70" t="s">
        <v>337</v>
      </c>
      <c r="C33" s="70">
        <f>COUNTIFS('Override Control Env2'!$C$2:$C$38,4,'Override Control Env2'!$L$2:$L$38,B33)</f>
        <v>0</v>
      </c>
      <c r="D33" s="71">
        <f>$C33/COUNTIF('Override Control Env2'!$C$2:$C$38,4)</f>
        <v>0</v>
      </c>
    </row>
    <row r="34" spans="1:7" x14ac:dyDescent="0.25">
      <c r="A34" s="254"/>
      <c r="B34" s="70" t="s">
        <v>56</v>
      </c>
      <c r="C34" s="70">
        <f>COUNTIFS('Override Control Env2'!$C$2:$C$38,4,'Override Control Env2'!$L$2:$L$38,B34)</f>
        <v>0</v>
      </c>
      <c r="D34" s="71">
        <f>$C34/COUNTIF('Override Control Env2'!$C$2:$C$38,4)</f>
        <v>0</v>
      </c>
    </row>
    <row r="35" spans="1:7" ht="15.75" thickBot="1" x14ac:dyDescent="0.3">
      <c r="A35" s="255"/>
      <c r="B35" s="72" t="s">
        <v>340</v>
      </c>
      <c r="C35" s="72">
        <f>COUNTIFS('Override Control Env2'!$C$2:$C$38,4,'Override Control Env2'!$L$2:$L$38,B35)</f>
        <v>16</v>
      </c>
      <c r="D35" s="73">
        <f>$C35/COUNTIF('Override Control Env2'!$C$2:$C$38,4)</f>
        <v>1</v>
      </c>
    </row>
    <row r="36" spans="1:7" ht="15.75" thickBot="1" x14ac:dyDescent="0.3"/>
    <row r="37" spans="1:7" ht="15.75" thickBot="1" x14ac:dyDescent="0.3">
      <c r="A37" s="63" t="s">
        <v>400</v>
      </c>
      <c r="B37" s="64" t="s">
        <v>10</v>
      </c>
      <c r="C37" s="64" t="s">
        <v>331</v>
      </c>
      <c r="D37" s="65" t="s">
        <v>332</v>
      </c>
      <c r="F37" s="256" t="s">
        <v>333</v>
      </c>
      <c r="G37" s="257"/>
    </row>
    <row r="38" spans="1:7" x14ac:dyDescent="0.25">
      <c r="A38" s="258" t="s">
        <v>334</v>
      </c>
      <c r="B38" s="66" t="s">
        <v>335</v>
      </c>
      <c r="C38" s="66">
        <f>COUNTIFS('Override Control Env3'!$C$2:$C$38,1,'Override Control Env3'!$L$2:$L$38,B38)</f>
        <v>0</v>
      </c>
      <c r="D38" s="67">
        <f>$C38/COUNTIF('Override Control Env3'!$C$2:$C$38,1)</f>
        <v>0</v>
      </c>
      <c r="F38" s="68" t="s">
        <v>336</v>
      </c>
      <c r="G38" s="69" t="str">
        <f>IF(AND($C$39=0,$C$43=0,$C$47=0),"True",IF(AND($C$39=0,($C$43+$C$47)/(COUNTIF('Override Control Env3'!$C$2:$C$38,2)+COUNTIF('Override Control Env3'!$C$2:$C$38,3))&lt;=0.25),"True","False"))</f>
        <v>True</v>
      </c>
    </row>
    <row r="39" spans="1:7" x14ac:dyDescent="0.25">
      <c r="A39" s="254"/>
      <c r="B39" s="70" t="s">
        <v>337</v>
      </c>
      <c r="C39" s="70">
        <f>COUNTIFS('Override Control Env3'!$C$2:$C$38,1,'Override Control Env3'!$L$2:$L$38,B39)</f>
        <v>0</v>
      </c>
      <c r="D39" s="71">
        <f>$C39/COUNTIF('Override Control Env3'!$C$2:$C$38,1)</f>
        <v>0</v>
      </c>
      <c r="F39" s="68" t="s">
        <v>338</v>
      </c>
      <c r="G39" s="69" t="str">
        <f>IF(AND($C$39=0,$G$38="False",($C$43+$C$47)/(COUNTIF('Override Control Env3'!$C$2:$C$38,2)+COUNTIF('Override Control Env3'!$C$2:$C$38,3))&lt;=0.5),"True","False")</f>
        <v>False</v>
      </c>
    </row>
    <row r="40" spans="1:7" x14ac:dyDescent="0.25">
      <c r="A40" s="254"/>
      <c r="B40" s="70" t="s">
        <v>56</v>
      </c>
      <c r="C40" s="70">
        <f>COUNTIFS('Override Control Env3'!$C$2:$C$38,1,'Override Control Env3'!$L$2:$L$38,B40)</f>
        <v>0</v>
      </c>
      <c r="D40" s="71">
        <f>$C40/COUNTIF('Override Control Env3'!$C$2:$C$38,1)</f>
        <v>0</v>
      </c>
      <c r="F40" s="68" t="s">
        <v>339</v>
      </c>
      <c r="G40" s="69" t="str">
        <f>IF(AND($C$39=0,$G$38="False",$G$39="False",($C$43+$C$47)/(COUNTIF('Override Control Env3'!$C$2:$C$38,2)+COUNTIF('Override Control Env3'!$C$2:$C$38,3))&gt;0.5),"True",IF(AND($C$39=1,$C$43=0,$C$47=0),"True","False"))</f>
        <v>False</v>
      </c>
    </row>
    <row r="41" spans="1:7" ht="15.75" thickBot="1" x14ac:dyDescent="0.3">
      <c r="A41" s="255"/>
      <c r="B41" s="72" t="s">
        <v>340</v>
      </c>
      <c r="C41" s="72">
        <f>COUNTIFS('Override Control Env3'!$C$2:$C$38,1,'Override Control Env3'!$L$2:$L$38,B41)</f>
        <v>9</v>
      </c>
      <c r="D41" s="73">
        <f>$C41/COUNTIF('Override Control Env3'!$C$2:$C$38,1)</f>
        <v>1</v>
      </c>
      <c r="F41" s="68" t="s">
        <v>341</v>
      </c>
      <c r="G41" s="69" t="str">
        <f>IF($C$39&gt;1,"True",IF(AND($C$39=1,$C$43+$C$47&gt;0),"True","False"))</f>
        <v>False</v>
      </c>
    </row>
    <row r="42" spans="1:7" ht="15.75" thickBot="1" x14ac:dyDescent="0.3">
      <c r="A42" s="253" t="s">
        <v>342</v>
      </c>
      <c r="B42" s="74" t="s">
        <v>335</v>
      </c>
      <c r="C42" s="74">
        <f>COUNTIFS('Override Control Env3'!$C$2:$C$38,2,'Override Control Env3'!$L$2:$L$38,B42)</f>
        <v>0</v>
      </c>
      <c r="D42" s="75">
        <f>$C42/COUNTIF('Override Control Env3'!$C$2:$C$38,2)</f>
        <v>0</v>
      </c>
      <c r="F42" s="76" t="s">
        <v>343</v>
      </c>
      <c r="G42" s="77"/>
    </row>
    <row r="43" spans="1:7" ht="15.75" thickBot="1" x14ac:dyDescent="0.3">
      <c r="A43" s="254"/>
      <c r="B43" s="70" t="s">
        <v>337</v>
      </c>
      <c r="C43" s="70">
        <f>COUNTIFS('Override Control Env3'!$C$2:$C$38,2,'Override Control Env3'!$L$2:$L$38,B43)</f>
        <v>0</v>
      </c>
      <c r="D43" s="71">
        <f>$C43/COUNTIF('Override Control Env3'!$C$2:$C$38,2)</f>
        <v>0</v>
      </c>
    </row>
    <row r="44" spans="1:7" x14ac:dyDescent="0.25">
      <c r="A44" s="254"/>
      <c r="B44" s="70" t="s">
        <v>56</v>
      </c>
      <c r="C44" s="70">
        <f>COUNTIFS('Override Control Env3'!$C$2:$C$38,2,'Override Control Env3'!$L$2:$L$38,B44)</f>
        <v>0</v>
      </c>
      <c r="D44" s="71">
        <f>$C44/COUNTIF('Override Control Env3'!$C$2:$C$38,2)</f>
        <v>0</v>
      </c>
      <c r="F44" s="256" t="s">
        <v>402</v>
      </c>
      <c r="G44" s="257"/>
    </row>
    <row r="45" spans="1:7" ht="15.75" thickBot="1" x14ac:dyDescent="0.3">
      <c r="A45" s="259"/>
      <c r="B45" s="78" t="s">
        <v>340</v>
      </c>
      <c r="C45" s="78">
        <f>COUNTIFS('Override Control Env3'!$C$2:$C$38,2,'Override Control Env3'!$L$2:$L$38,B45)</f>
        <v>11</v>
      </c>
      <c r="D45" s="79">
        <f>$C45/COUNTIF('Override Control Env3'!$C$2:$C$38,2)</f>
        <v>1</v>
      </c>
      <c r="F45" s="260" t="str">
        <f>IF($G$38="True","A",IF($G$39="True","B",IF($G$40="True","C",IF($G$41="True","D","Error"))))</f>
        <v>A</v>
      </c>
      <c r="G45" s="261"/>
    </row>
    <row r="46" spans="1:7" x14ac:dyDescent="0.25">
      <c r="A46" s="258" t="s">
        <v>344</v>
      </c>
      <c r="B46" s="66" t="s">
        <v>335</v>
      </c>
      <c r="C46" s="66">
        <f>COUNTIFS('Override Control Env3'!$C$2:$C$38,3,'Override Control Env3'!$L$2:$L$38,B46)</f>
        <v>0</v>
      </c>
      <c r="D46" s="67">
        <f>$C46/COUNTIF('Override Control Env3'!$C$2:$C$38,3)</f>
        <v>0</v>
      </c>
      <c r="F46" s="260"/>
      <c r="G46" s="261"/>
    </row>
    <row r="47" spans="1:7" x14ac:dyDescent="0.25">
      <c r="A47" s="254"/>
      <c r="B47" s="70" t="s">
        <v>337</v>
      </c>
      <c r="C47" s="70">
        <f>COUNTIFS('Override Control Env3'!$C$2:$C$38,3,'Override Control Env3'!$L$2:$L$38,B47)</f>
        <v>0</v>
      </c>
      <c r="D47" s="71">
        <f>$C47/COUNTIF('Override Control Env3'!$C$2:$C$38,3)</f>
        <v>0</v>
      </c>
      <c r="F47" s="260"/>
      <c r="G47" s="261"/>
    </row>
    <row r="48" spans="1:7" x14ac:dyDescent="0.25">
      <c r="A48" s="254"/>
      <c r="B48" s="70" t="s">
        <v>56</v>
      </c>
      <c r="C48" s="70">
        <f>COUNTIFS('Override Control Env3'!$C$2:$C$38,3,'Override Control Env3'!$L$2:$L$38,B48)</f>
        <v>0</v>
      </c>
      <c r="D48" s="71">
        <f>$C48/COUNTIF('Override Control Env3'!$C$2:$C$38,3)</f>
        <v>0</v>
      </c>
      <c r="F48" s="260"/>
      <c r="G48" s="261"/>
    </row>
    <row r="49" spans="1:7" ht="15.75" thickBot="1" x14ac:dyDescent="0.3">
      <c r="A49" s="255"/>
      <c r="B49" s="72" t="s">
        <v>340</v>
      </c>
      <c r="C49" s="72">
        <f>COUNTIFS('Override Control Env3'!$C$2:$C$38,3,'Override Control Env3'!$L$2:$L$38,B49)</f>
        <v>1</v>
      </c>
      <c r="D49" s="73">
        <f>$C49/COUNTIF('Override Control Env3'!$C$2:$C$38,3)</f>
        <v>1</v>
      </c>
      <c r="F49" s="262"/>
      <c r="G49" s="263"/>
    </row>
    <row r="50" spans="1:7" x14ac:dyDescent="0.25">
      <c r="A50" s="253" t="s">
        <v>345</v>
      </c>
      <c r="B50" s="74" t="s">
        <v>335</v>
      </c>
      <c r="C50" s="74">
        <f>COUNTIFS('Override Control Env3'!$C$2:$C$38,4,'Override Control Env3'!$L$2:$L$38,B50)</f>
        <v>0</v>
      </c>
      <c r="D50" s="75">
        <f>$C50/COUNTIF('Override Control Env3'!$C$2:$C$38,4)</f>
        <v>0</v>
      </c>
    </row>
    <row r="51" spans="1:7" x14ac:dyDescent="0.25">
      <c r="A51" s="254"/>
      <c r="B51" s="70" t="s">
        <v>337</v>
      </c>
      <c r="C51" s="70">
        <f>COUNTIFS('Override Control Env3'!$C$2:$C$38,4,'Override Control Env3'!$L$2:$L$38,B51)</f>
        <v>0</v>
      </c>
      <c r="D51" s="71">
        <f>$C51/COUNTIF('Override Control Env3'!$C$2:$C$38,4)</f>
        <v>0</v>
      </c>
    </row>
    <row r="52" spans="1:7" x14ac:dyDescent="0.25">
      <c r="A52" s="254"/>
      <c r="B52" s="70" t="s">
        <v>56</v>
      </c>
      <c r="C52" s="70">
        <f>COUNTIFS('Override Control Env3'!$C$2:$C$38,4,'Override Control Env3'!$L$2:$L$38,B52)</f>
        <v>0</v>
      </c>
      <c r="D52" s="71">
        <f>$C52/COUNTIF('Override Control Env3'!$C$2:$C$38,4)</f>
        <v>0</v>
      </c>
    </row>
    <row r="53" spans="1:7" ht="15.75" thickBot="1" x14ac:dyDescent="0.3">
      <c r="A53" s="255"/>
      <c r="B53" s="72" t="s">
        <v>340</v>
      </c>
      <c r="C53" s="72">
        <f>COUNTIFS('Override Control Env3'!$C$2:$C$38,4,'Override Control Env3'!$L$2:$L$38,B53)</f>
        <v>16</v>
      </c>
      <c r="D53" s="73">
        <f>$C53/COUNTIF('Override Control Env3'!$C$2:$C$38,4)</f>
        <v>1</v>
      </c>
    </row>
  </sheetData>
  <mergeCells count="21">
    <mergeCell ref="A14:A17"/>
    <mergeCell ref="F1:G1"/>
    <mergeCell ref="A2:A5"/>
    <mergeCell ref="A6:A9"/>
    <mergeCell ref="F8:G8"/>
    <mergeCell ref="F9:G13"/>
    <mergeCell ref="A10:A13"/>
    <mergeCell ref="F19:G19"/>
    <mergeCell ref="A20:A23"/>
    <mergeCell ref="A24:A27"/>
    <mergeCell ref="F26:G26"/>
    <mergeCell ref="F27:G31"/>
    <mergeCell ref="A28:A31"/>
    <mergeCell ref="A50:A53"/>
    <mergeCell ref="A32:A35"/>
    <mergeCell ref="F37:G37"/>
    <mergeCell ref="A38:A41"/>
    <mergeCell ref="A42:A45"/>
    <mergeCell ref="F44:G44"/>
    <mergeCell ref="F45:G49"/>
    <mergeCell ref="A46:A49"/>
  </mergeCells>
  <pageMargins left="0.7" right="0.7" top="0.75" bottom="0.75" header="0.3" footer="0.3"/>
  <legacy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dimension ref="A1:E21"/>
  <sheetViews>
    <sheetView workbookViewId="0">
      <selection activeCell="E1" sqref="E1:E1048576"/>
    </sheetView>
  </sheetViews>
  <sheetFormatPr defaultColWidth="9" defaultRowHeight="15" x14ac:dyDescent="0.25"/>
  <cols>
    <col min="1" max="1" width="29.28515625" style="43" bestFit="1" customWidth="1"/>
    <col min="2" max="2" width="9" style="43"/>
    <col min="3" max="3" width="9" style="43" hidden="1" customWidth="1"/>
    <col min="4" max="4" width="9" style="43"/>
    <col min="5" max="5" width="0" style="43" hidden="1" customWidth="1"/>
    <col min="6" max="16384" width="9" style="43"/>
  </cols>
  <sheetData>
    <row r="1" spans="1:5" x14ac:dyDescent="0.25">
      <c r="A1" s="43" t="s">
        <v>314</v>
      </c>
      <c r="B1" s="43" t="s">
        <v>311</v>
      </c>
      <c r="C1" s="43" t="s">
        <v>311</v>
      </c>
      <c r="D1" s="43" t="s">
        <v>346</v>
      </c>
    </row>
    <row r="2" spans="1:5" x14ac:dyDescent="0.25">
      <c r="A2" s="264" t="s">
        <v>395</v>
      </c>
      <c r="B2" s="81" t="s">
        <v>347</v>
      </c>
      <c r="C2" s="80">
        <v>1</v>
      </c>
      <c r="D2" s="43">
        <f>COUNTIFS('Override Control Env1'!$C$2:$C$999,C2,'Override Control Env1'!$L$2:$L$999,"Inadequate",'Override Control Env1'!$D$2:$D$999,E2)</f>
        <v>0</v>
      </c>
      <c r="E2" s="43" t="s">
        <v>395</v>
      </c>
    </row>
    <row r="3" spans="1:5" x14ac:dyDescent="0.25">
      <c r="A3" s="264"/>
      <c r="B3" s="81" t="s">
        <v>348</v>
      </c>
      <c r="C3" s="80">
        <v>2</v>
      </c>
      <c r="D3" s="43">
        <f>COUNTIFS('Override Control Env1'!$C$2:$C$999,C3,'Override Control Env1'!$L$2:$L$999,"Inadequate",'Override Control Env1'!$D$2:$D$999,E3)</f>
        <v>0</v>
      </c>
      <c r="E3" s="43" t="s">
        <v>395</v>
      </c>
    </row>
    <row r="4" spans="1:5" x14ac:dyDescent="0.25">
      <c r="A4" s="264"/>
      <c r="B4" s="81" t="s">
        <v>349</v>
      </c>
      <c r="C4" s="80">
        <v>3</v>
      </c>
      <c r="D4" s="43">
        <f>COUNTIFS('Override Control Env1'!$C$2:$C$999,C4,'Override Control Env1'!$L$2:$L$999,"Inadequate",'Override Control Env1'!$D$2:$D$999,E4)</f>
        <v>0</v>
      </c>
      <c r="E4" s="43" t="s">
        <v>395</v>
      </c>
    </row>
    <row r="5" spans="1:5" x14ac:dyDescent="0.25">
      <c r="A5" s="264"/>
      <c r="B5" s="81" t="s">
        <v>350</v>
      </c>
      <c r="C5" s="80">
        <v>4</v>
      </c>
      <c r="D5" s="43">
        <f>COUNTIFS('Override Control Env1'!$C$2:$C$999,C5,'Override Control Env1'!$L$2:$L$999,"Inadequate",'Override Control Env1'!$D$2:$D$999,E5)</f>
        <v>0</v>
      </c>
      <c r="E5" s="43" t="s">
        <v>395</v>
      </c>
    </row>
    <row r="6" spans="1:5" x14ac:dyDescent="0.25">
      <c r="A6" s="264" t="s">
        <v>401</v>
      </c>
      <c r="B6" s="81" t="s">
        <v>347</v>
      </c>
      <c r="C6" s="80">
        <v>1</v>
      </c>
      <c r="D6" s="43">
        <f>COUNTIFS('Override Control Env1'!$C$2:$C$999,C6,'Override Control Env1'!$L$2:$L$999,"Inadequate",'Override Control Env1'!$D$2:$D$999,E6)</f>
        <v>0</v>
      </c>
      <c r="E6" s="43" t="s">
        <v>101</v>
      </c>
    </row>
    <row r="7" spans="1:5" x14ac:dyDescent="0.25">
      <c r="A7" s="264"/>
      <c r="B7" s="81" t="s">
        <v>348</v>
      </c>
      <c r="C7" s="80">
        <v>2</v>
      </c>
      <c r="D7" s="43">
        <f>COUNTIFS('Override Control Env1'!$C$2:$C$999,C7,'Override Control Env1'!$L$2:$L$999,"Inadequate",'Override Control Env1'!$D$2:$D$999,E7)</f>
        <v>1</v>
      </c>
      <c r="E7" s="43" t="s">
        <v>101</v>
      </c>
    </row>
    <row r="8" spans="1:5" x14ac:dyDescent="0.25">
      <c r="A8" s="264"/>
      <c r="B8" s="81" t="s">
        <v>349</v>
      </c>
      <c r="C8" s="80">
        <v>3</v>
      </c>
      <c r="D8" s="43">
        <f>COUNTIFS('Override Control Env1'!$C$2:$C$999,C8,'Override Control Env1'!$L$2:$L$999,"Inadequate",'Override Control Env1'!$D$2:$D$999,E8)</f>
        <v>0</v>
      </c>
      <c r="E8" s="43" t="s">
        <v>101</v>
      </c>
    </row>
    <row r="9" spans="1:5" x14ac:dyDescent="0.25">
      <c r="A9" s="264"/>
      <c r="B9" s="81" t="s">
        <v>350</v>
      </c>
      <c r="C9" s="80">
        <v>4</v>
      </c>
      <c r="D9" s="43">
        <f>COUNTIFS('Override Control Env1'!$C$2:$C$999,C9,'Override Control Env1'!$L$2:$L$999,"Inadequate",'Override Control Env1'!$D$2:$D$999,E9)</f>
        <v>0</v>
      </c>
      <c r="E9" s="43" t="s">
        <v>101</v>
      </c>
    </row>
    <row r="10" spans="1:5" x14ac:dyDescent="0.25">
      <c r="A10" s="264" t="s">
        <v>330</v>
      </c>
      <c r="B10" s="81" t="s">
        <v>347</v>
      </c>
      <c r="C10" s="80">
        <v>1</v>
      </c>
      <c r="D10" s="43">
        <f>COUNTIFS('Override Control Env1'!$C$2:$C$999,C10,'Override Control Env1'!$L$2:$L$999,"Inadequate",'Override Control Env1'!$D$2:$D$999,E10)</f>
        <v>0</v>
      </c>
      <c r="E10" s="43" t="s">
        <v>330</v>
      </c>
    </row>
    <row r="11" spans="1:5" x14ac:dyDescent="0.25">
      <c r="A11" s="264"/>
      <c r="B11" s="81" t="s">
        <v>348</v>
      </c>
      <c r="C11" s="80">
        <v>2</v>
      </c>
      <c r="D11" s="43">
        <f>COUNTIFS('Override Control Env1'!$C$2:$C$999,C11,'Override Control Env1'!$L$2:$L$999,"Inadequate",'Override Control Env1'!$D$2:$D$999,E11)</f>
        <v>3</v>
      </c>
      <c r="E11" s="43" t="s">
        <v>330</v>
      </c>
    </row>
    <row r="12" spans="1:5" x14ac:dyDescent="0.25">
      <c r="A12" s="264"/>
      <c r="B12" s="81" t="s">
        <v>349</v>
      </c>
      <c r="C12" s="80">
        <v>3</v>
      </c>
      <c r="D12" s="43">
        <f>COUNTIFS('Override Control Env1'!$C$2:$C$999,C12,'Override Control Env1'!$L$2:$L$999,"Inadequate",'Override Control Env1'!$D$2:$D$999,E12)</f>
        <v>0</v>
      </c>
      <c r="E12" s="43" t="s">
        <v>330</v>
      </c>
    </row>
    <row r="13" spans="1:5" x14ac:dyDescent="0.25">
      <c r="A13" s="264"/>
      <c r="B13" s="81" t="s">
        <v>350</v>
      </c>
      <c r="C13" s="80">
        <v>4</v>
      </c>
      <c r="D13" s="43">
        <f>COUNTIFS('Override Control Env1'!$C$2:$C$999,C13,'Override Control Env1'!$L$2:$L$999,"Inadequate",'Override Control Env1'!$D$2:$D$999,E13)</f>
        <v>0</v>
      </c>
      <c r="E13" s="43" t="s">
        <v>330</v>
      </c>
    </row>
    <row r="14" spans="1:5" x14ac:dyDescent="0.25">
      <c r="A14" s="264" t="s">
        <v>142</v>
      </c>
      <c r="B14" s="84" t="s">
        <v>347</v>
      </c>
      <c r="C14" s="80">
        <v>1</v>
      </c>
      <c r="D14" s="43">
        <f>COUNTIFS('Override Control Env1'!$C$2:$C$999,C14,'Override Control Env1'!$L$2:$L$999,"Inadequate",'Override Control Env1'!$D$2:$D$999,E14)</f>
        <v>1</v>
      </c>
      <c r="E14" s="43" t="s">
        <v>142</v>
      </c>
    </row>
    <row r="15" spans="1:5" x14ac:dyDescent="0.25">
      <c r="A15" s="264"/>
      <c r="B15" s="84" t="s">
        <v>348</v>
      </c>
      <c r="C15" s="80">
        <v>2</v>
      </c>
      <c r="D15" s="43">
        <f>COUNTIFS('Override Control Env1'!$C$2:$C$999,C15,'Override Control Env1'!$L$2:$L$999,"Inadequate",'Override Control Env1'!$D$2:$D$999,E15)</f>
        <v>0</v>
      </c>
      <c r="E15" s="43" t="s">
        <v>142</v>
      </c>
    </row>
    <row r="16" spans="1:5" x14ac:dyDescent="0.25">
      <c r="A16" s="264"/>
      <c r="B16" s="84" t="s">
        <v>349</v>
      </c>
      <c r="C16" s="80">
        <v>3</v>
      </c>
      <c r="D16" s="43">
        <f>COUNTIFS('Override Control Env1'!$C$2:$C$999,C16,'Override Control Env1'!$L$2:$L$999,"Inadequate",'Override Control Env1'!$D$2:$D$999,E16)</f>
        <v>0</v>
      </c>
      <c r="E16" s="43" t="s">
        <v>142</v>
      </c>
    </row>
    <row r="17" spans="1:5" x14ac:dyDescent="0.25">
      <c r="A17" s="264"/>
      <c r="B17" s="84" t="s">
        <v>350</v>
      </c>
      <c r="C17" s="80">
        <v>4</v>
      </c>
      <c r="D17" s="43">
        <f>COUNTIFS('Override Control Env1'!$C$2:$C$999,C17,'Override Control Env1'!$L$2:$L$999,"Inadequate",'Override Control Env1'!$D$2:$D$999,E17)</f>
        <v>3</v>
      </c>
      <c r="E17" s="43" t="s">
        <v>142</v>
      </c>
    </row>
    <row r="18" spans="1:5" x14ac:dyDescent="0.25">
      <c r="A18" s="264" t="s">
        <v>180</v>
      </c>
      <c r="B18" s="84" t="s">
        <v>347</v>
      </c>
      <c r="C18" s="80">
        <v>1</v>
      </c>
      <c r="D18" s="43">
        <f>COUNTIFS('Override Control Env1'!$C$2:$C$999,C18,'Override Control Env1'!$L$2:$L$999,"Inadequate",'Override Control Env1'!$D$2:$D$999,E18)</f>
        <v>1</v>
      </c>
      <c r="E18" s="43" t="s">
        <v>180</v>
      </c>
    </row>
    <row r="19" spans="1:5" x14ac:dyDescent="0.25">
      <c r="A19" s="264"/>
      <c r="B19" s="84" t="s">
        <v>348</v>
      </c>
      <c r="C19" s="80">
        <v>2</v>
      </c>
      <c r="D19" s="43">
        <f>COUNTIFS('Override Control Env1'!$C$2:$C$999,C19,'Override Control Env1'!$L$2:$L$999,"Inadequate",'Override Control Env1'!$D$2:$D$999,E19)</f>
        <v>0</v>
      </c>
      <c r="E19" s="43" t="s">
        <v>180</v>
      </c>
    </row>
    <row r="20" spans="1:5" x14ac:dyDescent="0.25">
      <c r="A20" s="264"/>
      <c r="B20" s="84" t="s">
        <v>349</v>
      </c>
      <c r="C20" s="80">
        <v>3</v>
      </c>
      <c r="D20" s="43">
        <f>COUNTIFS('Override Control Env1'!$C$2:$C$999,C20,'Override Control Env1'!$L$2:$L$999,"Inadequate",'Override Control Env1'!$D$2:$D$999,E20)</f>
        <v>0</v>
      </c>
      <c r="E20" s="43" t="s">
        <v>180</v>
      </c>
    </row>
    <row r="21" spans="1:5" x14ac:dyDescent="0.25">
      <c r="A21" s="264"/>
      <c r="B21" s="84" t="s">
        <v>350</v>
      </c>
      <c r="C21" s="80">
        <v>4</v>
      </c>
      <c r="D21" s="43">
        <f>COUNTIFS('Override Control Env1'!$C$2:$C$999,C21,'Override Control Env1'!$L$2:$L$999,"Inadequate",'Override Control Env1'!$D$2:$D$999,E21)</f>
        <v>4</v>
      </c>
      <c r="E21" s="43" t="s">
        <v>180</v>
      </c>
    </row>
  </sheetData>
  <mergeCells count="5">
    <mergeCell ref="A18:A21"/>
    <mergeCell ref="A10:A13"/>
    <mergeCell ref="A6:A9"/>
    <mergeCell ref="A2:A5"/>
    <mergeCell ref="A14:A17"/>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1"/>
  <dimension ref="A1:E21"/>
  <sheetViews>
    <sheetView workbookViewId="0">
      <selection activeCell="E1" sqref="E1:E1048576"/>
    </sheetView>
  </sheetViews>
  <sheetFormatPr defaultColWidth="9" defaultRowHeight="15" x14ac:dyDescent="0.25"/>
  <cols>
    <col min="1" max="1" width="29.28515625" style="43" bestFit="1" customWidth="1"/>
    <col min="2" max="2" width="9" style="43"/>
    <col min="3" max="3" width="9" style="43" hidden="1" customWidth="1"/>
    <col min="4" max="4" width="9" style="43"/>
    <col min="5" max="5" width="0" style="43" hidden="1" customWidth="1"/>
    <col min="6" max="16384" width="9" style="43"/>
  </cols>
  <sheetData>
    <row r="1" spans="1:5" x14ac:dyDescent="0.25">
      <c r="A1" s="43" t="s">
        <v>314</v>
      </c>
      <c r="B1" s="43" t="s">
        <v>311</v>
      </c>
      <c r="C1" s="43" t="s">
        <v>311</v>
      </c>
      <c r="D1" s="43" t="s">
        <v>346</v>
      </c>
    </row>
    <row r="2" spans="1:5" x14ac:dyDescent="0.25">
      <c r="A2" s="264" t="s">
        <v>395</v>
      </c>
      <c r="B2" s="89" t="s">
        <v>347</v>
      </c>
      <c r="C2" s="80">
        <v>1</v>
      </c>
      <c r="D2" s="43">
        <f>COUNTIFS('Override Control Env2'!$C$2:$C$999,C2,'Override Control Env2'!$L$2:$L$999,"Inadequate",'Override Control Env2'!$D$2:$D$999,E2)</f>
        <v>0</v>
      </c>
      <c r="E2" s="43" t="s">
        <v>395</v>
      </c>
    </row>
    <row r="3" spans="1:5" x14ac:dyDescent="0.25">
      <c r="A3" s="264"/>
      <c r="B3" s="89" t="s">
        <v>348</v>
      </c>
      <c r="C3" s="80">
        <v>2</v>
      </c>
      <c r="D3" s="43">
        <f>COUNTIFS('Override Control Env2'!$C$2:$C$999,C3,'Override Control Env2'!$L$2:$L$999,"Inadequate",'Override Control Env2'!$D$2:$D$999,E3)</f>
        <v>0</v>
      </c>
      <c r="E3" s="43" t="s">
        <v>395</v>
      </c>
    </row>
    <row r="4" spans="1:5" x14ac:dyDescent="0.25">
      <c r="A4" s="264"/>
      <c r="B4" s="89" t="s">
        <v>349</v>
      </c>
      <c r="C4" s="80">
        <v>3</v>
      </c>
      <c r="D4" s="43">
        <f>COUNTIFS('Override Control Env2'!$C$2:$C$999,C4,'Override Control Env2'!$L$2:$L$999,"Inadequate",'Override Control Env2'!$D$2:$D$999,E4)</f>
        <v>0</v>
      </c>
      <c r="E4" s="43" t="s">
        <v>395</v>
      </c>
    </row>
    <row r="5" spans="1:5" x14ac:dyDescent="0.25">
      <c r="A5" s="264"/>
      <c r="B5" s="89" t="s">
        <v>350</v>
      </c>
      <c r="C5" s="80">
        <v>4</v>
      </c>
      <c r="D5" s="43">
        <f>COUNTIFS('Override Control Env2'!$C$2:$C$999,C5,'Override Control Env2'!$L$2:$L$999,"Inadequate",'Override Control Env2'!$D$2:$D$999,E5)</f>
        <v>0</v>
      </c>
      <c r="E5" s="43" t="s">
        <v>395</v>
      </c>
    </row>
    <row r="6" spans="1:5" x14ac:dyDescent="0.25">
      <c r="A6" s="264" t="s">
        <v>401</v>
      </c>
      <c r="B6" s="89" t="s">
        <v>347</v>
      </c>
      <c r="C6" s="80">
        <v>1</v>
      </c>
      <c r="D6" s="43">
        <f>COUNTIFS('Override Control Env2'!$C$2:$C$999,C6,'Override Control Env2'!$L$2:$L$999,"Inadequate",'Override Control Env2'!$D$2:$D$999,E6)</f>
        <v>0</v>
      </c>
      <c r="E6" s="43" t="s">
        <v>101</v>
      </c>
    </row>
    <row r="7" spans="1:5" x14ac:dyDescent="0.25">
      <c r="A7" s="264"/>
      <c r="B7" s="89" t="s">
        <v>348</v>
      </c>
      <c r="C7" s="80">
        <v>2</v>
      </c>
      <c r="D7" s="43">
        <f>COUNTIFS('Override Control Env2'!$C$2:$C$999,C7,'Override Control Env2'!$L$2:$L$999,"Inadequate",'Override Control Env2'!$D$2:$D$999,E7)</f>
        <v>0</v>
      </c>
      <c r="E7" s="43" t="s">
        <v>101</v>
      </c>
    </row>
    <row r="8" spans="1:5" x14ac:dyDescent="0.25">
      <c r="A8" s="264"/>
      <c r="B8" s="89" t="s">
        <v>349</v>
      </c>
      <c r="C8" s="80">
        <v>3</v>
      </c>
      <c r="D8" s="43">
        <f>COUNTIFS('Override Control Env2'!$C$2:$C$999,C8,'Override Control Env2'!$L$2:$L$999,"Inadequate",'Override Control Env2'!$D$2:$D$999,E8)</f>
        <v>0</v>
      </c>
      <c r="E8" s="43" t="s">
        <v>101</v>
      </c>
    </row>
    <row r="9" spans="1:5" x14ac:dyDescent="0.25">
      <c r="A9" s="264"/>
      <c r="B9" s="89" t="s">
        <v>350</v>
      </c>
      <c r="C9" s="80">
        <v>4</v>
      </c>
      <c r="D9" s="43">
        <f>COUNTIFS('Override Control Env2'!$C$2:$C$999,C9,'Override Control Env2'!$L$2:$L$999,"Inadequate",'Override Control Env2'!$D$2:$D$999,E9)</f>
        <v>0</v>
      </c>
      <c r="E9" s="43" t="s">
        <v>101</v>
      </c>
    </row>
    <row r="10" spans="1:5" x14ac:dyDescent="0.25">
      <c r="A10" s="264" t="s">
        <v>330</v>
      </c>
      <c r="B10" s="89" t="s">
        <v>347</v>
      </c>
      <c r="C10" s="80">
        <v>1</v>
      </c>
      <c r="D10" s="43">
        <f>COUNTIFS('Override Control Env2'!$C$2:$C$999,C10,'Override Control Env2'!$L$2:$L$999,"Inadequate",'Override Control Env2'!$D$2:$D$999,E10)</f>
        <v>0</v>
      </c>
      <c r="E10" s="43" t="s">
        <v>330</v>
      </c>
    </row>
    <row r="11" spans="1:5" x14ac:dyDescent="0.25">
      <c r="A11" s="264"/>
      <c r="B11" s="89" t="s">
        <v>348</v>
      </c>
      <c r="C11" s="80">
        <v>2</v>
      </c>
      <c r="D11" s="43">
        <f>COUNTIFS('Override Control Env2'!$C$2:$C$999,C11,'Override Control Env2'!$L$2:$L$999,"Inadequate",'Override Control Env2'!$D$2:$D$999,E11)</f>
        <v>0</v>
      </c>
      <c r="E11" s="43" t="s">
        <v>330</v>
      </c>
    </row>
    <row r="12" spans="1:5" x14ac:dyDescent="0.25">
      <c r="A12" s="264"/>
      <c r="B12" s="89" t="s">
        <v>349</v>
      </c>
      <c r="C12" s="80">
        <v>3</v>
      </c>
      <c r="D12" s="43">
        <f>COUNTIFS('Override Control Env2'!$C$2:$C$999,C12,'Override Control Env2'!$L$2:$L$999,"Inadequate",'Override Control Env2'!$D$2:$D$999,E12)</f>
        <v>0</v>
      </c>
      <c r="E12" s="43" t="s">
        <v>330</v>
      </c>
    </row>
    <row r="13" spans="1:5" x14ac:dyDescent="0.25">
      <c r="A13" s="264"/>
      <c r="B13" s="89" t="s">
        <v>350</v>
      </c>
      <c r="C13" s="80">
        <v>4</v>
      </c>
      <c r="D13" s="43">
        <f>COUNTIFS('Override Control Env2'!$C$2:$C$999,C13,'Override Control Env2'!$L$2:$L$999,"Inadequate",'Override Control Env2'!$D$2:$D$999,E13)</f>
        <v>0</v>
      </c>
      <c r="E13" s="43" t="s">
        <v>330</v>
      </c>
    </row>
    <row r="14" spans="1:5" x14ac:dyDescent="0.25">
      <c r="A14" s="264" t="s">
        <v>142</v>
      </c>
      <c r="B14" s="89" t="s">
        <v>347</v>
      </c>
      <c r="C14" s="80">
        <v>1</v>
      </c>
      <c r="D14" s="43">
        <f>COUNTIFS('Override Control Env2'!$C$2:$C$999,C14,'Override Control Env2'!$L$2:$L$999,"Inadequate",'Override Control Env2'!$D$2:$D$999,E14)</f>
        <v>0</v>
      </c>
      <c r="E14" s="43" t="s">
        <v>142</v>
      </c>
    </row>
    <row r="15" spans="1:5" x14ac:dyDescent="0.25">
      <c r="A15" s="264"/>
      <c r="B15" s="89" t="s">
        <v>348</v>
      </c>
      <c r="C15" s="80">
        <v>2</v>
      </c>
      <c r="D15" s="43">
        <f>COUNTIFS('Override Control Env2'!$C$2:$C$999,C15,'Override Control Env2'!$L$2:$L$999,"Inadequate",'Override Control Env2'!$D$2:$D$999,E15)</f>
        <v>0</v>
      </c>
      <c r="E15" s="43" t="s">
        <v>142</v>
      </c>
    </row>
    <row r="16" spans="1:5" x14ac:dyDescent="0.25">
      <c r="A16" s="264"/>
      <c r="B16" s="89" t="s">
        <v>349</v>
      </c>
      <c r="C16" s="80">
        <v>3</v>
      </c>
      <c r="D16" s="43">
        <f>COUNTIFS('Override Control Env2'!$C$2:$C$999,C16,'Override Control Env2'!$L$2:$L$999,"Inadequate",'Override Control Env2'!$D$2:$D$999,E16)</f>
        <v>0</v>
      </c>
      <c r="E16" s="43" t="s">
        <v>142</v>
      </c>
    </row>
    <row r="17" spans="1:5" x14ac:dyDescent="0.25">
      <c r="A17" s="264"/>
      <c r="B17" s="89" t="s">
        <v>350</v>
      </c>
      <c r="C17" s="80">
        <v>4</v>
      </c>
      <c r="D17" s="43">
        <f>COUNTIFS('Override Control Env2'!$C$2:$C$999,C17,'Override Control Env2'!$L$2:$L$999,"Inadequate",'Override Control Env2'!$D$2:$D$999,E17)</f>
        <v>0</v>
      </c>
      <c r="E17" s="43" t="s">
        <v>142</v>
      </c>
    </row>
    <row r="18" spans="1:5" x14ac:dyDescent="0.25">
      <c r="A18" s="264" t="s">
        <v>180</v>
      </c>
      <c r="B18" s="89" t="s">
        <v>347</v>
      </c>
      <c r="C18" s="80">
        <v>1</v>
      </c>
      <c r="D18" s="43">
        <f>COUNTIFS('Override Control Env2'!$C$2:$C$999,C18,'Override Control Env2'!$L$2:$L$999,"Inadequate",'Override Control Env2'!$D$2:$D$999,E18)</f>
        <v>0</v>
      </c>
      <c r="E18" s="43" t="s">
        <v>180</v>
      </c>
    </row>
    <row r="19" spans="1:5" x14ac:dyDescent="0.25">
      <c r="A19" s="264"/>
      <c r="B19" s="89" t="s">
        <v>348</v>
      </c>
      <c r="C19" s="80">
        <v>2</v>
      </c>
      <c r="D19" s="43">
        <f>COUNTIFS('Override Control Env2'!$C$2:$C$999,C19,'Override Control Env2'!$L$2:$L$999,"Inadequate",'Override Control Env2'!$D$2:$D$999,E19)</f>
        <v>0</v>
      </c>
      <c r="E19" s="43" t="s">
        <v>180</v>
      </c>
    </row>
    <row r="20" spans="1:5" x14ac:dyDescent="0.25">
      <c r="A20" s="264"/>
      <c r="B20" s="89" t="s">
        <v>349</v>
      </c>
      <c r="C20" s="80">
        <v>3</v>
      </c>
      <c r="D20" s="43">
        <f>COUNTIFS('Override Control Env2'!$C$2:$C$999,C20,'Override Control Env2'!$L$2:$L$999,"Inadequate",'Override Control Env2'!$D$2:$D$999,E20)</f>
        <v>0</v>
      </c>
      <c r="E20" s="43" t="s">
        <v>180</v>
      </c>
    </row>
    <row r="21" spans="1:5" x14ac:dyDescent="0.25">
      <c r="A21" s="264"/>
      <c r="B21" s="89" t="s">
        <v>350</v>
      </c>
      <c r="C21" s="80">
        <v>4</v>
      </c>
      <c r="D21" s="43">
        <f>COUNTIFS('Override Control Env2'!$C$2:$C$999,C21,'Override Control Env2'!$L$2:$L$999,"Inadequate",'Override Control Env2'!$D$2:$D$999,E21)</f>
        <v>0</v>
      </c>
      <c r="E21" s="43" t="s">
        <v>180</v>
      </c>
    </row>
  </sheetData>
  <mergeCells count="5">
    <mergeCell ref="A18:A21"/>
    <mergeCell ref="A2:A5"/>
    <mergeCell ref="A6:A9"/>
    <mergeCell ref="A10:A13"/>
    <mergeCell ref="A14:A17"/>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2"/>
  <dimension ref="A1:E21"/>
  <sheetViews>
    <sheetView workbookViewId="0">
      <selection activeCell="E1" sqref="E1:E1048576"/>
    </sheetView>
  </sheetViews>
  <sheetFormatPr defaultColWidth="9" defaultRowHeight="15" x14ac:dyDescent="0.25"/>
  <cols>
    <col min="1" max="1" width="29.28515625" style="43" bestFit="1" customWidth="1"/>
    <col min="2" max="2" width="9" style="43"/>
    <col min="3" max="3" width="9" style="43" hidden="1" customWidth="1"/>
    <col min="4" max="4" width="9" style="43"/>
    <col min="5" max="5" width="0" style="43" hidden="1" customWidth="1"/>
    <col min="6" max="16384" width="9" style="43"/>
  </cols>
  <sheetData>
    <row r="1" spans="1:5" x14ac:dyDescent="0.25">
      <c r="A1" s="43" t="s">
        <v>314</v>
      </c>
      <c r="B1" s="43" t="s">
        <v>311</v>
      </c>
      <c r="C1" s="43" t="s">
        <v>311</v>
      </c>
      <c r="D1" s="43" t="s">
        <v>346</v>
      </c>
    </row>
    <row r="2" spans="1:5" x14ac:dyDescent="0.25">
      <c r="A2" s="264" t="s">
        <v>395</v>
      </c>
      <c r="B2" s="89" t="s">
        <v>347</v>
      </c>
      <c r="C2" s="80">
        <v>1</v>
      </c>
      <c r="D2" s="43">
        <f>COUNTIFS('Override Control Env3'!$C$2:$C$999,C2,'Override Control Env3'!$L$2:$L$999,"Inadequate",'Override Control Env3'!$D$2:$D$999,E2)</f>
        <v>0</v>
      </c>
      <c r="E2" s="43" t="s">
        <v>395</v>
      </c>
    </row>
    <row r="3" spans="1:5" x14ac:dyDescent="0.25">
      <c r="A3" s="264"/>
      <c r="B3" s="89" t="s">
        <v>348</v>
      </c>
      <c r="C3" s="80">
        <v>2</v>
      </c>
      <c r="D3" s="43">
        <f>COUNTIFS('Override Control Env3'!$C$2:$C$999,C3,'Override Control Env3'!$L$2:$L$999,"Inadequate",'Override Control Env3'!$D$2:$D$999,E3)</f>
        <v>0</v>
      </c>
      <c r="E3" s="43" t="s">
        <v>395</v>
      </c>
    </row>
    <row r="4" spans="1:5" x14ac:dyDescent="0.25">
      <c r="A4" s="264"/>
      <c r="B4" s="89" t="s">
        <v>349</v>
      </c>
      <c r="C4" s="80">
        <v>3</v>
      </c>
      <c r="D4" s="43">
        <f>COUNTIFS('Override Control Env3'!$C$2:$C$999,C4,'Override Control Env3'!$L$2:$L$999,"Inadequate",'Override Control Env3'!$D$2:$D$999,E4)</f>
        <v>0</v>
      </c>
      <c r="E4" s="43" t="s">
        <v>395</v>
      </c>
    </row>
    <row r="5" spans="1:5" x14ac:dyDescent="0.25">
      <c r="A5" s="264"/>
      <c r="B5" s="89" t="s">
        <v>350</v>
      </c>
      <c r="C5" s="80">
        <v>4</v>
      </c>
      <c r="D5" s="43">
        <f>COUNTIFS('Override Control Env3'!$C$2:$C$999,C5,'Override Control Env3'!$L$2:$L$999,"Inadequate",'Override Control Env3'!$D$2:$D$999,E5)</f>
        <v>0</v>
      </c>
      <c r="E5" s="43" t="s">
        <v>395</v>
      </c>
    </row>
    <row r="6" spans="1:5" x14ac:dyDescent="0.25">
      <c r="A6" s="264" t="s">
        <v>401</v>
      </c>
      <c r="B6" s="89" t="s">
        <v>347</v>
      </c>
      <c r="C6" s="80">
        <v>1</v>
      </c>
      <c r="D6" s="43">
        <f>COUNTIFS('Override Control Env3'!$C$2:$C$999,C6,'Override Control Env3'!$L$2:$L$999,"Inadequate",'Override Control Env3'!$D$2:$D$999,E6)</f>
        <v>0</v>
      </c>
      <c r="E6" s="43" t="s">
        <v>101</v>
      </c>
    </row>
    <row r="7" spans="1:5" x14ac:dyDescent="0.25">
      <c r="A7" s="264"/>
      <c r="B7" s="89" t="s">
        <v>348</v>
      </c>
      <c r="C7" s="80">
        <v>2</v>
      </c>
      <c r="D7" s="43">
        <f>COUNTIFS('Override Control Env3'!$C$2:$C$999,C7,'Override Control Env3'!$L$2:$L$999,"Inadequate",'Override Control Env3'!$D$2:$D$999,E7)</f>
        <v>0</v>
      </c>
      <c r="E7" s="43" t="s">
        <v>101</v>
      </c>
    </row>
    <row r="8" spans="1:5" x14ac:dyDescent="0.25">
      <c r="A8" s="264"/>
      <c r="B8" s="89" t="s">
        <v>349</v>
      </c>
      <c r="C8" s="80">
        <v>3</v>
      </c>
      <c r="D8" s="43">
        <f>COUNTIFS('Override Control Env3'!$C$2:$C$999,C8,'Override Control Env3'!$L$2:$L$999,"Inadequate",'Override Control Env3'!$D$2:$D$999,E8)</f>
        <v>0</v>
      </c>
      <c r="E8" s="43" t="s">
        <v>101</v>
      </c>
    </row>
    <row r="9" spans="1:5" x14ac:dyDescent="0.25">
      <c r="A9" s="264"/>
      <c r="B9" s="89" t="s">
        <v>350</v>
      </c>
      <c r="C9" s="80">
        <v>4</v>
      </c>
      <c r="D9" s="43">
        <f>COUNTIFS('Override Control Env3'!$C$2:$C$999,C9,'Override Control Env3'!$L$2:$L$999,"Inadequate",'Override Control Env3'!$D$2:$D$999,E9)</f>
        <v>0</v>
      </c>
      <c r="E9" s="43" t="s">
        <v>101</v>
      </c>
    </row>
    <row r="10" spans="1:5" x14ac:dyDescent="0.25">
      <c r="A10" s="264" t="s">
        <v>330</v>
      </c>
      <c r="B10" s="89" t="s">
        <v>347</v>
      </c>
      <c r="C10" s="80">
        <v>1</v>
      </c>
      <c r="D10" s="43">
        <f>COUNTIFS('Override Control Env3'!$C$2:$C$999,C10,'Override Control Env3'!$L$2:$L$999,"Inadequate",'Override Control Env3'!$D$2:$D$999,E10)</f>
        <v>0</v>
      </c>
      <c r="E10" s="43" t="s">
        <v>330</v>
      </c>
    </row>
    <row r="11" spans="1:5" x14ac:dyDescent="0.25">
      <c r="A11" s="264"/>
      <c r="B11" s="89" t="s">
        <v>348</v>
      </c>
      <c r="C11" s="80">
        <v>2</v>
      </c>
      <c r="D11" s="43">
        <f>COUNTIFS('Override Control Env3'!$C$2:$C$999,C11,'Override Control Env3'!$L$2:$L$999,"Inadequate",'Override Control Env3'!$D$2:$D$999,E11)</f>
        <v>0</v>
      </c>
      <c r="E11" s="43" t="s">
        <v>330</v>
      </c>
    </row>
    <row r="12" spans="1:5" x14ac:dyDescent="0.25">
      <c r="A12" s="264"/>
      <c r="B12" s="89" t="s">
        <v>349</v>
      </c>
      <c r="C12" s="80">
        <v>3</v>
      </c>
      <c r="D12" s="43">
        <f>COUNTIFS('Override Control Env3'!$C$2:$C$999,C12,'Override Control Env3'!$L$2:$L$999,"Inadequate",'Override Control Env3'!$D$2:$D$999,E12)</f>
        <v>0</v>
      </c>
      <c r="E12" s="43" t="s">
        <v>330</v>
      </c>
    </row>
    <row r="13" spans="1:5" x14ac:dyDescent="0.25">
      <c r="A13" s="264"/>
      <c r="B13" s="89" t="s">
        <v>350</v>
      </c>
      <c r="C13" s="80">
        <v>4</v>
      </c>
      <c r="D13" s="43">
        <f>COUNTIFS('Override Control Env3'!$C$2:$C$999,C13,'Override Control Env3'!$L$2:$L$999,"Inadequate",'Override Control Env3'!$D$2:$D$999,E13)</f>
        <v>0</v>
      </c>
      <c r="E13" s="43" t="s">
        <v>330</v>
      </c>
    </row>
    <row r="14" spans="1:5" x14ac:dyDescent="0.25">
      <c r="A14" s="264" t="s">
        <v>142</v>
      </c>
      <c r="B14" s="89" t="s">
        <v>347</v>
      </c>
      <c r="C14" s="80">
        <v>1</v>
      </c>
      <c r="D14" s="43">
        <f>COUNTIFS('Override Control Env3'!$C$2:$C$999,C14,'Override Control Env3'!$L$2:$L$999,"Inadequate",'Override Control Env3'!$D$2:$D$999,E14)</f>
        <v>0</v>
      </c>
      <c r="E14" s="43" t="s">
        <v>142</v>
      </c>
    </row>
    <row r="15" spans="1:5" x14ac:dyDescent="0.25">
      <c r="A15" s="264"/>
      <c r="B15" s="89" t="s">
        <v>348</v>
      </c>
      <c r="C15" s="80">
        <v>2</v>
      </c>
      <c r="D15" s="43">
        <f>COUNTIFS('Override Control Env3'!$C$2:$C$999,C15,'Override Control Env3'!$L$2:$L$999,"Inadequate",'Override Control Env3'!$D$2:$D$999,E15)</f>
        <v>0</v>
      </c>
      <c r="E15" s="43" t="s">
        <v>142</v>
      </c>
    </row>
    <row r="16" spans="1:5" x14ac:dyDescent="0.25">
      <c r="A16" s="264"/>
      <c r="B16" s="89" t="s">
        <v>349</v>
      </c>
      <c r="C16" s="80">
        <v>3</v>
      </c>
      <c r="D16" s="43">
        <f>COUNTIFS('Override Control Env3'!$C$2:$C$999,C16,'Override Control Env3'!$L$2:$L$999,"Inadequate",'Override Control Env3'!$D$2:$D$999,E16)</f>
        <v>0</v>
      </c>
      <c r="E16" s="43" t="s">
        <v>142</v>
      </c>
    </row>
    <row r="17" spans="1:5" x14ac:dyDescent="0.25">
      <c r="A17" s="264"/>
      <c r="B17" s="89" t="s">
        <v>350</v>
      </c>
      <c r="C17" s="80">
        <v>4</v>
      </c>
      <c r="D17" s="43">
        <f>COUNTIFS('Override Control Env3'!$C$2:$C$999,C17,'Override Control Env3'!$L$2:$L$999,"Inadequate",'Override Control Env3'!$D$2:$D$999,E17)</f>
        <v>0</v>
      </c>
      <c r="E17" s="43" t="s">
        <v>142</v>
      </c>
    </row>
    <row r="18" spans="1:5" x14ac:dyDescent="0.25">
      <c r="A18" s="264" t="s">
        <v>180</v>
      </c>
      <c r="B18" s="89" t="s">
        <v>347</v>
      </c>
      <c r="C18" s="80">
        <v>1</v>
      </c>
      <c r="D18" s="43">
        <f>COUNTIFS('Override Control Env3'!$C$2:$C$999,C18,'Override Control Env3'!$L$2:$L$999,"Inadequate",'Override Control Env3'!$D$2:$D$999,E18)</f>
        <v>0</v>
      </c>
      <c r="E18" s="43" t="s">
        <v>180</v>
      </c>
    </row>
    <row r="19" spans="1:5" x14ac:dyDescent="0.25">
      <c r="A19" s="264"/>
      <c r="B19" s="89" t="s">
        <v>348</v>
      </c>
      <c r="C19" s="80">
        <v>2</v>
      </c>
      <c r="D19" s="43">
        <f>COUNTIFS('Override Control Env3'!$C$2:$C$999,C19,'Override Control Env3'!$L$2:$L$999,"Inadequate",'Override Control Env3'!$D$2:$D$999,E19)</f>
        <v>0</v>
      </c>
      <c r="E19" s="43" t="s">
        <v>180</v>
      </c>
    </row>
    <row r="20" spans="1:5" x14ac:dyDescent="0.25">
      <c r="A20" s="264"/>
      <c r="B20" s="89" t="s">
        <v>349</v>
      </c>
      <c r="C20" s="80">
        <v>3</v>
      </c>
      <c r="D20" s="43">
        <f>COUNTIFS('Override Control Env3'!$C$2:$C$999,C20,'Override Control Env3'!$L$2:$L$999,"Inadequate",'Override Control Env3'!$D$2:$D$999,E20)</f>
        <v>0</v>
      </c>
      <c r="E20" s="43" t="s">
        <v>180</v>
      </c>
    </row>
    <row r="21" spans="1:5" x14ac:dyDescent="0.25">
      <c r="A21" s="264"/>
      <c r="B21" s="89" t="s">
        <v>350</v>
      </c>
      <c r="C21" s="80">
        <v>4</v>
      </c>
      <c r="D21" s="43">
        <f>COUNTIFS('Override Control Env3'!$C$2:$C$999,C21,'Override Control Env3'!$L$2:$L$999,"Inadequate",'Override Control Env3'!$D$2:$D$999,E21)</f>
        <v>0</v>
      </c>
      <c r="E21" s="43" t="s">
        <v>180</v>
      </c>
    </row>
  </sheetData>
  <mergeCells count="5">
    <mergeCell ref="A18:A21"/>
    <mergeCell ref="A2:A5"/>
    <mergeCell ref="A6:A9"/>
    <mergeCell ref="A10:A13"/>
    <mergeCell ref="A14:A17"/>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DCDateModified xmlns="http://schemas.microsoft.com/sharepoint/v3/fields" xsi:nil="true"/>
    <_Status xmlns="http://schemas.microsoft.com/sharepoint/v3/fields">Not Started</_Status>
    <_Revision xmlns="http://schemas.microsoft.com/sharepoint/v3/fields" xsi:nil="true"/>
    <lcf76f155ced4ddcb4097134ff3c332f xmlns="e6c7cf81-12fe-425f-a5c0-d82f8a821745">
      <Terms xmlns="http://schemas.microsoft.com/office/infopath/2007/PartnerControls"/>
    </lcf76f155ced4ddcb4097134ff3c332f>
    <TaxCatchAll xmlns="7cc12636-eeb3-4ff6-886f-4dcac8dddb7e"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56E07287358564992A545D8EC4108B7" ma:contentTypeVersion="15" ma:contentTypeDescription="Create a new document." ma:contentTypeScope="" ma:versionID="6eadc6a1ae8957c5585a6421b9667bb3">
  <xsd:schema xmlns:xsd="http://www.w3.org/2001/XMLSchema" xmlns:xs="http://www.w3.org/2001/XMLSchema" xmlns:p="http://schemas.microsoft.com/office/2006/metadata/properties" xmlns:ns2="http://schemas.microsoft.com/sharepoint/v3/fields" xmlns:ns3="63a6c59b-4122-478b-aef6-4fc0178e5f33" xmlns:ns4="14c339db-4fcb-4cbd-8633-1201a6f0e19b" targetNamespace="http://schemas.microsoft.com/office/2006/metadata/properties" ma:root="true" ma:fieldsID="799251d83cfb505b163ca6d36cf86cf9" ns2:_="" ns3:_="" ns4:_="">
    <xsd:import namespace="http://schemas.microsoft.com/sharepoint/v3/fields"/>
    <xsd:import namespace="63a6c59b-4122-478b-aef6-4fc0178e5f33"/>
    <xsd:import namespace="14c339db-4fcb-4cbd-8633-1201a6f0e19b"/>
    <xsd:element name="properties">
      <xsd:complexType>
        <xsd:sequence>
          <xsd:element name="documentManagement">
            <xsd:complexType>
              <xsd:all>
                <xsd:element ref="ns2:_DCDateModified" minOccurs="0"/>
                <xsd:element ref="ns2:_Revision" minOccurs="0"/>
                <xsd:element ref="ns2:_Status" minOccurs="0"/>
                <xsd:element ref="ns3:MediaServiceMetadata" minOccurs="0"/>
                <xsd:element ref="ns3:MediaServiceFastMetadata" minOccurs="0"/>
                <xsd:element ref="ns3:MediaServiceAutoTags" minOccurs="0"/>
                <xsd:element ref="ns4:SharedWithUsers" minOccurs="0"/>
                <xsd:element ref="ns4:SharedWithDetails" minOccurs="0"/>
                <xsd:element ref="ns3:MediaServiceAutoKeyPoints" minOccurs="0"/>
                <xsd:element ref="ns3:MediaServiceKeyPoints" minOccurs="0"/>
                <xsd:element ref="ns3:MediaServiceDateTaken" minOccurs="0"/>
                <xsd:element ref="ns3:MediaServiceOCR" minOccurs="0"/>
                <xsd:element ref="ns3:MediaServiceGenerationTime" minOccurs="0"/>
                <xsd:element ref="ns3:MediaServiceEventHashCode" minOccurs="0"/>
                <xsd:element ref="ns4:_dlc_DocId" minOccurs="0"/>
                <xsd:element ref="ns4:_dlc_DocIdUrl" minOccurs="0"/>
                <xsd:element ref="ns4: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DCDateModified" ma:index="8" nillable="true" ma:displayName="Date Modified" ma:description="The date on which this resource was last modified" ma:format="DateTime" ma:internalName="_DCDateModified">
      <xsd:simpleType>
        <xsd:restriction base="dms:DateTime"/>
      </xsd:simpleType>
    </xsd:element>
    <xsd:element name="_Revision" ma:index="9" nillable="true" ma:displayName="Revision" ma:internalName="_Revision">
      <xsd:simpleType>
        <xsd:restriction base="dms:Text"/>
      </xsd:simpleType>
    </xsd:element>
    <xsd:element name="_Status" ma:index="10" nillable="true" ma:displayName="Status" ma:default="Not Started" ma:internalName="_Status">
      <xsd:simpleType>
        <xsd:union memberTypes="dms:Text">
          <xsd:simpleType>
            <xsd:restriction base="dms:Choice">
              <xsd:enumeration value="Not Started"/>
              <xsd:enumeration value="Draft"/>
              <xsd:enumeration value="Reviewed"/>
              <xsd:enumeration value="Scheduled"/>
              <xsd:enumeration value="Published"/>
              <xsd:enumeration value="Final"/>
              <xsd:enumeration value="Expired"/>
            </xsd:restriction>
          </xsd:simpleType>
        </xsd:union>
      </xsd:simpleType>
    </xsd:element>
  </xsd:schema>
  <xsd:schema xmlns:xsd="http://www.w3.org/2001/XMLSchema" xmlns:xs="http://www.w3.org/2001/XMLSchema" xmlns:dms="http://schemas.microsoft.com/office/2006/documentManagement/types" xmlns:pc="http://schemas.microsoft.com/office/infopath/2007/PartnerControls" targetNamespace="63a6c59b-4122-478b-aef6-4fc0178e5f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4c339db-4fcb-4cbd-8633-1201a6f0e19b"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_dlc_DocId" ma:index="22" nillable="true" ma:displayName="Document ID Value" ma:description="The value of the document ID assigned to this item." ma:indexed="true" ma:internalName="_dlc_DocId" ma:readOnly="true">
      <xsd:simpleType>
        <xsd:restriction base="dms:Text"/>
      </xsd:simpleType>
    </xsd:element>
    <xsd:element name="_dlc_DocIdUrl" ma:index="23"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4"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ma:displayName="Status"/>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ct:contentTypeSchema xmlns:ct="http://schemas.microsoft.com/office/2006/metadata/contentType" xmlns:ma="http://schemas.microsoft.com/office/2006/metadata/properties/metaAttributes" ct:_="" ma:_="" ma:contentTypeName="Document" ma:contentTypeID="0x010100EF004842037BA44F801E7D78EFF2BDA7" ma:contentTypeVersion="26" ma:contentTypeDescription="Create a new document." ma:contentTypeScope="" ma:versionID="b327aa5cbb4463b86ddd3c0134a48b24">
  <xsd:schema xmlns:xsd="http://www.w3.org/2001/XMLSchema" xmlns:xs="http://www.w3.org/2001/XMLSchema" xmlns:p="http://schemas.microsoft.com/office/2006/metadata/properties" xmlns:ns2="http://schemas.microsoft.com/sharepoint/v3/fields" xmlns:ns3="e6c7cf81-12fe-425f-a5c0-d82f8a821745" xmlns:ns4="7cc12636-eeb3-4ff6-886f-4dcac8dddb7e" targetNamespace="http://schemas.microsoft.com/office/2006/metadata/properties" ma:root="true" ma:fieldsID="10316a474f1fa08fc83a6fea57267d65" ns2:_="" ns3:_="" ns4:_="">
    <xsd:import namespace="http://schemas.microsoft.com/sharepoint/v3/fields"/>
    <xsd:import namespace="e6c7cf81-12fe-425f-a5c0-d82f8a821745"/>
    <xsd:import namespace="7cc12636-eeb3-4ff6-886f-4dcac8dddb7e"/>
    <xsd:element name="properties">
      <xsd:complexType>
        <xsd:sequence>
          <xsd:element name="documentManagement">
            <xsd:complexType>
              <xsd:all>
                <xsd:element ref="ns2:_DCDateModified" minOccurs="0"/>
                <xsd:element ref="ns2:_Revision" minOccurs="0"/>
                <xsd:element ref="ns2:_Status" minOccurs="0"/>
                <xsd:element ref="ns3:MediaServiceMetadata" minOccurs="0"/>
                <xsd:element ref="ns3:MediaServiceFastMetadata" minOccurs="0"/>
                <xsd:element ref="ns4:SharedWithUsers" minOccurs="0"/>
                <xsd:element ref="ns4:SharedWithDetails" minOccurs="0"/>
                <xsd:element ref="ns3:MediaServiceObjectDetectorVersions" minOccurs="0"/>
                <xsd:element ref="ns3:MediaServiceSearchProperties" minOccurs="0"/>
                <xsd:element ref="ns3:lcf76f155ced4ddcb4097134ff3c332f" minOccurs="0"/>
                <xsd:element ref="ns4:TaxCatchAll" minOccurs="0"/>
                <xsd:element ref="ns3:MediaServiceDateTake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DCDateModified" ma:index="4" nillable="true" ma:displayName="Date Modified" ma:description="The date on which this resource was last modified" ma:format="DateTime" ma:internalName="_DCDateModified" ma:readOnly="false">
      <xsd:simpleType>
        <xsd:restriction base="dms:DateTime"/>
      </xsd:simpleType>
    </xsd:element>
    <xsd:element name="_Revision" ma:index="5" nillable="true" ma:displayName="Revision" ma:internalName="_Revision" ma:readOnly="false">
      <xsd:simpleType>
        <xsd:restriction base="dms:Text"/>
      </xsd:simpleType>
    </xsd:element>
    <xsd:element name="_Status" ma:index="6" nillable="true" ma:displayName="Status" ma:default="Not Started" ma:format="Dropdown" ma:internalName="_Status" ma:readOnly="false">
      <xsd:simpleType>
        <xsd:union memberTypes="dms:Text">
          <xsd:simpleType>
            <xsd:restriction base="dms:Choice">
              <xsd:enumeration value="Not Started"/>
              <xsd:enumeration value="Draft"/>
              <xsd:enumeration value="Reviewed"/>
              <xsd:enumeration value="Scheduled"/>
              <xsd:enumeration value="Published"/>
              <xsd:enumeration value="Final"/>
              <xsd:enumeration value="Expired"/>
            </xsd:restriction>
          </xsd:simpleType>
        </xsd:union>
      </xsd:simpleType>
    </xsd:element>
  </xsd:schema>
  <xsd:schema xmlns:xsd="http://www.w3.org/2001/XMLSchema" xmlns:xs="http://www.w3.org/2001/XMLSchema" xmlns:dms="http://schemas.microsoft.com/office/2006/documentManagement/types" xmlns:pc="http://schemas.microsoft.com/office/infopath/2007/PartnerControls" targetNamespace="e6c7cf81-12fe-425f-a5c0-d82f8a821745" elementFormDefault="qualified">
    <xsd:import namespace="http://schemas.microsoft.com/office/2006/documentManagement/types"/>
    <xsd:import namespace="http://schemas.microsoft.com/office/infopath/2007/PartnerControls"/>
    <xsd:element name="MediaServiceMetadata" ma:index="7" nillable="true" ma:displayName="MediaServiceMetadata" ma:hidden="true" ma:internalName="MediaServiceMetadata" ma:readOnly="true">
      <xsd:simpleType>
        <xsd:restriction base="dms:Note"/>
      </xsd:simpleType>
    </xsd:element>
    <xsd:element name="MediaServiceFastMetadata" ma:index="8" nillable="true" ma:displayName="MediaServiceFastMetadata" ma:hidden="true" ma:internalName="MediaServiceFastMetadata" ma:readOnly="true">
      <xsd:simpleType>
        <xsd:restriction base="dms:Note"/>
      </xsd:simpleType>
    </xsd:element>
    <xsd:element name="MediaServiceObjectDetectorVersions" ma:index="15" nillable="true" ma:displayName="MediaServiceObjectDetectorVersions" ma:description="" ma:hidden="true" ma:internalName="MediaServiceObjectDetectorVersions" ma:readOnly="true">
      <xsd:simpleType>
        <xsd:restriction base="dms:Text"/>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9842dfc5-13bc-413d-b12b-68dbd3cc3f9e" ma:termSetId="09814cd3-568e-fe90-9814-8d621ff8fb84" ma:anchorId="fba54fb3-c3e1-fe81-a776-ca4b69148c4d" ma:open="true" ma:isKeyword="false">
      <xsd:complexType>
        <xsd:sequence>
          <xsd:element ref="pc:Terms" minOccurs="0" maxOccurs="1"/>
        </xsd:sequence>
      </xsd:complex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cc12636-eeb3-4ff6-886f-4dcac8dddb7e" elementFormDefault="qualified">
    <xsd:import namespace="http://schemas.microsoft.com/office/2006/documentManagement/types"/>
    <xsd:import namespace="http://schemas.microsoft.com/office/infopath/2007/PartnerControls"/>
    <xsd:element name="SharedWithUsers" ma:index="9"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7fd4f1ad-bd9d-462a-9fe8-ad08d59a845e}" ma:internalName="TaxCatchAll" ma:showField="CatchAllData" ma:web="7cc12636-eeb3-4ff6-886f-4dcac8dddb7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1"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ma:displayName="Status"/>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E5E0526-B32C-402F-8FC5-B8007E55E7AE}">
  <ds:schemaRefs>
    <ds:schemaRef ds:uri="14c339db-4fcb-4cbd-8633-1201a6f0e19b"/>
    <ds:schemaRef ds:uri="http://purl.org/dc/terms/"/>
    <ds:schemaRef ds:uri="63a6c59b-4122-478b-aef6-4fc0178e5f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schemas.microsoft.com/office/2006/metadata/properties"/>
    <ds:schemaRef ds:uri="http://schemas.microsoft.com/sharepoint/v3/fields"/>
    <ds:schemaRef ds:uri="http://www.w3.org/XML/1998/namespace"/>
    <ds:schemaRef ds:uri="http://purl.org/dc/dcmitype/"/>
  </ds:schemaRefs>
</ds:datastoreItem>
</file>

<file path=customXml/itemProps2.xml><?xml version="1.0" encoding="utf-8"?>
<ds:datastoreItem xmlns:ds="http://schemas.openxmlformats.org/officeDocument/2006/customXml" ds:itemID="{D081B91C-BC72-46C1-BBDE-30FB0895CC62}">
  <ds:schemaRefs>
    <ds:schemaRef ds:uri="http://schemas.microsoft.com/sharepoint/v3/contenttype/forms"/>
  </ds:schemaRefs>
</ds:datastoreItem>
</file>

<file path=customXml/itemProps3.xml><?xml version="1.0" encoding="utf-8"?>
<ds:datastoreItem xmlns:ds="http://schemas.openxmlformats.org/officeDocument/2006/customXml" ds:itemID="{16A6679B-CE7D-4B5A-BB6B-8BFC3048F0ED}"/>
</file>

<file path=customXml/itemProps4.xml><?xml version="1.0" encoding="utf-8"?>
<ds:datastoreItem xmlns:ds="http://schemas.openxmlformats.org/officeDocument/2006/customXml" ds:itemID="{39FE0F23-99F7-4811-A3D2-B37AFD6440E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Cover Page</vt:lpstr>
      <vt:lpstr>Instructions</vt:lpstr>
      <vt:lpstr>Data Validation Key</vt:lpstr>
      <vt:lpstr>Key Controls</vt:lpstr>
      <vt:lpstr>IRQ</vt:lpstr>
      <vt:lpstr>Vendor Profile Questionnaire</vt:lpstr>
      <vt:lpstr>Scope</vt:lpstr>
      <vt:lpstr>Network_Architecture_Diagrams</vt:lpstr>
      <vt:lpstr>Connectivity Mapping</vt:lpstr>
      <vt:lpstr>Required Evidence</vt:lpstr>
      <vt:lpstr>1. Access Controls</vt:lpstr>
      <vt:lpstr>2. Awareness and Training</vt:lpstr>
      <vt:lpstr>8. Incident Response</vt:lpstr>
      <vt:lpstr>9. Maintenance</vt:lpstr>
      <vt:lpstr>13. Personnel Security</vt:lpstr>
      <vt:lpstr>Override Control Env1</vt:lpstr>
      <vt:lpstr>Override Control Env2</vt:lpstr>
      <vt:lpstr>Override Control Env3</vt:lpstr>
      <vt:lpstr>Grading</vt:lpstr>
      <vt:lpstr>Inadequacy Distribution Env1</vt:lpstr>
      <vt:lpstr>Inadequacy Distribution Env2</vt:lpstr>
      <vt:lpstr>Inadequacy Distribution Env3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Alex Masten</dc:creator>
  <cp:lastModifiedBy>Bruno Bendavid</cp:lastModifiedBy>
  <dcterms:created xsi:type="dcterms:W3CDTF">2015-10-31T15:56:41Z</dcterms:created>
  <dcterms:modified xsi:type="dcterms:W3CDTF">2018-12-05T04:30:42Z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0x010100EF004842037BA44F801E7D78EFF2BDA7</vt:lpwstr>
  </property>
  <property fmtid="{D5CDD505-2E9C-101B-9397-08002B2CF9AE}" pid="3" name="_dlc_DocIdItemGuid">
    <vt:lpwstr>07432648-d2e9-4384-abf6-32f18ce6432c</vt:lpwstr>
  </property>
  <property fmtid="{D5CDD505-2E9C-101B-9397-08002B2CF9AE}" pid="4" name="Order">
    <vt:r8>35800</vt:r8>
  </property>
  <property fmtid="{D5CDD505-2E9C-101B-9397-08002B2CF9AE}" pid="5" name="_ExtendedDescription">
    <vt:lpwstr/>
  </property>
</Properties>
</file>